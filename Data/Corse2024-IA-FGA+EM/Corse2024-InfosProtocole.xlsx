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ml.chartshapes+xml"/>
  <Override PartName="/xl/drawings/vmlDrawing5.vml" ContentType="application/vnd.openxmlformats-officedocument.vmlDrawing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charts/_rels/chart4.xml.rels" ContentType="application/vnd.openxmlformats-package.relationships+xml"/>
  <Override PartName="/xl/charts/_rels/chart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fos protocole" sheetId="1" state="visible" r:id="rId3"/>
    <sheet name="Planning" sheetId="2" state="visible" r:id="rId4"/>
    <sheet name="Correspondance Tags" sheetId="3" state="visible" r:id="rId5"/>
    <sheet name="Data Activité Béliers" sheetId="4" state="visible" r:id="rId6"/>
    <sheet name="Data Détecteur IA" sheetId="5" state="visible" r:id="rId7"/>
    <sheet name="All Data EM ODARC 2024" sheetId="6" state="visible" r:id="rId8"/>
    <sheet name="Sheet7" sheetId="7" state="visible" r:id="rId9"/>
  </sheets>
  <externalReferences>
    <externalReference r:id="rId10"/>
    <externalReference r:id="rId11"/>
  </externalReferences>
  <definedNames>
    <definedName function="false" hidden="true" localSheetId="5" name="_xlnm._FilterDatabase" vbProcedure="false">'All Data EM ODARC 2024'!$A$4:$AZ$57</definedName>
    <definedName function="false" hidden="true" localSheetId="4" name="_xlnm._FilterDatabase" vbProcedure="false">'Data Détecteur IA'!$A$1:$O$938</definedName>
    <definedName function="false" hidden="false" localSheetId="3" name="_16_06_1000" vbProcedure="false">'Data Activité Béliers'!$A$1:$L$129</definedName>
    <definedName function="false" hidden="false" localSheetId="3" name="_16_06_1001" vbProcedure="false">'Data Activité Béliers'!$A$1:$M$134</definedName>
    <definedName function="false" hidden="false" localSheetId="3" name="_16_06_1002" vbProcedure="false">'Data Activité Béliers'!$A$1:$M$508</definedName>
    <definedName function="false" hidden="false" localSheetId="3" name="_16_06_1003" vbProcedure="false">'Data Activité Béliers'!$A$1:$L$377</definedName>
    <definedName function="false" hidden="false" localSheetId="3" name="_16_06_1004" vbProcedure="false">'Data Activité Béliers'!$A$1:$L$129</definedName>
    <definedName function="false" hidden="false" localSheetId="3" name="_16_06_1005" vbProcedure="false">'Data Activité Béliers'!$A$1:$K$377</definedName>
    <definedName function="false" hidden="false" localSheetId="3" name="_16_06_1006" vbProcedure="false">'Data Activité Béliers'!$A$1:$M$508</definedName>
    <definedName function="false" hidden="false" localSheetId="3" name="_16_06_1007" vbProcedure="false">'Data Activité Béliers'!$A$1:$L$129</definedName>
    <definedName function="false" hidden="false" localSheetId="3" name="_16_06_1008" vbProcedure="false">'Data Activité Béliers'!$A$1:$M$620</definedName>
    <definedName function="false" hidden="false" localSheetId="3" name="_16_06_1009" vbProcedure="false">'Data Activité Béliers'!$A$1:$L$377</definedName>
    <definedName function="false" hidden="false" localSheetId="3" name="_16_06_1010" vbProcedure="false">'Data Activité Béliers'!$A$1:$L$377</definedName>
    <definedName function="false" hidden="false" localSheetId="3" name="_16_06_1011" vbProcedure="false">'Data Activité Béliers'!$A$1:$L$129</definedName>
    <definedName function="false" hidden="false" localSheetId="3" name="_16_06_1012" vbProcedure="false">'Data Activité Béliers'!$A$1:$L$313</definedName>
    <definedName function="false" hidden="false" localSheetId="3" name="_16_06_1013" vbProcedure="false">'Data Activité Béliers'!$A$1:$L$371</definedName>
    <definedName function="false" hidden="false" localSheetId="3" name="_16_06_1014" vbProcedure="false">'Data Activité Béliers'!$A$1:$L$377</definedName>
    <definedName function="false" hidden="false" localSheetId="3" name="_16_06_1015" vbProcedure="false">'Data Activité Béliers'!$A$1:$M$620</definedName>
    <definedName function="false" hidden="false" localSheetId="3" name="_16_06_1016" vbProcedure="false">'Data Activité Béliers'!$A$1:$L$377</definedName>
    <definedName function="false" hidden="false" localSheetId="3" name="_16_06_1017" vbProcedure="false">'Data Activité Béliers'!$A$1:$L$129</definedName>
    <definedName function="false" hidden="false" localSheetId="3" name="_16_06_1018" vbProcedure="false">'Data Activité Béliers'!$A$1:$M$620</definedName>
    <definedName function="false" hidden="false" localSheetId="3" name="_16_06_1019" vbProcedure="false">'Data Activité Béliers'!$A$1:$L$313</definedName>
    <definedName function="false" hidden="false" localSheetId="3" name="_16_06_1020" vbProcedure="false">'Data Activité Béliers'!$A$1:$M$134</definedName>
    <definedName function="false" hidden="false" localSheetId="3" name="_16_06_1021" vbProcedure="false">'Data Activité Béliers'!$A$1:$M$134</definedName>
    <definedName function="false" hidden="false" localSheetId="3" name="_16_06_1022" vbProcedure="false">'Data Activité Béliers'!$A$1:$M$508</definedName>
    <definedName function="false" hidden="false" localSheetId="3" name="_16_06_1023" vbProcedure="false">'Data Activité Béliers'!$A$1:$L$313</definedName>
    <definedName function="false" hidden="false" localSheetId="3" name="_16_06_1024" vbProcedure="false">'Data Activité Béliers'!$A$1:$L$313</definedName>
    <definedName function="false" hidden="false" localSheetId="3" name="_16_06_1025" vbProcedure="false">'Data Activité Béliers'!$A$1:$K$129</definedName>
    <definedName function="false" hidden="false" localSheetId="3" name="_16_06_1026" vbProcedure="false">'Data Activité Béliers'!$A$1:$L$313</definedName>
    <definedName function="false" hidden="false" localSheetId="3" name="_16_06_1027" vbProcedure="false">'Data Activité Béliers'!$A$1:$M$620</definedName>
    <definedName function="false" hidden="false" localSheetId="3" name="_16_06_1028" vbProcedure="false">'Data Activité Béliers'!$A$1:$L$129</definedName>
    <definedName function="false" hidden="false" localSheetId="3" name="_16_06_1029" vbProcedure="false">'Data Activité Béliers'!$A$1:$L$377</definedName>
    <definedName function="false" hidden="false" localSheetId="3" name="_16_06_1030" vbProcedure="false">'Data Activité Béliers'!$A$1:$M$620</definedName>
    <definedName function="false" hidden="false" localSheetId="3" name="_16_06_1031" vbProcedure="false">'Data Activité Béliers'!$A$1:$M$508</definedName>
    <definedName function="false" hidden="false" localSheetId="3" name="_16_06_1032" vbProcedure="false">'Data Activité Béliers'!$A$1:$L$313</definedName>
    <definedName function="false" hidden="false" localSheetId="3" name="_16_06_1033" vbProcedure="false">'Data Activité Béliers'!$A$1:$M$620</definedName>
    <definedName function="false" hidden="false" localSheetId="3" name="_16_06_1034" vbProcedure="false">'Data Activité Béliers'!$A$1:$L$129</definedName>
    <definedName function="false" hidden="false" localSheetId="3" name="_16_06_1035" vbProcedure="false">'Data Activité Béliers'!$A$1:$L$129</definedName>
    <definedName function="false" hidden="false" localSheetId="3" name="_16_06_1036" vbProcedure="false">'Data Activité Béliers'!$A$1:$L$313</definedName>
    <definedName function="false" hidden="false" localSheetId="3" name="_16_06_1037" vbProcedure="false">'Data Activité Béliers'!$A$1:$M$620</definedName>
    <definedName function="false" hidden="false" localSheetId="3" name="_16_06_1038" vbProcedure="false">'Data Activité Béliers'!$A$1:$L$313</definedName>
    <definedName function="false" hidden="false" localSheetId="3" name="_16_06_1039" vbProcedure="false">'Data Activité Béliers'!$A$1:$M$134</definedName>
    <definedName function="false" hidden="false" localSheetId="3" name="_16_06_1040" vbProcedure="false">'Data Activité Béliers'!$A$1:$L$129</definedName>
    <definedName function="false" hidden="false" localSheetId="3" name="_16_06_1041" vbProcedure="false">'Data Activité Béliers'!$A$1:$L$129</definedName>
    <definedName function="false" hidden="false" localSheetId="3" name="_16_06_1042" vbProcedure="false">'Data Activité Béliers'!$A$1:$L$377</definedName>
    <definedName function="false" hidden="false" localSheetId="3" name="_16_06_1043" vbProcedure="false">'Data Activité Béliers'!$A$1:$M$134</definedName>
    <definedName function="false" hidden="false" localSheetId="3" name="_16_06_1044" vbProcedure="false">'Data Activité Béliers'!$A$1:$M$620</definedName>
    <definedName function="false" hidden="false" localSheetId="3" name="_16_06_1045" vbProcedure="false">'Data Activité Béliers'!$A$1:$K$377</definedName>
    <definedName function="false" hidden="false" localSheetId="3" name="_16_06_1046" vbProcedure="false">'Data Activité Béliers'!$A$1:$L$377</definedName>
    <definedName function="false" hidden="false" localSheetId="3" name="_16_06_1047" vbProcedure="false">'Data Activité Béliers'!$A$1:$M$620</definedName>
    <definedName function="false" hidden="false" localSheetId="3" name="_16_06_1048" vbProcedure="false">'Data Activité Béliers'!$A$1:$M$134</definedName>
    <definedName function="false" hidden="false" localSheetId="3" name="_16_06_1049" vbProcedure="false">'Data Activité Béliers'!$A$1:$M$620</definedName>
    <definedName function="false" hidden="false" localSheetId="3" name="_16_06_1050" vbProcedure="false">'Data Activité Béliers'!$A$1:$M$620</definedName>
    <definedName function="false" hidden="false" localSheetId="3" name="_16_06_1051" vbProcedure="false">'Data Activité Béliers'!$A$1:$M$620</definedName>
    <definedName function="false" hidden="false" localSheetId="3" name="_16_06_1052" vbProcedure="false">'Data Activité Béliers'!$A$1:$M$134</definedName>
    <definedName function="false" hidden="false" localSheetId="3" name="_16_06_1053" vbProcedure="false">'Data Activité Béliers'!$A$1:$M$620</definedName>
    <definedName function="false" hidden="false" localSheetId="3" name="_16_06_1054" vbProcedure="false">'Data Activité Béliers'!$A$1:$M$134</definedName>
    <definedName function="false" hidden="false" localSheetId="3" name="_16_06_1055" vbProcedure="false">'Data Activité Béliers'!$A$1:$L$377</definedName>
    <definedName function="false" hidden="false" localSheetId="3" name="_16_06_1056" vbProcedure="false">'Data Activité Béliers'!$A$1:$M$620</definedName>
    <definedName function="false" hidden="false" localSheetId="3" name="_16_06_1057" vbProcedure="false">'Data Activité Béliers'!$A$1:$M$620</definedName>
    <definedName function="false" hidden="false" localSheetId="3" name="_16_06_1058" vbProcedure="false">'Data Activité Béliers'!$A$1:$L$129</definedName>
    <definedName function="false" hidden="false" localSheetId="3" name="_16_06_1059" vbProcedure="false">'Data Activité Béliers'!$A$1:$K$313</definedName>
    <definedName function="false" hidden="false" localSheetId="3" name="_16_06_1060" vbProcedure="false">'Data Activité Béliers'!$A$1:$M$508</definedName>
    <definedName function="false" hidden="false" localSheetId="3" name="_16_06_1061" vbProcedure="false">'Data Activité Béliers'!$A$1:$L$129</definedName>
    <definedName function="false" hidden="false" localSheetId="3" name="_16_06_1062" vbProcedure="false">'Data Activité Béliers'!$A$1:$M$620</definedName>
    <definedName function="false" hidden="false" localSheetId="3" name="_16_06_1063" vbProcedure="false">'Data Activité Béliers'!$A$1:$M$508</definedName>
    <definedName function="false" hidden="false" localSheetId="3" name="_16_06_1064" vbProcedure="false">'Data Activité Béliers'!$A$1:$L$377</definedName>
    <definedName function="false" hidden="false" localSheetId="3" name="_16_06_1065" vbProcedure="false">'Data Activité Béliers'!$A$1:$M$134</definedName>
    <definedName function="false" hidden="false" localSheetId="3" name="_16_06_1066" vbProcedure="false">'Data Activité Béliers'!$A$1:$L$313</definedName>
    <definedName function="false" hidden="false" localSheetId="3" name="_16_06_1067" vbProcedure="false">'Data Activité Béliers'!$A$1:$K$129</definedName>
    <definedName function="false" hidden="false" localSheetId="3" name="_16_06_1068" vbProcedure="false">'Data Activité Béliers'!$A$1:$L$129</definedName>
    <definedName function="false" hidden="false" localSheetId="3" name="_16_06_1069" vbProcedure="false">'Data Activité Béliers'!$A$1:$L$129</definedName>
    <definedName function="false" hidden="false" localSheetId="3" name="_16_06_1070" vbProcedure="false">'Data Activité Béliers'!$A$1:$L$377</definedName>
    <definedName function="false" hidden="false" localSheetId="3" name="_16_06_1071" vbProcedure="false">'Data Activité Béliers'!$A$1:$M$134</definedName>
    <definedName function="false" hidden="false" localSheetId="3" name="_16_06_1072" vbProcedure="false">'Data Activité Béliers'!$A$1:$L$313</definedName>
    <definedName function="false" hidden="false" localSheetId="3" name="_16_06_1073" vbProcedure="false">'Data Activité Béliers'!$A$1:$L$377</definedName>
    <definedName function="false" hidden="false" localSheetId="3" name="_16_06_1074" vbProcedure="false">'Data Activité Béliers'!$A$1:$L$377</definedName>
    <definedName function="false" hidden="false" localSheetId="3" name="_16_06_1075" vbProcedure="false">'Data Activité Béliers'!$A$1:$M$508</definedName>
    <definedName function="false" hidden="false" localSheetId="3" name="_16_06_1076" vbProcedure="false">'Data Activité Béliers'!$A$1:$L$313</definedName>
    <definedName function="false" hidden="false" localSheetId="3" name="_16_06_1077" vbProcedure="false">'Data Activité Béliers'!$A$1:$M$620</definedName>
    <definedName function="false" hidden="false" localSheetId="3" name="_16_06_1078" vbProcedure="false">'Data Activité Béliers'!$A$1:$L$377</definedName>
    <definedName function="false" hidden="false" localSheetId="3" name="_16_06_1079" vbProcedure="false">'Data Activité Béliers'!$A$1:$L$377</definedName>
    <definedName function="false" hidden="false" localSheetId="3" name="_16_06_1080" vbProcedure="false">'Data Activité Béliers'!$A$1:$L$129</definedName>
    <definedName function="false" hidden="false" localSheetId="3" name="_16_06_1081" vbProcedure="false">'Data Activité Béliers'!$A$1:$M$508</definedName>
    <definedName function="false" hidden="false" localSheetId="3" name="_16_06_1082" vbProcedure="false">'Data Activité Béliers'!$A$1:$L$377</definedName>
    <definedName function="false" hidden="false" localSheetId="3" name="_16_06_1083" vbProcedure="false">'Data Activité Béliers'!$A$1:$M$620</definedName>
    <definedName function="false" hidden="false" localSheetId="3" name="_16_06_1084" vbProcedure="false">'Data Activité Béliers'!$A$1:$M$620</definedName>
    <definedName function="false" hidden="false" localSheetId="3" name="_16_06_1085" vbProcedure="false">'Data Activité Béliers'!$A$1:$M$134</definedName>
    <definedName function="false" hidden="false" localSheetId="3" name="_16_06_1086" vbProcedure="false">'Data Activité Béliers'!$A$1:$M$614</definedName>
    <definedName function="false" hidden="false" localSheetId="3" name="_16_06_1087" vbProcedure="false">'Data Activité Béliers'!$A$1:$L$377</definedName>
    <definedName function="false" hidden="false" localSheetId="3" name="_16_06_1088" vbProcedure="false">'Data Activité Béliers'!$A$1:$M$508</definedName>
    <definedName function="false" hidden="false" localSheetId="3" name="_16_06_1089" vbProcedure="false">'Data Activité Béliers'!$A$1:$L$129</definedName>
    <definedName function="false" hidden="false" localSheetId="3" name="_16_06_1090" vbProcedure="false">'Data Activité Béliers'!$A$1:$M$620</definedName>
    <definedName function="false" hidden="false" localSheetId="3" name="_16_06_1091" vbProcedure="false">'Data Activité Béliers'!$A$1:$M$620</definedName>
    <definedName function="false" hidden="false" localSheetId="3" name="_16_06_1092" vbProcedure="false">'Data Activité Béliers'!$A$1:$K$377</definedName>
    <definedName function="false" hidden="false" localSheetId="3" name="_16_06_1093" vbProcedure="false">'Data Activité Béliers'!$A$1:$L$313</definedName>
    <definedName function="false" hidden="false" localSheetId="3" name="_16_06_1094" vbProcedure="false">'Data Activité Béliers'!$A$1:$M$134</definedName>
    <definedName function="false" hidden="false" localSheetId="3" name="_16_06_1095" vbProcedure="false">'Data Activité Béliers'!$A$1:$L$129</definedName>
    <definedName function="false" hidden="false" localSheetId="3" name="_16_06_1096" vbProcedure="false">'Data Activité Béliers'!$A$1:$L$377</definedName>
    <definedName function="false" hidden="false" localSheetId="3" name="_16_06_1097" vbProcedure="false">'Data Activité Béliers'!$A$1:$M$620</definedName>
    <definedName function="false" hidden="false" localSheetId="3" name="_16_06_1098" vbProcedure="false">'Data Activité Béliers'!$A$1:$L$377</definedName>
    <definedName function="false" hidden="false" localSheetId="3" name="_16_06_1099" vbProcedure="false">'Data Activité Béliers'!$A$1:$L$377</definedName>
    <definedName function="false" hidden="false" localSheetId="3" name="_16_06_1100" vbProcedure="false">'Data Activité Béliers'!$A$1:$L$377</definedName>
    <definedName function="false" hidden="false" localSheetId="3" name="_16_06_1101" vbProcedure="false">'Data Activité Béliers'!$A$1:$M$508</definedName>
    <definedName function="false" hidden="false" localSheetId="3" name="_16_06_1102" vbProcedure="false">'Data Activité Béliers'!$A$1:$K$377</definedName>
    <definedName function="false" hidden="false" localSheetId="3" name="_16_06_1103" vbProcedure="false">'Data Activité Béliers'!$A$1:$L$377</definedName>
    <definedName function="false" hidden="false" localSheetId="3" name="_16_06_1104" vbProcedure="false">'Data Activité Béliers'!$A$1:$L$129</definedName>
    <definedName function="false" hidden="false" localSheetId="3" name="_16_06_1105" vbProcedure="false">'Data Activité Béliers'!$A$1:$L$377</definedName>
    <definedName function="false" hidden="false" localSheetId="3" name="_16_06_1106" vbProcedure="false">'Data Activité Béliers'!$A$1:$L$313</definedName>
    <definedName function="false" hidden="false" localSheetId="3" name="_16_06_1107" vbProcedure="false">'Data Activité Béliers'!$A$1:$L$313</definedName>
    <definedName function="false" hidden="false" localSheetId="3" name="_16_06_1108" vbProcedure="false">'Data Activité Béliers'!$A$1:$L$313</definedName>
    <definedName function="false" hidden="false" localSheetId="3" name="_16_06_1109" vbProcedure="false">'Data Activité Béliers'!$A$1:$L$377</definedName>
    <definedName function="false" hidden="false" localSheetId="3" name="_16_06_1110" vbProcedure="false">'Data Activité Béliers'!$A$1:$L$129</definedName>
    <definedName function="false" hidden="false" localSheetId="3" name="_16_06_1111" vbProcedure="false">'Data Activité Béliers'!$A$1:$L$377</definedName>
    <definedName function="false" hidden="false" localSheetId="3" name="_16_06_1112" vbProcedure="false">'Data Activité Béliers'!$A$1:$M$134</definedName>
    <definedName function="false" hidden="false" localSheetId="3" name="_16_06_1113" vbProcedure="false">'Data Activité Béliers'!$A$1:$M$134</definedName>
    <definedName function="false" hidden="false" localSheetId="3" name="_16_06_1114" vbProcedure="false">'Data Activité Béliers'!$A$1:$M$134</definedName>
    <definedName function="false" hidden="false" localSheetId="3" name="_16_06_1115" vbProcedure="false">'Data Activité Béliers'!$A$1:$L$377</definedName>
    <definedName function="false" hidden="false" localSheetId="3" name="_16_06_1116" vbProcedure="false">'Data Activité Béliers'!$A$1:$M$134</definedName>
    <definedName function="false" hidden="false" localSheetId="3" name="_16_06_1117" vbProcedure="false">'Data Activité Béliers'!$A$1:$M$134</definedName>
    <definedName function="false" hidden="false" localSheetId="3" name="_16_06_1118" vbProcedure="false">'Data Activité Béliers'!$A$1:$L$313</definedName>
    <definedName function="false" hidden="false" localSheetId="3" name="_16_06_1119" vbProcedure="false">'Data Activité Béliers'!$A$1:$L$371</definedName>
    <definedName function="false" hidden="false" localSheetId="3" name="_16_06_1120" vbProcedure="false">'Data Activité Béliers'!$A$1:$L$129</definedName>
    <definedName function="false" hidden="false" localSheetId="3" name="_16_06_1121" vbProcedure="false">'Data Activité Béliers'!$A$1:$L$377</definedName>
    <definedName function="false" hidden="false" localSheetId="3" name="_16_06_488" vbProcedure="false">'Data Activité Béliers'!$A$1:$L$377</definedName>
    <definedName function="false" hidden="false" localSheetId="3" name="_16_06_489" vbProcedure="false">'Data Activité Béliers'!$A$1:$L$313</definedName>
    <definedName function="false" hidden="false" localSheetId="3" name="_16_06_490" vbProcedure="false">'Data Activité Béliers'!$A$1:$L$377</definedName>
    <definedName function="false" hidden="false" localSheetId="3" name="_16_06_491" vbProcedure="false">'Data Activité Béliers'!$A$1:$L$377</definedName>
    <definedName function="false" hidden="false" localSheetId="3" name="_16_06_492" vbProcedure="false">'Data Activité Béliers'!$A$1:$L$313</definedName>
    <definedName function="false" hidden="false" localSheetId="3" name="_16_06_493" vbProcedure="false">'Data Activité Béliers'!$A$1:$L$313</definedName>
    <definedName function="false" hidden="false" localSheetId="3" name="_16_06_494" vbProcedure="false">'Data Activité Béliers'!$A$1:$L$129</definedName>
    <definedName function="false" hidden="false" localSheetId="3" name="_16_06_495" vbProcedure="false">'Data Activité Béliers'!$A$1:$L$377</definedName>
    <definedName function="false" hidden="false" localSheetId="3" name="_16_06_496" vbProcedure="false">'Data Activité Béliers'!$A$1:$L$377</definedName>
    <definedName function="false" hidden="false" localSheetId="3" name="_16_06_497" vbProcedure="false">'Data Activité Béliers'!$A$1:$L$371</definedName>
    <definedName function="false" hidden="false" localSheetId="3" name="_16_06_498" vbProcedure="false">'Data Activité Béliers'!$A$1:$L$129</definedName>
    <definedName function="false" hidden="false" localSheetId="3" name="_16_06_499" vbProcedure="false">'Data Activité Béliers'!$A$1:$L$377</definedName>
    <definedName function="false" hidden="false" localSheetId="3" name="_16_06_500" vbProcedure="false">'Data Activité Béliers'!$A$1:$L$371</definedName>
    <definedName function="false" hidden="false" localSheetId="3" name="_16_06_501" vbProcedure="false">'Data Activité Béliers'!$A$1:$L$377</definedName>
    <definedName function="false" hidden="false" localSheetId="3" name="_16_06_502" vbProcedure="false">'Data Activité Béliers'!$A$1:$L$377</definedName>
    <definedName function="false" hidden="false" localSheetId="3" name="_16_06_503" vbProcedure="false">'Data Activité Béliers'!$A$1:$L$129</definedName>
    <definedName function="false" hidden="false" localSheetId="3" name="_16_06_504" vbProcedure="false">'Data Activité Béliers'!$A$1:$L$313</definedName>
    <definedName function="false" hidden="false" localSheetId="3" name="_16_06_505" vbProcedure="false">'Data Activité Béliers'!$A$1:$L$129</definedName>
    <definedName function="false" hidden="false" localSheetId="3" name="_16_06_506" vbProcedure="false">'Data Activité Béliers'!$A$1:$L$377</definedName>
    <definedName function="false" hidden="false" localSheetId="3" name="_16_06_507" vbProcedure="false">'Data Activité Béliers'!$A$1:$L$377</definedName>
    <definedName function="false" hidden="false" localSheetId="3" name="_16_06_508" vbProcedure="false">'Data Activité Béliers'!$A$1:$L$129</definedName>
    <definedName function="false" hidden="false" localSheetId="3" name="_16_06_509" vbProcedure="false">'Data Activité Béliers'!$A$1:$L$129</definedName>
    <definedName function="false" hidden="false" localSheetId="3" name="_16_06_510" vbProcedure="false">'Data Activité Béliers'!$A$1:$L$313</definedName>
    <definedName function="false" hidden="false" localSheetId="3" name="_16_06_511" vbProcedure="false">'Data Activité Béliers'!$A$1:$L$377</definedName>
    <definedName function="false" hidden="false" localSheetId="3" name="_16_06_512" vbProcedure="false">'Data Activité Béliers'!$A$1:$L$377</definedName>
    <definedName function="false" hidden="false" localSheetId="3" name="_16_06_513" vbProcedure="false">'Data Activité Béliers'!$A$1:$L$377</definedName>
    <definedName function="false" hidden="false" localSheetId="3" name="_16_06_514" vbProcedure="false">'Data Activité Béliers'!$A$1:$L$313</definedName>
    <definedName function="false" hidden="false" localSheetId="3" name="_16_06_515" vbProcedure="false">'Data Activité Béliers'!$A$1:$L$313</definedName>
    <definedName function="false" hidden="false" localSheetId="3" name="_16_06_516" vbProcedure="false">'Data Activité Béliers'!$A$1:$L$313</definedName>
    <definedName function="false" hidden="false" localSheetId="3" name="_16_06_517" vbProcedure="false">'Data Activité Béliers'!$A$1:$L$129</definedName>
    <definedName function="false" hidden="false" localSheetId="3" name="_16_06_518" vbProcedure="false">'Data Activité Béliers'!$A$1:$L$313</definedName>
    <definedName function="false" hidden="false" localSheetId="3" name="_16_06_519" vbProcedure="false">'Data Activité Béliers'!$A$1:$L$129</definedName>
    <definedName function="false" hidden="false" localSheetId="3" name="_16_06_520" vbProcedure="false">'Data Activité Béliers'!$A$1:$K$129</definedName>
    <definedName function="false" hidden="false" localSheetId="3" name="_16_06_521" vbProcedure="false">'Data Activité Béliers'!$A$1:$K$377</definedName>
    <definedName function="false" hidden="false" localSheetId="3" name="_16_06_522" vbProcedure="false">'Data Activité Béliers'!$A$1:$K$129</definedName>
    <definedName function="false" hidden="false" localSheetId="3" name="_16_06_523" vbProcedure="false">'Data Activité Béliers'!$A$1:$K$129</definedName>
    <definedName function="false" hidden="false" localSheetId="3" name="_16_06_524" vbProcedure="false">'Data Activité Béliers'!$A$1:$K$129</definedName>
    <definedName function="false" hidden="false" localSheetId="3" name="_16_06_525" vbProcedure="false">'Data Activité Béliers'!$A$1:$K$129</definedName>
    <definedName function="false" hidden="false" localSheetId="3" name="_16_06_526" vbProcedure="false">'Data Activité Béliers'!$A$1:$K$377</definedName>
    <definedName function="false" hidden="false" localSheetId="3" name="_16_06_527" vbProcedure="false">'Data Activité Béliers'!$A$1:$K$313</definedName>
    <definedName function="false" hidden="false" localSheetId="3" name="_16_06_528" vbProcedure="false">'Data Activité Béliers'!$A$1:$K$313</definedName>
    <definedName function="false" hidden="false" localSheetId="3" name="_16_06_529" vbProcedure="false">'Data Activité Béliers'!$A$1:$K$377</definedName>
    <definedName function="false" hidden="false" localSheetId="3" name="_16_06_530" vbProcedure="false">'Data Activité Béliers'!$A$1:$K$377</definedName>
    <definedName function="false" hidden="false" localSheetId="3" name="_16_06_531" vbProcedure="false">'Data Activité Béliers'!$A$1:$K$129</definedName>
    <definedName function="false" hidden="false" localSheetId="3" name="_16_06_532" vbProcedure="false">'Data Activité Béliers'!$A$1:$K$129</definedName>
    <definedName function="false" hidden="false" localSheetId="3" name="_16_06_533" vbProcedure="false">'Data Activité Béliers'!$A$1:$K$129</definedName>
    <definedName function="false" hidden="false" localSheetId="3" name="_16_06_534" vbProcedure="false">'Data Activité Béliers'!$A$1:$K$377</definedName>
    <definedName function="false" hidden="false" localSheetId="3" name="_16_06_535" vbProcedure="false">'Data Activité Béliers'!$A$1:$K$371</definedName>
    <definedName function="false" hidden="false" localSheetId="3" name="_16_06_536" vbProcedure="false">'Data Activité Béliers'!$A$1:$K$377</definedName>
    <definedName function="false" hidden="false" localSheetId="3" name="_16_06_537" vbProcedure="false">'Data Activité Béliers'!$A$1:$M$620</definedName>
    <definedName function="false" hidden="false" localSheetId="3" name="_16_06_538" vbProcedure="false">'Data Activité Béliers'!$A$1:$M$620</definedName>
    <definedName function="false" hidden="false" localSheetId="3" name="_16_06_539" vbProcedure="false">'Data Activité Béliers'!$A$1:$L$313</definedName>
    <definedName function="false" hidden="false" localSheetId="3" name="_16_06_540" vbProcedure="false">'Data Activité Béliers'!$A$1:$M$134</definedName>
    <definedName function="false" hidden="false" localSheetId="3" name="_16_06_541" vbProcedure="false">'Data Activité Béliers'!$A$1:$M$620</definedName>
    <definedName function="false" hidden="false" localSheetId="3" name="_16_06_542" vbProcedure="false">'Data Activité Béliers'!$A$1:$M$134</definedName>
    <definedName function="false" hidden="false" localSheetId="3" name="_16_06_543" vbProcedure="false">'Data Activité Béliers'!$A$1:$M$620</definedName>
    <definedName function="false" hidden="false" localSheetId="3" name="_16_06_544" vbProcedure="false">'Data Activité Béliers'!$A$1:$M$134</definedName>
    <definedName function="false" hidden="false" localSheetId="3" name="_16_06_545" vbProcedure="false">'Data Activité Béliers'!$A$1:$L$377</definedName>
    <definedName function="false" hidden="false" localSheetId="3" name="_16_06_546" vbProcedure="false">'Data Activité Béliers'!$A$1:$M$620</definedName>
    <definedName function="false" hidden="false" localSheetId="3" name="_16_06_547" vbProcedure="false">'Data Activité Béliers'!$A$1:$M$614</definedName>
    <definedName function="false" hidden="false" localSheetId="3" name="_16_06_548" vbProcedure="false">'Data Activité Béliers'!$A$1:$K$129</definedName>
    <definedName function="false" hidden="false" localSheetId="3" name="_16_06_549" vbProcedure="false">'Data Activité Béliers'!$A$1:$K$313</definedName>
    <definedName function="false" hidden="false" localSheetId="3" name="_16_06_550" vbProcedure="false">'Data Activité Béliers'!$A$1:$K$377</definedName>
    <definedName function="false" hidden="false" localSheetId="3" name="_16_06_551" vbProcedure="false">'Data Activité Béliers'!$A$1:$K$313</definedName>
    <definedName function="false" hidden="false" localSheetId="3" name="_16_06_552" vbProcedure="false">'Data Activité Béliers'!$A$1:$K$313</definedName>
    <definedName function="false" hidden="false" localSheetId="3" name="_16_06_553" vbProcedure="false">'Data Activité Béliers'!$A$1:$K$313</definedName>
    <definedName function="false" hidden="false" localSheetId="3" name="_16_06_554" vbProcedure="false">'Data Activité Béliers'!$A$1:$K$377</definedName>
    <definedName function="false" hidden="false" localSheetId="3" name="_16_06_555" vbProcedure="false">'Data Activité Béliers'!$A$1:$K$377</definedName>
    <definedName function="false" hidden="false" localSheetId="3" name="_16_06_556" vbProcedure="false">'Data Activité Béliers'!$A$1:$M$134</definedName>
    <definedName function="false" hidden="false" localSheetId="3" name="_16_06_557" vbProcedure="false">'Data Activité Béliers'!$A$1:$K$129</definedName>
    <definedName function="false" hidden="false" localSheetId="3" name="_16_06_558" vbProcedure="false">'Data Activité Béliers'!$A$1:$K$313</definedName>
    <definedName function="false" hidden="false" localSheetId="3" name="_16_06_559" vbProcedure="false">'Data Activité Béliers'!$A$1:$K$313</definedName>
    <definedName function="false" hidden="false" localSheetId="3" name="_16_06_560" vbProcedure="false">'Data Activité Béliers'!$A$1:$K$313</definedName>
    <definedName function="false" hidden="false" localSheetId="3" name="_16_06_561" vbProcedure="false">'Data Activité Béliers'!$A$1:$K$129</definedName>
    <definedName function="false" hidden="false" localSheetId="3" name="_16_06_562" vbProcedure="false">'Data Activité Béliers'!$A$1:$K$313</definedName>
    <definedName function="false" hidden="false" localSheetId="3" name="_16_06_563" vbProcedure="false">'Data Activité Béliers'!$A$1:$K$377</definedName>
    <definedName function="false" hidden="false" localSheetId="3" name="_16_06_564" vbProcedure="false">'Data Activité Béliers'!$A$1:$K$129</definedName>
    <definedName function="false" hidden="false" localSheetId="3" name="_16_06_565" vbProcedure="false">'Data Activité Béliers'!$A$1:$K$377</definedName>
    <definedName function="false" hidden="false" localSheetId="3" name="_16_06_566" vbProcedure="false">'Data Activité Béliers'!$A$1:$K$313</definedName>
    <definedName function="false" hidden="false" localSheetId="3" name="_16_06_567" vbProcedure="false">'Data Activité Béliers'!$A$1:$K$377</definedName>
    <definedName function="false" hidden="false" localSheetId="3" name="_16_06_568" vbProcedure="false">'Data Activité Béliers'!$A$1:$K$377</definedName>
    <definedName function="false" hidden="false" localSheetId="3" name="_16_06_569" vbProcedure="false">'Data Activité Béliers'!$A$1:$K$377</definedName>
    <definedName function="false" hidden="false" localSheetId="3" name="_16_06_570" vbProcedure="false">'Data Activité Béliers'!$A$1:$K$371</definedName>
    <definedName function="false" hidden="false" localSheetId="3" name="_16_06_571" vbProcedure="false">'Data Activité Béliers'!$A$1:$K$313</definedName>
    <definedName function="false" hidden="false" localSheetId="3" name="_16_06_572" vbProcedure="false">'Data Activité Béliers'!$A$1:$K$129</definedName>
    <definedName function="false" hidden="false" localSheetId="3" name="_16_06_573" vbProcedure="false">'Data Activité Béliers'!$A$1:$K$129</definedName>
    <definedName function="false" hidden="false" localSheetId="3" name="_16_06_574" vbProcedure="false">'Data Activité Béliers'!$A$1:$K$377</definedName>
    <definedName function="false" hidden="false" localSheetId="3" name="_16_06_575" vbProcedure="false">'Data Activité Béliers'!$A$1:$K$313</definedName>
    <definedName function="false" hidden="false" localSheetId="3" name="_16_06_576" vbProcedure="false">'Data Activité Béliers'!$A$1:$K$313</definedName>
    <definedName function="false" hidden="false" localSheetId="3" name="_16_06_577" vbProcedure="false">'Data Activité Béliers'!$A$1:$K$129</definedName>
    <definedName function="false" hidden="false" localSheetId="3" name="_16_06_578" vbProcedure="false">'Data Activité Béliers'!$A$1:$K$129</definedName>
    <definedName function="false" hidden="false" localSheetId="3" name="_16_06_579" vbProcedure="false">'Data Activité Béliers'!$A$1:$K$377</definedName>
    <definedName function="false" hidden="false" localSheetId="3" name="_16_06_580" vbProcedure="false">'Data Activité Béliers'!$A$1:$K$313</definedName>
    <definedName function="false" hidden="false" localSheetId="3" name="_16_06_581" vbProcedure="false">'Data Activité Béliers'!$A$1:$K$129</definedName>
    <definedName function="false" hidden="false" localSheetId="3" name="_16_06_582" vbProcedure="false">'Data Activité Béliers'!$A$1:$K$377</definedName>
    <definedName function="false" hidden="false" localSheetId="3" name="_16_06_583" vbProcedure="false">'Data Activité Béliers'!$A$1:$K$129</definedName>
    <definedName function="false" hidden="false" localSheetId="3" name="_16_06_584" vbProcedure="false">'Data Activité Béliers'!$A$1:$K$377</definedName>
    <definedName function="false" hidden="false" localSheetId="3" name="_16_06_585" vbProcedure="false">'Data Activité Béliers'!$A$1:$K$129</definedName>
    <definedName function="false" hidden="false" localSheetId="3" name="_16_06_586" vbProcedure="false">'Data Activité Béliers'!$A$1:$K$377</definedName>
    <definedName function="false" hidden="false" localSheetId="3" name="_16_06_587" vbProcedure="false">'Data Activité Béliers'!$A$1:$K$377</definedName>
    <definedName function="false" hidden="false" localSheetId="3" name="_16_06_588" vbProcedure="false">'Data Activité Béliers'!$A$1:$K$313</definedName>
    <definedName function="false" hidden="false" localSheetId="3" name="_16_06_589" vbProcedure="false">'Data Activité Béliers'!$A$1:$K$377</definedName>
    <definedName function="false" hidden="false" localSheetId="3" name="_16_06_590" vbProcedure="false">'Data Activité Béliers'!$A$1:$M$508</definedName>
    <definedName function="false" hidden="false" localSheetId="3" name="_16_06_591" vbProcedure="false">'Data Activité Béliers'!$A$1:$L$377</definedName>
    <definedName function="false" hidden="false" localSheetId="3" name="_16_06_592" vbProcedure="false">'Data Activité Béliers'!$A$1:$L$129</definedName>
    <definedName function="false" hidden="false" localSheetId="3" name="_16_06_593" vbProcedure="false">'Data Activité Béliers'!$A$1:$K$313</definedName>
    <definedName function="false" hidden="false" localSheetId="3" name="_16_06_594" vbProcedure="false">'Data Activité Béliers'!$A$1:$K$377</definedName>
    <definedName function="false" hidden="false" localSheetId="3" name="_16_06_595" vbProcedure="false">'Data Activité Béliers'!$A$1:$K$129</definedName>
    <definedName function="false" hidden="false" localSheetId="3" name="_16_06_596" vbProcedure="false">'Data Activité Béliers'!$A$1:$K$377</definedName>
    <definedName function="false" hidden="false" localSheetId="3" name="_16_06_597" vbProcedure="false">'Data Activité Béliers'!$A$1:$K$377</definedName>
    <definedName function="false" hidden="false" localSheetId="3" name="_16_06_598" vbProcedure="false">'Data Activité Béliers'!$A$1:$K$313</definedName>
    <definedName function="false" hidden="false" localSheetId="3" name="_16_06_599" vbProcedure="false">'Data Activité Béliers'!$A$1:$K$129</definedName>
    <definedName function="false" hidden="false" localSheetId="3" name="_16_06_600" vbProcedure="false">'Data Activité Béliers'!$A$1:$K$313</definedName>
    <definedName function="false" hidden="false" localSheetId="3" name="_16_06_601" vbProcedure="false">'Data Activité Béliers'!$A$1:$K$313</definedName>
    <definedName function="false" hidden="false" localSheetId="3" name="_16_06_602" vbProcedure="false">'Data Activité Béliers'!$A$1:$K$313</definedName>
    <definedName function="false" hidden="false" localSheetId="3" name="_16_06_603" vbProcedure="false">'Data Activité Béliers'!$A$1:$K$129</definedName>
    <definedName function="false" hidden="false" localSheetId="3" name="_16_06_604" vbProcedure="false">'Data Activité Béliers'!$A$1:$K$377</definedName>
    <definedName function="false" hidden="false" localSheetId="3" name="_16_06_605" vbProcedure="false">'Data Activité Béliers'!$A$1:$K$313</definedName>
    <definedName function="false" hidden="false" localSheetId="3" name="_16_06_606" vbProcedure="false">'Data Activité Béliers'!$A$1:$K$313</definedName>
    <definedName function="false" hidden="false" localSheetId="3" name="_16_06_607" vbProcedure="false">'Data Activité Béliers'!$A$1:$K$377</definedName>
    <definedName function="false" hidden="false" localSheetId="3" name="_16_06_608" vbProcedure="false">'Data Activité Béliers'!$A$1:$K$377</definedName>
    <definedName function="false" hidden="false" localSheetId="3" name="_16_06_609" vbProcedure="false">'Data Activité Béliers'!$A$1:$K$377</definedName>
    <definedName function="false" hidden="false" localSheetId="3" name="_16_06_610" vbProcedure="false">'Data Activité Béliers'!$A$1:$K$377</definedName>
    <definedName function="false" hidden="false" localSheetId="3" name="_16_06_611" vbProcedure="false">'Data Activité Béliers'!$A$1:$K$377</definedName>
    <definedName function="false" hidden="false" localSheetId="3" name="_16_06_612" vbProcedure="false">'Data Activité Béliers'!$A$1:$K$377</definedName>
    <definedName function="false" hidden="false" localSheetId="3" name="_16_06_613" vbProcedure="false">'Data Activité Béliers'!$A$1:$K$313</definedName>
    <definedName function="false" hidden="false" localSheetId="3" name="_16_06_614" vbProcedure="false">'Data Activité Béliers'!$A$1:$K$377</definedName>
    <definedName function="false" hidden="false" localSheetId="3" name="_16_06_615" vbProcedure="false">'Data Activité Béliers'!$A$1:$K$313</definedName>
    <definedName function="false" hidden="false" localSheetId="3" name="_16_06_616" vbProcedure="false">'Data Activité Béliers'!$A$1:$K$377</definedName>
    <definedName function="false" hidden="false" localSheetId="3" name="_16_06_617" vbProcedure="false">'Data Activité Béliers'!$A$1:$K$129</definedName>
    <definedName function="false" hidden="false" localSheetId="3" name="_16_06_618" vbProcedure="false">'Data Activité Béliers'!$A$1:$K$129</definedName>
    <definedName function="false" hidden="false" localSheetId="3" name="_16_06_619" vbProcedure="false">'Data Activité Béliers'!$A$1:$K$129</definedName>
    <definedName function="false" hidden="false" localSheetId="3" name="_16_06_620" vbProcedure="false">'Data Activité Béliers'!$A$1:$K$313</definedName>
    <definedName function="false" hidden="false" localSheetId="3" name="_16_06_621" vbProcedure="false">'Data Activité Béliers'!$A$1:$K$377</definedName>
    <definedName function="false" hidden="false" localSheetId="3" name="_16_06_622" vbProcedure="false">'Data Activité Béliers'!$A$1:$K$313</definedName>
    <definedName function="false" hidden="false" localSheetId="3" name="_16_06_623" vbProcedure="false">'Data Activité Béliers'!$A$1:$K$313</definedName>
    <definedName function="false" hidden="false" localSheetId="3" name="_16_06_624" vbProcedure="false">'Data Activité Béliers'!$A$1:$K$377</definedName>
    <definedName function="false" hidden="false" localSheetId="3" name="_16_06_625" vbProcedure="false">'Data Activité Béliers'!$A$1:$K$313</definedName>
    <definedName function="false" hidden="false" localSheetId="3" name="_16_06_626" vbProcedure="false">'Data Activité Béliers'!$A$1:$K$377</definedName>
    <definedName function="false" hidden="false" localSheetId="3" name="_16_06_627" vbProcedure="false">'Data Activité Béliers'!$A$1:$K$377</definedName>
    <definedName function="false" hidden="false" localSheetId="3" name="_16_06_628" vbProcedure="false">'Data Activité Béliers'!$A$1:$K$313</definedName>
    <definedName function="false" hidden="false" localSheetId="3" name="_16_06_629" vbProcedure="false">'Data Activité Béliers'!$A$1:$K$313</definedName>
    <definedName function="false" hidden="false" localSheetId="3" name="_16_06_630" vbProcedure="false">'Data Activité Béliers'!$A$1:$K$129</definedName>
    <definedName function="false" hidden="false" localSheetId="3" name="_16_06_631" vbProcedure="false">'Data Activité Béliers'!$A$1:$K$377</definedName>
    <definedName function="false" hidden="false" localSheetId="3" name="_16_06_632" vbProcedure="false">'Data Activité Béliers'!$A$1:$K$377</definedName>
    <definedName function="false" hidden="false" localSheetId="3" name="_16_06_633" vbProcedure="false">'Data Activité Béliers'!$A$1:$K$371</definedName>
    <definedName function="false" hidden="false" localSheetId="3" name="_16_06_634" vbProcedure="false">'Data Activité Béliers'!$A$1:$K$129</definedName>
    <definedName function="false" hidden="false" localSheetId="3" name="_16_06_635" vbProcedure="false">'Data Activité Béliers'!$A$1:$K$377</definedName>
    <definedName function="false" hidden="false" localSheetId="3" name="_16_06_636" vbProcedure="false">'Data Activité Béliers'!$A$1:$K$371</definedName>
    <definedName function="false" hidden="false" localSheetId="3" name="_16_06_637" vbProcedure="false">'Data Activité Béliers'!$A$1:$L$377</definedName>
    <definedName function="false" hidden="false" localSheetId="3" name="_16_06_638" vbProcedure="false">'Data Activité Béliers'!$A$1:$M$134</definedName>
    <definedName function="false" hidden="false" localSheetId="3" name="_16_06_639" vbProcedure="false">'Data Activité Béliers'!$A$1:$L$313</definedName>
    <definedName function="false" hidden="false" localSheetId="3" name="_16_06_640" vbProcedure="false">'Data Activité Béliers'!$A$1:$M$508</definedName>
    <definedName function="false" hidden="false" localSheetId="3" name="_16_06_641" vbProcedure="false">'Data Activité Béliers'!$A$1:$M$134</definedName>
    <definedName function="false" hidden="false" localSheetId="3" name="_16_06_642" vbProcedure="false">'Data Activité Béliers'!$A$1:$L$313</definedName>
    <definedName function="false" hidden="false" localSheetId="3" name="_16_06_643" vbProcedure="false">'Data Activité Béliers'!$A$1:$K$377</definedName>
    <definedName function="false" hidden="false" localSheetId="3" name="_16_06_644" vbProcedure="false">'Data Activité Béliers'!$A$1:$M$134</definedName>
    <definedName function="false" hidden="false" localSheetId="3" name="_16_06_645" vbProcedure="false">'Data Activité Béliers'!$A$1:$M$508</definedName>
    <definedName function="false" hidden="false" localSheetId="3" name="_16_06_646" vbProcedure="false">'Data Activité Béliers'!$A$1:$M$508</definedName>
    <definedName function="false" hidden="false" localSheetId="3" name="_16_06_647" vbProcedure="false">'Data Activité Béliers'!$A$1:$M$134</definedName>
    <definedName function="false" hidden="false" localSheetId="3" name="_16_06_648" vbProcedure="false">'Data Activité Béliers'!$A$1:$M$620</definedName>
    <definedName function="false" hidden="false" localSheetId="3" name="_16_06_649" vbProcedure="false">'Data Activité Béliers'!$A$1:$L$313</definedName>
    <definedName function="false" hidden="false" localSheetId="3" name="_16_06_650" vbProcedure="false">'Data Activité Béliers'!$A$1:$M$134</definedName>
    <definedName function="false" hidden="false" localSheetId="3" name="_16_06_651" vbProcedure="false">'Data Activité Béliers'!$A$1:$M$620</definedName>
    <definedName function="false" hidden="false" localSheetId="3" name="_16_06_652" vbProcedure="false">'Data Activité Béliers'!$A$1:$L$129</definedName>
    <definedName function="false" hidden="false" localSheetId="3" name="_16_06_653" vbProcedure="false">'Data Activité Béliers'!$A$1:$L$129</definedName>
    <definedName function="false" hidden="false" localSheetId="3" name="_16_06_654" vbProcedure="false">'Data Activité Béliers'!$A$1:$M$508</definedName>
    <definedName function="false" hidden="false" localSheetId="3" name="_16_06_655" vbProcedure="false">'Data Activité Béliers'!$A$1:$L$313</definedName>
    <definedName function="false" hidden="false" localSheetId="3" name="_16_06_656" vbProcedure="false">'Data Activité Béliers'!$A$1:$M$508</definedName>
    <definedName function="false" hidden="false" localSheetId="3" name="_16_06_657" vbProcedure="false">'Data Activité Béliers'!$A$1:$M$620</definedName>
    <definedName function="false" hidden="false" localSheetId="3" name="_16_06_658" vbProcedure="false">'Data Activité Béliers'!$A$1:$L$377</definedName>
    <definedName function="false" hidden="false" localSheetId="3" name="_16_06_659" vbProcedure="false">'Data Activité Béliers'!$A$1:$M$134</definedName>
    <definedName function="false" hidden="false" localSheetId="3" name="_16_06_660" vbProcedure="false">'Data Activité Béliers'!$A$1:$L$313</definedName>
    <definedName function="false" hidden="false" localSheetId="3" name="_16_06_661" vbProcedure="false">'Data Activité Béliers'!$A$1:$L$313</definedName>
    <definedName function="false" hidden="false" localSheetId="3" name="_16_06_662" vbProcedure="false">'Data Activité Béliers'!$A$1:$M$134</definedName>
    <definedName function="false" hidden="false" localSheetId="3" name="_16_06_663" vbProcedure="false">'Data Activité Béliers'!$A$1:$L$377</definedName>
    <definedName function="false" hidden="false" localSheetId="3" name="_16_06_664" vbProcedure="false">'Data Activité Béliers'!$A$1:$M$508</definedName>
    <definedName function="false" hidden="false" localSheetId="3" name="_16_06_665" vbProcedure="false">'Data Activité Béliers'!$A$1:$L$129</definedName>
    <definedName function="false" hidden="false" localSheetId="3" name="_16_06_666" vbProcedure="false">'Data Activité Béliers'!$A$1:$M$508</definedName>
    <definedName function="false" hidden="false" localSheetId="3" name="_16_06_667" vbProcedure="false">'Data Activité Béliers'!$A$1:$M$508</definedName>
    <definedName function="false" hidden="false" localSheetId="3" name="_16_06_668" vbProcedure="false">'Data Activité Béliers'!$A$1:$M$620</definedName>
    <definedName function="false" hidden="false" localSheetId="3" name="_16_06_669" vbProcedure="false">'Data Activité Béliers'!$A$1:$L$377</definedName>
    <definedName function="false" hidden="false" localSheetId="3" name="_16_06_670" vbProcedure="false">'Data Activité Béliers'!$A$1:$L$377</definedName>
    <definedName function="false" hidden="false" localSheetId="3" name="_16_06_671" vbProcedure="false">'Data Activité Béliers'!$A$1:$M$508</definedName>
    <definedName function="false" hidden="false" localSheetId="3" name="_16_06_672" vbProcedure="false">'Data Activité Béliers'!$A$1:$L$313</definedName>
    <definedName function="false" hidden="false" localSheetId="3" name="_16_06_673" vbProcedure="false">'Data Activité Béliers'!$A$1:$M$508</definedName>
    <definedName function="false" hidden="false" localSheetId="3" name="_16_06_674" vbProcedure="false">'Data Activité Béliers'!$A$1:$L$371</definedName>
    <definedName function="false" hidden="false" localSheetId="3" name="_16_06_675" vbProcedure="false">'Data Activité Béliers'!$A$1:$L$377</definedName>
    <definedName function="false" hidden="false" localSheetId="3" name="_16_06_676" vbProcedure="false">'Data Activité Béliers'!$A$1:$K$377</definedName>
    <definedName function="false" hidden="false" localSheetId="3" name="_16_06_677" vbProcedure="false">'Data Activité Béliers'!$A$1:$M$620</definedName>
    <definedName function="false" hidden="false" localSheetId="3" name="_16_06_678" vbProcedure="false">'Data Activité Béliers'!$A$1:$L$313</definedName>
    <definedName function="false" hidden="false" localSheetId="3" name="_16_06_679" vbProcedure="false">'Data Activité Béliers'!$A$1:$M$620</definedName>
    <definedName function="false" hidden="false" localSheetId="3" name="_16_06_680" vbProcedure="false">'Data Activité Béliers'!$A$1:$L$129</definedName>
    <definedName function="false" hidden="false" localSheetId="3" name="_16_06_681" vbProcedure="false">'Data Activité Béliers'!$A$1:$L$129</definedName>
    <definedName function="false" hidden="false" localSheetId="3" name="_16_06_682" vbProcedure="false">'Data Activité Béliers'!$A$1:$M$620</definedName>
    <definedName function="false" hidden="false" localSheetId="3" name="_16_06_683" vbProcedure="false">'Data Activité Béliers'!$A$1:$M$508</definedName>
    <definedName function="false" hidden="false" localSheetId="3" name="_16_06_684" vbProcedure="false">'Data Activité Béliers'!$A$1:$M$508</definedName>
    <definedName function="false" hidden="false" localSheetId="3" name="_16_06_685" vbProcedure="false">'Data Activité Béliers'!$A$1:$L$129</definedName>
    <definedName function="false" hidden="false" localSheetId="3" name="_16_06_686" vbProcedure="false">'Data Activité Béliers'!$A$1:$L$377</definedName>
    <definedName function="false" hidden="false" localSheetId="3" name="_16_06_687" vbProcedure="false">'Data Activité Béliers'!$A$1:$M$134</definedName>
    <definedName function="false" hidden="false" localSheetId="3" name="_16_06_688" vbProcedure="false">'Data Activité Béliers'!$A$1:$M$620</definedName>
    <definedName function="false" hidden="false" localSheetId="3" name="_16_06_689" vbProcedure="false">'Data Activité Béliers'!$A$1:$M$620</definedName>
    <definedName function="false" hidden="false" localSheetId="3" name="_16_06_690" vbProcedure="false">'Data Activité Béliers'!$A$1:$L$313</definedName>
    <definedName function="false" hidden="false" localSheetId="3" name="_16_06_691" vbProcedure="false">'Data Activité Béliers'!$A$1:$M$134</definedName>
    <definedName function="false" hidden="false" localSheetId="3" name="_16_06_692" vbProcedure="false">'Data Activité Béliers'!$A$1:$L$313</definedName>
    <definedName function="false" hidden="false" localSheetId="3" name="_16_06_693" vbProcedure="false">'Data Activité Béliers'!$A$1:$M$620</definedName>
    <definedName function="false" hidden="false" localSheetId="3" name="_16_06_694" vbProcedure="false">'Data Activité Béliers'!$A$1:$M$508</definedName>
    <definedName function="false" hidden="false" localSheetId="3" name="_16_06_695" vbProcedure="false">'Data Activité Béliers'!$A$1:$M$508</definedName>
    <definedName function="false" hidden="false" localSheetId="3" name="_16_06_696" vbProcedure="false">'Data Activité Béliers'!$A$1:$L$129</definedName>
    <definedName function="false" hidden="false" localSheetId="3" name="_16_06_697" vbProcedure="false">'Data Activité Béliers'!$A$1:$L$313</definedName>
    <definedName function="false" hidden="false" localSheetId="3" name="_16_06_698" vbProcedure="false">'Data Activité Béliers'!$A$1:$L$377</definedName>
    <definedName function="false" hidden="false" localSheetId="3" name="_16_06_699" vbProcedure="false">'Data Activité Béliers'!$A$1:$L$313</definedName>
    <definedName function="false" hidden="false" localSheetId="3" name="_16_06_700" vbProcedure="false">'Data Activité Béliers'!$A$1:$L$377</definedName>
    <definedName function="false" hidden="false" localSheetId="3" name="_16_06_701" vbProcedure="false">'Data Activité Béliers'!$A$1:$L$377</definedName>
    <definedName function="false" hidden="false" localSheetId="3" name="_16_06_702" vbProcedure="false">'Data Activité Béliers'!$A$1:$M$620</definedName>
    <definedName function="false" hidden="false" localSheetId="3" name="_16_06_703" vbProcedure="false">'Data Activité Béliers'!$A$1:$L$377</definedName>
    <definedName function="false" hidden="false" localSheetId="3" name="_16_06_704" vbProcedure="false">'Data Activité Béliers'!$A$1:$M$620</definedName>
    <definedName function="false" hidden="false" localSheetId="3" name="_16_06_705" vbProcedure="false">'Data Activité Béliers'!$A$1:$L$377</definedName>
    <definedName function="false" hidden="false" localSheetId="3" name="_16_06_706" vbProcedure="false">'Data Activité Béliers'!$A$1:$L$377</definedName>
    <definedName function="false" hidden="false" localSheetId="3" name="_16_06_707" vbProcedure="false">'Data Activité Béliers'!$A$1:$M$134</definedName>
    <definedName function="false" hidden="false" localSheetId="3" name="_16_06_708" vbProcedure="false">'Data Activité Béliers'!$A$1:$L$313</definedName>
    <definedName function="false" hidden="false" localSheetId="3" name="_16_06_709" vbProcedure="false">'Data Activité Béliers'!$A$1:$M$508</definedName>
    <definedName function="false" hidden="false" localSheetId="3" name="_16_06_710" vbProcedure="false">'Data Activité Béliers'!$A$1:$M$620</definedName>
    <definedName function="false" hidden="false" localSheetId="3" name="_16_06_711" vbProcedure="false">'Data Activité Béliers'!$A$1:$L$313</definedName>
    <definedName function="false" hidden="false" localSheetId="3" name="_16_06_712" vbProcedure="false">'Data Activité Béliers'!$A$1:$L$129</definedName>
    <definedName function="false" hidden="false" localSheetId="3" name="_16_06_713" vbProcedure="false">'Data Activité Béliers'!$A$1:$L$129</definedName>
    <definedName function="false" hidden="false" localSheetId="3" name="_16_06_714" vbProcedure="false">'Data Activité Béliers'!$A$1:$L$313</definedName>
    <definedName function="false" hidden="false" localSheetId="3" name="_16_06_715" vbProcedure="false">'Data Activité Béliers'!$A$1:$L$377</definedName>
    <definedName function="false" hidden="false" localSheetId="3" name="_16_06_716" vbProcedure="false">'Data Activité Béliers'!$A$1:$M$508</definedName>
    <definedName function="false" hidden="false" localSheetId="3" name="_16_06_717" vbProcedure="false">'Data Activité Béliers'!$A$1:$M$134</definedName>
    <definedName function="false" hidden="false" localSheetId="3" name="_16_06_718" vbProcedure="false">'Data Activité Béliers'!$A$1:$L$313</definedName>
    <definedName function="false" hidden="false" localSheetId="3" name="_16_06_719" vbProcedure="false">'Data Activité Béliers'!$A$1:$L$313</definedName>
    <definedName function="false" hidden="false" localSheetId="3" name="_16_06_720" vbProcedure="false">'Data Activité Béliers'!$A$1:$M$620</definedName>
    <definedName function="false" hidden="false" localSheetId="3" name="_16_06_721" vbProcedure="false">'Data Activité Béliers'!$A$1:$L$313</definedName>
    <definedName function="false" hidden="false" localSheetId="3" name="_16_06_722" vbProcedure="false">'Data Activité Béliers'!$A$1:$L$129</definedName>
    <definedName function="false" hidden="false" localSheetId="3" name="_16_06_723" vbProcedure="false">'Data Activité Béliers'!$A$1:$L$129</definedName>
    <definedName function="false" hidden="false" localSheetId="3" name="_16_06_724" vbProcedure="false">'Data Activité Béliers'!$A$1:$M$620</definedName>
    <definedName function="false" hidden="false" localSheetId="3" name="_16_06_725" vbProcedure="false">'Data Activité Béliers'!$A$1:$L$129</definedName>
    <definedName function="false" hidden="false" localSheetId="3" name="_16_06_726" vbProcedure="false">'Data Activité Béliers'!$A$1:$L$377</definedName>
    <definedName function="false" hidden="false" localSheetId="3" name="_16_06_727" vbProcedure="false">'Data Activité Béliers'!$A$1:$L$377</definedName>
    <definedName function="false" hidden="false" localSheetId="3" name="_16_06_728" vbProcedure="false">'Data Activité Béliers'!$A$1:$L$313</definedName>
    <definedName function="false" hidden="false" localSheetId="3" name="_16_06_729" vbProcedure="false">'Data Activité Béliers'!$A$1:$L$313</definedName>
    <definedName function="false" hidden="false" localSheetId="3" name="_16_06_730" vbProcedure="false">'Data Activité Béliers'!$A$1:$M$134</definedName>
    <definedName function="false" hidden="false" localSheetId="3" name="_16_06_731" vbProcedure="false">'Data Activité Béliers'!$A$1:$M$134</definedName>
    <definedName function="false" hidden="false" localSheetId="3" name="_16_06_732" vbProcedure="false">'Data Activité Béliers'!$A$1:$M$134</definedName>
    <definedName function="false" hidden="false" localSheetId="3" name="_16_06_733" vbProcedure="false">'Data Activité Béliers'!$A$1:$M$620</definedName>
    <definedName function="false" hidden="false" localSheetId="3" name="_16_06_734" vbProcedure="false">'Data Activité Béliers'!$A$1:$L$129</definedName>
    <definedName function="false" hidden="false" localSheetId="3" name="_16_06_735" vbProcedure="false">'Data Activité Béliers'!$A$1:$L$377</definedName>
    <definedName function="false" hidden="false" localSheetId="3" name="_16_06_736" vbProcedure="false">'Data Activité Béliers'!$A$1:$K$129</definedName>
    <definedName function="false" hidden="false" localSheetId="3" name="_16_06_737" vbProcedure="false">'Data Activité Béliers'!$A$1:$M$134</definedName>
    <definedName function="false" hidden="false" localSheetId="3" name="_16_06_738" vbProcedure="false">'Data Activité Béliers'!$A$1:$L$377</definedName>
    <definedName function="false" hidden="false" localSheetId="3" name="_16_06_739" vbProcedure="false">'Data Activité Béliers'!$A$1:$M$134</definedName>
    <definedName function="false" hidden="false" localSheetId="3" name="_16_06_740" vbProcedure="false">'Data Activité Béliers'!$A$1:$M$508</definedName>
    <definedName function="false" hidden="false" localSheetId="3" name="_16_06_741" vbProcedure="false">'Data Activité Béliers'!$A$1:$L$313</definedName>
    <definedName function="false" hidden="false" localSheetId="3" name="_16_06_742" vbProcedure="false">'Data Activité Béliers'!$A$1:$L$377</definedName>
    <definedName function="false" hidden="false" localSheetId="3" name="_16_06_743" vbProcedure="false">'Data Activité Béliers'!$A$1:$L$377</definedName>
    <definedName function="false" hidden="false" localSheetId="3" name="_16_06_744" vbProcedure="false">'Data Activité Béliers'!$A$1:$M$134</definedName>
    <definedName function="false" hidden="false" localSheetId="3" name="_16_06_745" vbProcedure="false">'Data Activité Béliers'!$A$1:$L$377</definedName>
    <definedName function="false" hidden="false" localSheetId="3" name="_16_06_746" vbProcedure="false">'Data Activité Béliers'!$A$1:$L$371</definedName>
    <definedName function="false" hidden="false" localSheetId="3" name="_16_06_747" vbProcedure="false">'Data Activité Béliers'!$A$1:$L$377</definedName>
    <definedName function="false" hidden="false" localSheetId="3" name="_16_06_748" vbProcedure="false">'Data Activité Béliers'!$A$1:$M$508</definedName>
    <definedName function="false" hidden="false" localSheetId="3" name="_16_06_749" vbProcedure="false">'Data Activité Béliers'!$A$1:$L$377</definedName>
    <definedName function="false" hidden="false" localSheetId="3" name="_16_06_750" vbProcedure="false">'Data Activité Béliers'!$A$1:$M$620</definedName>
    <definedName function="false" hidden="false" localSheetId="3" name="_16_06_751" vbProcedure="false">'Data Activité Béliers'!$A$1:$M$508</definedName>
    <definedName function="false" hidden="false" localSheetId="3" name="_16_06_752" vbProcedure="false">'Data Activité Béliers'!$A$1:$L$313</definedName>
    <definedName function="false" hidden="false" localSheetId="3" name="_16_06_753" vbProcedure="false">'Data Activité Béliers'!$A$1:$M$134</definedName>
    <definedName function="false" hidden="false" localSheetId="3" name="_16_06_754" vbProcedure="false">'Data Activité Béliers'!$A$1:$M$620</definedName>
    <definedName function="false" hidden="false" localSheetId="3" name="_16_06_755" vbProcedure="false">'Data Activité Béliers'!$A$1:$L$377</definedName>
    <definedName function="false" hidden="false" localSheetId="3" name="_16_06_756" vbProcedure="false">'Data Activité Béliers'!$A$1:$M$508</definedName>
    <definedName function="false" hidden="false" localSheetId="3" name="_16_06_757" vbProcedure="false">'Data Activité Béliers'!$A$1:$M$508</definedName>
    <definedName function="false" hidden="false" localSheetId="3" name="_16_06_758" vbProcedure="false">'Data Activité Béliers'!$A$1:$L$377</definedName>
    <definedName function="false" hidden="false" localSheetId="3" name="_16_06_759" vbProcedure="false">'Data Activité Béliers'!$A$1:$M$134</definedName>
    <definedName function="false" hidden="false" localSheetId="3" name="_16_06_760" vbProcedure="false">'Data Activité Béliers'!$A$1:$M$620</definedName>
    <definedName function="false" hidden="false" localSheetId="3" name="_16_06_761" vbProcedure="false">'Data Activité Béliers'!$A$1:$M$620</definedName>
    <definedName function="false" hidden="false" localSheetId="3" name="_16_06_762" vbProcedure="false">'Data Activité Béliers'!$A$1:$M$134</definedName>
    <definedName function="false" hidden="false" localSheetId="3" name="_16_06_763" vbProcedure="false">'Data Activité Béliers'!$A$1:$L$377</definedName>
    <definedName function="false" hidden="false" localSheetId="3" name="_16_06_764" vbProcedure="false">'Data Activité Béliers'!$A$1:$M$134</definedName>
    <definedName function="false" hidden="false" localSheetId="3" name="_16_06_765" vbProcedure="false">'Data Activité Béliers'!$A$1:$L$313</definedName>
    <definedName function="false" hidden="false" localSheetId="3" name="_16_06_766" vbProcedure="false">'Data Activité Béliers'!$A$1:$M$134</definedName>
    <definedName function="false" hidden="false" localSheetId="3" name="_16_06_767" vbProcedure="false">'Data Activité Béliers'!$A$1:$L$313</definedName>
    <definedName function="false" hidden="false" localSheetId="3" name="_16_06_768" vbProcedure="false">'Data Activité Béliers'!$A$1:$L$129</definedName>
    <definedName function="false" hidden="false" localSheetId="3" name="_16_06_769" vbProcedure="false">'Data Activité Béliers'!$A$1:$M$620</definedName>
    <definedName function="false" hidden="false" localSheetId="3" name="_16_06_770" vbProcedure="false">'Data Activité Béliers'!$A$1:$L$129</definedName>
    <definedName function="false" hidden="false" localSheetId="3" name="_16_06_771" vbProcedure="false">'Data Activité Béliers'!$A$1:$L$313</definedName>
    <definedName function="false" hidden="false" localSheetId="3" name="_16_06_772" vbProcedure="false">'Data Activité Béliers'!$A$1:$L$313</definedName>
    <definedName function="false" hidden="false" localSheetId="3" name="_16_06_773" vbProcedure="false">'Data Activité Béliers'!$A$1:$L$377</definedName>
    <definedName function="false" hidden="false" localSheetId="3" name="_16_06_774" vbProcedure="false">'Data Activité Béliers'!$A$1:$L$377</definedName>
    <definedName function="false" hidden="false" localSheetId="3" name="_16_06_775" vbProcedure="false">'Data Activité Béliers'!$A$1:$L$377</definedName>
    <definedName function="false" hidden="false" localSheetId="3" name="_16_06_776" vbProcedure="false">'Data Activité Béliers'!$A$1:$M$620</definedName>
    <definedName function="false" hidden="false" localSheetId="3" name="_16_06_777" vbProcedure="false">'Data Activité Béliers'!$A$1:$M$620</definedName>
    <definedName function="false" hidden="false" localSheetId="3" name="_16_06_778" vbProcedure="false">'Data Activité Béliers'!$A$1:$M$134</definedName>
    <definedName function="false" hidden="false" localSheetId="3" name="_16_06_779" vbProcedure="false">'Data Activité Béliers'!$A$1:$M$620</definedName>
    <definedName function="false" hidden="false" localSheetId="3" name="_16_06_780" vbProcedure="false">'Data Activité Béliers'!$A$1:$M$508</definedName>
    <definedName function="false" hidden="false" localSheetId="3" name="_16_06_781" vbProcedure="false">'Data Activité Béliers'!$A$1:$M$508</definedName>
    <definedName function="false" hidden="false" localSheetId="3" name="_16_06_782" vbProcedure="false">'Data Activité Béliers'!$A$1:$L$313</definedName>
    <definedName function="false" hidden="false" localSheetId="3" name="_16_06_783" vbProcedure="false">'Data Activité Béliers'!$A$1:$K$377</definedName>
    <definedName function="false" hidden="false" localSheetId="3" name="_16_06_784" vbProcedure="false">'Data Activité Béliers'!$A$1:$L$129</definedName>
    <definedName function="false" hidden="false" localSheetId="3" name="_16_06_785" vbProcedure="false">'Data Activité Béliers'!$A$1:$M$620</definedName>
    <definedName function="false" hidden="false" localSheetId="3" name="_16_06_786" vbProcedure="false">'Data Activité Béliers'!$A$1:$L$313</definedName>
    <definedName function="false" hidden="false" localSheetId="3" name="_16_06_787" vbProcedure="false">'Data Activité Béliers'!$A$1:$L$129</definedName>
    <definedName function="false" hidden="false" localSheetId="3" name="_16_06_788" vbProcedure="false">'Data Activité Béliers'!$A$1:$L$377</definedName>
    <definedName function="false" hidden="false" localSheetId="3" name="_16_06_789" vbProcedure="false">'Data Activité Béliers'!$A$1:$M$620</definedName>
    <definedName function="false" hidden="false" localSheetId="3" name="_16_06_790" vbProcedure="false">'Data Activité Béliers'!$A$1:$L$377</definedName>
    <definedName function="false" hidden="false" localSheetId="3" name="_16_06_791" vbProcedure="false">'Data Activité Béliers'!$A$1:$L$313</definedName>
    <definedName function="false" hidden="false" localSheetId="3" name="_16_06_792" vbProcedure="false">'Data Activité Béliers'!$A$1:$L$377</definedName>
    <definedName function="false" hidden="false" localSheetId="3" name="_16_06_793" vbProcedure="false">'Data Activité Béliers'!$A$1:$M$620</definedName>
    <definedName function="false" hidden="false" localSheetId="3" name="_16_06_794" vbProcedure="false">'Data Activité Béliers'!$A$1:$L$377</definedName>
    <definedName function="false" hidden="false" localSheetId="3" name="_16_06_795" vbProcedure="false">'Data Activité Béliers'!$A$1:$M$508</definedName>
    <definedName function="false" hidden="false" localSheetId="3" name="_16_06_796" vbProcedure="false">'Data Activité Béliers'!$A$1:$L$129</definedName>
    <definedName function="false" hidden="false" localSheetId="3" name="_16_06_797" vbProcedure="false">'Data Activité Béliers'!$A$1:$L$377</definedName>
    <definedName function="false" hidden="false" localSheetId="3" name="_16_06_798" vbProcedure="false">'Data Activité Béliers'!$A$1:$K$313</definedName>
    <definedName function="false" hidden="false" localSheetId="3" name="_16_06_799" vbProcedure="false">'Data Activité Béliers'!$A$1:$M$508</definedName>
    <definedName function="false" hidden="false" localSheetId="3" name="_16_06_800" vbProcedure="false">'Data Activité Béliers'!$A$1:$L$377</definedName>
    <definedName function="false" hidden="false" localSheetId="3" name="_16_06_801" vbProcedure="false">'Data Activité Béliers'!$A$1:$L$377</definedName>
    <definedName function="false" hidden="false" localSheetId="3" name="_16_06_802" vbProcedure="false">'Data Activité Béliers'!$A$1:$K$313</definedName>
    <definedName function="false" hidden="false" localSheetId="3" name="_16_06_803" vbProcedure="false">'Data Activité Béliers'!$A$1:$M$508</definedName>
    <definedName function="false" hidden="false" localSheetId="3" name="_16_06_804" vbProcedure="false">'Data Activité Béliers'!$A$1:$K$377</definedName>
    <definedName function="false" hidden="false" localSheetId="3" name="_16_06_805" vbProcedure="false">'Data Activité Béliers'!$A$1:$M$620</definedName>
    <definedName function="false" hidden="false" localSheetId="3" name="_16_06_806" vbProcedure="false">'Data Activité Béliers'!$A$1:$M$620</definedName>
    <definedName function="false" hidden="false" localSheetId="3" name="_16_06_807" vbProcedure="false">'Data Activité Béliers'!$A$1:$L$129</definedName>
    <definedName function="false" hidden="false" localSheetId="3" name="_16_06_808" vbProcedure="false">'Data Activité Béliers'!$A$1:$L$313</definedName>
    <definedName function="false" hidden="false" localSheetId="3" name="_16_06_809" vbProcedure="false">'Data Activité Béliers'!$A$1:$M$134</definedName>
    <definedName function="false" hidden="false" localSheetId="3" name="_16_06_810" vbProcedure="false">'Data Activité Béliers'!$A$1:$M$134</definedName>
    <definedName function="false" hidden="false" localSheetId="3" name="_16_06_811" vbProcedure="false">'Data Activité Béliers'!$A$1:$L$377</definedName>
    <definedName function="false" hidden="false" localSheetId="3" name="_16_06_812" vbProcedure="false">'Data Activité Béliers'!$A$1:$L$377</definedName>
    <definedName function="false" hidden="false" localSheetId="3" name="_16_06_813" vbProcedure="false">'Data Activité Béliers'!$A$1:$L$377</definedName>
    <definedName function="false" hidden="false" localSheetId="3" name="_16_06_814" vbProcedure="false">'Data Activité Béliers'!$A$1:$L$377</definedName>
    <definedName function="false" hidden="false" localSheetId="3" name="_16_06_815" vbProcedure="false">'Data Activité Béliers'!$A$1:$L$129</definedName>
    <definedName function="false" hidden="false" localSheetId="3" name="_16_06_816" vbProcedure="false">'Data Activité Béliers'!$A$1:$L$129</definedName>
    <definedName function="false" hidden="false" localSheetId="3" name="_16_06_817" vbProcedure="false">'Data Activité Béliers'!$A$1:$L$377</definedName>
    <definedName function="false" hidden="false" localSheetId="3" name="_16_06_818" vbProcedure="false">'Data Activité Béliers'!$A$1:$L$129</definedName>
    <definedName function="false" hidden="false" localSheetId="3" name="_16_06_819" vbProcedure="false">'Data Activité Béliers'!$A$1:$M$620</definedName>
    <definedName function="false" hidden="false" localSheetId="3" name="_16_06_820" vbProcedure="false">'Data Activité Béliers'!$A$1:$M$508</definedName>
    <definedName function="false" hidden="false" localSheetId="3" name="_16_06_821" vbProcedure="false">'Data Activité Béliers'!$A$1:$M$134</definedName>
    <definedName function="false" hidden="false" localSheetId="3" name="_16_06_822" vbProcedure="false">'Data Activité Béliers'!$A$1:$K$313</definedName>
    <definedName function="false" hidden="false" localSheetId="3" name="_16_06_823" vbProcedure="false">'Data Activité Béliers'!$A$1:$M$508</definedName>
    <definedName function="false" hidden="false" localSheetId="3" name="_16_06_824" vbProcedure="false">'Data Activité Béliers'!$A$1:$L$313</definedName>
    <definedName function="false" hidden="false" localSheetId="3" name="_16_06_825" vbProcedure="false">'Data Activité Béliers'!$A$1:$M$134</definedName>
    <definedName function="false" hidden="false" localSheetId="3" name="_16_06_826" vbProcedure="false">'Data Activité Béliers'!$A$1:$M$620</definedName>
    <definedName function="false" hidden="false" localSheetId="3" name="_16_06_827" vbProcedure="false">'Data Activité Béliers'!$A$1:$M$508</definedName>
    <definedName function="false" hidden="false" localSheetId="3" name="_16_06_828" vbProcedure="false">'Data Activité Béliers'!$A$1:$L$129</definedName>
    <definedName function="false" hidden="false" localSheetId="3" name="_16_06_829" vbProcedure="false">'Data Activité Béliers'!$A$1:$M$508</definedName>
    <definedName function="false" hidden="false" localSheetId="3" name="_16_06_830" vbProcedure="false">'Data Activité Béliers'!$A$1:$L$371</definedName>
    <definedName function="false" hidden="false" localSheetId="3" name="_16_06_831" vbProcedure="false">'Data Activité Béliers'!$A$1:$M$508</definedName>
    <definedName function="false" hidden="false" localSheetId="3" name="_16_06_832" vbProcedure="false">'Data Activité Béliers'!$A$1:$L$313</definedName>
    <definedName function="false" hidden="false" localSheetId="3" name="_16_06_833" vbProcedure="false">'Data Activité Béliers'!$A$1:$M$508</definedName>
    <definedName function="false" hidden="false" localSheetId="3" name="_16_06_834" vbProcedure="false">'Data Activité Béliers'!$A$1:$K$129</definedName>
    <definedName function="false" hidden="false" localSheetId="3" name="_16_06_835" vbProcedure="false">'Data Activité Béliers'!$A$1:$L$129</definedName>
    <definedName function="false" hidden="false" localSheetId="3" name="_16_06_836" vbProcedure="false">'Data Activité Béliers'!$A$1:$L$313</definedName>
    <definedName function="false" hidden="false" localSheetId="3" name="_16_06_837" vbProcedure="false">'Data Activité Béliers'!$A$1:$K$377</definedName>
    <definedName function="false" hidden="false" localSheetId="3" name="_16_06_838" vbProcedure="false">'Data Activité Béliers'!$A$1:$M$134</definedName>
    <definedName function="false" hidden="false" localSheetId="3" name="_16_06_839" vbProcedure="false">'Data Activité Béliers'!$A$1:$M$508</definedName>
    <definedName function="false" hidden="false" localSheetId="3" name="_16_06_840" vbProcedure="false">'Data Activité Béliers'!$A$1:$M$620</definedName>
    <definedName function="false" hidden="false" localSheetId="3" name="_16_06_841" vbProcedure="false">'Data Activité Béliers'!$A$1:$L$313</definedName>
    <definedName function="false" hidden="false" localSheetId="3" name="_16_06_842" vbProcedure="false">'Data Activité Béliers'!$A$1:$L$313</definedName>
    <definedName function="false" hidden="false" localSheetId="3" name="_16_06_843" vbProcedure="false">'Data Activité Béliers'!$A$1:$M$508</definedName>
    <definedName function="false" hidden="false" localSheetId="3" name="_16_06_844" vbProcedure="false">'Data Activité Béliers'!$A$1:$L$313</definedName>
    <definedName function="false" hidden="false" localSheetId="3" name="_16_06_845" vbProcedure="false">'Data Activité Béliers'!$A$1:$M$620</definedName>
    <definedName function="false" hidden="false" localSheetId="3" name="_16_06_846" vbProcedure="false">'Data Activité Béliers'!$A$1:$L$313</definedName>
    <definedName function="false" hidden="false" localSheetId="3" name="_16_06_847" vbProcedure="false">'Data Activité Béliers'!$A$1:$L$377</definedName>
    <definedName function="false" hidden="false" localSheetId="3" name="_16_06_848" vbProcedure="false">'Data Activité Béliers'!$A$1:$K$313</definedName>
    <definedName function="false" hidden="false" localSheetId="3" name="_16_06_849" vbProcedure="false">'Data Activité Béliers'!$A$1:$M$614</definedName>
    <definedName function="false" hidden="false" localSheetId="3" name="_16_06_850" vbProcedure="false">'Data Activité Béliers'!$A$1:$M$620</definedName>
    <definedName function="false" hidden="false" localSheetId="3" name="_16_06_851" vbProcedure="false">'Data Activité Béliers'!$A$1:$M$620</definedName>
    <definedName function="false" hidden="false" localSheetId="3" name="_16_06_852" vbProcedure="false">'Data Activité Béliers'!$A$1:$L$129</definedName>
    <definedName function="false" hidden="false" localSheetId="3" name="_16_06_853" vbProcedure="false">'Data Activité Béliers'!$A$1:$M$620</definedName>
    <definedName function="false" hidden="false" localSheetId="3" name="_16_06_854" vbProcedure="false">'Data Activité Béliers'!$A$1:$K$377</definedName>
    <definedName function="false" hidden="false" localSheetId="3" name="_16_06_855" vbProcedure="false">'Data Activité Béliers'!$A$1:$L$377</definedName>
    <definedName function="false" hidden="false" localSheetId="3" name="_16_06_856" vbProcedure="false">'Data Activité Béliers'!$A$1:$L$313</definedName>
    <definedName function="false" hidden="false" localSheetId="3" name="_16_06_857" vbProcedure="false">'Data Activité Béliers'!$A$1:$K$313</definedName>
    <definedName function="false" hidden="false" localSheetId="3" name="_16_06_858" vbProcedure="false">'Data Activité Béliers'!$A$1:$K$129</definedName>
    <definedName function="false" hidden="false" localSheetId="3" name="_16_06_859" vbProcedure="false">'Data Activité Béliers'!$A$1:$M$620</definedName>
    <definedName function="false" hidden="false" localSheetId="3" name="_16_06_860" vbProcedure="false">'Data Activité Béliers'!$A$1:$L$313</definedName>
    <definedName function="false" hidden="false" localSheetId="3" name="_16_06_861" vbProcedure="false">'Data Activité Béliers'!$A$1:$M$508</definedName>
    <definedName function="false" hidden="false" localSheetId="3" name="_16_06_862" vbProcedure="false">'Data Activité Béliers'!$A$1:$M$620</definedName>
    <definedName function="false" hidden="false" localSheetId="3" name="_16_06_863" vbProcedure="false">'Data Activité Béliers'!$A$1:$L$313</definedName>
    <definedName function="false" hidden="false" localSheetId="3" name="_16_06_864" vbProcedure="false">'Data Activité Béliers'!$A$1:$L$129</definedName>
    <definedName function="false" hidden="false" localSheetId="3" name="_16_06_865" vbProcedure="false">'Data Activité Béliers'!$A$1:$K$313</definedName>
    <definedName function="false" hidden="false" localSheetId="3" name="_16_06_866" vbProcedure="false">'Data Activité Béliers'!$A$1:$L$377</definedName>
    <definedName function="false" hidden="false" localSheetId="3" name="_16_06_867" vbProcedure="false">'Data Activité Béliers'!$A$1:$M$134</definedName>
    <definedName function="false" hidden="false" localSheetId="3" name="_16_06_868" vbProcedure="false">'Data Activité Béliers'!$A$1:$M$508</definedName>
    <definedName function="false" hidden="false" localSheetId="3" name="_16_06_869" vbProcedure="false">'Data Activité Béliers'!$A$1:$M$508</definedName>
    <definedName function="false" hidden="false" localSheetId="3" name="_16_06_870" vbProcedure="false">'Data Activité Béliers'!$A$1:$M$134</definedName>
    <definedName function="false" hidden="false" localSheetId="3" name="_16_06_871" vbProcedure="false">'Data Activité Béliers'!$A$1:$M$134</definedName>
    <definedName function="false" hidden="false" localSheetId="3" name="_16_06_872" vbProcedure="false">'Data Activité Béliers'!$A$1:$L$377</definedName>
    <definedName function="false" hidden="false" localSheetId="3" name="_16_06_873" vbProcedure="false">'Data Activité Béliers'!$A$1:$M$508</definedName>
    <definedName function="false" hidden="false" localSheetId="3" name="_16_06_874" vbProcedure="false">'Data Activité Béliers'!$A$1:$M$620</definedName>
    <definedName function="false" hidden="false" localSheetId="3" name="_16_06_875" vbProcedure="false">'Data Activité Béliers'!$A$1:$M$508</definedName>
    <definedName function="false" hidden="false" localSheetId="3" name="_16_06_876" vbProcedure="false">'Data Activité Béliers'!$A$1:$M$620</definedName>
    <definedName function="false" hidden="false" localSheetId="3" name="_16_06_877" vbProcedure="false">'Data Activité Béliers'!$A$1:$L$313</definedName>
    <definedName function="false" hidden="false" localSheetId="3" name="_16_06_878" vbProcedure="false">'Data Activité Béliers'!$A$1:$L$377</definedName>
    <definedName function="false" hidden="false" localSheetId="3" name="_16_06_879" vbProcedure="false">'Data Activité Béliers'!$A$1:$M$508</definedName>
    <definedName function="false" hidden="false" localSheetId="3" name="_16_06_880" vbProcedure="false">'Data Activité Béliers'!$A$1:$L$129</definedName>
    <definedName function="false" hidden="false" localSheetId="3" name="_16_06_881" vbProcedure="false">'Data Activité Béliers'!$A$1:$K$377</definedName>
    <definedName function="false" hidden="false" localSheetId="3" name="_16_06_882" vbProcedure="false">'Data Activité Béliers'!$A$1:$M$508</definedName>
    <definedName function="false" hidden="false" localSheetId="3" name="_16_06_883" vbProcedure="false">'Data Activité Béliers'!$A$1:$L$377</definedName>
    <definedName function="false" hidden="false" localSheetId="3" name="_16_06_884" vbProcedure="false">'Data Activité Béliers'!$A$1:$L$377</definedName>
    <definedName function="false" hidden="false" localSheetId="3" name="_16_06_885" vbProcedure="false">'Data Activité Béliers'!$A$1:$K$129</definedName>
    <definedName function="false" hidden="false" localSheetId="3" name="_16_06_886" vbProcedure="false">'Data Activité Béliers'!$A$1:$L$129</definedName>
    <definedName function="false" hidden="false" localSheetId="3" name="_16_06_887" vbProcedure="false">'Data Activité Béliers'!$A$1:$M$620</definedName>
    <definedName function="false" hidden="false" localSheetId="3" name="_16_06_888" vbProcedure="false">'Data Activité Béliers'!$A$1:$K$313</definedName>
    <definedName function="false" hidden="false" localSheetId="3" name="_16_06_889" vbProcedure="false">'Data Activité Béliers'!$A$1:$M$134</definedName>
    <definedName function="false" hidden="false" localSheetId="3" name="_16_06_890" vbProcedure="false">'Data Activité Béliers'!$A$1:$L$313</definedName>
    <definedName function="false" hidden="false" localSheetId="3" name="_16_06_891" vbProcedure="false">'Data Activité Béliers'!$A$1:$M$134</definedName>
    <definedName function="false" hidden="false" localSheetId="3" name="_16_06_892" vbProcedure="false">'Data Activité Béliers'!$A$1:$L$377</definedName>
    <definedName function="false" hidden="false" localSheetId="3" name="_16_06_893" vbProcedure="false">'Data Activité Béliers'!$A$1:$M$134</definedName>
    <definedName function="false" hidden="false" localSheetId="3" name="_16_06_894" vbProcedure="false">'Data Activité Béliers'!$A$1:$M$620</definedName>
    <definedName function="false" hidden="false" localSheetId="3" name="_16_06_895" vbProcedure="false">'Data Activité Béliers'!$A$1:$L$129</definedName>
    <definedName function="false" hidden="false" localSheetId="3" name="_16_06_896" vbProcedure="false">'Data Activité Béliers'!$A$1:$M$508</definedName>
    <definedName function="false" hidden="false" localSheetId="3" name="_16_06_897" vbProcedure="false">'Data Activité Béliers'!$A$1:$M$620</definedName>
    <definedName function="false" hidden="false" localSheetId="3" name="_16_06_898" vbProcedure="false">'Data Activité Béliers'!$A$1:$L$129</definedName>
    <definedName function="false" hidden="false" localSheetId="3" name="_16_06_899" vbProcedure="false">'Data Activité Béliers'!$A$1:$M$134</definedName>
    <definedName function="false" hidden="false" localSheetId="3" name="_16_06_900" vbProcedure="false">'Data Activité Béliers'!$A$1:$M$134</definedName>
    <definedName function="false" hidden="false" localSheetId="3" name="_16_06_901" vbProcedure="false">'Data Activité Béliers'!$A$1:$M$620</definedName>
    <definedName function="false" hidden="false" localSheetId="3" name="_16_06_902" vbProcedure="false">'Data Activité Béliers'!$A$1:$M$508</definedName>
    <definedName function="false" hidden="false" localSheetId="3" name="_16_06_903" vbProcedure="false">'Data Activité Béliers'!$A$1:$M$134</definedName>
    <definedName function="false" hidden="false" localSheetId="3" name="_16_06_904" vbProcedure="false">'Data Activité Béliers'!$A$1:$K$377</definedName>
    <definedName function="false" hidden="false" localSheetId="3" name="_16_06_905" vbProcedure="false">'Data Activité Béliers'!$A$1:$M$620</definedName>
    <definedName function="false" hidden="false" localSheetId="3" name="_16_06_906" vbProcedure="false">'Data Activité Béliers'!$A$1:$M$620</definedName>
    <definedName function="false" hidden="false" localSheetId="3" name="_16_06_907" vbProcedure="false">'Data Activité Béliers'!$A$1:$L$313</definedName>
    <definedName function="false" hidden="false" localSheetId="3" name="_16_06_908" vbProcedure="false">'Data Activité Béliers'!$A$1:$L$129</definedName>
    <definedName function="false" hidden="false" localSheetId="3" name="_16_06_909" vbProcedure="false">'Data Activité Béliers'!$A$1:$L$129</definedName>
    <definedName function="false" hidden="false" localSheetId="3" name="_16_06_910" vbProcedure="false">'Data Activité Béliers'!$A$1:$M$614</definedName>
    <definedName function="false" hidden="false" localSheetId="3" name="_16_06_911" vbProcedure="false">'Data Activité Béliers'!$A$1:$L$129</definedName>
    <definedName function="false" hidden="false" localSheetId="3" name="_16_06_912" vbProcedure="false">'Data Activité Béliers'!$A$1:$L$377</definedName>
    <definedName function="false" hidden="false" localSheetId="3" name="_16_06_913" vbProcedure="false">'Data Activité Béliers'!$A$1:$L$313</definedName>
    <definedName function="false" hidden="false" localSheetId="3" name="_16_06_914" vbProcedure="false">'Data Activité Béliers'!$A$1:$L$129</definedName>
    <definedName function="false" hidden="false" localSheetId="3" name="_16_06_915" vbProcedure="false">'Data Activité Béliers'!$A$1:$K$377</definedName>
    <definedName function="false" hidden="false" localSheetId="3" name="_16_06_916" vbProcedure="false">'Data Activité Béliers'!$A$1:$M$620</definedName>
    <definedName function="false" hidden="false" localSheetId="3" name="_16_06_917" vbProcedure="false">'Data Activité Béliers'!$A$1:$M$620</definedName>
    <definedName function="false" hidden="false" localSheetId="3" name="_16_06_918" vbProcedure="false">'Data Activité Béliers'!$A$1:$K$129</definedName>
    <definedName function="false" hidden="false" localSheetId="3" name="_16_06_919" vbProcedure="false">'Data Activité Béliers'!$A$1:$L$129</definedName>
    <definedName function="false" hidden="false" localSheetId="3" name="_16_06_920" vbProcedure="false">'Data Activité Béliers'!$A$1:$M$508</definedName>
    <definedName function="false" hidden="false" localSheetId="3" name="_16_06_921" vbProcedure="false">'Data Activité Béliers'!$A$1:$M$620</definedName>
    <definedName function="false" hidden="false" localSheetId="3" name="_16_06_922" vbProcedure="false">'Data Activité Béliers'!$A$1:$K$129</definedName>
    <definedName function="false" hidden="false" localSheetId="3" name="_16_06_923" vbProcedure="false">'Data Activité Béliers'!$A$1:$M$620</definedName>
    <definedName function="false" hidden="false" localSheetId="3" name="_16_06_924" vbProcedure="false">'Data Activité Béliers'!$A$1:$M$508</definedName>
    <definedName function="false" hidden="false" localSheetId="3" name="_16_06_925" vbProcedure="false">'Data Activité Béliers'!$A$1:$L$129</definedName>
    <definedName function="false" hidden="false" localSheetId="3" name="_16_06_926" vbProcedure="false">'Data Activité Béliers'!$A$1:$L$129</definedName>
    <definedName function="false" hidden="false" localSheetId="3" name="_16_06_927" vbProcedure="false">'Data Activité Béliers'!$A$1:$M$508</definedName>
    <definedName function="false" hidden="false" localSheetId="3" name="_16_06_928" vbProcedure="false">'Data Activité Béliers'!$A$1:$L$313</definedName>
    <definedName function="false" hidden="false" localSheetId="3" name="_16_06_929" vbProcedure="false">'Data Activité Béliers'!$A$1:$L$129</definedName>
    <definedName function="false" hidden="false" localSheetId="3" name="_16_06_930" vbProcedure="false">'Data Activité Béliers'!$A$1:$K$313</definedName>
    <definedName function="false" hidden="false" localSheetId="3" name="_16_06_931" vbProcedure="false">'Data Activité Béliers'!$A$1:$L$377</definedName>
    <definedName function="false" hidden="false" localSheetId="3" name="_16_06_932" vbProcedure="false">'Data Activité Béliers'!$A$1:$L$377</definedName>
    <definedName function="false" hidden="false" localSheetId="3" name="_16_06_933" vbProcedure="false">'Data Activité Béliers'!$A$1:$M$134</definedName>
    <definedName function="false" hidden="false" localSheetId="3" name="_16_06_934" vbProcedure="false">'Data Activité Béliers'!$A$1:$L$129</definedName>
    <definedName function="false" hidden="false" localSheetId="3" name="_16_06_935" vbProcedure="false">'Data Activité Béliers'!$A$1:$L$313</definedName>
    <definedName function="false" hidden="false" localSheetId="3" name="_16_06_936" vbProcedure="false">'Data Activité Béliers'!$A$1:$L$377</definedName>
    <definedName function="false" hidden="false" localSheetId="3" name="_16_06_937" vbProcedure="false">'Data Activité Béliers'!$A$1:$M$620</definedName>
    <definedName function="false" hidden="false" localSheetId="3" name="_16_06_938" vbProcedure="false">'Data Activité Béliers'!$A$1:$L$313</definedName>
    <definedName function="false" hidden="false" localSheetId="3" name="_16_06_939" vbProcedure="false">'Data Activité Béliers'!$A$1:$L$377</definedName>
    <definedName function="false" hidden="false" localSheetId="3" name="_16_06_940" vbProcedure="false">'Data Activité Béliers'!$A$1:$K$129</definedName>
    <definedName function="false" hidden="false" localSheetId="3" name="_16_06_941" vbProcedure="false">'Data Activité Béliers'!$A$1:$L$129</definedName>
    <definedName function="false" hidden="false" localSheetId="3" name="_16_06_942" vbProcedure="false">'Data Activité Béliers'!$A$1:$L$313</definedName>
    <definedName function="false" hidden="false" localSheetId="3" name="_16_06_943" vbProcedure="false">'Data Activité Béliers'!$A$1:$M$508</definedName>
    <definedName function="false" hidden="false" localSheetId="3" name="_16_06_944" vbProcedure="false">'Data Activité Béliers'!$A$1:$M$508</definedName>
    <definedName function="false" hidden="false" localSheetId="3" name="_16_06_945" vbProcedure="false">'Data Activité Béliers'!$A$1:$M$134</definedName>
    <definedName function="false" hidden="false" localSheetId="3" name="_16_06_946" vbProcedure="false">'Data Activité Béliers'!$A$1:$K$313</definedName>
    <definedName function="false" hidden="false" localSheetId="3" name="_16_06_947" vbProcedure="false">'Data Activité Béliers'!$A$1:$M$620</definedName>
    <definedName function="false" hidden="false" localSheetId="3" name="_16_06_948" vbProcedure="false">'Data Activité Béliers'!$A$1:$L$313</definedName>
    <definedName function="false" hidden="false" localSheetId="3" name="_16_06_949" vbProcedure="false">'Data Activité Béliers'!$A$1:$L$377</definedName>
    <definedName function="false" hidden="false" localSheetId="3" name="_16_06_950" vbProcedure="false">'Data Activité Béliers'!$A$1:$M$614</definedName>
    <definedName function="false" hidden="false" localSheetId="3" name="_16_06_951" vbProcedure="false">'Data Activité Béliers'!$A$1:$L$377</definedName>
    <definedName function="false" hidden="false" localSheetId="3" name="_16_06_952" vbProcedure="false">'Data Activité Béliers'!$A$1:$L$377</definedName>
    <definedName function="false" hidden="false" localSheetId="3" name="_16_06_953" vbProcedure="false">'Data Activité Béliers'!$A$1:$L$129</definedName>
    <definedName function="false" hidden="false" localSheetId="3" name="_16_06_954" vbProcedure="false">'Data Activité Béliers'!$A$1:$M$508</definedName>
    <definedName function="false" hidden="false" localSheetId="3" name="_16_06_955" vbProcedure="false">'Data Activité Béliers'!$A$1:$L$313</definedName>
    <definedName function="false" hidden="false" localSheetId="3" name="_16_06_956" vbProcedure="false">'Data Activité Béliers'!$A$1:$M$620</definedName>
    <definedName function="false" hidden="false" localSheetId="3" name="_16_06_957" vbProcedure="false">'Data Activité Béliers'!$A$1:$M$134</definedName>
    <definedName function="false" hidden="false" localSheetId="3" name="_16_06_958" vbProcedure="false">'Data Activité Béliers'!$A$1:$M$620</definedName>
    <definedName function="false" hidden="false" localSheetId="3" name="_16_06_959" vbProcedure="false">'Data Activité Béliers'!$A$1:$L$313</definedName>
    <definedName function="false" hidden="false" localSheetId="3" name="_16_06_960" vbProcedure="false">'Data Activité Béliers'!$A$1:$L$129</definedName>
    <definedName function="false" hidden="false" localSheetId="3" name="_16_06_961" vbProcedure="false">'Data Activité Béliers'!$A$1:$M$620</definedName>
    <definedName function="false" hidden="false" localSheetId="3" name="_16_06_962" vbProcedure="false">'Data Activité Béliers'!$A$1:$M$134</definedName>
    <definedName function="false" hidden="false" localSheetId="3" name="_16_06_963" vbProcedure="false">'Data Activité Béliers'!$A$1:$L$129</definedName>
    <definedName function="false" hidden="false" localSheetId="3" name="_16_06_964" vbProcedure="false">'Data Activité Béliers'!$A$1:$L$377</definedName>
    <definedName function="false" hidden="false" localSheetId="3" name="_16_06_965" vbProcedure="false">'Data Activité Béliers'!$A$1:$M$134</definedName>
    <definedName function="false" hidden="false" localSheetId="3" name="_16_06_966" vbProcedure="false">'Data Activité Béliers'!$A$1:$M$620</definedName>
    <definedName function="false" hidden="false" localSheetId="3" name="_16_06_967" vbProcedure="false">'Data Activité Béliers'!$A$1:$L$377</definedName>
    <definedName function="false" hidden="false" localSheetId="3" name="_16_06_968" vbProcedure="false">'Data Activité Béliers'!$A$1:$L$377</definedName>
    <definedName function="false" hidden="false" localSheetId="3" name="_16_06_969" vbProcedure="false">'Data Activité Béliers'!$A$1:$M$620</definedName>
    <definedName function="false" hidden="false" localSheetId="3" name="_16_06_970" vbProcedure="false">'Data Activité Béliers'!$A$1:$M$134</definedName>
    <definedName function="false" hidden="false" localSheetId="3" name="_16_06_971" vbProcedure="false">'Data Activité Béliers'!$A$1:$M$508</definedName>
    <definedName function="false" hidden="false" localSheetId="3" name="_16_06_972" vbProcedure="false">'Data Activité Béliers'!$A$1:$L$313</definedName>
    <definedName function="false" hidden="false" localSheetId="3" name="_16_06_973" vbProcedure="false">'Data Activité Béliers'!$A$1:$K$313</definedName>
    <definedName function="false" hidden="false" localSheetId="3" name="_16_06_974" vbProcedure="false">'Data Activité Béliers'!$A$1:$L$313</definedName>
    <definedName function="false" hidden="false" localSheetId="3" name="_16_06_975" vbProcedure="false">'Data Activité Béliers'!$A$1:$M$620</definedName>
    <definedName function="false" hidden="false" localSheetId="3" name="_16_06_976" vbProcedure="false">'Data Activité Béliers'!$A$1:$L$377</definedName>
    <definedName function="false" hidden="false" localSheetId="3" name="_16_06_977" vbProcedure="false">'Data Activité Béliers'!$A$1:$M$508</definedName>
    <definedName function="false" hidden="false" localSheetId="3" name="_16_06_978" vbProcedure="false">'Data Activité Béliers'!$A$1:$L$371</definedName>
    <definedName function="false" hidden="false" localSheetId="3" name="_16_06_979" vbProcedure="false">'Data Activité Béliers'!$A$1:$L$313</definedName>
    <definedName function="false" hidden="false" localSheetId="3" name="_16_06_980" vbProcedure="false">'Data Activité Béliers'!$A$1:$M$508</definedName>
    <definedName function="false" hidden="false" localSheetId="3" name="_16_06_981" vbProcedure="false">'Data Activité Béliers'!$A$1:$M$134</definedName>
    <definedName function="false" hidden="false" localSheetId="3" name="_16_06_982" vbProcedure="false">'Data Activité Béliers'!$A$1:$M$508</definedName>
    <definedName function="false" hidden="false" localSheetId="3" name="_16_06_983" vbProcedure="false">'Data Activité Béliers'!$A$1:$L$313</definedName>
    <definedName function="false" hidden="false" localSheetId="3" name="_16_06_984" vbProcedure="false">'Data Activité Béliers'!$A$1:$L$377</definedName>
    <definedName function="false" hidden="false" localSheetId="3" name="_16_06_985" vbProcedure="false">'Data Activité Béliers'!$A$1:$M$508</definedName>
    <definedName function="false" hidden="false" localSheetId="3" name="_16_06_986" vbProcedure="false">'Data Activité Béliers'!$A$1:$M$620</definedName>
    <definedName function="false" hidden="false" localSheetId="3" name="_16_06_987" vbProcedure="false">'Data Activité Béliers'!$A$1:$M$620</definedName>
    <definedName function="false" hidden="false" localSheetId="3" name="_16_06_988" vbProcedure="false">'Data Activité Béliers'!$A$1:$L$377</definedName>
    <definedName function="false" hidden="false" localSheetId="3" name="_16_06_989" vbProcedure="false">'Data Activité Béliers'!$A$1:$L$313</definedName>
    <definedName function="false" hidden="false" localSheetId="3" name="_16_06_990" vbProcedure="false">'Data Activité Béliers'!$A$1:$M$134</definedName>
    <definedName function="false" hidden="false" localSheetId="3" name="_16_06_991" vbProcedure="false">'Data Activité Béliers'!$A$1:$M$508</definedName>
    <definedName function="false" hidden="false" localSheetId="3" name="_16_06_992" vbProcedure="false">'Data Activité Béliers'!$A$1:$L$377</definedName>
    <definedName function="false" hidden="false" localSheetId="3" name="_16_06_993" vbProcedure="false">'Data Activité Béliers'!$A$1:$L$313</definedName>
    <definedName function="false" hidden="false" localSheetId="3" name="_16_06_994" vbProcedure="false">'Data Activité Béliers'!$A$1:$L$313</definedName>
    <definedName function="false" hidden="false" localSheetId="3" name="_16_06_995" vbProcedure="false">'Data Activité Béliers'!$A$1:$L$377</definedName>
    <definedName function="false" hidden="false" localSheetId="3" name="_16_06_996" vbProcedure="false">'Data Activité Béliers'!$A$1:$M$620</definedName>
    <definedName function="false" hidden="false" localSheetId="3" name="_16_06_997" vbProcedure="false">'Data Activité Béliers'!$A$1:$M$614</definedName>
    <definedName function="false" hidden="false" localSheetId="3" name="_16_06_998" vbProcedure="false">'Data Activité Béliers'!$A$1:$K$377</definedName>
    <definedName function="false" hidden="false" localSheetId="3" name="_16_06_999" vbProcedure="false">'Data Activité Béliers'!$A$1:$L$377</definedName>
    <definedName function="false" hidden="false" localSheetId="3" name="_884151479245148968_25_05_23_3" vbProcedure="false">'Data Activité Béliers'!$A$1:$E$61</definedName>
    <definedName function="false" hidden="false" localSheetId="3" name="_884151479245148968_25_05_23_3_1" vbProcedure="false">'Data Activité Béliers'!$A$1:$E$61</definedName>
    <definedName function="false" hidden="false" localSheetId="3" name="_884151479245148968_25_05_23_3_2" vbProcedure="false">'Data Activité Béliers'!$A$1:$E$61</definedName>
    <definedName function="false" hidden="false" localSheetId="4" name="_16_06_100" vbProcedure="false">'Data Détecteur IA'!$A$1:$L$397</definedName>
    <definedName function="false" hidden="false" localSheetId="4" name="_16_06_1000" vbProcedure="false">'Data Détecteur IA'!$A$1:$L$129</definedName>
    <definedName function="false" hidden="false" localSheetId="4" name="_16_06_1001" vbProcedure="false">'Data Détecteur IA'!$A$1:$M$484</definedName>
    <definedName function="false" hidden="false" localSheetId="4" name="_16_06_1002" vbProcedure="false">'Data Détecteur IA'!$A$1:$M$372</definedName>
    <definedName function="false" hidden="false" localSheetId="4" name="_16_06_1003" vbProcedure="false">'Data Détecteur IA'!$A$1:$L$278</definedName>
    <definedName function="false" hidden="false" localSheetId="4" name="_16_06_1004" vbProcedure="false">'Data Détecteur IA'!$A$1:$I$278</definedName>
    <definedName function="false" hidden="false" localSheetId="4" name="_16_06_1005" vbProcedure="false">'Data Détecteur IA'!$A$1:$L$390</definedName>
    <definedName function="false" hidden="false" localSheetId="4" name="_16_06_1006" vbProcedure="false">'Data Détecteur IA'!$A$1:$M$484</definedName>
    <definedName function="false" hidden="false" localSheetId="4" name="_16_06_1007" vbProcedure="false">'Data Détecteur IA'!$A$1:$L$278</definedName>
    <definedName function="false" hidden="false" localSheetId="4" name="_16_06_1008" vbProcedure="false">'Data Détecteur IA'!$A$1:$L$278</definedName>
    <definedName function="false" hidden="false" localSheetId="4" name="_16_06_1009" vbProcedure="false">'Data Détecteur IA'!$A$1:$I$278</definedName>
    <definedName function="false" hidden="false" localSheetId="4" name="_16_06_101" vbProcedure="false">'Data Détecteur IA'!$A$1:$L$285</definedName>
    <definedName function="false" hidden="false" localSheetId="4" name="_16_06_1010" vbProcedure="false">'Data Détecteur IA'!$A$1:$L$129</definedName>
    <definedName function="false" hidden="false" localSheetId="4" name="_16_06_1011" vbProcedure="false">'Data Détecteur IA'!$A$1:$M$149</definedName>
    <definedName function="false" hidden="false" localSheetId="4" name="_16_06_1012" vbProcedure="false">'Data Détecteur IA'!$A$1:$L$278</definedName>
    <definedName function="false" hidden="false" localSheetId="4" name="_16_06_1013" vbProcedure="false">'Data Détecteur IA'!$A$1:$L$129</definedName>
    <definedName function="false" hidden="false" localSheetId="4" name="_16_06_1014" vbProcedure="false">'Data Détecteur IA'!$A$1:$L$278</definedName>
    <definedName function="false" hidden="false" localSheetId="4" name="_16_06_1015" vbProcedure="false">'Data Détecteur IA'!$A$1:$L$129</definedName>
    <definedName function="false" hidden="false" localSheetId="4" name="_16_06_1016" vbProcedure="false">'Data Détecteur IA'!$A$1:$L$390</definedName>
    <definedName function="false" hidden="false" localSheetId="4" name="_16_06_1017" vbProcedure="false">'Data Détecteur IA'!$A$1:$I$390</definedName>
    <definedName function="false" hidden="false" localSheetId="4" name="_16_06_1018" vbProcedure="false">'Data Détecteur IA'!$A$1:$L$278</definedName>
    <definedName function="false" hidden="false" localSheetId="4" name="_16_06_1019" vbProcedure="false">'Data Détecteur IA'!$A$1:$L$278</definedName>
    <definedName function="false" hidden="false" localSheetId="4" name="_16_06_102" vbProcedure="false">'Data Détecteur IA'!$A$1:$L$397</definedName>
    <definedName function="false" hidden="false" localSheetId="4" name="_16_06_1020" vbProcedure="false">'Data Détecteur IA'!$A$1:$M$149</definedName>
    <definedName function="false" hidden="false" localSheetId="4" name="_16_06_1021" vbProcedure="false">'Data Détecteur IA'!$A$1:$L$278</definedName>
    <definedName function="false" hidden="false" localSheetId="4" name="_16_06_1022" vbProcedure="false">'Data Détecteur IA'!$A$1:$M$484</definedName>
    <definedName function="false" hidden="false" localSheetId="4" name="_16_06_1023" vbProcedure="false">'Data Détecteur IA'!$A$1:$I$129</definedName>
    <definedName function="false" hidden="false" localSheetId="4" name="_16_06_1024" vbProcedure="false">'Data Détecteur IA'!$A$1:$M$149</definedName>
    <definedName function="false" hidden="false" localSheetId="4" name="_16_06_1025" vbProcedure="false">'Data Détecteur IA'!$A$1:$L$390</definedName>
    <definedName function="false" hidden="false" localSheetId="4" name="_16_06_1026" vbProcedure="false">'Data Détecteur IA'!$A$1:$L$129</definedName>
    <definedName function="false" hidden="false" localSheetId="4" name="_16_06_1027" vbProcedure="false">'Data Détecteur IA'!$A$1:$I$390</definedName>
    <definedName function="false" hidden="false" localSheetId="4" name="_16_06_1028" vbProcedure="false">'Data Détecteur IA'!$A$1:$I$129</definedName>
    <definedName function="false" hidden="false" localSheetId="4" name="_16_06_1029" vbProcedure="false">'Data Détecteur IA'!$A$1:$M$372</definedName>
    <definedName function="false" hidden="false" localSheetId="4" name="_16_06_103" vbProcedure="false">'Data Détecteur IA'!$A$1:$L$134</definedName>
    <definedName function="false" hidden="false" localSheetId="4" name="_16_06_1030" vbProcedure="false">'Data Détecteur IA'!$A$1:$I$390</definedName>
    <definedName function="false" hidden="false" localSheetId="4" name="_16_06_1031" vbProcedure="false">'Data Détecteur IA'!$A$1:$I$390</definedName>
    <definedName function="false" hidden="false" localSheetId="4" name="_16_06_1032" vbProcedure="false">'Data Détecteur IA'!$A$1:$L$278</definedName>
    <definedName function="false" hidden="false" localSheetId="4" name="_16_06_1033" vbProcedure="false">'Data Détecteur IA'!$A$1:$I$129</definedName>
    <definedName function="false" hidden="false" localSheetId="4" name="_16_06_1034" vbProcedure="false">'Data Détecteur IA'!$A$1:$M$372</definedName>
    <definedName function="false" hidden="false" localSheetId="4" name="_16_06_1035" vbProcedure="false">'Data Détecteur IA'!$A$1:$L$129</definedName>
    <definedName function="false" hidden="false" localSheetId="4" name="_16_06_1036" vbProcedure="false">'Data Détecteur IA'!$A$1:$I$390</definedName>
    <definedName function="false" hidden="false" localSheetId="4" name="_16_06_1037" vbProcedure="false">'Data Détecteur IA'!$A$1:$M$149</definedName>
    <definedName function="false" hidden="false" localSheetId="4" name="_16_06_1038" vbProcedure="false">'Data Détecteur IA'!$A$1:$L$390</definedName>
    <definedName function="false" hidden="false" localSheetId="4" name="_16_06_1039" vbProcedure="false">'Data Détecteur IA'!$A$1:$L$390</definedName>
    <definedName function="false" hidden="false" localSheetId="4" name="_16_06_104" vbProcedure="false">'Data Détecteur IA'!$A$1:$L$397</definedName>
    <definedName function="false" hidden="false" localSheetId="4" name="_16_06_1040" vbProcedure="false">'Data Détecteur IA'!$A$1:$L$129</definedName>
    <definedName function="false" hidden="false" localSheetId="4" name="_16_06_1041" vbProcedure="false">'Data Détecteur IA'!$A$1:$M$484</definedName>
    <definedName function="false" hidden="false" localSheetId="4" name="_16_06_1042" vbProcedure="false">'Data Détecteur IA'!$A$1:$L$278</definedName>
    <definedName function="false" hidden="false" localSheetId="4" name="_16_06_1043" vbProcedure="false">'Data Détecteur IA'!$A$1:$L$129</definedName>
    <definedName function="false" hidden="false" localSheetId="4" name="_16_06_1044" vbProcedure="false">'Data Détecteur IA'!$A$1:$L$129</definedName>
    <definedName function="false" hidden="false" localSheetId="4" name="_16_06_1045" vbProcedure="false">'Data Détecteur IA'!$A$1:$I$390</definedName>
    <definedName function="false" hidden="false" localSheetId="4" name="_16_06_1046" vbProcedure="false">'Data Détecteur IA'!$A$1:$I$390</definedName>
    <definedName function="false" hidden="false" localSheetId="4" name="_16_06_1047" vbProcedure="false">'Data Détecteur IA'!$A$1:$I$278</definedName>
    <definedName function="false" hidden="false" localSheetId="4" name="_16_06_1048" vbProcedure="false">'Data Détecteur IA'!$A$1:$I$278</definedName>
    <definedName function="false" hidden="false" localSheetId="4" name="_16_06_1049" vbProcedure="false">'Data Détecteur IA'!$A$1:$M$484</definedName>
    <definedName function="false" hidden="false" localSheetId="4" name="_16_06_105" vbProcedure="false">'Data Détecteur IA'!$A$1:$L$285</definedName>
    <definedName function="false" hidden="false" localSheetId="4" name="_16_06_1050" vbProcedure="false">'Data Détecteur IA'!$A$1:$L$278</definedName>
    <definedName function="false" hidden="false" localSheetId="4" name="_16_06_1051" vbProcedure="false">'Data Détecteur IA'!$A$1:$M$372</definedName>
    <definedName function="false" hidden="false" localSheetId="4" name="_16_06_1052" vbProcedure="false">'Data Détecteur IA'!$A$1:$L$390</definedName>
    <definedName function="false" hidden="false" localSheetId="4" name="_16_06_1053" vbProcedure="false">'Data Détecteur IA'!$A$1:$L$129</definedName>
    <definedName function="false" hidden="false" localSheetId="4" name="_16_06_1054" vbProcedure="false">'Data Détecteur IA'!$A$1:$L$390</definedName>
    <definedName function="false" hidden="false" localSheetId="4" name="_16_06_1055" vbProcedure="false">'Data Détecteur IA'!$A$1:$L$129</definedName>
    <definedName function="false" hidden="false" localSheetId="4" name="_16_06_1056" vbProcedure="false">'Data Détecteur IA'!$A$1:$M$484</definedName>
    <definedName function="false" hidden="false" localSheetId="4" name="_16_06_1057" vbProcedure="false">'Data Détecteur IA'!$A$1:$L$278</definedName>
    <definedName function="false" hidden="false" localSheetId="4" name="_16_06_1058" vbProcedure="false">'Data Détecteur IA'!$A$1:$L$390</definedName>
    <definedName function="false" hidden="false" localSheetId="4" name="_16_06_1059" vbProcedure="false">'Data Détecteur IA'!$A$1:$L$390</definedName>
    <definedName function="false" hidden="false" localSheetId="4" name="_16_06_106" vbProcedure="false">'Data Détecteur IA'!$A$1:$L$285</definedName>
    <definedName function="false" hidden="false" localSheetId="4" name="_16_06_1060" vbProcedure="false">'Data Détecteur IA'!$A$1:$L$278</definedName>
    <definedName function="false" hidden="false" localSheetId="4" name="_16_06_1061" vbProcedure="false">'Data Détecteur IA'!$A$1:$L$390</definedName>
    <definedName function="false" hidden="false" localSheetId="4" name="_16_06_1062" vbProcedure="false">'Data Détecteur IA'!$A$1:$L$390</definedName>
    <definedName function="false" hidden="false" localSheetId="4" name="_16_06_1063" vbProcedure="false">'Data Détecteur IA'!$A$1:$L$278</definedName>
    <definedName function="false" hidden="false" localSheetId="4" name="_16_06_1064" vbProcedure="false">'Data Détecteur IA'!$A$1:$I$278</definedName>
    <definedName function="false" hidden="false" localSheetId="4" name="_16_06_1065" vbProcedure="false">'Data Détecteur IA'!$A$1:$L$278</definedName>
    <definedName function="false" hidden="false" localSheetId="4" name="_16_06_1066" vbProcedure="false">'Data Détecteur IA'!$A$1:$L$129</definedName>
    <definedName function="false" hidden="false" localSheetId="4" name="_16_06_1067" vbProcedure="false">'Data Détecteur IA'!$A$1:$I$129</definedName>
    <definedName function="false" hidden="false" localSheetId="4" name="_16_06_1068" vbProcedure="false">'Data Détecteur IA'!$A$1:$M$372</definedName>
    <definedName function="false" hidden="false" localSheetId="4" name="_16_06_1069" vbProcedure="false">'Data Détecteur IA'!$A$1:$M$149</definedName>
    <definedName function="false" hidden="false" localSheetId="4" name="_16_06_107" vbProcedure="false">'Data Détecteur IA'!$A$1:$L$134</definedName>
    <definedName function="false" hidden="false" localSheetId="4" name="_16_06_1070" vbProcedure="false">'Data Détecteur IA'!$A$1:$L$278</definedName>
    <definedName function="false" hidden="false" localSheetId="4" name="_16_06_1071" vbProcedure="false">'Data Détecteur IA'!$A$1:$L$278</definedName>
    <definedName function="false" hidden="false" localSheetId="4" name="_16_06_1072" vbProcedure="false">'Data Détecteur IA'!$A$1:$I$390</definedName>
    <definedName function="false" hidden="false" localSheetId="4" name="_16_06_1073" vbProcedure="false">'Data Détecteur IA'!$A$1:$L$129</definedName>
    <definedName function="false" hidden="false" localSheetId="4" name="_16_06_1074" vbProcedure="false">'Data Détecteur IA'!$A$1:$M$484</definedName>
    <definedName function="false" hidden="false" localSheetId="4" name="_16_06_1075" vbProcedure="false">'Data Détecteur IA'!$A$1:$I$390</definedName>
    <definedName function="false" hidden="false" localSheetId="4" name="_16_06_1076" vbProcedure="false">'Data Détecteur IA'!$A$1:$I$278</definedName>
    <definedName function="false" hidden="false" localSheetId="4" name="_16_06_1077" vbProcedure="false">'Data Détecteur IA'!$A$1:$M$478</definedName>
    <definedName function="false" hidden="false" localSheetId="4" name="_16_06_1078" vbProcedure="false">'Data Détecteur IA'!$A$1:$I$129</definedName>
    <definedName function="false" hidden="false" localSheetId="4" name="_16_06_1079" vbProcedure="false">'Data Détecteur IA'!$A$1:$L$390</definedName>
    <definedName function="false" hidden="false" localSheetId="4" name="_16_06_108" vbProcedure="false">'Data Détecteur IA'!$A$1:$L$397</definedName>
    <definedName function="false" hidden="false" localSheetId="4" name="_16_06_1080" vbProcedure="false">'Data Détecteur IA'!$A$1:$L$278</definedName>
    <definedName function="false" hidden="false" localSheetId="4" name="_16_06_1081" vbProcedure="false">'Data Détecteur IA'!$A$1:$L$384</definedName>
    <definedName function="false" hidden="false" localSheetId="4" name="_16_06_1082" vbProcedure="false">'Data Détecteur IA'!$A$1:$M$372</definedName>
    <definedName function="false" hidden="false" localSheetId="4" name="_16_06_1083" vbProcedure="false">'Data Détecteur IA'!$A$1:$L$390</definedName>
    <definedName function="false" hidden="false" localSheetId="4" name="_16_06_1084" vbProcedure="false">'Data Détecteur IA'!$A$1:$M$484</definedName>
    <definedName function="false" hidden="false" localSheetId="4" name="_16_06_1085" vbProcedure="false">'Data Détecteur IA'!$A$1:$I$390</definedName>
    <definedName function="false" hidden="false" localSheetId="4" name="_16_06_1086" vbProcedure="false">'Data Détecteur IA'!$A$1:$I$390</definedName>
    <definedName function="false" hidden="false" localSheetId="4" name="_16_06_1087" vbProcedure="false">'Data Détecteur IA'!$A$1:$L$390</definedName>
    <definedName function="false" hidden="false" localSheetId="4" name="_16_06_1088" vbProcedure="false">'Data Détecteur IA'!$A$1:$L$390</definedName>
    <definedName function="false" hidden="false" localSheetId="4" name="_16_06_1089" vbProcedure="false">'Data Détecteur IA'!$A$1:$I$390</definedName>
    <definedName function="false" hidden="false" localSheetId="4" name="_16_06_109" vbProcedure="false">'Data Détecteur IA'!$A$1:$L$134</definedName>
    <definedName function="false" hidden="false" localSheetId="4" name="_16_06_1090" vbProcedure="false">'Data Détecteur IA'!$A$1:$M$149</definedName>
    <definedName function="false" hidden="false" localSheetId="4" name="_16_06_1091" vbProcedure="false">'Data Détecteur IA'!$A$1:$M$372</definedName>
    <definedName function="false" hidden="false" localSheetId="4" name="_16_06_1092" vbProcedure="false">'Data Détecteur IA'!$A$1:$L$278</definedName>
    <definedName function="false" hidden="false" localSheetId="4" name="_16_06_1093" vbProcedure="false">'Data Détecteur IA'!$A$1:$M$372</definedName>
    <definedName function="false" hidden="false" localSheetId="4" name="_16_06_1094" vbProcedure="false">'Data Détecteur IA'!$A$1:$L$129</definedName>
    <definedName function="false" hidden="false" localSheetId="4" name="_16_06_1095" vbProcedure="false">'Data Détecteur IA'!$A$1:$M$484</definedName>
    <definedName function="false" hidden="false" localSheetId="4" name="_16_06_1096" vbProcedure="false">'Data Détecteur IA'!$A$1:$L$390</definedName>
    <definedName function="false" hidden="false" localSheetId="4" name="_16_06_1097" vbProcedure="false">'Data Détecteur IA'!$A$1:$L$390</definedName>
    <definedName function="false" hidden="false" localSheetId="4" name="_16_06_1098" vbProcedure="false">'Data Détecteur IA'!$A$1:$L$129</definedName>
    <definedName function="false" hidden="false" localSheetId="4" name="_16_06_1099" vbProcedure="false">'Data Détecteur IA'!$A$1:$M$149</definedName>
    <definedName function="false" hidden="false" localSheetId="4" name="_16_06_110" vbProcedure="false">'Data Détecteur IA'!$A$1:$L$285</definedName>
    <definedName function="false" hidden="false" localSheetId="4" name="_16_06_1100" vbProcedure="false">'Data Détecteur IA'!$A$1:$I$278</definedName>
    <definedName function="false" hidden="false" localSheetId="4" name="_16_06_1101" vbProcedure="false">'Data Détecteur IA'!$A$1:$L$129</definedName>
    <definedName function="false" hidden="false" localSheetId="4" name="_16_06_1102" vbProcedure="false">'Data Détecteur IA'!$A$1:$L$390</definedName>
    <definedName function="false" hidden="false" localSheetId="4" name="_16_06_1103" vbProcedure="false">'Data Détecteur IA'!$A$1:$M$149</definedName>
    <definedName function="false" hidden="false" localSheetId="4" name="_16_06_1104" vbProcedure="false">'Data Détecteur IA'!$A$1:$L$129</definedName>
    <definedName function="false" hidden="false" localSheetId="4" name="_16_06_1105" vbProcedure="false">'Data Détecteur IA'!$A$1:$M$484</definedName>
    <definedName function="false" hidden="false" localSheetId="4" name="_16_06_1106" vbProcedure="false">'Data Détecteur IA'!$A$1:$I$129</definedName>
    <definedName function="false" hidden="false" localSheetId="4" name="_16_06_1107" vbProcedure="false">'Data Détecteur IA'!$A$1:$M$372</definedName>
    <definedName function="false" hidden="false" localSheetId="4" name="_16_06_1108" vbProcedure="false">'Data Détecteur IA'!$A$1:$M$484</definedName>
    <definedName function="false" hidden="false" localSheetId="4" name="_16_06_1109" vbProcedure="false">'Data Détecteur IA'!$A$1:$M$484</definedName>
    <definedName function="false" hidden="false" localSheetId="4" name="_16_06_111" vbProcedure="false">'Data Détecteur IA'!$A$1:$L$397</definedName>
    <definedName function="false" hidden="false" localSheetId="4" name="_16_06_1110" vbProcedure="false">'Data Détecteur IA'!$A$1:$L$390</definedName>
    <definedName function="false" hidden="false" localSheetId="4" name="_16_06_1111" vbProcedure="false">'Data Détecteur IA'!$A$1:$L$129</definedName>
    <definedName function="false" hidden="false" localSheetId="4" name="_16_06_1112" vbProcedure="false">'Data Détecteur IA'!$A$1:$L$390</definedName>
    <definedName function="false" hidden="false" localSheetId="4" name="_16_06_1113" vbProcedure="false">'Data Détecteur IA'!$A$1:$L$390</definedName>
    <definedName function="false" hidden="false" localSheetId="4" name="_16_06_1114" vbProcedure="false">'Data Détecteur IA'!$A$1:$L$390</definedName>
    <definedName function="false" hidden="false" localSheetId="4" name="_16_06_1115" vbProcedure="false">'Data Détecteur IA'!$A$1:$L$390</definedName>
    <definedName function="false" hidden="false" localSheetId="4" name="_16_06_1116" vbProcedure="false">'Data Détecteur IA'!$A$1:$L$278</definedName>
    <definedName function="false" hidden="false" localSheetId="4" name="_16_06_1117" vbProcedure="false">'Data Détecteur IA'!$A$1:$I$390</definedName>
    <definedName function="false" hidden="false" localSheetId="4" name="_16_06_1118" vbProcedure="false">'Data Détecteur IA'!$A$1:$L$129</definedName>
    <definedName function="false" hidden="false" localSheetId="4" name="_16_06_1119" vbProcedure="false">'Data Détecteur IA'!$A$1:$L$129</definedName>
    <definedName function="false" hidden="false" localSheetId="4" name="_16_06_112" vbProcedure="false">'Data Détecteur IA'!$A$1:$L$397</definedName>
    <definedName function="false" hidden="false" localSheetId="4" name="_16_06_1120" vbProcedure="false">'Data Détecteur IA'!$A$1:$I$129</definedName>
    <definedName function="false" hidden="false" localSheetId="4" name="_16_06_1121" vbProcedure="false">'Data Détecteur IA'!$A$1:$L$129</definedName>
    <definedName function="false" hidden="false" localSheetId="4" name="_16_06_1122" vbProcedure="false">'Data Détecteur IA'!$A$1:$L$278</definedName>
    <definedName function="false" hidden="false" localSheetId="4" name="_16_06_1123" vbProcedure="false">'Data Détecteur IA'!$A$1:$M$372</definedName>
    <definedName function="false" hidden="false" localSheetId="4" name="_16_06_1124" vbProcedure="false">'Data Détecteur IA'!$A$1:$M$372</definedName>
    <definedName function="false" hidden="false" localSheetId="4" name="_16_06_1125" vbProcedure="false">'Data Détecteur IA'!$A$1:$M$372</definedName>
    <definedName function="false" hidden="false" localSheetId="4" name="_16_06_1126" vbProcedure="false">'Data Détecteur IA'!$A$1:$L$129</definedName>
    <definedName function="false" hidden="false" localSheetId="4" name="_16_06_1127" vbProcedure="false">'Data Détecteur IA'!$A$1:$M$149</definedName>
    <definedName function="false" hidden="false" localSheetId="4" name="_16_06_1128" vbProcedure="false">'Data Détecteur IA'!$A$1:$L$129</definedName>
    <definedName function="false" hidden="false" localSheetId="4" name="_16_06_1129" vbProcedure="false">'Data Détecteur IA'!$A$1:$L$390</definedName>
    <definedName function="false" hidden="false" localSheetId="4" name="_16_06_113" vbProcedure="false">'Data Détecteur IA'!$A$1:$L$397</definedName>
    <definedName function="false" hidden="false" localSheetId="4" name="_16_06_114" vbProcedure="false">'Data Détecteur IA'!$A$1:$L$397</definedName>
    <definedName function="false" hidden="false" localSheetId="4" name="_16_06_115" vbProcedure="false">'Data Détecteur IA'!$A$1:$L$397</definedName>
    <definedName function="false" hidden="false" localSheetId="4" name="_16_06_116" vbProcedure="false">'Data Détecteur IA'!$A$1:$L$285</definedName>
    <definedName function="false" hidden="false" localSheetId="4" name="_16_06_117" vbProcedure="false">'Data Détecteur IA'!$A$1:$L$397</definedName>
    <definedName function="false" hidden="false" localSheetId="4" name="_16_06_118" vbProcedure="false">'Data Détecteur IA'!$A$1:$L$397</definedName>
    <definedName function="false" hidden="false" localSheetId="4" name="_16_06_119" vbProcedure="false">'Data Détecteur IA'!$A$1:$L$285</definedName>
    <definedName function="false" hidden="false" localSheetId="4" name="_16_06_120" vbProcedure="false">'Data Détecteur IA'!$A$1:$L$285</definedName>
    <definedName function="false" hidden="false" localSheetId="4" name="_16_06_121" vbProcedure="false">'Data Détecteur IA'!$A$1:$L$397</definedName>
    <definedName function="false" hidden="false" localSheetId="4" name="_16_06_122" vbProcedure="false">'Data Détecteur IA'!$A$1:$L$397</definedName>
    <definedName function="false" hidden="false" localSheetId="4" name="_16_06_123" vbProcedure="false">'Data Détecteur IA'!$A$1:$L$134</definedName>
    <definedName function="false" hidden="false" localSheetId="4" name="_16_06_124" vbProcedure="false">'Data Détecteur IA'!$A$1:$L$397</definedName>
    <definedName function="false" hidden="false" localSheetId="4" name="_16_06_125" vbProcedure="false">'Data Détecteur IA'!$A$1:$L$285</definedName>
    <definedName function="false" hidden="false" localSheetId="4" name="_16_06_126" vbProcedure="false">'Data Détecteur IA'!$A$1:$L$397</definedName>
    <definedName function="false" hidden="false" localSheetId="4" name="_16_06_127" vbProcedure="false">'Data Détecteur IA'!$A$1:$L$134</definedName>
    <definedName function="false" hidden="false" localSheetId="4" name="_16_06_128" vbProcedure="false">'Data Détecteur IA'!$A$1:$L$134</definedName>
    <definedName function="false" hidden="false" localSheetId="4" name="_16_06_129" vbProcedure="false">'Data Détecteur IA'!$A$1:$L$285</definedName>
    <definedName function="false" hidden="false" localSheetId="4" name="_16_06_130" vbProcedure="false">'Data Détecteur IA'!$A$1:$L$285</definedName>
    <definedName function="false" hidden="false" localSheetId="4" name="_16_06_131" vbProcedure="false">'Data Détecteur IA'!$A$1:$L$285</definedName>
    <definedName function="false" hidden="false" localSheetId="4" name="_16_06_132" vbProcedure="false">'Data Détecteur IA'!$A$1:$L$397</definedName>
    <definedName function="false" hidden="false" localSheetId="4" name="_16_06_133" vbProcedure="false">'Data Détecteur IA'!$A$1:$L$397</definedName>
    <definedName function="false" hidden="false" localSheetId="4" name="_16_06_134" vbProcedure="false">'Data Détecteur IA'!$A$1:$L$285</definedName>
    <definedName function="false" hidden="false" localSheetId="4" name="_16_06_135" vbProcedure="false">'Data Détecteur IA'!$A$1:$L$134</definedName>
    <definedName function="false" hidden="false" localSheetId="4" name="_16_06_136" vbProcedure="false">'Data Détecteur IA'!$A$1:$L$285</definedName>
    <definedName function="false" hidden="false" localSheetId="4" name="_16_06_137" vbProcedure="false">'Data Détecteur IA'!$A$1:$L$397</definedName>
    <definedName function="false" hidden="false" localSheetId="4" name="_16_06_138" vbProcedure="false">'Data Détecteur IA'!$A$1:$L$397</definedName>
    <definedName function="false" hidden="false" localSheetId="4" name="_16_06_139" vbProcedure="false">'Data Détecteur IA'!$A$1:$L$397</definedName>
    <definedName function="false" hidden="false" localSheetId="4" name="_16_06_140" vbProcedure="false">'Data Détecteur IA'!$A$1:$L$134</definedName>
    <definedName function="false" hidden="false" localSheetId="4" name="_16_06_141" vbProcedure="false">'Data Détecteur IA'!$A$1:$L$285</definedName>
    <definedName function="false" hidden="false" localSheetId="4" name="_16_06_142" vbProcedure="false">'Data Détecteur IA'!$A$1:$L$391</definedName>
    <definedName function="false" hidden="false" localSheetId="4" name="_16_06_143" vbProcedure="false">'Data Détecteur IA'!$A$1:$L$285</definedName>
    <definedName function="false" hidden="false" localSheetId="4" name="_16_06_144" vbProcedure="false">'Data Détecteur IA'!$A$1:$L$285</definedName>
    <definedName function="false" hidden="false" localSheetId="4" name="_16_06_145" vbProcedure="false">'Data Détecteur IA'!$A$1:$L$134</definedName>
    <definedName function="false" hidden="false" localSheetId="4" name="_16_06_146" vbProcedure="false">'Data Détecteur IA'!$A$1:$L$285</definedName>
    <definedName function="false" hidden="false" localSheetId="4" name="_16_06_147" vbProcedure="false">'Data Détecteur IA'!$A$1:$L$134</definedName>
    <definedName function="false" hidden="false" localSheetId="4" name="_16_06_148" vbProcedure="false">'Data Détecteur IA'!$A$1:$L$397</definedName>
    <definedName function="false" hidden="false" localSheetId="4" name="_16_06_149" vbProcedure="false">'Data Détecteur IA'!$A$1:$L$397</definedName>
    <definedName function="false" hidden="false" localSheetId="4" name="_16_06_150" vbProcedure="false">'Data Détecteur IA'!$A$1:$L$397</definedName>
    <definedName function="false" hidden="false" localSheetId="4" name="_16_06_151" vbProcedure="false">'Data Détecteur IA'!$A$1:$L$285</definedName>
    <definedName function="false" hidden="false" localSheetId="4" name="_16_06_152" vbProcedure="false">'Data Détecteur IA'!$A$1:$L$397</definedName>
    <definedName function="false" hidden="false" localSheetId="4" name="_16_06_153" vbProcedure="false">'Data Détecteur IA'!$A$1:$L$134</definedName>
    <definedName function="false" hidden="false" localSheetId="4" name="_16_06_154" vbProcedure="false">'Data Détecteur IA'!$A$1:$L$397</definedName>
    <definedName function="false" hidden="false" localSheetId="4" name="_16_06_155" vbProcedure="false">'Data Détecteur IA'!$A$1:$L$285</definedName>
    <definedName function="false" hidden="false" localSheetId="4" name="_16_06_156" vbProcedure="false">'Data Détecteur IA'!$A$1:$L$285</definedName>
    <definedName function="false" hidden="false" localSheetId="4" name="_16_06_157" vbProcedure="false">'Data Détecteur IA'!$A$1:$L$285</definedName>
    <definedName function="false" hidden="false" localSheetId="4" name="_16_06_158" vbProcedure="false">'Data Détecteur IA'!$A$1:$L$285</definedName>
    <definedName function="false" hidden="false" localSheetId="4" name="_16_06_159" vbProcedure="false">'Data Détecteur IA'!$A$1:$L$134</definedName>
    <definedName function="false" hidden="false" localSheetId="4" name="_16_06_160" vbProcedure="false">'Data Détecteur IA'!$A$1:$L$134</definedName>
    <definedName function="false" hidden="false" localSheetId="4" name="_16_06_161" vbProcedure="false">'Data Détecteur IA'!$A$1:$L$397</definedName>
    <definedName function="false" hidden="false" localSheetId="4" name="_16_06_162" vbProcedure="false">'Data Détecteur IA'!$A$1:$L$134</definedName>
    <definedName function="false" hidden="false" localSheetId="4" name="_16_06_163" vbProcedure="false">'Data Détecteur IA'!$A$1:$L$285</definedName>
    <definedName function="false" hidden="false" localSheetId="4" name="_16_06_164" vbProcedure="false">'Data Détecteur IA'!$A$1:$L$397</definedName>
    <definedName function="false" hidden="false" localSheetId="4" name="_16_06_165" vbProcedure="false">'Data Détecteur IA'!$A$1:$L$285</definedName>
    <definedName function="false" hidden="false" localSheetId="4" name="_16_06_166" vbProcedure="false">'Data Détecteur IA'!$A$1:$L$397</definedName>
    <definedName function="false" hidden="false" localSheetId="4" name="_16_06_167" vbProcedure="false">'Data Détecteur IA'!$A$1:$L$397</definedName>
    <definedName function="false" hidden="false" localSheetId="4" name="_16_06_168" vbProcedure="false">'Data Détecteur IA'!$A$1:$L$134</definedName>
    <definedName function="false" hidden="false" localSheetId="4" name="_16_06_169" vbProcedure="false">'Data Détecteur IA'!$A$1:$L$397</definedName>
    <definedName function="false" hidden="false" localSheetId="4" name="_16_06_170" vbProcedure="false">'Data Détecteur IA'!$A$1:$L$397</definedName>
    <definedName function="false" hidden="false" localSheetId="4" name="_16_06_171" vbProcedure="false">'Data Détecteur IA'!$A$1:$L$397</definedName>
    <definedName function="false" hidden="false" localSheetId="4" name="_16_06_172" vbProcedure="false">'Data Détecteur IA'!$A$1:$L$397</definedName>
    <definedName function="false" hidden="false" localSheetId="4" name="_16_06_173" vbProcedure="false">'Data Détecteur IA'!$A$1:$L$397</definedName>
    <definedName function="false" hidden="false" localSheetId="4" name="_16_06_174" vbProcedure="false">'Data Détecteur IA'!$A$1:$L$285</definedName>
    <definedName function="false" hidden="false" localSheetId="4" name="_16_06_175" vbProcedure="false">'Data Détecteur IA'!$A$1:$L$397</definedName>
    <definedName function="false" hidden="false" localSheetId="4" name="_16_06_176" vbProcedure="false">'Data Détecteur IA'!$A$1:$L$397</definedName>
    <definedName function="false" hidden="false" localSheetId="4" name="_16_06_177" vbProcedure="false">'Data Détecteur IA'!$A$1:$L$285</definedName>
    <definedName function="false" hidden="false" localSheetId="4" name="_16_06_178" vbProcedure="false">'Data Détecteur IA'!$A$1:$L$285</definedName>
    <definedName function="false" hidden="false" localSheetId="4" name="_16_06_179" vbProcedure="false">'Data Détecteur IA'!$A$1:$L$391</definedName>
    <definedName function="false" hidden="false" localSheetId="4" name="_16_06_180" vbProcedure="false">'Data Détecteur IA'!$A$1:$L$397</definedName>
    <definedName function="false" hidden="false" localSheetId="4" name="_16_06_181" vbProcedure="false">'Data Détecteur IA'!$A$1:$L$285</definedName>
    <definedName function="false" hidden="false" localSheetId="4" name="_16_06_182" vbProcedure="false">'Data Détecteur IA'!$A$1:$L$285</definedName>
    <definedName function="false" hidden="false" localSheetId="4" name="_16_06_183" vbProcedure="false">'Data Détecteur IA'!$A$1:$L$397</definedName>
    <definedName function="false" hidden="false" localSheetId="4" name="_16_06_184" vbProcedure="false">'Data Détecteur IA'!$A$1:$L$397</definedName>
    <definedName function="false" hidden="false" localSheetId="4" name="_16_06_185" vbProcedure="false">'Data Détecteur IA'!$A$1:$L$397</definedName>
    <definedName function="false" hidden="false" localSheetId="4" name="_16_06_186" vbProcedure="false">'Data Détecteur IA'!$A$1:$L$397</definedName>
    <definedName function="false" hidden="false" localSheetId="4" name="_16_06_187" vbProcedure="false">'Data Détecteur IA'!$A$1:$L$397</definedName>
    <definedName function="false" hidden="false" localSheetId="4" name="_16_06_188" vbProcedure="false">'Data Détecteur IA'!$A$1:$L$285</definedName>
    <definedName function="false" hidden="false" localSheetId="4" name="_16_06_189" vbProcedure="false">'Data Détecteur IA'!$A$1:$L$397</definedName>
    <definedName function="false" hidden="false" localSheetId="4" name="_16_06_190" vbProcedure="false">'Data Détecteur IA'!$A$1:$L$397</definedName>
    <definedName function="false" hidden="false" localSheetId="4" name="_16_06_191" vbProcedure="false">'Data Détecteur IA'!$A$1:$L$397</definedName>
    <definedName function="false" hidden="false" localSheetId="4" name="_16_06_192" vbProcedure="false">'Data Détecteur IA'!$A$1:$L$397</definedName>
    <definedName function="false" hidden="false" localSheetId="4" name="_16_06_193" vbProcedure="false">'Data Détecteur IA'!$A$1:$L$285</definedName>
    <definedName function="false" hidden="false" localSheetId="4" name="_16_06_194" vbProcedure="false">'Data Détecteur IA'!$A$1:$L$391</definedName>
    <definedName function="false" hidden="false" localSheetId="4" name="_16_06_195" vbProcedure="false">'Data Détecteur IA'!$A$1:$L$134</definedName>
    <definedName function="false" hidden="false" localSheetId="4" name="_16_06_196" vbProcedure="false">'Data Détecteur IA'!$A$1:$L$134</definedName>
    <definedName function="false" hidden="false" localSheetId="4" name="_16_06_197" vbProcedure="false">'Data Détecteur IA'!$A$1:$L$397</definedName>
    <definedName function="false" hidden="false" localSheetId="4" name="_16_06_198" vbProcedure="false">'Data Détecteur IA'!$A$1:$L$397</definedName>
    <definedName function="false" hidden="false" localSheetId="4" name="_16_06_199" vbProcedure="false">'Data Détecteur IA'!$A$1:$L$285</definedName>
    <definedName function="false" hidden="false" localSheetId="4" name="_16_06_200" vbProcedure="false">'Data Détecteur IA'!$A$1:$L$397</definedName>
    <definedName function="false" hidden="false" localSheetId="4" name="_16_06_201" vbProcedure="false">'Data Détecteur IA'!$A$1:$L$285</definedName>
    <definedName function="false" hidden="false" localSheetId="4" name="_16_06_202" vbProcedure="false">'Data Détecteur IA'!$A$1:$L$397</definedName>
    <definedName function="false" hidden="false" localSheetId="4" name="_16_06_203" vbProcedure="false">'Data Détecteur IA'!$A$1:$L$285</definedName>
    <definedName function="false" hidden="false" localSheetId="4" name="_16_06_204" vbProcedure="false">'Data Détecteur IA'!$A$1:$L$397</definedName>
    <definedName function="false" hidden="false" localSheetId="4" name="_16_06_205" vbProcedure="false">'Data Détecteur IA'!$A$1:$L$391</definedName>
    <definedName function="false" hidden="false" localSheetId="4" name="_16_06_206" vbProcedure="false">'Data Détecteur IA'!$A$1:$L$134</definedName>
    <definedName function="false" hidden="false" localSheetId="4" name="_16_06_207" vbProcedure="false">'Data Détecteur IA'!$A$1:$L$134</definedName>
    <definedName function="false" hidden="false" localSheetId="4" name="_16_06_208" vbProcedure="false">'Data Détecteur IA'!$A$1:$L$285</definedName>
    <definedName function="false" hidden="false" localSheetId="4" name="_16_06_209" vbProcedure="false">'Data Détecteur IA'!$A$1:$L$285</definedName>
    <definedName function="false" hidden="false" localSheetId="4" name="_16_06_210" vbProcedure="false">'Data Détecteur IA'!$A$1:$L$397</definedName>
    <definedName function="false" hidden="false" localSheetId="4" name="_16_06_211" vbProcedure="false">'Data Détecteur IA'!$A$1:$L$397</definedName>
    <definedName function="false" hidden="false" localSheetId="4" name="_16_06_212" vbProcedure="false">'Data Détecteur IA'!$A$1:$L$285</definedName>
    <definedName function="false" hidden="false" localSheetId="4" name="_16_06_213" vbProcedure="false">'Data Détecteur IA'!$A$1:$L$134</definedName>
    <definedName function="false" hidden="false" localSheetId="4" name="_16_06_214" vbProcedure="false">'Data Détecteur IA'!$A$1:$L$397</definedName>
    <definedName function="false" hidden="false" localSheetId="4" name="_16_06_215" vbProcedure="false">'Data Détecteur IA'!$A$1:$L$397</definedName>
    <definedName function="false" hidden="false" localSheetId="4" name="_16_06_216" vbProcedure="false">'Data Détecteur IA'!$A$1:$L$134</definedName>
    <definedName function="false" hidden="false" localSheetId="4" name="_16_06_217" vbProcedure="false">'Data Détecteur IA'!$A$1:$L$397</definedName>
    <definedName function="false" hidden="false" localSheetId="4" name="_16_06_218" vbProcedure="false">'Data Détecteur IA'!$A$1:$L$285</definedName>
    <definedName function="false" hidden="false" localSheetId="4" name="_16_06_219" vbProcedure="false">'Data Détecteur IA'!$A$1:$L$397</definedName>
    <definedName function="false" hidden="false" localSheetId="4" name="_16_06_22" vbProcedure="false">'Data Détecteur IA'!$A$1:$L$265</definedName>
    <definedName function="false" hidden="false" localSheetId="4" name="_16_06_220" vbProcedure="false">'Data Détecteur IA'!$A$1:$L$285</definedName>
    <definedName function="false" hidden="false" localSheetId="4" name="_16_06_221" vbProcedure="false">'Data Détecteur IA'!$A$1:$L$285</definedName>
    <definedName function="false" hidden="false" localSheetId="4" name="_16_06_222" vbProcedure="false">'Data Détecteur IA'!$A$1:$L$285</definedName>
    <definedName function="false" hidden="false" localSheetId="4" name="_16_06_223" vbProcedure="false">'Data Détecteur IA'!$A$1:$L$397</definedName>
    <definedName function="false" hidden="false" localSheetId="4" name="_16_06_224" vbProcedure="false">'Data Détecteur IA'!$A$1:$L$285</definedName>
    <definedName function="false" hidden="false" localSheetId="4" name="_16_06_225" vbProcedure="false">'Data Détecteur IA'!$A$1:$L$285</definedName>
    <definedName function="false" hidden="false" localSheetId="4" name="_16_06_226" vbProcedure="false">'Data Détecteur IA'!$A$1:$L$134</definedName>
    <definedName function="false" hidden="false" localSheetId="4" name="_16_06_227" vbProcedure="false">'Data Détecteur IA'!$A$1:$L$134</definedName>
    <definedName function="false" hidden="false" localSheetId="4" name="_16_06_228" vbProcedure="false">'Data Détecteur IA'!$A$1:$L$285</definedName>
    <definedName function="false" hidden="false" localSheetId="4" name="_16_06_229" vbProcedure="false">'Data Détecteur IA'!$A$1:$L$285</definedName>
    <definedName function="false" hidden="false" localSheetId="4" name="_16_06_23" vbProcedure="false">'Data Détecteur IA'!$A$1:$L$371</definedName>
    <definedName function="false" hidden="false" localSheetId="4" name="_16_06_230" vbProcedure="false">'Data Détecteur IA'!$A$1:$L$397</definedName>
    <definedName function="false" hidden="false" localSheetId="4" name="_16_06_231" vbProcedure="false">'Data Détecteur IA'!$A$1:$L$397</definedName>
    <definedName function="false" hidden="false" localSheetId="4" name="_16_06_232" vbProcedure="false">'Data Détecteur IA'!$A$1:$L$391</definedName>
    <definedName function="false" hidden="false" localSheetId="4" name="_16_06_233" vbProcedure="false">'Data Détecteur IA'!$A$1:$L$397</definedName>
    <definedName function="false" hidden="false" localSheetId="4" name="_16_06_234" vbProcedure="false">'Data Détecteur IA'!$A$1:$L$397</definedName>
    <definedName function="false" hidden="false" localSheetId="4" name="_16_06_235" vbProcedure="false">'Data Détecteur IA'!$A$1:$L$285</definedName>
    <definedName function="false" hidden="false" localSheetId="4" name="_16_06_236" vbProcedure="false">'Data Détecteur IA'!$A$1:$L$397</definedName>
    <definedName function="false" hidden="false" localSheetId="4" name="_16_06_237" vbProcedure="false">'Data Détecteur IA'!$A$1:$L$397</definedName>
    <definedName function="false" hidden="false" localSheetId="4" name="_16_06_238" vbProcedure="false">'Data Détecteur IA'!$A$1:$L$397</definedName>
    <definedName function="false" hidden="false" localSheetId="4" name="_16_06_239" vbProcedure="false">'Data Détecteur IA'!$A$1:$L$134</definedName>
    <definedName function="false" hidden="false" localSheetId="4" name="_16_06_24" vbProcedure="false">'Data Détecteur IA'!$A$1:$L$371</definedName>
    <definedName function="false" hidden="false" localSheetId="4" name="_16_06_240" vbProcedure="false">'Data Détecteur IA'!$A$1:$L$134</definedName>
    <definedName function="false" hidden="false" localSheetId="4" name="_16_06_241" vbProcedure="false">'Data Détecteur IA'!$A$1:$L$285</definedName>
    <definedName function="false" hidden="false" localSheetId="4" name="_16_06_242" vbProcedure="false">'Data Détecteur IA'!$A$1:$L$471</definedName>
    <definedName function="false" hidden="false" localSheetId="4" name="_16_06_243" vbProcedure="false">'Data Détecteur IA'!$A$1:$L$471</definedName>
    <definedName function="false" hidden="false" localSheetId="4" name="_16_06_244" vbProcedure="false">'Data Détecteur IA'!$A$1:$L$359</definedName>
    <definedName function="false" hidden="false" localSheetId="4" name="_16_06_245" vbProcedure="false">'Data Détecteur IA'!$A$1:$L$471</definedName>
    <definedName function="false" hidden="false" localSheetId="4" name="_16_06_246" vbProcedure="false">'Data Détecteur IA'!$A$1:$L$471</definedName>
    <definedName function="false" hidden="false" localSheetId="4" name="_16_06_247" vbProcedure="false">'Data Détecteur IA'!$A$1:$L$149</definedName>
    <definedName function="false" hidden="false" localSheetId="4" name="_16_06_248" vbProcedure="false">'Data Détecteur IA'!$A$1:$L$149</definedName>
    <definedName function="false" hidden="false" localSheetId="4" name="_16_06_249" vbProcedure="false">'Data Détecteur IA'!$A$1:$L$359</definedName>
    <definedName function="false" hidden="false" localSheetId="4" name="_16_06_25" vbProcedure="false">'Data Détecteur IA'!$A$1:$L$377</definedName>
    <definedName function="false" hidden="false" localSheetId="4" name="_16_06_250" vbProcedure="false">'Data Détecteur IA'!$A$1:$L$359</definedName>
    <definedName function="false" hidden="false" localSheetId="4" name="_16_06_251" vbProcedure="false">'Data Détecteur IA'!$A$1:$L$471</definedName>
    <definedName function="false" hidden="false" localSheetId="4" name="_16_06_252" vbProcedure="false">'Data Détecteur IA'!$A$1:$L$471</definedName>
    <definedName function="false" hidden="false" localSheetId="4" name="_16_06_253" vbProcedure="false">'Data Détecteur IA'!$A$1:$L$149</definedName>
    <definedName function="false" hidden="false" localSheetId="4" name="_16_06_254" vbProcedure="false">'Data Détecteur IA'!$A$1:$L$359</definedName>
    <definedName function="false" hidden="false" localSheetId="4" name="_16_06_255" vbProcedure="false">'Data Détecteur IA'!$A$1:$L$359</definedName>
    <definedName function="false" hidden="false" localSheetId="4" name="_16_06_256" vbProcedure="false">'Data Détecteur IA'!$A$1:$L$149</definedName>
    <definedName function="false" hidden="false" localSheetId="4" name="_16_06_257" vbProcedure="false">'Data Détecteur IA'!$A$1:$L$149</definedName>
    <definedName function="false" hidden="false" localSheetId="4" name="_16_06_258" vbProcedure="false">'Data Détecteur IA'!$A$1:$L$471</definedName>
    <definedName function="false" hidden="false" localSheetId="4" name="_16_06_259" vbProcedure="false">'Data Détecteur IA'!$A$1:$L$359</definedName>
    <definedName function="false" hidden="false" localSheetId="4" name="_16_06_26" vbProcedure="false">'Data Détecteur IA'!$A$1:$L$265</definedName>
    <definedName function="false" hidden="false" localSheetId="4" name="_16_06_260" vbProcedure="false">'Data Détecteur IA'!$A$1:$L$359</definedName>
    <definedName function="false" hidden="false" localSheetId="4" name="_16_06_261" vbProcedure="false">'Data Détecteur IA'!$A$1:$L$359</definedName>
    <definedName function="false" hidden="false" localSheetId="4" name="_16_06_262" vbProcedure="false">'Data Détecteur IA'!$A$1:$L$359</definedName>
    <definedName function="false" hidden="false" localSheetId="4" name="_16_06_263" vbProcedure="false">'Data Détecteur IA'!$A$1:$L$471</definedName>
    <definedName function="false" hidden="false" localSheetId="4" name="_16_06_264" vbProcedure="false">'Data Détecteur IA'!$A$1:$L$471</definedName>
    <definedName function="false" hidden="false" localSheetId="4" name="_16_06_265" vbProcedure="false">'Data Détecteur IA'!$A$1:$L$471</definedName>
    <definedName function="false" hidden="false" localSheetId="4" name="_16_06_266" vbProcedure="false">'Data Détecteur IA'!$A$1:$L$471</definedName>
    <definedName function="false" hidden="false" localSheetId="4" name="_16_06_267" vbProcedure="false">'Data Détecteur IA'!$A$1:$L$359</definedName>
    <definedName function="false" hidden="false" localSheetId="4" name="_16_06_268" vbProcedure="false">'Data Détecteur IA'!$A$1:$L$471</definedName>
    <definedName function="false" hidden="false" localSheetId="4" name="_16_06_269" vbProcedure="false">'Data Détecteur IA'!$A$1:$L$471</definedName>
    <definedName function="false" hidden="false" localSheetId="4" name="_16_06_27" vbProcedure="false">'Data Détecteur IA'!$A$1:$L$265</definedName>
    <definedName function="false" hidden="false" localSheetId="4" name="_16_06_270" vbProcedure="false">'Data Détecteur IA'!$A$1:$L$471</definedName>
    <definedName function="false" hidden="false" localSheetId="4" name="_16_06_271" vbProcedure="false">'Data Détecteur IA'!$A$1:$L$471</definedName>
    <definedName function="false" hidden="false" localSheetId="4" name="_16_06_272" vbProcedure="false">'Data Détecteur IA'!$A$1:$L$359</definedName>
    <definedName function="false" hidden="false" localSheetId="4" name="_16_06_273" vbProcedure="false">'Data Détecteur IA'!$A$1:$L$471</definedName>
    <definedName function="false" hidden="false" localSheetId="4" name="_16_06_274" vbProcedure="false">'Data Détecteur IA'!$A$1:$L$465</definedName>
    <definedName function="false" hidden="false" localSheetId="4" name="_16_06_275" vbProcedure="false">'Data Détecteur IA'!$A$1:$L$149</definedName>
    <definedName function="false" hidden="false" localSheetId="4" name="_16_06_276" vbProcedure="false">'Data Détecteur IA'!$A$1:$L$359</definedName>
    <definedName function="false" hidden="false" localSheetId="4" name="_16_06_277" vbProcedure="false">'Data Détecteur IA'!$A$1:$L$471</definedName>
    <definedName function="false" hidden="false" localSheetId="4" name="_16_06_278" vbProcedure="false">'Data Détecteur IA'!$A$1:$L$471</definedName>
    <definedName function="false" hidden="false" localSheetId="4" name="_16_06_279" vbProcedure="false">'Data Détecteur IA'!$A$1:$L$359</definedName>
    <definedName function="false" hidden="false" localSheetId="4" name="_16_06_28" vbProcedure="false">'Data Détecteur IA'!$A$1:$L$377</definedName>
    <definedName function="false" hidden="false" localSheetId="4" name="_16_06_280" vbProcedure="false">'Data Détecteur IA'!$A$1:$L$149</definedName>
    <definedName function="false" hidden="false" localSheetId="4" name="_16_06_281" vbProcedure="false">'Data Détecteur IA'!$A$1:$L$471</definedName>
    <definedName function="false" hidden="false" localSheetId="4" name="_16_06_282" vbProcedure="false">'Data Détecteur IA'!$A$1:$L$471</definedName>
    <definedName function="false" hidden="false" localSheetId="4" name="_16_06_283" vbProcedure="false">'Data Détecteur IA'!$A$1:$L$359</definedName>
    <definedName function="false" hidden="false" localSheetId="4" name="_16_06_284" vbProcedure="false">'Data Détecteur IA'!$A$1:$L$149</definedName>
    <definedName function="false" hidden="false" localSheetId="4" name="_16_06_285" vbProcedure="false">'Data Détecteur IA'!$A$1:$L$465</definedName>
    <definedName function="false" hidden="false" localSheetId="4" name="_16_06_286" vbProcedure="false">'Data Détecteur IA'!$A$1:$L$471</definedName>
    <definedName function="false" hidden="false" localSheetId="4" name="_16_06_287" vbProcedure="false">'Data Détecteur IA'!$A$1:$L$471</definedName>
    <definedName function="false" hidden="false" localSheetId="4" name="_16_06_288" vbProcedure="false">'Data Détecteur IA'!$A$1:$L$359</definedName>
    <definedName function="false" hidden="false" localSheetId="4" name="_16_06_289" vbProcedure="false">'Data Détecteur IA'!$A$1:$L$149</definedName>
    <definedName function="false" hidden="false" localSheetId="4" name="_16_06_29" vbProcedure="false">'Data Détecteur IA'!$A$1:$L$377</definedName>
    <definedName function="false" hidden="false" localSheetId="4" name="_16_06_290" vbProcedure="false">'Data Détecteur IA'!$A$1:$L$471</definedName>
    <definedName function="false" hidden="false" localSheetId="4" name="_16_06_291" vbProcedure="false">'Data Détecteur IA'!$A$1:$L$359</definedName>
    <definedName function="false" hidden="false" localSheetId="4" name="_16_06_292" vbProcedure="false">'Data Détecteur IA'!$A$1:$L$471</definedName>
    <definedName function="false" hidden="false" localSheetId="4" name="_16_06_293" vbProcedure="false">'Data Détecteur IA'!$A$1:$L$471</definedName>
    <definedName function="false" hidden="false" localSheetId="4" name="_16_06_294" vbProcedure="false">'Data Détecteur IA'!$A$1:$L$359</definedName>
    <definedName function="false" hidden="false" localSheetId="4" name="_16_06_295" vbProcedure="false">'Data Détecteur IA'!$A$1:$L$359</definedName>
    <definedName function="false" hidden="false" localSheetId="4" name="_16_06_296" vbProcedure="false">'Data Détecteur IA'!$A$1:$L$149</definedName>
    <definedName function="false" hidden="false" localSheetId="4" name="_16_06_297" vbProcedure="false">'Data Détecteur IA'!$A$1:$L$471</definedName>
    <definedName function="false" hidden="false" localSheetId="4" name="_16_06_298" vbProcedure="false">'Data Détecteur IA'!$A$1:$L$149</definedName>
    <definedName function="false" hidden="false" localSheetId="4" name="_16_06_299" vbProcedure="false">'Data Détecteur IA'!$A$1:$L$359</definedName>
    <definedName function="false" hidden="false" localSheetId="4" name="_16_06_30" vbProcedure="false">'Data Détecteur IA'!$A$1:$L$377</definedName>
    <definedName function="false" hidden="false" localSheetId="4" name="_16_06_300" vbProcedure="false">'Data Détecteur IA'!$A$1:$L$359</definedName>
    <definedName function="false" hidden="false" localSheetId="4" name="_16_06_301" vbProcedure="false">'Data Détecteur IA'!$A$1:$L$149</definedName>
    <definedName function="false" hidden="false" localSheetId="4" name="_16_06_302" vbProcedure="false">'Data Détecteur IA'!$A$1:$L$471</definedName>
    <definedName function="false" hidden="false" localSheetId="4" name="_16_06_303" vbProcedure="false">'Data Détecteur IA'!$A$1:$L$149</definedName>
    <definedName function="false" hidden="false" localSheetId="4" name="_16_06_304" vbProcedure="false">'Data Détecteur IA'!$A$1:$L$359</definedName>
    <definedName function="false" hidden="false" localSheetId="4" name="_16_06_305" vbProcedure="false">'Data Détecteur IA'!$A$1:$L$471</definedName>
    <definedName function="false" hidden="false" localSheetId="4" name="_16_06_306" vbProcedure="false">'Data Détecteur IA'!$A$1:$L$359</definedName>
    <definedName function="false" hidden="false" localSheetId="4" name="_16_06_307" vbProcedure="false">'Data Détecteur IA'!$A$1:$L$471</definedName>
    <definedName function="false" hidden="false" localSheetId="4" name="_16_06_308" vbProcedure="false">'Data Détecteur IA'!$A$1:$L$149</definedName>
    <definedName function="false" hidden="false" localSheetId="4" name="_16_06_309" vbProcedure="false">'Data Détecteur IA'!$A$1:$L$471</definedName>
    <definedName function="false" hidden="false" localSheetId="4" name="_16_06_31" vbProcedure="false">'Data Détecteur IA'!$A$1:$L$377</definedName>
    <definedName function="false" hidden="false" localSheetId="4" name="_16_06_310" vbProcedure="false">'Data Détecteur IA'!$A$1:$L$465</definedName>
    <definedName function="false" hidden="false" localSheetId="4" name="_16_06_311" vbProcedure="false">'Data Détecteur IA'!$A$1:$L$471</definedName>
    <definedName function="false" hidden="false" localSheetId="4" name="_16_06_312" vbProcedure="false">'Data Détecteur IA'!$A$1:$L$465</definedName>
    <definedName function="false" hidden="false" localSheetId="4" name="_16_06_313" vbProcedure="false">'Data Détecteur IA'!$A$1:$L$359</definedName>
    <definedName function="false" hidden="false" localSheetId="4" name="_16_06_314" vbProcedure="false">'Data Détecteur IA'!$A$1:$L$471</definedName>
    <definedName function="false" hidden="false" localSheetId="4" name="_16_06_315" vbProcedure="false">'Data Détecteur IA'!$A$1:$L$471</definedName>
    <definedName function="false" hidden="false" localSheetId="4" name="_16_06_316" vbProcedure="false">'Data Détecteur IA'!$A$1:$L$359</definedName>
    <definedName function="false" hidden="false" localSheetId="4" name="_16_06_317" vbProcedure="false">'Data Détecteur IA'!$A$1:$L$471</definedName>
    <definedName function="false" hidden="false" localSheetId="4" name="_16_06_318" vbProcedure="false">'Data Détecteur IA'!$A$1:$L$359</definedName>
    <definedName function="false" hidden="false" localSheetId="4" name="_16_06_319" vbProcedure="false">'Data Détecteur IA'!$A$1:$L$471</definedName>
    <definedName function="false" hidden="false" localSheetId="4" name="_16_06_32" vbProcedure="false">'Data Détecteur IA'!$A$1:$L$129</definedName>
    <definedName function="false" hidden="false" localSheetId="4" name="_16_06_320" vbProcedure="false">'Data Détecteur IA'!$A$1:$L$471</definedName>
    <definedName function="false" hidden="false" localSheetId="4" name="_16_06_321" vbProcedure="false">'Data Détecteur IA'!$A$1:$L$471</definedName>
    <definedName function="false" hidden="false" localSheetId="4" name="_16_06_322" vbProcedure="false">'Data Détecteur IA'!$A$1:$L$471</definedName>
    <definedName function="false" hidden="false" localSheetId="4" name="_16_06_323" vbProcedure="false">'Data Détecteur IA'!$A$1:$L$471</definedName>
    <definedName function="false" hidden="false" localSheetId="4" name="_16_06_324" vbProcedure="false">'Data Détecteur IA'!$A$1:$L$359</definedName>
    <definedName function="false" hidden="false" localSheetId="4" name="_16_06_325" vbProcedure="false">'Data Détecteur IA'!$A$1:$L$471</definedName>
    <definedName function="false" hidden="false" localSheetId="4" name="_16_06_326" vbProcedure="false">'Data Détecteur IA'!$A$1:$L$359</definedName>
    <definedName function="false" hidden="false" localSheetId="4" name="_16_06_327" vbProcedure="false">'Data Détecteur IA'!$A$1:$L$149</definedName>
    <definedName function="false" hidden="false" localSheetId="4" name="_16_06_328" vbProcedure="false">'Data Détecteur IA'!$A$1:$L$471</definedName>
    <definedName function="false" hidden="false" localSheetId="4" name="_16_06_329" vbProcedure="false">'Data Détecteur IA'!$A$1:$L$471</definedName>
    <definedName function="false" hidden="false" localSheetId="4" name="_16_06_33" vbProcedure="false">'Data Détecteur IA'!$A$1:$L$129</definedName>
    <definedName function="false" hidden="false" localSheetId="4" name="_16_06_330" vbProcedure="false">'Data Détecteur IA'!$A$1:$L$465</definedName>
    <definedName function="false" hidden="false" localSheetId="4" name="_16_06_331" vbProcedure="false">'Data Détecteur IA'!$A$1:$L$471</definedName>
    <definedName function="false" hidden="false" localSheetId="4" name="_16_06_332" vbProcedure="false">'Data Détecteur IA'!$A$1:$L$359</definedName>
    <definedName function="false" hidden="false" localSheetId="4" name="_16_06_333" vbProcedure="false">'Data Détecteur IA'!$A$1:$L$471</definedName>
    <definedName function="false" hidden="false" localSheetId="4" name="_16_06_334" vbProcedure="false">'Data Détecteur IA'!$A$1:$L$359</definedName>
    <definedName function="false" hidden="false" localSheetId="4" name="_16_06_335" vbProcedure="false">'Data Détecteur IA'!$A$1:$L$359</definedName>
    <definedName function="false" hidden="false" localSheetId="4" name="_16_06_336" vbProcedure="false">'Data Détecteur IA'!$A$1:$L$359</definedName>
    <definedName function="false" hidden="false" localSheetId="4" name="_16_06_337" vbProcedure="false">'Data Détecteur IA'!$A$1:$L$149</definedName>
    <definedName function="false" hidden="false" localSheetId="4" name="_16_06_338" vbProcedure="false">'Data Détecteur IA'!$A$1:$L$149</definedName>
    <definedName function="false" hidden="false" localSheetId="4" name="_16_06_339" vbProcedure="false">'Data Détecteur IA'!$A$1:$L$471</definedName>
    <definedName function="false" hidden="false" localSheetId="4" name="_16_06_34" vbProcedure="false">'Data Détecteur IA'!$A$1:$L$129</definedName>
    <definedName function="false" hidden="false" localSheetId="4" name="_16_06_340" vbProcedure="false">'Data Détecteur IA'!$A$1:$L$359</definedName>
    <definedName function="false" hidden="false" localSheetId="4" name="_16_06_341" vbProcedure="false">'Data Détecteur IA'!$A$1:$L$471</definedName>
    <definedName function="false" hidden="false" localSheetId="4" name="_16_06_342" vbProcedure="false">'Data Détecteur IA'!$A$1:$L$471</definedName>
    <definedName function="false" hidden="false" localSheetId="4" name="_16_06_343" vbProcedure="false">'Data Détecteur IA'!$A$1:$L$149</definedName>
    <definedName function="false" hidden="false" localSheetId="4" name="_16_06_344" vbProcedure="false">'Data Détecteur IA'!$A$1:$L$359</definedName>
    <definedName function="false" hidden="false" localSheetId="4" name="_16_06_345" vbProcedure="false">'Data Détecteur IA'!$A$1:$L$149</definedName>
    <definedName function="false" hidden="false" localSheetId="4" name="_16_06_346" vbProcedure="false">'Data Détecteur IA'!$A$1:$L$471</definedName>
    <definedName function="false" hidden="false" localSheetId="4" name="_16_06_347" vbProcedure="false">'Data Détecteur IA'!$A$1:$L$149</definedName>
    <definedName function="false" hidden="false" localSheetId="4" name="_16_06_348" vbProcedure="false">'Data Détecteur IA'!$A$1:$L$471</definedName>
    <definedName function="false" hidden="false" localSheetId="4" name="_16_06_349" vbProcedure="false">'Data Détecteur IA'!$A$1:$L$359</definedName>
    <definedName function="false" hidden="false" localSheetId="4" name="_16_06_35" vbProcedure="false">'Data Détecteur IA'!$A$1:$L$129</definedName>
    <definedName function="false" hidden="false" localSheetId="4" name="_16_06_350" vbProcedure="false">'Data Détecteur IA'!$A$1:$L$471</definedName>
    <definedName function="false" hidden="false" localSheetId="4" name="_16_06_351" vbProcedure="false">'Data Détecteur IA'!$A$1:$L$359</definedName>
    <definedName function="false" hidden="false" localSheetId="4" name="_16_06_352" vbProcedure="false">'Data Détecteur IA'!$A$1:$L$359</definedName>
    <definedName function="false" hidden="false" localSheetId="4" name="_16_06_353" vbProcedure="false">'Data Détecteur IA'!$A$1:$L$471</definedName>
    <definedName function="false" hidden="false" localSheetId="4" name="_16_06_354" vbProcedure="false">'Data Détecteur IA'!$A$1:$L$359</definedName>
    <definedName function="false" hidden="false" localSheetId="4" name="_16_06_355" vbProcedure="false">'Data Détecteur IA'!$A$1:$L$359</definedName>
    <definedName function="false" hidden="false" localSheetId="4" name="_16_06_356" vbProcedure="false">'Data Détecteur IA'!$A$1:$L$149</definedName>
    <definedName function="false" hidden="false" localSheetId="4" name="_16_06_357" vbProcedure="false">'Data Détecteur IA'!$A$1:$L$471</definedName>
    <definedName function="false" hidden="false" localSheetId="4" name="_16_06_358" vbProcedure="false">'Data Détecteur IA'!$A$1:$L$359</definedName>
    <definedName function="false" hidden="false" localSheetId="4" name="_16_06_359" vbProcedure="false">'Data Détecteur IA'!$A$1:$L$359</definedName>
    <definedName function="false" hidden="false" localSheetId="4" name="_16_06_36" vbProcedure="false">'Data Détecteur IA'!$A$1:$L$129</definedName>
    <definedName function="false" hidden="false" localSheetId="4" name="_16_06_360" vbProcedure="false">'Data Détecteur IA'!$A$1:$L$471</definedName>
    <definedName function="false" hidden="false" localSheetId="4" name="_16_06_361" vbProcedure="false">'Data Détecteur IA'!$A$1:$L$149</definedName>
    <definedName function="false" hidden="false" localSheetId="4" name="_16_06_362" vbProcedure="false">'Data Détecteur IA'!$A$1:$L$359</definedName>
    <definedName function="false" hidden="false" localSheetId="4" name="_16_06_363" vbProcedure="false">'Data Détecteur IA'!$A$1:$L$149</definedName>
    <definedName function="false" hidden="false" localSheetId="4" name="_16_06_364" vbProcedure="false">'Data Détecteur IA'!$A$1:$L$359</definedName>
    <definedName function="false" hidden="false" localSheetId="4" name="_16_06_365" vbProcedure="false">'Data Détecteur IA'!$A$1:$L$359</definedName>
    <definedName function="false" hidden="false" localSheetId="4" name="_16_06_366" vbProcedure="false">'Data Détecteur IA'!$A$1:$L$471</definedName>
    <definedName function="false" hidden="false" localSheetId="4" name="_16_06_367" vbProcedure="false">'Data Détecteur IA'!$A$1:$L$471</definedName>
    <definedName function="false" hidden="false" localSheetId="4" name="_16_06_368" vbProcedure="false">'Data Détecteur IA'!$A$1:$L$359</definedName>
    <definedName function="false" hidden="false" localSheetId="4" name="_16_06_369" vbProcedure="false">'Data Détecteur IA'!$A$1:$L$471</definedName>
    <definedName function="false" hidden="false" localSheetId="4" name="_16_06_37" vbProcedure="false">'Data Détecteur IA'!$A$1:$L$129</definedName>
    <definedName function="false" hidden="false" localSheetId="4" name="_16_06_370" vbProcedure="false">'Data Détecteur IA'!$A$1:$L$149</definedName>
    <definedName function="false" hidden="false" localSheetId="4" name="_16_06_371" vbProcedure="false">'Data Détecteur IA'!$A$1:$L$471</definedName>
    <definedName function="false" hidden="false" localSheetId="4" name="_16_06_372" vbProcedure="false">'Data Détecteur IA'!$A$1:$L$471</definedName>
    <definedName function="false" hidden="false" localSheetId="4" name="_16_06_373" vbProcedure="false">'Data Détecteur IA'!$A$1:$L$149</definedName>
    <definedName function="false" hidden="false" localSheetId="4" name="_16_06_374" vbProcedure="false">'Data Détecteur IA'!$A$1:$L$359</definedName>
    <definedName function="false" hidden="false" localSheetId="4" name="_16_06_375" vbProcedure="false">'Data Détecteur IA'!$A$1:$L$471</definedName>
    <definedName function="false" hidden="false" localSheetId="4" name="_16_06_376" vbProcedure="false">'Data Détecteur IA'!$A$1:$L$471</definedName>
    <definedName function="false" hidden="false" localSheetId="4" name="_16_06_377" vbProcedure="false">'Data Détecteur IA'!$A$1:$L$471</definedName>
    <definedName function="false" hidden="false" localSheetId="4" name="_16_06_378" vbProcedure="false">'Data Détecteur IA'!$A$1:$L$359</definedName>
    <definedName function="false" hidden="false" localSheetId="4" name="_16_06_379" vbProcedure="false">'Data Détecteur IA'!$A$1:$L$471</definedName>
    <definedName function="false" hidden="false" localSheetId="4" name="_16_06_38" vbProcedure="false">'Data Détecteur IA'!$A$1:$L$265</definedName>
    <definedName function="false" hidden="false" localSheetId="4" name="_16_06_380" vbProcedure="false">'Data Détecteur IA'!$A$1:$L$471</definedName>
    <definedName function="false" hidden="false" localSheetId="4" name="_16_06_381" vbProcedure="false">'Data Détecteur IA'!$A$1:$L$471</definedName>
    <definedName function="false" hidden="false" localSheetId="4" name="_16_06_382" vbProcedure="false">'Data Détecteur IA'!$A$1:$L$471</definedName>
    <definedName function="false" hidden="false" localSheetId="4" name="_16_06_383" vbProcedure="false">'Data Détecteur IA'!$A$1:$L$359</definedName>
    <definedName function="false" hidden="false" localSheetId="4" name="_16_06_384" vbProcedure="false">'Data Détecteur IA'!$A$1:$L$471</definedName>
    <definedName function="false" hidden="false" localSheetId="4" name="_16_06_385" vbProcedure="false">'Data Détecteur IA'!$A$1:$L$465</definedName>
    <definedName function="false" hidden="false" localSheetId="4" name="_16_06_386" vbProcedure="false">'Data Détecteur IA'!$A$1:$L$149</definedName>
    <definedName function="false" hidden="false" localSheetId="4" name="_16_06_387" vbProcedure="false">'Data Détecteur IA'!$A$1:$L$149</definedName>
    <definedName function="false" hidden="false" localSheetId="4" name="_16_06_388" vbProcedure="false">'Data Détecteur IA'!$A$1:$L$359</definedName>
    <definedName function="false" hidden="false" localSheetId="4" name="_16_06_389" vbProcedure="false">'Data Détecteur IA'!$A$1:$L$359</definedName>
    <definedName function="false" hidden="false" localSheetId="4" name="_16_06_39" vbProcedure="false">'Data Détecteur IA'!$A$1:$L$377</definedName>
    <definedName function="false" hidden="false" localSheetId="4" name="_16_06_390" vbProcedure="false">'Data Détecteur IA'!$A$1:$L$471</definedName>
    <definedName function="false" hidden="false" localSheetId="4" name="_16_06_391" vbProcedure="false">'Data Détecteur IA'!$A$1:$L$149</definedName>
    <definedName function="false" hidden="false" localSheetId="4" name="_16_06_392" vbProcedure="false">'Data Détecteur IA'!$A$1:$L$471</definedName>
    <definedName function="false" hidden="false" localSheetId="4" name="_16_06_393" vbProcedure="false">'Data Détecteur IA'!$A$1:$L$471</definedName>
    <definedName function="false" hidden="false" localSheetId="4" name="_16_06_394" vbProcedure="false">'Data Détecteur IA'!$A$1:$L$149</definedName>
    <definedName function="false" hidden="false" localSheetId="4" name="_16_06_395" vbProcedure="false">'Data Détecteur IA'!$A$1:$L$149</definedName>
    <definedName function="false" hidden="false" localSheetId="4" name="_16_06_396" vbProcedure="false">'Data Détecteur IA'!$A$1:$L$359</definedName>
    <definedName function="false" hidden="false" localSheetId="4" name="_16_06_397" vbProcedure="false">'Data Détecteur IA'!$A$1:$L$359</definedName>
    <definedName function="false" hidden="false" localSheetId="4" name="_16_06_398" vbProcedure="false">'Data Détecteur IA'!$A$1:$L$359</definedName>
    <definedName function="false" hidden="false" localSheetId="4" name="_16_06_399" vbProcedure="false">'Data Détecteur IA'!$A$1:$L$471</definedName>
    <definedName function="false" hidden="false" localSheetId="4" name="_16_06_40" vbProcedure="false">'Data Détecteur IA'!$A$1:$L$377</definedName>
    <definedName function="false" hidden="false" localSheetId="4" name="_16_06_400" vbProcedure="false">'Data Détecteur IA'!$A$1:$L$359</definedName>
    <definedName function="false" hidden="false" localSheetId="4" name="_16_06_401" vbProcedure="false">'Data Détecteur IA'!$A$1:$L$359</definedName>
    <definedName function="false" hidden="false" localSheetId="4" name="_16_06_402" vbProcedure="false">'Data Détecteur IA'!$A$1:$L$471</definedName>
    <definedName function="false" hidden="false" localSheetId="4" name="_16_06_403" vbProcedure="false">'Data Détecteur IA'!$A$1:$L$359</definedName>
    <definedName function="false" hidden="false" localSheetId="4" name="_16_06_404" vbProcedure="false">'Data Détecteur IA'!$A$1:$L$359</definedName>
    <definedName function="false" hidden="false" localSheetId="4" name="_16_06_405" vbProcedure="false">'Data Détecteur IA'!$A$1:$L$359</definedName>
    <definedName function="false" hidden="false" localSheetId="4" name="_16_06_406" vbProcedure="false">'Data Détecteur IA'!$A$1:$L$471</definedName>
    <definedName function="false" hidden="false" localSheetId="4" name="_16_06_407" vbProcedure="false">'Data Détecteur IA'!$A$1:$L$465</definedName>
    <definedName function="false" hidden="false" localSheetId="4" name="_16_06_408" vbProcedure="false">'Data Détecteur IA'!$A$1:$L$465</definedName>
    <definedName function="false" hidden="false" localSheetId="4" name="_16_06_409" vbProcedure="false">'Data Détecteur IA'!$A$1:$L$471</definedName>
    <definedName function="false" hidden="false" localSheetId="4" name="_16_06_41" vbProcedure="false">'Data Détecteur IA'!$A$1:$L$265</definedName>
    <definedName function="false" hidden="false" localSheetId="4" name="_16_06_410" vbProcedure="false">'Data Détecteur IA'!$A$1:$L$471</definedName>
    <definedName function="false" hidden="false" localSheetId="4" name="_16_06_411" vbProcedure="false">'Data Détecteur IA'!$A$1:$L$359</definedName>
    <definedName function="false" hidden="false" localSheetId="4" name="_16_06_412" vbProcedure="false">'Data Détecteur IA'!$A$1:$L$359</definedName>
    <definedName function="false" hidden="false" localSheetId="4" name="_16_06_413" vbProcedure="false">'Data Détecteur IA'!$A$1:$L$471</definedName>
    <definedName function="false" hidden="false" localSheetId="4" name="_16_06_414" vbProcedure="false">'Data Détecteur IA'!$A$1:$L$149</definedName>
    <definedName function="false" hidden="false" localSheetId="4" name="_16_06_415" vbProcedure="false">'Data Détecteur IA'!$A$1:$L$471</definedName>
    <definedName function="false" hidden="false" localSheetId="4" name="_16_06_416" vbProcedure="false">'Data Détecteur IA'!$A$1:$L$471</definedName>
    <definedName function="false" hidden="false" localSheetId="4" name="_16_06_417" vbProcedure="false">'Data Détecteur IA'!$A$1:$L$149</definedName>
    <definedName function="false" hidden="false" localSheetId="4" name="_16_06_418" vbProcedure="false">'Data Détecteur IA'!$A$1:$L$359</definedName>
    <definedName function="false" hidden="false" localSheetId="4" name="_16_06_419" vbProcedure="false">'Data Détecteur IA'!$A$1:$L$359</definedName>
    <definedName function="false" hidden="false" localSheetId="4" name="_16_06_42" vbProcedure="false">'Data Détecteur IA'!$A$1:$L$265</definedName>
    <definedName function="false" hidden="false" localSheetId="4" name="_16_06_420" vbProcedure="false">'Data Détecteur IA'!$A$1:$L$359</definedName>
    <definedName function="false" hidden="false" localSheetId="4" name="_16_06_421" vbProcedure="false">'Data Détecteur IA'!$A$1:$L$149</definedName>
    <definedName function="false" hidden="false" localSheetId="4" name="_16_06_422" vbProcedure="false">'Data Détecteur IA'!$A$1:$L$359</definedName>
    <definedName function="false" hidden="false" localSheetId="4" name="_16_06_423" vbProcedure="false">'Data Détecteur IA'!$A$1:$L$471</definedName>
    <definedName function="false" hidden="false" localSheetId="4" name="_16_06_424" vbProcedure="false">'Data Détecteur IA'!$A$1:$L$359</definedName>
    <definedName function="false" hidden="false" localSheetId="4" name="_16_06_425" vbProcedure="false">'Data Détecteur IA'!$A$1:$L$471</definedName>
    <definedName function="false" hidden="false" localSheetId="4" name="_16_06_426" vbProcedure="false">'Data Détecteur IA'!$A$1:$L$471</definedName>
    <definedName function="false" hidden="false" localSheetId="4" name="_16_06_427" vbProcedure="false">'Data Détecteur IA'!$A$1:$L$149</definedName>
    <definedName function="false" hidden="false" localSheetId="4" name="_16_06_428" vbProcedure="false">'Data Détecteur IA'!$A$1:$L$471</definedName>
    <definedName function="false" hidden="false" localSheetId="4" name="_16_06_429" vbProcedure="false">'Data Détecteur IA'!$A$1:$L$471</definedName>
    <definedName function="false" hidden="false" localSheetId="4" name="_16_06_43" vbProcedure="false">'Data Détecteur IA'!$A$1:$L$265</definedName>
    <definedName function="false" hidden="false" localSheetId="4" name="_16_06_430" vbProcedure="false">'Data Détecteur IA'!$A$1:$L$471</definedName>
    <definedName function="false" hidden="false" localSheetId="4" name="_16_06_431" vbProcedure="false">'Data Détecteur IA'!$A$1:$L$149</definedName>
    <definedName function="false" hidden="false" localSheetId="4" name="_16_06_432" vbProcedure="false">'Data Détecteur IA'!$A$1:$L$149</definedName>
    <definedName function="false" hidden="false" localSheetId="4" name="_16_06_433" vbProcedure="false">'Data Détecteur IA'!$A$1:$L$149</definedName>
    <definedName function="false" hidden="false" localSheetId="4" name="_16_06_434" vbProcedure="false">'Data Détecteur IA'!$A$1:$L$471</definedName>
    <definedName function="false" hidden="false" localSheetId="4" name="_16_06_435" vbProcedure="false">'Data Détecteur IA'!$A$1:$L$471</definedName>
    <definedName function="false" hidden="false" localSheetId="4" name="_16_06_436" vbProcedure="false">'Data Détecteur IA'!$A$1:$L$359</definedName>
    <definedName function="false" hidden="false" localSheetId="4" name="_16_06_437" vbProcedure="false">'Data Détecteur IA'!$A$1:$L$359</definedName>
    <definedName function="false" hidden="false" localSheetId="4" name="_16_06_438" vbProcedure="false">'Data Détecteur IA'!$A$1:$L$359</definedName>
    <definedName function="false" hidden="false" localSheetId="4" name="_16_06_439" vbProcedure="false">'Data Détecteur IA'!$A$1:$L$471</definedName>
    <definedName function="false" hidden="false" localSheetId="4" name="_16_06_44" vbProcedure="false">'Data Détecteur IA'!$A$1:$L$377</definedName>
    <definedName function="false" hidden="false" localSheetId="4" name="_16_06_440" vbProcedure="false">'Data Détecteur IA'!$A$1:$L$471</definedName>
    <definedName function="false" hidden="false" localSheetId="4" name="_16_06_441" vbProcedure="false">'Data Détecteur IA'!$A$1:$L$471</definedName>
    <definedName function="false" hidden="false" localSheetId="4" name="_16_06_442" vbProcedure="false">'Data Détecteur IA'!$A$1:$L$359</definedName>
    <definedName function="false" hidden="false" localSheetId="4" name="_16_06_443" vbProcedure="false">'Data Détecteur IA'!$A$1:$L$359</definedName>
    <definedName function="false" hidden="false" localSheetId="4" name="_16_06_444" vbProcedure="false">'Data Détecteur IA'!$A$1:$L$359</definedName>
    <definedName function="false" hidden="false" localSheetId="4" name="_16_06_445" vbProcedure="false">'Data Détecteur IA'!$A$1:$L$149</definedName>
    <definedName function="false" hidden="false" localSheetId="4" name="_16_06_446" vbProcedure="false">'Data Détecteur IA'!$A$1:$L$471</definedName>
    <definedName function="false" hidden="false" localSheetId="4" name="_16_06_447" vbProcedure="false">'Data Détecteur IA'!$A$1:$L$359</definedName>
    <definedName function="false" hidden="false" localSheetId="4" name="_16_06_448" vbProcedure="false">'Data Détecteur IA'!$A$1:$L$149</definedName>
    <definedName function="false" hidden="false" localSheetId="4" name="_16_06_449" vbProcedure="false">'Data Détecteur IA'!$A$1:$L$149</definedName>
    <definedName function="false" hidden="false" localSheetId="4" name="_16_06_45" vbProcedure="false">'Data Détecteur IA'!$A$1:$L$377</definedName>
    <definedName function="false" hidden="false" localSheetId="4" name="_16_06_450" vbProcedure="false">'Data Détecteur IA'!$A$1:$L$359</definedName>
    <definedName function="false" hidden="false" localSheetId="4" name="_16_06_451" vbProcedure="false">'Data Détecteur IA'!$A$1:$L$471</definedName>
    <definedName function="false" hidden="false" localSheetId="4" name="_16_06_452" vbProcedure="false">'Data Détecteur IA'!$A$1:$L$471</definedName>
    <definedName function="false" hidden="false" localSheetId="4" name="_16_06_453" vbProcedure="false">'Data Détecteur IA'!$A$1:$L$471</definedName>
    <definedName function="false" hidden="false" localSheetId="4" name="_16_06_454" vbProcedure="false">'Data Détecteur IA'!$A$1:$L$359</definedName>
    <definedName function="false" hidden="false" localSheetId="4" name="_16_06_455" vbProcedure="false">'Data Détecteur IA'!$A$1:$L$471</definedName>
    <definedName function="false" hidden="false" localSheetId="4" name="_16_06_456" vbProcedure="false">'Data Détecteur IA'!$A$1:$L$359</definedName>
    <definedName function="false" hidden="false" localSheetId="4" name="_16_06_457" vbProcedure="false">'Data Détecteur IA'!$A$1:$L$359</definedName>
    <definedName function="false" hidden="false" localSheetId="4" name="_16_06_458" vbProcedure="false">'Data Détecteur IA'!$A$1:$L$471</definedName>
    <definedName function="false" hidden="false" localSheetId="4" name="_16_06_459" vbProcedure="false">'Data Détecteur IA'!$A$1:$L$149</definedName>
    <definedName function="false" hidden="false" localSheetId="4" name="_16_06_46" vbProcedure="false">'Data Détecteur IA'!$A$1:$L$265</definedName>
    <definedName function="false" hidden="false" localSheetId="4" name="_16_06_460" vbProcedure="false">'Data Détecteur IA'!$A$1:$L$471</definedName>
    <definedName function="false" hidden="false" localSheetId="4" name="_16_06_461" vbProcedure="false">'Data Détecteur IA'!$A$1:$L$471</definedName>
    <definedName function="false" hidden="false" localSheetId="4" name="_16_06_462" vbProcedure="false">'Data Détecteur IA'!$A$1:$L$471</definedName>
    <definedName function="false" hidden="false" localSheetId="4" name="_16_06_463" vbProcedure="false">'Data Détecteur IA'!$A$1:$L$359</definedName>
    <definedName function="false" hidden="false" localSheetId="4" name="_16_06_464" vbProcedure="false">'Data Détecteur IA'!$A$1:$L$359</definedName>
    <definedName function="false" hidden="false" localSheetId="4" name="_16_06_465" vbProcedure="false">'Data Détecteur IA'!$A$1:$L$471</definedName>
    <definedName function="false" hidden="false" localSheetId="4" name="_16_06_466" vbProcedure="false">'Data Détecteur IA'!$A$1:$L$471</definedName>
    <definedName function="false" hidden="false" localSheetId="4" name="_16_06_467" vbProcedure="false">'Data Détecteur IA'!$A$1:$L$465</definedName>
    <definedName function="false" hidden="false" localSheetId="4" name="_16_06_468" vbProcedure="false">'Data Détecteur IA'!$A$1:$L$359</definedName>
    <definedName function="false" hidden="false" localSheetId="4" name="_16_06_469" vbProcedure="false">'Data Détecteur IA'!$A$1:$L$471</definedName>
    <definedName function="false" hidden="false" localSheetId="4" name="_16_06_47" vbProcedure="false">'Data Détecteur IA'!$A$1:$L$265</definedName>
    <definedName function="false" hidden="false" localSheetId="4" name="_16_06_470" vbProcedure="false">'Data Détecteur IA'!$A$1:$L$359</definedName>
    <definedName function="false" hidden="false" localSheetId="4" name="_16_06_471" vbProcedure="false">'Data Détecteur IA'!$A$1:$L$471</definedName>
    <definedName function="false" hidden="false" localSheetId="4" name="_16_06_472" vbProcedure="false">'Data Détecteur IA'!$A$1:$L$359</definedName>
    <definedName function="false" hidden="false" localSheetId="4" name="_16_06_473" vbProcedure="false">'Data Détecteur IA'!$A$1:$L$471</definedName>
    <definedName function="false" hidden="false" localSheetId="4" name="_16_06_474" vbProcedure="false">'Data Détecteur IA'!$A$1:$L$149</definedName>
    <definedName function="false" hidden="false" localSheetId="4" name="_16_06_475" vbProcedure="false">'Data Détecteur IA'!$A$1:$L$471</definedName>
    <definedName function="false" hidden="false" localSheetId="4" name="_16_06_476" vbProcedure="false">'Data Détecteur IA'!$A$1:$L$471</definedName>
    <definedName function="false" hidden="false" localSheetId="4" name="_16_06_477" vbProcedure="false">'Data Détecteur IA'!$A$1:$L$471</definedName>
    <definedName function="false" hidden="false" localSheetId="4" name="_16_06_478" vbProcedure="false">'Data Détecteur IA'!$A$1:$L$149</definedName>
    <definedName function="false" hidden="false" localSheetId="4" name="_16_06_479" vbProcedure="false">'Data Détecteur IA'!$A$1:$L$359</definedName>
    <definedName function="false" hidden="false" localSheetId="4" name="_16_06_48" vbProcedure="false">'Data Détecteur IA'!$A$1:$L$377</definedName>
    <definedName function="false" hidden="false" localSheetId="4" name="_16_06_480" vbProcedure="false">'Data Détecteur IA'!$A$1:$L$471</definedName>
    <definedName function="false" hidden="false" localSheetId="4" name="_16_06_481" vbProcedure="false">'Data Détecteur IA'!$A$1:$L$149</definedName>
    <definedName function="false" hidden="false" localSheetId="4" name="_16_06_482" vbProcedure="false">'Data Détecteur IA'!$A$1:$L$359</definedName>
    <definedName function="false" hidden="false" localSheetId="4" name="_16_06_483" vbProcedure="false">'Data Détecteur IA'!$A$1:$L$149</definedName>
    <definedName function="false" hidden="false" localSheetId="4" name="_16_06_484" vbProcedure="false">'Data Détecteur IA'!$A$1:$L$471</definedName>
    <definedName function="false" hidden="false" localSheetId="4" name="_16_06_485" vbProcedure="false">'Data Détecteur IA'!$A$1:$L$149</definedName>
    <definedName function="false" hidden="false" localSheetId="4" name="_16_06_486" vbProcedure="false">'Data Détecteur IA'!$A$1:$L$471</definedName>
    <definedName function="false" hidden="false" localSheetId="4" name="_16_06_487" vbProcedure="false">'Data Détecteur IA'!$A$1:$L$471</definedName>
    <definedName function="false" hidden="false" localSheetId="4" name="_16_06_488" vbProcedure="false">'Data Détecteur IA'!$A$1:$L$471</definedName>
    <definedName function="false" hidden="false" localSheetId="4" name="_16_06_489" vbProcedure="false">'Data Détecteur IA'!$A$1:$L$359</definedName>
    <definedName function="false" hidden="false" localSheetId="4" name="_16_06_49" vbProcedure="false">'Data Détecteur IA'!$A$1:$L$377</definedName>
    <definedName function="false" hidden="false" localSheetId="4" name="_16_06_490" vbProcedure="false">'Data Détecteur IA'!$A$1:$L$359</definedName>
    <definedName function="false" hidden="false" localSheetId="4" name="_16_06_491" vbProcedure="false">'Data Détecteur IA'!$A$1:$L$471</definedName>
    <definedName function="false" hidden="false" localSheetId="4" name="_16_06_492" vbProcedure="false">'Data Détecteur IA'!$A$1:$L$471</definedName>
    <definedName function="false" hidden="false" localSheetId="4" name="_16_06_493" vbProcedure="false">'Data Détecteur IA'!$A$1:$L$149</definedName>
    <definedName function="false" hidden="false" localSheetId="4" name="_16_06_494" vbProcedure="false">'Data Détecteur IA'!$A$1:$L$471</definedName>
    <definedName function="false" hidden="false" localSheetId="4" name="_16_06_495" vbProcedure="false">'Data Détecteur IA'!$A$1:$L$471</definedName>
    <definedName function="false" hidden="false" localSheetId="4" name="_16_06_496" vbProcedure="false">'Data Détecteur IA'!$A$1:$L$471</definedName>
    <definedName function="false" hidden="false" localSheetId="4" name="_16_06_497" vbProcedure="false">'Data Détecteur IA'!$A$1:$L$471</definedName>
    <definedName function="false" hidden="false" localSheetId="4" name="_16_06_498" vbProcedure="false">'Data Détecteur IA'!$A$1:$L$359</definedName>
    <definedName function="false" hidden="false" localSheetId="4" name="_16_06_499" vbProcedure="false">'Data Détecteur IA'!$A$1:$L$471</definedName>
    <definedName function="false" hidden="false" localSheetId="4" name="_16_06_50" vbProcedure="false">'Data Détecteur IA'!$A$1:$L$377</definedName>
    <definedName function="false" hidden="false" localSheetId="4" name="_16_06_500" vbProcedure="false">'Data Détecteur IA'!$A$1:$L$149</definedName>
    <definedName function="false" hidden="false" localSheetId="4" name="_16_06_501" vbProcedure="false">'Data Détecteur IA'!$A$1:$L$471</definedName>
    <definedName function="false" hidden="false" localSheetId="4" name="_16_06_502" vbProcedure="false">'Data Détecteur IA'!$A$1:$L$359</definedName>
    <definedName function="false" hidden="false" localSheetId="4" name="_16_06_503" vbProcedure="false">'Data Détecteur IA'!$A$1:$L$359</definedName>
    <definedName function="false" hidden="false" localSheetId="4" name="_16_06_504" vbProcedure="false">'Data Détecteur IA'!$A$1:$L$149</definedName>
    <definedName function="false" hidden="false" localSheetId="4" name="_16_06_505" vbProcedure="false">'Data Détecteur IA'!$A$1:$L$471</definedName>
    <definedName function="false" hidden="false" localSheetId="4" name="_16_06_506" vbProcedure="false">'Data Détecteur IA'!$A$1:$L$471</definedName>
    <definedName function="false" hidden="false" localSheetId="4" name="_16_06_507" vbProcedure="false">'Data Détecteur IA'!$A$1:$L$471</definedName>
    <definedName function="false" hidden="false" localSheetId="4" name="_16_06_508" vbProcedure="false">'Data Détecteur IA'!$A$1:$L$149</definedName>
    <definedName function="false" hidden="false" localSheetId="4" name="_16_06_509" vbProcedure="false">'Data Détecteur IA'!$A$1:$L$471</definedName>
    <definedName function="false" hidden="false" localSheetId="4" name="_16_06_51" vbProcedure="false">'Data Détecteur IA'!$A$1:$L$377</definedName>
    <definedName function="false" hidden="false" localSheetId="4" name="_16_06_510" vbProcedure="false">'Data Détecteur IA'!$A$1:$L$359</definedName>
    <definedName function="false" hidden="false" localSheetId="4" name="_16_06_511" vbProcedure="false">'Data Détecteur IA'!$A$1:$L$471</definedName>
    <definedName function="false" hidden="false" localSheetId="4" name="_16_06_512" vbProcedure="false">'Data Détecteur IA'!$A$1:$L$359</definedName>
    <definedName function="false" hidden="false" localSheetId="4" name="_16_06_513" vbProcedure="false">'Data Détecteur IA'!$A$1:$L$359</definedName>
    <definedName function="false" hidden="false" localSheetId="4" name="_16_06_514" vbProcedure="false">'Data Détecteur IA'!$A$1:$L$149</definedName>
    <definedName function="false" hidden="false" localSheetId="4" name="_16_06_515" vbProcedure="false">'Data Détecteur IA'!$A$1:$L$359</definedName>
    <definedName function="false" hidden="false" localSheetId="4" name="_16_06_516" vbProcedure="false">'Data Détecteur IA'!$A$1:$L$149</definedName>
    <definedName function="false" hidden="false" localSheetId="4" name="_16_06_517" vbProcedure="false">'Data Détecteur IA'!$A$1:$L$359</definedName>
    <definedName function="false" hidden="false" localSheetId="4" name="_16_06_518" vbProcedure="false">'Data Détecteur IA'!$A$1:$L$359</definedName>
    <definedName function="false" hidden="false" localSheetId="4" name="_16_06_519" vbProcedure="false">'Data Détecteur IA'!$A$1:$L$359</definedName>
    <definedName function="false" hidden="false" localSheetId="4" name="_16_06_52" vbProcedure="false">'Data Détecteur IA'!$A$1:$L$265</definedName>
    <definedName function="false" hidden="false" localSheetId="4" name="_16_06_520" vbProcedure="false">'Data Détecteur IA'!$A$1:$L$471</definedName>
    <definedName function="false" hidden="false" localSheetId="4" name="_16_06_521" vbProcedure="false">'Data Détecteur IA'!$A$1:$L$471</definedName>
    <definedName function="false" hidden="false" localSheetId="4" name="_16_06_522" vbProcedure="false">'Data Détecteur IA'!$A$1:$L$359</definedName>
    <definedName function="false" hidden="false" localSheetId="4" name="_16_06_523" vbProcedure="false">'Data Détecteur IA'!$A$1:$L$149</definedName>
    <definedName function="false" hidden="false" localSheetId="4" name="_16_06_524" vbProcedure="false">'Data Détecteur IA'!$A$1:$L$465</definedName>
    <definedName function="false" hidden="false" localSheetId="4" name="_16_06_525" vbProcedure="false">'Data Détecteur IA'!$A$1:$L$359</definedName>
    <definedName function="false" hidden="false" localSheetId="4" name="_16_06_526" vbProcedure="false">'Data Détecteur IA'!$A$1:$L$359</definedName>
    <definedName function="false" hidden="false" localSheetId="4" name="_16_06_527" vbProcedure="false">'Data Détecteur IA'!$A$1:$L$359</definedName>
    <definedName function="false" hidden="false" localSheetId="4" name="_16_06_528" vbProcedure="false">'Data Détecteur IA'!$A$1:$L$471</definedName>
    <definedName function="false" hidden="false" localSheetId="4" name="_16_06_529" vbProcedure="false">'Data Détecteur IA'!$A$1:$L$149</definedName>
    <definedName function="false" hidden="false" localSheetId="4" name="_16_06_53" vbProcedure="false">'Data Détecteur IA'!$A$1:$L$265</definedName>
    <definedName function="false" hidden="false" localSheetId="4" name="_16_06_530" vbProcedure="false">'Data Détecteur IA'!$A$1:$L$359</definedName>
    <definedName function="false" hidden="false" localSheetId="4" name="_16_06_531" vbProcedure="false">'Data Détecteur IA'!$A$1:$L$471</definedName>
    <definedName function="false" hidden="false" localSheetId="4" name="_16_06_532" vbProcedure="false">'Data Détecteur IA'!$A$1:$L$471</definedName>
    <definedName function="false" hidden="false" localSheetId="4" name="_16_06_533" vbProcedure="false">'Data Détecteur IA'!$A$1:$L$359</definedName>
    <definedName function="false" hidden="false" localSheetId="4" name="_16_06_534" vbProcedure="false">'Data Détecteur IA'!$A$1:$L$471</definedName>
    <definedName function="false" hidden="false" localSheetId="4" name="_16_06_535" vbProcedure="false">'Data Détecteur IA'!$A$1:$L$471</definedName>
    <definedName function="false" hidden="false" localSheetId="4" name="_16_06_536" vbProcedure="false">'Data Détecteur IA'!$A$1:$L$471</definedName>
    <definedName function="false" hidden="false" localSheetId="4" name="_16_06_537" vbProcedure="false">'Data Détecteur IA'!$A$1:$L$149</definedName>
    <definedName function="false" hidden="false" localSheetId="4" name="_16_06_538" vbProcedure="false">'Data Détecteur IA'!$A$1:$L$471</definedName>
    <definedName function="false" hidden="false" localSheetId="4" name="_16_06_539" vbProcedure="false">'Data Détecteur IA'!$A$1:$L$359</definedName>
    <definedName function="false" hidden="false" localSheetId="4" name="_16_06_54" vbProcedure="false">'Data Détecteur IA'!$A$1:$L$377</definedName>
    <definedName function="false" hidden="false" localSheetId="4" name="_16_06_540" vbProcedure="false">'Data Détecteur IA'!$A$1:$L$465</definedName>
    <definedName function="false" hidden="false" localSheetId="4" name="_16_06_541" vbProcedure="false">'Data Détecteur IA'!$A$1:$L$359</definedName>
    <definedName function="false" hidden="false" localSheetId="4" name="_16_06_542" vbProcedure="false">'Data Détecteur IA'!$A$1:$L$471</definedName>
    <definedName function="false" hidden="false" localSheetId="4" name="_16_06_543" vbProcedure="false">'Data Détecteur IA'!$A$1:$L$359</definedName>
    <definedName function="false" hidden="false" localSheetId="4" name="_16_06_544" vbProcedure="false">'Data Détecteur IA'!$A$1:$L$149</definedName>
    <definedName function="false" hidden="false" localSheetId="4" name="_16_06_545" vbProcedure="false">'Data Détecteur IA'!$A$1:$L$471</definedName>
    <definedName function="false" hidden="false" localSheetId="4" name="_16_06_546" vbProcedure="false">'Data Détecteur IA'!$A$1:$L$471</definedName>
    <definedName function="false" hidden="false" localSheetId="4" name="_16_06_547" vbProcedure="false">'Data Détecteur IA'!$A$1:$L$359</definedName>
    <definedName function="false" hidden="false" localSheetId="4" name="_16_06_548" vbProcedure="false">'Data Détecteur IA'!$A$1:$L$359</definedName>
    <definedName function="false" hidden="false" localSheetId="4" name="_16_06_549" vbProcedure="false">'Data Détecteur IA'!$A$1:$L$471</definedName>
    <definedName function="false" hidden="false" localSheetId="4" name="_16_06_55" vbProcedure="false">'Data Détecteur IA'!$A$1:$L$377</definedName>
    <definedName function="false" hidden="false" localSheetId="4" name="_16_06_550" vbProcedure="false">'Data Détecteur IA'!$A$1:$L$359</definedName>
    <definedName function="false" hidden="false" localSheetId="4" name="_16_06_551" vbProcedure="false">'Data Détecteur IA'!$A$1:$L$149</definedName>
    <definedName function="false" hidden="false" localSheetId="4" name="_16_06_552" vbProcedure="false">'Data Détecteur IA'!$A$1:$L$149</definedName>
    <definedName function="false" hidden="false" localSheetId="4" name="_16_06_553" vbProcedure="false">'Data Détecteur IA'!$A$1:$L$471</definedName>
    <definedName function="false" hidden="false" localSheetId="4" name="_16_06_554" vbProcedure="false">'Data Détecteur IA'!$A$1:$L$471</definedName>
    <definedName function="false" hidden="false" localSheetId="4" name="_16_06_555" vbProcedure="false">'Data Détecteur IA'!$A$1:$L$465</definedName>
    <definedName function="false" hidden="false" localSheetId="4" name="_16_06_556" vbProcedure="false">'Data Détecteur IA'!$A$1:$L$359</definedName>
    <definedName function="false" hidden="false" localSheetId="4" name="_16_06_557" vbProcedure="false">'Data Détecteur IA'!$A$1:$L$471</definedName>
    <definedName function="false" hidden="false" localSheetId="4" name="_16_06_558" vbProcedure="false">'Data Détecteur IA'!$A$1:$L$359</definedName>
    <definedName function="false" hidden="false" localSheetId="4" name="_16_06_559" vbProcedure="false">'Data Détecteur IA'!$A$1:$L$149</definedName>
    <definedName function="false" hidden="false" localSheetId="4" name="_16_06_56" vbProcedure="false">'Data Détecteur IA'!$A$1:$L$265</definedName>
    <definedName function="false" hidden="false" localSheetId="4" name="_16_06_560" vbProcedure="false">'Data Détecteur IA'!$A$1:$L$471</definedName>
    <definedName function="false" hidden="false" localSheetId="4" name="_16_06_561" vbProcedure="false">'Data Détecteur IA'!$A$1:$L$149</definedName>
    <definedName function="false" hidden="false" localSheetId="4" name="_16_06_562" vbProcedure="false">'Data Détecteur IA'!$A$1:$L$390</definedName>
    <definedName function="false" hidden="false" localSheetId="4" name="_16_06_563" vbProcedure="false">'Data Détecteur IA'!$A$1:$M$478</definedName>
    <definedName function="false" hidden="false" localSheetId="4" name="_16_06_564" vbProcedure="false">'Data Détecteur IA'!$A$1:$I$390</definedName>
    <definedName function="false" hidden="false" localSheetId="4" name="_16_06_565" vbProcedure="false">'Data Détecteur IA'!$A$1:$L$278</definedName>
    <definedName function="false" hidden="false" localSheetId="4" name="_16_06_566" vbProcedure="false">'Data Détecteur IA'!$A$1:$I$390</definedName>
    <definedName function="false" hidden="false" localSheetId="4" name="_16_06_567" vbProcedure="false">'Data Détecteur IA'!$A$1:$I$384</definedName>
    <definedName function="false" hidden="false" localSheetId="4" name="_16_06_568" vbProcedure="false">'Data Détecteur IA'!$A$1:$I$129</definedName>
    <definedName function="false" hidden="false" localSheetId="4" name="_16_06_569" vbProcedure="false">'Data Détecteur IA'!$A$1:$I$390</definedName>
    <definedName function="false" hidden="false" localSheetId="4" name="_16_06_57" vbProcedure="false">'Data Détecteur IA'!$A$1:$L$265</definedName>
    <definedName function="false" hidden="false" localSheetId="4" name="_16_06_570" vbProcedure="false">'Data Détecteur IA'!$A$1:$I$384</definedName>
    <definedName function="false" hidden="false" localSheetId="4" name="_16_06_571" vbProcedure="false">'Data Détecteur IA'!$A$1:$I$390</definedName>
    <definedName function="false" hidden="false" localSheetId="4" name="_16_06_572" vbProcedure="false">'Data Détecteur IA'!$A$1:$I$390</definedName>
    <definedName function="false" hidden="false" localSheetId="4" name="_16_06_573" vbProcedure="false">'Data Détecteur IA'!$A$1:$I$129</definedName>
    <definedName function="false" hidden="false" localSheetId="4" name="_16_06_574" vbProcedure="false">'Data Détecteur IA'!$A$1:$I$278</definedName>
    <definedName function="false" hidden="false" localSheetId="4" name="_16_06_575" vbProcedure="false">'Data Détecteur IA'!$A$1:$I$129</definedName>
    <definedName function="false" hidden="false" localSheetId="4" name="_16_06_576" vbProcedure="false">'Data Détecteur IA'!$A$1:$I$390</definedName>
    <definedName function="false" hidden="false" localSheetId="4" name="_16_06_577" vbProcedure="false">'Data Détecteur IA'!$A$1:$I$390</definedName>
    <definedName function="false" hidden="false" localSheetId="4" name="_16_06_578" vbProcedure="false">'Data Détecteur IA'!$A$1:$I$129</definedName>
    <definedName function="false" hidden="false" localSheetId="4" name="_16_06_579" vbProcedure="false">'Data Détecteur IA'!$A$1:$I$129</definedName>
    <definedName function="false" hidden="false" localSheetId="4" name="_16_06_58" vbProcedure="false">'Data Détecteur IA'!$A$1:$L$377</definedName>
    <definedName function="false" hidden="false" localSheetId="4" name="_16_06_580" vbProcedure="false">'Data Détecteur IA'!$A$1:$I$278</definedName>
    <definedName function="false" hidden="false" localSheetId="4" name="_16_06_581" vbProcedure="false">'Data Détecteur IA'!$A$1:$L$129</definedName>
    <definedName function="false" hidden="false" localSheetId="4" name="_16_06_582" vbProcedure="false">'Data Détecteur IA'!$A$1:$I$390</definedName>
    <definedName function="false" hidden="false" localSheetId="4" name="_16_06_583" vbProcedure="false">'Data Détecteur IA'!$A$1:$L$390</definedName>
    <definedName function="false" hidden="false" localSheetId="4" name="_16_06_584" vbProcedure="false">'Data Détecteur IA'!$A$1:$I$390</definedName>
    <definedName function="false" hidden="false" localSheetId="4" name="_16_06_585" vbProcedure="false">'Data Détecteur IA'!$A$1:$L$278</definedName>
    <definedName function="false" hidden="false" localSheetId="4" name="_16_06_586" vbProcedure="false">'Data Détecteur IA'!$A$1:$L$129</definedName>
    <definedName function="false" hidden="false" localSheetId="4" name="_16_06_587" vbProcedure="false">'Data Détecteur IA'!$A$1:$L$390</definedName>
    <definedName function="false" hidden="false" localSheetId="4" name="_16_06_588" vbProcedure="false">'Data Détecteur IA'!$A$1:$I$390</definedName>
    <definedName function="false" hidden="false" localSheetId="4" name="_16_06_589" vbProcedure="false">'Data Détecteur IA'!$A$1:$M$372</definedName>
    <definedName function="false" hidden="false" localSheetId="4" name="_16_06_59" vbProcedure="false">'Data Détecteur IA'!$A$1:$L$377</definedName>
    <definedName function="false" hidden="false" localSheetId="4" name="_16_06_590" vbProcedure="false">'Data Détecteur IA'!$A$1:$L$390</definedName>
    <definedName function="false" hidden="false" localSheetId="4" name="_16_06_591" vbProcedure="false">'Data Détecteur IA'!$A$1:$M$484</definedName>
    <definedName function="false" hidden="false" localSheetId="4" name="_16_06_592" vbProcedure="false">'Data Détecteur IA'!$A$1:$M$484</definedName>
    <definedName function="false" hidden="false" localSheetId="4" name="_16_06_593" vbProcedure="false">'Data Détecteur IA'!$A$1:$I$129</definedName>
    <definedName function="false" hidden="false" localSheetId="4" name="_16_06_594" vbProcedure="false">'Data Détecteur IA'!$A$1:$M$372</definedName>
    <definedName function="false" hidden="false" localSheetId="4" name="_16_06_595" vbProcedure="false">'Data Détecteur IA'!$A$1:$L$390</definedName>
    <definedName function="false" hidden="false" localSheetId="4" name="_16_06_596" vbProcedure="false">'Data Détecteur IA'!$A$1:$I$278</definedName>
    <definedName function="false" hidden="false" localSheetId="4" name="_16_06_597" vbProcedure="false">'Data Détecteur IA'!$A$1:$L$278</definedName>
    <definedName function="false" hidden="false" localSheetId="4" name="_16_06_598" vbProcedure="false">'Data Détecteur IA'!$A$1:$M$372</definedName>
    <definedName function="false" hidden="false" localSheetId="4" name="_16_06_599" vbProcedure="false">'Data Détecteur IA'!$A$1:$L$390</definedName>
    <definedName function="false" hidden="false" localSheetId="4" name="_16_06_60" vbProcedure="false">'Data Détecteur IA'!$A$1:$L$265</definedName>
    <definedName function="false" hidden="false" localSheetId="4" name="_16_06_600" vbProcedure="false">'Data Détecteur IA'!$A$1:$L$129</definedName>
    <definedName function="false" hidden="false" localSheetId="4" name="_16_06_601" vbProcedure="false">'Data Détecteur IA'!$A$1:$M$478</definedName>
    <definedName function="false" hidden="false" localSheetId="4" name="_16_06_602" vbProcedure="false">'Data Détecteur IA'!$A$1:$L$129</definedName>
    <definedName function="false" hidden="false" localSheetId="4" name="_16_06_603" vbProcedure="false">'Data Détecteur IA'!$A$1:$L$278</definedName>
    <definedName function="false" hidden="false" localSheetId="4" name="_16_06_604" vbProcedure="false">'Data Détecteur IA'!$A$1:$L$129</definedName>
    <definedName function="false" hidden="false" localSheetId="4" name="_16_06_605" vbProcedure="false">'Data Détecteur IA'!$A$1:$I$278</definedName>
    <definedName function="false" hidden="false" localSheetId="4" name="_16_06_606" vbProcedure="false">'Data Détecteur IA'!$A$1:$L$129</definedName>
    <definedName function="false" hidden="false" localSheetId="4" name="_16_06_607" vbProcedure="false">'Data Détecteur IA'!$A$1:$M$484</definedName>
    <definedName function="false" hidden="false" localSheetId="4" name="_16_06_608" vbProcedure="false">'Data Détecteur IA'!$A$1:$M$484</definedName>
    <definedName function="false" hidden="false" localSheetId="4" name="_16_06_609" vbProcedure="false">'Data Détecteur IA'!$A$1:$L$390</definedName>
    <definedName function="false" hidden="false" localSheetId="4" name="_16_06_61" vbProcedure="false">'Data Détecteur IA'!$A$1:$L$377</definedName>
    <definedName function="false" hidden="false" localSheetId="4" name="_16_06_610" vbProcedure="false">'Data Détecteur IA'!$A$1:$L$390</definedName>
    <definedName function="false" hidden="false" localSheetId="4" name="_16_06_611" vbProcedure="false">'Data Détecteur IA'!$A$1:$M$372</definedName>
    <definedName function="false" hidden="false" localSheetId="4" name="_16_06_612" vbProcedure="false">'Data Détecteur IA'!$A$1:$L$129</definedName>
    <definedName function="false" hidden="false" localSheetId="4" name="_16_06_613" vbProcedure="false">'Data Détecteur IA'!$A$1:$M$372</definedName>
    <definedName function="false" hidden="false" localSheetId="4" name="_16_06_614" vbProcedure="false">'Data Détecteur IA'!$A$1:$I$390</definedName>
    <definedName function="false" hidden="false" localSheetId="4" name="_16_06_615" vbProcedure="false">'Data Détecteur IA'!$A$1:$L$278</definedName>
    <definedName function="false" hidden="false" localSheetId="4" name="_16_06_616" vbProcedure="false">'Data Détecteur IA'!$A$1:$I$278</definedName>
    <definedName function="false" hidden="false" localSheetId="4" name="_16_06_617" vbProcedure="false">'Data Détecteur IA'!$A$1:$L$278</definedName>
    <definedName function="false" hidden="false" localSheetId="4" name="_16_06_618" vbProcedure="false">'Data Détecteur IA'!$A$1:$I$278</definedName>
    <definedName function="false" hidden="false" localSheetId="4" name="_16_06_619" vbProcedure="false">'Data Détecteur IA'!$A$1:$L$129</definedName>
    <definedName function="false" hidden="false" localSheetId="4" name="_16_06_62" vbProcedure="false">'Data Détecteur IA'!$A$1:$L$265</definedName>
    <definedName function="false" hidden="false" localSheetId="4" name="_16_06_620" vbProcedure="false">'Data Détecteur IA'!$A$1:$M$372</definedName>
    <definedName function="false" hidden="false" localSheetId="4" name="_16_06_621" vbProcedure="false">'Data Détecteur IA'!$A$1:$M$372</definedName>
    <definedName function="false" hidden="false" localSheetId="4" name="_16_06_622" vbProcedure="false">'Data Détecteur IA'!$A$1:$L$390</definedName>
    <definedName function="false" hidden="false" localSheetId="4" name="_16_06_623" vbProcedure="false">'Data Détecteur IA'!$A$1:$L$278</definedName>
    <definedName function="false" hidden="false" localSheetId="4" name="_16_06_624" vbProcedure="false">'Data Détecteur IA'!$A$1:$L$278</definedName>
    <definedName function="false" hidden="false" localSheetId="4" name="_16_06_625" vbProcedure="false">'Data Détecteur IA'!$A$1:$I$384</definedName>
    <definedName function="false" hidden="false" localSheetId="4" name="_16_06_626" vbProcedure="false">'Data Détecteur IA'!$A$1:$L$129</definedName>
    <definedName function="false" hidden="false" localSheetId="4" name="_16_06_627" vbProcedure="false">'Data Détecteur IA'!$A$1:$L$278</definedName>
    <definedName function="false" hidden="false" localSheetId="4" name="_16_06_628" vbProcedure="false">'Data Détecteur IA'!$A$1:$L$390</definedName>
    <definedName function="false" hidden="false" localSheetId="4" name="_16_06_629" vbProcedure="false">'Data Détecteur IA'!$A$1:$L$129</definedName>
    <definedName function="false" hidden="false" localSheetId="4" name="_16_06_63" vbProcedure="false">'Data Détecteur IA'!$A$1:$L$377</definedName>
    <definedName function="false" hidden="false" localSheetId="4" name="_16_06_630" vbProcedure="false">'Data Détecteur IA'!$A$1:$M$372</definedName>
    <definedName function="false" hidden="false" localSheetId="4" name="_16_06_631" vbProcedure="false">'Data Détecteur IA'!$A$1:$L$278</definedName>
    <definedName function="false" hidden="false" localSheetId="4" name="_16_06_632" vbProcedure="false">'Data Détecteur IA'!$A$1:$L$278</definedName>
    <definedName function="false" hidden="false" localSheetId="4" name="_16_06_633" vbProcedure="false">'Data Détecteur IA'!$A$1:$L$390</definedName>
    <definedName function="false" hidden="false" localSheetId="4" name="_16_06_634" vbProcedure="false">'Data Détecteur IA'!$A$1:$I$390</definedName>
    <definedName function="false" hidden="false" localSheetId="4" name="_16_06_635" vbProcedure="false">'Data Détecteur IA'!$A$1:$L$390</definedName>
    <definedName function="false" hidden="false" localSheetId="4" name="_16_06_636" vbProcedure="false">'Data Détecteur IA'!$A$1:$M$484</definedName>
    <definedName function="false" hidden="false" localSheetId="4" name="_16_06_637" vbProcedure="false">'Data Détecteur IA'!$A$1:$I$390</definedName>
    <definedName function="false" hidden="false" localSheetId="4" name="_16_06_638" vbProcedure="false">'Data Détecteur IA'!$A$1:$I$390</definedName>
    <definedName function="false" hidden="false" localSheetId="4" name="_16_06_639" vbProcedure="false">'Data Détecteur IA'!$A$1:$I$390</definedName>
    <definedName function="false" hidden="false" localSheetId="4" name="_16_06_64" vbProcedure="false">'Data Détecteur IA'!$A$1:$L$265</definedName>
    <definedName function="false" hidden="false" localSheetId="4" name="_16_06_640" vbProcedure="false">'Data Détecteur IA'!$A$1:$L$390</definedName>
    <definedName function="false" hidden="false" localSheetId="4" name="_16_06_641" vbProcedure="false">'Data Détecteur IA'!$A$1:$M$149</definedName>
    <definedName function="false" hidden="false" localSheetId="4" name="_16_06_642" vbProcedure="false">'Data Détecteur IA'!$A$1:$I$278</definedName>
    <definedName function="false" hidden="false" localSheetId="4" name="_16_06_643" vbProcedure="false">'Data Détecteur IA'!$A$1:$M$484</definedName>
    <definedName function="false" hidden="false" localSheetId="4" name="_16_06_644" vbProcedure="false">'Data Détecteur IA'!$A$1:$L$390</definedName>
    <definedName function="false" hidden="false" localSheetId="4" name="_16_06_645" vbProcedure="false">'Data Détecteur IA'!$A$1:$I$129</definedName>
    <definedName function="false" hidden="false" localSheetId="4" name="_16_06_646" vbProcedure="false">'Data Détecteur IA'!$A$1:$M$372</definedName>
    <definedName function="false" hidden="false" localSheetId="4" name="_16_06_647" vbProcedure="false">'Data Détecteur IA'!$A$1:$L$390</definedName>
    <definedName function="false" hidden="false" localSheetId="4" name="_16_06_648" vbProcedure="false">'Data Détecteur IA'!$A$1:$L$384</definedName>
    <definedName function="false" hidden="false" localSheetId="4" name="_16_06_649" vbProcedure="false">'Data Détecteur IA'!$A$1:$I$129</definedName>
    <definedName function="false" hidden="false" localSheetId="4" name="_16_06_65" vbProcedure="false">'Data Détecteur IA'!$A$1:$L$377</definedName>
    <definedName function="false" hidden="false" localSheetId="4" name="_16_06_650" vbProcedure="false">'Data Détecteur IA'!$A$1:$L$129</definedName>
    <definedName function="false" hidden="false" localSheetId="4" name="_16_06_651" vbProcedure="false">'Data Détecteur IA'!$A$1:$L$390</definedName>
    <definedName function="false" hidden="false" localSheetId="4" name="_16_06_652" vbProcedure="false">'Data Détecteur IA'!$A$1:$L$278</definedName>
    <definedName function="false" hidden="false" localSheetId="4" name="_16_06_653" vbProcedure="false">'Data Détecteur IA'!$A$1:$M$149</definedName>
    <definedName function="false" hidden="false" localSheetId="4" name="_16_06_654" vbProcedure="false">'Data Détecteur IA'!$A$1:$M$484</definedName>
    <definedName function="false" hidden="false" localSheetId="4" name="_16_06_655" vbProcedure="false">'Data Détecteur IA'!$A$1:$L$278</definedName>
    <definedName function="false" hidden="false" localSheetId="4" name="_16_06_656" vbProcedure="false">'Data Détecteur IA'!$A$1:$M$484</definedName>
    <definedName function="false" hidden="false" localSheetId="4" name="_16_06_657" vbProcedure="false">'Data Détecteur IA'!$A$1:$L$129</definedName>
    <definedName function="false" hidden="false" localSheetId="4" name="_16_06_658" vbProcedure="false">'Data Détecteur IA'!$A$1:$M$372</definedName>
    <definedName function="false" hidden="false" localSheetId="4" name="_16_06_659" vbProcedure="false">'Data Détecteur IA'!$A$1:$I$129</definedName>
    <definedName function="false" hidden="false" localSheetId="4" name="_16_06_66" vbProcedure="false">'Data Détecteur IA'!$A$1:$L$371</definedName>
    <definedName function="false" hidden="false" localSheetId="4" name="_16_06_660" vbProcedure="false">'Data Détecteur IA'!$A$1:$M$149</definedName>
    <definedName function="false" hidden="false" localSheetId="4" name="_16_06_661" vbProcedure="false">'Data Détecteur IA'!$A$1:$L$129</definedName>
    <definedName function="false" hidden="false" localSheetId="4" name="_16_06_662" vbProcedure="false">'Data Détecteur IA'!$A$1:$M$484</definedName>
    <definedName function="false" hidden="false" localSheetId="4" name="_16_06_663" vbProcedure="false">'Data Détecteur IA'!$A$1:$M$484</definedName>
    <definedName function="false" hidden="false" localSheetId="4" name="_16_06_664" vbProcedure="false">'Data Détecteur IA'!$A$1:$I$278</definedName>
    <definedName function="false" hidden="false" localSheetId="4" name="_16_06_665" vbProcedure="false">'Data Détecteur IA'!$A$1:$M$149</definedName>
    <definedName function="false" hidden="false" localSheetId="4" name="_16_06_666" vbProcedure="false">'Data Détecteur IA'!$A$1:$L$129</definedName>
    <definedName function="false" hidden="false" localSheetId="4" name="_16_06_667" vbProcedure="false">'Data Détecteur IA'!$A$1:$L$390</definedName>
    <definedName function="false" hidden="false" localSheetId="4" name="_16_06_668" vbProcedure="false">'Data Détecteur IA'!$A$1:$I$390</definedName>
    <definedName function="false" hidden="false" localSheetId="4" name="_16_06_669" vbProcedure="false">'Data Détecteur IA'!$A$1:$L$278</definedName>
    <definedName function="false" hidden="false" localSheetId="4" name="_16_06_67" vbProcedure="false">'Data Détecteur IA'!$A$1:$L$377</definedName>
    <definedName function="false" hidden="false" localSheetId="4" name="_16_06_670" vbProcedure="false">'Data Détecteur IA'!$A$1:$M$484</definedName>
    <definedName function="false" hidden="false" localSheetId="4" name="_16_06_671" vbProcedure="false">'Data Détecteur IA'!$A$1:$M$149</definedName>
    <definedName function="false" hidden="false" localSheetId="4" name="_16_06_672" vbProcedure="false">'Data Détecteur IA'!$A$1:$M$484</definedName>
    <definedName function="false" hidden="false" localSheetId="4" name="_16_06_673" vbProcedure="false">'Data Détecteur IA'!$A$1:$L$390</definedName>
    <definedName function="false" hidden="false" localSheetId="4" name="_16_06_674" vbProcedure="false">'Data Détecteur IA'!$A$1:$L$129</definedName>
    <definedName function="false" hidden="false" localSheetId="4" name="_16_06_675" vbProcedure="false">'Data Détecteur IA'!$A$1:$I$384</definedName>
    <definedName function="false" hidden="false" localSheetId="4" name="_16_06_676" vbProcedure="false">'Data Détecteur IA'!$A$1:$I$278</definedName>
    <definedName function="false" hidden="false" localSheetId="4" name="_16_06_677" vbProcedure="false">'Data Détecteur IA'!$A$1:$M$372</definedName>
    <definedName function="false" hidden="false" localSheetId="4" name="_16_06_678" vbProcedure="false">'Data Détecteur IA'!$A$1:$I$390</definedName>
    <definedName function="false" hidden="false" localSheetId="4" name="_16_06_679" vbProcedure="false">'Data Détecteur IA'!$A$1:$I$129</definedName>
    <definedName function="false" hidden="false" localSheetId="4" name="_16_06_68" vbProcedure="false">'Data Détecteur IA'!$A$1:$L$377</definedName>
    <definedName function="false" hidden="false" localSheetId="4" name="_16_06_680" vbProcedure="false">'Data Détecteur IA'!$A$1:$L$278</definedName>
    <definedName function="false" hidden="false" localSheetId="4" name="_16_06_681" vbProcedure="false">'Data Détecteur IA'!$A$1:$L$278</definedName>
    <definedName function="false" hidden="false" localSheetId="4" name="_16_06_682" vbProcedure="false">'Data Détecteur IA'!$A$1:$L$390</definedName>
    <definedName function="false" hidden="false" localSheetId="4" name="_16_06_683" vbProcedure="false">'Data Détecteur IA'!$A$1:$M$484</definedName>
    <definedName function="false" hidden="false" localSheetId="4" name="_16_06_684" vbProcedure="false">'Data Détecteur IA'!$A$1:$M$372</definedName>
    <definedName function="false" hidden="false" localSheetId="4" name="_16_06_685" vbProcedure="false">'Data Détecteur IA'!$A$1:$L$129</definedName>
    <definedName function="false" hidden="false" localSheetId="4" name="_16_06_686" vbProcedure="false">'Data Détecteur IA'!$A$1:$M$372</definedName>
    <definedName function="false" hidden="false" localSheetId="4" name="_16_06_687" vbProcedure="false">'Data Détecteur IA'!$A$1:$L$390</definedName>
    <definedName function="false" hidden="false" localSheetId="4" name="_16_06_688" vbProcedure="false">'Data Détecteur IA'!$A$1:$L$278</definedName>
    <definedName function="false" hidden="false" localSheetId="4" name="_16_06_689" vbProcedure="false">'Data Détecteur IA'!$A$1:$L$278</definedName>
    <definedName function="false" hidden="false" localSheetId="4" name="_16_06_69" vbProcedure="false">'Data Détecteur IA'!$A$1:$L$265</definedName>
    <definedName function="false" hidden="false" localSheetId="4" name="_16_06_690" vbProcedure="false">'Data Détecteur IA'!$A$1:$I$278</definedName>
    <definedName function="false" hidden="false" localSheetId="4" name="_16_06_691" vbProcedure="false">'Data Détecteur IA'!$A$1:$L$278</definedName>
    <definedName function="false" hidden="false" localSheetId="4" name="_16_06_692" vbProcedure="false">'Data Détecteur IA'!$A$1:$L$129</definedName>
    <definedName function="false" hidden="false" localSheetId="4" name="_16_06_693" vbProcedure="false">'Data Détecteur IA'!$A$1:$L$278</definedName>
    <definedName function="false" hidden="false" localSheetId="4" name="_16_06_694" vbProcedure="false">'Data Détecteur IA'!$A$1:$I$129</definedName>
    <definedName function="false" hidden="false" localSheetId="4" name="_16_06_695" vbProcedure="false">'Data Détecteur IA'!$A$1:$I$390</definedName>
    <definedName function="false" hidden="false" localSheetId="4" name="_16_06_696" vbProcedure="false">'Data Détecteur IA'!$A$1:$I$129</definedName>
    <definedName function="false" hidden="false" localSheetId="4" name="_16_06_697" vbProcedure="false">'Data Détecteur IA'!$A$1:$L$278</definedName>
    <definedName function="false" hidden="false" localSheetId="4" name="_16_06_698" vbProcedure="false">'Data Détecteur IA'!$A$1:$L$129</definedName>
    <definedName function="false" hidden="false" localSheetId="4" name="_16_06_699" vbProcedure="false">'Data Détecteur IA'!$A$1:$I$278</definedName>
    <definedName function="false" hidden="false" localSheetId="4" name="_16_06_70" vbProcedure="false">'Data Détecteur IA'!$A$1:$L$265</definedName>
    <definedName function="false" hidden="false" localSheetId="4" name="_16_06_700" vbProcedure="false">'Data Détecteur IA'!$A$1:$I$129</definedName>
    <definedName function="false" hidden="false" localSheetId="4" name="_16_06_701" vbProcedure="false">'Data Détecteur IA'!$A$1:$L$390</definedName>
    <definedName function="false" hidden="false" localSheetId="4" name="_16_06_702" vbProcedure="false">'Data Détecteur IA'!$A$1:$L$278</definedName>
    <definedName function="false" hidden="false" localSheetId="4" name="_16_06_703" vbProcedure="false">'Data Détecteur IA'!$A$1:$L$278</definedName>
    <definedName function="false" hidden="false" localSheetId="4" name="_16_06_704" vbProcedure="false">'Data Détecteur IA'!$A$1:$M$372</definedName>
    <definedName function="false" hidden="false" localSheetId="4" name="_16_06_705" vbProcedure="false">'Data Détecteur IA'!$A$1:$L$390</definedName>
    <definedName function="false" hidden="false" localSheetId="4" name="_16_06_706" vbProcedure="false">'Data Détecteur IA'!$A$1:$L$278</definedName>
    <definedName function="false" hidden="false" localSheetId="4" name="_16_06_707" vbProcedure="false">'Data Détecteur IA'!$A$1:$I$390</definedName>
    <definedName function="false" hidden="false" localSheetId="4" name="_16_06_708" vbProcedure="false">'Data Détecteur IA'!$A$1:$M$484</definedName>
    <definedName function="false" hidden="false" localSheetId="4" name="_16_06_709" vbProcedure="false">'Data Détecteur IA'!$A$1:$I$390</definedName>
    <definedName function="false" hidden="false" localSheetId="4" name="_16_06_71" vbProcedure="false">'Data Détecteur IA'!$A$1:$L$377</definedName>
    <definedName function="false" hidden="false" localSheetId="4" name="_16_06_710" vbProcedure="false">'Data Détecteur IA'!$A$1:$M$484</definedName>
    <definedName function="false" hidden="false" localSheetId="4" name="_16_06_711" vbProcedure="false">'Data Détecteur IA'!$A$1:$I$278</definedName>
    <definedName function="false" hidden="false" localSheetId="4" name="_16_06_712" vbProcedure="false">'Data Détecteur IA'!$A$1:$L$390</definedName>
    <definedName function="false" hidden="false" localSheetId="4" name="_16_06_713" vbProcedure="false">'Data Détecteur IA'!$A$1:$L$384</definedName>
    <definedName function="false" hidden="false" localSheetId="4" name="_16_06_714" vbProcedure="false">'Data Détecteur IA'!$A$1:$M$484</definedName>
    <definedName function="false" hidden="false" localSheetId="4" name="_16_06_715" vbProcedure="false">'Data Détecteur IA'!$A$1:$L$129</definedName>
    <definedName function="false" hidden="false" localSheetId="4" name="_16_06_716" vbProcedure="false">'Data Détecteur IA'!$A$1:$M$149</definedName>
    <definedName function="false" hidden="false" localSheetId="4" name="_16_06_717" vbProcedure="false">'Data Détecteur IA'!$A$1:$L$390</definedName>
    <definedName function="false" hidden="false" localSheetId="4" name="_16_06_718" vbProcedure="false">'Data Détecteur IA'!$A$1:$M$484</definedName>
    <definedName function="false" hidden="false" localSheetId="4" name="_16_06_719" vbProcedure="false">'Data Détecteur IA'!$A$1:$M$484</definedName>
    <definedName function="false" hidden="false" localSheetId="4" name="_16_06_72" vbProcedure="false">'Data Détecteur IA'!$A$1:$L$265</definedName>
    <definedName function="false" hidden="false" localSheetId="4" name="_16_06_720" vbProcedure="false">'Data Détecteur IA'!$A$1:$I$278</definedName>
    <definedName function="false" hidden="false" localSheetId="4" name="_16_06_721" vbProcedure="false">'Data Détecteur IA'!$A$1:$M$484</definedName>
    <definedName function="false" hidden="false" localSheetId="4" name="_16_06_722" vbProcedure="false">'Data Détecteur IA'!$A$1:$M$372</definedName>
    <definedName function="false" hidden="false" localSheetId="4" name="_16_06_723" vbProcedure="false">'Data Détecteur IA'!$A$1:$I$390</definedName>
    <definedName function="false" hidden="false" localSheetId="4" name="_16_06_724" vbProcedure="false">'Data Détecteur IA'!$A$1:$L$390</definedName>
    <definedName function="false" hidden="false" localSheetId="4" name="_16_06_725" vbProcedure="false">'Data Détecteur IA'!$A$1:$M$372</definedName>
    <definedName function="false" hidden="false" localSheetId="4" name="_16_06_726" vbProcedure="false">'Data Détecteur IA'!$A$1:$I$129</definedName>
    <definedName function="false" hidden="false" localSheetId="4" name="_16_06_727" vbProcedure="false">'Data Détecteur IA'!$A$1:$L$129</definedName>
    <definedName function="false" hidden="false" localSheetId="4" name="_16_06_728" vbProcedure="false">'Data Détecteur IA'!$A$1:$L$278</definedName>
    <definedName function="false" hidden="false" localSheetId="4" name="_16_06_729" vbProcedure="false">'Data Détecteur IA'!$A$1:$L$129</definedName>
    <definedName function="false" hidden="false" localSheetId="4" name="_16_06_73" vbProcedure="false">'Data Détecteur IA'!$A$1:$L$371</definedName>
    <definedName function="false" hidden="false" localSheetId="4" name="_16_06_730" vbProcedure="false">'Data Détecteur IA'!$A$1:$M$478</definedName>
    <definedName function="false" hidden="false" localSheetId="4" name="_16_06_731" vbProcedure="false">'Data Détecteur IA'!$A$1:$M$478</definedName>
    <definedName function="false" hidden="false" localSheetId="4" name="_16_06_732" vbProcedure="false">'Data Détecteur IA'!$A$1:$L$390</definedName>
    <definedName function="false" hidden="false" localSheetId="4" name="_16_06_733" vbProcedure="false">'Data Détecteur IA'!$A$1:$L$129</definedName>
    <definedName function="false" hidden="false" localSheetId="4" name="_16_06_734" vbProcedure="false">'Data Détecteur IA'!$A$1:$M$149</definedName>
    <definedName function="false" hidden="false" localSheetId="4" name="_16_06_735" vbProcedure="false">'Data Détecteur IA'!$A$1:$L$384</definedName>
    <definedName function="false" hidden="false" localSheetId="4" name="_16_06_736" vbProcedure="false">'Data Détecteur IA'!$A$1:$L$390</definedName>
    <definedName function="false" hidden="false" localSheetId="4" name="_16_06_737" vbProcedure="false">'Data Détecteur IA'!$A$1:$M$372</definedName>
    <definedName function="false" hidden="false" localSheetId="4" name="_16_06_738" vbProcedure="false">'Data Détecteur IA'!$A$1:$M$484</definedName>
    <definedName function="false" hidden="false" localSheetId="4" name="_16_06_739" vbProcedure="false">'Data Détecteur IA'!$A$1:$M$372</definedName>
    <definedName function="false" hidden="false" localSheetId="4" name="_16_06_74" vbProcedure="false">'Data Détecteur IA'!$A$1:$L$265</definedName>
    <definedName function="false" hidden="false" localSheetId="4" name="_16_06_740" vbProcedure="false">'Data Détecteur IA'!$A$1:$I$278</definedName>
    <definedName function="false" hidden="false" localSheetId="4" name="_16_06_741" vbProcedure="false">'Data Détecteur IA'!$A$1:$M$372</definedName>
    <definedName function="false" hidden="false" localSheetId="4" name="_16_06_742" vbProcedure="false">'Data Détecteur IA'!$A$1:$I$390</definedName>
    <definedName function="false" hidden="false" localSheetId="4" name="_16_06_743" vbProcedure="false">'Data Détecteur IA'!$A$1:$L$278</definedName>
    <definedName function="false" hidden="false" localSheetId="4" name="_16_06_744" vbProcedure="false">'Data Détecteur IA'!$A$1:$M$372</definedName>
    <definedName function="false" hidden="false" localSheetId="4" name="_16_06_745" vbProcedure="false">'Data Détecteur IA'!$A$1:$I$129</definedName>
    <definedName function="false" hidden="false" localSheetId="4" name="_16_06_746" vbProcedure="false">'Data Détecteur IA'!$A$1:$L$390</definedName>
    <definedName function="false" hidden="false" localSheetId="4" name="_16_06_747" vbProcedure="false">'Data Détecteur IA'!$A$1:$I$390</definedName>
    <definedName function="false" hidden="false" localSheetId="4" name="_16_06_748" vbProcedure="false">'Data Détecteur IA'!$A$1:$M$484</definedName>
    <definedName function="false" hidden="false" localSheetId="4" name="_16_06_749" vbProcedure="false">'Data Détecteur IA'!$A$1:$M$149</definedName>
    <definedName function="false" hidden="false" localSheetId="4" name="_16_06_75" vbProcedure="false">'Data Détecteur IA'!$A$1:$L$377</definedName>
    <definedName function="false" hidden="false" localSheetId="4" name="_16_06_750" vbProcedure="false">'Data Détecteur IA'!$A$1:$M$484</definedName>
    <definedName function="false" hidden="false" localSheetId="4" name="_16_06_751" vbProcedure="false">'Data Détecteur IA'!$A$1:$L$390</definedName>
    <definedName function="false" hidden="false" localSheetId="4" name="_16_06_752" vbProcedure="false">'Data Détecteur IA'!$A$1:$I$390</definedName>
    <definedName function="false" hidden="false" localSheetId="4" name="_16_06_753" vbProcedure="false">'Data Détecteur IA'!$A$1:$L$390</definedName>
    <definedName function="false" hidden="false" localSheetId="4" name="_16_06_754" vbProcedure="false">'Data Détecteur IA'!$A$1:$M$372</definedName>
    <definedName function="false" hidden="false" localSheetId="4" name="_16_06_755" vbProcedure="false">'Data Détecteur IA'!$A$1:$M$149</definedName>
    <definedName function="false" hidden="false" localSheetId="4" name="_16_06_756" vbProcedure="false">'Data Détecteur IA'!$A$1:$M$484</definedName>
    <definedName function="false" hidden="false" localSheetId="4" name="_16_06_757" vbProcedure="false">'Data Détecteur IA'!$A$1:$L$129</definedName>
    <definedName function="false" hidden="false" localSheetId="4" name="_16_06_758" vbProcedure="false">'Data Détecteur IA'!$A$1:$I$129</definedName>
    <definedName function="false" hidden="false" localSheetId="4" name="_16_06_759" vbProcedure="false">'Data Détecteur IA'!$A$1:$L$278</definedName>
    <definedName function="false" hidden="false" localSheetId="4" name="_16_06_76" vbProcedure="false">'Data Détecteur IA'!$A$1:$L$377</definedName>
    <definedName function="false" hidden="false" localSheetId="4" name="_16_06_760" vbProcedure="false">'Data Détecteur IA'!$A$1:$M$372</definedName>
    <definedName function="false" hidden="false" localSheetId="4" name="_16_06_761" vbProcedure="false">'Data Détecteur IA'!$A$1:$M$484</definedName>
    <definedName function="false" hidden="false" localSheetId="4" name="_16_06_762" vbProcedure="false">'Data Détecteur IA'!$A$1:$M$372</definedName>
    <definedName function="false" hidden="false" localSheetId="4" name="_16_06_763" vbProcedure="false">'Data Détecteur IA'!$A$1:$L$390</definedName>
    <definedName function="false" hidden="false" localSheetId="4" name="_16_06_764" vbProcedure="false">'Data Détecteur IA'!$A$1:$M$484</definedName>
    <definedName function="false" hidden="false" localSheetId="4" name="_16_06_765" vbProcedure="false">'Data Détecteur IA'!$A$1:$L$390</definedName>
    <definedName function="false" hidden="false" localSheetId="4" name="_16_06_766" vbProcedure="false">'Data Détecteur IA'!$A$1:$M$372</definedName>
    <definedName function="false" hidden="false" localSheetId="4" name="_16_06_767" vbProcedure="false">'Data Détecteur IA'!$A$1:$M$372</definedName>
    <definedName function="false" hidden="false" localSheetId="4" name="_16_06_768" vbProcedure="false">'Data Détecteur IA'!$A$1:$L$390</definedName>
    <definedName function="false" hidden="false" localSheetId="4" name="_16_06_769" vbProcedure="false">'Data Détecteur IA'!$A$1:$M$484</definedName>
    <definedName function="false" hidden="false" localSheetId="4" name="_16_06_77" vbProcedure="false">'Data Détecteur IA'!$A$1:$L$377</definedName>
    <definedName function="false" hidden="false" localSheetId="4" name="_16_06_770" vbProcedure="false">'Data Détecteur IA'!$A$1:$I$129</definedName>
    <definedName function="false" hidden="false" localSheetId="4" name="_16_06_771" vbProcedure="false">'Data Détecteur IA'!$A$1:$L$390</definedName>
    <definedName function="false" hidden="false" localSheetId="4" name="_16_06_772" vbProcedure="false">'Data Détecteur IA'!$A$1:$L$129</definedName>
    <definedName function="false" hidden="false" localSheetId="4" name="_16_06_773" vbProcedure="false">'Data Détecteur IA'!$A$1:$M$372</definedName>
    <definedName function="false" hidden="false" localSheetId="4" name="_16_06_774" vbProcedure="false">'Data Détecteur IA'!$A$1:$L$129</definedName>
    <definedName function="false" hidden="false" localSheetId="4" name="_16_06_775" vbProcedure="false">'Data Détecteur IA'!$A$1:$L$278</definedName>
    <definedName function="false" hidden="false" localSheetId="4" name="_16_06_776" vbProcedure="false">'Data Détecteur IA'!$A$1:$I$390</definedName>
    <definedName function="false" hidden="false" localSheetId="4" name="_16_06_777" vbProcedure="false">'Data Détecteur IA'!$A$1:$L$390</definedName>
    <definedName function="false" hidden="false" localSheetId="4" name="_16_06_778" vbProcedure="false">'Data Détecteur IA'!$A$1:$I$278</definedName>
    <definedName function="false" hidden="false" localSheetId="4" name="_16_06_779" vbProcedure="false">'Data Détecteur IA'!$A$1:$I$129</definedName>
    <definedName function="false" hidden="false" localSheetId="4" name="_16_06_78" vbProcedure="false">'Data Détecteur IA'!$A$1:$L$265</definedName>
    <definedName function="false" hidden="false" localSheetId="4" name="_16_06_780" vbProcedure="false">'Data Détecteur IA'!$A$1:$I$278</definedName>
    <definedName function="false" hidden="false" localSheetId="4" name="_16_06_781" vbProcedure="false">'Data Détecteur IA'!$A$1:$I$390</definedName>
    <definedName function="false" hidden="false" localSheetId="4" name="_16_06_782" vbProcedure="false">'Data Détecteur IA'!$A$1:$M$484</definedName>
    <definedName function="false" hidden="false" localSheetId="4" name="_16_06_783" vbProcedure="false">'Data Détecteur IA'!$A$1:$I$278</definedName>
    <definedName function="false" hidden="false" localSheetId="4" name="_16_06_784" vbProcedure="false">'Data Détecteur IA'!$A$1:$L$278</definedName>
    <definedName function="false" hidden="false" localSheetId="4" name="_16_06_785" vbProcedure="false">'Data Détecteur IA'!$A$1:$M$372</definedName>
    <definedName function="false" hidden="false" localSheetId="4" name="_16_06_786" vbProcedure="false">'Data Détecteur IA'!$A$1:$L$278</definedName>
    <definedName function="false" hidden="false" localSheetId="4" name="_16_06_787" vbProcedure="false">'Data Détecteur IA'!$A$1:$M$372</definedName>
    <definedName function="false" hidden="false" localSheetId="4" name="_16_06_788" vbProcedure="false">'Data Détecteur IA'!$A$1:$I$129</definedName>
    <definedName function="false" hidden="false" localSheetId="4" name="_16_06_789" vbProcedure="false">'Data Détecteur IA'!$A$1:$I$278</definedName>
    <definedName function="false" hidden="false" localSheetId="4" name="_16_06_79" vbProcedure="false">'Data Détecteur IA'!$A$1:$L$265</definedName>
    <definedName function="false" hidden="false" localSheetId="4" name="_16_06_790" vbProcedure="false">'Data Détecteur IA'!$A$1:$M$484</definedName>
    <definedName function="false" hidden="false" localSheetId="4" name="_16_06_791" vbProcedure="false">'Data Détecteur IA'!$A$1:$L$390</definedName>
    <definedName function="false" hidden="false" localSheetId="4" name="_16_06_792" vbProcedure="false">'Data Détecteur IA'!$A$1:$M$372</definedName>
    <definedName function="false" hidden="false" localSheetId="4" name="_16_06_793" vbProcedure="false">'Data Détecteur IA'!$A$1:$M$149</definedName>
    <definedName function="false" hidden="false" localSheetId="4" name="_16_06_794" vbProcedure="false">'Data Détecteur IA'!$A$1:$I$129</definedName>
    <definedName function="false" hidden="false" localSheetId="4" name="_16_06_795" vbProcedure="false">'Data Détecteur IA'!$A$1:$L$278</definedName>
    <definedName function="false" hidden="false" localSheetId="4" name="_16_06_796" vbProcedure="false">'Data Détecteur IA'!$A$1:$M$149</definedName>
    <definedName function="false" hidden="false" localSheetId="4" name="_16_06_797" vbProcedure="false">'Data Détecteur IA'!$A$1:$I$390</definedName>
    <definedName function="false" hidden="false" localSheetId="4" name="_16_06_798" vbProcedure="false">'Data Détecteur IA'!$A$1:$L$129</definedName>
    <definedName function="false" hidden="false" localSheetId="4" name="_16_06_799" vbProcedure="false">'Data Détecteur IA'!$A$1:$L$390</definedName>
    <definedName function="false" hidden="false" localSheetId="4" name="_16_06_80" vbProcedure="false">'Data Détecteur IA'!$A$1:$L$377</definedName>
    <definedName function="false" hidden="false" localSheetId="4" name="_16_06_800" vbProcedure="false">'Data Détecteur IA'!$A$1:$L$129</definedName>
    <definedName function="false" hidden="false" localSheetId="4" name="_16_06_801" vbProcedure="false">'Data Détecteur IA'!$A$1:$L$390</definedName>
    <definedName function="false" hidden="false" localSheetId="4" name="_16_06_802" vbProcedure="false">'Data Détecteur IA'!$A$1:$I$129</definedName>
    <definedName function="false" hidden="false" localSheetId="4" name="_16_06_803" vbProcedure="false">'Data Détecteur IA'!$A$1:$I$390</definedName>
    <definedName function="false" hidden="false" localSheetId="4" name="_16_06_804" vbProcedure="false">'Data Détecteur IA'!$A$1:$I$278</definedName>
    <definedName function="false" hidden="false" localSheetId="4" name="_16_06_805" vbProcedure="false">'Data Détecteur IA'!$A$1:$M$149</definedName>
    <definedName function="false" hidden="false" localSheetId="4" name="_16_06_806" vbProcedure="false">'Data Détecteur IA'!$A$1:$I$278</definedName>
    <definedName function="false" hidden="false" localSheetId="4" name="_16_06_807" vbProcedure="false">'Data Détecteur IA'!$A$1:$I$278</definedName>
    <definedName function="false" hidden="false" localSheetId="4" name="_16_06_808" vbProcedure="false">'Data Détecteur IA'!$A$1:$L$390</definedName>
    <definedName function="false" hidden="false" localSheetId="4" name="_16_06_809" vbProcedure="false">'Data Détecteur IA'!$A$1:$L$390</definedName>
    <definedName function="false" hidden="false" localSheetId="4" name="_16_06_81" vbProcedure="false">'Data Détecteur IA'!$A$1:$L$377</definedName>
    <definedName function="false" hidden="false" localSheetId="4" name="_16_06_810" vbProcedure="false">'Data Détecteur IA'!$A$1:$L$390</definedName>
    <definedName function="false" hidden="false" localSheetId="4" name="_16_06_811" vbProcedure="false">'Data Détecteur IA'!$A$1:$M$484</definedName>
    <definedName function="false" hidden="false" localSheetId="4" name="_16_06_812" vbProcedure="false">'Data Détecteur IA'!$A$1:$L$129</definedName>
    <definedName function="false" hidden="false" localSheetId="4" name="_16_06_813" vbProcedure="false">'Data Détecteur IA'!$A$1:$I$278</definedName>
    <definedName function="false" hidden="false" localSheetId="4" name="_16_06_814" vbProcedure="false">'Data Détecteur IA'!$A$1:$L$390</definedName>
    <definedName function="false" hidden="false" localSheetId="4" name="_16_06_815" vbProcedure="false">'Data Détecteur IA'!$A$1:$L$278</definedName>
    <definedName function="false" hidden="false" localSheetId="4" name="_16_06_816" vbProcedure="false">'Data Détecteur IA'!$A$1:$L$278</definedName>
    <definedName function="false" hidden="false" localSheetId="4" name="_16_06_817" vbProcedure="false">'Data Détecteur IA'!$A$1:$L$129</definedName>
    <definedName function="false" hidden="false" localSheetId="4" name="_16_06_818" vbProcedure="false">'Data Détecteur IA'!$A$1:$L$390</definedName>
    <definedName function="false" hidden="false" localSheetId="4" name="_16_06_819" vbProcedure="false">'Data Détecteur IA'!$A$1:$I$278</definedName>
    <definedName function="false" hidden="false" localSheetId="4" name="_16_06_82" vbProcedure="false">'Data Détecteur IA'!$A$1:$L$285</definedName>
    <definedName function="false" hidden="false" localSheetId="4" name="_16_06_820" vbProcedure="false">'Data Détecteur IA'!$A$1:$L$278</definedName>
    <definedName function="false" hidden="false" localSheetId="4" name="_16_06_821" vbProcedure="false">'Data Détecteur IA'!$A$1:$L$390</definedName>
    <definedName function="false" hidden="false" localSheetId="4" name="_16_06_822" vbProcedure="false">'Data Détecteur IA'!$A$1:$L$278</definedName>
    <definedName function="false" hidden="false" localSheetId="4" name="_16_06_823" vbProcedure="false">'Data Détecteur IA'!$A$1:$I$278</definedName>
    <definedName function="false" hidden="false" localSheetId="4" name="_16_06_824" vbProcedure="false">'Data Détecteur IA'!$A$1:$M$149</definedName>
    <definedName function="false" hidden="false" localSheetId="4" name="_16_06_825" vbProcedure="false">'Data Détecteur IA'!$A$1:$L$278</definedName>
    <definedName function="false" hidden="false" localSheetId="4" name="_16_06_826" vbProcedure="false">'Data Détecteur IA'!$A$1:$M$484</definedName>
    <definedName function="false" hidden="false" localSheetId="4" name="_16_06_827" vbProcedure="false">'Data Détecteur IA'!$A$1:$M$484</definedName>
    <definedName function="false" hidden="false" localSheetId="4" name="_16_06_828" vbProcedure="false">'Data Détecteur IA'!$A$1:$M$149</definedName>
    <definedName function="false" hidden="false" localSheetId="4" name="_16_06_829" vbProcedure="false">'Data Détecteur IA'!$A$1:$L$390</definedName>
    <definedName function="false" hidden="false" localSheetId="4" name="_16_06_83" vbProcedure="false">'Data Détecteur IA'!$A$1:$L$397</definedName>
    <definedName function="false" hidden="false" localSheetId="4" name="_16_06_830" vbProcedure="false">'Data Détecteur IA'!$A$1:$M$149</definedName>
    <definedName function="false" hidden="false" localSheetId="4" name="_16_06_831" vbProcedure="false">'Data Détecteur IA'!$A$1:$I$390</definedName>
    <definedName function="false" hidden="false" localSheetId="4" name="_16_06_832" vbProcedure="false">'Data Détecteur IA'!$A$1:$L$278</definedName>
    <definedName function="false" hidden="false" localSheetId="4" name="_16_06_833" vbProcedure="false">'Data Détecteur IA'!$A$1:$L$390</definedName>
    <definedName function="false" hidden="false" localSheetId="4" name="_16_06_834" vbProcedure="false">'Data Détecteur IA'!$A$1:$M$372</definedName>
    <definedName function="false" hidden="false" localSheetId="4" name="_16_06_835" vbProcedure="false">'Data Détecteur IA'!$A$1:$M$484</definedName>
    <definedName function="false" hidden="false" localSheetId="4" name="_16_06_836" vbProcedure="false">'Data Détecteur IA'!$A$1:$M$484</definedName>
    <definedName function="false" hidden="false" localSheetId="4" name="_16_06_837" vbProcedure="false">'Data Détecteur IA'!$A$1:$L$129</definedName>
    <definedName function="false" hidden="false" localSheetId="4" name="_16_06_838" vbProcedure="false">'Data Détecteur IA'!$A$1:$M$484</definedName>
    <definedName function="false" hidden="false" localSheetId="4" name="_16_06_839" vbProcedure="false">'Data Détecteur IA'!$A$1:$I$390</definedName>
    <definedName function="false" hidden="false" localSheetId="4" name="_16_06_84" vbProcedure="false">'Data Détecteur IA'!$A$1:$L$134</definedName>
    <definedName function="false" hidden="false" localSheetId="4" name="_16_06_840" vbProcedure="false">'Data Détecteur IA'!$A$1:$L$278</definedName>
    <definedName function="false" hidden="false" localSheetId="4" name="_16_06_841" vbProcedure="false">'Data Détecteur IA'!$A$1:$L$390</definedName>
    <definedName function="false" hidden="false" localSheetId="4" name="_16_06_842" vbProcedure="false">'Data Détecteur IA'!$A$1:$L$390</definedName>
    <definedName function="false" hidden="false" localSheetId="4" name="_16_06_843" vbProcedure="false">'Data Détecteur IA'!$A$1:$L$278</definedName>
    <definedName function="false" hidden="false" localSheetId="4" name="_16_06_844" vbProcedure="false">'Data Détecteur IA'!$A$1:$L$390</definedName>
    <definedName function="false" hidden="false" localSheetId="4" name="_16_06_845" vbProcedure="false">'Data Détecteur IA'!$A$1:$L$278</definedName>
    <definedName function="false" hidden="false" localSheetId="4" name="_16_06_846" vbProcedure="false">'Data Détecteur IA'!$A$1:$L$278</definedName>
    <definedName function="false" hidden="false" localSheetId="4" name="_16_06_847" vbProcedure="false">'Data Détecteur IA'!$A$1:$M$484</definedName>
    <definedName function="false" hidden="false" localSheetId="4" name="_16_06_848" vbProcedure="false">'Data Détecteur IA'!$A$1:$I$129</definedName>
    <definedName function="false" hidden="false" localSheetId="4" name="_16_06_849" vbProcedure="false">'Data Détecteur IA'!$A$1:$L$390</definedName>
    <definedName function="false" hidden="false" localSheetId="4" name="_16_06_85" vbProcedure="false">'Data Détecteur IA'!$A$1:$L$134</definedName>
    <definedName function="false" hidden="false" localSheetId="4" name="_16_06_850" vbProcedure="false">'Data Détecteur IA'!$A$1:$L$278</definedName>
    <definedName function="false" hidden="false" localSheetId="4" name="_16_06_851" vbProcedure="false">'Data Détecteur IA'!$A$1:$I$278</definedName>
    <definedName function="false" hidden="false" localSheetId="4" name="_16_06_852" vbProcedure="false">'Data Détecteur IA'!$A$1:$I$278</definedName>
    <definedName function="false" hidden="false" localSheetId="4" name="_16_06_853" vbProcedure="false">'Data Détecteur IA'!$A$1:$M$372</definedName>
    <definedName function="false" hidden="false" localSheetId="4" name="_16_06_854" vbProcedure="false">'Data Détecteur IA'!$A$1:$I$278</definedName>
    <definedName function="false" hidden="false" localSheetId="4" name="_16_06_855" vbProcedure="false">'Data Détecteur IA'!$A$1:$I$390</definedName>
    <definedName function="false" hidden="false" localSheetId="4" name="_16_06_856" vbProcedure="false">'Data Détecteur IA'!$A$1:$M$478</definedName>
    <definedName function="false" hidden="false" localSheetId="4" name="_16_06_857" vbProcedure="false">'Data Détecteur IA'!$A$1:$L$278</definedName>
    <definedName function="false" hidden="false" localSheetId="4" name="_16_06_858" vbProcedure="false">'Data Détecteur IA'!$A$1:$L$390</definedName>
    <definedName function="false" hidden="false" localSheetId="4" name="_16_06_859" vbProcedure="false">'Data Détecteur IA'!$A$1:$I$390</definedName>
    <definedName function="false" hidden="false" localSheetId="4" name="_16_06_86" vbProcedure="false">'Data Détecteur IA'!$A$1:$L$285</definedName>
    <definedName function="false" hidden="false" localSheetId="4" name="_16_06_860" vbProcedure="false">'Data Détecteur IA'!$A$1:$L$129</definedName>
    <definedName function="false" hidden="false" localSheetId="4" name="_16_06_861" vbProcedure="false">'Data Détecteur IA'!$A$1:$M$372</definedName>
    <definedName function="false" hidden="false" localSheetId="4" name="_16_06_862" vbProcedure="false">'Data Détecteur IA'!$A$1:$I$390</definedName>
    <definedName function="false" hidden="false" localSheetId="4" name="_16_06_863" vbProcedure="false">'Data Détecteur IA'!$A$1:$L$129</definedName>
    <definedName function="false" hidden="false" localSheetId="4" name="_16_06_864" vbProcedure="false">'Data Détecteur IA'!$A$1:$I$278</definedName>
    <definedName function="false" hidden="false" localSheetId="4" name="_16_06_865" vbProcedure="false">'Data Détecteur IA'!$A$1:$L$129</definedName>
    <definedName function="false" hidden="false" localSheetId="4" name="_16_06_866" vbProcedure="false">'Data Détecteur IA'!$A$1:$L$129</definedName>
    <definedName function="false" hidden="false" localSheetId="4" name="_16_06_867" vbProcedure="false">'Data Détecteur IA'!$A$1:$I$278</definedName>
    <definedName function="false" hidden="false" localSheetId="4" name="_16_06_868" vbProcedure="false">'Data Détecteur IA'!$A$1:$I$278</definedName>
    <definedName function="false" hidden="false" localSheetId="4" name="_16_06_869" vbProcedure="false">'Data Détecteur IA'!$A$1:$M$484</definedName>
    <definedName function="false" hidden="false" localSheetId="4" name="_16_06_87" vbProcedure="false">'Data Détecteur IA'!$A$1:$L$285</definedName>
    <definedName function="false" hidden="false" localSheetId="4" name="_16_06_870" vbProcedure="false">'Data Détecteur IA'!$A$1:$L$129</definedName>
    <definedName function="false" hidden="false" localSheetId="4" name="_16_06_871" vbProcedure="false">'Data Détecteur IA'!$A$1:$L$278</definedName>
    <definedName function="false" hidden="false" localSheetId="4" name="_16_06_872" vbProcedure="false">'Data Détecteur IA'!$A$1:$L$390</definedName>
    <definedName function="false" hidden="false" localSheetId="4" name="_16_06_873" vbProcedure="false">'Data Détecteur IA'!$A$1:$M$149</definedName>
    <definedName function="false" hidden="false" localSheetId="4" name="_16_06_874" vbProcedure="false">'Data Détecteur IA'!$A$1:$I$390</definedName>
    <definedName function="false" hidden="false" localSheetId="4" name="_16_06_875" vbProcedure="false">'Data Détecteur IA'!$A$1:$L$390</definedName>
    <definedName function="false" hidden="false" localSheetId="4" name="_16_06_876" vbProcedure="false">'Data Détecteur IA'!$A$1:$M$372</definedName>
    <definedName function="false" hidden="false" localSheetId="4" name="_16_06_877" vbProcedure="false">'Data Détecteur IA'!$A$1:$M$484</definedName>
    <definedName function="false" hidden="false" localSheetId="4" name="_16_06_878" vbProcedure="false">'Data Détecteur IA'!$A$1:$M$484</definedName>
    <definedName function="false" hidden="false" localSheetId="4" name="_16_06_879" vbProcedure="false">'Data Détecteur IA'!$A$1:$L$390</definedName>
    <definedName function="false" hidden="false" localSheetId="4" name="_16_06_88" vbProcedure="false">'Data Détecteur IA'!$A$1:$L$397</definedName>
    <definedName function="false" hidden="false" localSheetId="4" name="_16_06_880" vbProcedure="false">'Data Détecteur IA'!$A$1:$L$390</definedName>
    <definedName function="false" hidden="false" localSheetId="4" name="_16_06_881" vbProcedure="false">'Data Détecteur IA'!$A$1:$L$129</definedName>
    <definedName function="false" hidden="false" localSheetId="4" name="_16_06_882" vbProcedure="false">'Data Détecteur IA'!$A$1:$L$390</definedName>
    <definedName function="false" hidden="false" localSheetId="4" name="_16_06_883" vbProcedure="false">'Data Détecteur IA'!$A$1:$L$129</definedName>
    <definedName function="false" hidden="false" localSheetId="4" name="_16_06_884" vbProcedure="false">'Data Détecteur IA'!$A$1:$L$390</definedName>
    <definedName function="false" hidden="false" localSheetId="4" name="_16_06_885" vbProcedure="false">'Data Détecteur IA'!$A$1:$L$278</definedName>
    <definedName function="false" hidden="false" localSheetId="4" name="_16_06_886" vbProcedure="false">'Data Détecteur IA'!$A$1:$M$484</definedName>
    <definedName function="false" hidden="false" localSheetId="4" name="_16_06_887" vbProcedure="false">'Data Détecteur IA'!$A$1:$L$390</definedName>
    <definedName function="false" hidden="false" localSheetId="4" name="_16_06_888" vbProcedure="false">'Data Détecteur IA'!$A$1:$M$484</definedName>
    <definedName function="false" hidden="false" localSheetId="4" name="_16_06_889" vbProcedure="false">'Data Détecteur IA'!$A$1:$L$129</definedName>
    <definedName function="false" hidden="false" localSheetId="4" name="_16_06_89" vbProcedure="false">'Data Détecteur IA'!$A$1:$L$134</definedName>
    <definedName function="false" hidden="false" localSheetId="4" name="_16_06_890" vbProcedure="false">'Data Détecteur IA'!$A$1:$M$484</definedName>
    <definedName function="false" hidden="false" localSheetId="4" name="_16_06_891" vbProcedure="false">'Data Détecteur IA'!$A$1:$M$372</definedName>
    <definedName function="false" hidden="false" localSheetId="4" name="_16_06_892" vbProcedure="false">'Data Détecteur IA'!$A$1:$M$484</definedName>
    <definedName function="false" hidden="false" localSheetId="4" name="_16_06_893" vbProcedure="false">'Data Détecteur IA'!$A$1:$M$484</definedName>
    <definedName function="false" hidden="false" localSheetId="4" name="_16_06_894" vbProcedure="false">'Data Détecteur IA'!$A$1:$L$390</definedName>
    <definedName function="false" hidden="false" localSheetId="4" name="_16_06_895" vbProcedure="false">'Data Détecteur IA'!$A$1:$L$384</definedName>
    <definedName function="false" hidden="false" localSheetId="4" name="_16_06_896" vbProcedure="false">'Data Détecteur IA'!$A$1:$M$484</definedName>
    <definedName function="false" hidden="false" localSheetId="4" name="_16_06_897" vbProcedure="false">'Data Détecteur IA'!$A$1:$L$278</definedName>
    <definedName function="false" hidden="false" localSheetId="4" name="_16_06_898" vbProcedure="false">'Data Détecteur IA'!$A$1:$L$390</definedName>
    <definedName function="false" hidden="false" localSheetId="4" name="_16_06_899" vbProcedure="false">'Data Détecteur IA'!$A$1:$I$278</definedName>
    <definedName function="false" hidden="false" localSheetId="4" name="_16_06_90" vbProcedure="false">'Data Détecteur IA'!$A$1:$L$285</definedName>
    <definedName function="false" hidden="false" localSheetId="4" name="_16_06_900" vbProcedure="false">'Data Détecteur IA'!$A$1:$L$129</definedName>
    <definedName function="false" hidden="false" localSheetId="4" name="_16_06_901" vbProcedure="false">'Data Détecteur IA'!$A$1:$M$484</definedName>
    <definedName function="false" hidden="false" localSheetId="4" name="_16_06_902" vbProcedure="false">'Data Détecteur IA'!$A$1:$L$278</definedName>
    <definedName function="false" hidden="false" localSheetId="4" name="_16_06_903" vbProcedure="false">'Data Détecteur IA'!$A$1:$I$390</definedName>
    <definedName function="false" hidden="false" localSheetId="4" name="_16_06_904" vbProcedure="false">'Data Détecteur IA'!$A$1:$I$129</definedName>
    <definedName function="false" hidden="false" localSheetId="4" name="_16_06_905" vbProcedure="false">'Data Détecteur IA'!$A$1:$L$129</definedName>
    <definedName function="false" hidden="false" localSheetId="4" name="_16_06_906" vbProcedure="false">'Data Détecteur IA'!$A$1:$M$484</definedName>
    <definedName function="false" hidden="false" localSheetId="4" name="_16_06_907" vbProcedure="false">'Data Détecteur IA'!$A$1:$L$129</definedName>
    <definedName function="false" hidden="false" localSheetId="4" name="_16_06_908" vbProcedure="false">'Data Détecteur IA'!$A$1:$M$484</definedName>
    <definedName function="false" hidden="false" localSheetId="4" name="_16_06_909" vbProcedure="false">'Data Détecteur IA'!$A$1:$L$390</definedName>
    <definedName function="false" hidden="false" localSheetId="4" name="_16_06_91" vbProcedure="false">'Data Détecteur IA'!$A$1:$L$397</definedName>
    <definedName function="false" hidden="false" localSheetId="4" name="_16_06_910" vbProcedure="false">'Data Détecteur IA'!$A$1:$M$484</definedName>
    <definedName function="false" hidden="false" localSheetId="4" name="_16_06_911" vbProcedure="false">'Data Détecteur IA'!$A$1:$M$484</definedName>
    <definedName function="false" hidden="false" localSheetId="4" name="_16_06_912" vbProcedure="false">'Data Détecteur IA'!$A$1:$L$129</definedName>
    <definedName function="false" hidden="false" localSheetId="4" name="_16_06_913" vbProcedure="false">'Data Détecteur IA'!$A$1:$I$278</definedName>
    <definedName function="false" hidden="false" localSheetId="4" name="_16_06_914" vbProcedure="false">'Data Détecteur IA'!$A$1:$I$129</definedName>
    <definedName function="false" hidden="false" localSheetId="4" name="_16_06_915" vbProcedure="false">'Data Détecteur IA'!$A$1:$L$278</definedName>
    <definedName function="false" hidden="false" localSheetId="4" name="_16_06_916" vbProcedure="false">'Data Détecteur IA'!$A$1:$L$390</definedName>
    <definedName function="false" hidden="false" localSheetId="4" name="_16_06_917" vbProcedure="false">'Data Détecteur IA'!$A$1:$M$484</definedName>
    <definedName function="false" hidden="false" localSheetId="4" name="_16_06_918" vbProcedure="false">'Data Détecteur IA'!$A$1:$L$390</definedName>
    <definedName function="false" hidden="false" localSheetId="4" name="_16_06_919" vbProcedure="false">'Data Détecteur IA'!$A$1:$L$278</definedName>
    <definedName function="false" hidden="false" localSheetId="4" name="_16_06_92" vbProcedure="false">'Data Détecteur IA'!$A$1:$L$397</definedName>
    <definedName function="false" hidden="false" localSheetId="4" name="_16_06_920" vbProcedure="false">'Data Détecteur IA'!$A$1:$L$278</definedName>
    <definedName function="false" hidden="false" localSheetId="4" name="_16_06_921" vbProcedure="false">'Data Détecteur IA'!$A$1:$M$372</definedName>
    <definedName function="false" hidden="false" localSheetId="4" name="_16_06_922" vbProcedure="false">'Data Détecteur IA'!$A$1:$L$390</definedName>
    <definedName function="false" hidden="false" localSheetId="4" name="_16_06_923" vbProcedure="false">'Data Détecteur IA'!$A$1:$M$149</definedName>
    <definedName function="false" hidden="false" localSheetId="4" name="_16_06_924" vbProcedure="false">'Data Détecteur IA'!$A$1:$I$129</definedName>
    <definedName function="false" hidden="false" localSheetId="4" name="_16_06_925" vbProcedure="false">'Data Détecteur IA'!$A$1:$L$390</definedName>
    <definedName function="false" hidden="false" localSheetId="4" name="_16_06_926" vbProcedure="false">'Data Détecteur IA'!$A$1:$L$390</definedName>
    <definedName function="false" hidden="false" localSheetId="4" name="_16_06_927" vbProcedure="false">'Data Détecteur IA'!$A$1:$I$390</definedName>
    <definedName function="false" hidden="false" localSheetId="4" name="_16_06_928" vbProcedure="false">'Data Détecteur IA'!$A$1:$L$384</definedName>
    <definedName function="false" hidden="false" localSheetId="4" name="_16_06_929" vbProcedure="false">'Data Détecteur IA'!$A$1:$L$278</definedName>
    <definedName function="false" hidden="false" localSheetId="4" name="_16_06_93" vbProcedure="false">'Data Détecteur IA'!$A$1:$L$134</definedName>
    <definedName function="false" hidden="false" localSheetId="4" name="_16_06_930" vbProcedure="false">'Data Détecteur IA'!$A$1:$I$278</definedName>
    <definedName function="false" hidden="false" localSheetId="4" name="_16_06_931" vbProcedure="false">'Data Détecteur IA'!$A$1:$L$390</definedName>
    <definedName function="false" hidden="false" localSheetId="4" name="_16_06_932" vbProcedure="false">'Data Détecteur IA'!$A$1:$I$390</definedName>
    <definedName function="false" hidden="false" localSheetId="4" name="_16_06_933" vbProcedure="false">'Data Détecteur IA'!$A$1:$L$278</definedName>
    <definedName function="false" hidden="false" localSheetId="4" name="_16_06_934" vbProcedure="false">'Data Détecteur IA'!$A$1:$L$384</definedName>
    <definedName function="false" hidden="false" localSheetId="4" name="_16_06_935" vbProcedure="false">'Data Détecteur IA'!$A$1:$M$149</definedName>
    <definedName function="false" hidden="false" localSheetId="4" name="_16_06_936" vbProcedure="false">'Data Détecteur IA'!$A$1:$L$390</definedName>
    <definedName function="false" hidden="false" localSheetId="4" name="_16_06_937" vbProcedure="false">'Data Détecteur IA'!$A$1:$L$278</definedName>
    <definedName function="false" hidden="false" localSheetId="4" name="_16_06_938" vbProcedure="false">'Data Détecteur IA'!$A$1:$L$390</definedName>
    <definedName function="false" hidden="false" localSheetId="4" name="_16_06_939" vbProcedure="false">'Data Détecteur IA'!$A$1:$L$384</definedName>
    <definedName function="false" hidden="false" localSheetId="4" name="_16_06_94" vbProcedure="false">'Data Détecteur IA'!$A$1:$L$285</definedName>
    <definedName function="false" hidden="false" localSheetId="4" name="_16_06_940" vbProcedure="false">'Data Détecteur IA'!$A$1:$L$390</definedName>
    <definedName function="false" hidden="false" localSheetId="4" name="_16_06_941" vbProcedure="false">'Data Détecteur IA'!$A$1:$L$390</definedName>
    <definedName function="false" hidden="false" localSheetId="4" name="_16_06_942" vbProcedure="false">'Data Détecteur IA'!$A$1:$L$390</definedName>
    <definedName function="false" hidden="false" localSheetId="4" name="_16_06_943" vbProcedure="false">'Data Détecteur IA'!$A$1:$L$390</definedName>
    <definedName function="false" hidden="false" localSheetId="4" name="_16_06_944" vbProcedure="false">'Data Détecteur IA'!$A$1:$M$372</definedName>
    <definedName function="false" hidden="false" localSheetId="4" name="_16_06_945" vbProcedure="false">'Data Détecteur IA'!$A$1:$M$484</definedName>
    <definedName function="false" hidden="false" localSheetId="4" name="_16_06_946" vbProcedure="false">'Data Détecteur IA'!$A$1:$I$390</definedName>
    <definedName function="false" hidden="false" localSheetId="4" name="_16_06_947" vbProcedure="false">'Data Détecteur IA'!$A$1:$L$390</definedName>
    <definedName function="false" hidden="false" localSheetId="4" name="_16_06_948" vbProcedure="false">'Data Détecteur IA'!$A$1:$L$278</definedName>
    <definedName function="false" hidden="false" localSheetId="4" name="_16_06_949" vbProcedure="false">'Data Détecteur IA'!$A$1:$M$149</definedName>
    <definedName function="false" hidden="false" localSheetId="4" name="_16_06_95" vbProcedure="false">'Data Détecteur IA'!$A$1:$L$391</definedName>
    <definedName function="false" hidden="false" localSheetId="4" name="_16_06_950" vbProcedure="false">'Data Détecteur IA'!$A$1:$M$372</definedName>
    <definedName function="false" hidden="false" localSheetId="4" name="_16_06_951" vbProcedure="false">'Data Détecteur IA'!$A$1:$I$129</definedName>
    <definedName function="false" hidden="false" localSheetId="4" name="_16_06_952" vbProcedure="false">'Data Détecteur IA'!$A$1:$L$129</definedName>
    <definedName function="false" hidden="false" localSheetId="4" name="_16_06_953" vbProcedure="false">'Data Détecteur IA'!$A$1:$L$278</definedName>
    <definedName function="false" hidden="false" localSheetId="4" name="_16_06_954" vbProcedure="false">'Data Détecteur IA'!$A$1:$M$149</definedName>
    <definedName function="false" hidden="false" localSheetId="4" name="_16_06_955" vbProcedure="false">'Data Détecteur IA'!$A$1:$L$278</definedName>
    <definedName function="false" hidden="false" localSheetId="4" name="_16_06_956" vbProcedure="false">'Data Détecteur IA'!$A$1:$L$390</definedName>
    <definedName function="false" hidden="false" localSheetId="4" name="_16_06_957" vbProcedure="false">'Data Détecteur IA'!$A$1:$L$390</definedName>
    <definedName function="false" hidden="false" localSheetId="4" name="_16_06_958" vbProcedure="false">'Data Détecteur IA'!$A$1:$M$372</definedName>
    <definedName function="false" hidden="false" localSheetId="4" name="_16_06_959" vbProcedure="false">'Data Détecteur IA'!$A$1:$L$278</definedName>
    <definedName function="false" hidden="false" localSheetId="4" name="_16_06_96" vbProcedure="false">'Data Détecteur IA'!$A$1:$L$285</definedName>
    <definedName function="false" hidden="false" localSheetId="4" name="_16_06_960" vbProcedure="false">'Data Détecteur IA'!$A$1:$L$390</definedName>
    <definedName function="false" hidden="false" localSheetId="4" name="_16_06_961" vbProcedure="false">'Data Détecteur IA'!$A$1:$L$390</definedName>
    <definedName function="false" hidden="false" localSheetId="4" name="_16_06_962" vbProcedure="false">'Data Détecteur IA'!$A$1:$L$129</definedName>
    <definedName function="false" hidden="false" localSheetId="4" name="_16_06_963" vbProcedure="false">'Data Détecteur IA'!$A$1:$L$129</definedName>
    <definedName function="false" hidden="false" localSheetId="4" name="_16_06_964" vbProcedure="false">'Data Détecteur IA'!$A$1:$M$484</definedName>
    <definedName function="false" hidden="false" localSheetId="4" name="_16_06_965" vbProcedure="false">'Data Détecteur IA'!$A$1:$L$390</definedName>
    <definedName function="false" hidden="false" localSheetId="4" name="_16_06_966" vbProcedure="false">'Data Détecteur IA'!$A$1:$M$484</definedName>
    <definedName function="false" hidden="false" localSheetId="4" name="_16_06_967" vbProcedure="false">'Data Détecteur IA'!$A$1:$L$278</definedName>
    <definedName function="false" hidden="false" localSheetId="4" name="_16_06_968" vbProcedure="false">'Data Détecteur IA'!$A$1:$L$390</definedName>
    <definedName function="false" hidden="false" localSheetId="4" name="_16_06_969" vbProcedure="false">'Data Détecteur IA'!$A$1:$L$278</definedName>
    <definedName function="false" hidden="false" localSheetId="4" name="_16_06_97" vbProcedure="false">'Data Détecteur IA'!$A$1:$L$285</definedName>
    <definedName function="false" hidden="false" localSheetId="4" name="_16_06_970" vbProcedure="false">'Data Détecteur IA'!$A$1:$I$390</definedName>
    <definedName function="false" hidden="false" localSheetId="4" name="_16_06_971" vbProcedure="false">'Data Détecteur IA'!$A$1:$L$129</definedName>
    <definedName function="false" hidden="false" localSheetId="4" name="_16_06_972" vbProcedure="false">'Data Détecteur IA'!$A$1:$L$278</definedName>
    <definedName function="false" hidden="false" localSheetId="4" name="_16_06_973" vbProcedure="false">'Data Détecteur IA'!$A$1:$L$390</definedName>
    <definedName function="false" hidden="false" localSheetId="4" name="_16_06_974" vbProcedure="false">'Data Détecteur IA'!$A$1:$L$390</definedName>
    <definedName function="false" hidden="false" localSheetId="4" name="_16_06_975" vbProcedure="false">'Data Détecteur IA'!$A$1:$L$129</definedName>
    <definedName function="false" hidden="false" localSheetId="4" name="_16_06_976" vbProcedure="false">'Data Détecteur IA'!$A$1:$L$390</definedName>
    <definedName function="false" hidden="false" localSheetId="4" name="_16_06_977" vbProcedure="false">'Data Détecteur IA'!$A$1:$M$484</definedName>
    <definedName function="false" hidden="false" localSheetId="4" name="_16_06_978" vbProcedure="false">'Data Détecteur IA'!$A$1:$M$372</definedName>
    <definedName function="false" hidden="false" localSheetId="4" name="_16_06_979" vbProcedure="false">'Data Détecteur IA'!$A$1:$M$484</definedName>
    <definedName function="false" hidden="false" localSheetId="4" name="_16_06_98" vbProcedure="false">'Data Détecteur IA'!$A$1:$L$134</definedName>
    <definedName function="false" hidden="false" localSheetId="4" name="_16_06_980" vbProcedure="false">'Data Détecteur IA'!$A$1:$M$372</definedName>
    <definedName function="false" hidden="false" localSheetId="4" name="_16_06_981" vbProcedure="false">'Data Détecteur IA'!$A$1:$M$149</definedName>
    <definedName function="false" hidden="false" localSheetId="4" name="_16_06_982" vbProcedure="false">'Data Détecteur IA'!$A$1:$I$278</definedName>
    <definedName function="false" hidden="false" localSheetId="4" name="_16_06_983" vbProcedure="false">'Data Détecteur IA'!$A$1:$M$484</definedName>
    <definedName function="false" hidden="false" localSheetId="4" name="_16_06_984" vbProcedure="false">'Data Détecteur IA'!$A$1:$L$390</definedName>
    <definedName function="false" hidden="false" localSheetId="4" name="_16_06_985" vbProcedure="false">'Data Détecteur IA'!$A$1:$M$484</definedName>
    <definedName function="false" hidden="false" localSheetId="4" name="_16_06_986" vbProcedure="false">'Data Détecteur IA'!$A$1:$I$390</definedName>
    <definedName function="false" hidden="false" localSheetId="4" name="_16_06_987" vbProcedure="false">'Data Détecteur IA'!$A$1:$I$129</definedName>
    <definedName function="false" hidden="false" localSheetId="4" name="_16_06_988" vbProcedure="false">'Data Détecteur IA'!$A$1:$I$278</definedName>
    <definedName function="false" hidden="false" localSheetId="4" name="_16_06_989" vbProcedure="false">'Data Détecteur IA'!$A$1:$L$129</definedName>
    <definedName function="false" hidden="false" localSheetId="4" name="_16_06_99" vbProcedure="false">'Data Détecteur IA'!$A$1:$L$397</definedName>
    <definedName function="false" hidden="false" localSheetId="4" name="_16_06_990" vbProcedure="false">'Data Détecteur IA'!$A$1:$I$129</definedName>
    <definedName function="false" hidden="false" localSheetId="4" name="_16_06_991" vbProcedure="false">'Data Détecteur IA'!$A$1:$I$129</definedName>
    <definedName function="false" hidden="false" localSheetId="4" name="_16_06_992" vbProcedure="false">'Data Détecteur IA'!$A$1:$I$390</definedName>
    <definedName function="false" hidden="false" localSheetId="4" name="_16_06_993" vbProcedure="false">'Data Détecteur IA'!$A$1:$M$372</definedName>
    <definedName function="false" hidden="false" localSheetId="4" name="_16_06_994" vbProcedure="false">'Data Détecteur IA'!$A$1:$L$278</definedName>
    <definedName function="false" hidden="false" localSheetId="4" name="_16_06_995" vbProcedure="false">'Data Détecteur IA'!$A$1:$L$278</definedName>
    <definedName function="false" hidden="false" localSheetId="4" name="_16_06_996" vbProcedure="false">'Data Détecteur IA'!$A$1:$M$372</definedName>
    <definedName function="false" hidden="false" localSheetId="4" name="_16_06_997" vbProcedure="false">'Data Détecteur IA'!$A$1:$L$278</definedName>
    <definedName function="false" hidden="false" localSheetId="4" name="_16_06_998" vbProcedure="false">'Data Détecteur IA'!$A$1:$M$484</definedName>
    <definedName function="false" hidden="false" localSheetId="4" name="_16_06_999" vbProcedure="false">'Data Détecteur IA'!$A$1:$L$129</definedName>
    <definedName function="false" hidden="false" localSheetId="4" name="_884151479245148968_25_05_23_3" vbProcedure="false">'Data Détecteur IA'!$A$1:$E$61</definedName>
    <definedName function="false" hidden="false" localSheetId="4" name="_884151479245148968_25_05_23_3_1" vbProcedure="false">'Data Détecteur IA'!$A$1:$E$61</definedName>
    <definedName function="false" hidden="false" localSheetId="4" name="_884151479245148968_25_05_23_3_2" vbProcedure="false">'Data Détecteur IA'!$A$1:$E$61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  <comment ref="C3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Morte le 29/04/24</t>
        </r>
      </text>
    </comment>
    <comment ref="I40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  <comment ref="I53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Morte le 29/04/24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9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Morte le 29/04/24</t>
        </r>
      </text>
    </comment>
    <comment ref="B5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  <comment ref="AZ2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Morte le 29/04/24</t>
        </r>
      </text>
    </comment>
    <comment ref="AZ55" authorId="0">
      <text>
        <r>
          <rPr>
            <sz val="10"/>
            <rFont val="Arial"/>
            <family val="2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Morte le 29/04/24</t>
        </r>
      </text>
    </comment>
    <comment ref="A51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Nathalie:
</t>
        </r>
        <r>
          <rPr>
            <sz val="9"/>
            <color rgb="FF000000"/>
            <rFont val="Tahoma"/>
            <family val="2"/>
            <charset val="1"/>
          </rPr>
          <t xml:space="preserve">Eponge perdue</t>
        </r>
      </text>
    </comment>
  </commentList>
</comments>
</file>

<file path=xl/sharedStrings.xml><?xml version="1.0" encoding="utf-8"?>
<sst xmlns="http://schemas.openxmlformats.org/spreadsheetml/2006/main" count="3284" uniqueCount="238">
  <si>
    <t xml:space="preserve">Programme cadre CNE: FGA et Effet mâle - ODARC (Altiani, Corse) - 2024</t>
  </si>
  <si>
    <t xml:space="preserve">Tonte</t>
  </si>
  <si>
    <t xml:space="preserve">Pose éponges</t>
  </si>
  <si>
    <t xml:space="preserve">Pose harnais sur béliers</t>
  </si>
  <si>
    <t xml:space="preserve">11h</t>
  </si>
  <si>
    <t xml:space="preserve">Pour qu'ils s'habituent</t>
  </si>
  <si>
    <t xml:space="preserve">Retrait éponges + pose tags</t>
  </si>
  <si>
    <t xml:space="preserve">entre 7h02 et 7h28</t>
  </si>
  <si>
    <t xml:space="preserve">Retrait éponges lot PMSG</t>
  </si>
  <si>
    <t xml:space="preserve">à 8h</t>
  </si>
  <si>
    <t xml:space="preserve">Intro bélier</t>
  </si>
  <si>
    <t xml:space="preserve">à 7h30</t>
  </si>
  <si>
    <t xml:space="preserve">IA</t>
  </si>
  <si>
    <t xml:space="preserve">à 16h00</t>
  </si>
  <si>
    <t xml:space="preserve">IA lot PMSG</t>
  </si>
  <si>
    <t xml:space="preserve">à 15h00</t>
  </si>
  <si>
    <t xml:space="preserve">Fin Suivi chaleur</t>
  </si>
  <si>
    <t xml:space="preserve">Intro Bélier retour</t>
  </si>
  <si>
    <t xml:space="preserve">Retrait Bélier retour</t>
  </si>
  <si>
    <t xml:space="preserve">Echographie</t>
  </si>
  <si>
    <t xml:space="preserve">2ème Echo</t>
  </si>
  <si>
    <t xml:space="preserve">Béliers Corses vasectomisés équipés de détecteurs ovimate</t>
  </si>
  <si>
    <t xml:space="preserve">Béliers</t>
  </si>
  <si>
    <t xml:space="preserve">Harnais</t>
  </si>
  <si>
    <t xml:space="preserve">Alpha</t>
  </si>
  <si>
    <t xml:space="preserve">Jusqu'au</t>
  </si>
  <si>
    <t xml:space="preserve">91807 (bélier noir)</t>
  </si>
  <si>
    <t xml:space="preserve">0872</t>
  </si>
  <si>
    <t xml:space="preserve">23/05/24 14h00</t>
  </si>
  <si>
    <t xml:space="preserve">0587</t>
  </si>
  <si>
    <t xml:space="preserve">IA si début des chaleurs entre 0 et 35 avant le moment de l'IA et au moins 3ch</t>
  </si>
  <si>
    <t xml:space="preserve">IA 55h à 14h00 le 23/05/24</t>
  </si>
  <si>
    <t xml:space="preserve">Début des chaleurs à partir de 3h00 le 22/05/24</t>
  </si>
  <si>
    <t xml:space="preserve">Si IA à 57h à 16h00 le 23/05/24</t>
  </si>
  <si>
    <t xml:space="preserve">Début des chaleurs à partir de 5h00 le 22/05/24</t>
  </si>
  <si>
    <t xml:space="preserve">Si IA à 60h à 19h00 le 23/05/24</t>
  </si>
  <si>
    <t xml:space="preserve">Début des chaleurs à partir de 8h00 le 22/05/24</t>
  </si>
  <si>
    <t xml:space="preserve">Si IA à 73h à 8h00 le 24/05/24</t>
  </si>
  <si>
    <t xml:space="preserve">Début des chaleurs à partir de 21h00 le 22/05/24</t>
  </si>
  <si>
    <t xml:space="preserve">Activité des béliers bonne pour le 93202, idem à 2023</t>
  </si>
  <si>
    <t xml:space="preserve">cf onglet Data Activité Béliers</t>
  </si>
  <si>
    <t xml:space="preserve">Données du 91807 et du 91001 n'ont pas pu être récupérées, connecteurs cassés</t>
  </si>
  <si>
    <t xml:space="preserve">Je pense que les 2 béliers se batent, que le 91001 frappe le 91807 et que c'est pour ça que l'on avait moins de chevauchements pour eux en 2023</t>
  </si>
  <si>
    <t xml:space="preserve">Planning manips printemps 2024</t>
  </si>
  <si>
    <t xml:space="preserve">50 brebis</t>
  </si>
  <si>
    <t xml:space="preserve">FGA et Effet mâle</t>
  </si>
  <si>
    <t xml:space="preserve">Corsia Altiani</t>
  </si>
  <si>
    <t xml:space="preserve">Proposition</t>
  </si>
  <si>
    <t xml:space="preserve">Vacances Pâques Montpellier/Toulouse</t>
  </si>
  <si>
    <t xml:space="preserve">S</t>
  </si>
  <si>
    <t xml:space="preserve">D</t>
  </si>
  <si>
    <t xml:space="preserve">L</t>
  </si>
  <si>
    <t xml:space="preserve">TP Le Merle</t>
  </si>
  <si>
    <t xml:space="preserve">M</t>
  </si>
  <si>
    <t xml:space="preserve">J</t>
  </si>
  <si>
    <t xml:space="preserve">V</t>
  </si>
  <si>
    <t xml:space="preserve">Doctoriales </t>
  </si>
  <si>
    <t xml:space="preserve">Pose Eponges</t>
  </si>
  <si>
    <t xml:space="preserve">Réunion ASE</t>
  </si>
  <si>
    <t xml:space="preserve">Pose tags + Retrait éponges + intro 3 béliers avec détecteur</t>
  </si>
  <si>
    <t xml:space="preserve">Suivi chaleurs </t>
  </si>
  <si>
    <t xml:space="preserve">Suivi chaleurs + IA</t>
  </si>
  <si>
    <t xml:space="preserve">Suivi chaleurs</t>
  </si>
  <si>
    <t xml:space="preserve">Béliers retour</t>
  </si>
  <si>
    <t xml:space="preserve">WE AFS</t>
  </si>
  <si>
    <t xml:space="preserve">Echorgraphies</t>
  </si>
  <si>
    <t xml:space="preserve">Lot</t>
  </si>
  <si>
    <t xml:space="preserve">N° travail</t>
  </si>
  <si>
    <t xml:space="preserve">num</t>
  </si>
  <si>
    <t xml:space="preserve">N° Glasstag</t>
  </si>
  <si>
    <t xml:space="preserve">E</t>
  </si>
  <si>
    <t xml:space="preserve">Eponge perdue</t>
  </si>
  <si>
    <t xml:space="preserve">x</t>
  </si>
  <si>
    <t xml:space="preserve">? Ou 89054</t>
  </si>
  <si>
    <t xml:space="preserve">N</t>
  </si>
  <si>
    <t xml:space="preserve"> ID</t>
  </si>
  <si>
    <t xml:space="preserve">Bélier</t>
  </si>
  <si>
    <t xml:space="preserve"> TAG</t>
  </si>
  <si>
    <t xml:space="preserve">Tag court</t>
  </si>
  <si>
    <t xml:space="preserve">N° Brebis</t>
  </si>
  <si>
    <t xml:space="preserve"> DATE (dd_mm_yyyy)</t>
  </si>
  <si>
    <t xml:space="preserve"> TIME</t>
  </si>
  <si>
    <t xml:space="preserve">Nb chev cumulés béliers</t>
  </si>
  <si>
    <t xml:space="preserve">Nb chev cumulés brebis</t>
  </si>
  <si>
    <t xml:space="preserve">N° Ordre Brebis</t>
  </si>
  <si>
    <t xml:space="preserve">ID-590380891636440587</t>
  </si>
  <si>
    <t xml:space="preserve">Alpha 38</t>
  </si>
  <si>
    <t xml:space="preserve">88841</t>
  </si>
  <si>
    <t xml:space="preserve">89202</t>
  </si>
  <si>
    <t xml:space="preserve">88303</t>
  </si>
  <si>
    <t xml:space="preserve">89312</t>
  </si>
  <si>
    <t xml:space="preserve">89054</t>
  </si>
  <si>
    <t xml:space="preserve">230122 ?</t>
  </si>
  <si>
    <t xml:space="preserve">88831</t>
  </si>
  <si>
    <t xml:space="preserve">88284</t>
  </si>
  <si>
    <t xml:space="preserve">88898</t>
  </si>
  <si>
    <t xml:space="preserve">89800</t>
  </si>
  <si>
    <t xml:space="preserve">89787</t>
  </si>
  <si>
    <t xml:space="preserve">89201</t>
  </si>
  <si>
    <t xml:space="preserve">89067</t>
  </si>
  <si>
    <t xml:space="preserve">89008</t>
  </si>
  <si>
    <t xml:space="preserve">88994</t>
  </si>
  <si>
    <t xml:space="preserve">89271</t>
  </si>
  <si>
    <t xml:space="preserve">88596</t>
  </si>
  <si>
    <t xml:space="preserve">88320</t>
  </si>
  <si>
    <t xml:space="preserve">89150</t>
  </si>
  <si>
    <t xml:space="preserve">88900</t>
  </si>
  <si>
    <t xml:space="preserve">88592</t>
  </si>
  <si>
    <t xml:space="preserve">88917</t>
  </si>
  <si>
    <t xml:space="preserve">89277</t>
  </si>
  <si>
    <t xml:space="preserve">88767</t>
  </si>
  <si>
    <t xml:space="preserve">88802</t>
  </si>
  <si>
    <t xml:space="preserve">89230</t>
  </si>
  <si>
    <t xml:space="preserve">ID-1460541931523872777</t>
  </si>
  <si>
    <t xml:space="preserve">Alpha 12</t>
  </si>
  <si>
    <t xml:space="preserve">88557</t>
  </si>
  <si>
    <t xml:space="preserve">89417</t>
  </si>
  <si>
    <t xml:space="preserve">88940</t>
  </si>
  <si>
    <t xml:space="preserve">88730</t>
  </si>
  <si>
    <t xml:space="preserve">89030</t>
  </si>
  <si>
    <t xml:space="preserve">89448</t>
  </si>
  <si>
    <t xml:space="preserve">Lot Effet mâle</t>
  </si>
  <si>
    <t xml:space="preserve">Production laitière (monotraite)</t>
  </si>
  <si>
    <t xml:space="preserve">Suivi chaleur - IA</t>
  </si>
  <si>
    <t xml:space="preserve">Echo (11/07/24)</t>
  </si>
  <si>
    <t xml:space="preserve">Date naissance</t>
  </si>
  <si>
    <t xml:space="preserve">Age</t>
  </si>
  <si>
    <t xml:space="preserve">Mise bas </t>
  </si>
  <si>
    <t xml:space="preserve">Nb agneaux</t>
  </si>
  <si>
    <t xml:space="preserve">Interv MB IA</t>
  </si>
  <si>
    <t xml:space="preserve">Interv MB-EM (jours)</t>
  </si>
  <si>
    <t xml:space="preserve">NEC 1
10/10/23</t>
  </si>
  <si>
    <t xml:space="preserve">NEC 2
29/11/23</t>
  </si>
  <si>
    <t xml:space="preserve">NEC 3
10/04/24</t>
  </si>
  <si>
    <t xml:space="preserve">NEC 4
28/05/24</t>
  </si>
  <si>
    <t xml:space="preserve">Index (Isyn)</t>
  </si>
  <si>
    <t xml:space="preserve">Lactation  (llait)</t>
  </si>
  <si>
    <t xml:space="preserve">Lactation moyenne</t>
  </si>
  <si>
    <t xml:space="preserve">Duree traite moyenne</t>
  </si>
  <si>
    <t xml:space="preserve">CLO 1</t>
  </si>
  <si>
    <t xml:space="preserve">CLO 2</t>
  </si>
  <si>
    <t xml:space="preserve">CLO 3</t>
  </si>
  <si>
    <t xml:space="preserve">CLO 4</t>
  </si>
  <si>
    <t xml:space="preserve">CLO 5</t>
  </si>
  <si>
    <t xml:space="preserve">CLO 6</t>
  </si>
  <si>
    <t xml:space="preserve">CLO 7</t>
  </si>
  <si>
    <t xml:space="preserve">N° ordre brebis</t>
  </si>
  <si>
    <t xml:space="preserve">Jour + Heure début</t>
  </si>
  <si>
    <t xml:space="preserve">Jour + Heure fin</t>
  </si>
  <si>
    <t xml:space="preserve">Début chaleur/retrait éponges (h)</t>
  </si>
  <si>
    <t xml:space="preserve">Début chaleur + 35h (en h)</t>
  </si>
  <si>
    <t xml:space="preserve">Durée chaleur (h)</t>
  </si>
  <si>
    <t xml:space="preserve">Durée chaleur corrigée (h)</t>
  </si>
  <si>
    <t xml:space="preserve">Nb Chev cumules</t>
  </si>
  <si>
    <t xml:space="preserve">Date IA</t>
  </si>
  <si>
    <t xml:space="preserve">Heure IA</t>
  </si>
  <si>
    <t xml:space="preserve">Bélier IA</t>
  </si>
  <si>
    <t xml:space="preserve">num officiel bélier</t>
  </si>
  <si>
    <t xml:space="preserve">Intervalle Debut chaleur-IA</t>
  </si>
  <si>
    <t xml:space="preserve">Intervalle IA-Echo</t>
  </si>
  <si>
    <t xml:space="preserve">Stade (jours)</t>
  </si>
  <si>
    <t xml:space="preserve">Echo</t>
  </si>
  <si>
    <t xml:space="preserve">Stade Cor Agnelage</t>
  </si>
  <si>
    <t xml:space="preserve">Nbre Agneaux</t>
  </si>
  <si>
    <t xml:space="preserve">Date agnelage</t>
  </si>
  <si>
    <t xml:space="preserve">Mode repro</t>
  </si>
  <si>
    <t xml:space="preserve">Date theorique agnelage</t>
  </si>
  <si>
    <t xml:space="preserve">Cible IA</t>
  </si>
  <si>
    <t xml:space="preserve">Durée gesta</t>
  </si>
  <si>
    <t xml:space="preserve">Pas vue Alpha</t>
  </si>
  <si>
    <t xml:space="preserve">Observations</t>
  </si>
  <si>
    <t xml:space="preserve">3118</t>
  </si>
  <si>
    <t xml:space="preserve">21240132606</t>
  </si>
  <si>
    <t xml:space="preserve">Retour</t>
  </si>
  <si>
    <t xml:space="preserve">1037</t>
  </si>
  <si>
    <t xml:space="preserve">21241212306</t>
  </si>
  <si>
    <t xml:space="preserve">3111</t>
  </si>
  <si>
    <t xml:space="preserve">21214232404</t>
  </si>
  <si>
    <t xml:space="preserve">Oui</t>
  </si>
  <si>
    <t xml:space="preserve">3103</t>
  </si>
  <si>
    <t xml:space="preserve">21201232087</t>
  </si>
  <si>
    <t xml:space="preserve">Pas vue </t>
  </si>
  <si>
    <t xml:space="preserve">3126</t>
  </si>
  <si>
    <t xml:space="preserve">21034433325</t>
  </si>
  <si>
    <t xml:space="preserve">Vide</t>
  </si>
  <si>
    <t xml:space="preserve">Repasse</t>
  </si>
  <si>
    <t xml:space="preserve">Pas vue</t>
  </si>
  <si>
    <t xml:space="preserve">2067</t>
  </si>
  <si>
    <t xml:space="preserve">21234021548</t>
  </si>
  <si>
    <t xml:space="preserve">3109</t>
  </si>
  <si>
    <t xml:space="preserve">21273532290</t>
  </si>
  <si>
    <t xml:space="preserve">2081</t>
  </si>
  <si>
    <t xml:space="preserve">21066523053</t>
  </si>
  <si>
    <t xml:space="preserve">2079</t>
  </si>
  <si>
    <t xml:space="preserve">21212222016</t>
  </si>
  <si>
    <t xml:space="preserve">Eponge Perdue</t>
  </si>
  <si>
    <t xml:space="preserve">Toutes</t>
  </si>
  <si>
    <t xml:space="preserve">Dans la cible</t>
  </si>
  <si>
    <t xml:space="preserve">Hors cibles</t>
  </si>
  <si>
    <t xml:space="preserve">ou pas vues</t>
  </si>
  <si>
    <t xml:space="preserve">Pleines</t>
  </si>
  <si>
    <t xml:space="preserve">Rattrapage</t>
  </si>
  <si>
    <t xml:space="preserve">Vides</t>
  </si>
  <si>
    <t xml:space="preserve">IA à 55h</t>
  </si>
  <si>
    <t xml:space="preserve">31 pleines de l'IA/50 (1 éponge perdue) soit 60,8%</t>
  </si>
  <si>
    <t xml:space="preserve">33 agnelages de l'IA/50 soit 66%</t>
  </si>
  <si>
    <t xml:space="preserve">17 brebis dans la cible pour IA à 55h avec 3ch ou plus au moment de l'IA</t>
  </si>
  <si>
    <t xml:space="preserve">Dont 1 rattrapable, 2 un peu après IA et 11 pas vues</t>
  </si>
  <si>
    <t xml:space="preserve">Dont 16 dans la cible (&gt;=3chev), 3 (&lt;3ch), 1 rattrapable et 2 un peu après IA</t>
  </si>
  <si>
    <t xml:space="preserve">17/51 =&gt; 33%</t>
  </si>
  <si>
    <t xml:space="preserve">Sur les 23 de la cible 17 pleines dont 15 avec &gt;=3Chev soit 35,2%</t>
  </si>
  <si>
    <t xml:space="preserve">Sur les 23 de la cible 19 agnèlent de l'IA dont 16 avec &gt;=3Chev soit 69,6%</t>
  </si>
  <si>
    <t xml:space="preserve">5 avec 1 ou 2 ch</t>
  </si>
  <si>
    <t xml:space="preserve">donc 22/51 =&gt;43%</t>
  </si>
  <si>
    <t xml:space="preserve">3 vides dont 3 pas vues</t>
  </si>
  <si>
    <t xml:space="preserve">1 vide pas vue</t>
  </si>
  <si>
    <t xml:space="preserve">3 de la veille rattrapables =&gt; Total 25/51=49%</t>
  </si>
  <si>
    <t xml:space="preserve">17 brebis pleines sur rattrapage/51 soit 33,3% dont 9 dans la cible et 8 pas vues</t>
  </si>
  <si>
    <t xml:space="preserve">17+1 agnelages sur rattrapage/51 soit 35,3% dont 4 dans la cible, 3 vues après IA et 8 pas vues</t>
  </si>
  <si>
    <t xml:space="preserve">48 brebis pleines/51 sur toute la lutte (IA + rattrapage) =&gt; 94,1% fertilité</t>
  </si>
  <si>
    <t xml:space="preserve">50  agnelage/51 sur toute la lutte =&gt; 98% fertilité</t>
  </si>
  <si>
    <t xml:space="preserve">IA à 57h</t>
  </si>
  <si>
    <t xml:space="preserve">17 brebis dans la cible pour IA à 57h avec 3ch ou plus au moment de l'IA</t>
  </si>
  <si>
    <t xml:space="preserve">4 de la veille rattrapables =&gt; Total 26/51=51%</t>
  </si>
  <si>
    <t xml:space="preserve">IA à 60h</t>
  </si>
  <si>
    <t xml:space="preserve">17 brebis dans la cible pour IA à 60h avec 3ch ou plus au moment de l'IA</t>
  </si>
  <si>
    <t xml:space="preserve">7 avec 1 ou 2 ch</t>
  </si>
  <si>
    <t xml:space="preserve">donc total 24/51 =&gt; 47%</t>
  </si>
  <si>
    <t xml:space="preserve">4 de la veille rattrapables =&gt; Total 28/51=55%</t>
  </si>
  <si>
    <t xml:space="preserve">IA à 73h</t>
  </si>
  <si>
    <t xml:space="preserve">8 brebis dans la cible pour IA à 73h avec 3ch ou plus au moment de l'IA </t>
  </si>
  <si>
    <t xml:space="preserve">8/51 =&gt; 16%</t>
  </si>
  <si>
    <t xml:space="preserve">donc total 13/51 =&gt; 25%</t>
  </si>
  <si>
    <t xml:space="preserve">15 de la veille rattrapables =&gt; Total 28/51=55%</t>
  </si>
  <si>
    <t xml:space="preserve">Globalement 31 brebis vues en chaleurs sur 51 soit 61%</t>
  </si>
  <si>
    <t xml:space="preserve">MAIS problème de matériel, les données d’un seul bélier ont pu être récupérées</t>
  </si>
  <si>
    <t xml:space="preserve">Dont 17+5 dans la cible pour une IA à  55 ou 57h et 17+7 pour une IA à 60h soit 43 et 47%</t>
  </si>
  <si>
    <t xml:space="preserve">7 hors cible, 5 trop précoces et rattrapables, 2 trop tardives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</si>
</sst>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"/>
    <numFmt numFmtId="166" formatCode="dd\-mmm"/>
    <numFmt numFmtId="167" formatCode="0"/>
    <numFmt numFmtId="168" formatCode="dd/mm/yyyy\ hh:mm"/>
    <numFmt numFmtId="169" formatCode="d/m\ h:mm"/>
    <numFmt numFmtId="170" formatCode="#,##0"/>
    <numFmt numFmtId="171" formatCode="dd/mm/yy\ hh:mm"/>
    <numFmt numFmtId="172" formatCode="dd/mm/yyyy"/>
    <numFmt numFmtId="173" formatCode="d/mm/yy;@"/>
    <numFmt numFmtId="174" formatCode="0.00"/>
    <numFmt numFmtId="175" formatCode="d/m;@"/>
    <numFmt numFmtId="176" formatCode="dd/mm/yy;@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8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20"/>
      <color rgb="FF000000"/>
      <name val="Calibri"/>
      <family val="2"/>
    </font>
    <font>
      <sz val="12"/>
      <color rgb="FF000000"/>
      <name val="Calibri"/>
      <family val="2"/>
    </font>
    <font>
      <sz val="16"/>
      <color rgb="FF000000"/>
      <name val="Calibri"/>
      <family val="2"/>
    </font>
    <font>
      <sz val="18"/>
      <color rgb="FF000000"/>
      <name val="Calibri"/>
      <family val="2"/>
    </font>
    <font>
      <sz val="14"/>
      <color rgb="FF000000"/>
      <name val="Calibr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00"/>
      <name val="Calibri"/>
      <family val="2"/>
    </font>
    <font>
      <sz val="9"/>
      <color theme="1"/>
      <name val="Calibri"/>
      <family val="2"/>
      <charset val="1"/>
    </font>
    <font>
      <sz val="8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9"/>
      <color rgb="FF000000"/>
      <name val="Tahoma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7" tint="0.3999"/>
        <bgColor rgb="FFF8CBAD"/>
      </patternFill>
    </fill>
    <fill>
      <patternFill patternType="solid">
        <fgColor rgb="FFFFC000"/>
        <bgColor rgb="FFFF9900"/>
      </patternFill>
    </fill>
    <fill>
      <patternFill patternType="solid">
        <fgColor theme="0" tint="-0.5"/>
        <bgColor rgb="FF8B8B8B"/>
      </patternFill>
    </fill>
    <fill>
      <patternFill patternType="solid">
        <fgColor rgb="FFFF0000"/>
        <bgColor rgb="FF993300"/>
      </patternFill>
    </fill>
    <fill>
      <patternFill patternType="solid">
        <fgColor theme="0" tint="-0.25"/>
        <bgColor rgb="FFA5A5A5"/>
      </patternFill>
    </fill>
    <fill>
      <patternFill patternType="solid">
        <fgColor theme="0" tint="-0.15"/>
        <bgColor rgb="FFDEEBF7"/>
      </patternFill>
    </fill>
    <fill>
      <patternFill patternType="solid">
        <fgColor theme="4" tint="0.7999"/>
        <bgColor rgb="FFD9D9D9"/>
      </patternFill>
    </fill>
    <fill>
      <patternFill patternType="solid">
        <fgColor theme="5" tint="0.5999"/>
        <bgColor rgb="FFFBE5D6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DEEBF7"/>
      </patternFill>
    </fill>
    <fill>
      <patternFill patternType="solid">
        <fgColor rgb="FF92D050"/>
        <bgColor rgb="FFA5A5A5"/>
      </patternFill>
    </fill>
    <fill>
      <patternFill patternType="solid">
        <fgColor rgb="FF00B050"/>
        <bgColor rgb="FF0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>
        <color theme="0" tint="-0.5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ck"/>
      <right style="thick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5" fontId="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5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4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1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5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9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2" fontId="27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" fillId="0" borderId="9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7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9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9" xfId="23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7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7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" fillId="7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2" fontId="27" fillId="7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27" fillId="7" borderId="9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27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7" fillId="7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7" fillId="7" borderId="9" xfId="23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27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7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7" fillId="7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7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7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7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0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72" fontId="27" fillId="0" borderId="1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27" fillId="0" borderId="12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2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7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7" fillId="0" borderId="12" xfId="23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2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2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Normal 6" xfId="21"/>
    <cellStyle name="Normal 8" xfId="22"/>
    <cellStyle name="Normal_Feuil1" xfId="23"/>
  </cellStyles>
  <dxfs count="93">
    <dxf>
      <fill>
        <patternFill patternType="solid">
          <fgColor rgb="FF00B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5A8AC6"/>
          <bgColor rgb="FF000000"/>
        </patternFill>
      </fill>
    </dxf>
    <dxf>
      <fill>
        <patternFill patternType="solid">
          <fgColor rgb="FF6391CA"/>
          <bgColor rgb="FF000000"/>
        </patternFill>
      </fill>
    </dxf>
    <dxf>
      <fill>
        <patternFill patternType="solid">
          <fgColor rgb="FF6C97CD"/>
          <bgColor rgb="FF000000"/>
        </patternFill>
      </fill>
    </dxf>
    <dxf>
      <fill>
        <patternFill patternType="solid">
          <fgColor rgb="FF759DD0"/>
          <bgColor rgb="FF000000"/>
        </patternFill>
      </fill>
    </dxf>
    <dxf>
      <fill>
        <patternFill patternType="solid">
          <fgColor rgb="FF7EA3D3"/>
          <bgColor rgb="FF000000"/>
        </patternFill>
      </fill>
    </dxf>
    <dxf>
      <fill>
        <patternFill patternType="solid">
          <fgColor rgb="FF86A9D6"/>
          <bgColor rgb="FF000000"/>
        </patternFill>
      </fill>
    </dxf>
    <dxf>
      <fill>
        <patternFill patternType="solid">
          <fgColor rgb="FFB2C8E5"/>
          <bgColor rgb="FF000000"/>
        </patternFill>
      </fill>
    </dxf>
    <dxf>
      <fill>
        <patternFill patternType="solid">
          <fgColor rgb="FFEFF3FB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8F9FE"/>
          <bgColor rgb="FF000000"/>
        </patternFill>
      </fill>
    </dxf>
    <dxf>
      <fill>
        <patternFill patternType="solid">
          <fgColor rgb="FFF99396"/>
          <bgColor rgb="FF000000"/>
        </patternFill>
      </fill>
    </dxf>
    <dxf>
      <fill>
        <patternFill patternType="solid">
          <fgColor rgb="FFF99698"/>
          <bgColor rgb="FF000000"/>
        </patternFill>
      </fill>
    </dxf>
    <dxf>
      <fill>
        <patternFill patternType="solid">
          <fgColor rgb="FFF9989B"/>
          <bgColor rgb="FF000000"/>
        </patternFill>
      </fill>
    </dxf>
    <dxf>
      <fill>
        <patternFill patternType="solid">
          <fgColor rgb="FFF99DA0"/>
          <bgColor rgb="FF000000"/>
        </patternFill>
      </fill>
    </dxf>
    <dxf>
      <fill>
        <patternFill patternType="solid">
          <fgColor rgb="FFF9A2A5"/>
          <bgColor rgb="FF000000"/>
        </patternFill>
      </fill>
    </dxf>
    <dxf>
      <fill>
        <patternFill patternType="solid">
          <fgColor rgb="FFF9A7AA"/>
          <bgColor rgb="FF000000"/>
        </patternFill>
      </fill>
    </dxf>
    <dxf>
      <fill>
        <patternFill patternType="solid">
          <fgColor rgb="FFFAD0D2"/>
          <bgColor rgb="FF000000"/>
        </patternFill>
      </fill>
    </dxf>
    <dxf>
      <fill>
        <patternFill patternType="solid">
          <fgColor rgb="FFFAD2D5"/>
          <bgColor rgb="FF000000"/>
        </patternFill>
      </fill>
    </dxf>
    <dxf>
      <fill>
        <patternFill patternType="solid">
          <fgColor rgb="FFFBF0F3"/>
          <bgColor rgb="FF000000"/>
        </patternFill>
      </fill>
    </dxf>
    <dxf>
      <fill>
        <patternFill patternType="solid">
          <fgColor rgb="FFFBF3F6"/>
          <bgColor rgb="FF000000"/>
        </patternFill>
      </fill>
    </dxf>
    <dxf>
      <fill>
        <patternFill patternType="solid">
          <fgColor rgb="FFFBF5F8"/>
          <bgColor rgb="FF000000"/>
        </patternFill>
      </fill>
    </dxf>
    <dxf>
      <fill>
        <patternFill patternType="solid">
          <fgColor rgb="FFFBF8FB"/>
          <bgColor rgb="FF000000"/>
        </patternFill>
      </fill>
    </dxf>
    <dxf>
      <fill>
        <patternFill patternType="solid">
          <fgColor rgb="FFFBFAFD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6FC27E"/>
          <bgColor rgb="FF000000"/>
        </patternFill>
      </fill>
    </dxf>
    <dxf>
      <fill>
        <patternFill patternType="solid">
          <fgColor rgb="FF73C37F"/>
          <bgColor rgb="FF000000"/>
        </patternFill>
      </fill>
    </dxf>
    <dxf>
      <fill>
        <patternFill patternType="solid">
          <fgColor rgb="FF77C580"/>
          <bgColor rgb="FF000000"/>
        </patternFill>
      </fill>
    </dxf>
    <dxf>
      <fill>
        <patternFill patternType="solid">
          <fgColor rgb="FF79C580"/>
          <bgColor rgb="FF000000"/>
        </patternFill>
      </fill>
    </dxf>
    <dxf>
      <fill>
        <patternFill patternType="solid">
          <fgColor rgb="FF7AC580"/>
          <bgColor rgb="FF000000"/>
        </patternFill>
      </fill>
    </dxf>
    <dxf>
      <fill>
        <patternFill patternType="solid">
          <fgColor rgb="FF7AC680"/>
          <bgColor rgb="FF000000"/>
        </patternFill>
      </fill>
    </dxf>
    <dxf>
      <fill>
        <patternFill patternType="solid">
          <fgColor rgb="FF80C882"/>
          <bgColor rgb="FF000000"/>
        </patternFill>
      </fill>
    </dxf>
    <dxf>
      <fill>
        <patternFill patternType="solid">
          <fgColor rgb="FF81C882"/>
          <bgColor rgb="FF000000"/>
        </patternFill>
      </fill>
    </dxf>
    <dxf>
      <fill>
        <patternFill patternType="solid">
          <fgColor rgb="FF89CA84"/>
          <bgColor rgb="FF000000"/>
        </patternFill>
      </fill>
    </dxf>
    <dxf>
      <fill>
        <patternFill patternType="solid">
          <fgColor rgb="FF95CE86"/>
          <bgColor rgb="FF000000"/>
        </patternFill>
      </fill>
    </dxf>
    <dxf>
      <fill>
        <patternFill patternType="solid">
          <fgColor rgb="FF99CF87"/>
          <bgColor rgb="FF000000"/>
        </patternFill>
      </fill>
    </dxf>
    <dxf>
      <fill>
        <patternFill patternType="solid">
          <fgColor rgb="FF9FD188"/>
          <bgColor rgb="FF000000"/>
        </patternFill>
      </fill>
    </dxf>
    <dxf>
      <fill>
        <patternFill patternType="solid">
          <fgColor rgb="FFA2D289"/>
          <bgColor rgb="FF000000"/>
        </patternFill>
      </fill>
    </dxf>
    <dxf>
      <fill>
        <patternFill patternType="solid">
          <fgColor rgb="FFA5D389"/>
          <bgColor rgb="FF000000"/>
        </patternFill>
      </fill>
    </dxf>
    <dxf>
      <fill>
        <patternFill patternType="solid">
          <fgColor rgb="FFA8D48A"/>
          <bgColor rgb="FF000000"/>
        </patternFill>
      </fill>
    </dxf>
    <dxf>
      <fill>
        <patternFill patternType="solid">
          <fgColor rgb="FFAAD58A"/>
          <bgColor rgb="FF000000"/>
        </patternFill>
      </fill>
    </dxf>
    <dxf>
      <fill>
        <patternFill patternType="solid">
          <fgColor rgb="FFABD58B"/>
          <bgColor rgb="FF000000"/>
        </patternFill>
      </fill>
    </dxf>
    <dxf>
      <fill>
        <patternFill patternType="solid">
          <fgColor rgb="FFACD58B"/>
          <bgColor rgb="FF000000"/>
        </patternFill>
      </fill>
    </dxf>
    <dxf>
      <fill>
        <patternFill patternType="solid">
          <fgColor rgb="FFB6D88D"/>
          <bgColor rgb="FF000000"/>
        </patternFill>
      </fill>
    </dxf>
    <dxf>
      <fill>
        <patternFill patternType="solid">
          <fgColor rgb="FFB6D98D"/>
          <bgColor rgb="FF000000"/>
        </patternFill>
      </fill>
    </dxf>
    <dxf>
      <fill>
        <patternFill patternType="solid">
          <fgColor rgb="FFBCDA8E"/>
          <bgColor rgb="FF000000"/>
        </patternFill>
      </fill>
    </dxf>
    <dxf>
      <fill>
        <patternFill patternType="solid">
          <fgColor rgb="FFBDDB8F"/>
          <bgColor rgb="FF000000"/>
        </patternFill>
      </fill>
    </dxf>
    <dxf>
      <fill>
        <patternFill patternType="solid">
          <fgColor rgb="FFC0DC8F"/>
          <bgColor rgb="FF000000"/>
        </patternFill>
      </fill>
    </dxf>
    <dxf>
      <fill>
        <patternFill patternType="solid">
          <fgColor rgb="FFCDE092"/>
          <bgColor rgb="FF000000"/>
        </patternFill>
      </fill>
    </dxf>
    <dxf>
      <fill>
        <patternFill patternType="solid">
          <fgColor rgb="FFD7E394"/>
          <bgColor rgb="FF000000"/>
        </patternFill>
      </fill>
    </dxf>
    <dxf>
      <fill>
        <patternFill patternType="solid">
          <fgColor rgb="FFD8E394"/>
          <bgColor rgb="FF000000"/>
        </patternFill>
      </fill>
    </dxf>
    <dxf>
      <fill>
        <patternFill patternType="solid">
          <fgColor rgb="FFD9E394"/>
          <bgColor rgb="FF000000"/>
        </patternFill>
      </fill>
    </dxf>
    <dxf>
      <fill>
        <patternFill patternType="solid">
          <fgColor rgb="FFDCE495"/>
          <bgColor rgb="FF000000"/>
        </patternFill>
      </fill>
    </dxf>
    <dxf>
      <fill>
        <patternFill patternType="solid">
          <fgColor rgb="FFE5E797"/>
          <bgColor rgb="FF000000"/>
        </patternFill>
      </fill>
    </dxf>
    <dxf>
      <fill>
        <patternFill patternType="solid">
          <fgColor rgb="FFE6E897"/>
          <bgColor rgb="FF000000"/>
        </patternFill>
      </fill>
    </dxf>
    <dxf>
      <fill>
        <patternFill patternType="solid">
          <fgColor rgb="FFE9E898"/>
          <bgColor rgb="FF000000"/>
        </patternFill>
      </fill>
    </dxf>
    <dxf>
      <fill>
        <patternFill patternType="solid">
          <fgColor rgb="FFFFEF9C"/>
          <bgColor rgb="FF000000"/>
        </patternFill>
      </fill>
    </dxf>
    <dxf>
      <fill>
        <patternFill patternType="solid">
          <fgColor rgb="FF8BCB84"/>
          <bgColor rgb="FF000000"/>
        </patternFill>
      </fill>
    </dxf>
    <dxf>
      <fill>
        <patternFill patternType="solid">
          <fgColor rgb="FFA3D289"/>
          <bgColor rgb="FF000000"/>
        </patternFill>
      </fill>
    </dxf>
    <dxf>
      <fill>
        <patternFill patternType="solid">
          <fgColor rgb="FFA9D48A"/>
          <bgColor rgb="FF000000"/>
        </patternFill>
      </fill>
    </dxf>
    <dxf>
      <fill>
        <patternFill patternType="solid">
          <fgColor rgb="FFB2D78C"/>
          <bgColor rgb="FF000000"/>
        </patternFill>
      </fill>
    </dxf>
    <dxf>
      <fill>
        <patternFill patternType="solid">
          <fgColor rgb="FFB8D98D"/>
          <bgColor rgb="FF000000"/>
        </patternFill>
      </fill>
    </dxf>
    <dxf>
      <fill>
        <patternFill patternType="solid">
          <fgColor rgb="FFC2DC90"/>
          <bgColor rgb="FF000000"/>
        </patternFill>
      </fill>
    </dxf>
    <dxf>
      <fill>
        <patternFill patternType="solid">
          <fgColor rgb="FFC4DD90"/>
          <bgColor rgb="FF000000"/>
        </patternFill>
      </fill>
    </dxf>
    <dxf>
      <fill>
        <patternFill patternType="solid">
          <fgColor rgb="FFC6DE90"/>
          <bgColor rgb="FF000000"/>
        </patternFill>
      </fill>
    </dxf>
    <dxf>
      <fill>
        <patternFill patternType="solid">
          <fgColor rgb="FFCADF91"/>
          <bgColor rgb="FF000000"/>
        </patternFill>
      </fill>
    </dxf>
    <dxf>
      <fill>
        <patternFill patternType="solid">
          <fgColor rgb="FFCCDF92"/>
          <bgColor rgb="FF000000"/>
        </patternFill>
      </fill>
    </dxf>
    <dxf>
      <fill>
        <patternFill patternType="solid">
          <fgColor rgb="FFD0E192"/>
          <bgColor rgb="FF000000"/>
        </patternFill>
      </fill>
    </dxf>
    <dxf>
      <fill>
        <patternFill patternType="solid">
          <fgColor rgb="FFD4E293"/>
          <bgColor rgb="FF000000"/>
        </patternFill>
      </fill>
    </dxf>
    <dxf>
      <fill>
        <patternFill patternType="solid">
          <fgColor rgb="FFDAE495"/>
          <bgColor rgb="FF000000"/>
        </patternFill>
      </fill>
    </dxf>
    <dxf>
      <fill>
        <patternFill patternType="solid">
          <fgColor rgb="FFDEE595"/>
          <bgColor rgb="FF000000"/>
        </patternFill>
      </fill>
    </dxf>
    <dxf>
      <fill>
        <patternFill patternType="solid">
          <fgColor rgb="FFE0E696"/>
          <bgColor rgb="FF000000"/>
        </patternFill>
      </fill>
    </dxf>
    <dxf>
      <fill>
        <patternFill patternType="solid">
          <fgColor rgb="FFE8E897"/>
          <bgColor rgb="FF000000"/>
        </patternFill>
      </fill>
    </dxf>
    <dxf>
      <fill>
        <patternFill patternType="solid">
          <fgColor rgb="FFF0EB99"/>
          <bgColor rgb="FF000000"/>
        </patternFill>
      </fill>
    </dxf>
    <dxf>
      <fill>
        <patternFill patternType="solid">
          <fgColor rgb="FFF2EB9A"/>
          <bgColor rgb="FF000000"/>
        </patternFill>
      </fill>
    </dxf>
    <dxf>
      <fill>
        <patternFill patternType="solid">
          <fgColor rgb="FFF4EC9A"/>
          <bgColor rgb="FF000000"/>
        </patternFill>
      </fill>
    </dxf>
    <dxf>
      <fill>
        <patternFill patternType="solid">
          <fgColor rgb="FFFAEE9B"/>
          <bgColor rgb="FF000000"/>
        </patternFill>
      </fill>
    </dxf>
    <dxf>
      <fill>
        <patternFill patternType="solid">
          <fgColor rgb="FF9BD087"/>
          <bgColor rgb="FF000000"/>
        </patternFill>
      </fill>
    </dxf>
    <dxf>
      <fill>
        <patternFill patternType="solid">
          <fgColor rgb="FFADD58B"/>
          <bgColor rgb="FF000000"/>
        </patternFill>
      </fill>
    </dxf>
    <dxf>
      <fill>
        <patternFill patternType="solid">
          <fgColor rgb="FFAFD68B"/>
          <bgColor rgb="FF000000"/>
        </patternFill>
      </fill>
    </dxf>
    <dxf>
      <fill>
        <patternFill patternType="solid">
          <fgColor rgb="FFBEDB8F"/>
          <bgColor rgb="FF000000"/>
        </patternFill>
      </fill>
    </dxf>
    <dxf>
      <fill>
        <patternFill patternType="solid">
          <fgColor rgb="FFD2E193"/>
          <bgColor rgb="FF000000"/>
        </patternFill>
      </fill>
    </dxf>
    <dxf>
      <fill>
        <patternFill patternType="solid">
          <fgColor rgb="FFD6E294"/>
          <bgColor rgb="FF000000"/>
        </patternFill>
      </fill>
    </dxf>
    <dxf>
      <fill>
        <patternFill patternType="solid">
          <fgColor rgb="FFE4E797"/>
          <bgColor rgb="FF000000"/>
        </patternFill>
      </fill>
    </dxf>
    <dxf>
      <fill>
        <patternFill patternType="solid">
          <fgColor rgb="FFEEEA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5A5A5"/>
      <rgbColor rgb="FF993366"/>
      <rgbColor rgb="FFFBE5D6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8CBAD"/>
      <rgbColor rgb="FF3366FF"/>
      <rgbColor rgb="FF5B9BD5"/>
      <rgbColor rgb="FF92D050"/>
      <rgbColor rgb="FFFFC000"/>
      <rgbColor rgb="FFFF9900"/>
      <rgbColor rgb="FFED7D31"/>
      <rgbColor rgb="FF666699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externalLink" Target="externalLinks/externalLink1.xml"/><Relationship Id="rId11" Type="http://schemas.openxmlformats.org/officeDocument/2006/relationships/externalLink" Target="externalLinks/externalLink2.xml"/><Relationship Id="rId12" Type="http://schemas.openxmlformats.org/officeDocument/2006/relationships/sharedStrings" Target="sharedStrings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  <a:ea typeface="DejaVu Sans"/>
              </a:rPr>
              <a:t>Activité des béliers pendant l'effet mâle (ODARC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050609257601"/>
          <c:y val="0.11958212936208"/>
          <c:w val="0.841437302915872"/>
          <c:h val="0.75277839519893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'[1]EM Béliers'!$D$2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marker>
            <c:symbol val="squar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Béliers'!$H$2:$H$313</c:f>
              <c:numCache>
                <c:formatCode>General</c:formatCode>
                <c:ptCount val="312"/>
              </c:numCache>
            </c:numRef>
          </c:xVal>
          <c:yVal>
            <c:numRef>
              <c:f>'[1]EM Béliers'!$J$2:$J$313</c:f>
              <c:numCache>
                <c:formatCode>General</c:formatCode>
                <c:ptCount val="312"/>
              </c:numCache>
            </c:numRef>
          </c:yVal>
          <c:smooth val="0"/>
        </c:ser>
        <c:axId val="49564013"/>
        <c:axId val="1195165"/>
      </c:scatterChart>
      <c:valAx>
        <c:axId val="49564013"/>
        <c:scaling>
          <c:orientation val="minMax"/>
          <c:max val="45437.5916666666"/>
          <c:min val="45433.2916666666"/>
        </c:scaling>
        <c:delete val="0"/>
        <c:axPos val="b"/>
        <c:numFmt formatCode="d/m\ h:mm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b="0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95165"/>
        <c:crosses val="autoZero"/>
        <c:crossBetween val="midCat"/>
        <c:majorUnit val="0.5"/>
      </c:valAx>
      <c:valAx>
        <c:axId val="119516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  <a:ea typeface="DejaVu Sans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49564013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05496729990657"/>
          <c:y val="0.124730487279"/>
          <c:w val="0.0923424300229688"/>
          <c:h val="0.0593499002749178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2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b="0" lang="fr-FR" sz="2000" spc="-1" strike="noStrike">
                <a:solidFill>
                  <a:srgbClr val="000000"/>
                </a:solidFill>
                <a:latin typeface="Calibri"/>
                <a:ea typeface="DejaVu Sans"/>
              </a:rPr>
              <a:t>Activité des béliers pendant l'effet mâle (ODARC 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050609257601"/>
          <c:y val="0.119617224880383"/>
          <c:w val="0.841437302915872"/>
          <c:h val="0.7471347501947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'[2]EM Béliers'!$D$2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Béliers'!$L$2:$L$9</c:f>
              <c:numCache>
                <c:formatCode>General</c:formatCode>
                <c:ptCount val="8"/>
              </c:numCache>
            </c:numRef>
          </c:xVal>
          <c:yVal>
            <c:numRef>
              <c:f>'[2]EM Béliers'!$M$2:$M$9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1"/>
          <c:order val="1"/>
          <c:tx>
            <c:strRef>
              <c:f>'[2]EM Béliers'!$D$10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19080">
              <a:solidFill>
                <a:srgbClr val="ed7d31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Béliers'!$L$10:$L$274</c:f>
              <c:numCache>
                <c:formatCode>General</c:formatCode>
                <c:ptCount val="265"/>
              </c:numCache>
            </c:numRef>
          </c:xVal>
          <c:yVal>
            <c:numRef>
              <c:f>'[2]EM Béliers'!$M$10:$M$274</c:f>
              <c:numCache>
                <c:formatCode>General</c:formatCode>
                <c:ptCount val="265"/>
              </c:numCache>
            </c:numRef>
          </c:yVal>
          <c:smooth val="0"/>
        </c:ser>
        <c:ser>
          <c:idx val="2"/>
          <c:order val="2"/>
          <c:tx>
            <c:strRef>
              <c:f>'[2]EM Béliers'!$D$275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Béliers'!$L$275:$L$421</c:f>
              <c:numCache>
                <c:formatCode>General</c:formatCode>
                <c:ptCount val="147"/>
              </c:numCache>
            </c:numRef>
          </c:xVal>
          <c:yVal>
            <c:numRef>
              <c:f>'[2]EM Béliers'!$M$275:$M$421</c:f>
              <c:numCache>
                <c:formatCode>General</c:formatCode>
                <c:ptCount val="147"/>
              </c:numCache>
            </c:numRef>
          </c:yVal>
          <c:smooth val="0"/>
        </c:ser>
        <c:axId val="93869421"/>
        <c:axId val="29452132"/>
      </c:scatterChart>
      <c:valAx>
        <c:axId val="93869421"/>
        <c:scaling>
          <c:orientation val="minMax"/>
          <c:max val="45073.63333333"/>
          <c:min val="45069.333333333"/>
        </c:scaling>
        <c:delete val="0"/>
        <c:axPos val="b"/>
        <c:numFmt formatCode="d/m\ h:mm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b="0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452132"/>
        <c:crosses val="autoZero"/>
        <c:crossBetween val="midCat"/>
      </c:valAx>
      <c:valAx>
        <c:axId val="29452132"/>
        <c:scaling>
          <c:orientation val="minMax"/>
          <c:max val="35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fr-FR" sz="18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b="0" lang="fr-FR" sz="1800" spc="-1" strike="noStrike">
                    <a:solidFill>
                      <a:srgbClr val="000000"/>
                    </a:solidFill>
                    <a:latin typeface="Calibri"/>
                    <a:ea typeface="DejaVu Sans"/>
                  </a:rPr>
                  <a:t>Nb lectures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6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93869421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105496729990657"/>
          <c:y val="0.124764112794522"/>
          <c:w val="0.0923424300229688"/>
          <c:h val="0.149735792084547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000000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  <a:ea typeface="DejaVu Sans"/>
              </a:rPr>
              <a:t>Brebis chevauchées pendant l'effet mâle (ODARC 2024)</a:t>
            </a:r>
          </a:p>
        </c:rich>
      </c:tx>
      <c:layout>
        <c:manualLayout>
          <c:xMode val="edge"/>
          <c:yMode val="edge"/>
          <c:x val="0.247915958920218"/>
          <c:y val="0.011705523846377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9072569054277"/>
          <c:y val="0.061139595627358"/>
          <c:w val="0.889042778373011"/>
          <c:h val="0.8036180710070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'[1]EM Brebis Points Rouges'!$G$2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Rouges'!$H$2:$H$18</c:f>
              <c:numCache>
                <c:formatCode>General</c:formatCode>
                <c:ptCount val="17"/>
              </c:numCache>
            </c:numRef>
          </c:xVal>
          <c:yVal>
            <c:numRef>
              <c:f>'[1]EM Brebis Points Rouges'!$I$2:$I$18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1"/>
          <c:order val="1"/>
          <c:tx>
            <c:strRef>
              <c:f>'[1]EM Brebis Points Rouges'!$G$19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Rouges'!$H$19</c:f>
              <c:numCache>
                <c:formatCode>General</c:formatCode>
                <c:ptCount val="1"/>
              </c:numCache>
            </c:numRef>
          </c:xVal>
          <c:yVal>
            <c:numRef>
              <c:f>'[1]EM Brebis Points Rouges'!$I$19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"/>
          <c:order val="2"/>
          <c:tx>
            <c:strRef>
              <c:f>'[1]EM Brebis Points Rouges'!$G$20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Rouges'!$H$20:$H$26</c:f>
              <c:numCache>
                <c:formatCode>General</c:formatCode>
                <c:ptCount val="7"/>
              </c:numCache>
            </c:numRef>
          </c:xVal>
          <c:yVal>
            <c:numRef>
              <c:f>'[1]EM Brebis Points Rouges'!$I$20:$I$26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3"/>
          <c:order val="3"/>
          <c:tx>
            <c:strRef>
              <c:f>'[1]EM Brebis Points Rouges'!$G$27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Rouges'!$H$27:$H$59</c:f>
              <c:numCache>
                <c:formatCode>General</c:formatCode>
                <c:ptCount val="33"/>
              </c:numCache>
            </c:numRef>
          </c:xVal>
          <c:yVal>
            <c:numRef>
              <c:f>'[1]EM Brebis Points Rouges'!$I$27:$I$59</c:f>
              <c:numCache>
                <c:formatCode>General</c:formatCode>
                <c:ptCount val="33"/>
              </c:numCache>
            </c:numRef>
          </c:yVal>
          <c:smooth val="0"/>
        </c:ser>
        <c:ser>
          <c:idx val="4"/>
          <c:order val="4"/>
          <c:tx>
            <c:strRef>
              <c:f>'[1]EM Brebis Points Rouges'!$G$60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Rouges'!$H$60:$H$90</c:f>
              <c:numCache>
                <c:formatCode>General</c:formatCode>
                <c:ptCount val="31"/>
              </c:numCache>
            </c:numRef>
          </c:xVal>
          <c:yVal>
            <c:numRef>
              <c:f>'[1]EM Brebis Points Rouges'!$I$60:$I$90</c:f>
              <c:numCache>
                <c:formatCode>General</c:formatCode>
                <c:ptCount val="31"/>
              </c:numCache>
            </c:numRef>
          </c:yVal>
          <c:smooth val="0"/>
        </c:ser>
        <c:ser>
          <c:idx val="5"/>
          <c:order val="5"/>
          <c:tx>
            <c:strRef>
              <c:f>'[1]EM Brebis Points Rouges'!$G$91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Rouges'!$H$91:$H$94</c:f>
              <c:numCache>
                <c:formatCode>General</c:formatCode>
                <c:ptCount val="4"/>
              </c:numCache>
            </c:numRef>
          </c:xVal>
          <c:yVal>
            <c:numRef>
              <c:f>'[1]EM Brebis Points Rouges'!$I$91:$I$94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6"/>
          <c:order val="6"/>
          <c:tx>
            <c:strRef>
              <c:f>'[1]EM Brebis Points Rouges'!$G$95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Rouges'!$H$95:$H$119</c:f>
              <c:numCache>
                <c:formatCode>General</c:formatCode>
                <c:ptCount val="25"/>
              </c:numCache>
            </c:numRef>
          </c:xVal>
          <c:yVal>
            <c:numRef>
              <c:f>'[1]EM Brebis Points Rouges'!$I$95:$I$119</c:f>
              <c:numCache>
                <c:formatCode>General</c:formatCode>
                <c:ptCount val="25"/>
              </c:numCache>
            </c:numRef>
          </c:yVal>
          <c:smooth val="0"/>
        </c:ser>
        <c:ser>
          <c:idx val="7"/>
          <c:order val="7"/>
          <c:tx>
            <c:strRef>
              <c:f>'[1]EM Brebis Points Rouges'!$G$120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Rouges'!$H$120:$H$124</c:f>
              <c:numCache>
                <c:formatCode>General</c:formatCode>
                <c:ptCount val="5"/>
              </c:numCache>
            </c:numRef>
          </c:xVal>
          <c:yVal>
            <c:numRef>
              <c:f>'[1]EM Brebis Points Rouges'!$I$120:$I$124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8"/>
          <c:order val="8"/>
          <c:tx>
            <c:strRef>
              <c:f>'[1]EM Brebis Points Rouges'!$G$125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Rouges'!$H$125:$H$142</c:f>
              <c:numCache>
                <c:formatCode>General</c:formatCode>
                <c:ptCount val="18"/>
              </c:numCache>
            </c:numRef>
          </c:xVal>
          <c:yVal>
            <c:numRef>
              <c:f>'[1]EM Brebis Points Rouges'!$I$125:$I$142</c:f>
              <c:numCache>
                <c:formatCode>General</c:formatCode>
                <c:ptCount val="18"/>
              </c:numCache>
            </c:numRef>
          </c:yVal>
          <c:smooth val="0"/>
        </c:ser>
        <c:ser>
          <c:idx val="9"/>
          <c:order val="9"/>
          <c:tx>
            <c:strRef>
              <c:f>'[1]EM Brebis Points Rouges'!$G$143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Rouges'!$H$143:$H$146</c:f>
              <c:numCache>
                <c:formatCode>General</c:formatCode>
                <c:ptCount val="4"/>
              </c:numCache>
            </c:numRef>
          </c:xVal>
          <c:yVal>
            <c:numRef>
              <c:f>'[1]EM Brebis Points Rouges'!$I$143:$I$146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10"/>
          <c:order val="10"/>
          <c:tx>
            <c:strRef>
              <c:f>'[1]EM Brebis Points Rouges'!$G$147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Rouges'!$H$147:$H$156</c:f>
              <c:numCache>
                <c:formatCode>General</c:formatCode>
                <c:ptCount val="10"/>
              </c:numCache>
            </c:numRef>
          </c:xVal>
          <c:yVal>
            <c:numRef>
              <c:f>'[1]EM Brebis Points Rouges'!$I$147:$I$156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11"/>
          <c:order val="11"/>
          <c:tx>
            <c:strRef>
              <c:f>'[1]EM Brebis Points Rouges'!$G$157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Rouges'!$H$157:$H$170</c:f>
              <c:numCache>
                <c:formatCode>General</c:formatCode>
                <c:ptCount val="14"/>
              </c:numCache>
            </c:numRef>
          </c:xVal>
          <c:yVal>
            <c:numRef>
              <c:f>'[1]EM Brebis Points Rouges'!$I$157:$I$170</c:f>
              <c:numCache>
                <c:formatCode>General</c:formatCode>
                <c:ptCount val="14"/>
              </c:numCache>
            </c:numRef>
          </c:yVal>
          <c:smooth val="0"/>
        </c:ser>
        <c:ser>
          <c:idx val="12"/>
          <c:order val="12"/>
          <c:tx>
            <c:strRef>
              <c:f>'[1]EM Brebis Points Rouges'!$G$171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Rouges'!$H$171:$H$189</c:f>
              <c:numCache>
                <c:formatCode>General</c:formatCode>
                <c:ptCount val="19"/>
              </c:numCache>
            </c:numRef>
          </c:xVal>
          <c:yVal>
            <c:numRef>
              <c:f>'[1]EM Brebis Points Rouges'!$I$171:$I$189</c:f>
              <c:numCache>
                <c:formatCode>General</c:formatCode>
                <c:ptCount val="19"/>
              </c:numCache>
            </c:numRef>
          </c:yVal>
          <c:smooth val="0"/>
        </c:ser>
        <c:ser>
          <c:idx val="13"/>
          <c:order val="13"/>
          <c:tx>
            <c:strRef>
              <c:f>'[1]EM Brebis Points Rouges'!$G$190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Rouges'!$H$190:$H$212</c:f>
              <c:numCache>
                <c:formatCode>General</c:formatCode>
                <c:ptCount val="23"/>
              </c:numCache>
            </c:numRef>
          </c:xVal>
          <c:yVal>
            <c:numRef>
              <c:f>'[1]EM Brebis Points Rouges'!$I$190:$I$212</c:f>
              <c:numCache>
                <c:formatCode>General</c:formatCode>
                <c:ptCount val="23"/>
              </c:numCache>
            </c:numRef>
          </c:yVal>
          <c:smooth val="0"/>
        </c:ser>
        <c:ser>
          <c:idx val="14"/>
          <c:order val="14"/>
          <c:tx>
            <c:strRef>
              <c:f>'[1]EM Brebis Points Rouges'!$G$213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Rouges'!$H$213:$H$214</c:f>
              <c:numCache>
                <c:formatCode>General</c:formatCode>
                <c:ptCount val="2"/>
              </c:numCache>
            </c:numRef>
          </c:xVal>
          <c:yVal>
            <c:numRef>
              <c:f>'[1]EM Brebis Points Rouges'!$I$213:$I$214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5"/>
          <c:order val="15"/>
          <c:tx>
            <c:strRef>
              <c:f>'[1]EM Brebis Points Rouges'!$G$215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Rouges'!$H$215:$H$219</c:f>
              <c:numCache>
                <c:formatCode>General</c:formatCode>
                <c:ptCount val="5"/>
              </c:numCache>
            </c:numRef>
          </c:xVal>
          <c:yVal>
            <c:numRef>
              <c:f>'[1]EM Brebis Points Rouges'!$I$215:$I$219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6"/>
          <c:order val="16"/>
          <c:tx>
            <c:strRef>
              <c:f>'[1]EM Brebis Points Rouges'!$G$220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Rouges'!$H$220</c:f>
              <c:numCache>
                <c:formatCode>General</c:formatCode>
                <c:ptCount val="1"/>
              </c:numCache>
            </c:numRef>
          </c:xVal>
          <c:yVal>
            <c:numRef>
              <c:f>'[1]EM Brebis Points Rouges'!$I$220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17"/>
          <c:order val="17"/>
          <c:tx>
            <c:strRef>
              <c:f>'[1]EM Brebis Points Rouges'!$G$221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Rouges'!$H$221</c:f>
              <c:numCache>
                <c:formatCode>General</c:formatCode>
                <c:ptCount val="1"/>
              </c:numCache>
            </c:numRef>
          </c:xVal>
          <c:yVal>
            <c:numRef>
              <c:f>'[1]EM Brebis Points Rouges'!$I$221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18"/>
          <c:order val="18"/>
          <c:tx>
            <c:strRef>
              <c:f>'[1]EM Brebis Points Rouges'!$G$222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Rouges'!$H$222:$H$223</c:f>
              <c:numCache>
                <c:formatCode>General</c:formatCode>
                <c:ptCount val="2"/>
              </c:numCache>
            </c:numRef>
          </c:xVal>
          <c:yVal>
            <c:numRef>
              <c:f>'[1]EM Brebis Points Rouges'!$I$222:$I$223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9"/>
          <c:order val="19"/>
          <c:tx>
            <c:strRef>
              <c:f>'[1]EM Brebis Points Rouges'!$G$224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Rouges'!$H$224:$H$226</c:f>
              <c:numCache>
                <c:formatCode>General</c:formatCode>
                <c:ptCount val="3"/>
              </c:numCache>
            </c:numRef>
          </c:xVal>
          <c:yVal>
            <c:numRef>
              <c:f>'[1]EM Brebis Points Rouges'!$I$224:$I$226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20"/>
          <c:order val="20"/>
          <c:tx>
            <c:strRef>
              <c:f>'[1]EM Brebis Points Rouges'!$G$227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Rouges'!$H$227</c:f>
              <c:numCache>
                <c:formatCode>General</c:formatCode>
                <c:ptCount val="1"/>
              </c:numCache>
            </c:numRef>
          </c:xVal>
          <c:yVal>
            <c:numRef>
              <c:f>'[1]EM Brebis Points Rouges'!$I$227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1"/>
          <c:order val="21"/>
          <c:tx>
            <c:strRef>
              <c:f>'[1]EM Brebis Points Rouges'!$G$228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Rouges'!$H$228:$H$234</c:f>
              <c:numCache>
                <c:formatCode>General</c:formatCode>
                <c:ptCount val="7"/>
              </c:numCache>
            </c:numRef>
          </c:xVal>
          <c:yVal>
            <c:numRef>
              <c:f>'[1]EM Brebis Points Rouges'!$I$228:$I$234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22"/>
          <c:order val="22"/>
          <c:tx>
            <c:strRef>
              <c:f>'[1]EM Brebis Points Rouges'!$G$235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Rouges'!$H$235:$H$247</c:f>
              <c:numCache>
                <c:formatCode>General</c:formatCode>
                <c:ptCount val="13"/>
              </c:numCache>
            </c:numRef>
          </c:xVal>
          <c:yVal>
            <c:numRef>
              <c:f>'[1]EM Brebis Points Rouges'!$I$235:$I$247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23"/>
          <c:order val="23"/>
          <c:tx>
            <c:strRef>
              <c:f>'[1]EM Brebis Points Rouges'!$G$248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Rouges'!$H$248:$H$264</c:f>
              <c:numCache>
                <c:formatCode>General</c:formatCode>
                <c:ptCount val="17"/>
              </c:numCache>
            </c:numRef>
          </c:xVal>
          <c:yVal>
            <c:numRef>
              <c:f>'[1]EM Brebis Points Rouges'!$I$248:$I$264</c:f>
              <c:numCache>
                <c:formatCode>General</c:formatCode>
                <c:ptCount val="17"/>
              </c:numCache>
            </c:numRef>
          </c:yVal>
          <c:smooth val="0"/>
        </c:ser>
        <c:ser>
          <c:idx val="24"/>
          <c:order val="24"/>
          <c:tx>
            <c:strRef>
              <c:f>'[1]EM Brebis Points Rouges'!$G$265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Rouges'!$H$265:$H$270</c:f>
              <c:numCache>
                <c:formatCode>General</c:formatCode>
                <c:ptCount val="6"/>
              </c:numCache>
            </c:numRef>
          </c:xVal>
          <c:yVal>
            <c:numRef>
              <c:f>'[1]EM Brebis Points Rouges'!$I$265:$I$270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25"/>
          <c:order val="25"/>
          <c:tx>
            <c:strRef>
              <c:f>'[1]EM Brebis Points Rouges'!$G$271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Rouges'!$H$271:$H$272</c:f>
              <c:numCache>
                <c:formatCode>General</c:formatCode>
                <c:ptCount val="2"/>
              </c:numCache>
            </c:numRef>
          </c:xVal>
          <c:yVal>
            <c:numRef>
              <c:f>'[1]EM Brebis Points Rouges'!$I$271:$I$272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26"/>
          <c:order val="26"/>
          <c:tx>
            <c:strRef>
              <c:f>'[1]EM Brebis Points Rouges'!$G$273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Rouges'!$H$273:$H$285</c:f>
              <c:numCache>
                <c:formatCode>General</c:formatCode>
                <c:ptCount val="13"/>
              </c:numCache>
            </c:numRef>
          </c:xVal>
          <c:yVal>
            <c:numRef>
              <c:f>'[1]EM Brebis Points Rouges'!$I$273:$I$285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27"/>
          <c:order val="27"/>
          <c:tx>
            <c:strRef>
              <c:f>'[1]EM Brebis Points Rouges'!$G$286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Rouges'!$H$286</c:f>
              <c:numCache>
                <c:formatCode>General</c:formatCode>
                <c:ptCount val="1"/>
              </c:numCache>
            </c:numRef>
          </c:xVal>
          <c:yVal>
            <c:numRef>
              <c:f>'[1]EM Brebis Points Rouges'!$I$286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8"/>
          <c:order val="28"/>
          <c:tx>
            <c:strRef>
              <c:f>'[1]EM Brebis Points Rouges'!$G$287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Rouges'!$H$287:$H$302</c:f>
              <c:numCache>
                <c:formatCode>General</c:formatCode>
                <c:ptCount val="16"/>
              </c:numCache>
            </c:numRef>
          </c:xVal>
          <c:yVal>
            <c:numRef>
              <c:f>'[1]EM Brebis Points Rouges'!$I$287:$I$302</c:f>
              <c:numCache>
                <c:formatCode>General</c:formatCode>
                <c:ptCount val="16"/>
              </c:numCache>
            </c:numRef>
          </c:yVal>
          <c:smooth val="0"/>
        </c:ser>
        <c:ser>
          <c:idx val="29"/>
          <c:order val="29"/>
          <c:tx>
            <c:strRef>
              <c:f>'[1]EM Brebis Points Rouges'!$G$303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Rouges'!$H$303</c:f>
              <c:numCache>
                <c:formatCode>General</c:formatCode>
                <c:ptCount val="1"/>
              </c:numCache>
            </c:numRef>
          </c:xVal>
          <c:yVal>
            <c:numRef>
              <c:f>'[1]EM Brebis Points Rouges'!$I$303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0"/>
          <c:order val="30"/>
          <c:tx>
            <c:strRef>
              <c:f>'[1]EM Brebis Points Rouges'!$G$304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'[1]EM Brebis Points Rouges'!$H$304:$H$313</c:f>
              <c:numCache>
                <c:formatCode>General</c:formatCode>
                <c:ptCount val="10"/>
              </c:numCache>
            </c:numRef>
          </c:xVal>
          <c:yVal>
            <c:numRef>
              <c:f>'[1]EM Brebis Points Rouges'!$I$304:$I$313</c:f>
              <c:numCache>
                <c:formatCode>General</c:formatCode>
                <c:ptCount val="10"/>
              </c:numCache>
            </c:numRef>
          </c:yVal>
          <c:smooth val="0"/>
        </c:ser>
        <c:axId val="32067421"/>
        <c:axId val="44758222"/>
      </c:scatterChart>
      <c:valAx>
        <c:axId val="32067421"/>
        <c:scaling>
          <c:orientation val="minMax"/>
          <c:max val="45437.675"/>
          <c:min val="45433.375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949852353202498"/>
              <c:y val="0.93711908677566"/>
            </c:manualLayout>
          </c:layout>
          <c:overlay val="0"/>
          <c:spPr>
            <a:noFill/>
            <a:ln w="0">
              <a:noFill/>
            </a:ln>
          </c:spPr>
        </c:title>
        <c:numFmt formatCode="dd/mm/yy\ hh:mm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4758222"/>
        <c:crosses val="autoZero"/>
        <c:crossBetween val="midCat"/>
        <c:majorUnit val="0.0833333333"/>
        <c:minorUnit val="0.04166666665"/>
      </c:valAx>
      <c:valAx>
        <c:axId val="44758222"/>
        <c:scaling>
          <c:orientation val="minMax"/>
          <c:max val="50"/>
          <c:min val="0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2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b="1" lang="fr-FR" sz="1200" spc="-1" strike="noStrike">
                    <a:solidFill>
                      <a:srgbClr val="000000"/>
                    </a:solidFill>
                    <a:latin typeface="Calibri"/>
                    <a:ea typeface="DejaVu Sans"/>
                  </a:rPr>
                  <a:t>N° Brebis</a:t>
                </a:r>
              </a:p>
            </c:rich>
          </c:tx>
          <c:layout>
            <c:manualLayout>
              <c:xMode val="edge"/>
              <c:yMode val="edge"/>
              <c:x val="0.00543549272218883"/>
              <c:y val="0.3883621940601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32067421"/>
        <c:crosses val="autoZero"/>
        <c:crossBetween val="midCat"/>
        <c:majorUnit val="2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fr-FR" sz="18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b="1" lang="fr-FR" sz="1800" spc="-1" strike="noStrike">
                <a:solidFill>
                  <a:srgbClr val="000000"/>
                </a:solidFill>
                <a:latin typeface="Calibri"/>
                <a:ea typeface="DejaVu Sans"/>
              </a:rPr>
              <a:t>Brebis chevauchées pendant l'effet mâle (ODARC 2023)</a:t>
            </a:r>
          </a:p>
        </c:rich>
      </c:tx>
      <c:layout>
        <c:manualLayout>
          <c:xMode val="edge"/>
          <c:yMode val="edge"/>
          <c:x val="0.256444248048313"/>
          <c:y val="0.00675126903553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69288555015466"/>
          <c:y val="0.0611167512690355"/>
          <c:w val="0.889055825600236"/>
          <c:h val="0.8013705583756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'[2]EM Brebis Points Rouges'!$G$2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Rouges'!$L$2:$L$53</c:f>
              <c:numCache>
                <c:formatCode>General</c:formatCode>
                <c:ptCount val="52"/>
              </c:numCache>
            </c:numRef>
          </c:xVal>
          <c:yVal>
            <c:numRef>
              <c:f>'[2]EM Brebis Points Rouges'!$M$2:$M$53</c:f>
              <c:numCache>
                <c:formatCode>General</c:formatCode>
                <c:ptCount val="52"/>
              </c:numCache>
            </c:numRef>
          </c:yVal>
          <c:smooth val="0"/>
        </c:ser>
        <c:ser>
          <c:idx val="1"/>
          <c:order val="1"/>
          <c:tx>
            <c:strRef>
              <c:f>'[2]EM Brebis Points Rouges'!$G$54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Rouges'!$L$54:$L$61</c:f>
              <c:numCache>
                <c:formatCode>General</c:formatCode>
                <c:ptCount val="8"/>
              </c:numCache>
            </c:numRef>
          </c:xVal>
          <c:yVal>
            <c:numRef>
              <c:f>'[2]EM Brebis Points Rouges'!$M$54:$M$61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"/>
          <c:order val="2"/>
          <c:tx>
            <c:strRef>
              <c:f>'[2]EM Brebis Points Rouges'!$G$62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Rouges'!$L$62:$L$68</c:f>
              <c:numCache>
                <c:formatCode>General</c:formatCode>
                <c:ptCount val="7"/>
              </c:numCache>
            </c:numRef>
          </c:xVal>
          <c:yVal>
            <c:numRef>
              <c:f>'[2]EM Brebis Points Rouges'!$M$62:$M$68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3"/>
          <c:order val="3"/>
          <c:tx>
            <c:strRef>
              <c:f>'[2]EM Brebis Points Rouges'!$G$69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Rouges'!$L$69:$L$83</c:f>
              <c:numCache>
                <c:formatCode>General</c:formatCode>
                <c:ptCount val="15"/>
              </c:numCache>
            </c:numRef>
          </c:xVal>
          <c:yVal>
            <c:numRef>
              <c:f>'[2]EM Brebis Points Rouges'!$M$69:$M$83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4"/>
          <c:order val="4"/>
          <c:tx>
            <c:strRef>
              <c:f>'[2]EM Brebis Points Rouges'!$G$84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Rouges'!$L$84:$L$91</c:f>
              <c:numCache>
                <c:formatCode>General</c:formatCode>
                <c:ptCount val="8"/>
              </c:numCache>
            </c:numRef>
          </c:xVal>
          <c:yVal>
            <c:numRef>
              <c:f>'[2]EM Brebis Points Rouges'!$M$84:$M$91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5"/>
          <c:order val="5"/>
          <c:tx>
            <c:strRef>
              <c:f>'[2]EM Brebis Points Rouges'!$G$92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Rouges'!$L$92:$L$140</c:f>
              <c:numCache>
                <c:formatCode>General</c:formatCode>
                <c:ptCount val="49"/>
              </c:numCache>
            </c:numRef>
          </c:xVal>
          <c:yVal>
            <c:numRef>
              <c:f>'[2]EM Brebis Points Rouges'!$M$92:$M$140</c:f>
              <c:numCache>
                <c:formatCode>General</c:formatCode>
                <c:ptCount val="49"/>
              </c:numCache>
            </c:numRef>
          </c:yVal>
          <c:smooth val="0"/>
        </c:ser>
        <c:ser>
          <c:idx val="6"/>
          <c:order val="6"/>
          <c:tx>
            <c:strRef>
              <c:f>'[2]EM Brebis Points Rouges'!$G$141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Rouges'!$L$141:$L$145</c:f>
              <c:numCache>
                <c:formatCode>General</c:formatCode>
                <c:ptCount val="5"/>
              </c:numCache>
            </c:numRef>
          </c:xVal>
          <c:yVal>
            <c:numRef>
              <c:f>'[2]EM Brebis Points Rouges'!$M$141:$M$145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7"/>
          <c:order val="7"/>
          <c:tx>
            <c:strRef>
              <c:f>'[2]EM Brebis Points Rouges'!$G$146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Rouges'!$L$146:$L$158</c:f>
              <c:numCache>
                <c:formatCode>General</c:formatCode>
                <c:ptCount val="13"/>
              </c:numCache>
            </c:numRef>
          </c:xVal>
          <c:yVal>
            <c:numRef>
              <c:f>'[2]EM Brebis Points Rouges'!$M$146:$M$158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8"/>
          <c:order val="8"/>
          <c:tx>
            <c:strRef>
              <c:f>'[2]EM Brebis Points Rouges'!$G$159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Rouges'!$L$159:$L$161</c:f>
              <c:numCache>
                <c:formatCode>General</c:formatCode>
                <c:ptCount val="3"/>
              </c:numCache>
            </c:numRef>
          </c:xVal>
          <c:yVal>
            <c:numRef>
              <c:f>'[2]EM Brebis Points Rouges'!$M$159:$M$161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9"/>
          <c:order val="9"/>
          <c:tx>
            <c:strRef>
              <c:f>'[2]EM Brebis Points Rouges'!$G$162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Rouges'!$L$162:$L$168</c:f>
              <c:numCache>
                <c:formatCode>General</c:formatCode>
                <c:ptCount val="7"/>
              </c:numCache>
            </c:numRef>
          </c:xVal>
          <c:yVal>
            <c:numRef>
              <c:f>'[2]EM Brebis Points Rouges'!$M$162:$M$168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10"/>
          <c:order val="10"/>
          <c:tx>
            <c:strRef>
              <c:f>'[2]EM Brebis Points Rouges'!$G$169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Rouges'!$L$169:$L$178</c:f>
              <c:numCache>
                <c:formatCode>General</c:formatCode>
                <c:ptCount val="10"/>
              </c:numCache>
            </c:numRef>
          </c:xVal>
          <c:yVal>
            <c:numRef>
              <c:f>'[2]EM Brebis Points Rouges'!$M$169:$M$178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11"/>
          <c:order val="11"/>
          <c:tx>
            <c:strRef>
              <c:f>'[2]EM Brebis Points Rouges'!$G$179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Rouges'!$L$179:$L$184</c:f>
              <c:numCache>
                <c:formatCode>General</c:formatCode>
                <c:ptCount val="6"/>
              </c:numCache>
            </c:numRef>
          </c:xVal>
          <c:yVal>
            <c:numRef>
              <c:f>'[2]EM Brebis Points Rouges'!$M$179:$M$184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12"/>
          <c:order val="12"/>
          <c:tx>
            <c:strRef>
              <c:f>'[2]EM Brebis Points Rouges'!$G$185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Rouges'!$L$185:$L$189</c:f>
              <c:numCache>
                <c:formatCode>General</c:formatCode>
                <c:ptCount val="5"/>
              </c:numCache>
            </c:numRef>
          </c:xVal>
          <c:yVal>
            <c:numRef>
              <c:f>'[2]EM Brebis Points Rouges'!$M$185:$M$189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13"/>
          <c:order val="13"/>
          <c:tx>
            <c:strRef>
              <c:f>'[2]EM Brebis Points Rouges'!$G$190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Rouges'!$L$190:$L$192</c:f>
              <c:numCache>
                <c:formatCode>General</c:formatCode>
                <c:ptCount val="3"/>
              </c:numCache>
            </c:numRef>
          </c:xVal>
          <c:yVal>
            <c:numRef>
              <c:f>'[2]EM Brebis Points Rouges'!$M$190:$M$192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14"/>
          <c:order val="14"/>
          <c:tx>
            <c:strRef>
              <c:f>'[2]EM Brebis Points Rouges'!$G$193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Rouges'!$L$193:$L$198</c:f>
              <c:numCache>
                <c:formatCode>General</c:formatCode>
                <c:ptCount val="6"/>
              </c:numCache>
            </c:numRef>
          </c:xVal>
          <c:yVal>
            <c:numRef>
              <c:f>'[2]EM Brebis Points Rouges'!$M$193:$M$198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15"/>
          <c:order val="15"/>
          <c:tx>
            <c:strRef>
              <c:f>'[2]EM Brebis Points Rouges'!$G$199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Rouges'!$L$199:$L$200</c:f>
              <c:numCache>
                <c:formatCode>General</c:formatCode>
                <c:ptCount val="2"/>
              </c:numCache>
            </c:numRef>
          </c:xVal>
          <c:yVal>
            <c:numRef>
              <c:f>'[2]EM Brebis Points Rouges'!$M$199:$M$200</c:f>
              <c:numCache>
                <c:formatCode>General</c:formatCode>
                <c:ptCount val="2"/>
              </c:numCache>
            </c:numRef>
          </c:yVal>
          <c:smooth val="0"/>
        </c:ser>
        <c:ser>
          <c:idx val="16"/>
          <c:order val="16"/>
          <c:tx>
            <c:strRef>
              <c:f>'[2]EM Brebis Points Rouges'!$G$201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Rouges'!$L$201:$L$213</c:f>
              <c:numCache>
                <c:formatCode>General</c:formatCode>
                <c:ptCount val="13"/>
              </c:numCache>
            </c:numRef>
          </c:xVal>
          <c:yVal>
            <c:numRef>
              <c:f>'[2]EM Brebis Points Rouges'!$M$201:$M$213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17"/>
          <c:order val="17"/>
          <c:tx>
            <c:strRef>
              <c:f>'[2]EM Brebis Points Rouges'!$G$214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Rouges'!$L$214:$L$232</c:f>
              <c:numCache>
                <c:formatCode>General</c:formatCode>
                <c:ptCount val="19"/>
              </c:numCache>
            </c:numRef>
          </c:xVal>
          <c:yVal>
            <c:numRef>
              <c:f>'[2]EM Brebis Points Rouges'!$M$214:$M$232</c:f>
              <c:numCache>
                <c:formatCode>General</c:formatCode>
                <c:ptCount val="19"/>
              </c:numCache>
            </c:numRef>
          </c:yVal>
          <c:smooth val="0"/>
        </c:ser>
        <c:ser>
          <c:idx val="18"/>
          <c:order val="18"/>
          <c:tx>
            <c:strRef>
              <c:f>'[2]EM Brebis Points Rouges'!$G$233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Rouges'!$L$233:$L$244</c:f>
              <c:numCache>
                <c:formatCode>General</c:formatCode>
                <c:ptCount val="12"/>
              </c:numCache>
            </c:numRef>
          </c:xVal>
          <c:yVal>
            <c:numRef>
              <c:f>'[2]EM Brebis Points Rouges'!$M$233:$M$244</c:f>
              <c:numCache>
                <c:formatCode>General</c:formatCode>
                <c:ptCount val="12"/>
              </c:numCache>
            </c:numRef>
          </c:yVal>
          <c:smooth val="0"/>
        </c:ser>
        <c:ser>
          <c:idx val="19"/>
          <c:order val="19"/>
          <c:tx>
            <c:strRef>
              <c:f>'[2]EM Brebis Points Rouges'!$G$245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Rouges'!$L$245:$L$267</c:f>
              <c:numCache>
                <c:formatCode>General</c:formatCode>
                <c:ptCount val="23"/>
              </c:numCache>
            </c:numRef>
          </c:xVal>
          <c:yVal>
            <c:numRef>
              <c:f>'[2]EM Brebis Points Rouges'!$M$245:$M$267</c:f>
              <c:numCache>
                <c:formatCode>General</c:formatCode>
                <c:ptCount val="23"/>
              </c:numCache>
            </c:numRef>
          </c:yVal>
          <c:smooth val="0"/>
        </c:ser>
        <c:ser>
          <c:idx val="20"/>
          <c:order val="20"/>
          <c:tx>
            <c:strRef>
              <c:f>'[2]EM Brebis Points Rouges'!$G$268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Rouges'!$L$268:$L$270</c:f>
              <c:numCache>
                <c:formatCode>General</c:formatCode>
                <c:ptCount val="3"/>
              </c:numCache>
            </c:numRef>
          </c:xVal>
          <c:yVal>
            <c:numRef>
              <c:f>'[2]EM Brebis Points Rouges'!$M$268:$M$270</c:f>
              <c:numCache>
                <c:formatCode>General</c:formatCode>
                <c:ptCount val="3"/>
              </c:numCache>
            </c:numRef>
          </c:yVal>
          <c:smooth val="0"/>
        </c:ser>
        <c:ser>
          <c:idx val="21"/>
          <c:order val="21"/>
          <c:tx>
            <c:strRef>
              <c:f>'[2]EM Brebis Points Rouges'!$G$271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Rouges'!$L$271:$L$275</c:f>
              <c:numCache>
                <c:formatCode>General</c:formatCode>
                <c:ptCount val="5"/>
              </c:numCache>
            </c:numRef>
          </c:xVal>
          <c:yVal>
            <c:numRef>
              <c:f>'[2]EM Brebis Points Rouges'!$M$271:$M$275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22"/>
          <c:order val="22"/>
          <c:tx>
            <c:strRef>
              <c:f>'[2]EM Brebis Points Rouges'!$G$276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Rouges'!$L$276:$L$281</c:f>
              <c:numCache>
                <c:formatCode>General</c:formatCode>
                <c:ptCount val="6"/>
              </c:numCache>
            </c:numRef>
          </c:xVal>
          <c:yVal>
            <c:numRef>
              <c:f>'[2]EM Brebis Points Rouges'!$M$276:$M$281</c:f>
              <c:numCache>
                <c:formatCode>General</c:formatCode>
                <c:ptCount val="6"/>
              </c:numCache>
            </c:numRef>
          </c:yVal>
          <c:smooth val="0"/>
        </c:ser>
        <c:ser>
          <c:idx val="23"/>
          <c:order val="23"/>
          <c:tx>
            <c:strRef>
              <c:f>'[2]EM Brebis Points Rouges'!$G$282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Rouges'!$L$282:$L$294</c:f>
              <c:numCache>
                <c:formatCode>General</c:formatCode>
                <c:ptCount val="13"/>
              </c:numCache>
            </c:numRef>
          </c:xVal>
          <c:yVal>
            <c:numRef>
              <c:f>'[2]EM Brebis Points Rouges'!$M$282:$M$294</c:f>
              <c:numCache>
                <c:formatCode>General</c:formatCode>
                <c:ptCount val="13"/>
              </c:numCache>
            </c:numRef>
          </c:yVal>
          <c:smooth val="0"/>
        </c:ser>
        <c:ser>
          <c:idx val="24"/>
          <c:order val="24"/>
          <c:tx>
            <c:strRef>
              <c:f>'[2]EM Brebis Points Rouges'!$G$295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Rouges'!$L$295:$L$309</c:f>
              <c:numCache>
                <c:formatCode>General</c:formatCode>
                <c:ptCount val="15"/>
              </c:numCache>
            </c:numRef>
          </c:xVal>
          <c:yVal>
            <c:numRef>
              <c:f>'[2]EM Brebis Points Rouges'!$M$295:$M$309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25"/>
          <c:order val="25"/>
          <c:tx>
            <c:strRef>
              <c:f>'[2]EM Brebis Points Rouges'!$G$310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Rouges'!$L$310:$L$314</c:f>
              <c:numCache>
                <c:formatCode>General</c:formatCode>
                <c:ptCount val="5"/>
              </c:numCache>
            </c:numRef>
          </c:xVal>
          <c:yVal>
            <c:numRef>
              <c:f>'[2]EM Brebis Points Rouges'!$M$310:$M$314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26"/>
          <c:order val="26"/>
          <c:tx>
            <c:strRef>
              <c:f>'[2]EM Brebis Points Rouges'!$G$315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Rouges'!$L$315:$L$324</c:f>
              <c:numCache>
                <c:formatCode>General</c:formatCode>
                <c:ptCount val="10"/>
              </c:numCache>
            </c:numRef>
          </c:xVal>
          <c:yVal>
            <c:numRef>
              <c:f>'[2]EM Brebis Points Rouges'!$M$315:$M$324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27"/>
          <c:order val="27"/>
          <c:tx>
            <c:strRef>
              <c:f>'[2]EM Brebis Points Rouges'!$G$325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0000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Rouges'!$L$325:$L$332</c:f>
              <c:numCache>
                <c:formatCode>General</c:formatCode>
                <c:ptCount val="8"/>
              </c:numCache>
            </c:numRef>
          </c:xVal>
          <c:yVal>
            <c:numRef>
              <c:f>'[2]EM Brebis Points Rouges'!$M$325:$M$332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28"/>
          <c:order val="28"/>
          <c:tx>
            <c:strRef>
              <c:f>'[2]EM Brebis Points Rouges'!$G$333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Rouges'!$L$333:$L$342</c:f>
              <c:numCache>
                <c:formatCode>General</c:formatCode>
                <c:ptCount val="10"/>
              </c:numCache>
            </c:numRef>
          </c:xVal>
          <c:yVal>
            <c:numRef>
              <c:f>'[2]EM Brebis Points Rouges'!$M$333:$M$342</c:f>
              <c:numCache>
                <c:formatCode>General</c:formatCode>
                <c:ptCount val="10"/>
              </c:numCache>
            </c:numRef>
          </c:yVal>
          <c:smooth val="0"/>
        </c:ser>
        <c:ser>
          <c:idx val="29"/>
          <c:order val="29"/>
          <c:tx>
            <c:strRef>
              <c:f>'[2]EM Brebis Points Rouges'!$G$343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Rouges'!$L$343:$L$357</c:f>
              <c:numCache>
                <c:formatCode>General</c:formatCode>
                <c:ptCount val="15"/>
              </c:numCache>
            </c:numRef>
          </c:xVal>
          <c:yVal>
            <c:numRef>
              <c:f>'[2]EM Brebis Points Rouges'!$M$343:$M$357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30"/>
          <c:order val="30"/>
          <c:tx>
            <c:strRef>
              <c:f>'[2]EM Brebis Points Rouges'!$G$358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Rouges'!$L$358:$L$365</c:f>
              <c:numCache>
                <c:formatCode>General</c:formatCode>
                <c:ptCount val="8"/>
              </c:numCache>
            </c:numRef>
          </c:xVal>
          <c:yVal>
            <c:numRef>
              <c:f>'[2]EM Brebis Points Rouges'!$M$358:$M$365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31"/>
          <c:order val="31"/>
          <c:tx>
            <c:strRef>
              <c:f>'[2]EM Brebis Points Rouges'!$G$366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Rouges'!$L$366</c:f>
              <c:numCache>
                <c:formatCode>General</c:formatCode>
                <c:ptCount val="1"/>
              </c:numCache>
            </c:numRef>
          </c:xVal>
          <c:yVal>
            <c:numRef>
              <c:f>'[2]EM Brebis Points Rouges'!$M$366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32"/>
          <c:order val="32"/>
          <c:tx>
            <c:strRef>
              <c:f>'[2]EM Brebis Points Rouges'!$G$367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Rouges'!$L$367:$L$370</c:f>
              <c:numCache>
                <c:formatCode>General</c:formatCode>
                <c:ptCount val="4"/>
              </c:numCache>
            </c:numRef>
          </c:xVal>
          <c:yVal>
            <c:numRef>
              <c:f>'[2]EM Brebis Points Rouges'!$M$367:$M$370</c:f>
              <c:numCache>
                <c:formatCode>General</c:formatCode>
                <c:ptCount val="4"/>
              </c:numCache>
            </c:numRef>
          </c:yVal>
          <c:smooth val="0"/>
        </c:ser>
        <c:ser>
          <c:idx val="33"/>
          <c:order val="33"/>
          <c:tx>
            <c:strRef>
              <c:f>'[2]EM Brebis Points Rouges'!$G$371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Rouges'!$L$371:$L$385</c:f>
              <c:numCache>
                <c:formatCode>General</c:formatCode>
                <c:ptCount val="15"/>
              </c:numCache>
            </c:numRef>
          </c:xVal>
          <c:yVal>
            <c:numRef>
              <c:f>'[2]EM Brebis Points Rouges'!$M$371:$M$385</c:f>
              <c:numCache>
                <c:formatCode>General</c:formatCode>
                <c:ptCount val="15"/>
              </c:numCache>
            </c:numRef>
          </c:yVal>
          <c:smooth val="0"/>
        </c:ser>
        <c:ser>
          <c:idx val="34"/>
          <c:order val="34"/>
          <c:tx>
            <c:strRef>
              <c:f>'[2]EM Brebis Points Rouges'!$G$386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Rouges'!$L$386:$L$390</c:f>
              <c:numCache>
                <c:formatCode>General</c:formatCode>
                <c:ptCount val="5"/>
              </c:numCache>
            </c:numRef>
          </c:xVal>
          <c:yVal>
            <c:numRef>
              <c:f>'[2]EM Brebis Points Rouges'!$M$386:$M$390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35"/>
          <c:order val="35"/>
          <c:tx>
            <c:strRef>
              <c:f>'[2]EM Brebis Points Rouges'!$G$391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Rouges'!$L$391:$L$397</c:f>
              <c:numCache>
                <c:formatCode>General</c:formatCode>
                <c:ptCount val="7"/>
              </c:numCache>
            </c:numRef>
          </c:xVal>
          <c:yVal>
            <c:numRef>
              <c:f>'[2]EM Brebis Points Rouges'!$M$391:$M$397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36"/>
          <c:order val="36"/>
          <c:tx>
            <c:strRef>
              <c:f>'[2]EM Brebis Points Rouges'!$G$398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Rouges'!$L$398:$L$405</c:f>
              <c:numCache>
                <c:formatCode>General</c:formatCode>
                <c:ptCount val="8"/>
              </c:numCache>
            </c:numRef>
          </c:xVal>
          <c:yVal>
            <c:numRef>
              <c:f>'[2]EM Brebis Points Rouges'!$M$398:$M$405</c:f>
              <c:numCache>
                <c:formatCode>General</c:formatCode>
                <c:ptCount val="8"/>
              </c:numCache>
            </c:numRef>
          </c:yVal>
          <c:smooth val="0"/>
        </c:ser>
        <c:ser>
          <c:idx val="37"/>
          <c:order val="37"/>
          <c:tx>
            <c:strRef>
              <c:f>'[2]EM Brebis Points Rouges'!$G$406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Rouges'!$L$406:$L$412</c:f>
              <c:numCache>
                <c:formatCode>General</c:formatCode>
                <c:ptCount val="7"/>
              </c:numCache>
            </c:numRef>
          </c:xVal>
          <c:yVal>
            <c:numRef>
              <c:f>'[2]EM Brebis Points Rouges'!$M$406:$M$412</c:f>
              <c:numCache>
                <c:formatCode>General</c:formatCode>
                <c:ptCount val="7"/>
              </c:numCache>
            </c:numRef>
          </c:yVal>
          <c:smooth val="0"/>
        </c:ser>
        <c:ser>
          <c:idx val="38"/>
          <c:order val="38"/>
          <c:tx>
            <c:strRef>
              <c:f>'[2]EM Brebis Points Rouges'!$G$413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Rouges'!$L$413:$L$417</c:f>
              <c:numCache>
                <c:formatCode>General</c:formatCode>
                <c:ptCount val="5"/>
              </c:numCache>
            </c:numRef>
          </c:xVal>
          <c:yVal>
            <c:numRef>
              <c:f>'[2]EM Brebis Points Rouges'!$M$413:$M$417</c:f>
              <c:numCache>
                <c:formatCode>General</c:formatCode>
                <c:ptCount val="5"/>
              </c:numCache>
            </c:numRef>
          </c:yVal>
          <c:smooth val="0"/>
        </c:ser>
        <c:ser>
          <c:idx val="39"/>
          <c:order val="39"/>
          <c:tx>
            <c:strRef>
              <c:f>'[2]EM Brebis Points Rouges'!$G$418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Rouges'!$L$418</c:f>
              <c:numCache>
                <c:formatCode>General</c:formatCode>
                <c:ptCount val="1"/>
              </c:numCache>
            </c:numRef>
          </c:xVal>
          <c:yVal>
            <c:numRef>
              <c:f>'[2]EM Brebis Points Rouges'!$M$418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40"/>
          <c:order val="40"/>
          <c:tx>
            <c:strRef>
              <c:f>'[2]EM Brebis Points Rouges'!$G$419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fbfbf"/>
            </a:solidFill>
            <a:ln w="28440">
              <a:noFill/>
            </a:ln>
          </c:spPr>
          <c:marker>
            <c:symbol val="circle"/>
            <c:size val="7"/>
            <c:spPr>
              <a:solidFill>
                <a:srgbClr val="bfbfb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'[2]EM Brebis Points Rouges'!$L$419:$L$421</c:f>
              <c:numCache>
                <c:formatCode>General</c:formatCode>
                <c:ptCount val="3"/>
              </c:numCache>
            </c:numRef>
          </c:xVal>
          <c:yVal>
            <c:numRef>
              <c:f>'[2]EM Brebis Points Rouges'!$M$419:$M$421</c:f>
              <c:numCache>
                <c:formatCode>General</c:formatCode>
                <c:ptCount val="3"/>
              </c:numCache>
            </c:numRef>
          </c:yVal>
          <c:smooth val="0"/>
        </c:ser>
        <c:axId val="82851230"/>
        <c:axId val="72318830"/>
      </c:scatterChart>
      <c:valAx>
        <c:axId val="82851230"/>
        <c:scaling>
          <c:orientation val="minMax"/>
          <c:max val="45073.675"/>
          <c:min val="45069.375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2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b="1" lang="fr-FR" sz="1200" spc="-1" strike="noStrike">
                    <a:solidFill>
                      <a:srgbClr val="000000"/>
                    </a:solidFill>
                    <a:latin typeface="Calibri"/>
                    <a:ea typeface="DejaVu Sans"/>
                  </a:rPr>
                  <a:t>Temps</a:t>
                </a:r>
              </a:p>
            </c:rich>
          </c:tx>
          <c:layout>
            <c:manualLayout>
              <c:xMode val="edge"/>
              <c:yMode val="edge"/>
              <c:x val="0.949918986595964"/>
              <c:y val="0.937157360406091"/>
            </c:manualLayout>
          </c:layout>
          <c:overlay val="0"/>
          <c:spPr>
            <a:noFill/>
            <a:ln w="0">
              <a:noFill/>
            </a:ln>
          </c:spPr>
        </c:title>
        <c:numFmt formatCode="dd/mm/yy\ hh:mm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 rot="5400000"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2318830"/>
        <c:crosses val="autoZero"/>
        <c:crossBetween val="midCat"/>
        <c:majorUnit val="0.0833333"/>
        <c:minorUnit val="0.04166665"/>
      </c:valAx>
      <c:valAx>
        <c:axId val="72318830"/>
        <c:scaling>
          <c:orientation val="minMax"/>
          <c:max val="50"/>
        </c:scaling>
        <c:delete val="0"/>
        <c:axPos val="l"/>
        <c:majorGridlines>
          <c:spPr>
            <a:ln w="3240">
              <a:solidFill>
                <a:srgbClr val="000000"/>
              </a:solidFill>
              <a:round/>
            </a:ln>
          </c:spPr>
        </c:majorGridlines>
        <c:minorGridlines>
          <c:spPr>
            <a:ln w="3240">
              <a:solidFill>
                <a:srgbClr val="000000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1" lang="fr-FR" sz="12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b="1" lang="fr-FR" sz="1200" spc="-1" strike="noStrike">
                    <a:solidFill>
                      <a:srgbClr val="000000"/>
                    </a:solidFill>
                    <a:latin typeface="Calibri"/>
                    <a:ea typeface="DejaVu Sans"/>
                  </a:rPr>
                  <a:t>N° des brebis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out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82851230"/>
        <c:crosses val="autoZero"/>
        <c:crossBetween val="midCat"/>
        <c:majorUnit val="2"/>
        <c:minorUnit val="1"/>
      </c:valAx>
      <c:spPr>
        <a:noFill/>
        <a:ln w="0">
          <a:solidFill>
            <a:srgbClr val="000000"/>
          </a:solidFill>
        </a:ln>
      </c:spPr>
    </c:plotArea>
    <c:plotVisOnly val="1"/>
    <c:dispBlanksAs val="gap"/>
  </c:chart>
  <c:spPr>
    <a:solidFill>
      <a:srgbClr val="ffffff"/>
    </a:solidFill>
    <a:ln w="3240">
      <a:solidFill>
        <a:srgbClr val="000000"/>
      </a:solidFill>
      <a:round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388800</xdr:colOff>
      <xdr:row>0</xdr:row>
      <xdr:rowOff>167760</xdr:rowOff>
    </xdr:from>
    <xdr:to>
      <xdr:col>24</xdr:col>
      <xdr:colOff>673920</xdr:colOff>
      <xdr:row>35</xdr:row>
      <xdr:rowOff>111960</xdr:rowOff>
    </xdr:to>
    <xdr:graphicFrame>
      <xdr:nvGraphicFramePr>
        <xdr:cNvPr id="0" name="Graphique 3"/>
        <xdr:cNvGraphicFramePr/>
      </xdr:nvGraphicFramePr>
      <xdr:xfrm>
        <a:off x="9654120" y="167760"/>
        <a:ext cx="9246960" cy="64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7560</xdr:colOff>
      <xdr:row>0</xdr:row>
      <xdr:rowOff>221040</xdr:rowOff>
    </xdr:from>
    <xdr:to>
      <xdr:col>36</xdr:col>
      <xdr:colOff>292680</xdr:colOff>
      <xdr:row>35</xdr:row>
      <xdr:rowOff>157320</xdr:rowOff>
    </xdr:to>
    <xdr:graphicFrame>
      <xdr:nvGraphicFramePr>
        <xdr:cNvPr id="1" name="Graphique 4"/>
        <xdr:cNvGraphicFramePr/>
      </xdr:nvGraphicFramePr>
      <xdr:xfrm>
        <a:off x="19049400" y="221040"/>
        <a:ext cx="9246960" cy="647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1</xdr:row>
      <xdr:rowOff>19080</xdr:rowOff>
    </xdr:from>
    <xdr:to>
      <xdr:col>32</xdr:col>
      <xdr:colOff>740160</xdr:colOff>
      <xdr:row>42</xdr:row>
      <xdr:rowOff>41400</xdr:rowOff>
    </xdr:to>
    <xdr:graphicFrame>
      <xdr:nvGraphicFramePr>
        <xdr:cNvPr id="2" name="Graphique 4"/>
        <xdr:cNvGraphicFramePr/>
      </xdr:nvGraphicFramePr>
      <xdr:xfrm>
        <a:off x="11450160" y="1061280"/>
        <a:ext cx="13775760" cy="744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34</xdr:col>
      <xdr:colOff>0</xdr:colOff>
      <xdr:row>1</xdr:row>
      <xdr:rowOff>0</xdr:rowOff>
    </xdr:from>
    <xdr:to>
      <xdr:col>48</xdr:col>
      <xdr:colOff>813960</xdr:colOff>
      <xdr:row>40</xdr:row>
      <xdr:rowOff>33840</xdr:rowOff>
    </xdr:to>
    <xdr:graphicFrame>
      <xdr:nvGraphicFramePr>
        <xdr:cNvPr id="5" name="Graphique 5"/>
        <xdr:cNvGraphicFramePr/>
      </xdr:nvGraphicFramePr>
      <xdr:xfrm>
        <a:off x="26115120" y="1042200"/>
        <a:ext cx="12219840" cy="70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0.219745472600413</cdr:x>
      <cdr:y>0.0630260230240882</cdr:y>
    </cdr:from>
    <cdr:to>
      <cdr:x>0.219745472600413</cdr:x>
      <cdr:y>0.863596788236432</cdr:y>
    </cdr:to>
    <cdr:cxnSp>
      <cdr:nvCxnSpPr>
        <cdr:cNvPr id="3" name="Connecteur droit 2"/>
        <cdr:cNvCxnSpPr/>
      </cdr:nvCxnSpPr>
      <cdr:spPr>
        <a:xfrm flipV="1">
          <a:off x="3027240" y="469080"/>
          <a:ext cx="360" cy="5958720"/>
        </a:xfrm>
        <a:prstGeom prst="straightConnector1">
          <a:avLst/>
        </a:prstGeom>
        <a:ln w="28440">
          <a:solidFill>
            <a:srgbClr val="00b0f0"/>
          </a:solidFill>
          <a:miter/>
        </a:ln>
      </cdr:spPr>
    </cdr:cxnSp>
  </cdr:relSizeAnchor>
  <cdr:relSizeAnchor>
    <cdr:from>
      <cdr:x>0.521075600386756</cdr:x>
      <cdr:y>0.061236335493857</cdr:y>
    </cdr:from>
    <cdr:to>
      <cdr:x>0.521075600386756</cdr:x>
      <cdr:y>0.863354938570185</cdr:y>
    </cdr:to>
    <cdr:cxnSp>
      <cdr:nvCxnSpPr>
        <cdr:cNvPr id="4" name="Connecteur droit 3"/>
        <cdr:cNvCxnSpPr/>
      </cdr:nvCxnSpPr>
      <cdr:spPr>
        <a:xfrm flipV="1">
          <a:off x="7178400" y="455760"/>
          <a:ext cx="360" cy="5970240"/>
        </a:xfrm>
        <a:prstGeom prst="straightConnector1">
          <a:avLst/>
        </a:prstGeom>
        <a:ln w="28440">
          <a:solidFill>
            <a:srgbClr val="00b0f0"/>
          </a:solidFill>
          <a:miter/>
        </a:ln>
      </cdr:spPr>
    </cdr:cxnSp>
  </cdr:relSizeAnchor>
</c:userShapes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0.21092944468994</cdr:x>
      <cdr:y>0.0608629441624365</cdr:y>
    </cdr:from>
    <cdr:to>
      <cdr:x>0.21092944468994</cdr:x>
      <cdr:y>0.863451776649746</cdr:y>
    </cdr:to>
    <cdr:cxnSp>
      <cdr:nvCxnSpPr>
        <cdr:cNvPr id="6" name="Connecteur droit 2"/>
        <cdr:cNvCxnSpPr/>
      </cdr:nvCxnSpPr>
      <cdr:spPr>
        <a:xfrm flipV="1">
          <a:off x="2577600" y="431640"/>
          <a:ext cx="360" cy="5692320"/>
        </a:xfrm>
        <a:prstGeom prst="straightConnector1">
          <a:avLst/>
        </a:prstGeom>
        <a:ln w="28440">
          <a:solidFill>
            <a:srgbClr val="000000"/>
          </a:solidFill>
          <a:miter/>
        </a:ln>
      </cdr:spPr>
    </cdr:cxnSp>
  </cdr:relSizeAnchor>
  <cdr:relSizeAnchor>
    <cdr:from>
      <cdr:x>0.511474443953454</cdr:x>
      <cdr:y>0.0597969543147208</cdr:y>
    </cdr:from>
    <cdr:to>
      <cdr:x>0.512240388864339</cdr:x>
      <cdr:y>0.861827411167513</cdr:y>
    </cdr:to>
    <cdr:cxnSp>
      <cdr:nvCxnSpPr>
        <cdr:cNvPr id="7" name="Connecteur droit 3"/>
        <cdr:cNvCxnSpPr/>
      </cdr:nvCxnSpPr>
      <cdr:spPr>
        <a:xfrm flipH="1" flipV="1">
          <a:off x="6250320" y="424080"/>
          <a:ext cx="9720" cy="5688360"/>
        </a:xfrm>
        <a:prstGeom prst="straightConnector1">
          <a:avLst/>
        </a:prstGeom>
        <a:ln w="28440">
          <a:solidFill>
            <a:srgbClr val="000000"/>
          </a:solidFill>
          <a:miter/>
        </a:ln>
      </cdr:spPr>
    </cdr:cxnSp>
  </cdr:relSizeAnchor>
  <cdr:relSizeAnchor>
    <cdr:from>
      <cdr:x>0.253026955368979</cdr:x>
      <cdr:y>0.0608629441624365</cdr:y>
    </cdr:from>
    <cdr:to>
      <cdr:x>0.253026955368979</cdr:x>
      <cdr:y>0.864162436548223</cdr:y>
    </cdr:to>
    <cdr:cxnSp>
      <cdr:nvCxnSpPr>
        <cdr:cNvPr id="8" name="Connecteur droit 5"/>
        <cdr:cNvCxnSpPr/>
      </cdr:nvCxnSpPr>
      <cdr:spPr>
        <a:xfrm flipV="1">
          <a:off x="3092040" y="431640"/>
          <a:ext cx="360" cy="5697360"/>
        </a:xfrm>
        <a:prstGeom prst="straightConnector1">
          <a:avLst/>
        </a:prstGeom>
        <a:ln w="28440">
          <a:solidFill>
            <a:srgbClr val="00b050"/>
          </a:solidFill>
          <a:miter/>
        </a:ln>
      </cdr:spPr>
    </cdr:cxnSp>
  </cdr:relSizeAnchor>
  <cdr:relSizeAnchor>
    <cdr:from>
      <cdr:x>0.555604654588305</cdr:x>
      <cdr:y>0.0618781725888325</cdr:y>
    </cdr:from>
    <cdr:to>
      <cdr:x>0.555604654588305</cdr:x>
      <cdr:y>0.86253807106599</cdr:y>
    </cdr:to>
    <cdr:cxnSp>
      <cdr:nvCxnSpPr>
        <cdr:cNvPr id="9" name="Connecteur droit 6"/>
        <cdr:cNvCxnSpPr/>
      </cdr:nvCxnSpPr>
      <cdr:spPr>
        <a:xfrm flipV="1">
          <a:off x="6789600" y="438840"/>
          <a:ext cx="360" cy="5678640"/>
        </a:xfrm>
        <a:prstGeom prst="straightConnector1">
          <a:avLst/>
        </a:prstGeom>
        <a:ln w="28440">
          <a:solidFill>
            <a:srgbClr val="00b050"/>
          </a:solidFill>
          <a:miter/>
        </a:ln>
      </cdr:spPr>
    </cdr:cxnSp>
  </cdr:relSizeAnchor>
  <cdr:relSizeAnchor>
    <cdr:from>
      <cdr:x>0.366917071733687</cdr:x>
      <cdr:y>0.059492385786802</cdr:y>
    </cdr:from>
    <cdr:to>
      <cdr:x>0.366917071733687</cdr:x>
      <cdr:y>0.862791878172589</cdr:y>
    </cdr:to>
    <cdr:cxnSp>
      <cdr:nvCxnSpPr>
        <cdr:cNvPr id="10" name="Connecteur droit 7"/>
        <cdr:cNvCxnSpPr/>
      </cdr:nvCxnSpPr>
      <cdr:spPr>
        <a:xfrm flipV="1">
          <a:off x="4483800" y="421920"/>
          <a:ext cx="360" cy="5697360"/>
        </a:xfrm>
        <a:prstGeom prst="straightConnector1">
          <a:avLst/>
        </a:prstGeom>
        <a:ln w="28440">
          <a:solidFill>
            <a:srgbClr val="ed7d31"/>
          </a:solidFill>
          <a:miter/>
        </a:ln>
      </cdr:spPr>
    </cdr:cxnSp>
  </cdr:relSizeAnchor>
  <cdr:relSizeAnchor>
    <cdr:from>
      <cdr:x>0.666018559434379</cdr:x>
      <cdr:y>0.0601522842639594</cdr:y>
    </cdr:from>
    <cdr:to>
      <cdr:x>0.666018559434379</cdr:x>
      <cdr:y>0.863451776649746</cdr:y>
    </cdr:to>
    <cdr:cxnSp>
      <cdr:nvCxnSpPr>
        <cdr:cNvPr id="11" name="Connecteur droit 8"/>
        <cdr:cNvCxnSpPr/>
      </cdr:nvCxnSpPr>
      <cdr:spPr>
        <a:xfrm flipV="1">
          <a:off x="8138880" y="426600"/>
          <a:ext cx="360" cy="5697360"/>
        </a:xfrm>
        <a:prstGeom prst="straightConnector1">
          <a:avLst/>
        </a:prstGeom>
        <a:ln w="28440">
          <a:solidFill>
            <a:srgbClr val="ed7d31"/>
          </a:solidFill>
          <a:miter/>
        </a:ln>
      </cdr:spPr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Users/debus/Documents/Nathalie/FichierPC/Labo/Exp&#233;rimentations/Effet%20m&#226;le/Progesterone-EffetMale/CNE/Corse/Corse2024/DataIA-Corse2024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D:/Documents/Nathalie/Fichiers%20PC/Labo/Exp&#233;rimentations/Effet%20m&#226;le/Progesterone-EffetMale/CNE/Corse2023/DataIA-Corse202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s protocole"/>
      <sheetName val="Correspondance tags"/>
      <sheetName val="Données Brutes"/>
      <sheetName val="EM Béliers"/>
      <sheetName val="Feuil 3"/>
      <sheetName val="EM Brebis"/>
      <sheetName val="EM Brebis Points Rouges"/>
      <sheetName val="EM Brebis (3)"/>
      <sheetName val="EM Brebis Début-Fin"/>
      <sheetName val="Feuil1"/>
      <sheetName val="Feui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fos protocole"/>
      <sheetName val="Données Brutes"/>
      <sheetName val="EM Béliers"/>
      <sheetName val="Feuil3"/>
      <sheetName val="EM Brebis"/>
      <sheetName val="EM Brebis Points Rouges"/>
      <sheetName val="EM Brebis (3)"/>
      <sheetName val="EM Brebis Début-Fin"/>
      <sheetName val="Feuil1"/>
      <sheetName val="Data nb chevauchements"/>
      <sheetName val="Nb chevauchements bruts"/>
      <sheetName val="Nb chevauchements calcu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34" activeCellId="0" sqref="F34"/>
    </sheetView>
  </sheetViews>
  <sheetFormatPr defaultColWidth="10.6796875" defaultRowHeight="12.8" zeroHeight="false" outlineLevelRow="0" outlineLevelCol="0"/>
  <cols>
    <col collapsed="false" customWidth="true" hidden="false" outlineLevel="0" max="1" min="1" style="1" width="24.67"/>
    <col collapsed="false" customWidth="true" hidden="false" outlineLevel="0" max="3" min="3" style="1" width="15"/>
    <col collapsed="false" customWidth="true" hidden="false" outlineLevel="0" max="4" min="4" style="1" width="16.33"/>
  </cols>
  <sheetData>
    <row r="1" customFormat="false" ht="15" hidden="false" customHeight="false" outlineLevel="0" collapsed="false">
      <c r="A1" s="2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1" t="s">
        <v>1</v>
      </c>
      <c r="B3" s="3" t="n">
        <v>45422</v>
      </c>
      <c r="F3" s="4"/>
      <c r="G3" s="4"/>
      <c r="H3" s="4"/>
      <c r="I3" s="4"/>
    </row>
    <row r="4" customFormat="false" ht="13.8" hidden="false" customHeight="false" outlineLevel="0" collapsed="false">
      <c r="A4" s="1" t="s">
        <v>2</v>
      </c>
      <c r="B4" s="3" t="n">
        <v>45419</v>
      </c>
      <c r="C4" s="1" t="n">
        <f aca="false">B6-B4</f>
        <v>14</v>
      </c>
      <c r="F4" s="5"/>
      <c r="G4" s="5"/>
      <c r="H4" s="6"/>
      <c r="I4" s="4"/>
    </row>
    <row r="5" customFormat="false" ht="13.8" hidden="false" customHeight="false" outlineLevel="0" collapsed="false">
      <c r="A5" s="1" t="s">
        <v>3</v>
      </c>
      <c r="B5" s="3" t="n">
        <v>45432</v>
      </c>
      <c r="C5" s="1" t="s">
        <v>4</v>
      </c>
      <c r="D5" s="1" t="s">
        <v>5</v>
      </c>
      <c r="F5" s="5"/>
      <c r="G5" s="5"/>
      <c r="H5" s="6"/>
      <c r="I5" s="4"/>
    </row>
    <row r="6" customFormat="false" ht="13.8" hidden="false" customHeight="false" outlineLevel="0" collapsed="false">
      <c r="A6" s="1" t="s">
        <v>6</v>
      </c>
      <c r="B6" s="3" t="n">
        <v>45433</v>
      </c>
      <c r="C6" s="7" t="s">
        <v>7</v>
      </c>
      <c r="F6" s="6"/>
      <c r="G6" s="8"/>
      <c r="H6" s="6"/>
      <c r="I6" s="4"/>
    </row>
    <row r="7" customFormat="false" ht="13.8" hidden="false" customHeight="false" outlineLevel="0" collapsed="false">
      <c r="A7" s="1" t="s">
        <v>8</v>
      </c>
      <c r="B7" s="3" t="n">
        <v>45433</v>
      </c>
      <c r="C7" s="7" t="s">
        <v>9</v>
      </c>
      <c r="F7" s="6"/>
      <c r="G7" s="8"/>
      <c r="H7" s="6"/>
      <c r="I7" s="4"/>
    </row>
    <row r="8" customFormat="false" ht="13.8" hidden="false" customHeight="false" outlineLevel="0" collapsed="false">
      <c r="A8" s="1" t="s">
        <v>10</v>
      </c>
      <c r="B8" s="3" t="n">
        <v>45433</v>
      </c>
      <c r="C8" s="7" t="s">
        <v>11</v>
      </c>
      <c r="F8" s="6"/>
      <c r="G8" s="8"/>
      <c r="H8" s="6"/>
      <c r="I8" s="4"/>
    </row>
    <row r="9" customFormat="false" ht="13.8" hidden="false" customHeight="false" outlineLevel="0" collapsed="false">
      <c r="A9" s="1" t="s">
        <v>12</v>
      </c>
      <c r="B9" s="3" t="n">
        <v>45435</v>
      </c>
      <c r="C9" s="7" t="s">
        <v>13</v>
      </c>
      <c r="F9" s="6"/>
      <c r="G9" s="8"/>
      <c r="H9" s="6"/>
      <c r="I9" s="4"/>
    </row>
    <row r="10" customFormat="false" ht="13.8" hidden="false" customHeight="false" outlineLevel="0" collapsed="false">
      <c r="A10" s="1" t="s">
        <v>14</v>
      </c>
      <c r="B10" s="3" t="n">
        <v>45435</v>
      </c>
      <c r="C10" s="1" t="s">
        <v>15</v>
      </c>
      <c r="F10" s="6"/>
      <c r="G10" s="8"/>
      <c r="H10" s="6"/>
      <c r="I10" s="4"/>
    </row>
    <row r="11" customFormat="false" ht="13.8" hidden="false" customHeight="false" outlineLevel="0" collapsed="false">
      <c r="A11" s="1" t="s">
        <v>16</v>
      </c>
      <c r="B11" s="3" t="n">
        <v>45437</v>
      </c>
      <c r="F11" s="6"/>
      <c r="G11" s="8"/>
      <c r="H11" s="6"/>
      <c r="I11" s="4"/>
    </row>
    <row r="12" customFormat="false" ht="13.8" hidden="false" customHeight="false" outlineLevel="0" collapsed="false">
      <c r="A12" s="1" t="s">
        <v>17</v>
      </c>
      <c r="B12" s="3" t="n">
        <v>45441</v>
      </c>
      <c r="F12" s="9"/>
      <c r="G12" s="8"/>
      <c r="H12" s="6"/>
      <c r="I12" s="4"/>
    </row>
    <row r="13" customFormat="false" ht="13.8" hidden="false" customHeight="false" outlineLevel="0" collapsed="false">
      <c r="A13" s="1" t="s">
        <v>18</v>
      </c>
      <c r="B13" s="3" t="n">
        <f aca="false">B12+17</f>
        <v>45458</v>
      </c>
      <c r="F13" s="6"/>
      <c r="G13" s="8"/>
      <c r="H13" s="6"/>
      <c r="I13" s="4"/>
    </row>
    <row r="14" customFormat="false" ht="13.8" hidden="false" customHeight="false" outlineLevel="0" collapsed="false">
      <c r="A14" s="1" t="s">
        <v>19</v>
      </c>
      <c r="B14" s="3" t="n">
        <v>45484</v>
      </c>
      <c r="F14" s="6"/>
      <c r="G14" s="8"/>
      <c r="H14" s="6"/>
      <c r="I14" s="4"/>
    </row>
    <row r="15" customFormat="false" ht="13.8" hidden="false" customHeight="false" outlineLevel="0" collapsed="false">
      <c r="A15" s="1" t="s">
        <v>20</v>
      </c>
      <c r="B15" s="3"/>
      <c r="F15" s="6"/>
      <c r="G15" s="8"/>
      <c r="H15" s="6"/>
      <c r="I15" s="4"/>
    </row>
    <row r="16" customFormat="false" ht="13.8" hidden="false" customHeight="false" outlineLevel="0" collapsed="false">
      <c r="B16" s="10"/>
    </row>
    <row r="17" customFormat="false" ht="13.8" hidden="false" customHeight="false" outlineLevel="0" collapsed="false">
      <c r="A17" s="1" t="s">
        <v>21</v>
      </c>
    </row>
    <row r="18" customFormat="false" ht="13.8" hidden="false" customHeight="false" outlineLevel="0" collapsed="false">
      <c r="A18" s="1" t="s">
        <v>22</v>
      </c>
      <c r="B18" s="1" t="s">
        <v>23</v>
      </c>
      <c r="C18" s="1" t="s">
        <v>24</v>
      </c>
      <c r="D18" s="1" t="s">
        <v>25</v>
      </c>
      <c r="E18" s="1" t="s">
        <v>23</v>
      </c>
      <c r="F18" s="1" t="s">
        <v>24</v>
      </c>
    </row>
    <row r="19" customFormat="false" ht="13.8" hidden="false" customHeight="false" outlineLevel="0" collapsed="false">
      <c r="A19" s="11" t="s">
        <v>26</v>
      </c>
      <c r="B19" s="12" t="n">
        <v>37</v>
      </c>
      <c r="C19" s="13" t="s">
        <v>27</v>
      </c>
      <c r="D19" s="1" t="s">
        <v>28</v>
      </c>
      <c r="E19" s="1" t="n">
        <v>6</v>
      </c>
      <c r="F19" s="14" t="n">
        <v>3400</v>
      </c>
      <c r="G19" s="11"/>
      <c r="H19" s="11"/>
      <c r="I19" s="11"/>
    </row>
    <row r="20" customFormat="false" ht="13.8" hidden="false" customHeight="false" outlineLevel="0" collapsed="false">
      <c r="A20" s="11" t="n">
        <v>93202</v>
      </c>
      <c r="B20" s="12" t="n">
        <v>38</v>
      </c>
      <c r="C20" s="1" t="n">
        <v>3177</v>
      </c>
      <c r="D20" s="1" t="s">
        <v>28</v>
      </c>
      <c r="E20" s="1" t="n">
        <v>12</v>
      </c>
      <c r="F20" s="13" t="n">
        <v>2777</v>
      </c>
    </row>
    <row r="21" customFormat="false" ht="13.8" hidden="false" customHeight="false" outlineLevel="0" collapsed="false">
      <c r="A21" s="11" t="n">
        <v>91001</v>
      </c>
      <c r="B21" s="12" t="n">
        <v>39</v>
      </c>
      <c r="C21" s="13" t="s">
        <v>29</v>
      </c>
      <c r="D21" s="1" t="s">
        <v>28</v>
      </c>
      <c r="E21" s="1" t="n">
        <v>19</v>
      </c>
      <c r="F21" s="13" t="n">
        <v>7252</v>
      </c>
    </row>
    <row r="22" customFormat="false" ht="13.8" hidden="false" customHeight="false" outlineLevel="0" collapsed="false"/>
    <row r="23" s="7" customFormat="true" ht="13.8" hidden="false" customHeight="false" outlineLevel="0" collapsed="false">
      <c r="A23" s="1"/>
      <c r="B23" s="0"/>
      <c r="C23" s="1"/>
      <c r="D23" s="1"/>
      <c r="E23" s="0"/>
      <c r="F23" s="0"/>
      <c r="G23" s="0"/>
      <c r="H23" s="0"/>
      <c r="I23" s="0"/>
    </row>
    <row r="24" s="7" customFormat="true" ht="13.8" hidden="false" customHeight="false" outlineLevel="0" collapsed="false">
      <c r="A24" s="1" t="s">
        <v>30</v>
      </c>
      <c r="B24" s="0"/>
      <c r="C24" s="1"/>
      <c r="D24" s="1"/>
      <c r="E24" s="0"/>
      <c r="F24" s="0"/>
      <c r="G24" s="0"/>
      <c r="H24" s="0"/>
      <c r="I24" s="0"/>
    </row>
    <row r="25" s="7" customFormat="true" ht="13.8" hidden="false" customHeight="false" outlineLevel="0" collapsed="false">
      <c r="A25" s="1"/>
      <c r="B25" s="0"/>
      <c r="C25" s="1"/>
      <c r="D25" s="1"/>
      <c r="E25" s="0"/>
      <c r="F25" s="0"/>
      <c r="G25" s="0"/>
      <c r="H25" s="0"/>
      <c r="I25" s="0"/>
    </row>
    <row r="26" s="7" customFormat="true" ht="13.8" hidden="false" customHeight="false" outlineLevel="0" collapsed="false">
      <c r="A26" s="7" t="s">
        <v>31</v>
      </c>
      <c r="B26" s="0"/>
      <c r="C26" s="1"/>
      <c r="D26" s="1"/>
      <c r="E26" s="0"/>
      <c r="F26" s="0"/>
      <c r="G26" s="0"/>
      <c r="H26" s="0"/>
      <c r="I26" s="0"/>
    </row>
    <row r="27" s="7" customFormat="true" ht="13.8" hidden="false" customHeight="false" outlineLevel="0" collapsed="false">
      <c r="A27" s="7" t="s">
        <v>32</v>
      </c>
    </row>
    <row r="28" s="7" customFormat="true" ht="13.8" hidden="false" customHeight="false" outlineLevel="0" collapsed="false"/>
    <row r="29" s="7" customFormat="true" ht="13.8" hidden="false" customHeight="false" outlineLevel="0" collapsed="false">
      <c r="A29" s="7" t="s">
        <v>33</v>
      </c>
    </row>
    <row r="30" s="7" customFormat="true" ht="13.8" hidden="false" customHeight="false" outlineLevel="0" collapsed="false">
      <c r="A30" s="7" t="s">
        <v>34</v>
      </c>
    </row>
    <row r="31" s="7" customFormat="true" ht="13.8" hidden="false" customHeight="false" outlineLevel="0" collapsed="false"/>
    <row r="32" s="7" customFormat="true" ht="13.8" hidden="false" customHeight="false" outlineLevel="0" collapsed="false">
      <c r="A32" s="7" t="s">
        <v>35</v>
      </c>
    </row>
    <row r="33" customFormat="false" ht="13.8" hidden="false" customHeight="false" outlineLevel="0" collapsed="false">
      <c r="A33" s="7" t="s">
        <v>36</v>
      </c>
      <c r="B33" s="7"/>
      <c r="C33" s="7"/>
      <c r="D33" s="7"/>
      <c r="E33" s="7"/>
      <c r="F33" s="7"/>
      <c r="G33" s="7"/>
      <c r="H33" s="7"/>
      <c r="I33" s="7"/>
    </row>
    <row r="34" s="7" customFormat="true" ht="13.8" hidden="false" customHeight="false" outlineLevel="0" collapsed="false"/>
    <row r="35" customFormat="false" ht="13.8" hidden="false" customHeight="false" outlineLevel="0" collapsed="false">
      <c r="A35" s="7" t="s">
        <v>37</v>
      </c>
      <c r="B35" s="7"/>
      <c r="C35" s="7"/>
      <c r="D35" s="7"/>
      <c r="E35" s="7"/>
      <c r="F35" s="7"/>
      <c r="G35" s="7"/>
      <c r="H35" s="7"/>
      <c r="I35" s="7"/>
    </row>
    <row r="36" customFormat="false" ht="13.8" hidden="false" customHeight="false" outlineLevel="0" collapsed="false">
      <c r="A36" s="7" t="s">
        <v>38</v>
      </c>
      <c r="B36" s="7"/>
      <c r="C36" s="7"/>
      <c r="D36" s="7"/>
      <c r="E36" s="7"/>
      <c r="F36" s="7"/>
      <c r="G36" s="7"/>
      <c r="H36" s="7"/>
      <c r="I36" s="7"/>
    </row>
    <row r="37" customFormat="false" ht="13.8" hidden="false" customHeight="false" outlineLevel="0" collapsed="false">
      <c r="A37" s="7"/>
    </row>
    <row r="38" customFormat="false" ht="13.8" hidden="false" customHeight="false" outlineLevel="0" collapsed="false">
      <c r="A38" s="7" t="s">
        <v>39</v>
      </c>
      <c r="B38" s="7"/>
      <c r="C38" s="7"/>
      <c r="D38" s="7"/>
      <c r="E38" s="7"/>
      <c r="F38" s="7"/>
      <c r="G38" s="7"/>
      <c r="H38" s="7"/>
      <c r="I38" s="7"/>
    </row>
    <row r="39" customFormat="false" ht="13.8" hidden="false" customHeight="false" outlineLevel="0" collapsed="false">
      <c r="A39" s="7" t="s">
        <v>40</v>
      </c>
    </row>
    <row r="40" customFormat="false" ht="13.8" hidden="false" customHeight="false" outlineLevel="0" collapsed="false">
      <c r="A40" s="7" t="s">
        <v>41</v>
      </c>
    </row>
    <row r="41" customFormat="false" ht="13.8" hidden="false" customHeight="false" outlineLevel="0" collapsed="false">
      <c r="A41" s="7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C484"/>
  <sheetViews>
    <sheetView showFormulas="false" showGridLines="true" showRowColHeaders="true" showZeros="true" rightToLeft="false" tabSelected="false" showOutlineSymbols="true" defaultGridColor="true" view="normal" topLeftCell="A84" colorId="64" zoomScale="100" zoomScaleNormal="100" zoomScalePageLayoutView="100" workbookViewId="0">
      <selection pane="topLeft" activeCell="H9" activeCellId="0" sqref="H9"/>
    </sheetView>
  </sheetViews>
  <sheetFormatPr defaultColWidth="15.109375" defaultRowHeight="14.25" zeroHeight="false" outlineLevelRow="0" outlineLevelCol="0"/>
  <cols>
    <col collapsed="false" customWidth="true" hidden="false" outlineLevel="0" max="1" min="1" style="7" width="10.44"/>
    <col collapsed="false" customWidth="true" hidden="false" outlineLevel="0" max="2" min="2" style="7" width="9.67"/>
    <col collapsed="false" customWidth="true" hidden="false" outlineLevel="0" max="3" min="3" style="7" width="3"/>
    <col collapsed="false" customWidth="true" hidden="false" outlineLevel="0" max="4" min="4" style="7" width="4.33"/>
    <col collapsed="false" customWidth="true" hidden="false" outlineLevel="0" max="5" min="5" style="15" width="18"/>
    <col collapsed="false" customWidth="false" hidden="false" outlineLevel="0" max="16384" min="6" style="7" width="15.11"/>
  </cols>
  <sheetData>
    <row r="1" customFormat="false" ht="17.35" hidden="false" customHeight="false" outlineLevel="0" collapsed="false">
      <c r="A1" s="16" t="s">
        <v>43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</row>
    <row r="4" customFormat="false" ht="16.5" hidden="false" customHeight="true" outlineLevel="0" collapsed="false">
      <c r="B4" s="17"/>
      <c r="C4" s="2"/>
      <c r="D4" s="2"/>
      <c r="E4" s="18" t="s">
        <v>44</v>
      </c>
      <c r="G4" s="19"/>
    </row>
    <row r="5" customFormat="false" ht="16.5" hidden="false" customHeight="true" outlineLevel="0" collapsed="false">
      <c r="B5" s="17"/>
      <c r="C5" s="20"/>
      <c r="D5" s="20"/>
      <c r="E5" s="21" t="s">
        <v>45</v>
      </c>
    </row>
    <row r="6" customFormat="false" ht="15" hidden="false" customHeight="true" outlineLevel="0" collapsed="false">
      <c r="B6" s="17"/>
      <c r="C6" s="22"/>
      <c r="D6" s="20"/>
      <c r="E6" s="23" t="s">
        <v>46</v>
      </c>
    </row>
    <row r="7" customFormat="false" ht="14.25" hidden="false" customHeight="false" outlineLevel="0" collapsed="false">
      <c r="B7" s="17"/>
      <c r="C7" s="20"/>
      <c r="D7" s="20"/>
      <c r="E7" s="24" t="s">
        <v>47</v>
      </c>
    </row>
    <row r="8" customFormat="false" ht="14.25" hidden="false" customHeight="false" outlineLevel="0" collapsed="false">
      <c r="B8" s="17"/>
      <c r="C8" s="20"/>
      <c r="D8" s="20"/>
      <c r="E8" s="24"/>
    </row>
    <row r="9" customFormat="false" ht="14.25" hidden="false" customHeight="false" outlineLevel="0" collapsed="false">
      <c r="A9" s="25" t="s">
        <v>48</v>
      </c>
      <c r="B9" s="26" t="n">
        <v>45388</v>
      </c>
      <c r="C9" s="27" t="s">
        <v>49</v>
      </c>
      <c r="D9" s="27"/>
      <c r="E9" s="28"/>
    </row>
    <row r="10" customFormat="false" ht="14.25" hidden="false" customHeight="false" outlineLevel="0" collapsed="false">
      <c r="A10" s="25"/>
      <c r="B10" s="26" t="n">
        <f aca="false">B9+1</f>
        <v>45389</v>
      </c>
      <c r="C10" s="27" t="s">
        <v>50</v>
      </c>
      <c r="D10" s="27"/>
      <c r="E10" s="28"/>
    </row>
    <row r="11" customFormat="false" ht="14.25" hidden="false" customHeight="false" outlineLevel="0" collapsed="false">
      <c r="A11" s="25"/>
      <c r="B11" s="29" t="n">
        <f aca="false">B10+1</f>
        <v>45390</v>
      </c>
      <c r="C11" s="30" t="s">
        <v>51</v>
      </c>
      <c r="D11" s="30"/>
      <c r="E11" s="31" t="s">
        <v>52</v>
      </c>
    </row>
    <row r="12" customFormat="false" ht="14.25" hidden="false" customHeight="false" outlineLevel="0" collapsed="false">
      <c r="A12" s="25"/>
      <c r="B12" s="32" t="n">
        <f aca="false">B11+1</f>
        <v>45391</v>
      </c>
      <c r="C12" s="33" t="s">
        <v>53</v>
      </c>
      <c r="D12" s="33"/>
      <c r="E12" s="34"/>
    </row>
    <row r="13" customFormat="false" ht="14.25" hidden="false" customHeight="false" outlineLevel="0" collapsed="false">
      <c r="A13" s="25"/>
      <c r="B13" s="35" t="n">
        <f aca="false">B12+1</f>
        <v>45392</v>
      </c>
      <c r="C13" s="36" t="s">
        <v>53</v>
      </c>
      <c r="D13" s="36"/>
      <c r="E13" s="37"/>
    </row>
    <row r="14" customFormat="false" ht="14.25" hidden="false" customHeight="false" outlineLevel="0" collapsed="false">
      <c r="A14" s="25"/>
      <c r="B14" s="32" t="n">
        <f aca="false">B13+1</f>
        <v>45393</v>
      </c>
      <c r="C14" s="33" t="s">
        <v>54</v>
      </c>
      <c r="D14" s="33"/>
      <c r="E14" s="34"/>
    </row>
    <row r="15" customFormat="false" ht="14.25" hidden="false" customHeight="false" outlineLevel="0" collapsed="false">
      <c r="A15" s="25"/>
      <c r="B15" s="32" t="n">
        <f aca="false">B14+1</f>
        <v>45394</v>
      </c>
      <c r="C15" s="33" t="s">
        <v>55</v>
      </c>
      <c r="D15" s="33"/>
      <c r="E15" s="34"/>
    </row>
    <row r="16" customFormat="false" ht="14.25" hidden="false" customHeight="false" outlineLevel="0" collapsed="false">
      <c r="A16" s="25"/>
      <c r="B16" s="26" t="n">
        <f aca="false">B15+1</f>
        <v>45395</v>
      </c>
      <c r="C16" s="27" t="s">
        <v>49</v>
      </c>
      <c r="D16" s="27"/>
      <c r="E16" s="28"/>
    </row>
    <row r="17" customFormat="false" ht="14.25" hidden="false" customHeight="false" outlineLevel="0" collapsed="false">
      <c r="A17" s="25"/>
      <c r="B17" s="26" t="n">
        <f aca="false">B16+1</f>
        <v>45396</v>
      </c>
      <c r="C17" s="27" t="s">
        <v>50</v>
      </c>
      <c r="D17" s="27"/>
      <c r="E17" s="28"/>
    </row>
    <row r="18" customFormat="false" ht="14.25" hidden="false" customHeight="false" outlineLevel="0" collapsed="false">
      <c r="A18" s="25"/>
      <c r="B18" s="32" t="n">
        <f aca="false">B17+1</f>
        <v>45397</v>
      </c>
      <c r="C18" s="33" t="s">
        <v>51</v>
      </c>
      <c r="D18" s="33"/>
      <c r="E18" s="34"/>
    </row>
    <row r="19" s="1" customFormat="true" ht="14.25" hidden="false" customHeight="false" outlineLevel="0" collapsed="false">
      <c r="A19" s="25"/>
      <c r="B19" s="32" t="n">
        <f aca="false">B18+1</f>
        <v>45398</v>
      </c>
      <c r="C19" s="33" t="s">
        <v>53</v>
      </c>
      <c r="D19" s="33"/>
      <c r="E19" s="3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</row>
    <row r="20" s="1" customFormat="true" ht="14.25" hidden="false" customHeight="false" outlineLevel="0" collapsed="false">
      <c r="A20" s="25"/>
      <c r="B20" s="35" t="n">
        <f aca="false">B19+1</f>
        <v>45399</v>
      </c>
      <c r="C20" s="36" t="s">
        <v>53</v>
      </c>
      <c r="D20" s="36"/>
      <c r="E20" s="3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</row>
    <row r="21" customFormat="false" ht="14.25" hidden="false" customHeight="false" outlineLevel="0" collapsed="false">
      <c r="A21" s="25"/>
      <c r="B21" s="32" t="n">
        <f aca="false">B20+1</f>
        <v>45400</v>
      </c>
      <c r="C21" s="33" t="s">
        <v>54</v>
      </c>
      <c r="D21" s="33"/>
      <c r="E21" s="34"/>
    </row>
    <row r="22" customFormat="false" ht="14.25" hidden="false" customHeight="false" outlineLevel="0" collapsed="false">
      <c r="A22" s="25"/>
      <c r="B22" s="32" t="n">
        <f aca="false">B21+1</f>
        <v>45401</v>
      </c>
      <c r="C22" s="33" t="s">
        <v>55</v>
      </c>
      <c r="D22" s="33"/>
      <c r="E22" s="34"/>
    </row>
    <row r="23" s="1" customFormat="true" ht="14.25" hidden="false" customHeight="true" outlineLevel="0" collapsed="false">
      <c r="A23" s="25"/>
      <c r="B23" s="26" t="n">
        <f aca="false">B22+1</f>
        <v>45402</v>
      </c>
      <c r="C23" s="27" t="s">
        <v>49</v>
      </c>
      <c r="D23" s="27"/>
      <c r="E23" s="2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</row>
    <row r="24" customFormat="false" ht="14.25" hidden="false" customHeight="false" outlineLevel="0" collapsed="false">
      <c r="A24" s="25"/>
      <c r="B24" s="26" t="n">
        <f aca="false">B23+1</f>
        <v>45403</v>
      </c>
      <c r="C24" s="27" t="s">
        <v>50</v>
      </c>
      <c r="D24" s="27"/>
      <c r="E24" s="28"/>
    </row>
    <row r="25" customFormat="false" ht="14.25" hidden="false" customHeight="false" outlineLevel="0" collapsed="false">
      <c r="A25" s="38"/>
      <c r="B25" s="39" t="n">
        <f aca="false">B24+1</f>
        <v>45404</v>
      </c>
      <c r="C25" s="33" t="s">
        <v>51</v>
      </c>
      <c r="D25" s="33"/>
      <c r="E25" s="34"/>
    </row>
    <row r="26" s="1" customFormat="true" ht="14.25" hidden="false" customHeight="false" outlineLevel="0" collapsed="false">
      <c r="A26" s="30"/>
      <c r="B26" s="40" t="n">
        <f aca="false">B25+1</f>
        <v>45405</v>
      </c>
      <c r="C26" s="30" t="s">
        <v>53</v>
      </c>
      <c r="D26" s="30"/>
      <c r="E26" s="31" t="s">
        <v>56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</row>
    <row r="27" s="1" customFormat="true" ht="14.25" hidden="false" customHeight="false" outlineLevel="0" collapsed="false">
      <c r="A27" s="36"/>
      <c r="B27" s="41" t="n">
        <f aca="false">B26+1</f>
        <v>45406</v>
      </c>
      <c r="C27" s="36" t="s">
        <v>53</v>
      </c>
      <c r="D27" s="36"/>
      <c r="E27" s="3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</row>
    <row r="28" s="1" customFormat="true" ht="14.25" hidden="false" customHeight="false" outlineLevel="0" collapsed="false">
      <c r="A28" s="33"/>
      <c r="B28" s="39" t="n">
        <f aca="false">B27+1</f>
        <v>45407</v>
      </c>
      <c r="C28" s="33" t="s">
        <v>54</v>
      </c>
      <c r="D28" s="33"/>
      <c r="E28" s="3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</row>
    <row r="29" customFormat="false" ht="14.25" hidden="false" customHeight="false" outlineLevel="0" collapsed="false">
      <c r="A29" s="33"/>
      <c r="B29" s="39" t="n">
        <f aca="false">B28+1</f>
        <v>45408</v>
      </c>
      <c r="C29" s="33" t="s">
        <v>55</v>
      </c>
      <c r="D29" s="33"/>
      <c r="E29" s="34"/>
    </row>
    <row r="30" s="1" customFormat="true" ht="14.25" hidden="false" customHeight="false" outlineLevel="0" collapsed="false">
      <c r="A30" s="27"/>
      <c r="B30" s="42" t="n">
        <f aca="false">B29+1</f>
        <v>45409</v>
      </c>
      <c r="C30" s="27" t="s">
        <v>49</v>
      </c>
      <c r="D30" s="27"/>
      <c r="E30" s="28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</row>
    <row r="31" customFormat="false" ht="14.25" hidden="false" customHeight="false" outlineLevel="0" collapsed="false">
      <c r="A31" s="27"/>
      <c r="B31" s="42" t="n">
        <f aca="false">B30+1</f>
        <v>45410</v>
      </c>
      <c r="C31" s="27" t="s">
        <v>50</v>
      </c>
      <c r="D31" s="27"/>
      <c r="E31" s="28"/>
    </row>
    <row r="32" customFormat="false" ht="14.25" hidden="false" customHeight="false" outlineLevel="0" collapsed="false">
      <c r="A32" s="33"/>
      <c r="B32" s="39" t="n">
        <f aca="false">B31+1</f>
        <v>45411</v>
      </c>
      <c r="C32" s="33" t="s">
        <v>51</v>
      </c>
      <c r="D32" s="33"/>
      <c r="E32" s="34"/>
    </row>
    <row r="33" s="1" customFormat="true" ht="14.25" hidden="false" customHeight="false" outlineLevel="0" collapsed="false">
      <c r="A33" s="33"/>
      <c r="B33" s="39" t="n">
        <f aca="false">B32+1</f>
        <v>45412</v>
      </c>
      <c r="C33" s="33" t="s">
        <v>53</v>
      </c>
      <c r="D33" s="33"/>
      <c r="E33" s="3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</row>
    <row r="34" s="1" customFormat="true" ht="14.25" hidden="false" customHeight="false" outlineLevel="0" collapsed="false">
      <c r="A34" s="27"/>
      <c r="B34" s="42" t="n">
        <f aca="false">B33+1</f>
        <v>45413</v>
      </c>
      <c r="C34" s="27" t="s">
        <v>53</v>
      </c>
      <c r="D34" s="27"/>
      <c r="E34" s="2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</row>
    <row r="35" s="1" customFormat="true" ht="14.25" hidden="false" customHeight="false" outlineLevel="0" collapsed="false">
      <c r="A35" s="33"/>
      <c r="B35" s="39" t="n">
        <f aca="false">B34+1</f>
        <v>45414</v>
      </c>
      <c r="C35" s="33" t="s">
        <v>54</v>
      </c>
      <c r="D35" s="33"/>
      <c r="E35" s="3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</row>
    <row r="36" customFormat="false" ht="14.25" hidden="false" customHeight="false" outlineLevel="0" collapsed="false">
      <c r="A36" s="33"/>
      <c r="B36" s="39" t="n">
        <f aca="false">B35+1</f>
        <v>45415</v>
      </c>
      <c r="C36" s="33" t="s">
        <v>55</v>
      </c>
      <c r="D36" s="33"/>
      <c r="E36" s="34"/>
    </row>
    <row r="37" s="1" customFormat="true" ht="14.25" hidden="false" customHeight="false" outlineLevel="0" collapsed="false">
      <c r="A37" s="27"/>
      <c r="B37" s="42" t="n">
        <f aca="false">B36+1</f>
        <v>45416</v>
      </c>
      <c r="C37" s="27" t="s">
        <v>49</v>
      </c>
      <c r="D37" s="27"/>
      <c r="E37" s="2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</row>
    <row r="38" customFormat="false" ht="14.25" hidden="false" customHeight="false" outlineLevel="0" collapsed="false">
      <c r="A38" s="27"/>
      <c r="B38" s="42" t="n">
        <f aca="false">B37+1</f>
        <v>45417</v>
      </c>
      <c r="C38" s="27" t="s">
        <v>50</v>
      </c>
      <c r="D38" s="27"/>
      <c r="E38" s="28"/>
    </row>
    <row r="39" customFormat="false" ht="15" hidden="false" customHeight="true" outlineLevel="0" collapsed="false">
      <c r="A39" s="33"/>
      <c r="B39" s="39" t="n">
        <f aca="false">B38+1</f>
        <v>45418</v>
      </c>
      <c r="C39" s="33" t="s">
        <v>51</v>
      </c>
      <c r="D39" s="33"/>
      <c r="E39" s="34"/>
    </row>
    <row r="40" s="1" customFormat="true" ht="14.25" hidden="false" customHeight="false" outlineLevel="0" collapsed="false">
      <c r="A40" s="33"/>
      <c r="B40" s="39" t="n">
        <f aca="false">B39+1</f>
        <v>45419</v>
      </c>
      <c r="C40" s="33" t="s">
        <v>53</v>
      </c>
      <c r="D40" s="33" t="n">
        <v>0</v>
      </c>
      <c r="E40" s="43" t="s">
        <v>57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</row>
    <row r="41" s="1" customFormat="true" ht="14.25" hidden="false" customHeight="false" outlineLevel="0" collapsed="false">
      <c r="A41" s="27"/>
      <c r="B41" s="42" t="n">
        <f aca="false">B40+1</f>
        <v>45420</v>
      </c>
      <c r="C41" s="27" t="s">
        <v>53</v>
      </c>
      <c r="D41" s="27" t="n">
        <v>1</v>
      </c>
      <c r="E41" s="28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</row>
    <row r="42" customFormat="false" ht="30" hidden="false" customHeight="true" outlineLevel="0" collapsed="false">
      <c r="A42" s="27"/>
      <c r="B42" s="42" t="n">
        <f aca="false">B41+1</f>
        <v>45421</v>
      </c>
      <c r="C42" s="27" t="s">
        <v>54</v>
      </c>
      <c r="D42" s="27" t="n">
        <v>2</v>
      </c>
      <c r="E42" s="28"/>
    </row>
    <row r="43" customFormat="false" ht="14.25" hidden="false" customHeight="false" outlineLevel="0" collapsed="false">
      <c r="A43" s="33"/>
      <c r="B43" s="39" t="n">
        <f aca="false">B42+1</f>
        <v>45422</v>
      </c>
      <c r="C43" s="33" t="s">
        <v>55</v>
      </c>
      <c r="D43" s="33" t="n">
        <v>3</v>
      </c>
      <c r="E43" s="34"/>
    </row>
    <row r="44" s="1" customFormat="true" ht="14.25" hidden="false" customHeight="false" outlineLevel="0" collapsed="false">
      <c r="A44" s="27"/>
      <c r="B44" s="42" t="n">
        <f aca="false">B43+1</f>
        <v>45423</v>
      </c>
      <c r="C44" s="27" t="s">
        <v>49</v>
      </c>
      <c r="D44" s="27" t="n">
        <v>4</v>
      </c>
      <c r="E44" s="28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</row>
    <row r="45" s="1" customFormat="true" ht="14.25" hidden="false" customHeight="false" outlineLevel="0" collapsed="false">
      <c r="A45" s="27"/>
      <c r="B45" s="42" t="n">
        <f aca="false">B44+1</f>
        <v>45424</v>
      </c>
      <c r="C45" s="27" t="s">
        <v>50</v>
      </c>
      <c r="D45" s="27" t="n">
        <v>5</v>
      </c>
      <c r="E45" s="28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</row>
    <row r="46" customFormat="false" ht="14.25" hidden="false" customHeight="false" outlineLevel="0" collapsed="false">
      <c r="A46" s="33"/>
      <c r="B46" s="39" t="n">
        <f aca="false">B45+1</f>
        <v>45425</v>
      </c>
      <c r="C46" s="33" t="s">
        <v>51</v>
      </c>
      <c r="D46" s="33" t="n">
        <v>6</v>
      </c>
      <c r="E46" s="34"/>
    </row>
    <row r="47" s="1" customFormat="true" ht="14.25" hidden="false" customHeight="false" outlineLevel="0" collapsed="false">
      <c r="A47" s="33"/>
      <c r="B47" s="39" t="n">
        <f aca="false">B46+1</f>
        <v>45426</v>
      </c>
      <c r="C47" s="33" t="s">
        <v>53</v>
      </c>
      <c r="D47" s="33" t="n">
        <v>7</v>
      </c>
      <c r="E47" s="3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</row>
    <row r="48" s="1" customFormat="true" ht="14.25" hidden="false" customHeight="false" outlineLevel="0" collapsed="false">
      <c r="A48" s="36"/>
      <c r="B48" s="41" t="n">
        <f aca="false">B47+1</f>
        <v>45427</v>
      </c>
      <c r="C48" s="36" t="s">
        <v>53</v>
      </c>
      <c r="D48" s="36" t="n">
        <v>8</v>
      </c>
      <c r="E48" s="3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</row>
    <row r="49" customFormat="false" ht="14.25" hidden="false" customHeight="false" outlineLevel="0" collapsed="false">
      <c r="A49" s="30"/>
      <c r="B49" s="40" t="n">
        <f aca="false">B48+1</f>
        <v>45428</v>
      </c>
      <c r="C49" s="30" t="s">
        <v>55</v>
      </c>
      <c r="D49" s="30" t="n">
        <v>9</v>
      </c>
      <c r="E49" s="44" t="s">
        <v>58</v>
      </c>
    </row>
    <row r="50" customFormat="false" ht="14.25" hidden="false" customHeight="false" outlineLevel="0" collapsed="false">
      <c r="A50" s="33"/>
      <c r="B50" s="39" t="n">
        <f aca="false">B49+1</f>
        <v>45429</v>
      </c>
      <c r="C50" s="33" t="s">
        <v>55</v>
      </c>
      <c r="D50" s="33" t="n">
        <v>10</v>
      </c>
      <c r="E50" s="34"/>
    </row>
    <row r="51" s="1" customFormat="true" ht="14.25" hidden="false" customHeight="false" outlineLevel="0" collapsed="false">
      <c r="A51" s="27"/>
      <c r="B51" s="42" t="n">
        <f aca="false">B50+1</f>
        <v>45430</v>
      </c>
      <c r="C51" s="27" t="s">
        <v>49</v>
      </c>
      <c r="D51" s="27" t="n">
        <v>11</v>
      </c>
      <c r="E51" s="28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</row>
    <row r="52" customFormat="false" ht="14.25" hidden="false" customHeight="false" outlineLevel="0" collapsed="false">
      <c r="A52" s="27"/>
      <c r="B52" s="42" t="n">
        <f aca="false">B51+1</f>
        <v>45431</v>
      </c>
      <c r="C52" s="27" t="s">
        <v>50</v>
      </c>
      <c r="D52" s="27" t="n">
        <v>12</v>
      </c>
      <c r="E52" s="28"/>
    </row>
    <row r="53" s="1" customFormat="true" ht="14.25" hidden="false" customHeight="false" outlineLevel="0" collapsed="false">
      <c r="A53" s="27"/>
      <c r="B53" s="42" t="n">
        <f aca="false">B52+1</f>
        <v>45432</v>
      </c>
      <c r="C53" s="27" t="s">
        <v>51</v>
      </c>
      <c r="D53" s="27" t="n">
        <v>13</v>
      </c>
      <c r="E53" s="28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</row>
    <row r="54" s="1" customFormat="true" ht="55.2" hidden="false" customHeight="false" outlineLevel="0" collapsed="false">
      <c r="A54" s="33"/>
      <c r="B54" s="39" t="n">
        <f aca="false">B53+1</f>
        <v>45433</v>
      </c>
      <c r="C54" s="33" t="s">
        <v>53</v>
      </c>
      <c r="D54" s="33" t="n">
        <v>14</v>
      </c>
      <c r="E54" s="43" t="s">
        <v>59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</row>
    <row r="55" s="1" customFormat="true" ht="14.25" hidden="false" customHeight="false" outlineLevel="0" collapsed="false">
      <c r="A55" s="36"/>
      <c r="B55" s="41" t="n">
        <f aca="false">B54+1</f>
        <v>45434</v>
      </c>
      <c r="C55" s="36" t="s">
        <v>53</v>
      </c>
      <c r="D55" s="36" t="n">
        <v>15</v>
      </c>
      <c r="E55" s="43" t="s">
        <v>60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</row>
    <row r="56" customFormat="false" ht="14.25" hidden="false" customHeight="false" outlineLevel="0" collapsed="false">
      <c r="A56" s="33"/>
      <c r="B56" s="39" t="n">
        <f aca="false">B55+1</f>
        <v>45435</v>
      </c>
      <c r="C56" s="33" t="s">
        <v>54</v>
      </c>
      <c r="D56" s="33" t="n">
        <v>16</v>
      </c>
      <c r="E56" s="43" t="s">
        <v>61</v>
      </c>
    </row>
    <row r="57" s="1" customFormat="true" ht="14.25" hidden="false" customHeight="false" outlineLevel="0" collapsed="false">
      <c r="A57" s="33"/>
      <c r="B57" s="39" t="n">
        <f aca="false">B56+1</f>
        <v>45436</v>
      </c>
      <c r="C57" s="33" t="s">
        <v>55</v>
      </c>
      <c r="D57" s="33" t="n">
        <v>1</v>
      </c>
      <c r="E57" s="43" t="s">
        <v>60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</row>
    <row r="58" customFormat="false" ht="14.25" hidden="false" customHeight="false" outlineLevel="0" collapsed="false">
      <c r="A58" s="27"/>
      <c r="B58" s="42" t="n">
        <f aca="false">B57+1</f>
        <v>45437</v>
      </c>
      <c r="C58" s="27" t="s">
        <v>49</v>
      </c>
      <c r="D58" s="27" t="n">
        <v>2</v>
      </c>
      <c r="E58" s="45" t="s">
        <v>62</v>
      </c>
    </row>
    <row r="59" customFormat="false" ht="14.25" hidden="false" customHeight="false" outlineLevel="0" collapsed="false">
      <c r="A59" s="27"/>
      <c r="B59" s="42" t="n">
        <f aca="false">B58+1</f>
        <v>45438</v>
      </c>
      <c r="C59" s="27" t="s">
        <v>50</v>
      </c>
      <c r="D59" s="27" t="n">
        <v>3</v>
      </c>
      <c r="E59" s="45" t="s">
        <v>62</v>
      </c>
    </row>
    <row r="60" s="1" customFormat="true" ht="14.25" hidden="false" customHeight="false" outlineLevel="0" collapsed="false">
      <c r="A60" s="33"/>
      <c r="B60" s="39" t="n">
        <f aca="false">B59+1</f>
        <v>45439</v>
      </c>
      <c r="C60" s="33" t="s">
        <v>51</v>
      </c>
      <c r="D60" s="33" t="n">
        <v>4</v>
      </c>
      <c r="E60" s="3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</row>
    <row r="61" s="1" customFormat="true" ht="14.25" hidden="false" customHeight="false" outlineLevel="0" collapsed="false">
      <c r="A61" s="33"/>
      <c r="B61" s="39" t="n">
        <f aca="false">B60+1</f>
        <v>45440</v>
      </c>
      <c r="C61" s="33" t="s">
        <v>53</v>
      </c>
      <c r="D61" s="33" t="n">
        <v>5</v>
      </c>
      <c r="E61" s="3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</row>
    <row r="62" customFormat="false" ht="14.25" hidden="false" customHeight="false" outlineLevel="0" collapsed="false">
      <c r="A62" s="36"/>
      <c r="B62" s="41" t="n">
        <f aca="false">B61+1</f>
        <v>45441</v>
      </c>
      <c r="C62" s="36" t="s">
        <v>53</v>
      </c>
      <c r="D62" s="36" t="n">
        <v>6</v>
      </c>
      <c r="E62" s="43" t="s">
        <v>63</v>
      </c>
    </row>
    <row r="63" customFormat="false" ht="14.25" hidden="false" customHeight="false" outlineLevel="0" collapsed="false">
      <c r="A63" s="33"/>
      <c r="B63" s="39" t="n">
        <f aca="false">B62+1</f>
        <v>45442</v>
      </c>
      <c r="C63" s="33" t="s">
        <v>54</v>
      </c>
      <c r="D63" s="33" t="n">
        <v>7</v>
      </c>
      <c r="E63" s="34"/>
    </row>
    <row r="64" customFormat="false" ht="14.25" hidden="false" customHeight="false" outlineLevel="0" collapsed="false">
      <c r="A64" s="33"/>
      <c r="B64" s="39" t="n">
        <f aca="false">B63+1</f>
        <v>45443</v>
      </c>
      <c r="C64" s="33" t="s">
        <v>55</v>
      </c>
      <c r="D64" s="33" t="n">
        <v>8</v>
      </c>
      <c r="E64" s="34"/>
    </row>
    <row r="65" customFormat="false" ht="14.25" hidden="false" customHeight="false" outlineLevel="0" collapsed="false">
      <c r="A65" s="30"/>
      <c r="B65" s="40" t="n">
        <f aca="false">B64+1</f>
        <v>45444</v>
      </c>
      <c r="C65" s="30" t="s">
        <v>49</v>
      </c>
      <c r="D65" s="30" t="n">
        <v>9</v>
      </c>
      <c r="E65" s="44" t="s">
        <v>64</v>
      </c>
    </row>
    <row r="66" customFormat="false" ht="14.25" hidden="false" customHeight="false" outlineLevel="0" collapsed="false">
      <c r="A66" s="30"/>
      <c r="B66" s="40" t="n">
        <f aca="false">B65+1</f>
        <v>45445</v>
      </c>
      <c r="C66" s="30" t="s">
        <v>50</v>
      </c>
      <c r="D66" s="30" t="n">
        <v>10</v>
      </c>
      <c r="E66" s="44" t="s">
        <v>64</v>
      </c>
    </row>
    <row r="67" customFormat="false" ht="14.25" hidden="false" customHeight="false" outlineLevel="0" collapsed="false">
      <c r="A67" s="33"/>
      <c r="B67" s="39" t="n">
        <f aca="false">B66+1</f>
        <v>45446</v>
      </c>
      <c r="C67" s="33" t="s">
        <v>51</v>
      </c>
      <c r="D67" s="33" t="n">
        <v>11</v>
      </c>
      <c r="E67" s="34"/>
    </row>
    <row r="68" customFormat="false" ht="14.25" hidden="false" customHeight="false" outlineLevel="0" collapsed="false">
      <c r="A68" s="33"/>
      <c r="B68" s="39" t="n">
        <f aca="false">B67+1</f>
        <v>45447</v>
      </c>
      <c r="C68" s="33" t="s">
        <v>53</v>
      </c>
      <c r="D68" s="33" t="n">
        <v>12</v>
      </c>
      <c r="E68" s="34"/>
    </row>
    <row r="69" customFormat="false" ht="14.25" hidden="false" customHeight="false" outlineLevel="0" collapsed="false">
      <c r="A69" s="36"/>
      <c r="B69" s="41" t="n">
        <f aca="false">B68+1</f>
        <v>45448</v>
      </c>
      <c r="C69" s="36" t="s">
        <v>53</v>
      </c>
      <c r="D69" s="36" t="n">
        <v>13</v>
      </c>
      <c r="E69" s="37"/>
    </row>
    <row r="70" customFormat="false" ht="14.25" hidden="false" customHeight="false" outlineLevel="0" collapsed="false">
      <c r="A70" s="33"/>
      <c r="B70" s="39" t="n">
        <f aca="false">B69+1</f>
        <v>45449</v>
      </c>
      <c r="C70" s="33" t="s">
        <v>54</v>
      </c>
      <c r="D70" s="33" t="n">
        <v>14</v>
      </c>
      <c r="E70" s="46"/>
    </row>
    <row r="71" customFormat="false" ht="14.25" hidden="false" customHeight="false" outlineLevel="0" collapsed="false">
      <c r="A71" s="33"/>
      <c r="B71" s="39" t="n">
        <f aca="false">B70+1</f>
        <v>45450</v>
      </c>
      <c r="C71" s="33" t="s">
        <v>55</v>
      </c>
      <c r="D71" s="33" t="n">
        <v>15</v>
      </c>
      <c r="E71" s="34"/>
    </row>
    <row r="72" customFormat="false" ht="14.25" hidden="false" customHeight="false" outlineLevel="0" collapsed="false">
      <c r="A72" s="27"/>
      <c r="B72" s="42" t="n">
        <f aca="false">B71+1</f>
        <v>45451</v>
      </c>
      <c r="C72" s="27" t="s">
        <v>49</v>
      </c>
      <c r="D72" s="27" t="n">
        <v>16</v>
      </c>
      <c r="E72" s="28"/>
    </row>
    <row r="73" customFormat="false" ht="14.25" hidden="false" customHeight="false" outlineLevel="0" collapsed="false">
      <c r="A73" s="27"/>
      <c r="B73" s="42" t="n">
        <f aca="false">B72+1</f>
        <v>45452</v>
      </c>
      <c r="C73" s="27" t="s">
        <v>50</v>
      </c>
      <c r="D73" s="27" t="n">
        <v>17</v>
      </c>
      <c r="E73" s="28"/>
    </row>
    <row r="74" customFormat="false" ht="14.25" hidden="false" customHeight="false" outlineLevel="0" collapsed="false">
      <c r="A74" s="33"/>
      <c r="B74" s="39" t="n">
        <f aca="false">B73+1</f>
        <v>45453</v>
      </c>
      <c r="C74" s="33" t="s">
        <v>51</v>
      </c>
      <c r="D74" s="33" t="n">
        <v>18</v>
      </c>
      <c r="E74" s="34"/>
    </row>
    <row r="75" customFormat="false" ht="14.25" hidden="false" customHeight="false" outlineLevel="0" collapsed="false">
      <c r="A75" s="33"/>
      <c r="B75" s="39" t="n">
        <f aca="false">B74+1</f>
        <v>45454</v>
      </c>
      <c r="C75" s="33" t="s">
        <v>53</v>
      </c>
      <c r="D75" s="33" t="n">
        <v>19</v>
      </c>
      <c r="E75" s="34"/>
    </row>
    <row r="76" customFormat="false" ht="14.25" hidden="false" customHeight="false" outlineLevel="0" collapsed="false">
      <c r="A76" s="36"/>
      <c r="B76" s="41" t="n">
        <f aca="false">B75+1</f>
        <v>45455</v>
      </c>
      <c r="C76" s="36" t="s">
        <v>53</v>
      </c>
      <c r="D76" s="36" t="n">
        <v>20</v>
      </c>
      <c r="E76" s="37"/>
    </row>
    <row r="77" customFormat="false" ht="14.25" hidden="false" customHeight="false" outlineLevel="0" collapsed="false">
      <c r="A77" s="33"/>
      <c r="B77" s="39" t="n">
        <f aca="false">B76+1</f>
        <v>45456</v>
      </c>
      <c r="C77" s="33" t="s">
        <v>54</v>
      </c>
      <c r="D77" s="33" t="n">
        <v>21</v>
      </c>
      <c r="E77" s="34"/>
    </row>
    <row r="78" customFormat="false" ht="14.25" hidden="false" customHeight="false" outlineLevel="0" collapsed="false">
      <c r="A78" s="33"/>
      <c r="B78" s="39" t="n">
        <f aca="false">B77+1</f>
        <v>45457</v>
      </c>
      <c r="C78" s="33" t="s">
        <v>55</v>
      </c>
      <c r="D78" s="33" t="n">
        <v>22</v>
      </c>
      <c r="E78" s="34"/>
    </row>
    <row r="79" customFormat="false" ht="14.25" hidden="false" customHeight="false" outlineLevel="0" collapsed="false">
      <c r="A79" s="27"/>
      <c r="B79" s="42" t="n">
        <f aca="false">B78+1</f>
        <v>45458</v>
      </c>
      <c r="C79" s="27" t="s">
        <v>49</v>
      </c>
      <c r="D79" s="27" t="n">
        <v>23</v>
      </c>
      <c r="E79" s="28"/>
    </row>
    <row r="80" customFormat="false" ht="14.25" hidden="false" customHeight="false" outlineLevel="0" collapsed="false">
      <c r="A80" s="27"/>
      <c r="B80" s="42" t="n">
        <f aca="false">B79+1</f>
        <v>45459</v>
      </c>
      <c r="C80" s="27" t="s">
        <v>50</v>
      </c>
      <c r="D80" s="27" t="n">
        <v>24</v>
      </c>
      <c r="E80" s="28"/>
    </row>
    <row r="81" customFormat="false" ht="14.25" hidden="false" customHeight="false" outlineLevel="0" collapsed="false">
      <c r="A81" s="33"/>
      <c r="B81" s="39" t="n">
        <f aca="false">B80+1</f>
        <v>45460</v>
      </c>
      <c r="C81" s="33" t="s">
        <v>51</v>
      </c>
      <c r="D81" s="33" t="n">
        <v>25</v>
      </c>
      <c r="E81" s="34"/>
    </row>
    <row r="82" customFormat="false" ht="14.25" hidden="false" customHeight="false" outlineLevel="0" collapsed="false">
      <c r="A82" s="33"/>
      <c r="B82" s="39" t="n">
        <f aca="false">B81+1</f>
        <v>45461</v>
      </c>
      <c r="C82" s="33" t="s">
        <v>53</v>
      </c>
      <c r="D82" s="33" t="n">
        <v>26</v>
      </c>
      <c r="E82" s="34"/>
    </row>
    <row r="83" customFormat="false" ht="14.25" hidden="false" customHeight="false" outlineLevel="0" collapsed="false">
      <c r="A83" s="36"/>
      <c r="B83" s="41" t="n">
        <f aca="false">B82+1</f>
        <v>45462</v>
      </c>
      <c r="C83" s="36" t="s">
        <v>53</v>
      </c>
      <c r="D83" s="36" t="n">
        <v>27</v>
      </c>
      <c r="E83" s="37"/>
    </row>
    <row r="84" customFormat="false" ht="14.25" hidden="false" customHeight="false" outlineLevel="0" collapsed="false">
      <c r="A84" s="33"/>
      <c r="B84" s="39" t="n">
        <f aca="false">B83+1</f>
        <v>45463</v>
      </c>
      <c r="C84" s="33" t="s">
        <v>54</v>
      </c>
      <c r="D84" s="33" t="n">
        <v>28</v>
      </c>
      <c r="E84" s="34"/>
    </row>
    <row r="85" s="1" customFormat="true" ht="14.25" hidden="false" customHeight="false" outlineLevel="0" collapsed="false">
      <c r="A85" s="33"/>
      <c r="B85" s="39" t="n">
        <f aca="false">B84+1</f>
        <v>45464</v>
      </c>
      <c r="C85" s="33" t="s">
        <v>55</v>
      </c>
      <c r="D85" s="33" t="n">
        <v>29</v>
      </c>
      <c r="E85" s="3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</row>
    <row r="86" customFormat="false" ht="14.25" hidden="false" customHeight="false" outlineLevel="0" collapsed="false">
      <c r="A86" s="27"/>
      <c r="B86" s="42" t="n">
        <f aca="false">B85+1</f>
        <v>45465</v>
      </c>
      <c r="C86" s="27" t="s">
        <v>49</v>
      </c>
      <c r="D86" s="27" t="n">
        <v>30</v>
      </c>
      <c r="E86" s="28"/>
    </row>
    <row r="87" customFormat="false" ht="14.25" hidden="false" customHeight="false" outlineLevel="0" collapsed="false">
      <c r="A87" s="27"/>
      <c r="B87" s="42" t="n">
        <f aca="false">B86+1</f>
        <v>45466</v>
      </c>
      <c r="C87" s="27" t="s">
        <v>50</v>
      </c>
      <c r="D87" s="27" t="n">
        <v>31</v>
      </c>
      <c r="E87" s="28"/>
    </row>
    <row r="88" s="1" customFormat="true" ht="14.25" hidden="false" customHeight="false" outlineLevel="0" collapsed="false">
      <c r="A88" s="33"/>
      <c r="B88" s="39" t="n">
        <f aca="false">B87+1</f>
        <v>45467</v>
      </c>
      <c r="C88" s="33" t="s">
        <v>51</v>
      </c>
      <c r="D88" s="33" t="n">
        <v>32</v>
      </c>
      <c r="E88" s="33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</row>
    <row r="89" s="1" customFormat="true" ht="14.25" hidden="false" customHeight="false" outlineLevel="0" collapsed="false">
      <c r="A89" s="33"/>
      <c r="B89" s="39" t="n">
        <f aca="false">B88+1</f>
        <v>45468</v>
      </c>
      <c r="C89" s="33" t="s">
        <v>53</v>
      </c>
      <c r="D89" s="33" t="n">
        <v>33</v>
      </c>
      <c r="E89" s="33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</row>
    <row r="90" customFormat="false" ht="14.25" hidden="false" customHeight="false" outlineLevel="0" collapsed="false">
      <c r="A90" s="36"/>
      <c r="B90" s="41" t="n">
        <f aca="false">B89+1</f>
        <v>45469</v>
      </c>
      <c r="C90" s="36" t="s">
        <v>53</v>
      </c>
      <c r="D90" s="36" t="n">
        <v>34</v>
      </c>
      <c r="E90" s="36"/>
    </row>
    <row r="91" customFormat="false" ht="14.25" hidden="false" customHeight="false" outlineLevel="0" collapsed="false">
      <c r="A91" s="33"/>
      <c r="B91" s="39" t="n">
        <f aca="false">B90+1</f>
        <v>45470</v>
      </c>
      <c r="C91" s="33" t="s">
        <v>54</v>
      </c>
      <c r="D91" s="33" t="n">
        <v>35</v>
      </c>
      <c r="E91" s="33"/>
    </row>
    <row r="92" s="1" customFormat="true" ht="14.25" hidden="false" customHeight="false" outlineLevel="0" collapsed="false">
      <c r="A92" s="33"/>
      <c r="B92" s="39" t="n">
        <f aca="false">B91+1</f>
        <v>45471</v>
      </c>
      <c r="C92" s="33" t="s">
        <v>55</v>
      </c>
      <c r="D92" s="33" t="n">
        <v>36</v>
      </c>
      <c r="E92" s="33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</row>
    <row r="93" customFormat="false" ht="14.25" hidden="false" customHeight="false" outlineLevel="0" collapsed="false">
      <c r="A93" s="27"/>
      <c r="B93" s="42" t="n">
        <f aca="false">B92+1</f>
        <v>45472</v>
      </c>
      <c r="C93" s="27" t="s">
        <v>49</v>
      </c>
      <c r="D93" s="27" t="n">
        <v>37</v>
      </c>
      <c r="E93" s="27"/>
    </row>
    <row r="94" customFormat="false" ht="14.25" hidden="false" customHeight="false" outlineLevel="0" collapsed="false">
      <c r="A94" s="27"/>
      <c r="B94" s="42" t="n">
        <f aca="false">B93+1</f>
        <v>45473</v>
      </c>
      <c r="C94" s="27" t="s">
        <v>50</v>
      </c>
      <c r="D94" s="27" t="n">
        <v>38</v>
      </c>
      <c r="E94" s="27"/>
    </row>
    <row r="95" s="1" customFormat="true" ht="14.25" hidden="false" customHeight="false" outlineLevel="0" collapsed="false">
      <c r="A95" s="33"/>
      <c r="B95" s="39" t="n">
        <f aca="false">B94+1</f>
        <v>45474</v>
      </c>
      <c r="C95" s="33" t="s">
        <v>51</v>
      </c>
      <c r="D95" s="33" t="n">
        <v>39</v>
      </c>
      <c r="E95" s="33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</row>
    <row r="96" s="1" customFormat="true" ht="14.25" hidden="false" customHeight="false" outlineLevel="0" collapsed="false">
      <c r="A96" s="33"/>
      <c r="B96" s="39" t="n">
        <f aca="false">B95+1</f>
        <v>45475</v>
      </c>
      <c r="C96" s="33" t="s">
        <v>53</v>
      </c>
      <c r="D96" s="33" t="n">
        <v>40</v>
      </c>
      <c r="E96" s="33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</row>
    <row r="97" customFormat="false" ht="14.25" hidden="false" customHeight="false" outlineLevel="0" collapsed="false">
      <c r="A97" s="36"/>
      <c r="B97" s="41" t="n">
        <f aca="false">B96+1</f>
        <v>45476</v>
      </c>
      <c r="C97" s="36" t="s">
        <v>53</v>
      </c>
      <c r="D97" s="36" t="n">
        <v>41</v>
      </c>
      <c r="E97" s="36"/>
    </row>
    <row r="98" customFormat="false" ht="14.25" hidden="false" customHeight="false" outlineLevel="0" collapsed="false">
      <c r="A98" s="33"/>
      <c r="B98" s="39" t="n">
        <f aca="false">B97+1</f>
        <v>45477</v>
      </c>
      <c r="C98" s="33" t="s">
        <v>54</v>
      </c>
      <c r="D98" s="33" t="n">
        <v>42</v>
      </c>
      <c r="E98" s="33"/>
    </row>
    <row r="99" s="1" customFormat="true" ht="14.25" hidden="false" customHeight="false" outlineLevel="0" collapsed="false">
      <c r="A99" s="33"/>
      <c r="B99" s="39" t="n">
        <f aca="false">B98+1</f>
        <v>45478</v>
      </c>
      <c r="C99" s="33" t="s">
        <v>55</v>
      </c>
      <c r="D99" s="33" t="n">
        <v>43</v>
      </c>
      <c r="E99" s="33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</row>
    <row r="100" customFormat="false" ht="14.25" hidden="false" customHeight="false" outlineLevel="0" collapsed="false">
      <c r="A100" s="27"/>
      <c r="B100" s="42" t="n">
        <f aca="false">B99+1</f>
        <v>45479</v>
      </c>
      <c r="C100" s="27" t="s">
        <v>49</v>
      </c>
      <c r="D100" s="27" t="n">
        <v>44</v>
      </c>
      <c r="E100" s="27"/>
    </row>
    <row r="101" s="1" customFormat="true" ht="14.25" hidden="false" customHeight="false" outlineLevel="0" collapsed="false">
      <c r="A101" s="27"/>
      <c r="B101" s="42" t="n">
        <f aca="false">B100+1</f>
        <v>45480</v>
      </c>
      <c r="C101" s="27" t="s">
        <v>50</v>
      </c>
      <c r="D101" s="27" t="n">
        <v>45</v>
      </c>
      <c r="E101" s="2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</row>
    <row r="102" s="1" customFormat="true" ht="14.25" hidden="false" customHeight="false" outlineLevel="0" collapsed="false">
      <c r="A102" s="33"/>
      <c r="B102" s="39" t="n">
        <f aca="false">B101+1</f>
        <v>45481</v>
      </c>
      <c r="C102" s="33" t="s">
        <v>51</v>
      </c>
      <c r="D102" s="33" t="n">
        <v>46</v>
      </c>
      <c r="E102" s="43" t="s">
        <v>65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</row>
    <row r="103" s="1" customFormat="true" ht="14.25" hidden="false" customHeight="false" outlineLevel="0" collapsed="false">
      <c r="A103" s="33"/>
      <c r="B103" s="39" t="n">
        <f aca="false">B102+1</f>
        <v>45482</v>
      </c>
      <c r="C103" s="33" t="s">
        <v>53</v>
      </c>
      <c r="D103" s="33"/>
      <c r="E103" s="33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</row>
    <row r="104" customFormat="false" ht="14.25" hidden="false" customHeight="false" outlineLevel="0" collapsed="false">
      <c r="A104" s="36"/>
      <c r="B104" s="41" t="n">
        <f aca="false">B103+1</f>
        <v>45483</v>
      </c>
      <c r="C104" s="36" t="s">
        <v>53</v>
      </c>
      <c r="D104" s="36"/>
      <c r="E104" s="36"/>
    </row>
    <row r="105" customFormat="false" ht="14.25" hidden="false" customHeight="false" outlineLevel="0" collapsed="false">
      <c r="A105" s="33"/>
      <c r="B105" s="39" t="n">
        <f aca="false">B104+1</f>
        <v>45484</v>
      </c>
      <c r="C105" s="33" t="s">
        <v>54</v>
      </c>
      <c r="D105" s="33"/>
      <c r="E105" s="33"/>
    </row>
    <row r="106" s="1" customFormat="true" ht="14.25" hidden="false" customHeight="false" outlineLevel="0" collapsed="false">
      <c r="A106" s="27"/>
      <c r="B106" s="42" t="n">
        <f aca="false">B105+1</f>
        <v>45485</v>
      </c>
      <c r="C106" s="27" t="s">
        <v>55</v>
      </c>
      <c r="D106" s="27"/>
      <c r="E106" s="2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</row>
    <row r="107" customFormat="false" ht="14.25" hidden="false" customHeight="false" outlineLevel="0" collapsed="false">
      <c r="A107" s="27"/>
      <c r="B107" s="42" t="n">
        <f aca="false">B106+1</f>
        <v>45486</v>
      </c>
      <c r="C107" s="27" t="s">
        <v>49</v>
      </c>
      <c r="D107" s="27"/>
      <c r="E107" s="27"/>
    </row>
    <row r="108" customFormat="false" ht="14.25" hidden="false" customHeight="false" outlineLevel="0" collapsed="false">
      <c r="A108" s="27"/>
      <c r="B108" s="42" t="n">
        <f aca="false">B107+1</f>
        <v>45487</v>
      </c>
      <c r="C108" s="27" t="s">
        <v>50</v>
      </c>
      <c r="D108" s="27"/>
      <c r="E108" s="27"/>
    </row>
    <row r="109" customFormat="false" ht="14.25" hidden="false" customHeight="false" outlineLevel="0" collapsed="false">
      <c r="A109" s="33"/>
      <c r="B109" s="39" t="n">
        <f aca="false">B108+1</f>
        <v>45488</v>
      </c>
      <c r="C109" s="33" t="s">
        <v>51</v>
      </c>
      <c r="D109" s="33"/>
      <c r="E109" s="33"/>
    </row>
    <row r="110" customFormat="false" ht="14.25" hidden="false" customHeight="false" outlineLevel="0" collapsed="false">
      <c r="A110" s="33"/>
      <c r="B110" s="39" t="n">
        <f aca="false">B109+1</f>
        <v>45489</v>
      </c>
      <c r="C110" s="33" t="s">
        <v>53</v>
      </c>
      <c r="D110" s="33"/>
      <c r="E110" s="33"/>
    </row>
    <row r="111" customFormat="false" ht="14.25" hidden="false" customHeight="false" outlineLevel="0" collapsed="false">
      <c r="A111" s="36"/>
      <c r="B111" s="41" t="n">
        <f aca="false">B110+1</f>
        <v>45490</v>
      </c>
      <c r="C111" s="36" t="s">
        <v>53</v>
      </c>
      <c r="D111" s="36"/>
      <c r="E111" s="36"/>
    </row>
    <row r="112" customFormat="false" ht="14.25" hidden="false" customHeight="false" outlineLevel="0" collapsed="false">
      <c r="A112" s="33"/>
      <c r="B112" s="39" t="n">
        <f aca="false">B111+1</f>
        <v>45491</v>
      </c>
      <c r="C112" s="33" t="s">
        <v>54</v>
      </c>
      <c r="D112" s="33"/>
      <c r="E112" s="33"/>
    </row>
    <row r="113" customFormat="false" ht="14.25" hidden="false" customHeight="false" outlineLevel="0" collapsed="false">
      <c r="A113" s="33"/>
      <c r="B113" s="39" t="n">
        <f aca="false">B112+1</f>
        <v>45492</v>
      </c>
      <c r="C113" s="33" t="s">
        <v>55</v>
      </c>
      <c r="D113" s="33"/>
      <c r="E113" s="33"/>
    </row>
    <row r="114" customFormat="false" ht="14.25" hidden="false" customHeight="false" outlineLevel="0" collapsed="false">
      <c r="B114" s="17"/>
      <c r="E114" s="24"/>
    </row>
    <row r="115" customFormat="false" ht="14.25" hidden="false" customHeight="false" outlineLevel="0" collapsed="false">
      <c r="B115" s="17"/>
      <c r="E115" s="24"/>
    </row>
    <row r="116" customFormat="false" ht="14.25" hidden="false" customHeight="false" outlineLevel="0" collapsed="false">
      <c r="B116" s="17"/>
      <c r="E116" s="24"/>
    </row>
    <row r="117" customFormat="false" ht="14.25" hidden="false" customHeight="false" outlineLevel="0" collapsed="false">
      <c r="B117" s="17"/>
      <c r="E117" s="24"/>
    </row>
    <row r="118" customFormat="false" ht="14.25" hidden="false" customHeight="false" outlineLevel="0" collapsed="false">
      <c r="B118" s="17"/>
      <c r="E118" s="24"/>
    </row>
    <row r="119" customFormat="false" ht="14.25" hidden="false" customHeight="false" outlineLevel="0" collapsed="false">
      <c r="B119" s="17"/>
      <c r="E119" s="24"/>
    </row>
    <row r="120" customFormat="false" ht="14.25" hidden="false" customHeight="false" outlineLevel="0" collapsed="false">
      <c r="B120" s="17"/>
      <c r="E120" s="24"/>
    </row>
    <row r="121" customFormat="false" ht="14.25" hidden="false" customHeight="false" outlineLevel="0" collapsed="false">
      <c r="B121" s="17"/>
      <c r="E121" s="24"/>
    </row>
    <row r="122" customFormat="false" ht="14.25" hidden="false" customHeight="false" outlineLevel="0" collapsed="false">
      <c r="B122" s="17"/>
      <c r="E122" s="24"/>
    </row>
    <row r="123" customFormat="false" ht="14.25" hidden="false" customHeight="false" outlineLevel="0" collapsed="false">
      <c r="B123" s="17"/>
      <c r="E123" s="24"/>
    </row>
    <row r="124" customFormat="false" ht="14.25" hidden="false" customHeight="false" outlineLevel="0" collapsed="false">
      <c r="B124" s="17"/>
      <c r="E124" s="24"/>
    </row>
    <row r="125" customFormat="false" ht="14.25" hidden="false" customHeight="false" outlineLevel="0" collapsed="false">
      <c r="B125" s="17"/>
      <c r="E125" s="24"/>
    </row>
    <row r="126" customFormat="false" ht="14.25" hidden="false" customHeight="false" outlineLevel="0" collapsed="false">
      <c r="B126" s="17"/>
      <c r="E126" s="24"/>
    </row>
    <row r="127" customFormat="false" ht="14.25" hidden="false" customHeight="false" outlineLevel="0" collapsed="false">
      <c r="B127" s="17"/>
      <c r="E127" s="24"/>
    </row>
    <row r="128" customFormat="false" ht="14.25" hidden="false" customHeight="false" outlineLevel="0" collapsed="false">
      <c r="B128" s="17"/>
      <c r="E128" s="24"/>
    </row>
    <row r="129" customFormat="false" ht="14.25" hidden="false" customHeight="false" outlineLevel="0" collapsed="false">
      <c r="B129" s="17"/>
      <c r="E129" s="24"/>
    </row>
    <row r="130" customFormat="false" ht="14.25" hidden="false" customHeight="false" outlineLevel="0" collapsed="false">
      <c r="B130" s="17"/>
      <c r="E130" s="24"/>
    </row>
    <row r="131" customFormat="false" ht="14.25" hidden="false" customHeight="false" outlineLevel="0" collapsed="false">
      <c r="B131" s="17"/>
      <c r="E131" s="24"/>
    </row>
    <row r="132" customFormat="false" ht="14.25" hidden="false" customHeight="false" outlineLevel="0" collapsed="false">
      <c r="B132" s="17"/>
      <c r="E132" s="24"/>
    </row>
    <row r="133" customFormat="false" ht="14.25" hidden="false" customHeight="false" outlineLevel="0" collapsed="false">
      <c r="B133" s="17"/>
      <c r="E133" s="24"/>
    </row>
    <row r="134" customFormat="false" ht="14.25" hidden="false" customHeight="false" outlineLevel="0" collapsed="false">
      <c r="B134" s="17"/>
      <c r="E134" s="24"/>
    </row>
    <row r="135" customFormat="false" ht="14.25" hidden="false" customHeight="false" outlineLevel="0" collapsed="false">
      <c r="B135" s="17"/>
      <c r="E135" s="24"/>
    </row>
    <row r="136" customFormat="false" ht="14.25" hidden="false" customHeight="false" outlineLevel="0" collapsed="false">
      <c r="B136" s="17"/>
      <c r="E136" s="24"/>
    </row>
    <row r="137" customFormat="false" ht="14.25" hidden="false" customHeight="false" outlineLevel="0" collapsed="false">
      <c r="B137" s="17"/>
      <c r="E137" s="24"/>
    </row>
    <row r="138" customFormat="false" ht="14.25" hidden="false" customHeight="false" outlineLevel="0" collapsed="false">
      <c r="B138" s="17"/>
      <c r="E138" s="24"/>
    </row>
    <row r="139" customFormat="false" ht="14.25" hidden="false" customHeight="false" outlineLevel="0" collapsed="false">
      <c r="B139" s="17"/>
      <c r="E139" s="24"/>
    </row>
    <row r="140" customFormat="false" ht="14.25" hidden="false" customHeight="false" outlineLevel="0" collapsed="false">
      <c r="B140" s="17"/>
      <c r="E140" s="24"/>
    </row>
    <row r="141" customFormat="false" ht="14.25" hidden="false" customHeight="false" outlineLevel="0" collapsed="false">
      <c r="B141" s="17"/>
      <c r="E141" s="24"/>
    </row>
    <row r="142" customFormat="false" ht="14.25" hidden="false" customHeight="false" outlineLevel="0" collapsed="false">
      <c r="B142" s="17"/>
      <c r="E142" s="24"/>
    </row>
    <row r="143" customFormat="false" ht="14.25" hidden="false" customHeight="false" outlineLevel="0" collapsed="false">
      <c r="B143" s="17"/>
      <c r="E143" s="24"/>
    </row>
    <row r="144" customFormat="false" ht="14.25" hidden="false" customHeight="false" outlineLevel="0" collapsed="false">
      <c r="B144" s="17"/>
      <c r="E144" s="24"/>
    </row>
    <row r="145" customFormat="false" ht="14.25" hidden="false" customHeight="false" outlineLevel="0" collapsed="false">
      <c r="B145" s="17"/>
      <c r="E145" s="24"/>
    </row>
    <row r="146" customFormat="false" ht="14.25" hidden="false" customHeight="false" outlineLevel="0" collapsed="false">
      <c r="B146" s="17"/>
      <c r="E146" s="24"/>
    </row>
    <row r="147" customFormat="false" ht="14.25" hidden="false" customHeight="false" outlineLevel="0" collapsed="false">
      <c r="B147" s="17"/>
      <c r="E147" s="24"/>
    </row>
    <row r="148" customFormat="false" ht="14.25" hidden="false" customHeight="false" outlineLevel="0" collapsed="false">
      <c r="B148" s="17"/>
      <c r="E148" s="24"/>
    </row>
    <row r="149" customFormat="false" ht="14.25" hidden="false" customHeight="false" outlineLevel="0" collapsed="false">
      <c r="B149" s="17"/>
      <c r="E149" s="24"/>
    </row>
    <row r="150" customFormat="false" ht="14.25" hidden="false" customHeight="false" outlineLevel="0" collapsed="false">
      <c r="B150" s="17"/>
      <c r="E150" s="24"/>
    </row>
    <row r="151" customFormat="false" ht="14.25" hidden="false" customHeight="false" outlineLevel="0" collapsed="false">
      <c r="B151" s="17"/>
      <c r="E151" s="24"/>
    </row>
    <row r="152" customFormat="false" ht="14.25" hidden="false" customHeight="false" outlineLevel="0" collapsed="false">
      <c r="B152" s="17"/>
      <c r="E152" s="24"/>
    </row>
    <row r="153" customFormat="false" ht="14.25" hidden="false" customHeight="false" outlineLevel="0" collapsed="false">
      <c r="B153" s="17"/>
      <c r="E153" s="24"/>
    </row>
    <row r="154" customFormat="false" ht="14.25" hidden="false" customHeight="false" outlineLevel="0" collapsed="false">
      <c r="B154" s="17"/>
      <c r="E154" s="24"/>
    </row>
    <row r="155" customFormat="false" ht="14.25" hidden="false" customHeight="false" outlineLevel="0" collapsed="false">
      <c r="B155" s="17"/>
      <c r="E155" s="24"/>
    </row>
    <row r="156" customFormat="false" ht="14.25" hidden="false" customHeight="false" outlineLevel="0" collapsed="false">
      <c r="B156" s="17"/>
      <c r="E156" s="24"/>
    </row>
    <row r="157" customFormat="false" ht="14.25" hidden="false" customHeight="false" outlineLevel="0" collapsed="false">
      <c r="B157" s="17"/>
      <c r="E157" s="24"/>
    </row>
    <row r="158" customFormat="false" ht="14.25" hidden="false" customHeight="false" outlineLevel="0" collapsed="false">
      <c r="B158" s="17"/>
      <c r="E158" s="24"/>
    </row>
    <row r="159" customFormat="false" ht="14.25" hidden="false" customHeight="false" outlineLevel="0" collapsed="false">
      <c r="B159" s="17"/>
      <c r="E159" s="24"/>
    </row>
    <row r="160" customFormat="false" ht="14.25" hidden="false" customHeight="false" outlineLevel="0" collapsed="false">
      <c r="B160" s="17"/>
      <c r="E160" s="24"/>
    </row>
    <row r="161" customFormat="false" ht="14.25" hidden="false" customHeight="false" outlineLevel="0" collapsed="false">
      <c r="B161" s="17"/>
      <c r="E161" s="24"/>
    </row>
    <row r="162" customFormat="false" ht="14.25" hidden="false" customHeight="false" outlineLevel="0" collapsed="false">
      <c r="B162" s="17"/>
      <c r="E162" s="24"/>
    </row>
    <row r="163" customFormat="false" ht="14.25" hidden="false" customHeight="false" outlineLevel="0" collapsed="false">
      <c r="B163" s="17"/>
      <c r="E163" s="24"/>
    </row>
    <row r="164" customFormat="false" ht="14.25" hidden="false" customHeight="false" outlineLevel="0" collapsed="false">
      <c r="B164" s="17"/>
      <c r="E164" s="24"/>
    </row>
    <row r="165" customFormat="false" ht="14.25" hidden="false" customHeight="false" outlineLevel="0" collapsed="false">
      <c r="B165" s="17"/>
      <c r="E165" s="24"/>
    </row>
    <row r="166" customFormat="false" ht="14.25" hidden="false" customHeight="false" outlineLevel="0" collapsed="false">
      <c r="B166" s="17"/>
      <c r="E166" s="24"/>
    </row>
    <row r="167" customFormat="false" ht="14.25" hidden="false" customHeight="false" outlineLevel="0" collapsed="false">
      <c r="B167" s="17"/>
      <c r="E167" s="24"/>
    </row>
    <row r="168" customFormat="false" ht="14.25" hidden="false" customHeight="false" outlineLevel="0" collapsed="false">
      <c r="B168" s="17"/>
      <c r="E168" s="24"/>
    </row>
    <row r="169" customFormat="false" ht="14.25" hidden="false" customHeight="false" outlineLevel="0" collapsed="false">
      <c r="B169" s="17"/>
      <c r="E169" s="24"/>
    </row>
    <row r="170" customFormat="false" ht="14.25" hidden="false" customHeight="false" outlineLevel="0" collapsed="false">
      <c r="B170" s="17"/>
      <c r="E170" s="24"/>
    </row>
    <row r="171" customFormat="false" ht="14.25" hidden="false" customHeight="false" outlineLevel="0" collapsed="false">
      <c r="B171" s="17"/>
      <c r="E171" s="24"/>
    </row>
    <row r="172" customFormat="false" ht="14.25" hidden="false" customHeight="false" outlineLevel="0" collapsed="false">
      <c r="B172" s="17"/>
      <c r="E172" s="24"/>
    </row>
    <row r="173" customFormat="false" ht="14.25" hidden="false" customHeight="false" outlineLevel="0" collapsed="false">
      <c r="B173" s="17"/>
      <c r="E173" s="24"/>
    </row>
    <row r="174" customFormat="false" ht="14.25" hidden="false" customHeight="false" outlineLevel="0" collapsed="false">
      <c r="B174" s="17"/>
      <c r="E174" s="24"/>
    </row>
    <row r="175" customFormat="false" ht="14.25" hidden="false" customHeight="false" outlineLevel="0" collapsed="false">
      <c r="B175" s="17"/>
      <c r="E175" s="24"/>
    </row>
    <row r="176" customFormat="false" ht="14.25" hidden="false" customHeight="false" outlineLevel="0" collapsed="false">
      <c r="B176" s="17"/>
      <c r="E176" s="24"/>
    </row>
    <row r="177" customFormat="false" ht="14.25" hidden="false" customHeight="false" outlineLevel="0" collapsed="false">
      <c r="B177" s="17"/>
      <c r="E177" s="24"/>
    </row>
    <row r="178" customFormat="false" ht="14.25" hidden="false" customHeight="false" outlineLevel="0" collapsed="false">
      <c r="B178" s="17"/>
      <c r="E178" s="24"/>
    </row>
    <row r="179" customFormat="false" ht="14.25" hidden="false" customHeight="false" outlineLevel="0" collapsed="false">
      <c r="B179" s="17"/>
      <c r="E179" s="24"/>
    </row>
    <row r="180" customFormat="false" ht="14.25" hidden="false" customHeight="false" outlineLevel="0" collapsed="false">
      <c r="B180" s="17"/>
      <c r="E180" s="24"/>
    </row>
    <row r="181" customFormat="false" ht="14.25" hidden="false" customHeight="false" outlineLevel="0" collapsed="false">
      <c r="B181" s="17"/>
      <c r="E181" s="24"/>
    </row>
    <row r="182" customFormat="false" ht="14.25" hidden="false" customHeight="false" outlineLevel="0" collapsed="false">
      <c r="B182" s="17"/>
      <c r="E182" s="24"/>
    </row>
    <row r="183" customFormat="false" ht="14.25" hidden="false" customHeight="false" outlineLevel="0" collapsed="false">
      <c r="B183" s="17"/>
      <c r="E183" s="24"/>
    </row>
    <row r="184" customFormat="false" ht="14.25" hidden="false" customHeight="false" outlineLevel="0" collapsed="false">
      <c r="B184" s="17"/>
      <c r="E184" s="24"/>
    </row>
    <row r="185" customFormat="false" ht="14.25" hidden="false" customHeight="false" outlineLevel="0" collapsed="false">
      <c r="B185" s="17"/>
      <c r="E185" s="24"/>
    </row>
    <row r="186" customFormat="false" ht="14.25" hidden="false" customHeight="false" outlineLevel="0" collapsed="false">
      <c r="B186" s="17"/>
      <c r="E186" s="24"/>
    </row>
    <row r="187" customFormat="false" ht="14.25" hidden="false" customHeight="false" outlineLevel="0" collapsed="false">
      <c r="B187" s="17"/>
      <c r="E187" s="24"/>
    </row>
    <row r="188" customFormat="false" ht="14.25" hidden="false" customHeight="false" outlineLevel="0" collapsed="false">
      <c r="B188" s="17"/>
      <c r="E188" s="24"/>
    </row>
    <row r="189" customFormat="false" ht="14.25" hidden="false" customHeight="false" outlineLevel="0" collapsed="false">
      <c r="B189" s="17"/>
      <c r="E189" s="24"/>
    </row>
    <row r="190" customFormat="false" ht="14.25" hidden="false" customHeight="false" outlineLevel="0" collapsed="false">
      <c r="B190" s="17"/>
      <c r="E190" s="24"/>
    </row>
    <row r="191" customFormat="false" ht="14.25" hidden="false" customHeight="false" outlineLevel="0" collapsed="false">
      <c r="B191" s="17"/>
      <c r="E191" s="24"/>
    </row>
    <row r="192" customFormat="false" ht="14.25" hidden="false" customHeight="false" outlineLevel="0" collapsed="false">
      <c r="B192" s="17"/>
      <c r="E192" s="24"/>
    </row>
    <row r="193" customFormat="false" ht="14.25" hidden="false" customHeight="false" outlineLevel="0" collapsed="false">
      <c r="B193" s="17"/>
      <c r="E193" s="24"/>
    </row>
    <row r="194" customFormat="false" ht="14.25" hidden="false" customHeight="false" outlineLevel="0" collapsed="false">
      <c r="B194" s="17"/>
      <c r="E194" s="24"/>
    </row>
    <row r="195" customFormat="false" ht="14.25" hidden="false" customHeight="false" outlineLevel="0" collapsed="false">
      <c r="B195" s="17"/>
      <c r="E195" s="24"/>
    </row>
    <row r="196" customFormat="false" ht="14.25" hidden="false" customHeight="false" outlineLevel="0" collapsed="false">
      <c r="B196" s="17"/>
      <c r="E196" s="24"/>
    </row>
    <row r="197" customFormat="false" ht="14.25" hidden="false" customHeight="false" outlineLevel="0" collapsed="false">
      <c r="B197" s="17"/>
      <c r="E197" s="24"/>
    </row>
    <row r="198" customFormat="false" ht="14.25" hidden="false" customHeight="false" outlineLevel="0" collapsed="false">
      <c r="B198" s="17"/>
      <c r="E198" s="24"/>
    </row>
    <row r="199" customFormat="false" ht="14.25" hidden="false" customHeight="false" outlineLevel="0" collapsed="false">
      <c r="B199" s="17"/>
      <c r="E199" s="24"/>
    </row>
    <row r="200" customFormat="false" ht="14.25" hidden="false" customHeight="false" outlineLevel="0" collapsed="false">
      <c r="B200" s="17"/>
      <c r="E200" s="24"/>
    </row>
    <row r="201" customFormat="false" ht="14.25" hidden="false" customHeight="false" outlineLevel="0" collapsed="false">
      <c r="B201" s="17"/>
      <c r="E201" s="24"/>
    </row>
    <row r="202" customFormat="false" ht="14.25" hidden="false" customHeight="false" outlineLevel="0" collapsed="false">
      <c r="B202" s="17"/>
      <c r="E202" s="24"/>
    </row>
    <row r="203" customFormat="false" ht="14.25" hidden="false" customHeight="false" outlineLevel="0" collapsed="false">
      <c r="B203" s="17"/>
      <c r="E203" s="24"/>
    </row>
    <row r="204" customFormat="false" ht="14.25" hidden="false" customHeight="false" outlineLevel="0" collapsed="false">
      <c r="B204" s="17"/>
      <c r="E204" s="24"/>
    </row>
    <row r="205" customFormat="false" ht="14.25" hidden="false" customHeight="false" outlineLevel="0" collapsed="false">
      <c r="B205" s="17"/>
      <c r="E205" s="24"/>
    </row>
    <row r="206" customFormat="false" ht="14.25" hidden="false" customHeight="false" outlineLevel="0" collapsed="false">
      <c r="B206" s="17"/>
      <c r="E206" s="24"/>
    </row>
    <row r="207" customFormat="false" ht="14.25" hidden="false" customHeight="false" outlineLevel="0" collapsed="false">
      <c r="B207" s="17"/>
      <c r="E207" s="24"/>
    </row>
    <row r="208" customFormat="false" ht="14.25" hidden="false" customHeight="false" outlineLevel="0" collapsed="false">
      <c r="B208" s="17"/>
      <c r="E208" s="24"/>
    </row>
    <row r="209" customFormat="false" ht="14.25" hidden="false" customHeight="false" outlineLevel="0" collapsed="false">
      <c r="B209" s="17"/>
      <c r="E209" s="24"/>
    </row>
    <row r="210" customFormat="false" ht="14.25" hidden="false" customHeight="false" outlineLevel="0" collapsed="false">
      <c r="B210" s="17"/>
      <c r="E210" s="24"/>
    </row>
    <row r="211" customFormat="false" ht="14.25" hidden="false" customHeight="false" outlineLevel="0" collapsed="false">
      <c r="B211" s="17"/>
      <c r="E211" s="24"/>
    </row>
    <row r="212" customFormat="false" ht="14.25" hidden="false" customHeight="false" outlineLevel="0" collapsed="false">
      <c r="B212" s="17"/>
      <c r="E212" s="24"/>
    </row>
    <row r="213" customFormat="false" ht="14.25" hidden="false" customHeight="false" outlineLevel="0" collapsed="false">
      <c r="B213" s="17"/>
      <c r="E213" s="24"/>
    </row>
    <row r="214" customFormat="false" ht="14.25" hidden="false" customHeight="false" outlineLevel="0" collapsed="false">
      <c r="B214" s="17"/>
      <c r="E214" s="24"/>
    </row>
    <row r="215" customFormat="false" ht="14.25" hidden="false" customHeight="false" outlineLevel="0" collapsed="false">
      <c r="B215" s="17"/>
      <c r="E215" s="24"/>
    </row>
    <row r="216" customFormat="false" ht="14.25" hidden="false" customHeight="false" outlineLevel="0" collapsed="false">
      <c r="B216" s="17"/>
      <c r="E216" s="24"/>
    </row>
    <row r="217" customFormat="false" ht="14.25" hidden="false" customHeight="false" outlineLevel="0" collapsed="false">
      <c r="B217" s="17"/>
      <c r="E217" s="24"/>
    </row>
    <row r="218" customFormat="false" ht="14.25" hidden="false" customHeight="false" outlineLevel="0" collapsed="false">
      <c r="B218" s="17"/>
      <c r="E218" s="24"/>
    </row>
    <row r="219" customFormat="false" ht="14.25" hidden="false" customHeight="false" outlineLevel="0" collapsed="false">
      <c r="B219" s="17"/>
      <c r="E219" s="24"/>
    </row>
    <row r="220" customFormat="false" ht="14.25" hidden="false" customHeight="false" outlineLevel="0" collapsed="false">
      <c r="B220" s="17"/>
      <c r="E220" s="24"/>
    </row>
    <row r="221" customFormat="false" ht="14.25" hidden="false" customHeight="false" outlineLevel="0" collapsed="false">
      <c r="B221" s="17"/>
      <c r="E221" s="24"/>
    </row>
    <row r="222" customFormat="false" ht="14.25" hidden="false" customHeight="false" outlineLevel="0" collapsed="false">
      <c r="B222" s="17"/>
      <c r="E222" s="24"/>
    </row>
    <row r="223" customFormat="false" ht="14.25" hidden="false" customHeight="false" outlineLevel="0" collapsed="false">
      <c r="B223" s="17"/>
      <c r="E223" s="24"/>
    </row>
    <row r="224" customFormat="false" ht="14.25" hidden="false" customHeight="false" outlineLevel="0" collapsed="false">
      <c r="B224" s="17"/>
      <c r="E224" s="24"/>
    </row>
    <row r="225" customFormat="false" ht="14.25" hidden="false" customHeight="false" outlineLevel="0" collapsed="false">
      <c r="B225" s="17"/>
      <c r="E225" s="24"/>
    </row>
    <row r="226" customFormat="false" ht="14.25" hidden="false" customHeight="false" outlineLevel="0" collapsed="false">
      <c r="B226" s="17"/>
      <c r="E226" s="24"/>
    </row>
    <row r="227" customFormat="false" ht="14.25" hidden="false" customHeight="false" outlineLevel="0" collapsed="false">
      <c r="B227" s="17"/>
      <c r="E227" s="24"/>
    </row>
    <row r="228" customFormat="false" ht="14.25" hidden="false" customHeight="false" outlineLevel="0" collapsed="false">
      <c r="B228" s="17"/>
      <c r="E228" s="24"/>
    </row>
    <row r="229" customFormat="false" ht="14.25" hidden="false" customHeight="false" outlineLevel="0" collapsed="false">
      <c r="B229" s="17"/>
      <c r="E229" s="24"/>
    </row>
    <row r="230" customFormat="false" ht="14.25" hidden="false" customHeight="false" outlineLevel="0" collapsed="false">
      <c r="B230" s="17"/>
      <c r="E230" s="24"/>
    </row>
    <row r="231" customFormat="false" ht="14.25" hidden="false" customHeight="false" outlineLevel="0" collapsed="false">
      <c r="B231" s="17"/>
      <c r="E231" s="24"/>
    </row>
    <row r="232" customFormat="false" ht="14.25" hidden="false" customHeight="false" outlineLevel="0" collapsed="false">
      <c r="B232" s="17"/>
      <c r="E232" s="24"/>
    </row>
    <row r="233" customFormat="false" ht="14.25" hidden="false" customHeight="false" outlineLevel="0" collapsed="false">
      <c r="B233" s="17"/>
      <c r="E233" s="24"/>
    </row>
    <row r="234" customFormat="false" ht="14.25" hidden="false" customHeight="false" outlineLevel="0" collapsed="false">
      <c r="B234" s="17"/>
      <c r="E234" s="24"/>
    </row>
    <row r="235" customFormat="false" ht="14.25" hidden="false" customHeight="false" outlineLevel="0" collapsed="false">
      <c r="B235" s="17"/>
      <c r="E235" s="24"/>
    </row>
    <row r="236" customFormat="false" ht="14.25" hidden="false" customHeight="false" outlineLevel="0" collapsed="false">
      <c r="B236" s="17"/>
      <c r="E236" s="24"/>
    </row>
    <row r="237" customFormat="false" ht="14.25" hidden="false" customHeight="false" outlineLevel="0" collapsed="false">
      <c r="B237" s="17"/>
      <c r="E237" s="24"/>
    </row>
    <row r="238" customFormat="false" ht="14.25" hidden="false" customHeight="false" outlineLevel="0" collapsed="false">
      <c r="B238" s="17"/>
      <c r="E238" s="24"/>
    </row>
    <row r="239" customFormat="false" ht="14.25" hidden="false" customHeight="false" outlineLevel="0" collapsed="false">
      <c r="B239" s="17"/>
      <c r="E239" s="24"/>
    </row>
    <row r="240" customFormat="false" ht="14.25" hidden="false" customHeight="false" outlineLevel="0" collapsed="false">
      <c r="B240" s="17"/>
      <c r="E240" s="24"/>
    </row>
    <row r="241" customFormat="false" ht="14.25" hidden="false" customHeight="false" outlineLevel="0" collapsed="false">
      <c r="B241" s="17"/>
      <c r="E241" s="24"/>
    </row>
    <row r="242" customFormat="false" ht="14.25" hidden="false" customHeight="false" outlineLevel="0" collapsed="false">
      <c r="B242" s="17"/>
      <c r="E242" s="24"/>
    </row>
    <row r="243" customFormat="false" ht="14.25" hidden="false" customHeight="false" outlineLevel="0" collapsed="false">
      <c r="B243" s="17"/>
      <c r="E243" s="24"/>
    </row>
    <row r="244" customFormat="false" ht="14.25" hidden="false" customHeight="false" outlineLevel="0" collapsed="false">
      <c r="B244" s="17"/>
      <c r="E244" s="24"/>
    </row>
    <row r="245" customFormat="false" ht="14.25" hidden="false" customHeight="false" outlineLevel="0" collapsed="false">
      <c r="B245" s="17"/>
      <c r="E245" s="24"/>
    </row>
    <row r="246" customFormat="false" ht="14.25" hidden="false" customHeight="false" outlineLevel="0" collapsed="false">
      <c r="B246" s="17"/>
      <c r="E246" s="24"/>
    </row>
    <row r="247" customFormat="false" ht="14.25" hidden="false" customHeight="false" outlineLevel="0" collapsed="false">
      <c r="B247" s="17"/>
      <c r="E247" s="24"/>
    </row>
    <row r="248" customFormat="false" ht="14.25" hidden="false" customHeight="false" outlineLevel="0" collapsed="false">
      <c r="B248" s="17"/>
      <c r="E248" s="24"/>
    </row>
    <row r="249" customFormat="false" ht="14.25" hidden="false" customHeight="false" outlineLevel="0" collapsed="false">
      <c r="B249" s="17"/>
      <c r="E249" s="24"/>
    </row>
    <row r="250" customFormat="false" ht="14.25" hidden="false" customHeight="false" outlineLevel="0" collapsed="false">
      <c r="B250" s="17"/>
      <c r="E250" s="24"/>
    </row>
    <row r="251" customFormat="false" ht="14.25" hidden="false" customHeight="false" outlineLevel="0" collapsed="false">
      <c r="B251" s="17"/>
      <c r="E251" s="24"/>
    </row>
    <row r="252" customFormat="false" ht="14.25" hidden="false" customHeight="false" outlineLevel="0" collapsed="false">
      <c r="B252" s="17"/>
      <c r="E252" s="24"/>
    </row>
    <row r="253" customFormat="false" ht="14.25" hidden="false" customHeight="false" outlineLevel="0" collapsed="false">
      <c r="B253" s="17"/>
      <c r="E253" s="24"/>
    </row>
    <row r="254" customFormat="false" ht="14.25" hidden="false" customHeight="false" outlineLevel="0" collapsed="false">
      <c r="B254" s="17"/>
      <c r="E254" s="24"/>
    </row>
    <row r="255" customFormat="false" ht="14.25" hidden="false" customHeight="false" outlineLevel="0" collapsed="false">
      <c r="B255" s="17"/>
      <c r="E255" s="24"/>
    </row>
    <row r="256" customFormat="false" ht="14.25" hidden="false" customHeight="false" outlineLevel="0" collapsed="false">
      <c r="B256" s="17"/>
      <c r="E256" s="24"/>
    </row>
    <row r="257" customFormat="false" ht="14.25" hidden="false" customHeight="false" outlineLevel="0" collapsed="false">
      <c r="B257" s="17"/>
      <c r="E257" s="24"/>
    </row>
    <row r="258" customFormat="false" ht="14.25" hidden="false" customHeight="false" outlineLevel="0" collapsed="false">
      <c r="B258" s="17"/>
      <c r="E258" s="24"/>
    </row>
    <row r="259" customFormat="false" ht="14.25" hidden="false" customHeight="false" outlineLevel="0" collapsed="false">
      <c r="B259" s="17"/>
      <c r="E259" s="24"/>
    </row>
    <row r="260" customFormat="false" ht="14.25" hidden="false" customHeight="false" outlineLevel="0" collapsed="false">
      <c r="B260" s="17"/>
      <c r="E260" s="24"/>
    </row>
    <row r="261" customFormat="false" ht="14.25" hidden="false" customHeight="false" outlineLevel="0" collapsed="false">
      <c r="B261" s="17"/>
      <c r="E261" s="24"/>
    </row>
    <row r="262" customFormat="false" ht="14.25" hidden="false" customHeight="false" outlineLevel="0" collapsed="false">
      <c r="B262" s="17"/>
      <c r="E262" s="24"/>
    </row>
    <row r="263" customFormat="false" ht="14.25" hidden="false" customHeight="false" outlineLevel="0" collapsed="false">
      <c r="B263" s="17"/>
      <c r="E263" s="24"/>
    </row>
    <row r="264" customFormat="false" ht="14.25" hidden="false" customHeight="false" outlineLevel="0" collapsed="false">
      <c r="B264" s="17"/>
      <c r="E264" s="24"/>
    </row>
    <row r="265" customFormat="false" ht="14.25" hidden="false" customHeight="false" outlineLevel="0" collapsed="false">
      <c r="B265" s="17"/>
      <c r="E265" s="24"/>
    </row>
    <row r="266" customFormat="false" ht="14.25" hidden="false" customHeight="false" outlineLevel="0" collapsed="false">
      <c r="B266" s="17"/>
      <c r="E266" s="24"/>
    </row>
    <row r="267" customFormat="false" ht="14.25" hidden="false" customHeight="false" outlineLevel="0" collapsed="false">
      <c r="B267" s="17"/>
      <c r="E267" s="24"/>
    </row>
    <row r="268" customFormat="false" ht="14.25" hidden="false" customHeight="false" outlineLevel="0" collapsed="false">
      <c r="B268" s="17"/>
      <c r="E268" s="24"/>
    </row>
    <row r="269" customFormat="false" ht="14.25" hidden="false" customHeight="false" outlineLevel="0" collapsed="false">
      <c r="B269" s="17"/>
      <c r="E269" s="24"/>
    </row>
    <row r="270" customFormat="false" ht="14.25" hidden="false" customHeight="false" outlineLevel="0" collapsed="false">
      <c r="B270" s="17"/>
      <c r="E270" s="24"/>
    </row>
    <row r="271" customFormat="false" ht="14.25" hidden="false" customHeight="false" outlineLevel="0" collapsed="false">
      <c r="B271" s="17"/>
      <c r="E271" s="24"/>
    </row>
    <row r="272" customFormat="false" ht="14.25" hidden="false" customHeight="false" outlineLevel="0" collapsed="false">
      <c r="B272" s="17"/>
      <c r="E272" s="24"/>
    </row>
    <row r="273" customFormat="false" ht="14.25" hidden="false" customHeight="false" outlineLevel="0" collapsed="false">
      <c r="B273" s="17"/>
      <c r="E273" s="24"/>
    </row>
    <row r="274" customFormat="false" ht="14.25" hidden="false" customHeight="false" outlineLevel="0" collapsed="false">
      <c r="B274" s="17"/>
      <c r="E274" s="24"/>
    </row>
    <row r="275" customFormat="false" ht="14.25" hidden="false" customHeight="false" outlineLevel="0" collapsed="false">
      <c r="B275" s="17"/>
      <c r="E275" s="24"/>
    </row>
    <row r="276" customFormat="false" ht="14.25" hidden="false" customHeight="false" outlineLevel="0" collapsed="false">
      <c r="B276" s="17"/>
      <c r="E276" s="24"/>
    </row>
    <row r="277" customFormat="false" ht="14.25" hidden="false" customHeight="false" outlineLevel="0" collapsed="false">
      <c r="B277" s="17"/>
      <c r="E277" s="24"/>
    </row>
    <row r="278" customFormat="false" ht="14.25" hidden="false" customHeight="false" outlineLevel="0" collapsed="false">
      <c r="B278" s="17"/>
      <c r="E278" s="24"/>
    </row>
    <row r="279" customFormat="false" ht="14.25" hidden="false" customHeight="false" outlineLevel="0" collapsed="false">
      <c r="B279" s="17"/>
      <c r="E279" s="24"/>
    </row>
    <row r="280" customFormat="false" ht="14.25" hidden="false" customHeight="false" outlineLevel="0" collapsed="false">
      <c r="B280" s="17"/>
      <c r="E280" s="24"/>
    </row>
    <row r="281" customFormat="false" ht="14.25" hidden="false" customHeight="false" outlineLevel="0" collapsed="false">
      <c r="B281" s="17"/>
      <c r="E281" s="24"/>
    </row>
    <row r="282" customFormat="false" ht="14.25" hidden="false" customHeight="false" outlineLevel="0" collapsed="false">
      <c r="B282" s="17"/>
      <c r="E282" s="24"/>
    </row>
    <row r="283" customFormat="false" ht="14.25" hidden="false" customHeight="false" outlineLevel="0" collapsed="false">
      <c r="B283" s="17"/>
      <c r="E283" s="24"/>
    </row>
    <row r="284" customFormat="false" ht="14.25" hidden="false" customHeight="false" outlineLevel="0" collapsed="false">
      <c r="B284" s="17"/>
      <c r="E284" s="24"/>
    </row>
    <row r="285" customFormat="false" ht="14.25" hidden="false" customHeight="false" outlineLevel="0" collapsed="false">
      <c r="B285" s="17"/>
      <c r="E285" s="24"/>
    </row>
    <row r="286" customFormat="false" ht="14.25" hidden="false" customHeight="false" outlineLevel="0" collapsed="false">
      <c r="B286" s="17"/>
      <c r="E286" s="24"/>
    </row>
    <row r="287" customFormat="false" ht="14.25" hidden="false" customHeight="false" outlineLevel="0" collapsed="false">
      <c r="B287" s="17"/>
      <c r="E287" s="24"/>
    </row>
    <row r="288" customFormat="false" ht="14.25" hidden="false" customHeight="false" outlineLevel="0" collapsed="false">
      <c r="B288" s="17"/>
      <c r="E288" s="24"/>
    </row>
    <row r="289" customFormat="false" ht="14.25" hidden="false" customHeight="false" outlineLevel="0" collapsed="false">
      <c r="B289" s="17"/>
      <c r="E289" s="24"/>
    </row>
    <row r="290" customFormat="false" ht="14.25" hidden="false" customHeight="false" outlineLevel="0" collapsed="false">
      <c r="B290" s="17"/>
      <c r="E290" s="24"/>
    </row>
    <row r="291" customFormat="false" ht="14.25" hidden="false" customHeight="false" outlineLevel="0" collapsed="false">
      <c r="B291" s="17"/>
      <c r="E291" s="24"/>
    </row>
    <row r="292" customFormat="false" ht="14.25" hidden="false" customHeight="false" outlineLevel="0" collapsed="false">
      <c r="B292" s="17"/>
      <c r="E292" s="24"/>
    </row>
    <row r="293" customFormat="false" ht="14.25" hidden="false" customHeight="false" outlineLevel="0" collapsed="false">
      <c r="B293" s="17"/>
      <c r="E293" s="24"/>
    </row>
    <row r="294" customFormat="false" ht="14.25" hidden="false" customHeight="false" outlineLevel="0" collapsed="false">
      <c r="B294" s="17"/>
      <c r="E294" s="24"/>
    </row>
    <row r="295" customFormat="false" ht="14.25" hidden="false" customHeight="false" outlineLevel="0" collapsed="false">
      <c r="B295" s="17"/>
      <c r="E295" s="24"/>
    </row>
    <row r="296" customFormat="false" ht="14.25" hidden="false" customHeight="false" outlineLevel="0" collapsed="false">
      <c r="B296" s="17"/>
      <c r="E296" s="24"/>
    </row>
    <row r="297" customFormat="false" ht="14.25" hidden="false" customHeight="false" outlineLevel="0" collapsed="false">
      <c r="B297" s="17"/>
      <c r="E297" s="24"/>
    </row>
    <row r="298" customFormat="false" ht="14.25" hidden="false" customHeight="false" outlineLevel="0" collapsed="false">
      <c r="B298" s="17"/>
      <c r="E298" s="24"/>
    </row>
    <row r="299" customFormat="false" ht="14.25" hidden="false" customHeight="false" outlineLevel="0" collapsed="false">
      <c r="B299" s="17"/>
      <c r="E299" s="24"/>
    </row>
    <row r="300" customFormat="false" ht="14.25" hidden="false" customHeight="false" outlineLevel="0" collapsed="false">
      <c r="B300" s="17"/>
      <c r="E300" s="24"/>
    </row>
    <row r="301" customFormat="false" ht="14.25" hidden="false" customHeight="false" outlineLevel="0" collapsed="false">
      <c r="B301" s="17"/>
      <c r="E301" s="24"/>
    </row>
    <row r="302" customFormat="false" ht="14.25" hidden="false" customHeight="false" outlineLevel="0" collapsed="false">
      <c r="B302" s="17"/>
      <c r="E302" s="24"/>
    </row>
    <row r="303" customFormat="false" ht="14.25" hidden="false" customHeight="false" outlineLevel="0" collapsed="false">
      <c r="B303" s="17"/>
      <c r="E303" s="24"/>
    </row>
    <row r="304" customFormat="false" ht="14.25" hidden="false" customHeight="false" outlineLevel="0" collapsed="false">
      <c r="B304" s="17"/>
      <c r="E304" s="24"/>
    </row>
    <row r="305" customFormat="false" ht="14.25" hidden="false" customHeight="false" outlineLevel="0" collapsed="false">
      <c r="B305" s="17"/>
      <c r="E305" s="24"/>
    </row>
    <row r="306" customFormat="false" ht="14.25" hidden="false" customHeight="false" outlineLevel="0" collapsed="false">
      <c r="B306" s="17"/>
      <c r="E306" s="24"/>
    </row>
    <row r="307" customFormat="false" ht="14.25" hidden="false" customHeight="false" outlineLevel="0" collapsed="false">
      <c r="B307" s="17"/>
      <c r="E307" s="24"/>
    </row>
    <row r="308" customFormat="false" ht="14.25" hidden="false" customHeight="false" outlineLevel="0" collapsed="false">
      <c r="B308" s="17"/>
      <c r="E308" s="24"/>
    </row>
    <row r="309" customFormat="false" ht="14.25" hidden="false" customHeight="false" outlineLevel="0" collapsed="false">
      <c r="B309" s="17"/>
      <c r="E309" s="24"/>
    </row>
    <row r="310" customFormat="false" ht="14.25" hidden="false" customHeight="false" outlineLevel="0" collapsed="false">
      <c r="B310" s="17"/>
      <c r="E310" s="24"/>
    </row>
    <row r="311" customFormat="false" ht="14.25" hidden="false" customHeight="false" outlineLevel="0" collapsed="false">
      <c r="B311" s="17"/>
      <c r="E311" s="24"/>
    </row>
    <row r="312" customFormat="false" ht="14.25" hidden="false" customHeight="false" outlineLevel="0" collapsed="false">
      <c r="B312" s="17"/>
      <c r="E312" s="24"/>
    </row>
    <row r="313" customFormat="false" ht="14.25" hidden="false" customHeight="false" outlineLevel="0" collapsed="false">
      <c r="B313" s="17"/>
      <c r="E313" s="24"/>
    </row>
    <row r="314" customFormat="false" ht="14.25" hidden="false" customHeight="false" outlineLevel="0" collapsed="false">
      <c r="B314" s="17"/>
      <c r="E314" s="24"/>
    </row>
    <row r="315" customFormat="false" ht="14.25" hidden="false" customHeight="false" outlineLevel="0" collapsed="false">
      <c r="B315" s="17"/>
      <c r="E315" s="24"/>
    </row>
    <row r="316" customFormat="false" ht="14.25" hidden="false" customHeight="false" outlineLevel="0" collapsed="false">
      <c r="B316" s="17"/>
      <c r="E316" s="24"/>
    </row>
    <row r="317" customFormat="false" ht="14.25" hidden="false" customHeight="false" outlineLevel="0" collapsed="false">
      <c r="B317" s="17"/>
      <c r="E317" s="24"/>
    </row>
    <row r="318" customFormat="false" ht="14.25" hidden="false" customHeight="false" outlineLevel="0" collapsed="false">
      <c r="B318" s="17"/>
      <c r="E318" s="24"/>
    </row>
    <row r="319" customFormat="false" ht="14.25" hidden="false" customHeight="false" outlineLevel="0" collapsed="false">
      <c r="B319" s="17"/>
      <c r="E319" s="24"/>
    </row>
    <row r="320" customFormat="false" ht="14.25" hidden="false" customHeight="false" outlineLevel="0" collapsed="false">
      <c r="B320" s="17"/>
      <c r="E320" s="24"/>
    </row>
    <row r="321" customFormat="false" ht="14.25" hidden="false" customHeight="false" outlineLevel="0" collapsed="false">
      <c r="B321" s="17"/>
      <c r="E321" s="24"/>
    </row>
    <row r="322" customFormat="false" ht="14.25" hidden="false" customHeight="false" outlineLevel="0" collapsed="false">
      <c r="B322" s="17"/>
      <c r="E322" s="24"/>
    </row>
    <row r="323" customFormat="false" ht="14.25" hidden="false" customHeight="false" outlineLevel="0" collapsed="false">
      <c r="B323" s="17"/>
      <c r="E323" s="24"/>
    </row>
    <row r="324" customFormat="false" ht="14.25" hidden="false" customHeight="false" outlineLevel="0" collapsed="false">
      <c r="B324" s="17"/>
      <c r="E324" s="24"/>
    </row>
    <row r="325" customFormat="false" ht="14.25" hidden="false" customHeight="false" outlineLevel="0" collapsed="false">
      <c r="B325" s="17"/>
      <c r="E325" s="24"/>
    </row>
    <row r="326" customFormat="false" ht="14.25" hidden="false" customHeight="false" outlineLevel="0" collapsed="false">
      <c r="B326" s="17"/>
      <c r="E326" s="24"/>
    </row>
    <row r="327" customFormat="false" ht="14.25" hidden="false" customHeight="false" outlineLevel="0" collapsed="false">
      <c r="B327" s="17"/>
      <c r="E327" s="24"/>
    </row>
    <row r="328" customFormat="false" ht="14.25" hidden="false" customHeight="false" outlineLevel="0" collapsed="false">
      <c r="B328" s="17"/>
      <c r="E328" s="24"/>
    </row>
    <row r="329" customFormat="false" ht="14.25" hidden="false" customHeight="false" outlineLevel="0" collapsed="false">
      <c r="B329" s="17"/>
      <c r="E329" s="24"/>
    </row>
    <row r="330" customFormat="false" ht="14.25" hidden="false" customHeight="false" outlineLevel="0" collapsed="false">
      <c r="B330" s="17"/>
      <c r="E330" s="24"/>
    </row>
    <row r="331" customFormat="false" ht="14.25" hidden="false" customHeight="false" outlineLevel="0" collapsed="false">
      <c r="B331" s="17"/>
      <c r="E331" s="24"/>
    </row>
    <row r="332" customFormat="false" ht="14.25" hidden="false" customHeight="false" outlineLevel="0" collapsed="false">
      <c r="B332" s="17"/>
      <c r="E332" s="24"/>
    </row>
    <row r="333" customFormat="false" ht="14.25" hidden="false" customHeight="false" outlineLevel="0" collapsed="false">
      <c r="B333" s="17"/>
      <c r="E333" s="24"/>
    </row>
    <row r="334" customFormat="false" ht="14.25" hidden="false" customHeight="false" outlineLevel="0" collapsed="false">
      <c r="B334" s="17"/>
      <c r="E334" s="24"/>
    </row>
    <row r="335" customFormat="false" ht="14.25" hidden="false" customHeight="false" outlineLevel="0" collapsed="false">
      <c r="B335" s="17"/>
      <c r="E335" s="24"/>
    </row>
    <row r="336" customFormat="false" ht="14.25" hidden="false" customHeight="false" outlineLevel="0" collapsed="false">
      <c r="B336" s="17"/>
      <c r="E336" s="24"/>
    </row>
    <row r="337" customFormat="false" ht="14.25" hidden="false" customHeight="false" outlineLevel="0" collapsed="false">
      <c r="B337" s="17"/>
      <c r="E337" s="24"/>
    </row>
    <row r="338" customFormat="false" ht="14.25" hidden="false" customHeight="false" outlineLevel="0" collapsed="false">
      <c r="B338" s="17"/>
      <c r="E338" s="24"/>
    </row>
    <row r="339" customFormat="false" ht="14.25" hidden="false" customHeight="false" outlineLevel="0" collapsed="false">
      <c r="B339" s="17"/>
      <c r="E339" s="24"/>
    </row>
    <row r="340" customFormat="false" ht="14.25" hidden="false" customHeight="false" outlineLevel="0" collapsed="false">
      <c r="B340" s="17"/>
      <c r="E340" s="24"/>
    </row>
    <row r="341" customFormat="false" ht="14.25" hidden="false" customHeight="false" outlineLevel="0" collapsed="false">
      <c r="B341" s="17"/>
      <c r="E341" s="24"/>
    </row>
    <row r="342" customFormat="false" ht="14.25" hidden="false" customHeight="false" outlineLevel="0" collapsed="false">
      <c r="B342" s="17"/>
      <c r="E342" s="24"/>
    </row>
    <row r="343" customFormat="false" ht="14.25" hidden="false" customHeight="false" outlineLevel="0" collapsed="false">
      <c r="B343" s="17"/>
      <c r="E343" s="24"/>
    </row>
    <row r="344" customFormat="false" ht="14.25" hidden="false" customHeight="false" outlineLevel="0" collapsed="false">
      <c r="B344" s="17"/>
      <c r="E344" s="24"/>
    </row>
    <row r="345" customFormat="false" ht="14.25" hidden="false" customHeight="false" outlineLevel="0" collapsed="false">
      <c r="B345" s="17"/>
      <c r="E345" s="24"/>
    </row>
    <row r="346" customFormat="false" ht="14.25" hidden="false" customHeight="false" outlineLevel="0" collapsed="false">
      <c r="B346" s="17"/>
      <c r="E346" s="24"/>
    </row>
    <row r="347" customFormat="false" ht="14.25" hidden="false" customHeight="false" outlineLevel="0" collapsed="false">
      <c r="B347" s="17"/>
      <c r="E347" s="24"/>
    </row>
    <row r="348" customFormat="false" ht="14.25" hidden="false" customHeight="false" outlineLevel="0" collapsed="false">
      <c r="B348" s="17"/>
      <c r="E348" s="24"/>
    </row>
    <row r="349" customFormat="false" ht="14.25" hidden="false" customHeight="false" outlineLevel="0" collapsed="false">
      <c r="B349" s="17"/>
      <c r="E349" s="24"/>
    </row>
    <row r="350" customFormat="false" ht="14.25" hidden="false" customHeight="false" outlineLevel="0" collapsed="false">
      <c r="B350" s="17"/>
      <c r="E350" s="24"/>
    </row>
    <row r="351" customFormat="false" ht="14.25" hidden="false" customHeight="false" outlineLevel="0" collapsed="false">
      <c r="B351" s="17"/>
      <c r="E351" s="24"/>
    </row>
    <row r="352" customFormat="false" ht="14.25" hidden="false" customHeight="false" outlineLevel="0" collapsed="false">
      <c r="B352" s="17"/>
      <c r="E352" s="24"/>
    </row>
    <row r="353" customFormat="false" ht="14.25" hidden="false" customHeight="false" outlineLevel="0" collapsed="false">
      <c r="B353" s="17"/>
      <c r="E353" s="24"/>
    </row>
    <row r="354" customFormat="false" ht="14.25" hidden="false" customHeight="false" outlineLevel="0" collapsed="false">
      <c r="B354" s="17"/>
      <c r="E354" s="24"/>
    </row>
    <row r="355" customFormat="false" ht="14.25" hidden="false" customHeight="false" outlineLevel="0" collapsed="false">
      <c r="B355" s="17"/>
      <c r="E355" s="24"/>
    </row>
    <row r="356" customFormat="false" ht="14.25" hidden="false" customHeight="false" outlineLevel="0" collapsed="false">
      <c r="B356" s="17"/>
      <c r="E356" s="24"/>
    </row>
    <row r="357" customFormat="false" ht="14.25" hidden="false" customHeight="false" outlineLevel="0" collapsed="false">
      <c r="B357" s="17"/>
      <c r="E357" s="24"/>
    </row>
    <row r="358" customFormat="false" ht="14.25" hidden="false" customHeight="false" outlineLevel="0" collapsed="false">
      <c r="B358" s="17"/>
      <c r="E358" s="24"/>
    </row>
    <row r="359" customFormat="false" ht="14.25" hidden="false" customHeight="false" outlineLevel="0" collapsed="false">
      <c r="B359" s="17"/>
      <c r="E359" s="24"/>
    </row>
    <row r="360" customFormat="false" ht="14.25" hidden="false" customHeight="false" outlineLevel="0" collapsed="false">
      <c r="B360" s="17"/>
      <c r="E360" s="24"/>
    </row>
    <row r="361" customFormat="false" ht="14.25" hidden="false" customHeight="false" outlineLevel="0" collapsed="false">
      <c r="B361" s="17"/>
      <c r="E361" s="24"/>
    </row>
    <row r="362" customFormat="false" ht="14.25" hidden="false" customHeight="false" outlineLevel="0" collapsed="false">
      <c r="B362" s="17"/>
      <c r="E362" s="24"/>
    </row>
    <row r="363" customFormat="false" ht="14.25" hidden="false" customHeight="false" outlineLevel="0" collapsed="false">
      <c r="B363" s="17"/>
      <c r="E363" s="24"/>
    </row>
    <row r="364" customFormat="false" ht="14.25" hidden="false" customHeight="false" outlineLevel="0" collapsed="false">
      <c r="B364" s="17"/>
      <c r="E364" s="24"/>
    </row>
    <row r="365" customFormat="false" ht="14.25" hidden="false" customHeight="false" outlineLevel="0" collapsed="false">
      <c r="B365" s="17"/>
      <c r="E365" s="24"/>
    </row>
    <row r="366" customFormat="false" ht="14.25" hidden="false" customHeight="false" outlineLevel="0" collapsed="false">
      <c r="B366" s="17"/>
      <c r="E366" s="24"/>
    </row>
    <row r="367" customFormat="false" ht="14.25" hidden="false" customHeight="false" outlineLevel="0" collapsed="false">
      <c r="B367" s="17"/>
      <c r="E367" s="24"/>
    </row>
    <row r="368" customFormat="false" ht="14.25" hidden="false" customHeight="false" outlineLevel="0" collapsed="false">
      <c r="B368" s="17"/>
      <c r="E368" s="24"/>
    </row>
    <row r="369" customFormat="false" ht="14.25" hidden="false" customHeight="false" outlineLevel="0" collapsed="false">
      <c r="B369" s="17"/>
      <c r="E369" s="24"/>
    </row>
    <row r="370" customFormat="false" ht="14.25" hidden="false" customHeight="false" outlineLevel="0" collapsed="false">
      <c r="B370" s="17"/>
      <c r="E370" s="24"/>
    </row>
    <row r="371" customFormat="false" ht="14.25" hidden="false" customHeight="false" outlineLevel="0" collapsed="false">
      <c r="B371" s="17"/>
      <c r="E371" s="24"/>
    </row>
    <row r="372" customFormat="false" ht="14.25" hidden="false" customHeight="false" outlineLevel="0" collapsed="false">
      <c r="B372" s="17"/>
      <c r="E372" s="24"/>
    </row>
    <row r="373" customFormat="false" ht="14.25" hidden="false" customHeight="false" outlineLevel="0" collapsed="false">
      <c r="B373" s="17"/>
      <c r="E373" s="24"/>
    </row>
    <row r="374" customFormat="false" ht="14.25" hidden="false" customHeight="false" outlineLevel="0" collapsed="false">
      <c r="B374" s="17"/>
      <c r="E374" s="24"/>
    </row>
    <row r="375" customFormat="false" ht="14.25" hidden="false" customHeight="false" outlineLevel="0" collapsed="false">
      <c r="B375" s="17"/>
      <c r="E375" s="24"/>
    </row>
    <row r="376" customFormat="false" ht="14.25" hidden="false" customHeight="false" outlineLevel="0" collapsed="false">
      <c r="B376" s="17"/>
      <c r="E376" s="24"/>
    </row>
    <row r="377" customFormat="false" ht="14.25" hidden="false" customHeight="false" outlineLevel="0" collapsed="false">
      <c r="B377" s="17"/>
      <c r="E377" s="24"/>
    </row>
    <row r="378" customFormat="false" ht="14.25" hidden="false" customHeight="false" outlineLevel="0" collapsed="false">
      <c r="B378" s="17"/>
      <c r="E378" s="24"/>
    </row>
    <row r="379" customFormat="false" ht="14.25" hidden="false" customHeight="false" outlineLevel="0" collapsed="false">
      <c r="B379" s="17"/>
      <c r="E379" s="24"/>
    </row>
    <row r="380" customFormat="false" ht="14.25" hidden="false" customHeight="false" outlineLevel="0" collapsed="false">
      <c r="B380" s="17"/>
      <c r="E380" s="24"/>
    </row>
    <row r="381" customFormat="false" ht="14.25" hidden="false" customHeight="false" outlineLevel="0" collapsed="false">
      <c r="B381" s="17"/>
      <c r="E381" s="24"/>
    </row>
    <row r="382" customFormat="false" ht="14.25" hidden="false" customHeight="false" outlineLevel="0" collapsed="false">
      <c r="B382" s="17"/>
      <c r="E382" s="24"/>
    </row>
    <row r="383" customFormat="false" ht="14.25" hidden="false" customHeight="false" outlineLevel="0" collapsed="false">
      <c r="B383" s="17"/>
      <c r="E383" s="24"/>
    </row>
    <row r="384" customFormat="false" ht="14.25" hidden="false" customHeight="false" outlineLevel="0" collapsed="false">
      <c r="B384" s="17"/>
      <c r="E384" s="24"/>
    </row>
    <row r="385" customFormat="false" ht="14.25" hidden="false" customHeight="false" outlineLevel="0" collapsed="false">
      <c r="B385" s="17"/>
      <c r="E385" s="24"/>
    </row>
    <row r="386" customFormat="false" ht="14.25" hidden="false" customHeight="false" outlineLevel="0" collapsed="false">
      <c r="B386" s="17"/>
      <c r="E386" s="24"/>
    </row>
    <row r="387" customFormat="false" ht="14.25" hidden="false" customHeight="false" outlineLevel="0" collapsed="false">
      <c r="B387" s="17"/>
      <c r="E387" s="24"/>
    </row>
    <row r="388" customFormat="false" ht="14.25" hidden="false" customHeight="false" outlineLevel="0" collapsed="false">
      <c r="B388" s="17"/>
      <c r="E388" s="24"/>
    </row>
    <row r="389" customFormat="false" ht="14.25" hidden="false" customHeight="false" outlineLevel="0" collapsed="false">
      <c r="B389" s="17"/>
      <c r="E389" s="24"/>
    </row>
    <row r="390" customFormat="false" ht="14.25" hidden="false" customHeight="false" outlineLevel="0" collapsed="false">
      <c r="B390" s="17"/>
      <c r="E390" s="24"/>
    </row>
    <row r="391" customFormat="false" ht="14.25" hidden="false" customHeight="false" outlineLevel="0" collapsed="false">
      <c r="B391" s="17"/>
      <c r="E391" s="24"/>
    </row>
    <row r="392" customFormat="false" ht="14.25" hidden="false" customHeight="false" outlineLevel="0" collapsed="false">
      <c r="B392" s="17"/>
      <c r="E392" s="24"/>
    </row>
    <row r="393" customFormat="false" ht="14.25" hidden="false" customHeight="false" outlineLevel="0" collapsed="false">
      <c r="B393" s="17"/>
      <c r="E393" s="24"/>
    </row>
    <row r="394" customFormat="false" ht="14.25" hidden="false" customHeight="false" outlineLevel="0" collapsed="false">
      <c r="B394" s="17"/>
      <c r="E394" s="24"/>
    </row>
    <row r="395" customFormat="false" ht="14.25" hidden="false" customHeight="false" outlineLevel="0" collapsed="false">
      <c r="B395" s="17"/>
      <c r="E395" s="24"/>
    </row>
    <row r="396" customFormat="false" ht="14.25" hidden="false" customHeight="false" outlineLevel="0" collapsed="false">
      <c r="B396" s="17"/>
      <c r="E396" s="24"/>
    </row>
    <row r="397" customFormat="false" ht="14.25" hidden="false" customHeight="false" outlineLevel="0" collapsed="false">
      <c r="B397" s="17"/>
      <c r="E397" s="24"/>
    </row>
    <row r="398" customFormat="false" ht="14.25" hidden="false" customHeight="false" outlineLevel="0" collapsed="false">
      <c r="B398" s="17"/>
      <c r="E398" s="24"/>
    </row>
    <row r="399" customFormat="false" ht="14.25" hidden="false" customHeight="false" outlineLevel="0" collapsed="false">
      <c r="B399" s="17"/>
      <c r="E399" s="24"/>
    </row>
    <row r="400" customFormat="false" ht="14.25" hidden="false" customHeight="false" outlineLevel="0" collapsed="false">
      <c r="B400" s="17"/>
      <c r="E400" s="24"/>
    </row>
    <row r="401" customFormat="false" ht="14.25" hidden="false" customHeight="false" outlineLevel="0" collapsed="false">
      <c r="B401" s="17"/>
      <c r="E401" s="24"/>
    </row>
    <row r="402" customFormat="false" ht="14.25" hidden="false" customHeight="false" outlineLevel="0" collapsed="false">
      <c r="B402" s="17"/>
      <c r="E402" s="24"/>
    </row>
    <row r="403" customFormat="false" ht="14.25" hidden="false" customHeight="false" outlineLevel="0" collapsed="false">
      <c r="B403" s="17"/>
      <c r="E403" s="24"/>
    </row>
    <row r="404" customFormat="false" ht="14.25" hidden="false" customHeight="false" outlineLevel="0" collapsed="false">
      <c r="B404" s="17"/>
      <c r="E404" s="24"/>
    </row>
    <row r="405" customFormat="false" ht="14.25" hidden="false" customHeight="false" outlineLevel="0" collapsed="false">
      <c r="B405" s="17"/>
      <c r="E405" s="24"/>
    </row>
    <row r="406" customFormat="false" ht="14.25" hidden="false" customHeight="false" outlineLevel="0" collapsed="false">
      <c r="B406" s="17"/>
      <c r="E406" s="24"/>
    </row>
    <row r="407" customFormat="false" ht="14.25" hidden="false" customHeight="false" outlineLevel="0" collapsed="false">
      <c r="B407" s="17"/>
      <c r="E407" s="24"/>
    </row>
    <row r="408" customFormat="false" ht="14.25" hidden="false" customHeight="false" outlineLevel="0" collapsed="false">
      <c r="B408" s="17"/>
      <c r="E408" s="24"/>
    </row>
    <row r="409" customFormat="false" ht="14.25" hidden="false" customHeight="false" outlineLevel="0" collapsed="false">
      <c r="B409" s="17"/>
      <c r="E409" s="24"/>
    </row>
    <row r="410" customFormat="false" ht="14.25" hidden="false" customHeight="false" outlineLevel="0" collapsed="false">
      <c r="B410" s="17"/>
      <c r="E410" s="24"/>
    </row>
    <row r="411" customFormat="false" ht="14.25" hidden="false" customHeight="false" outlineLevel="0" collapsed="false">
      <c r="B411" s="17"/>
      <c r="E411" s="24"/>
    </row>
    <row r="412" customFormat="false" ht="14.25" hidden="false" customHeight="false" outlineLevel="0" collapsed="false">
      <c r="B412" s="17"/>
      <c r="E412" s="24"/>
    </row>
    <row r="413" customFormat="false" ht="14.25" hidden="false" customHeight="false" outlineLevel="0" collapsed="false">
      <c r="B413" s="17"/>
      <c r="E413" s="24"/>
    </row>
    <row r="414" customFormat="false" ht="14.25" hidden="false" customHeight="false" outlineLevel="0" collapsed="false">
      <c r="B414" s="17"/>
      <c r="E414" s="24"/>
    </row>
    <row r="415" customFormat="false" ht="14.25" hidden="false" customHeight="false" outlineLevel="0" collapsed="false">
      <c r="B415" s="17"/>
      <c r="E415" s="24"/>
    </row>
    <row r="416" customFormat="false" ht="14.25" hidden="false" customHeight="false" outlineLevel="0" collapsed="false">
      <c r="B416" s="17"/>
      <c r="E416" s="24"/>
    </row>
    <row r="417" customFormat="false" ht="14.25" hidden="false" customHeight="false" outlineLevel="0" collapsed="false">
      <c r="B417" s="17"/>
      <c r="E417" s="24"/>
    </row>
    <row r="418" customFormat="false" ht="14.25" hidden="false" customHeight="false" outlineLevel="0" collapsed="false">
      <c r="B418" s="17"/>
      <c r="E418" s="24"/>
    </row>
    <row r="419" customFormat="false" ht="14.25" hidden="false" customHeight="false" outlineLevel="0" collapsed="false">
      <c r="B419" s="17"/>
      <c r="E419" s="24"/>
    </row>
    <row r="420" customFormat="false" ht="14.25" hidden="false" customHeight="false" outlineLevel="0" collapsed="false">
      <c r="B420" s="17"/>
      <c r="E420" s="24"/>
    </row>
    <row r="421" customFormat="false" ht="14.25" hidden="false" customHeight="false" outlineLevel="0" collapsed="false">
      <c r="B421" s="17"/>
      <c r="E421" s="24"/>
    </row>
    <row r="422" customFormat="false" ht="14.25" hidden="false" customHeight="false" outlineLevel="0" collapsed="false">
      <c r="B422" s="17"/>
      <c r="E422" s="24"/>
    </row>
    <row r="423" customFormat="false" ht="14.25" hidden="false" customHeight="false" outlineLevel="0" collapsed="false">
      <c r="B423" s="17"/>
      <c r="E423" s="24"/>
    </row>
    <row r="424" customFormat="false" ht="14.25" hidden="false" customHeight="false" outlineLevel="0" collapsed="false">
      <c r="B424" s="17"/>
      <c r="E424" s="24"/>
    </row>
    <row r="425" customFormat="false" ht="14.25" hidden="false" customHeight="false" outlineLevel="0" collapsed="false">
      <c r="B425" s="17"/>
      <c r="E425" s="24"/>
    </row>
    <row r="426" customFormat="false" ht="14.25" hidden="false" customHeight="false" outlineLevel="0" collapsed="false">
      <c r="B426" s="17"/>
      <c r="E426" s="24"/>
    </row>
    <row r="427" customFormat="false" ht="14.25" hidden="false" customHeight="false" outlineLevel="0" collapsed="false">
      <c r="B427" s="17"/>
      <c r="E427" s="24"/>
    </row>
    <row r="428" customFormat="false" ht="14.25" hidden="false" customHeight="false" outlineLevel="0" collapsed="false">
      <c r="B428" s="17"/>
      <c r="E428" s="24"/>
    </row>
    <row r="429" customFormat="false" ht="14.25" hidden="false" customHeight="false" outlineLevel="0" collapsed="false">
      <c r="B429" s="17"/>
      <c r="E429" s="24"/>
    </row>
    <row r="430" customFormat="false" ht="14.25" hidden="false" customHeight="false" outlineLevel="0" collapsed="false">
      <c r="B430" s="17"/>
      <c r="E430" s="24"/>
    </row>
    <row r="431" customFormat="false" ht="14.25" hidden="false" customHeight="false" outlineLevel="0" collapsed="false">
      <c r="B431" s="17"/>
      <c r="E431" s="24"/>
    </row>
    <row r="432" customFormat="false" ht="14.25" hidden="false" customHeight="false" outlineLevel="0" collapsed="false">
      <c r="B432" s="17"/>
      <c r="E432" s="24"/>
    </row>
    <row r="433" customFormat="false" ht="14.25" hidden="false" customHeight="false" outlineLevel="0" collapsed="false">
      <c r="B433" s="17"/>
      <c r="E433" s="24"/>
    </row>
    <row r="434" customFormat="false" ht="14.25" hidden="false" customHeight="false" outlineLevel="0" collapsed="false">
      <c r="B434" s="17"/>
      <c r="E434" s="24"/>
    </row>
    <row r="435" customFormat="false" ht="14.25" hidden="false" customHeight="false" outlineLevel="0" collapsed="false">
      <c r="B435" s="17"/>
      <c r="E435" s="24"/>
    </row>
    <row r="436" customFormat="false" ht="14.25" hidden="false" customHeight="false" outlineLevel="0" collapsed="false">
      <c r="B436" s="17"/>
      <c r="E436" s="24"/>
    </row>
    <row r="437" customFormat="false" ht="14.25" hidden="false" customHeight="false" outlineLevel="0" collapsed="false">
      <c r="B437" s="17"/>
      <c r="E437" s="24"/>
    </row>
    <row r="438" customFormat="false" ht="14.25" hidden="false" customHeight="false" outlineLevel="0" collapsed="false">
      <c r="B438" s="17"/>
      <c r="E438" s="24"/>
    </row>
    <row r="439" customFormat="false" ht="14.25" hidden="false" customHeight="false" outlineLevel="0" collapsed="false">
      <c r="B439" s="17"/>
      <c r="E439" s="24"/>
    </row>
    <row r="440" customFormat="false" ht="14.25" hidden="false" customHeight="false" outlineLevel="0" collapsed="false">
      <c r="B440" s="17"/>
      <c r="E440" s="24"/>
    </row>
    <row r="441" customFormat="false" ht="14.25" hidden="false" customHeight="false" outlineLevel="0" collapsed="false">
      <c r="B441" s="17"/>
      <c r="E441" s="24"/>
    </row>
    <row r="442" customFormat="false" ht="14.25" hidden="false" customHeight="false" outlineLevel="0" collapsed="false">
      <c r="B442" s="17"/>
      <c r="E442" s="24"/>
    </row>
    <row r="443" customFormat="false" ht="14.25" hidden="false" customHeight="false" outlineLevel="0" collapsed="false">
      <c r="B443" s="17"/>
      <c r="E443" s="24"/>
    </row>
    <row r="444" customFormat="false" ht="14.25" hidden="false" customHeight="false" outlineLevel="0" collapsed="false">
      <c r="B444" s="17"/>
      <c r="E444" s="24"/>
    </row>
    <row r="445" customFormat="false" ht="14.25" hidden="false" customHeight="false" outlineLevel="0" collapsed="false">
      <c r="B445" s="17"/>
      <c r="E445" s="24"/>
    </row>
    <row r="446" customFormat="false" ht="14.25" hidden="false" customHeight="false" outlineLevel="0" collapsed="false">
      <c r="B446" s="17"/>
      <c r="E446" s="24"/>
    </row>
    <row r="447" customFormat="false" ht="14.25" hidden="false" customHeight="false" outlineLevel="0" collapsed="false">
      <c r="B447" s="17"/>
      <c r="E447" s="24"/>
    </row>
    <row r="448" customFormat="false" ht="14.25" hidden="false" customHeight="false" outlineLevel="0" collapsed="false">
      <c r="B448" s="17"/>
      <c r="E448" s="24"/>
    </row>
    <row r="449" customFormat="false" ht="14.25" hidden="false" customHeight="false" outlineLevel="0" collapsed="false">
      <c r="B449" s="17"/>
      <c r="E449" s="24"/>
    </row>
    <row r="450" customFormat="false" ht="14.25" hidden="false" customHeight="false" outlineLevel="0" collapsed="false">
      <c r="B450" s="17"/>
      <c r="E450" s="24"/>
    </row>
    <row r="451" customFormat="false" ht="14.25" hidden="false" customHeight="false" outlineLevel="0" collapsed="false">
      <c r="B451" s="17"/>
      <c r="E451" s="24"/>
    </row>
    <row r="452" customFormat="false" ht="14.25" hidden="false" customHeight="false" outlineLevel="0" collapsed="false">
      <c r="B452" s="17"/>
      <c r="E452" s="24"/>
    </row>
    <row r="453" customFormat="false" ht="14.25" hidden="false" customHeight="false" outlineLevel="0" collapsed="false">
      <c r="B453" s="17"/>
      <c r="E453" s="24"/>
    </row>
    <row r="454" customFormat="false" ht="14.25" hidden="false" customHeight="false" outlineLevel="0" collapsed="false">
      <c r="B454" s="17"/>
      <c r="E454" s="24"/>
    </row>
    <row r="455" customFormat="false" ht="14.25" hidden="false" customHeight="false" outlineLevel="0" collapsed="false">
      <c r="B455" s="17"/>
      <c r="E455" s="24"/>
    </row>
    <row r="456" customFormat="false" ht="14.25" hidden="false" customHeight="false" outlineLevel="0" collapsed="false">
      <c r="B456" s="17"/>
      <c r="E456" s="24"/>
    </row>
    <row r="457" customFormat="false" ht="14.25" hidden="false" customHeight="false" outlineLevel="0" collapsed="false">
      <c r="B457" s="17"/>
      <c r="E457" s="24"/>
    </row>
    <row r="458" customFormat="false" ht="14.25" hidden="false" customHeight="false" outlineLevel="0" collapsed="false">
      <c r="B458" s="17"/>
      <c r="E458" s="24"/>
    </row>
    <row r="459" customFormat="false" ht="14.25" hidden="false" customHeight="false" outlineLevel="0" collapsed="false">
      <c r="B459" s="17"/>
      <c r="E459" s="24"/>
    </row>
    <row r="460" customFormat="false" ht="14.25" hidden="false" customHeight="false" outlineLevel="0" collapsed="false">
      <c r="B460" s="17"/>
      <c r="E460" s="24"/>
    </row>
    <row r="461" customFormat="false" ht="14.25" hidden="false" customHeight="false" outlineLevel="0" collapsed="false">
      <c r="B461" s="17"/>
      <c r="E461" s="24"/>
    </row>
    <row r="462" customFormat="false" ht="14.25" hidden="false" customHeight="false" outlineLevel="0" collapsed="false">
      <c r="B462" s="17"/>
      <c r="E462" s="24"/>
    </row>
    <row r="463" customFormat="false" ht="14.25" hidden="false" customHeight="false" outlineLevel="0" collapsed="false">
      <c r="B463" s="17"/>
      <c r="E463" s="24"/>
    </row>
    <row r="464" customFormat="false" ht="14.25" hidden="false" customHeight="false" outlineLevel="0" collapsed="false">
      <c r="B464" s="17"/>
      <c r="E464" s="24"/>
    </row>
    <row r="465" customFormat="false" ht="14.25" hidden="false" customHeight="false" outlineLevel="0" collapsed="false">
      <c r="B465" s="17"/>
      <c r="E465" s="24"/>
    </row>
    <row r="466" customFormat="false" ht="14.25" hidden="false" customHeight="false" outlineLevel="0" collapsed="false">
      <c r="B466" s="17"/>
      <c r="E466" s="24"/>
    </row>
    <row r="467" customFormat="false" ht="14.25" hidden="false" customHeight="false" outlineLevel="0" collapsed="false">
      <c r="B467" s="17"/>
      <c r="E467" s="24"/>
    </row>
    <row r="468" customFormat="false" ht="14.25" hidden="false" customHeight="false" outlineLevel="0" collapsed="false">
      <c r="B468" s="17"/>
      <c r="E468" s="24"/>
    </row>
    <row r="469" customFormat="false" ht="14.25" hidden="false" customHeight="false" outlineLevel="0" collapsed="false">
      <c r="B469" s="17"/>
      <c r="E469" s="24"/>
    </row>
    <row r="470" customFormat="false" ht="14.25" hidden="false" customHeight="false" outlineLevel="0" collapsed="false">
      <c r="B470" s="17"/>
      <c r="E470" s="24"/>
    </row>
    <row r="471" customFormat="false" ht="14.25" hidden="false" customHeight="false" outlineLevel="0" collapsed="false">
      <c r="B471" s="17"/>
      <c r="E471" s="24"/>
    </row>
    <row r="472" customFormat="false" ht="14.25" hidden="false" customHeight="false" outlineLevel="0" collapsed="false">
      <c r="B472" s="17"/>
      <c r="E472" s="24"/>
    </row>
    <row r="473" customFormat="false" ht="14.25" hidden="false" customHeight="false" outlineLevel="0" collapsed="false">
      <c r="B473" s="17"/>
      <c r="E473" s="24"/>
    </row>
    <row r="474" customFormat="false" ht="14.25" hidden="false" customHeight="false" outlineLevel="0" collapsed="false">
      <c r="B474" s="17"/>
      <c r="E474" s="24"/>
    </row>
    <row r="475" customFormat="false" ht="14.25" hidden="false" customHeight="false" outlineLevel="0" collapsed="false">
      <c r="B475" s="17"/>
      <c r="E475" s="24"/>
    </row>
    <row r="476" customFormat="false" ht="14.25" hidden="false" customHeight="false" outlineLevel="0" collapsed="false">
      <c r="B476" s="17"/>
      <c r="E476" s="24"/>
    </row>
    <row r="477" customFormat="false" ht="14.25" hidden="false" customHeight="false" outlineLevel="0" collapsed="false">
      <c r="B477" s="17"/>
      <c r="E477" s="24"/>
    </row>
    <row r="478" customFormat="false" ht="14.25" hidden="false" customHeight="false" outlineLevel="0" collapsed="false">
      <c r="B478" s="17"/>
      <c r="E478" s="24"/>
    </row>
    <row r="479" customFormat="false" ht="14.25" hidden="false" customHeight="false" outlineLevel="0" collapsed="false">
      <c r="B479" s="17"/>
      <c r="E479" s="24"/>
    </row>
    <row r="480" customFormat="false" ht="14.25" hidden="false" customHeight="false" outlineLevel="0" collapsed="false">
      <c r="B480" s="17"/>
      <c r="E480" s="24"/>
    </row>
    <row r="481" customFormat="false" ht="14.25" hidden="false" customHeight="false" outlineLevel="0" collapsed="false">
      <c r="B481" s="17"/>
      <c r="E481" s="24"/>
    </row>
    <row r="482" customFormat="false" ht="14.25" hidden="false" customHeight="false" outlineLevel="0" collapsed="false">
      <c r="B482" s="17"/>
      <c r="E482" s="24"/>
    </row>
    <row r="483" customFormat="false" ht="14.25" hidden="false" customHeight="false" outlineLevel="0" collapsed="false">
      <c r="B483" s="17"/>
      <c r="E483" s="24"/>
    </row>
    <row r="484" customFormat="false" ht="14.25" hidden="false" customHeight="false" outlineLevel="0" collapsed="false">
      <c r="B484" s="17"/>
      <c r="E484" s="24"/>
    </row>
  </sheetData>
  <mergeCells count="1">
    <mergeCell ref="A9:A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ColWidth="10.6796875" defaultRowHeight="12.8" zeroHeight="false" outlineLevelRow="0" outlineLevelCol="0"/>
  <cols>
    <col collapsed="false" customWidth="true" hidden="false" outlineLevel="0" max="1" min="1" style="1" width="5.33"/>
    <col collapsed="false" customWidth="true" hidden="false" outlineLevel="0" max="2" min="2" style="1" width="7.33"/>
    <col collapsed="false" customWidth="true" hidden="false" outlineLevel="0" max="3" min="3" style="1" width="10.44"/>
    <col collapsed="false" customWidth="true" hidden="false" outlineLevel="0" max="4" min="4" style="1" width="8.44"/>
    <col collapsed="false" customWidth="true" hidden="false" outlineLevel="0" max="5" min="5" style="1" width="13.67"/>
    <col collapsed="false" customWidth="true" hidden="false" outlineLevel="0" max="7" min="7" style="1" width="5.33"/>
    <col collapsed="false" customWidth="true" hidden="false" outlineLevel="0" max="8" min="8" style="1" width="7.33"/>
    <col collapsed="false" customWidth="true" hidden="false" outlineLevel="0" max="9" min="9" style="1" width="10.44"/>
    <col collapsed="false" customWidth="true" hidden="false" outlineLevel="0" max="10" min="10" style="1" width="8.44"/>
    <col collapsed="false" customWidth="true" hidden="false" outlineLevel="0" max="11" min="11" style="1" width="13.67"/>
  </cols>
  <sheetData>
    <row r="1" customFormat="false" ht="19.4" hidden="false" customHeight="false" outlineLevel="0" collapsed="false">
      <c r="A1" s="47" t="s">
        <v>66</v>
      </c>
      <c r="B1" s="47" t="s">
        <v>67</v>
      </c>
      <c r="C1" s="47" t="s">
        <v>68</v>
      </c>
      <c r="D1" s="47" t="s">
        <v>69</v>
      </c>
      <c r="E1" s="48"/>
      <c r="G1" s="47" t="s">
        <v>66</v>
      </c>
      <c r="H1" s="47" t="s">
        <v>67</v>
      </c>
      <c r="I1" s="47" t="s">
        <v>68</v>
      </c>
      <c r="J1" s="47" t="s">
        <v>69</v>
      </c>
      <c r="K1" s="48"/>
    </row>
    <row r="2" customFormat="false" ht="13.8" hidden="false" customHeight="false" outlineLevel="0" collapsed="false">
      <c r="A2" s="49" t="s">
        <v>70</v>
      </c>
      <c r="B2" s="50" t="n">
        <v>1</v>
      </c>
      <c r="C2" s="50" t="n">
        <v>180060</v>
      </c>
      <c r="D2" s="48" t="n">
        <v>88675</v>
      </c>
      <c r="E2" s="48"/>
      <c r="G2" s="49" t="s">
        <v>70</v>
      </c>
      <c r="H2" s="50" t="n">
        <v>11</v>
      </c>
      <c r="I2" s="50" t="n">
        <v>200952</v>
      </c>
      <c r="J2" s="48" t="n">
        <v>88167</v>
      </c>
      <c r="K2" s="48"/>
    </row>
    <row r="3" customFormat="false" ht="13.8" hidden="false" customHeight="false" outlineLevel="0" collapsed="false">
      <c r="A3" s="49" t="s">
        <v>70</v>
      </c>
      <c r="B3" s="50" t="n">
        <v>2</v>
      </c>
      <c r="C3" s="50" t="n">
        <v>180063</v>
      </c>
      <c r="D3" s="48" t="n">
        <v>89202</v>
      </c>
      <c r="E3" s="51" t="s">
        <v>71</v>
      </c>
      <c r="G3" s="49" t="s">
        <v>70</v>
      </c>
      <c r="H3" s="50" t="n">
        <v>10</v>
      </c>
      <c r="I3" s="50" t="n">
        <v>190087</v>
      </c>
      <c r="J3" s="48" t="n">
        <v>88241</v>
      </c>
      <c r="K3" s="48"/>
    </row>
    <row r="4" customFormat="false" ht="13.8" hidden="false" customHeight="false" outlineLevel="0" collapsed="false">
      <c r="A4" s="49" t="s">
        <v>70</v>
      </c>
      <c r="B4" s="50" t="n">
        <v>3</v>
      </c>
      <c r="C4" s="50" t="n">
        <v>180085</v>
      </c>
      <c r="D4" s="48" t="n">
        <v>88898</v>
      </c>
      <c r="E4" s="48"/>
      <c r="G4" s="49" t="s">
        <v>70</v>
      </c>
      <c r="H4" s="50" t="n">
        <v>46</v>
      </c>
      <c r="I4" s="50" t="n">
        <v>230120</v>
      </c>
      <c r="J4" s="48" t="n">
        <v>88249</v>
      </c>
      <c r="K4" s="48"/>
    </row>
    <row r="5" customFormat="false" ht="13.8" hidden="false" customHeight="false" outlineLevel="0" collapsed="false">
      <c r="A5" s="49" t="s">
        <v>70</v>
      </c>
      <c r="B5" s="50" t="n">
        <v>4</v>
      </c>
      <c r="C5" s="50" t="n">
        <v>180103</v>
      </c>
      <c r="D5" s="48" t="n">
        <v>88308</v>
      </c>
      <c r="E5" s="48"/>
      <c r="G5" s="49" t="s">
        <v>70</v>
      </c>
      <c r="H5" s="50" t="n">
        <v>40</v>
      </c>
      <c r="I5" s="50" t="n">
        <v>220244</v>
      </c>
      <c r="J5" s="48" t="n">
        <v>88284</v>
      </c>
      <c r="K5" s="48" t="s">
        <v>72</v>
      </c>
    </row>
    <row r="6" customFormat="false" ht="13.8" hidden="false" customHeight="false" outlineLevel="0" collapsed="false">
      <c r="A6" s="49" t="s">
        <v>70</v>
      </c>
      <c r="B6" s="50" t="n">
        <v>5</v>
      </c>
      <c r="C6" s="50" t="n">
        <v>180120</v>
      </c>
      <c r="D6" s="48" t="n">
        <v>89142</v>
      </c>
      <c r="E6" s="48"/>
      <c r="G6" s="49" t="s">
        <v>70</v>
      </c>
      <c r="H6" s="50" t="n">
        <v>52</v>
      </c>
      <c r="I6" s="50" t="n">
        <v>230138</v>
      </c>
      <c r="J6" s="48" t="n">
        <v>88303</v>
      </c>
      <c r="K6" s="48" t="s">
        <v>72</v>
      </c>
    </row>
    <row r="7" customFormat="false" ht="13.8" hidden="false" customHeight="false" outlineLevel="0" collapsed="false">
      <c r="A7" s="49" t="s">
        <v>70</v>
      </c>
      <c r="B7" s="50" t="n">
        <v>6</v>
      </c>
      <c r="C7" s="50" t="n">
        <v>190055</v>
      </c>
      <c r="D7" s="48" t="n">
        <v>89192</v>
      </c>
      <c r="E7" s="48"/>
      <c r="G7" s="49" t="s">
        <v>70</v>
      </c>
      <c r="H7" s="50" t="n">
        <v>4</v>
      </c>
      <c r="I7" s="50" t="n">
        <v>180103</v>
      </c>
      <c r="J7" s="48" t="n">
        <v>88308</v>
      </c>
      <c r="K7" s="48"/>
    </row>
    <row r="8" customFormat="false" ht="13.8" hidden="false" customHeight="false" outlineLevel="0" collapsed="false">
      <c r="A8" s="49" t="s">
        <v>70</v>
      </c>
      <c r="B8" s="50" t="n">
        <v>7</v>
      </c>
      <c r="C8" s="50" t="n">
        <v>190062</v>
      </c>
      <c r="D8" s="48" t="n">
        <v>88794</v>
      </c>
      <c r="E8" s="48"/>
      <c r="G8" s="49" t="s">
        <v>70</v>
      </c>
      <c r="H8" s="50" t="n">
        <v>22</v>
      </c>
      <c r="I8" s="50" t="n">
        <v>220201</v>
      </c>
      <c r="J8" s="48" t="n">
        <v>88320</v>
      </c>
      <c r="K8" s="48" t="s">
        <v>72</v>
      </c>
    </row>
    <row r="9" customFormat="false" ht="13.8" hidden="false" customHeight="false" outlineLevel="0" collapsed="false">
      <c r="A9" s="49" t="s">
        <v>70</v>
      </c>
      <c r="B9" s="50" t="n">
        <v>8</v>
      </c>
      <c r="C9" s="50" t="n">
        <v>190077</v>
      </c>
      <c r="D9" s="48" t="n">
        <v>88596</v>
      </c>
      <c r="E9" s="48"/>
      <c r="G9" s="49" t="s">
        <v>70</v>
      </c>
      <c r="H9" s="50" t="n">
        <v>9</v>
      </c>
      <c r="I9" s="50" t="n">
        <v>190085</v>
      </c>
      <c r="J9" s="48" t="n">
        <v>88471</v>
      </c>
      <c r="K9" s="48"/>
    </row>
    <row r="10" customFormat="false" ht="13.8" hidden="false" customHeight="false" outlineLevel="0" collapsed="false">
      <c r="A10" s="49" t="s">
        <v>70</v>
      </c>
      <c r="B10" s="50" t="n">
        <v>9</v>
      </c>
      <c r="C10" s="50" t="n">
        <v>190085</v>
      </c>
      <c r="D10" s="48" t="n">
        <v>88471</v>
      </c>
      <c r="E10" s="48"/>
      <c r="G10" s="49" t="s">
        <v>70</v>
      </c>
      <c r="H10" s="50" t="n">
        <v>21</v>
      </c>
      <c r="I10" s="50" t="n">
        <v>210284</v>
      </c>
      <c r="J10" s="48" t="n">
        <v>88557</v>
      </c>
      <c r="K10" s="48" t="s">
        <v>72</v>
      </c>
    </row>
    <row r="11" customFormat="false" ht="13.8" hidden="false" customHeight="false" outlineLevel="0" collapsed="false">
      <c r="A11" s="49" t="s">
        <v>70</v>
      </c>
      <c r="B11" s="50" t="n">
        <v>10</v>
      </c>
      <c r="C11" s="50" t="n">
        <v>190087</v>
      </c>
      <c r="D11" s="48" t="n">
        <v>88241</v>
      </c>
      <c r="E11" s="48"/>
      <c r="G11" s="49" t="s">
        <v>70</v>
      </c>
      <c r="H11" s="50" t="n">
        <v>33</v>
      </c>
      <c r="I11" s="50" t="n">
        <v>220229</v>
      </c>
      <c r="J11" s="48" t="n">
        <v>88592</v>
      </c>
      <c r="K11" s="48" t="s">
        <v>72</v>
      </c>
    </row>
    <row r="12" customFormat="false" ht="13.8" hidden="false" customHeight="false" outlineLevel="0" collapsed="false">
      <c r="A12" s="49" t="s">
        <v>70</v>
      </c>
      <c r="B12" s="50" t="n">
        <v>11</v>
      </c>
      <c r="C12" s="50" t="n">
        <v>200952</v>
      </c>
      <c r="D12" s="48" t="n">
        <v>88167</v>
      </c>
      <c r="E12" s="48"/>
      <c r="G12" s="49" t="s">
        <v>70</v>
      </c>
      <c r="H12" s="50" t="n">
        <v>8</v>
      </c>
      <c r="I12" s="50" t="n">
        <v>190077</v>
      </c>
      <c r="J12" s="48" t="n">
        <v>88596</v>
      </c>
      <c r="K12" s="48" t="s">
        <v>72</v>
      </c>
    </row>
    <row r="13" customFormat="false" ht="13.8" hidden="false" customHeight="false" outlineLevel="0" collapsed="false">
      <c r="A13" s="49" t="s">
        <v>70</v>
      </c>
      <c r="B13" s="50" t="n">
        <v>12</v>
      </c>
      <c r="C13" s="50" t="n">
        <v>200967</v>
      </c>
      <c r="D13" s="48" t="n">
        <v>89320</v>
      </c>
      <c r="E13" s="48"/>
      <c r="G13" s="49" t="s">
        <v>70</v>
      </c>
      <c r="H13" s="50" t="n">
        <v>1</v>
      </c>
      <c r="I13" s="50" t="n">
        <v>180060</v>
      </c>
      <c r="J13" s="48" t="n">
        <v>88675</v>
      </c>
      <c r="K13" s="48"/>
    </row>
    <row r="14" customFormat="false" ht="13.8" hidden="false" customHeight="false" outlineLevel="0" collapsed="false">
      <c r="A14" s="49" t="s">
        <v>70</v>
      </c>
      <c r="B14" s="50" t="n">
        <v>13</v>
      </c>
      <c r="C14" s="50" t="n">
        <v>200970</v>
      </c>
      <c r="D14" s="48" t="n">
        <v>89230</v>
      </c>
      <c r="E14" s="48"/>
      <c r="G14" s="49" t="s">
        <v>70</v>
      </c>
      <c r="H14" s="50" t="n">
        <v>27</v>
      </c>
      <c r="I14" s="50" t="n">
        <v>220214</v>
      </c>
      <c r="J14" s="48" t="n">
        <v>88685</v>
      </c>
      <c r="K14" s="48"/>
    </row>
    <row r="15" customFormat="false" ht="13.8" hidden="false" customHeight="false" outlineLevel="0" collapsed="false">
      <c r="A15" s="49" t="s">
        <v>70</v>
      </c>
      <c r="B15" s="50" t="n">
        <v>14</v>
      </c>
      <c r="C15" s="50" t="n">
        <v>200983</v>
      </c>
      <c r="D15" s="48" t="n">
        <v>89067</v>
      </c>
      <c r="E15" s="48"/>
      <c r="G15" s="49" t="s">
        <v>70</v>
      </c>
      <c r="H15" s="50" t="n">
        <v>50</v>
      </c>
      <c r="I15" s="50" t="n">
        <v>230134</v>
      </c>
      <c r="J15" s="48" t="n">
        <v>88730</v>
      </c>
      <c r="K15" s="48" t="s">
        <v>72</v>
      </c>
    </row>
    <row r="16" customFormat="false" ht="13.8" hidden="false" customHeight="false" outlineLevel="0" collapsed="false">
      <c r="A16" s="49" t="s">
        <v>70</v>
      </c>
      <c r="B16" s="50" t="n">
        <v>15</v>
      </c>
      <c r="C16" s="50" t="n">
        <v>210257</v>
      </c>
      <c r="D16" s="48" t="n">
        <v>89800</v>
      </c>
      <c r="E16" s="48"/>
      <c r="G16" s="49" t="s">
        <v>70</v>
      </c>
      <c r="H16" s="50" t="n">
        <v>35</v>
      </c>
      <c r="I16" s="50" t="n">
        <v>220234</v>
      </c>
      <c r="J16" s="48" t="n">
        <v>88767</v>
      </c>
      <c r="K16" s="48" t="s">
        <v>72</v>
      </c>
    </row>
    <row r="17" customFormat="false" ht="13.8" hidden="false" customHeight="false" outlineLevel="0" collapsed="false">
      <c r="A17" s="49" t="s">
        <v>70</v>
      </c>
      <c r="B17" s="50" t="n">
        <v>16</v>
      </c>
      <c r="C17" s="50" t="n">
        <v>210260</v>
      </c>
      <c r="D17" s="48" t="n">
        <v>89787</v>
      </c>
      <c r="E17" s="48"/>
      <c r="G17" s="49" t="s">
        <v>70</v>
      </c>
      <c r="H17" s="50" t="n">
        <v>24</v>
      </c>
      <c r="I17" s="50" t="n">
        <v>220207</v>
      </c>
      <c r="J17" s="48" t="n">
        <v>88776</v>
      </c>
      <c r="K17" s="48"/>
    </row>
    <row r="18" customFormat="false" ht="13.8" hidden="false" customHeight="false" outlineLevel="0" collapsed="false">
      <c r="A18" s="49" t="s">
        <v>70</v>
      </c>
      <c r="B18" s="50" t="n">
        <v>17</v>
      </c>
      <c r="C18" s="50" t="n">
        <v>210262</v>
      </c>
      <c r="D18" s="48" t="n">
        <v>89312</v>
      </c>
      <c r="E18" s="48"/>
      <c r="G18" s="49" t="s">
        <v>70</v>
      </c>
      <c r="H18" s="50" t="n">
        <v>7</v>
      </c>
      <c r="I18" s="50" t="n">
        <v>190062</v>
      </c>
      <c r="J18" s="48" t="n">
        <v>88794</v>
      </c>
      <c r="K18" s="48"/>
    </row>
    <row r="19" customFormat="false" ht="13.8" hidden="false" customHeight="false" outlineLevel="0" collapsed="false">
      <c r="A19" s="49" t="s">
        <v>70</v>
      </c>
      <c r="B19" s="50" t="n">
        <v>18</v>
      </c>
      <c r="C19" s="50" t="n">
        <v>210276</v>
      </c>
      <c r="D19" s="48" t="n">
        <v>89271</v>
      </c>
      <c r="E19" s="48"/>
      <c r="G19" s="49" t="s">
        <v>70</v>
      </c>
      <c r="H19" s="50" t="n">
        <v>43</v>
      </c>
      <c r="I19" s="50" t="n">
        <v>230110</v>
      </c>
      <c r="J19" s="48" t="n">
        <v>88802</v>
      </c>
      <c r="K19" s="48" t="s">
        <v>72</v>
      </c>
    </row>
    <row r="20" customFormat="false" ht="13.8" hidden="false" customHeight="false" outlineLevel="0" collapsed="false">
      <c r="A20" s="49" t="s">
        <v>70</v>
      </c>
      <c r="B20" s="50" t="n">
        <v>19</v>
      </c>
      <c r="C20" s="50" t="n">
        <v>210277</v>
      </c>
      <c r="D20" s="48" t="n">
        <v>89445</v>
      </c>
      <c r="E20" s="48"/>
      <c r="G20" s="49" t="s">
        <v>70</v>
      </c>
      <c r="H20" s="50" t="n">
        <v>39</v>
      </c>
      <c r="I20" s="50" t="n">
        <v>220243</v>
      </c>
      <c r="J20" s="48" t="n">
        <v>88826</v>
      </c>
      <c r="K20" s="48"/>
    </row>
    <row r="21" customFormat="false" ht="13.8" hidden="false" customHeight="false" outlineLevel="0" collapsed="false">
      <c r="A21" s="49" t="s">
        <v>70</v>
      </c>
      <c r="B21" s="50" t="n">
        <v>20</v>
      </c>
      <c r="C21" s="50" t="n">
        <v>210281</v>
      </c>
      <c r="D21" s="48" t="n">
        <v>89150</v>
      </c>
      <c r="E21" s="48"/>
      <c r="G21" s="49" t="s">
        <v>70</v>
      </c>
      <c r="H21" s="50" t="n">
        <v>38</v>
      </c>
      <c r="I21" s="50" t="n">
        <v>220242</v>
      </c>
      <c r="J21" s="48" t="n">
        <v>88831</v>
      </c>
      <c r="K21" s="48" t="s">
        <v>72</v>
      </c>
    </row>
    <row r="22" customFormat="false" ht="13.8" hidden="false" customHeight="false" outlineLevel="0" collapsed="false">
      <c r="A22" s="49" t="s">
        <v>70</v>
      </c>
      <c r="B22" s="50" t="n">
        <v>21</v>
      </c>
      <c r="C22" s="50" t="n">
        <v>210284</v>
      </c>
      <c r="D22" s="48" t="n">
        <v>88557</v>
      </c>
      <c r="E22" s="48"/>
      <c r="G22" s="49" t="s">
        <v>70</v>
      </c>
      <c r="H22" s="50" t="n">
        <v>44</v>
      </c>
      <c r="I22" s="50" t="n">
        <v>230111</v>
      </c>
      <c r="J22" s="48" t="n">
        <v>88841</v>
      </c>
      <c r="K22" s="48" t="s">
        <v>72</v>
      </c>
    </row>
    <row r="23" customFormat="false" ht="13.8" hidden="false" customHeight="false" outlineLevel="0" collapsed="false">
      <c r="A23" s="49" t="s">
        <v>70</v>
      </c>
      <c r="B23" s="50" t="n">
        <v>22</v>
      </c>
      <c r="C23" s="50" t="n">
        <v>220201</v>
      </c>
      <c r="D23" s="48" t="n">
        <v>88320</v>
      </c>
      <c r="E23" s="48"/>
      <c r="G23" s="49" t="s">
        <v>70</v>
      </c>
      <c r="H23" s="50" t="n">
        <v>28</v>
      </c>
      <c r="I23" s="50" t="n">
        <v>220215</v>
      </c>
      <c r="J23" s="48" t="n">
        <v>88866</v>
      </c>
      <c r="K23" s="48"/>
    </row>
    <row r="24" customFormat="false" ht="13.8" hidden="false" customHeight="false" outlineLevel="0" collapsed="false">
      <c r="A24" s="49" t="s">
        <v>70</v>
      </c>
      <c r="B24" s="50" t="n">
        <v>23</v>
      </c>
      <c r="C24" s="50" t="n">
        <v>220203</v>
      </c>
      <c r="D24" s="48" t="n">
        <v>88994</v>
      </c>
      <c r="E24" s="48"/>
      <c r="G24" s="49" t="s">
        <v>70</v>
      </c>
      <c r="H24" s="50" t="n">
        <v>3</v>
      </c>
      <c r="I24" s="50" t="n">
        <v>180085</v>
      </c>
      <c r="J24" s="48" t="n">
        <v>88898</v>
      </c>
      <c r="K24" s="48" t="s">
        <v>72</v>
      </c>
    </row>
    <row r="25" customFormat="false" ht="13.8" hidden="false" customHeight="false" outlineLevel="0" collapsed="false">
      <c r="A25" s="49" t="s">
        <v>70</v>
      </c>
      <c r="B25" s="50" t="n">
        <v>24</v>
      </c>
      <c r="C25" s="50" t="n">
        <v>220207</v>
      </c>
      <c r="D25" s="48" t="n">
        <v>88776</v>
      </c>
      <c r="E25" s="48"/>
      <c r="G25" s="49" t="s">
        <v>70</v>
      </c>
      <c r="H25" s="50" t="n">
        <v>26</v>
      </c>
      <c r="I25" s="50" t="n">
        <v>220210</v>
      </c>
      <c r="J25" s="48" t="n">
        <v>88900</v>
      </c>
      <c r="K25" s="48" t="s">
        <v>72</v>
      </c>
    </row>
    <row r="26" customFormat="false" ht="13.8" hidden="false" customHeight="false" outlineLevel="0" collapsed="false">
      <c r="A26" s="49" t="s">
        <v>70</v>
      </c>
      <c r="B26" s="50" t="n">
        <v>25</v>
      </c>
      <c r="C26" s="50" t="n">
        <v>220208</v>
      </c>
      <c r="D26" s="48" t="n">
        <v>89164</v>
      </c>
      <c r="E26" s="48"/>
      <c r="G26" s="49" t="s">
        <v>70</v>
      </c>
      <c r="H26" s="50" t="n">
        <v>29</v>
      </c>
      <c r="I26" s="50" t="n">
        <v>220219</v>
      </c>
      <c r="J26" s="48" t="n">
        <v>88913</v>
      </c>
      <c r="K26" s="48"/>
    </row>
    <row r="27" customFormat="false" ht="13.8" hidden="false" customHeight="false" outlineLevel="0" collapsed="false">
      <c r="A27" s="49" t="s">
        <v>70</v>
      </c>
      <c r="B27" s="50" t="n">
        <v>26</v>
      </c>
      <c r="C27" s="50" t="n">
        <v>220210</v>
      </c>
      <c r="D27" s="48" t="n">
        <v>88900</v>
      </c>
      <c r="E27" s="48"/>
      <c r="G27" s="49" t="s">
        <v>70</v>
      </c>
      <c r="H27" s="50" t="n">
        <v>48</v>
      </c>
      <c r="I27" s="50" t="n">
        <v>230125</v>
      </c>
      <c r="J27" s="48" t="n">
        <v>88917</v>
      </c>
      <c r="K27" s="48" t="s">
        <v>72</v>
      </c>
    </row>
    <row r="28" customFormat="false" ht="13.8" hidden="false" customHeight="false" outlineLevel="0" collapsed="false">
      <c r="A28" s="49" t="s">
        <v>70</v>
      </c>
      <c r="B28" s="50" t="n">
        <v>27</v>
      </c>
      <c r="C28" s="50" t="n">
        <v>220214</v>
      </c>
      <c r="D28" s="48" t="n">
        <v>88685</v>
      </c>
      <c r="E28" s="48"/>
      <c r="G28" s="49" t="s">
        <v>70</v>
      </c>
      <c r="H28" s="50" t="n">
        <v>37</v>
      </c>
      <c r="I28" s="50" t="n">
        <v>220239</v>
      </c>
      <c r="J28" s="48" t="n">
        <v>88940</v>
      </c>
      <c r="K28" s="48" t="s">
        <v>72</v>
      </c>
    </row>
    <row r="29" customFormat="false" ht="13.8" hidden="false" customHeight="false" outlineLevel="0" collapsed="false">
      <c r="A29" s="49" t="s">
        <v>70</v>
      </c>
      <c r="B29" s="50" t="n">
        <v>28</v>
      </c>
      <c r="C29" s="50" t="n">
        <v>220215</v>
      </c>
      <c r="D29" s="52" t="n">
        <v>88866</v>
      </c>
      <c r="E29" s="48"/>
      <c r="G29" s="49" t="s">
        <v>70</v>
      </c>
      <c r="H29" s="50" t="n">
        <v>23</v>
      </c>
      <c r="I29" s="50" t="n">
        <v>220203</v>
      </c>
      <c r="J29" s="52" t="n">
        <v>88994</v>
      </c>
      <c r="K29" s="48" t="s">
        <v>72</v>
      </c>
    </row>
    <row r="30" customFormat="false" ht="13.8" hidden="false" customHeight="false" outlineLevel="0" collapsed="false">
      <c r="A30" s="49" t="s">
        <v>70</v>
      </c>
      <c r="B30" s="50" t="n">
        <v>29</v>
      </c>
      <c r="C30" s="50" t="n">
        <v>220219</v>
      </c>
      <c r="D30" s="48" t="n">
        <v>88913</v>
      </c>
      <c r="E30" s="48"/>
      <c r="G30" s="49" t="s">
        <v>70</v>
      </c>
      <c r="H30" s="50" t="n">
        <v>36</v>
      </c>
      <c r="I30" s="50" t="n">
        <v>220235</v>
      </c>
      <c r="J30" s="48" t="n">
        <v>89008</v>
      </c>
      <c r="K30" s="48" t="s">
        <v>72</v>
      </c>
    </row>
    <row r="31" customFormat="false" ht="13.8" hidden="false" customHeight="false" outlineLevel="0" collapsed="false">
      <c r="A31" s="49" t="s">
        <v>70</v>
      </c>
      <c r="B31" s="50" t="n">
        <v>30</v>
      </c>
      <c r="C31" s="50" t="n">
        <v>220220</v>
      </c>
      <c r="D31" s="48" t="n">
        <v>89030</v>
      </c>
      <c r="E31" s="48"/>
      <c r="G31" s="49" t="s">
        <v>70</v>
      </c>
      <c r="H31" s="50" t="n">
        <v>30</v>
      </c>
      <c r="I31" s="50" t="n">
        <v>220220</v>
      </c>
      <c r="J31" s="48" t="n">
        <v>89030</v>
      </c>
      <c r="K31" s="48" t="s">
        <v>72</v>
      </c>
    </row>
    <row r="32" customFormat="false" ht="13.8" hidden="false" customHeight="false" outlineLevel="0" collapsed="false">
      <c r="A32" s="49" t="s">
        <v>70</v>
      </c>
      <c r="B32" s="50" t="n">
        <v>31</v>
      </c>
      <c r="C32" s="50" t="n">
        <v>220222</v>
      </c>
      <c r="D32" s="48" t="n">
        <v>89786</v>
      </c>
      <c r="E32" s="48"/>
      <c r="G32" s="49" t="s">
        <v>70</v>
      </c>
      <c r="H32" s="50" t="n">
        <v>14</v>
      </c>
      <c r="I32" s="50" t="n">
        <v>200983</v>
      </c>
      <c r="J32" s="48" t="n">
        <v>89067</v>
      </c>
      <c r="K32" s="48" t="s">
        <v>72</v>
      </c>
    </row>
    <row r="33" customFormat="false" ht="13.8" hidden="false" customHeight="false" outlineLevel="0" collapsed="false">
      <c r="A33" s="53" t="s">
        <v>70</v>
      </c>
      <c r="B33" s="54" t="n">
        <v>32</v>
      </c>
      <c r="C33" s="54" t="n">
        <v>220228</v>
      </c>
      <c r="D33" s="51"/>
      <c r="E33" s="48"/>
      <c r="G33" s="49" t="s">
        <v>70</v>
      </c>
      <c r="H33" s="50" t="n">
        <v>42</v>
      </c>
      <c r="I33" s="50" t="n">
        <v>230103</v>
      </c>
      <c r="J33" s="48" t="n">
        <v>89071</v>
      </c>
      <c r="K33" s="48"/>
    </row>
    <row r="34" customFormat="false" ht="13.8" hidden="false" customHeight="false" outlineLevel="0" collapsed="false">
      <c r="A34" s="49" t="s">
        <v>70</v>
      </c>
      <c r="B34" s="50" t="n">
        <v>33</v>
      </c>
      <c r="C34" s="50" t="n">
        <v>220229</v>
      </c>
      <c r="D34" s="48" t="n">
        <v>88592</v>
      </c>
      <c r="E34" s="48"/>
      <c r="G34" s="49" t="s">
        <v>70</v>
      </c>
      <c r="H34" s="50" t="n">
        <v>45</v>
      </c>
      <c r="I34" s="50" t="n">
        <v>230116</v>
      </c>
      <c r="J34" s="48" t="n">
        <v>89124</v>
      </c>
      <c r="K34" s="48"/>
    </row>
    <row r="35" customFormat="false" ht="13.8" hidden="false" customHeight="false" outlineLevel="0" collapsed="false">
      <c r="A35" s="49" t="s">
        <v>70</v>
      </c>
      <c r="B35" s="50" t="n">
        <v>34</v>
      </c>
      <c r="C35" s="50" t="n">
        <v>220231</v>
      </c>
      <c r="D35" s="48" t="n">
        <v>89277</v>
      </c>
      <c r="E35" s="48"/>
      <c r="G35" s="49" t="s">
        <v>70</v>
      </c>
      <c r="H35" s="50" t="n">
        <v>5</v>
      </c>
      <c r="I35" s="50" t="n">
        <v>180120</v>
      </c>
      <c r="J35" s="48" t="n">
        <v>89142</v>
      </c>
      <c r="K35" s="48"/>
    </row>
    <row r="36" customFormat="false" ht="13.8" hidden="false" customHeight="false" outlineLevel="0" collapsed="false">
      <c r="A36" s="49" t="s">
        <v>70</v>
      </c>
      <c r="B36" s="50" t="n">
        <v>35</v>
      </c>
      <c r="C36" s="50" t="n">
        <v>220234</v>
      </c>
      <c r="D36" s="48" t="n">
        <v>88767</v>
      </c>
      <c r="E36" s="48"/>
      <c r="G36" s="49" t="s">
        <v>70</v>
      </c>
      <c r="H36" s="50" t="n">
        <v>20</v>
      </c>
      <c r="I36" s="50" t="n">
        <v>210281</v>
      </c>
      <c r="J36" s="48" t="n">
        <v>89150</v>
      </c>
      <c r="K36" s="48" t="s">
        <v>72</v>
      </c>
    </row>
    <row r="37" customFormat="false" ht="13.8" hidden="false" customHeight="false" outlineLevel="0" collapsed="false">
      <c r="A37" s="49" t="s">
        <v>70</v>
      </c>
      <c r="B37" s="50" t="n">
        <v>36</v>
      </c>
      <c r="C37" s="50" t="n">
        <v>220235</v>
      </c>
      <c r="D37" s="48" t="n">
        <v>89008</v>
      </c>
      <c r="E37" s="48"/>
      <c r="G37" s="49" t="s">
        <v>70</v>
      </c>
      <c r="H37" s="50" t="n">
        <v>25</v>
      </c>
      <c r="I37" s="50" t="n">
        <v>220208</v>
      </c>
      <c r="J37" s="48" t="n">
        <v>89164</v>
      </c>
      <c r="K37" s="48"/>
    </row>
    <row r="38" customFormat="false" ht="13.8" hidden="false" customHeight="false" outlineLevel="0" collapsed="false">
      <c r="A38" s="49" t="s">
        <v>70</v>
      </c>
      <c r="B38" s="50" t="n">
        <v>37</v>
      </c>
      <c r="C38" s="50" t="n">
        <v>220239</v>
      </c>
      <c r="D38" s="48" t="n">
        <v>88940</v>
      </c>
      <c r="E38" s="48"/>
      <c r="G38" s="49" t="s">
        <v>70</v>
      </c>
      <c r="H38" s="50" t="n">
        <v>6</v>
      </c>
      <c r="I38" s="50" t="n">
        <v>190055</v>
      </c>
      <c r="J38" s="48" t="n">
        <v>89192</v>
      </c>
      <c r="K38" s="48"/>
    </row>
    <row r="39" customFormat="false" ht="13.8" hidden="false" customHeight="false" outlineLevel="0" collapsed="false">
      <c r="A39" s="49" t="s">
        <v>70</v>
      </c>
      <c r="B39" s="50" t="n">
        <v>38</v>
      </c>
      <c r="C39" s="50" t="n">
        <v>220242</v>
      </c>
      <c r="D39" s="48" t="n">
        <v>88831</v>
      </c>
      <c r="E39" s="48"/>
      <c r="G39" s="49" t="s">
        <v>70</v>
      </c>
      <c r="H39" s="50" t="n">
        <v>49</v>
      </c>
      <c r="I39" s="50" t="n">
        <v>230126</v>
      </c>
      <c r="J39" s="48" t="n">
        <v>89201</v>
      </c>
      <c r="K39" s="48" t="s">
        <v>72</v>
      </c>
    </row>
    <row r="40" customFormat="false" ht="13.8" hidden="false" customHeight="false" outlineLevel="0" collapsed="false">
      <c r="A40" s="49" t="s">
        <v>70</v>
      </c>
      <c r="B40" s="50" t="n">
        <v>39</v>
      </c>
      <c r="C40" s="50" t="n">
        <v>220243</v>
      </c>
      <c r="D40" s="48" t="n">
        <v>88826</v>
      </c>
      <c r="E40" s="48"/>
      <c r="G40" s="49" t="s">
        <v>70</v>
      </c>
      <c r="H40" s="50" t="n">
        <v>2</v>
      </c>
      <c r="I40" s="50" t="n">
        <v>180063</v>
      </c>
      <c r="J40" s="48" t="n">
        <v>89202</v>
      </c>
      <c r="K40" s="51" t="s">
        <v>71</v>
      </c>
      <c r="L40" s="1" t="s">
        <v>72</v>
      </c>
    </row>
    <row r="41" customFormat="false" ht="13.8" hidden="false" customHeight="false" outlineLevel="0" collapsed="false">
      <c r="A41" s="49" t="s">
        <v>70</v>
      </c>
      <c r="B41" s="50" t="n">
        <v>40</v>
      </c>
      <c r="C41" s="50" t="n">
        <v>220244</v>
      </c>
      <c r="D41" s="48" t="n">
        <v>88284</v>
      </c>
      <c r="E41" s="48"/>
      <c r="G41" s="49" t="s">
        <v>70</v>
      </c>
      <c r="H41" s="50" t="n">
        <v>13</v>
      </c>
      <c r="I41" s="50" t="n">
        <v>200970</v>
      </c>
      <c r="J41" s="48" t="n">
        <v>89230</v>
      </c>
      <c r="K41" s="48" t="s">
        <v>72</v>
      </c>
    </row>
    <row r="42" customFormat="false" ht="13.8" hidden="false" customHeight="false" outlineLevel="0" collapsed="false">
      <c r="A42" s="49" t="s">
        <v>70</v>
      </c>
      <c r="B42" s="50" t="n">
        <v>41</v>
      </c>
      <c r="C42" s="50" t="n">
        <v>230102</v>
      </c>
      <c r="D42" s="48" t="n">
        <v>89417</v>
      </c>
      <c r="E42" s="48"/>
      <c r="G42" s="49" t="s">
        <v>70</v>
      </c>
      <c r="H42" s="50" t="n">
        <v>47</v>
      </c>
      <c r="I42" s="50" t="n">
        <v>230122</v>
      </c>
      <c r="J42" s="48" t="n">
        <v>89254</v>
      </c>
      <c r="K42" s="48" t="s">
        <v>73</v>
      </c>
    </row>
    <row r="43" customFormat="false" ht="13.8" hidden="false" customHeight="false" outlineLevel="0" collapsed="false">
      <c r="A43" s="49" t="s">
        <v>70</v>
      </c>
      <c r="B43" s="50" t="n">
        <v>42</v>
      </c>
      <c r="C43" s="50" t="n">
        <v>230103</v>
      </c>
      <c r="D43" s="48" t="n">
        <v>89071</v>
      </c>
      <c r="E43" s="48"/>
      <c r="G43" s="49" t="s">
        <v>70</v>
      </c>
      <c r="H43" s="50" t="n">
        <v>18</v>
      </c>
      <c r="I43" s="50" t="n">
        <v>210276</v>
      </c>
      <c r="J43" s="48" t="n">
        <v>89271</v>
      </c>
      <c r="K43" s="48" t="s">
        <v>72</v>
      </c>
    </row>
    <row r="44" customFormat="false" ht="13.8" hidden="false" customHeight="false" outlineLevel="0" collapsed="false">
      <c r="A44" s="49" t="s">
        <v>70</v>
      </c>
      <c r="B44" s="50" t="n">
        <v>43</v>
      </c>
      <c r="C44" s="50" t="n">
        <v>230110</v>
      </c>
      <c r="D44" s="48" t="n">
        <v>88802</v>
      </c>
      <c r="E44" s="48"/>
      <c r="G44" s="49" t="s">
        <v>70</v>
      </c>
      <c r="H44" s="50" t="n">
        <v>34</v>
      </c>
      <c r="I44" s="50" t="n">
        <v>220231</v>
      </c>
      <c r="J44" s="48" t="n">
        <v>89277</v>
      </c>
      <c r="K44" s="48" t="s">
        <v>72</v>
      </c>
    </row>
    <row r="45" customFormat="false" ht="13.8" hidden="false" customHeight="false" outlineLevel="0" collapsed="false">
      <c r="A45" s="49" t="s">
        <v>70</v>
      </c>
      <c r="B45" s="50" t="n">
        <v>44</v>
      </c>
      <c r="C45" s="50" t="n">
        <v>230111</v>
      </c>
      <c r="D45" s="48" t="n">
        <v>88841</v>
      </c>
      <c r="E45" s="48"/>
      <c r="G45" s="49" t="s">
        <v>70</v>
      </c>
      <c r="H45" s="50" t="n">
        <v>17</v>
      </c>
      <c r="I45" s="50" t="n">
        <v>210262</v>
      </c>
      <c r="J45" s="48" t="n">
        <v>89312</v>
      </c>
      <c r="K45" s="48" t="s">
        <v>72</v>
      </c>
    </row>
    <row r="46" customFormat="false" ht="13.8" hidden="false" customHeight="false" outlineLevel="0" collapsed="false">
      <c r="A46" s="49" t="s">
        <v>70</v>
      </c>
      <c r="B46" s="50" t="n">
        <v>45</v>
      </c>
      <c r="C46" s="50" t="n">
        <v>230116</v>
      </c>
      <c r="D46" s="48" t="n">
        <v>89124</v>
      </c>
      <c r="E46" s="48"/>
      <c r="G46" s="49" t="s">
        <v>70</v>
      </c>
      <c r="H46" s="50" t="n">
        <v>12</v>
      </c>
      <c r="I46" s="50" t="n">
        <v>200967</v>
      </c>
      <c r="J46" s="48" t="n">
        <v>89320</v>
      </c>
      <c r="K46" s="48"/>
    </row>
    <row r="47" customFormat="false" ht="13.8" hidden="false" customHeight="false" outlineLevel="0" collapsed="false">
      <c r="A47" s="49" t="s">
        <v>70</v>
      </c>
      <c r="B47" s="50" t="n">
        <v>46</v>
      </c>
      <c r="C47" s="50" t="n">
        <v>230120</v>
      </c>
      <c r="D47" s="48" t="n">
        <v>88249</v>
      </c>
      <c r="E47" s="48"/>
      <c r="G47" s="49" t="s">
        <v>70</v>
      </c>
      <c r="H47" s="50" t="n">
        <v>41</v>
      </c>
      <c r="I47" s="50" t="n">
        <v>230102</v>
      </c>
      <c r="J47" s="48" t="n">
        <v>89417</v>
      </c>
      <c r="K47" s="48" t="s">
        <v>72</v>
      </c>
    </row>
    <row r="48" customFormat="false" ht="13.8" hidden="false" customHeight="false" outlineLevel="0" collapsed="false">
      <c r="A48" s="49" t="s">
        <v>70</v>
      </c>
      <c r="B48" s="50" t="n">
        <v>47</v>
      </c>
      <c r="C48" s="50" t="n">
        <v>230122</v>
      </c>
      <c r="D48" s="48" t="n">
        <v>89254</v>
      </c>
      <c r="E48" s="48"/>
      <c r="G48" s="49" t="s">
        <v>70</v>
      </c>
      <c r="H48" s="50" t="n">
        <v>19</v>
      </c>
      <c r="I48" s="50" t="n">
        <v>210277</v>
      </c>
      <c r="J48" s="48" t="n">
        <v>89445</v>
      </c>
      <c r="K48" s="48"/>
    </row>
    <row r="49" customFormat="false" ht="13.8" hidden="false" customHeight="false" outlineLevel="0" collapsed="false">
      <c r="A49" s="49" t="s">
        <v>70</v>
      </c>
      <c r="B49" s="50" t="n">
        <v>48</v>
      </c>
      <c r="C49" s="50" t="n">
        <v>230125</v>
      </c>
      <c r="D49" s="48" t="n">
        <v>88917</v>
      </c>
      <c r="E49" s="48"/>
      <c r="G49" s="49" t="s">
        <v>70</v>
      </c>
      <c r="H49" s="50" t="n">
        <v>51</v>
      </c>
      <c r="I49" s="50" t="n">
        <v>230135</v>
      </c>
      <c r="J49" s="48" t="n">
        <v>89448</v>
      </c>
      <c r="K49" s="48" t="s">
        <v>72</v>
      </c>
    </row>
    <row r="50" customFormat="false" ht="13.8" hidden="false" customHeight="false" outlineLevel="0" collapsed="false">
      <c r="A50" s="49" t="s">
        <v>70</v>
      </c>
      <c r="B50" s="50" t="n">
        <v>49</v>
      </c>
      <c r="C50" s="50" t="n">
        <v>230126</v>
      </c>
      <c r="D50" s="48" t="n">
        <v>89201</v>
      </c>
      <c r="E50" s="48"/>
      <c r="G50" s="49" t="s">
        <v>70</v>
      </c>
      <c r="H50" s="50" t="n">
        <v>31</v>
      </c>
      <c r="I50" s="50" t="n">
        <v>220222</v>
      </c>
      <c r="J50" s="48" t="n">
        <v>89786</v>
      </c>
      <c r="K50" s="48"/>
    </row>
    <row r="51" customFormat="false" ht="13.8" hidden="false" customHeight="false" outlineLevel="0" collapsed="false">
      <c r="A51" s="49" t="s">
        <v>70</v>
      </c>
      <c r="B51" s="50" t="n">
        <v>50</v>
      </c>
      <c r="C51" s="50" t="n">
        <v>230134</v>
      </c>
      <c r="D51" s="48" t="n">
        <v>88730</v>
      </c>
      <c r="E51" s="48"/>
      <c r="G51" s="49" t="s">
        <v>70</v>
      </c>
      <c r="H51" s="50" t="n">
        <v>16</v>
      </c>
      <c r="I51" s="50" t="n">
        <v>210260</v>
      </c>
      <c r="J51" s="48" t="n">
        <v>89787</v>
      </c>
      <c r="K51" s="48" t="s">
        <v>72</v>
      </c>
    </row>
    <row r="52" customFormat="false" ht="13.8" hidden="false" customHeight="false" outlineLevel="0" collapsed="false">
      <c r="A52" s="49" t="s">
        <v>70</v>
      </c>
      <c r="B52" s="50" t="n">
        <v>51</v>
      </c>
      <c r="C52" s="50" t="n">
        <v>230135</v>
      </c>
      <c r="D52" s="48" t="n">
        <v>89448</v>
      </c>
      <c r="E52" s="48"/>
      <c r="G52" s="49" t="s">
        <v>70</v>
      </c>
      <c r="H52" s="50" t="n">
        <v>15</v>
      </c>
      <c r="I52" s="50" t="n">
        <v>210257</v>
      </c>
      <c r="J52" s="48" t="n">
        <v>89800</v>
      </c>
      <c r="K52" s="48" t="s">
        <v>72</v>
      </c>
    </row>
    <row r="53" customFormat="false" ht="13.8" hidden="false" customHeight="false" outlineLevel="0" collapsed="false">
      <c r="A53" s="49" t="s">
        <v>70</v>
      </c>
      <c r="B53" s="50" t="n">
        <v>52</v>
      </c>
      <c r="C53" s="50" t="n">
        <v>230138</v>
      </c>
      <c r="D53" s="48" t="n">
        <v>88303</v>
      </c>
      <c r="E53" s="48"/>
      <c r="G53" s="53" t="s">
        <v>70</v>
      </c>
      <c r="H53" s="54" t="n">
        <v>32</v>
      </c>
      <c r="I53" s="54" t="n">
        <v>220228</v>
      </c>
      <c r="J53" s="51"/>
      <c r="K53" s="4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6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Y1" activeCellId="0" sqref="Y1"/>
    </sheetView>
  </sheetViews>
  <sheetFormatPr defaultColWidth="11.5625" defaultRowHeight="14.25" zeroHeight="false" outlineLevelRow="0" outlineLevelCol="0"/>
  <cols>
    <col collapsed="false" customWidth="true" hidden="false" outlineLevel="0" max="1" min="1" style="7" width="4.56"/>
    <col collapsed="false" customWidth="true" hidden="false" outlineLevel="0" max="2" min="2" style="7" width="21.67"/>
    <col collapsed="false" customWidth="true" hidden="false" outlineLevel="0" max="3" min="3" style="7" width="10.33"/>
    <col collapsed="false" customWidth="true" hidden="false" outlineLevel="0" max="4" min="4" style="7" width="7.33"/>
    <col collapsed="false" customWidth="true" hidden="false" outlineLevel="0" max="5" min="5" style="55" width="13.67"/>
    <col collapsed="false" customWidth="true" hidden="false" outlineLevel="0" max="6" min="6" style="56" width="7.67"/>
    <col collapsed="false" customWidth="true" hidden="false" outlineLevel="0" max="7" min="7" style="55" width="9.33"/>
    <col collapsed="false" customWidth="true" hidden="false" outlineLevel="0" max="8" min="8" style="7" width="17.33"/>
    <col collapsed="false" customWidth="true" hidden="false" outlineLevel="0" max="9" min="9" style="7" width="6"/>
    <col collapsed="false" customWidth="true" hidden="false" outlineLevel="0" max="10" min="10" style="7" width="8"/>
    <col collapsed="false" customWidth="true" hidden="false" outlineLevel="0" max="11" min="11" style="7" width="8.34"/>
    <col collapsed="false" customWidth="true" hidden="false" outlineLevel="0" max="12" min="12" style="56" width="9.33"/>
    <col collapsed="false" customWidth="true" hidden="false" outlineLevel="0" max="13" min="13" style="7" width="7.88"/>
    <col collapsed="false" customWidth="false" hidden="false" outlineLevel="0" max="16384" min="14" style="7" width="11.56"/>
  </cols>
  <sheetData>
    <row r="1" s="1" customFormat="true" ht="30" hidden="false" customHeight="true" outlineLevel="0" collapsed="false">
      <c r="A1" s="7" t="s">
        <v>74</v>
      </c>
      <c r="B1" s="7" t="s">
        <v>75</v>
      </c>
      <c r="C1" s="7" t="s">
        <v>24</v>
      </c>
      <c r="D1" s="7" t="s">
        <v>76</v>
      </c>
      <c r="E1" s="55" t="s">
        <v>77</v>
      </c>
      <c r="F1" s="56" t="s">
        <v>78</v>
      </c>
      <c r="G1" s="55" t="s">
        <v>79</v>
      </c>
      <c r="H1" s="7" t="s">
        <v>80</v>
      </c>
      <c r="I1" s="7" t="s">
        <v>81</v>
      </c>
      <c r="J1" s="57" t="s">
        <v>82</v>
      </c>
      <c r="K1" s="57" t="s">
        <v>83</v>
      </c>
      <c r="L1" s="56" t="s">
        <v>78</v>
      </c>
      <c r="M1" s="57" t="s">
        <v>84</v>
      </c>
    </row>
    <row r="2" s="1" customFormat="true" ht="14.25" hidden="false" customHeight="false" outlineLevel="0" collapsed="false">
      <c r="A2" s="7" t="n">
        <v>17</v>
      </c>
      <c r="B2" s="7" t="s">
        <v>85</v>
      </c>
      <c r="C2" s="7" t="s">
        <v>86</v>
      </c>
      <c r="D2" s="7" t="n">
        <v>93202</v>
      </c>
      <c r="E2" s="55" t="n">
        <v>200025888841</v>
      </c>
      <c r="F2" s="56" t="s">
        <v>87</v>
      </c>
      <c r="G2" s="7" t="n">
        <v>230111</v>
      </c>
      <c r="H2" s="58" t="n">
        <v>45433.7543171296</v>
      </c>
      <c r="I2" s="7" t="n">
        <v>0</v>
      </c>
      <c r="J2" s="7" t="n">
        <v>1</v>
      </c>
      <c r="K2" s="7" t="n">
        <v>1</v>
      </c>
      <c r="L2" s="56" t="s">
        <v>87</v>
      </c>
      <c r="M2" s="7" t="n">
        <v>1</v>
      </c>
    </row>
    <row r="3" s="1" customFormat="true" ht="14.25" hidden="false" customHeight="false" outlineLevel="0" collapsed="false">
      <c r="A3" s="7" t="n">
        <v>18</v>
      </c>
      <c r="B3" s="7" t="s">
        <v>85</v>
      </c>
      <c r="C3" s="7" t="s">
        <v>86</v>
      </c>
      <c r="D3" s="7" t="n">
        <v>93202</v>
      </c>
      <c r="E3" s="55" t="n">
        <v>200025888841</v>
      </c>
      <c r="F3" s="56" t="s">
        <v>87</v>
      </c>
      <c r="G3" s="7" t="n">
        <v>230111</v>
      </c>
      <c r="H3" s="58" t="n">
        <v>45433.757337963</v>
      </c>
      <c r="I3" s="7" t="n">
        <v>0</v>
      </c>
      <c r="J3" s="7" t="n">
        <v>2</v>
      </c>
      <c r="K3" s="7" t="n">
        <v>2</v>
      </c>
      <c r="L3" s="56" t="s">
        <v>87</v>
      </c>
      <c r="M3" s="7" t="n">
        <v>1</v>
      </c>
    </row>
    <row r="4" s="1" customFormat="true" ht="14.25" hidden="false" customHeight="false" outlineLevel="0" collapsed="false">
      <c r="A4" s="7" t="n">
        <v>19</v>
      </c>
      <c r="B4" s="7" t="s">
        <v>85</v>
      </c>
      <c r="C4" s="7" t="s">
        <v>86</v>
      </c>
      <c r="D4" s="7" t="n">
        <v>93202</v>
      </c>
      <c r="E4" s="55" t="n">
        <v>200025889202</v>
      </c>
      <c r="F4" s="56" t="s">
        <v>88</v>
      </c>
      <c r="G4" s="55" t="n">
        <v>180063</v>
      </c>
      <c r="H4" s="58" t="n">
        <v>45433.8171180556</v>
      </c>
      <c r="I4" s="7" t="n">
        <v>2</v>
      </c>
      <c r="J4" s="7" t="n">
        <v>3</v>
      </c>
      <c r="K4" s="7" t="n">
        <v>1</v>
      </c>
      <c r="L4" s="56" t="s">
        <v>88</v>
      </c>
      <c r="M4" s="7" t="n">
        <v>2</v>
      </c>
    </row>
    <row r="5" s="1" customFormat="true" ht="14.25" hidden="false" customHeight="false" outlineLevel="0" collapsed="false">
      <c r="A5" s="7" t="n">
        <v>20</v>
      </c>
      <c r="B5" s="7" t="s">
        <v>85</v>
      </c>
      <c r="C5" s="7" t="s">
        <v>86</v>
      </c>
      <c r="D5" s="7" t="n">
        <v>93202</v>
      </c>
      <c r="E5" s="55" t="n">
        <v>200025888303</v>
      </c>
      <c r="F5" s="56" t="s">
        <v>89</v>
      </c>
      <c r="G5" s="55" t="n">
        <v>230138</v>
      </c>
      <c r="H5" s="58" t="n">
        <v>45433.8617939815</v>
      </c>
      <c r="I5" s="7" t="n">
        <v>1</v>
      </c>
      <c r="J5" s="7" t="n">
        <v>4</v>
      </c>
      <c r="K5" s="7" t="n">
        <v>1</v>
      </c>
      <c r="L5" s="56" t="s">
        <v>89</v>
      </c>
      <c r="M5" s="7" t="n">
        <v>3</v>
      </c>
    </row>
    <row r="6" s="1" customFormat="true" ht="14.25" hidden="false" customHeight="false" outlineLevel="0" collapsed="false">
      <c r="A6" s="7" t="n">
        <v>21</v>
      </c>
      <c r="B6" s="7" t="s">
        <v>85</v>
      </c>
      <c r="C6" s="7" t="s">
        <v>86</v>
      </c>
      <c r="D6" s="7" t="n">
        <v>93202</v>
      </c>
      <c r="E6" s="55" t="n">
        <v>200025888303</v>
      </c>
      <c r="F6" s="56" t="s">
        <v>89</v>
      </c>
      <c r="G6" s="55" t="n">
        <v>230138</v>
      </c>
      <c r="H6" s="58" t="n">
        <v>45433.8622569444</v>
      </c>
      <c r="I6" s="7" t="n">
        <v>1</v>
      </c>
      <c r="J6" s="7" t="n">
        <v>5</v>
      </c>
      <c r="K6" s="7" t="n">
        <v>2</v>
      </c>
      <c r="L6" s="56" t="s">
        <v>89</v>
      </c>
      <c r="M6" s="7" t="n">
        <v>3</v>
      </c>
    </row>
    <row r="7" s="1" customFormat="true" ht="14.25" hidden="false" customHeight="false" outlineLevel="0" collapsed="false">
      <c r="A7" s="7" t="n">
        <v>22</v>
      </c>
      <c r="B7" s="7" t="s">
        <v>85</v>
      </c>
      <c r="C7" s="7" t="s">
        <v>86</v>
      </c>
      <c r="D7" s="7" t="n">
        <v>93202</v>
      </c>
      <c r="E7" s="55" t="n">
        <v>200025888303</v>
      </c>
      <c r="F7" s="56" t="s">
        <v>89</v>
      </c>
      <c r="G7" s="55" t="n">
        <v>230138</v>
      </c>
      <c r="H7" s="58" t="n">
        <v>45433.8622800926</v>
      </c>
      <c r="I7" s="7" t="n">
        <v>0</v>
      </c>
      <c r="J7" s="7" t="n">
        <v>6</v>
      </c>
      <c r="K7" s="7" t="n">
        <v>3</v>
      </c>
      <c r="L7" s="56" t="s">
        <v>89</v>
      </c>
      <c r="M7" s="7" t="n">
        <v>3</v>
      </c>
    </row>
    <row r="8" s="1" customFormat="true" ht="14.25" hidden="false" customHeight="false" outlineLevel="0" collapsed="false">
      <c r="A8" s="7" t="n">
        <v>23</v>
      </c>
      <c r="B8" s="7" t="s">
        <v>85</v>
      </c>
      <c r="C8" s="7" t="s">
        <v>86</v>
      </c>
      <c r="D8" s="7" t="n">
        <v>93202</v>
      </c>
      <c r="E8" s="55" t="n">
        <v>200025888303</v>
      </c>
      <c r="F8" s="56" t="s">
        <v>89</v>
      </c>
      <c r="G8" s="55" t="n">
        <v>230138</v>
      </c>
      <c r="H8" s="58" t="n">
        <v>45433.8622916667</v>
      </c>
      <c r="I8" s="7" t="n">
        <v>1</v>
      </c>
      <c r="J8" s="7" t="n">
        <v>7</v>
      </c>
      <c r="K8" s="7" t="n">
        <v>4</v>
      </c>
      <c r="L8" s="56" t="s">
        <v>89</v>
      </c>
      <c r="M8" s="7" t="n">
        <v>3</v>
      </c>
    </row>
    <row r="9" s="1" customFormat="true" ht="14.25" hidden="false" customHeight="false" outlineLevel="0" collapsed="false">
      <c r="A9" s="7" t="n">
        <v>24</v>
      </c>
      <c r="B9" s="7" t="s">
        <v>85</v>
      </c>
      <c r="C9" s="7" t="s">
        <v>86</v>
      </c>
      <c r="D9" s="7" t="n">
        <v>93202</v>
      </c>
      <c r="E9" s="55" t="n">
        <v>200025888303</v>
      </c>
      <c r="F9" s="56" t="s">
        <v>89</v>
      </c>
      <c r="G9" s="55" t="n">
        <v>230138</v>
      </c>
      <c r="H9" s="58" t="n">
        <v>45433.8791435185</v>
      </c>
      <c r="I9" s="7" t="n">
        <v>1</v>
      </c>
      <c r="J9" s="7" t="n">
        <v>8</v>
      </c>
      <c r="K9" s="7" t="n">
        <v>5</v>
      </c>
      <c r="L9" s="56" t="s">
        <v>89</v>
      </c>
      <c r="M9" s="7" t="n">
        <v>3</v>
      </c>
    </row>
    <row r="10" s="1" customFormat="true" ht="14.25" hidden="false" customHeight="false" outlineLevel="0" collapsed="false">
      <c r="A10" s="7" t="n">
        <v>25</v>
      </c>
      <c r="B10" s="7" t="s">
        <v>85</v>
      </c>
      <c r="C10" s="7" t="s">
        <v>86</v>
      </c>
      <c r="D10" s="7" t="n">
        <v>93202</v>
      </c>
      <c r="E10" s="55" t="n">
        <v>200025888303</v>
      </c>
      <c r="F10" s="56" t="s">
        <v>89</v>
      </c>
      <c r="G10" s="55" t="n">
        <v>230138</v>
      </c>
      <c r="H10" s="58" t="n">
        <v>45433.8792592593</v>
      </c>
      <c r="I10" s="7" t="n">
        <v>339</v>
      </c>
      <c r="J10" s="7" t="n">
        <v>9</v>
      </c>
      <c r="K10" s="7" t="n">
        <v>6</v>
      </c>
      <c r="L10" s="56" t="s">
        <v>89</v>
      </c>
      <c r="M10" s="7" t="n">
        <v>3</v>
      </c>
    </row>
    <row r="11" s="1" customFormat="true" ht="14.25" hidden="false" customHeight="false" outlineLevel="0" collapsed="false">
      <c r="A11" s="7" t="n">
        <v>26</v>
      </c>
      <c r="B11" s="7" t="s">
        <v>85</v>
      </c>
      <c r="C11" s="7" t="s">
        <v>86</v>
      </c>
      <c r="D11" s="7" t="n">
        <v>93202</v>
      </c>
      <c r="E11" s="55" t="n">
        <v>200025888303</v>
      </c>
      <c r="F11" s="56" t="s">
        <v>89</v>
      </c>
      <c r="G11" s="55" t="n">
        <v>230138</v>
      </c>
      <c r="H11" s="58" t="n">
        <v>45433.9273148148</v>
      </c>
      <c r="I11" s="7" t="n">
        <v>0</v>
      </c>
      <c r="J11" s="7" t="n">
        <v>10</v>
      </c>
      <c r="K11" s="7" t="n">
        <v>7</v>
      </c>
      <c r="L11" s="56" t="s">
        <v>89</v>
      </c>
      <c r="M11" s="7" t="n">
        <v>3</v>
      </c>
    </row>
    <row r="12" s="1" customFormat="true" ht="14.25" hidden="false" customHeight="false" outlineLevel="0" collapsed="false">
      <c r="A12" s="7" t="n">
        <v>27</v>
      </c>
      <c r="B12" s="7" t="s">
        <v>85</v>
      </c>
      <c r="C12" s="7" t="s">
        <v>86</v>
      </c>
      <c r="D12" s="7" t="n">
        <v>93202</v>
      </c>
      <c r="E12" s="55" t="n">
        <v>200025889312</v>
      </c>
      <c r="F12" s="56" t="s">
        <v>90</v>
      </c>
      <c r="G12" s="55" t="n">
        <v>210262</v>
      </c>
      <c r="H12" s="58" t="n">
        <v>45434.2063425926</v>
      </c>
      <c r="I12" s="7" t="n">
        <v>1</v>
      </c>
      <c r="J12" s="7" t="n">
        <v>11</v>
      </c>
      <c r="K12" s="7" t="n">
        <v>1</v>
      </c>
      <c r="L12" s="56" t="s">
        <v>90</v>
      </c>
      <c r="M12" s="7" t="n">
        <v>4</v>
      </c>
    </row>
    <row r="13" s="1" customFormat="true" ht="14.25" hidden="false" customHeight="false" outlineLevel="0" collapsed="false">
      <c r="A13" s="7" t="n">
        <v>28</v>
      </c>
      <c r="B13" s="7" t="s">
        <v>85</v>
      </c>
      <c r="C13" s="7" t="s">
        <v>86</v>
      </c>
      <c r="D13" s="7" t="n">
        <v>93202</v>
      </c>
      <c r="E13" s="55" t="n">
        <v>200025889312</v>
      </c>
      <c r="F13" s="56" t="s">
        <v>90</v>
      </c>
      <c r="G13" s="55" t="n">
        <v>210262</v>
      </c>
      <c r="H13" s="58" t="n">
        <v>45434.2082060185</v>
      </c>
      <c r="I13" s="7" t="n">
        <v>2</v>
      </c>
      <c r="J13" s="7" t="n">
        <v>12</v>
      </c>
      <c r="K13" s="7" t="n">
        <v>2</v>
      </c>
      <c r="L13" s="56" t="s">
        <v>90</v>
      </c>
      <c r="M13" s="7" t="n">
        <v>4</v>
      </c>
    </row>
    <row r="14" s="1" customFormat="true" ht="14.25" hidden="false" customHeight="false" outlineLevel="0" collapsed="false">
      <c r="A14" s="7" t="n">
        <v>29</v>
      </c>
      <c r="B14" s="7" t="s">
        <v>85</v>
      </c>
      <c r="C14" s="7" t="s">
        <v>86</v>
      </c>
      <c r="D14" s="7" t="n">
        <v>93202</v>
      </c>
      <c r="E14" s="55" t="n">
        <v>200025889312</v>
      </c>
      <c r="F14" s="56" t="s">
        <v>90</v>
      </c>
      <c r="G14" s="55" t="n">
        <v>210262</v>
      </c>
      <c r="H14" s="58" t="n">
        <v>45434.2082291667</v>
      </c>
      <c r="I14" s="7" t="n">
        <v>0</v>
      </c>
      <c r="J14" s="7" t="n">
        <v>13</v>
      </c>
      <c r="K14" s="7" t="n">
        <v>3</v>
      </c>
      <c r="L14" s="56" t="s">
        <v>90</v>
      </c>
      <c r="M14" s="7" t="n">
        <v>4</v>
      </c>
    </row>
    <row r="15" s="1" customFormat="true" ht="14.25" hidden="false" customHeight="false" outlineLevel="0" collapsed="false">
      <c r="A15" s="7" t="n">
        <v>30</v>
      </c>
      <c r="B15" s="7" t="s">
        <v>85</v>
      </c>
      <c r="C15" s="7" t="s">
        <v>86</v>
      </c>
      <c r="D15" s="7" t="n">
        <v>93202</v>
      </c>
      <c r="E15" s="55" t="n">
        <v>200025889312</v>
      </c>
      <c r="F15" s="56" t="s">
        <v>90</v>
      </c>
      <c r="G15" s="55" t="n">
        <v>210262</v>
      </c>
      <c r="H15" s="58" t="n">
        <v>45434.2082407407</v>
      </c>
      <c r="I15" s="7" t="n">
        <v>1</v>
      </c>
      <c r="J15" s="7" t="n">
        <v>14</v>
      </c>
      <c r="K15" s="7" t="n">
        <v>4</v>
      </c>
      <c r="L15" s="56" t="s">
        <v>90</v>
      </c>
      <c r="M15" s="7" t="n">
        <v>4</v>
      </c>
    </row>
    <row r="16" s="1" customFormat="true" ht="14.25" hidden="false" customHeight="false" outlineLevel="0" collapsed="false">
      <c r="A16" s="7" t="n">
        <v>31</v>
      </c>
      <c r="B16" s="7" t="s">
        <v>85</v>
      </c>
      <c r="C16" s="7" t="s">
        <v>86</v>
      </c>
      <c r="D16" s="7" t="n">
        <v>93202</v>
      </c>
      <c r="E16" s="55" t="n">
        <v>200025889312</v>
      </c>
      <c r="F16" s="56" t="s">
        <v>90</v>
      </c>
      <c r="G16" s="55" t="n">
        <v>210262</v>
      </c>
      <c r="H16" s="58" t="n">
        <v>45434.2369444445</v>
      </c>
      <c r="I16" s="7" t="n">
        <v>4</v>
      </c>
      <c r="J16" s="7" t="n">
        <v>15</v>
      </c>
      <c r="K16" s="7" t="n">
        <v>5</v>
      </c>
      <c r="L16" s="56" t="s">
        <v>90</v>
      </c>
      <c r="M16" s="7" t="n">
        <v>4</v>
      </c>
    </row>
    <row r="17" s="1" customFormat="true" ht="14.25" hidden="false" customHeight="false" outlineLevel="0" collapsed="false">
      <c r="A17" s="7" t="n">
        <v>32</v>
      </c>
      <c r="B17" s="7" t="s">
        <v>85</v>
      </c>
      <c r="C17" s="7" t="s">
        <v>86</v>
      </c>
      <c r="D17" s="7" t="n">
        <v>93202</v>
      </c>
      <c r="E17" s="55" t="n">
        <v>200025889312</v>
      </c>
      <c r="F17" s="56" t="s">
        <v>90</v>
      </c>
      <c r="G17" s="55" t="n">
        <v>210262</v>
      </c>
      <c r="H17" s="58" t="n">
        <v>45434.2371064815</v>
      </c>
      <c r="I17" s="7" t="n">
        <v>2</v>
      </c>
      <c r="J17" s="7" t="n">
        <v>16</v>
      </c>
      <c r="K17" s="7" t="n">
        <v>6</v>
      </c>
      <c r="L17" s="56" t="s">
        <v>90</v>
      </c>
      <c r="M17" s="7" t="n">
        <v>4</v>
      </c>
    </row>
    <row r="18" s="1" customFormat="true" ht="14.25" hidden="false" customHeight="false" outlineLevel="0" collapsed="false">
      <c r="A18" s="7" t="n">
        <v>33</v>
      </c>
      <c r="B18" s="7" t="s">
        <v>85</v>
      </c>
      <c r="C18" s="7" t="s">
        <v>86</v>
      </c>
      <c r="D18" s="7" t="n">
        <v>93202</v>
      </c>
      <c r="E18" s="55" t="n">
        <v>200025889312</v>
      </c>
      <c r="F18" s="56" t="s">
        <v>90</v>
      </c>
      <c r="G18" s="55" t="n">
        <v>210262</v>
      </c>
      <c r="H18" s="58" t="n">
        <v>45434.2371990741</v>
      </c>
      <c r="I18" s="7" t="n">
        <v>1</v>
      </c>
      <c r="J18" s="7" t="n">
        <v>17</v>
      </c>
      <c r="K18" s="7" t="n">
        <v>7</v>
      </c>
      <c r="L18" s="56" t="s">
        <v>90</v>
      </c>
      <c r="M18" s="7" t="n">
        <v>4</v>
      </c>
    </row>
    <row r="19" s="1" customFormat="true" ht="14.25" hidden="false" customHeight="false" outlineLevel="0" collapsed="false">
      <c r="A19" s="7" t="n">
        <v>34</v>
      </c>
      <c r="B19" s="7" t="s">
        <v>85</v>
      </c>
      <c r="C19" s="7" t="s">
        <v>86</v>
      </c>
      <c r="D19" s="7" t="n">
        <v>93202</v>
      </c>
      <c r="E19" s="55" t="n">
        <v>200025889312</v>
      </c>
      <c r="F19" s="56" t="s">
        <v>90</v>
      </c>
      <c r="G19" s="55" t="n">
        <v>210262</v>
      </c>
      <c r="H19" s="58" t="n">
        <v>45434.2372222222</v>
      </c>
      <c r="I19" s="7" t="n">
        <v>0</v>
      </c>
      <c r="J19" s="7" t="n">
        <v>18</v>
      </c>
      <c r="K19" s="7" t="n">
        <v>8</v>
      </c>
      <c r="L19" s="56" t="s">
        <v>90</v>
      </c>
      <c r="M19" s="7" t="n">
        <v>4</v>
      </c>
    </row>
    <row r="20" s="1" customFormat="true" ht="14.25" hidden="false" customHeight="false" outlineLevel="0" collapsed="false">
      <c r="A20" s="7" t="n">
        <v>35</v>
      </c>
      <c r="B20" s="7" t="s">
        <v>85</v>
      </c>
      <c r="C20" s="7" t="s">
        <v>86</v>
      </c>
      <c r="D20" s="7" t="n">
        <v>93202</v>
      </c>
      <c r="E20" s="55" t="n">
        <v>200025889312</v>
      </c>
      <c r="F20" s="56" t="s">
        <v>90</v>
      </c>
      <c r="G20" s="55" t="n">
        <v>210262</v>
      </c>
      <c r="H20" s="58" t="n">
        <v>45434.2374074074</v>
      </c>
      <c r="I20" s="7" t="n">
        <v>0</v>
      </c>
      <c r="J20" s="7" t="n">
        <v>19</v>
      </c>
      <c r="K20" s="7" t="n">
        <v>9</v>
      </c>
      <c r="L20" s="56" t="s">
        <v>90</v>
      </c>
      <c r="M20" s="7" t="n">
        <v>4</v>
      </c>
    </row>
    <row r="21" s="1" customFormat="true" ht="14.25" hidden="false" customHeight="false" outlineLevel="0" collapsed="false">
      <c r="A21" s="7" t="n">
        <v>36</v>
      </c>
      <c r="B21" s="7" t="s">
        <v>85</v>
      </c>
      <c r="C21" s="7" t="s">
        <v>86</v>
      </c>
      <c r="D21" s="7" t="n">
        <v>93202</v>
      </c>
      <c r="E21" s="55" t="n">
        <v>200025889312</v>
      </c>
      <c r="F21" s="56" t="s">
        <v>90</v>
      </c>
      <c r="G21" s="55" t="n">
        <v>210262</v>
      </c>
      <c r="H21" s="58" t="n">
        <v>45434.2374189815</v>
      </c>
      <c r="I21" s="7" t="n">
        <v>16</v>
      </c>
      <c r="J21" s="7" t="n">
        <v>20</v>
      </c>
      <c r="K21" s="7" t="n">
        <v>10</v>
      </c>
      <c r="L21" s="56" t="s">
        <v>90</v>
      </c>
      <c r="M21" s="7" t="n">
        <v>4</v>
      </c>
    </row>
    <row r="22" s="1" customFormat="true" ht="14.25" hidden="false" customHeight="false" outlineLevel="0" collapsed="false">
      <c r="A22" s="7" t="n">
        <v>37</v>
      </c>
      <c r="B22" s="7" t="s">
        <v>85</v>
      </c>
      <c r="C22" s="7" t="s">
        <v>86</v>
      </c>
      <c r="D22" s="7" t="n">
        <v>93202</v>
      </c>
      <c r="E22" s="55" t="n">
        <v>200025889312</v>
      </c>
      <c r="F22" s="56" t="s">
        <v>90</v>
      </c>
      <c r="G22" s="55" t="n">
        <v>210262</v>
      </c>
      <c r="H22" s="58" t="n">
        <v>45434.2376041667</v>
      </c>
      <c r="I22" s="7" t="n">
        <v>0</v>
      </c>
      <c r="J22" s="7" t="n">
        <v>21</v>
      </c>
      <c r="K22" s="7" t="n">
        <v>11</v>
      </c>
      <c r="L22" s="56" t="s">
        <v>90</v>
      </c>
      <c r="M22" s="7" t="n">
        <v>4</v>
      </c>
    </row>
    <row r="23" s="1" customFormat="true" ht="14.25" hidden="false" customHeight="false" outlineLevel="0" collapsed="false">
      <c r="A23" s="7" t="n">
        <v>38</v>
      </c>
      <c r="B23" s="7" t="s">
        <v>85</v>
      </c>
      <c r="C23" s="7" t="s">
        <v>86</v>
      </c>
      <c r="D23" s="7" t="n">
        <v>93202</v>
      </c>
      <c r="E23" s="55" t="n">
        <v>200025889312</v>
      </c>
      <c r="F23" s="56" t="s">
        <v>90</v>
      </c>
      <c r="G23" s="55" t="n">
        <v>210262</v>
      </c>
      <c r="H23" s="58" t="n">
        <v>45434.2376041667</v>
      </c>
      <c r="I23" s="7" t="n">
        <v>1</v>
      </c>
      <c r="J23" s="7" t="n">
        <v>22</v>
      </c>
      <c r="K23" s="7" t="n">
        <v>12</v>
      </c>
      <c r="L23" s="56" t="s">
        <v>90</v>
      </c>
      <c r="M23" s="7" t="n">
        <v>4</v>
      </c>
    </row>
    <row r="24" s="1" customFormat="true" ht="14.25" hidden="false" customHeight="false" outlineLevel="0" collapsed="false">
      <c r="A24" s="7" t="n">
        <v>39</v>
      </c>
      <c r="B24" s="7" t="s">
        <v>85</v>
      </c>
      <c r="C24" s="7" t="s">
        <v>86</v>
      </c>
      <c r="D24" s="7" t="n">
        <v>93202</v>
      </c>
      <c r="E24" s="55" t="n">
        <v>200025889312</v>
      </c>
      <c r="F24" s="56" t="s">
        <v>90</v>
      </c>
      <c r="G24" s="55" t="n">
        <v>210262</v>
      </c>
      <c r="H24" s="58" t="n">
        <v>45434.2376157407</v>
      </c>
      <c r="I24" s="7" t="n">
        <v>1</v>
      </c>
      <c r="J24" s="7" t="n">
        <v>23</v>
      </c>
      <c r="K24" s="7" t="n">
        <v>13</v>
      </c>
      <c r="L24" s="56" t="s">
        <v>90</v>
      </c>
      <c r="M24" s="7" t="n">
        <v>4</v>
      </c>
    </row>
    <row r="25" s="1" customFormat="true" ht="14.25" hidden="false" customHeight="false" outlineLevel="0" collapsed="false">
      <c r="A25" s="7" t="n">
        <v>40</v>
      </c>
      <c r="B25" s="7" t="s">
        <v>85</v>
      </c>
      <c r="C25" s="7" t="s">
        <v>86</v>
      </c>
      <c r="D25" s="7" t="n">
        <v>93202</v>
      </c>
      <c r="E25" s="55" t="n">
        <v>200025889312</v>
      </c>
      <c r="F25" s="56" t="s">
        <v>90</v>
      </c>
      <c r="G25" s="55" t="n">
        <v>210262</v>
      </c>
      <c r="H25" s="58" t="n">
        <v>45434.2377777778</v>
      </c>
      <c r="I25" s="7" t="n">
        <v>1</v>
      </c>
      <c r="J25" s="7" t="n">
        <v>24</v>
      </c>
      <c r="K25" s="7" t="n">
        <v>14</v>
      </c>
      <c r="L25" s="56" t="s">
        <v>90</v>
      </c>
      <c r="M25" s="7" t="n">
        <v>4</v>
      </c>
    </row>
    <row r="26" s="1" customFormat="true" ht="14.25" hidden="false" customHeight="false" outlineLevel="0" collapsed="false">
      <c r="A26" s="7" t="n">
        <v>41</v>
      </c>
      <c r="B26" s="7" t="s">
        <v>85</v>
      </c>
      <c r="C26" s="7" t="s">
        <v>86</v>
      </c>
      <c r="D26" s="7" t="n">
        <v>93202</v>
      </c>
      <c r="E26" s="55" t="n">
        <v>200025889312</v>
      </c>
      <c r="F26" s="56" t="s">
        <v>90</v>
      </c>
      <c r="G26" s="55" t="n">
        <v>210262</v>
      </c>
      <c r="H26" s="58" t="n">
        <v>45434.2394907407</v>
      </c>
      <c r="I26" s="7" t="n">
        <v>2</v>
      </c>
      <c r="J26" s="7" t="n">
        <v>25</v>
      </c>
      <c r="K26" s="7" t="n">
        <v>15</v>
      </c>
      <c r="L26" s="56" t="s">
        <v>90</v>
      </c>
      <c r="M26" s="7" t="n">
        <v>4</v>
      </c>
    </row>
    <row r="27" s="1" customFormat="true" ht="14.25" hidden="false" customHeight="false" outlineLevel="0" collapsed="false">
      <c r="A27" s="7" t="n">
        <v>42</v>
      </c>
      <c r="B27" s="7" t="s">
        <v>85</v>
      </c>
      <c r="C27" s="7" t="s">
        <v>86</v>
      </c>
      <c r="D27" s="7" t="n">
        <v>93202</v>
      </c>
      <c r="E27" s="55" t="n">
        <v>200025889312</v>
      </c>
      <c r="F27" s="56" t="s">
        <v>90</v>
      </c>
      <c r="G27" s="55" t="n">
        <v>210262</v>
      </c>
      <c r="H27" s="58" t="n">
        <v>45434.2455324074</v>
      </c>
      <c r="I27" s="7" t="n">
        <v>0</v>
      </c>
      <c r="J27" s="7" t="n">
        <v>26</v>
      </c>
      <c r="K27" s="7" t="n">
        <v>16</v>
      </c>
      <c r="L27" s="56" t="s">
        <v>90</v>
      </c>
      <c r="M27" s="7" t="n">
        <v>4</v>
      </c>
    </row>
    <row r="28" s="1" customFormat="true" ht="14.25" hidden="false" customHeight="false" outlineLevel="0" collapsed="false">
      <c r="A28" s="7" t="n">
        <v>43</v>
      </c>
      <c r="B28" s="7" t="s">
        <v>85</v>
      </c>
      <c r="C28" s="7" t="s">
        <v>86</v>
      </c>
      <c r="D28" s="7" t="n">
        <v>93202</v>
      </c>
      <c r="E28" s="55" t="n">
        <v>200025889312</v>
      </c>
      <c r="F28" s="56" t="s">
        <v>90</v>
      </c>
      <c r="G28" s="55" t="n">
        <v>210262</v>
      </c>
      <c r="H28" s="58" t="n">
        <v>45434.2455555556</v>
      </c>
      <c r="I28" s="7" t="n">
        <v>0</v>
      </c>
      <c r="J28" s="7" t="n">
        <v>27</v>
      </c>
      <c r="K28" s="7" t="n">
        <v>17</v>
      </c>
      <c r="L28" s="56" t="s">
        <v>90</v>
      </c>
      <c r="M28" s="7" t="n">
        <v>4</v>
      </c>
    </row>
    <row r="29" s="1" customFormat="true" ht="14.25" hidden="false" customHeight="false" outlineLevel="0" collapsed="false">
      <c r="A29" s="7" t="n">
        <v>44</v>
      </c>
      <c r="B29" s="7" t="s">
        <v>85</v>
      </c>
      <c r="C29" s="7" t="s">
        <v>86</v>
      </c>
      <c r="D29" s="7" t="n">
        <v>93202</v>
      </c>
      <c r="E29" s="55" t="n">
        <v>200025889312</v>
      </c>
      <c r="F29" s="56" t="s">
        <v>90</v>
      </c>
      <c r="G29" s="55" t="n">
        <v>210262</v>
      </c>
      <c r="H29" s="58" t="n">
        <v>45434.2455671296</v>
      </c>
      <c r="I29" s="7" t="n">
        <v>0</v>
      </c>
      <c r="J29" s="7" t="n">
        <v>28</v>
      </c>
      <c r="K29" s="7" t="n">
        <v>18</v>
      </c>
      <c r="L29" s="56" t="s">
        <v>90</v>
      </c>
      <c r="M29" s="7" t="n">
        <v>4</v>
      </c>
    </row>
    <row r="30" s="1" customFormat="true" ht="14.25" hidden="false" customHeight="false" outlineLevel="0" collapsed="false">
      <c r="A30" s="7" t="n">
        <v>45</v>
      </c>
      <c r="B30" s="7" t="s">
        <v>85</v>
      </c>
      <c r="C30" s="7" t="s">
        <v>86</v>
      </c>
      <c r="D30" s="7" t="n">
        <v>93202</v>
      </c>
      <c r="E30" s="55" t="n">
        <v>200025889312</v>
      </c>
      <c r="F30" s="56" t="s">
        <v>90</v>
      </c>
      <c r="G30" s="55" t="n">
        <v>210262</v>
      </c>
      <c r="H30" s="58" t="n">
        <v>45434.248125</v>
      </c>
      <c r="I30" s="7" t="n">
        <v>0</v>
      </c>
      <c r="J30" s="7" t="n">
        <v>29</v>
      </c>
      <c r="K30" s="7" t="n">
        <v>19</v>
      </c>
      <c r="L30" s="56" t="s">
        <v>90</v>
      </c>
      <c r="M30" s="7" t="n">
        <v>4</v>
      </c>
    </row>
    <row r="31" s="1" customFormat="true" ht="14.25" hidden="false" customHeight="false" outlineLevel="0" collapsed="false">
      <c r="A31" s="7" t="n">
        <v>46</v>
      </c>
      <c r="B31" s="7" t="s">
        <v>85</v>
      </c>
      <c r="C31" s="7" t="s">
        <v>86</v>
      </c>
      <c r="D31" s="7" t="n">
        <v>93202</v>
      </c>
      <c r="E31" s="55" t="n">
        <v>200025889312</v>
      </c>
      <c r="F31" s="56" t="s">
        <v>90</v>
      </c>
      <c r="G31" s="55" t="n">
        <v>210262</v>
      </c>
      <c r="H31" s="58" t="n">
        <v>45434.2682175926</v>
      </c>
      <c r="I31" s="7" t="n">
        <v>1</v>
      </c>
      <c r="J31" s="7" t="n">
        <v>30</v>
      </c>
      <c r="K31" s="7" t="n">
        <v>20</v>
      </c>
      <c r="L31" s="56" t="s">
        <v>90</v>
      </c>
      <c r="M31" s="7" t="n">
        <v>4</v>
      </c>
    </row>
    <row r="32" s="1" customFormat="true" ht="14.25" hidden="false" customHeight="false" outlineLevel="0" collapsed="false">
      <c r="A32" s="7" t="n">
        <v>47</v>
      </c>
      <c r="B32" s="7" t="s">
        <v>85</v>
      </c>
      <c r="C32" s="7" t="s">
        <v>86</v>
      </c>
      <c r="D32" s="7" t="n">
        <v>93202</v>
      </c>
      <c r="E32" s="55" t="n">
        <v>200025889312</v>
      </c>
      <c r="F32" s="56" t="s">
        <v>90</v>
      </c>
      <c r="G32" s="55" t="n">
        <v>210262</v>
      </c>
      <c r="H32" s="58" t="n">
        <v>45434.2682407407</v>
      </c>
      <c r="I32" s="7" t="n">
        <v>1</v>
      </c>
      <c r="J32" s="7" t="n">
        <v>31</v>
      </c>
      <c r="K32" s="7" t="n">
        <v>21</v>
      </c>
      <c r="L32" s="56" t="s">
        <v>90</v>
      </c>
      <c r="M32" s="7" t="n">
        <v>4</v>
      </c>
    </row>
    <row r="33" s="1" customFormat="true" ht="14.25" hidden="false" customHeight="false" outlineLevel="0" collapsed="false">
      <c r="A33" s="7" t="n">
        <v>48</v>
      </c>
      <c r="B33" s="7" t="s">
        <v>85</v>
      </c>
      <c r="C33" s="7" t="s">
        <v>86</v>
      </c>
      <c r="D33" s="7" t="n">
        <v>93202</v>
      </c>
      <c r="E33" s="55" t="n">
        <v>200025889312</v>
      </c>
      <c r="F33" s="56" t="s">
        <v>90</v>
      </c>
      <c r="G33" s="55" t="n">
        <v>210262</v>
      </c>
      <c r="H33" s="58" t="n">
        <v>45434.2724768519</v>
      </c>
      <c r="I33" s="7" t="n">
        <v>1</v>
      </c>
      <c r="J33" s="7" t="n">
        <v>32</v>
      </c>
      <c r="K33" s="7" t="n">
        <v>22</v>
      </c>
      <c r="L33" s="56" t="s">
        <v>90</v>
      </c>
      <c r="M33" s="7" t="n">
        <v>4</v>
      </c>
    </row>
    <row r="34" s="1" customFormat="true" ht="14.25" hidden="false" customHeight="false" outlineLevel="0" collapsed="false">
      <c r="A34" s="7" t="n">
        <v>49</v>
      </c>
      <c r="B34" s="7" t="s">
        <v>85</v>
      </c>
      <c r="C34" s="7" t="s">
        <v>86</v>
      </c>
      <c r="D34" s="7" t="n">
        <v>93202</v>
      </c>
      <c r="E34" s="55" t="n">
        <v>200025889312</v>
      </c>
      <c r="F34" s="56" t="s">
        <v>90</v>
      </c>
      <c r="G34" s="55" t="n">
        <v>210262</v>
      </c>
      <c r="H34" s="58" t="n">
        <v>45434.2743865741</v>
      </c>
      <c r="I34" s="7" t="n">
        <v>1</v>
      </c>
      <c r="J34" s="7" t="n">
        <v>33</v>
      </c>
      <c r="K34" s="7" t="n">
        <v>23</v>
      </c>
      <c r="L34" s="56" t="s">
        <v>90</v>
      </c>
      <c r="M34" s="7" t="n">
        <v>4</v>
      </c>
    </row>
    <row r="35" s="1" customFormat="true" ht="14.25" hidden="false" customHeight="false" outlineLevel="0" collapsed="false">
      <c r="A35" s="7" t="n">
        <v>50</v>
      </c>
      <c r="B35" s="7" t="s">
        <v>85</v>
      </c>
      <c r="C35" s="7" t="s">
        <v>86</v>
      </c>
      <c r="D35" s="7" t="n">
        <v>93202</v>
      </c>
      <c r="E35" s="55" t="n">
        <v>200025889312</v>
      </c>
      <c r="F35" s="56" t="s">
        <v>90</v>
      </c>
      <c r="G35" s="55" t="n">
        <v>210262</v>
      </c>
      <c r="H35" s="58" t="n">
        <v>45434.274525463</v>
      </c>
      <c r="I35" s="7" t="n">
        <v>0</v>
      </c>
      <c r="J35" s="7" t="n">
        <v>34</v>
      </c>
      <c r="K35" s="7" t="n">
        <v>24</v>
      </c>
      <c r="L35" s="56" t="s">
        <v>90</v>
      </c>
      <c r="M35" s="7" t="n">
        <v>4</v>
      </c>
    </row>
    <row r="36" s="1" customFormat="true" ht="14.25" hidden="false" customHeight="false" outlineLevel="0" collapsed="false">
      <c r="A36" s="7" t="n">
        <v>51</v>
      </c>
      <c r="B36" s="7" t="s">
        <v>85</v>
      </c>
      <c r="C36" s="7" t="s">
        <v>86</v>
      </c>
      <c r="D36" s="7" t="n">
        <v>93202</v>
      </c>
      <c r="E36" s="55" t="n">
        <v>200025889312</v>
      </c>
      <c r="F36" s="56" t="s">
        <v>90</v>
      </c>
      <c r="G36" s="55" t="n">
        <v>210262</v>
      </c>
      <c r="H36" s="58" t="n">
        <v>45434.3656134259</v>
      </c>
      <c r="I36" s="7" t="n">
        <v>2</v>
      </c>
      <c r="J36" s="7" t="n">
        <v>35</v>
      </c>
      <c r="K36" s="7" t="n">
        <v>25</v>
      </c>
      <c r="L36" s="56" t="s">
        <v>90</v>
      </c>
      <c r="M36" s="7" t="n">
        <v>4</v>
      </c>
    </row>
    <row r="37" s="1" customFormat="true" ht="14.25" hidden="false" customHeight="false" outlineLevel="0" collapsed="false">
      <c r="A37" s="7" t="n">
        <v>52</v>
      </c>
      <c r="B37" s="7" t="s">
        <v>85</v>
      </c>
      <c r="C37" s="7" t="s">
        <v>86</v>
      </c>
      <c r="D37" s="7" t="n">
        <v>93202</v>
      </c>
      <c r="E37" s="55" t="n">
        <v>200025889312</v>
      </c>
      <c r="F37" s="56" t="s">
        <v>90</v>
      </c>
      <c r="G37" s="55" t="n">
        <v>210262</v>
      </c>
      <c r="H37" s="58" t="n">
        <v>45434.3656365741</v>
      </c>
      <c r="I37" s="7" t="n">
        <v>5671</v>
      </c>
      <c r="J37" s="7" t="n">
        <v>36</v>
      </c>
      <c r="K37" s="7" t="n">
        <v>26</v>
      </c>
      <c r="L37" s="56" t="s">
        <v>90</v>
      </c>
      <c r="M37" s="7" t="n">
        <v>4</v>
      </c>
    </row>
    <row r="38" s="1" customFormat="true" ht="14.25" hidden="false" customHeight="false" outlineLevel="0" collapsed="false">
      <c r="A38" s="7" t="n">
        <v>53</v>
      </c>
      <c r="B38" s="7" t="s">
        <v>85</v>
      </c>
      <c r="C38" s="7" t="s">
        <v>86</v>
      </c>
      <c r="D38" s="7" t="n">
        <v>93202</v>
      </c>
      <c r="E38" s="55" t="n">
        <v>200025889312</v>
      </c>
      <c r="F38" s="56" t="s">
        <v>90</v>
      </c>
      <c r="G38" s="55" t="n">
        <v>210262</v>
      </c>
      <c r="H38" s="58" t="n">
        <v>45434.4312847222</v>
      </c>
      <c r="I38" s="7" t="n">
        <v>0</v>
      </c>
      <c r="J38" s="7" t="n">
        <v>37</v>
      </c>
      <c r="K38" s="7" t="n">
        <v>27</v>
      </c>
      <c r="L38" s="56" t="s">
        <v>90</v>
      </c>
      <c r="M38" s="7" t="n">
        <v>4</v>
      </c>
    </row>
    <row r="39" s="1" customFormat="true" ht="14.25" hidden="false" customHeight="false" outlineLevel="0" collapsed="false">
      <c r="A39" s="7" t="n">
        <v>54</v>
      </c>
      <c r="B39" s="7" t="s">
        <v>85</v>
      </c>
      <c r="C39" s="7" t="s">
        <v>86</v>
      </c>
      <c r="D39" s="7" t="n">
        <v>93202</v>
      </c>
      <c r="E39" s="55" t="n">
        <v>200025889312</v>
      </c>
      <c r="F39" s="56" t="s">
        <v>90</v>
      </c>
      <c r="G39" s="55" t="n">
        <v>210262</v>
      </c>
      <c r="H39" s="58" t="n">
        <v>45434.4312962963</v>
      </c>
      <c r="I39" s="7" t="n">
        <v>0</v>
      </c>
      <c r="J39" s="7" t="n">
        <v>38</v>
      </c>
      <c r="K39" s="7" t="n">
        <v>28</v>
      </c>
      <c r="L39" s="56" t="s">
        <v>90</v>
      </c>
      <c r="M39" s="7" t="n">
        <v>4</v>
      </c>
    </row>
    <row r="40" s="1" customFormat="true" ht="14.25" hidden="false" customHeight="false" outlineLevel="0" collapsed="false">
      <c r="A40" s="7" t="n">
        <v>55</v>
      </c>
      <c r="B40" s="7" t="s">
        <v>85</v>
      </c>
      <c r="C40" s="7" t="s">
        <v>86</v>
      </c>
      <c r="D40" s="7" t="n">
        <v>93202</v>
      </c>
      <c r="E40" s="55" t="n">
        <v>200025889312</v>
      </c>
      <c r="F40" s="56" t="s">
        <v>90</v>
      </c>
      <c r="G40" s="55" t="n">
        <v>210262</v>
      </c>
      <c r="H40" s="58" t="n">
        <v>45434.4314699074</v>
      </c>
      <c r="I40" s="7" t="n">
        <v>1</v>
      </c>
      <c r="J40" s="7" t="n">
        <v>39</v>
      </c>
      <c r="K40" s="7" t="n">
        <v>29</v>
      </c>
      <c r="L40" s="56" t="s">
        <v>90</v>
      </c>
      <c r="M40" s="7" t="n">
        <v>4</v>
      </c>
    </row>
    <row r="41" s="1" customFormat="true" ht="14.25" hidden="false" customHeight="false" outlineLevel="0" collapsed="false">
      <c r="A41" s="7" t="n">
        <v>56</v>
      </c>
      <c r="B41" s="7" t="s">
        <v>85</v>
      </c>
      <c r="C41" s="7" t="s">
        <v>86</v>
      </c>
      <c r="D41" s="7" t="n">
        <v>93202</v>
      </c>
      <c r="E41" s="55" t="n">
        <v>200025889312</v>
      </c>
      <c r="F41" s="56" t="s">
        <v>90</v>
      </c>
      <c r="G41" s="55" t="n">
        <v>210262</v>
      </c>
      <c r="H41" s="58" t="n">
        <v>45434.4314814815</v>
      </c>
      <c r="I41" s="7" t="n">
        <v>1</v>
      </c>
      <c r="J41" s="7" t="n">
        <v>40</v>
      </c>
      <c r="K41" s="7" t="n">
        <v>30</v>
      </c>
      <c r="L41" s="56" t="s">
        <v>90</v>
      </c>
      <c r="M41" s="7" t="n">
        <v>4</v>
      </c>
    </row>
    <row r="42" s="1" customFormat="true" ht="14.25" hidden="false" customHeight="false" outlineLevel="0" collapsed="false">
      <c r="A42" s="7" t="n">
        <v>57</v>
      </c>
      <c r="B42" s="7" t="s">
        <v>85</v>
      </c>
      <c r="C42" s="7" t="s">
        <v>86</v>
      </c>
      <c r="D42" s="7" t="n">
        <v>93202</v>
      </c>
      <c r="E42" s="55" t="n">
        <v>200025889312</v>
      </c>
      <c r="F42" s="56" t="s">
        <v>90</v>
      </c>
      <c r="G42" s="55" t="n">
        <v>210262</v>
      </c>
      <c r="H42" s="58" t="n">
        <v>45434.4315046296</v>
      </c>
      <c r="I42" s="7" t="n">
        <v>1</v>
      </c>
      <c r="J42" s="7" t="n">
        <v>41</v>
      </c>
      <c r="K42" s="7" t="n">
        <v>31</v>
      </c>
      <c r="L42" s="56" t="s">
        <v>90</v>
      </c>
      <c r="M42" s="7" t="n">
        <v>4</v>
      </c>
    </row>
    <row r="43" s="1" customFormat="true" ht="14.25" hidden="false" customHeight="false" outlineLevel="0" collapsed="false">
      <c r="A43" s="7" t="n">
        <v>58</v>
      </c>
      <c r="B43" s="7" t="s">
        <v>85</v>
      </c>
      <c r="C43" s="7" t="s">
        <v>86</v>
      </c>
      <c r="D43" s="7" t="n">
        <v>93202</v>
      </c>
      <c r="E43" s="55" t="n">
        <v>200025889054</v>
      </c>
      <c r="F43" s="56" t="s">
        <v>91</v>
      </c>
      <c r="G43" s="56" t="s">
        <v>92</v>
      </c>
      <c r="H43" s="58" t="n">
        <v>45434.4708217593</v>
      </c>
      <c r="I43" s="7" t="n">
        <v>2</v>
      </c>
      <c r="J43" s="7" t="n">
        <v>42</v>
      </c>
      <c r="K43" s="7" t="n">
        <v>1</v>
      </c>
      <c r="L43" s="56" t="s">
        <v>91</v>
      </c>
      <c r="M43" s="7" t="n">
        <v>5</v>
      </c>
    </row>
    <row r="44" s="1" customFormat="true" ht="14.25" hidden="false" customHeight="false" outlineLevel="0" collapsed="false">
      <c r="A44" s="7" t="n">
        <v>59</v>
      </c>
      <c r="B44" s="7" t="s">
        <v>85</v>
      </c>
      <c r="C44" s="7" t="s">
        <v>86</v>
      </c>
      <c r="D44" s="7" t="n">
        <v>93202</v>
      </c>
      <c r="E44" s="55" t="n">
        <v>200025888831</v>
      </c>
      <c r="F44" s="56" t="s">
        <v>93</v>
      </c>
      <c r="G44" s="55" t="n">
        <v>220242</v>
      </c>
      <c r="H44" s="58" t="n">
        <v>45434.4776273148</v>
      </c>
      <c r="I44" s="7" t="n">
        <v>0</v>
      </c>
      <c r="J44" s="7" t="n">
        <v>43</v>
      </c>
      <c r="K44" s="7" t="n">
        <v>1</v>
      </c>
      <c r="L44" s="56" t="s">
        <v>93</v>
      </c>
      <c r="M44" s="7" t="n">
        <v>6</v>
      </c>
    </row>
    <row r="45" s="1" customFormat="true" ht="14.25" hidden="false" customHeight="false" outlineLevel="0" collapsed="false">
      <c r="A45" s="7" t="n">
        <v>60</v>
      </c>
      <c r="B45" s="7" t="s">
        <v>85</v>
      </c>
      <c r="C45" s="7" t="s">
        <v>86</v>
      </c>
      <c r="D45" s="7" t="n">
        <v>93202</v>
      </c>
      <c r="E45" s="55" t="n">
        <v>200025888831</v>
      </c>
      <c r="F45" s="56" t="s">
        <v>93</v>
      </c>
      <c r="G45" s="55" t="n">
        <v>220242</v>
      </c>
      <c r="H45" s="58" t="n">
        <v>45434.4778240741</v>
      </c>
      <c r="I45" s="7" t="n">
        <v>0</v>
      </c>
      <c r="J45" s="7" t="n">
        <v>44</v>
      </c>
      <c r="K45" s="7" t="n">
        <v>2</v>
      </c>
      <c r="L45" s="56" t="s">
        <v>93</v>
      </c>
      <c r="M45" s="7" t="n">
        <v>6</v>
      </c>
    </row>
    <row r="46" s="1" customFormat="true" ht="14.25" hidden="false" customHeight="false" outlineLevel="0" collapsed="false">
      <c r="A46" s="7" t="n">
        <v>61</v>
      </c>
      <c r="B46" s="7" t="s">
        <v>85</v>
      </c>
      <c r="C46" s="7" t="s">
        <v>86</v>
      </c>
      <c r="D46" s="7" t="n">
        <v>93202</v>
      </c>
      <c r="E46" s="55" t="n">
        <v>200025888831</v>
      </c>
      <c r="F46" s="56" t="s">
        <v>93</v>
      </c>
      <c r="G46" s="55" t="n">
        <v>220242</v>
      </c>
      <c r="H46" s="58" t="n">
        <v>45434.4778356482</v>
      </c>
      <c r="I46" s="7" t="n">
        <v>0</v>
      </c>
      <c r="J46" s="7" t="n">
        <v>45</v>
      </c>
      <c r="K46" s="7" t="n">
        <v>3</v>
      </c>
      <c r="L46" s="56" t="s">
        <v>93</v>
      </c>
      <c r="M46" s="7" t="n">
        <v>6</v>
      </c>
    </row>
    <row r="47" s="1" customFormat="true" ht="14.25" hidden="false" customHeight="false" outlineLevel="0" collapsed="false">
      <c r="A47" s="7" t="n">
        <v>62</v>
      </c>
      <c r="B47" s="7" t="s">
        <v>85</v>
      </c>
      <c r="C47" s="7" t="s">
        <v>86</v>
      </c>
      <c r="D47" s="7" t="n">
        <v>93202</v>
      </c>
      <c r="E47" s="55" t="n">
        <v>200025888831</v>
      </c>
      <c r="F47" s="56" t="s">
        <v>93</v>
      </c>
      <c r="G47" s="55" t="n">
        <v>220242</v>
      </c>
      <c r="H47" s="58" t="n">
        <v>45434.4778472222</v>
      </c>
      <c r="I47" s="7" t="n">
        <v>1520</v>
      </c>
      <c r="J47" s="7" t="n">
        <v>46</v>
      </c>
      <c r="K47" s="7" t="n">
        <v>4</v>
      </c>
      <c r="L47" s="56" t="s">
        <v>93</v>
      </c>
      <c r="M47" s="7" t="n">
        <v>6</v>
      </c>
    </row>
    <row r="48" s="1" customFormat="true" ht="14.25" hidden="false" customHeight="false" outlineLevel="0" collapsed="false">
      <c r="A48" s="7" t="n">
        <v>63</v>
      </c>
      <c r="B48" s="7" t="s">
        <v>85</v>
      </c>
      <c r="C48" s="7" t="s">
        <v>86</v>
      </c>
      <c r="D48" s="7" t="n">
        <v>93202</v>
      </c>
      <c r="E48" s="55" t="n">
        <v>200025889312</v>
      </c>
      <c r="F48" s="56" t="s">
        <v>90</v>
      </c>
      <c r="G48" s="55" t="n">
        <v>210262</v>
      </c>
      <c r="H48" s="58" t="n">
        <v>45434.4987037037</v>
      </c>
      <c r="I48" s="7" t="n">
        <v>1</v>
      </c>
      <c r="J48" s="7" t="n">
        <v>47</v>
      </c>
      <c r="K48" s="7" t="n">
        <v>32</v>
      </c>
      <c r="L48" s="56" t="s">
        <v>90</v>
      </c>
      <c r="M48" s="7" t="n">
        <v>4</v>
      </c>
    </row>
    <row r="49" s="1" customFormat="true" ht="14.25" hidden="false" customHeight="false" outlineLevel="0" collapsed="false">
      <c r="A49" s="7" t="n">
        <v>64</v>
      </c>
      <c r="B49" s="7" t="s">
        <v>85</v>
      </c>
      <c r="C49" s="7" t="s">
        <v>86</v>
      </c>
      <c r="D49" s="7" t="n">
        <v>93202</v>
      </c>
      <c r="E49" s="55" t="n">
        <v>200025889312</v>
      </c>
      <c r="F49" s="56" t="s">
        <v>90</v>
      </c>
      <c r="G49" s="55" t="n">
        <v>210262</v>
      </c>
      <c r="H49" s="58" t="n">
        <v>45434.4987152778</v>
      </c>
      <c r="I49" s="7" t="n">
        <v>1</v>
      </c>
      <c r="J49" s="7" t="n">
        <v>48</v>
      </c>
      <c r="K49" s="7" t="n">
        <v>33</v>
      </c>
      <c r="L49" s="56" t="s">
        <v>90</v>
      </c>
      <c r="M49" s="7" t="n">
        <v>4</v>
      </c>
    </row>
    <row r="50" s="1" customFormat="true" ht="14.25" hidden="false" customHeight="false" outlineLevel="0" collapsed="false">
      <c r="A50" s="7" t="n">
        <v>65</v>
      </c>
      <c r="B50" s="7" t="s">
        <v>85</v>
      </c>
      <c r="C50" s="7" t="s">
        <v>86</v>
      </c>
      <c r="D50" s="7" t="n">
        <v>93202</v>
      </c>
      <c r="E50" s="55" t="n">
        <v>200025888284</v>
      </c>
      <c r="F50" s="56" t="s">
        <v>94</v>
      </c>
      <c r="G50" s="55" t="n">
        <v>220244</v>
      </c>
      <c r="H50" s="58" t="n">
        <v>45434.519212963</v>
      </c>
      <c r="I50" s="7" t="n">
        <v>0</v>
      </c>
      <c r="J50" s="7" t="n">
        <v>49</v>
      </c>
      <c r="K50" s="7" t="n">
        <v>1</v>
      </c>
      <c r="L50" s="56" t="s">
        <v>94</v>
      </c>
      <c r="M50" s="7" t="n">
        <v>7</v>
      </c>
    </row>
    <row r="51" s="1" customFormat="true" ht="14.25" hidden="false" customHeight="false" outlineLevel="0" collapsed="false">
      <c r="A51" s="7" t="n">
        <v>66</v>
      </c>
      <c r="B51" s="7" t="s">
        <v>85</v>
      </c>
      <c r="C51" s="7" t="s">
        <v>86</v>
      </c>
      <c r="D51" s="7" t="n">
        <v>93202</v>
      </c>
      <c r="E51" s="55" t="n">
        <v>200025888284</v>
      </c>
      <c r="F51" s="56" t="s">
        <v>94</v>
      </c>
      <c r="G51" s="55" t="n">
        <v>220244</v>
      </c>
      <c r="H51" s="58" t="n">
        <v>45434.519212963</v>
      </c>
      <c r="I51" s="7" t="n">
        <v>1</v>
      </c>
      <c r="J51" s="7" t="n">
        <v>50</v>
      </c>
      <c r="K51" s="7" t="n">
        <v>2</v>
      </c>
      <c r="L51" s="56" t="s">
        <v>94</v>
      </c>
      <c r="M51" s="7" t="n">
        <v>7</v>
      </c>
    </row>
    <row r="52" s="1" customFormat="true" ht="14.25" hidden="false" customHeight="false" outlineLevel="0" collapsed="false">
      <c r="A52" s="7" t="n">
        <v>67</v>
      </c>
      <c r="B52" s="7" t="s">
        <v>85</v>
      </c>
      <c r="C52" s="7" t="s">
        <v>86</v>
      </c>
      <c r="D52" s="7" t="n">
        <v>93202</v>
      </c>
      <c r="E52" s="55" t="n">
        <v>200025888284</v>
      </c>
      <c r="F52" s="56" t="s">
        <v>94</v>
      </c>
      <c r="G52" s="55" t="n">
        <v>220244</v>
      </c>
      <c r="H52" s="58" t="n">
        <v>45434.5195949074</v>
      </c>
      <c r="I52" s="7" t="n">
        <v>0</v>
      </c>
      <c r="J52" s="7" t="n">
        <v>51</v>
      </c>
      <c r="K52" s="7" t="n">
        <v>3</v>
      </c>
      <c r="L52" s="56" t="s">
        <v>94</v>
      </c>
      <c r="M52" s="7" t="n">
        <v>7</v>
      </c>
    </row>
    <row r="53" customFormat="false" ht="14.25" hidden="false" customHeight="false" outlineLevel="0" collapsed="false">
      <c r="A53" s="7" t="n">
        <v>68</v>
      </c>
      <c r="B53" s="7" t="s">
        <v>85</v>
      </c>
      <c r="C53" s="7" t="s">
        <v>86</v>
      </c>
      <c r="D53" s="7" t="n">
        <v>93202</v>
      </c>
      <c r="E53" s="55" t="n">
        <v>200025888284</v>
      </c>
      <c r="F53" s="56" t="s">
        <v>94</v>
      </c>
      <c r="G53" s="55" t="n">
        <v>220244</v>
      </c>
      <c r="H53" s="58" t="n">
        <v>45434.5196064815</v>
      </c>
      <c r="I53" s="7" t="n">
        <v>2</v>
      </c>
      <c r="J53" s="7" t="n">
        <v>52</v>
      </c>
      <c r="K53" s="7" t="n">
        <v>4</v>
      </c>
      <c r="L53" s="56" t="s">
        <v>94</v>
      </c>
      <c r="M53" s="7" t="n">
        <v>7</v>
      </c>
    </row>
    <row r="54" s="1" customFormat="true" ht="14.25" hidden="false" customHeight="false" outlineLevel="0" collapsed="false">
      <c r="A54" s="7" t="n">
        <v>69</v>
      </c>
      <c r="B54" s="7" t="s">
        <v>85</v>
      </c>
      <c r="C54" s="7" t="s">
        <v>86</v>
      </c>
      <c r="D54" s="7" t="n">
        <v>93202</v>
      </c>
      <c r="E54" s="55" t="n">
        <v>200025889054</v>
      </c>
      <c r="F54" s="56" t="s">
        <v>91</v>
      </c>
      <c r="G54" s="56" t="s">
        <v>92</v>
      </c>
      <c r="H54" s="58" t="n">
        <v>45434.567025463</v>
      </c>
      <c r="I54" s="7" t="n">
        <v>0</v>
      </c>
      <c r="J54" s="7" t="n">
        <v>53</v>
      </c>
      <c r="K54" s="7" t="n">
        <v>2</v>
      </c>
      <c r="L54" s="56" t="s">
        <v>91</v>
      </c>
      <c r="M54" s="7" t="n">
        <v>5</v>
      </c>
    </row>
    <row r="55" s="1" customFormat="true" ht="14.25" hidden="false" customHeight="false" outlineLevel="0" collapsed="false">
      <c r="A55" s="7" t="n">
        <v>70</v>
      </c>
      <c r="B55" s="7" t="s">
        <v>85</v>
      </c>
      <c r="C55" s="7" t="s">
        <v>86</v>
      </c>
      <c r="D55" s="7" t="n">
        <v>93202</v>
      </c>
      <c r="E55" s="55" t="n">
        <v>200025889054</v>
      </c>
      <c r="F55" s="56" t="s">
        <v>91</v>
      </c>
      <c r="G55" s="56" t="s">
        <v>92</v>
      </c>
      <c r="H55" s="58" t="n">
        <v>45434.567025463</v>
      </c>
      <c r="I55" s="7" t="n">
        <v>1</v>
      </c>
      <c r="J55" s="7" t="n">
        <v>54</v>
      </c>
      <c r="K55" s="7" t="n">
        <v>3</v>
      </c>
      <c r="L55" s="56" t="s">
        <v>91</v>
      </c>
      <c r="M55" s="7" t="n">
        <v>5</v>
      </c>
    </row>
    <row r="56" s="1" customFormat="true" ht="14.25" hidden="false" customHeight="false" outlineLevel="0" collapsed="false">
      <c r="A56" s="7" t="n">
        <v>71</v>
      </c>
      <c r="B56" s="7" t="s">
        <v>85</v>
      </c>
      <c r="C56" s="7" t="s">
        <v>86</v>
      </c>
      <c r="D56" s="7" t="n">
        <v>93202</v>
      </c>
      <c r="E56" s="55" t="n">
        <v>200025889054</v>
      </c>
      <c r="F56" s="56" t="s">
        <v>91</v>
      </c>
      <c r="G56" s="56" t="s">
        <v>92</v>
      </c>
      <c r="H56" s="58" t="n">
        <v>45434.5670486111</v>
      </c>
      <c r="I56" s="7" t="n">
        <v>1</v>
      </c>
      <c r="J56" s="7" t="n">
        <v>55</v>
      </c>
      <c r="K56" s="7" t="n">
        <v>4</v>
      </c>
      <c r="L56" s="56" t="s">
        <v>91</v>
      </c>
      <c r="M56" s="7" t="n">
        <v>5</v>
      </c>
    </row>
    <row r="57" s="1" customFormat="true" ht="14.25" hidden="false" customHeight="false" outlineLevel="0" collapsed="false">
      <c r="A57" s="7" t="n">
        <v>72</v>
      </c>
      <c r="B57" s="7" t="s">
        <v>85</v>
      </c>
      <c r="C57" s="7" t="s">
        <v>86</v>
      </c>
      <c r="D57" s="7" t="n">
        <v>93202</v>
      </c>
      <c r="E57" s="55" t="n">
        <v>200025888898</v>
      </c>
      <c r="F57" s="56" t="s">
        <v>95</v>
      </c>
      <c r="G57" s="55" t="n">
        <v>180085</v>
      </c>
      <c r="H57" s="58" t="n">
        <v>45434.5774652778</v>
      </c>
      <c r="I57" s="7" t="n">
        <v>0</v>
      </c>
      <c r="J57" s="7" t="n">
        <v>56</v>
      </c>
      <c r="K57" s="7" t="n">
        <v>1</v>
      </c>
      <c r="L57" s="56" t="s">
        <v>95</v>
      </c>
      <c r="M57" s="7" t="n">
        <v>8</v>
      </c>
    </row>
    <row r="58" s="1" customFormat="true" ht="14.25" hidden="false" customHeight="false" outlineLevel="0" collapsed="false">
      <c r="A58" s="7" t="n">
        <v>73</v>
      </c>
      <c r="B58" s="7" t="s">
        <v>85</v>
      </c>
      <c r="C58" s="7" t="s">
        <v>86</v>
      </c>
      <c r="D58" s="7" t="n">
        <v>93202</v>
      </c>
      <c r="E58" s="55" t="n">
        <v>200025888898</v>
      </c>
      <c r="F58" s="56" t="s">
        <v>95</v>
      </c>
      <c r="G58" s="55" t="n">
        <v>180085</v>
      </c>
      <c r="H58" s="58" t="n">
        <v>45434.5776388889</v>
      </c>
      <c r="I58" s="7" t="n">
        <v>1</v>
      </c>
      <c r="J58" s="7" t="n">
        <v>57</v>
      </c>
      <c r="K58" s="7" t="n">
        <v>2</v>
      </c>
      <c r="L58" s="56" t="s">
        <v>95</v>
      </c>
      <c r="M58" s="7" t="n">
        <v>8</v>
      </c>
    </row>
    <row r="59" s="1" customFormat="true" ht="14.25" hidden="false" customHeight="false" outlineLevel="0" collapsed="false">
      <c r="A59" s="7" t="n">
        <v>74</v>
      </c>
      <c r="B59" s="7" t="s">
        <v>85</v>
      </c>
      <c r="C59" s="7" t="s">
        <v>86</v>
      </c>
      <c r="D59" s="7" t="n">
        <v>93202</v>
      </c>
      <c r="E59" s="55" t="n">
        <v>200025888898</v>
      </c>
      <c r="F59" s="56" t="s">
        <v>95</v>
      </c>
      <c r="G59" s="55" t="n">
        <v>180085</v>
      </c>
      <c r="H59" s="58" t="n">
        <v>45434.577662037</v>
      </c>
      <c r="I59" s="7" t="n">
        <v>0</v>
      </c>
      <c r="J59" s="7" t="n">
        <v>58</v>
      </c>
      <c r="K59" s="7" t="n">
        <v>3</v>
      </c>
      <c r="L59" s="56" t="s">
        <v>95</v>
      </c>
      <c r="M59" s="7" t="n">
        <v>8</v>
      </c>
    </row>
    <row r="60" s="1" customFormat="true" ht="14.25" hidden="false" customHeight="false" outlineLevel="0" collapsed="false">
      <c r="A60" s="7" t="n">
        <v>75</v>
      </c>
      <c r="B60" s="7" t="s">
        <v>85</v>
      </c>
      <c r="C60" s="7" t="s">
        <v>86</v>
      </c>
      <c r="D60" s="7" t="n">
        <v>93202</v>
      </c>
      <c r="E60" s="55" t="n">
        <v>200025888284</v>
      </c>
      <c r="F60" s="56" t="s">
        <v>94</v>
      </c>
      <c r="G60" s="55" t="n">
        <v>220244</v>
      </c>
      <c r="H60" s="58" t="n">
        <v>45434.5819328704</v>
      </c>
      <c r="I60" s="7" t="n">
        <v>2</v>
      </c>
      <c r="J60" s="7" t="n">
        <v>59</v>
      </c>
      <c r="K60" s="7" t="n">
        <v>5</v>
      </c>
      <c r="L60" s="56" t="s">
        <v>94</v>
      </c>
      <c r="M60" s="7" t="n">
        <v>7</v>
      </c>
    </row>
    <row r="61" s="1" customFormat="true" ht="14.25" hidden="false" customHeight="false" outlineLevel="0" collapsed="false">
      <c r="A61" s="7" t="n">
        <v>76</v>
      </c>
      <c r="B61" s="7" t="s">
        <v>85</v>
      </c>
      <c r="C61" s="7" t="s">
        <v>86</v>
      </c>
      <c r="D61" s="7" t="n">
        <v>93202</v>
      </c>
      <c r="E61" s="55" t="n">
        <v>200025888284</v>
      </c>
      <c r="F61" s="56" t="s">
        <v>94</v>
      </c>
      <c r="G61" s="55" t="n">
        <v>220244</v>
      </c>
      <c r="H61" s="58" t="n">
        <v>45434.5821990741</v>
      </c>
      <c r="I61" s="7" t="n">
        <v>1</v>
      </c>
      <c r="J61" s="7" t="n">
        <v>60</v>
      </c>
      <c r="K61" s="7" t="n">
        <v>6</v>
      </c>
      <c r="L61" s="56" t="s">
        <v>94</v>
      </c>
      <c r="M61" s="7" t="n">
        <v>7</v>
      </c>
    </row>
    <row r="62" s="1" customFormat="true" ht="14.25" hidden="false" customHeight="false" outlineLevel="0" collapsed="false">
      <c r="A62" s="7" t="n">
        <v>77</v>
      </c>
      <c r="B62" s="7" t="s">
        <v>85</v>
      </c>
      <c r="C62" s="7" t="s">
        <v>86</v>
      </c>
      <c r="D62" s="7" t="n">
        <v>93202</v>
      </c>
      <c r="E62" s="55" t="n">
        <v>200025888284</v>
      </c>
      <c r="F62" s="56" t="s">
        <v>94</v>
      </c>
      <c r="G62" s="55" t="n">
        <v>220244</v>
      </c>
      <c r="H62" s="58" t="n">
        <v>45434.5822222222</v>
      </c>
      <c r="I62" s="7" t="n">
        <v>0</v>
      </c>
      <c r="J62" s="7" t="n">
        <v>61</v>
      </c>
      <c r="K62" s="7" t="n">
        <v>7</v>
      </c>
      <c r="L62" s="56" t="s">
        <v>94</v>
      </c>
      <c r="M62" s="7" t="n">
        <v>7</v>
      </c>
    </row>
    <row r="63" s="1" customFormat="true" ht="14.25" hidden="false" customHeight="false" outlineLevel="0" collapsed="false">
      <c r="A63" s="7" t="n">
        <v>78</v>
      </c>
      <c r="B63" s="7" t="s">
        <v>85</v>
      </c>
      <c r="C63" s="7" t="s">
        <v>86</v>
      </c>
      <c r="D63" s="7" t="n">
        <v>93202</v>
      </c>
      <c r="E63" s="55" t="n">
        <v>200025888284</v>
      </c>
      <c r="F63" s="56" t="s">
        <v>94</v>
      </c>
      <c r="G63" s="55" t="n">
        <v>220244</v>
      </c>
      <c r="H63" s="58" t="n">
        <v>45434.5823263889</v>
      </c>
      <c r="I63" s="7" t="n">
        <v>0</v>
      </c>
      <c r="J63" s="7" t="n">
        <v>62</v>
      </c>
      <c r="K63" s="7" t="n">
        <v>8</v>
      </c>
      <c r="L63" s="56" t="s">
        <v>94</v>
      </c>
      <c r="M63" s="7" t="n">
        <v>7</v>
      </c>
    </row>
    <row r="64" s="1" customFormat="true" ht="14.25" hidden="false" customHeight="false" outlineLevel="0" collapsed="false">
      <c r="A64" s="7" t="n">
        <v>79</v>
      </c>
      <c r="B64" s="7" t="s">
        <v>85</v>
      </c>
      <c r="C64" s="7" t="s">
        <v>86</v>
      </c>
      <c r="D64" s="7" t="n">
        <v>93202</v>
      </c>
      <c r="E64" s="55" t="n">
        <v>200025888284</v>
      </c>
      <c r="F64" s="56" t="s">
        <v>94</v>
      </c>
      <c r="G64" s="55" t="n">
        <v>220244</v>
      </c>
      <c r="H64" s="58" t="n">
        <v>45434.582349537</v>
      </c>
      <c r="I64" s="7" t="n">
        <v>0</v>
      </c>
      <c r="J64" s="7" t="n">
        <v>63</v>
      </c>
      <c r="K64" s="7" t="n">
        <v>9</v>
      </c>
      <c r="L64" s="56" t="s">
        <v>94</v>
      </c>
      <c r="M64" s="7" t="n">
        <v>7</v>
      </c>
    </row>
    <row r="65" s="1" customFormat="true" ht="14.25" hidden="false" customHeight="false" outlineLevel="0" collapsed="false">
      <c r="A65" s="7" t="n">
        <v>80</v>
      </c>
      <c r="B65" s="7" t="s">
        <v>85</v>
      </c>
      <c r="C65" s="7" t="s">
        <v>86</v>
      </c>
      <c r="D65" s="7" t="n">
        <v>93202</v>
      </c>
      <c r="E65" s="55" t="n">
        <v>200025888284</v>
      </c>
      <c r="F65" s="56" t="s">
        <v>94</v>
      </c>
      <c r="G65" s="55" t="n">
        <v>220244</v>
      </c>
      <c r="H65" s="58" t="n">
        <v>45434.582650463</v>
      </c>
      <c r="I65" s="7" t="n">
        <v>1</v>
      </c>
      <c r="J65" s="7" t="n">
        <v>64</v>
      </c>
      <c r="K65" s="7" t="n">
        <v>10</v>
      </c>
      <c r="L65" s="56" t="s">
        <v>94</v>
      </c>
      <c r="M65" s="7" t="n">
        <v>7</v>
      </c>
    </row>
    <row r="66" s="1" customFormat="true" ht="14.25" hidden="false" customHeight="false" outlineLevel="0" collapsed="false">
      <c r="A66" s="7" t="n">
        <v>81</v>
      </c>
      <c r="B66" s="7" t="s">
        <v>85</v>
      </c>
      <c r="C66" s="7" t="s">
        <v>86</v>
      </c>
      <c r="D66" s="7" t="n">
        <v>93202</v>
      </c>
      <c r="E66" s="55" t="n">
        <v>200025888284</v>
      </c>
      <c r="F66" s="56" t="s">
        <v>94</v>
      </c>
      <c r="G66" s="55" t="n">
        <v>220244</v>
      </c>
      <c r="H66" s="58" t="n">
        <v>45434.5826736111</v>
      </c>
      <c r="I66" s="7" t="n">
        <v>0</v>
      </c>
      <c r="J66" s="7" t="n">
        <v>65</v>
      </c>
      <c r="K66" s="7" t="n">
        <v>11</v>
      </c>
      <c r="L66" s="56" t="s">
        <v>94</v>
      </c>
      <c r="M66" s="7" t="n">
        <v>7</v>
      </c>
    </row>
    <row r="67" s="1" customFormat="true" ht="14.25" hidden="false" customHeight="false" outlineLevel="0" collapsed="false">
      <c r="A67" s="7" t="n">
        <v>82</v>
      </c>
      <c r="B67" s="7" t="s">
        <v>85</v>
      </c>
      <c r="C67" s="7" t="s">
        <v>86</v>
      </c>
      <c r="D67" s="7" t="n">
        <v>93202</v>
      </c>
      <c r="E67" s="55" t="n">
        <v>200025889054</v>
      </c>
      <c r="F67" s="56" t="s">
        <v>91</v>
      </c>
      <c r="G67" s="56" t="s">
        <v>92</v>
      </c>
      <c r="H67" s="58" t="n">
        <v>45434.5969560185</v>
      </c>
      <c r="I67" s="7" t="n">
        <v>0</v>
      </c>
      <c r="J67" s="7" t="n">
        <v>66</v>
      </c>
      <c r="K67" s="7" t="n">
        <v>5</v>
      </c>
      <c r="L67" s="56" t="s">
        <v>91</v>
      </c>
      <c r="M67" s="7" t="n">
        <v>5</v>
      </c>
    </row>
    <row r="68" s="1" customFormat="true" ht="14.25" hidden="false" customHeight="false" outlineLevel="0" collapsed="false">
      <c r="A68" s="7" t="n">
        <v>83</v>
      </c>
      <c r="B68" s="7" t="s">
        <v>85</v>
      </c>
      <c r="C68" s="7" t="s">
        <v>86</v>
      </c>
      <c r="D68" s="7" t="n">
        <v>93202</v>
      </c>
      <c r="E68" s="55" t="n">
        <v>200025889054</v>
      </c>
      <c r="F68" s="56" t="s">
        <v>91</v>
      </c>
      <c r="G68" s="56" t="s">
        <v>92</v>
      </c>
      <c r="H68" s="58" t="n">
        <v>45434.5969675926</v>
      </c>
      <c r="I68" s="7" t="n">
        <v>0</v>
      </c>
      <c r="J68" s="7" t="n">
        <v>67</v>
      </c>
      <c r="K68" s="7" t="n">
        <v>6</v>
      </c>
      <c r="L68" s="56" t="s">
        <v>91</v>
      </c>
      <c r="M68" s="7" t="n">
        <v>5</v>
      </c>
    </row>
    <row r="69" s="1" customFormat="true" ht="14.25" hidden="false" customHeight="false" outlineLevel="0" collapsed="false">
      <c r="A69" s="7" t="n">
        <v>84</v>
      </c>
      <c r="B69" s="7" t="s">
        <v>85</v>
      </c>
      <c r="C69" s="7" t="s">
        <v>86</v>
      </c>
      <c r="D69" s="7" t="n">
        <v>93202</v>
      </c>
      <c r="E69" s="55" t="n">
        <v>200025889054</v>
      </c>
      <c r="F69" s="56" t="s">
        <v>91</v>
      </c>
      <c r="G69" s="56" t="s">
        <v>92</v>
      </c>
      <c r="H69" s="58" t="n">
        <v>45434.5969791667</v>
      </c>
      <c r="I69" s="7" t="n">
        <v>0</v>
      </c>
      <c r="J69" s="7" t="n">
        <v>68</v>
      </c>
      <c r="K69" s="7" t="n">
        <v>7</v>
      </c>
      <c r="L69" s="56" t="s">
        <v>91</v>
      </c>
      <c r="M69" s="7" t="n">
        <v>5</v>
      </c>
    </row>
    <row r="70" s="1" customFormat="true" ht="14.25" hidden="false" customHeight="false" outlineLevel="0" collapsed="false">
      <c r="A70" s="7" t="n">
        <v>85</v>
      </c>
      <c r="B70" s="7" t="s">
        <v>85</v>
      </c>
      <c r="C70" s="7" t="s">
        <v>86</v>
      </c>
      <c r="D70" s="7" t="n">
        <v>93202</v>
      </c>
      <c r="E70" s="55" t="n">
        <v>200025889054</v>
      </c>
      <c r="F70" s="56" t="s">
        <v>91</v>
      </c>
      <c r="G70" s="56" t="s">
        <v>92</v>
      </c>
      <c r="H70" s="58" t="n">
        <v>45434.5969791667</v>
      </c>
      <c r="I70" s="7" t="n">
        <v>1</v>
      </c>
      <c r="J70" s="7" t="n">
        <v>69</v>
      </c>
      <c r="K70" s="7" t="n">
        <v>8</v>
      </c>
      <c r="L70" s="56" t="s">
        <v>91</v>
      </c>
      <c r="M70" s="7" t="n">
        <v>5</v>
      </c>
    </row>
    <row r="71" s="1" customFormat="true" ht="14.25" hidden="false" customHeight="false" outlineLevel="0" collapsed="false">
      <c r="A71" s="7" t="n">
        <v>86</v>
      </c>
      <c r="B71" s="7" t="s">
        <v>85</v>
      </c>
      <c r="C71" s="7" t="s">
        <v>86</v>
      </c>
      <c r="D71" s="7" t="n">
        <v>93202</v>
      </c>
      <c r="E71" s="55" t="n">
        <v>200025889054</v>
      </c>
      <c r="F71" s="56" t="s">
        <v>91</v>
      </c>
      <c r="G71" s="56" t="s">
        <v>92</v>
      </c>
      <c r="H71" s="58" t="n">
        <v>45434.5969907407</v>
      </c>
      <c r="I71" s="7" t="n">
        <v>0</v>
      </c>
      <c r="J71" s="7" t="n">
        <v>70</v>
      </c>
      <c r="K71" s="7" t="n">
        <v>9</v>
      </c>
      <c r="L71" s="56" t="s">
        <v>91</v>
      </c>
      <c r="M71" s="7" t="n">
        <v>5</v>
      </c>
    </row>
    <row r="72" s="1" customFormat="true" ht="14.25" hidden="false" customHeight="false" outlineLevel="0" collapsed="false">
      <c r="A72" s="7" t="n">
        <v>87</v>
      </c>
      <c r="B72" s="7" t="s">
        <v>85</v>
      </c>
      <c r="C72" s="7" t="s">
        <v>86</v>
      </c>
      <c r="D72" s="7" t="n">
        <v>93202</v>
      </c>
      <c r="E72" s="55" t="n">
        <v>200025889054</v>
      </c>
      <c r="F72" s="56" t="s">
        <v>91</v>
      </c>
      <c r="G72" s="56" t="s">
        <v>92</v>
      </c>
      <c r="H72" s="58" t="n">
        <v>45434.5971412037</v>
      </c>
      <c r="I72" s="7" t="n">
        <v>2</v>
      </c>
      <c r="J72" s="7" t="n">
        <v>71</v>
      </c>
      <c r="K72" s="7" t="n">
        <v>10</v>
      </c>
      <c r="L72" s="56" t="s">
        <v>91</v>
      </c>
      <c r="M72" s="7" t="n">
        <v>5</v>
      </c>
    </row>
    <row r="73" s="1" customFormat="true" ht="14.25" hidden="false" customHeight="false" outlineLevel="0" collapsed="false">
      <c r="A73" s="7" t="n">
        <v>88</v>
      </c>
      <c r="B73" s="7" t="s">
        <v>85</v>
      </c>
      <c r="C73" s="7" t="s">
        <v>86</v>
      </c>
      <c r="D73" s="7" t="n">
        <v>93202</v>
      </c>
      <c r="E73" s="55" t="n">
        <v>200025889054</v>
      </c>
      <c r="F73" s="56" t="s">
        <v>91</v>
      </c>
      <c r="G73" s="56" t="s">
        <v>92</v>
      </c>
      <c r="H73" s="58" t="n">
        <v>45434.5973148148</v>
      </c>
      <c r="I73" s="7" t="n">
        <v>0</v>
      </c>
      <c r="J73" s="7" t="n">
        <v>72</v>
      </c>
      <c r="K73" s="7" t="n">
        <v>11</v>
      </c>
      <c r="L73" s="56" t="s">
        <v>91</v>
      </c>
      <c r="M73" s="7" t="n">
        <v>5</v>
      </c>
    </row>
    <row r="74" s="1" customFormat="true" ht="14.25" hidden="false" customHeight="false" outlineLevel="0" collapsed="false">
      <c r="A74" s="7" t="n">
        <v>89</v>
      </c>
      <c r="B74" s="7" t="s">
        <v>85</v>
      </c>
      <c r="C74" s="7" t="s">
        <v>86</v>
      </c>
      <c r="D74" s="7" t="n">
        <v>93202</v>
      </c>
      <c r="E74" s="55" t="n">
        <v>200025889054</v>
      </c>
      <c r="F74" s="56" t="s">
        <v>91</v>
      </c>
      <c r="G74" s="56" t="s">
        <v>92</v>
      </c>
      <c r="H74" s="58" t="n">
        <v>45434.5973263889</v>
      </c>
      <c r="I74" s="7" t="n">
        <v>1</v>
      </c>
      <c r="J74" s="7" t="n">
        <v>73</v>
      </c>
      <c r="K74" s="7" t="n">
        <v>12</v>
      </c>
      <c r="L74" s="56" t="s">
        <v>91</v>
      </c>
      <c r="M74" s="7" t="n">
        <v>5</v>
      </c>
    </row>
    <row r="75" s="1" customFormat="true" ht="14.25" hidden="false" customHeight="false" outlineLevel="0" collapsed="false">
      <c r="A75" s="7" t="n">
        <v>90</v>
      </c>
      <c r="B75" s="7" t="s">
        <v>85</v>
      </c>
      <c r="C75" s="7" t="s">
        <v>86</v>
      </c>
      <c r="D75" s="7" t="n">
        <v>93202</v>
      </c>
      <c r="E75" s="55" t="n">
        <v>200025889054</v>
      </c>
      <c r="F75" s="56" t="s">
        <v>91</v>
      </c>
      <c r="G75" s="56" t="s">
        <v>92</v>
      </c>
      <c r="H75" s="58" t="n">
        <v>45434.5974421296</v>
      </c>
      <c r="I75" s="7" t="n">
        <v>0</v>
      </c>
      <c r="J75" s="7" t="n">
        <v>74</v>
      </c>
      <c r="K75" s="7" t="n">
        <v>13</v>
      </c>
      <c r="L75" s="56" t="s">
        <v>91</v>
      </c>
      <c r="M75" s="7" t="n">
        <v>5</v>
      </c>
    </row>
    <row r="76" s="1" customFormat="true" ht="14.25" hidden="false" customHeight="false" outlineLevel="0" collapsed="false">
      <c r="A76" s="7" t="n">
        <v>91</v>
      </c>
      <c r="B76" s="7" t="s">
        <v>85</v>
      </c>
      <c r="C76" s="7" t="s">
        <v>86</v>
      </c>
      <c r="D76" s="7" t="n">
        <v>93202</v>
      </c>
      <c r="E76" s="55" t="n">
        <v>200025889054</v>
      </c>
      <c r="F76" s="56" t="s">
        <v>91</v>
      </c>
      <c r="G76" s="56" t="s">
        <v>92</v>
      </c>
      <c r="H76" s="58" t="n">
        <v>45434.5974421296</v>
      </c>
      <c r="I76" s="7" t="n">
        <v>1</v>
      </c>
      <c r="J76" s="7" t="n">
        <v>75</v>
      </c>
      <c r="K76" s="7" t="n">
        <v>14</v>
      </c>
      <c r="L76" s="56" t="s">
        <v>91</v>
      </c>
      <c r="M76" s="7" t="n">
        <v>5</v>
      </c>
    </row>
    <row r="77" s="1" customFormat="true" ht="14.25" hidden="false" customHeight="false" outlineLevel="0" collapsed="false">
      <c r="A77" s="7" t="n">
        <v>92</v>
      </c>
      <c r="B77" s="7" t="s">
        <v>85</v>
      </c>
      <c r="C77" s="7" t="s">
        <v>86</v>
      </c>
      <c r="D77" s="7" t="n">
        <v>93202</v>
      </c>
      <c r="E77" s="55" t="n">
        <v>200025889800</v>
      </c>
      <c r="F77" s="56" t="s">
        <v>96</v>
      </c>
      <c r="G77" s="55" t="n">
        <v>210257</v>
      </c>
      <c r="H77" s="58" t="n">
        <v>45434.6040972222</v>
      </c>
      <c r="I77" s="7" t="n">
        <v>0</v>
      </c>
      <c r="J77" s="7" t="n">
        <v>76</v>
      </c>
      <c r="K77" s="7" t="n">
        <v>1</v>
      </c>
      <c r="L77" s="56" t="s">
        <v>96</v>
      </c>
      <c r="M77" s="7" t="n">
        <v>9</v>
      </c>
    </row>
    <row r="78" s="1" customFormat="true" ht="14.25" hidden="false" customHeight="false" outlineLevel="0" collapsed="false">
      <c r="A78" s="7" t="n">
        <v>93</v>
      </c>
      <c r="B78" s="7" t="s">
        <v>85</v>
      </c>
      <c r="C78" s="7" t="s">
        <v>86</v>
      </c>
      <c r="D78" s="7" t="n">
        <v>93202</v>
      </c>
      <c r="E78" s="55" t="n">
        <v>200025889800</v>
      </c>
      <c r="F78" s="56" t="s">
        <v>96</v>
      </c>
      <c r="G78" s="55" t="n">
        <v>210257</v>
      </c>
      <c r="H78" s="58" t="n">
        <v>45434.6056481482</v>
      </c>
      <c r="I78" s="7" t="n">
        <v>1</v>
      </c>
      <c r="J78" s="7" t="n">
        <v>77</v>
      </c>
      <c r="K78" s="7" t="n">
        <v>2</v>
      </c>
      <c r="L78" s="56" t="s">
        <v>96</v>
      </c>
      <c r="M78" s="7" t="n">
        <v>9</v>
      </c>
    </row>
    <row r="79" s="1" customFormat="true" ht="14.25" hidden="false" customHeight="false" outlineLevel="0" collapsed="false">
      <c r="A79" s="7" t="n">
        <v>94</v>
      </c>
      <c r="B79" s="7" t="s">
        <v>85</v>
      </c>
      <c r="C79" s="7" t="s">
        <v>86</v>
      </c>
      <c r="D79" s="7" t="n">
        <v>93202</v>
      </c>
      <c r="E79" s="55" t="n">
        <v>200025889800</v>
      </c>
      <c r="F79" s="56" t="s">
        <v>96</v>
      </c>
      <c r="G79" s="55" t="n">
        <v>210257</v>
      </c>
      <c r="H79" s="58" t="n">
        <v>45434.6056597222</v>
      </c>
      <c r="I79" s="7" t="n">
        <v>0</v>
      </c>
      <c r="J79" s="7" t="n">
        <v>78</v>
      </c>
      <c r="K79" s="7" t="n">
        <v>3</v>
      </c>
      <c r="L79" s="56" t="s">
        <v>96</v>
      </c>
      <c r="M79" s="7" t="n">
        <v>9</v>
      </c>
    </row>
    <row r="80" s="1" customFormat="true" ht="14.25" hidden="false" customHeight="false" outlineLevel="0" collapsed="false">
      <c r="A80" s="7" t="n">
        <v>95</v>
      </c>
      <c r="B80" s="7" t="s">
        <v>85</v>
      </c>
      <c r="C80" s="7" t="s">
        <v>86</v>
      </c>
      <c r="D80" s="7" t="n">
        <v>93202</v>
      </c>
      <c r="E80" s="55" t="n">
        <v>200025889800</v>
      </c>
      <c r="F80" s="56" t="s">
        <v>96</v>
      </c>
      <c r="G80" s="55" t="n">
        <v>210257</v>
      </c>
      <c r="H80" s="58" t="n">
        <v>45434.6058217593</v>
      </c>
      <c r="I80" s="7" t="n">
        <v>0</v>
      </c>
      <c r="J80" s="7" t="n">
        <v>79</v>
      </c>
      <c r="K80" s="7" t="n">
        <v>4</v>
      </c>
      <c r="L80" s="56" t="s">
        <v>96</v>
      </c>
      <c r="M80" s="7" t="n">
        <v>9</v>
      </c>
    </row>
    <row r="81" s="1" customFormat="true" ht="14.25" hidden="false" customHeight="false" outlineLevel="0" collapsed="false">
      <c r="A81" s="7" t="n">
        <v>96</v>
      </c>
      <c r="B81" s="7" t="s">
        <v>85</v>
      </c>
      <c r="C81" s="7" t="s">
        <v>86</v>
      </c>
      <c r="D81" s="7" t="n">
        <v>93202</v>
      </c>
      <c r="E81" s="55" t="n">
        <v>200025889800</v>
      </c>
      <c r="F81" s="56" t="s">
        <v>96</v>
      </c>
      <c r="G81" s="55" t="n">
        <v>210257</v>
      </c>
      <c r="H81" s="58" t="n">
        <v>45434.6058564815</v>
      </c>
      <c r="I81" s="7" t="n">
        <v>1</v>
      </c>
      <c r="J81" s="7" t="n">
        <v>80</v>
      </c>
      <c r="K81" s="7" t="n">
        <v>5</v>
      </c>
      <c r="L81" s="56" t="s">
        <v>96</v>
      </c>
      <c r="M81" s="7" t="n">
        <v>9</v>
      </c>
    </row>
    <row r="82" s="1" customFormat="true" ht="14.25" hidden="false" customHeight="false" outlineLevel="0" collapsed="false">
      <c r="A82" s="7" t="n">
        <v>97</v>
      </c>
      <c r="B82" s="7" t="s">
        <v>85</v>
      </c>
      <c r="C82" s="7" t="s">
        <v>86</v>
      </c>
      <c r="D82" s="7" t="n">
        <v>93202</v>
      </c>
      <c r="E82" s="55" t="n">
        <v>200025889800</v>
      </c>
      <c r="F82" s="56" t="s">
        <v>96</v>
      </c>
      <c r="G82" s="55" t="n">
        <v>210257</v>
      </c>
      <c r="H82" s="58" t="n">
        <v>45434.6100115741</v>
      </c>
      <c r="I82" s="7" t="n">
        <v>0</v>
      </c>
      <c r="J82" s="7" t="n">
        <v>81</v>
      </c>
      <c r="K82" s="7" t="n">
        <v>6</v>
      </c>
      <c r="L82" s="56" t="s">
        <v>96</v>
      </c>
      <c r="M82" s="7" t="n">
        <v>9</v>
      </c>
    </row>
    <row r="83" s="1" customFormat="true" ht="14.25" hidden="false" customHeight="false" outlineLevel="0" collapsed="false">
      <c r="A83" s="7" t="n">
        <v>98</v>
      </c>
      <c r="B83" s="7" t="s">
        <v>85</v>
      </c>
      <c r="C83" s="7" t="s">
        <v>86</v>
      </c>
      <c r="D83" s="7" t="n">
        <v>93202</v>
      </c>
      <c r="E83" s="55" t="n">
        <v>200025889800</v>
      </c>
      <c r="F83" s="56" t="s">
        <v>96</v>
      </c>
      <c r="G83" s="55" t="n">
        <v>210257</v>
      </c>
      <c r="H83" s="58" t="n">
        <v>45434.6101273148</v>
      </c>
      <c r="I83" s="7" t="n">
        <v>0</v>
      </c>
      <c r="J83" s="7" t="n">
        <v>82</v>
      </c>
      <c r="K83" s="7" t="n">
        <v>7</v>
      </c>
      <c r="L83" s="56" t="s">
        <v>96</v>
      </c>
      <c r="M83" s="7" t="n">
        <v>9</v>
      </c>
    </row>
    <row r="84" s="1" customFormat="true" ht="14.25" hidden="false" customHeight="false" outlineLevel="0" collapsed="false">
      <c r="A84" s="7" t="n">
        <v>99</v>
      </c>
      <c r="B84" s="7" t="s">
        <v>85</v>
      </c>
      <c r="C84" s="7" t="s">
        <v>86</v>
      </c>
      <c r="D84" s="7" t="n">
        <v>93202</v>
      </c>
      <c r="E84" s="55" t="n">
        <v>200025889800</v>
      </c>
      <c r="F84" s="56" t="s">
        <v>96</v>
      </c>
      <c r="G84" s="55" t="n">
        <v>210257</v>
      </c>
      <c r="H84" s="58" t="n">
        <v>45434.6101388889</v>
      </c>
      <c r="I84" s="7" t="n">
        <v>2</v>
      </c>
      <c r="J84" s="7" t="n">
        <v>83</v>
      </c>
      <c r="K84" s="7" t="n">
        <v>8</v>
      </c>
      <c r="L84" s="56" t="s">
        <v>96</v>
      </c>
      <c r="M84" s="7" t="n">
        <v>9</v>
      </c>
    </row>
    <row r="85" s="1" customFormat="true" ht="14.25" hidden="false" customHeight="false" outlineLevel="0" collapsed="false">
      <c r="A85" s="7" t="n">
        <v>100</v>
      </c>
      <c r="B85" s="7" t="s">
        <v>85</v>
      </c>
      <c r="C85" s="7" t="s">
        <v>86</v>
      </c>
      <c r="D85" s="7" t="n">
        <v>93202</v>
      </c>
      <c r="E85" s="55" t="n">
        <v>200025889800</v>
      </c>
      <c r="F85" s="56" t="s">
        <v>96</v>
      </c>
      <c r="G85" s="55" t="n">
        <v>210257</v>
      </c>
      <c r="H85" s="58" t="n">
        <v>45434.610162037</v>
      </c>
      <c r="I85" s="7" t="n">
        <v>24</v>
      </c>
      <c r="J85" s="7" t="n">
        <v>84</v>
      </c>
      <c r="K85" s="7" t="n">
        <v>9</v>
      </c>
      <c r="L85" s="56" t="s">
        <v>96</v>
      </c>
      <c r="M85" s="7" t="n">
        <v>9</v>
      </c>
    </row>
    <row r="86" s="1" customFormat="true" ht="14.25" hidden="false" customHeight="false" outlineLevel="0" collapsed="false">
      <c r="A86" s="7" t="n">
        <v>101</v>
      </c>
      <c r="B86" s="7" t="s">
        <v>85</v>
      </c>
      <c r="C86" s="7" t="s">
        <v>86</v>
      </c>
      <c r="D86" s="7" t="n">
        <v>93202</v>
      </c>
      <c r="E86" s="55" t="n">
        <v>200025889800</v>
      </c>
      <c r="F86" s="56" t="s">
        <v>96</v>
      </c>
      <c r="G86" s="55" t="n">
        <v>210257</v>
      </c>
      <c r="H86" s="58" t="n">
        <v>45434.610462963</v>
      </c>
      <c r="I86" s="7" t="n">
        <v>1</v>
      </c>
      <c r="J86" s="7" t="n">
        <v>85</v>
      </c>
      <c r="K86" s="7" t="n">
        <v>10</v>
      </c>
      <c r="L86" s="56" t="s">
        <v>96</v>
      </c>
      <c r="M86" s="7" t="n">
        <v>9</v>
      </c>
    </row>
    <row r="87" s="1" customFormat="true" ht="14.25" hidden="false" customHeight="false" outlineLevel="0" collapsed="false">
      <c r="A87" s="7" t="n">
        <v>102</v>
      </c>
      <c r="B87" s="7" t="s">
        <v>85</v>
      </c>
      <c r="C87" s="7" t="s">
        <v>86</v>
      </c>
      <c r="D87" s="7" t="n">
        <v>93202</v>
      </c>
      <c r="E87" s="55" t="n">
        <v>200025888284</v>
      </c>
      <c r="F87" s="56" t="s">
        <v>94</v>
      </c>
      <c r="G87" s="55" t="n">
        <v>220244</v>
      </c>
      <c r="H87" s="58" t="n">
        <v>45434.6187731482</v>
      </c>
      <c r="I87" s="7" t="n">
        <v>1</v>
      </c>
      <c r="J87" s="7" t="n">
        <v>86</v>
      </c>
      <c r="K87" s="7" t="n">
        <v>12</v>
      </c>
      <c r="L87" s="56" t="s">
        <v>94</v>
      </c>
      <c r="M87" s="7" t="n">
        <v>7</v>
      </c>
    </row>
    <row r="88" s="1" customFormat="true" ht="14.25" hidden="false" customHeight="false" outlineLevel="0" collapsed="false">
      <c r="A88" s="7" t="n">
        <v>103</v>
      </c>
      <c r="B88" s="7" t="s">
        <v>85</v>
      </c>
      <c r="C88" s="7" t="s">
        <v>86</v>
      </c>
      <c r="D88" s="7" t="n">
        <v>93202</v>
      </c>
      <c r="E88" s="55" t="n">
        <v>200025889787</v>
      </c>
      <c r="F88" s="56" t="s">
        <v>97</v>
      </c>
      <c r="G88" s="55" t="n">
        <v>210260</v>
      </c>
      <c r="H88" s="58" t="n">
        <v>45434.6339930556</v>
      </c>
      <c r="I88" s="7" t="n">
        <v>0</v>
      </c>
      <c r="J88" s="7" t="n">
        <v>87</v>
      </c>
      <c r="K88" s="7" t="n">
        <v>1</v>
      </c>
      <c r="L88" s="56" t="s">
        <v>97</v>
      </c>
      <c r="M88" s="7" t="n">
        <v>10</v>
      </c>
    </row>
    <row r="89" s="1" customFormat="true" ht="14.25" hidden="false" customHeight="false" outlineLevel="0" collapsed="false">
      <c r="A89" s="7" t="n">
        <v>104</v>
      </c>
      <c r="B89" s="7" t="s">
        <v>85</v>
      </c>
      <c r="C89" s="7" t="s">
        <v>86</v>
      </c>
      <c r="D89" s="7" t="n">
        <v>93202</v>
      </c>
      <c r="E89" s="55" t="n">
        <v>200025889787</v>
      </c>
      <c r="F89" s="56" t="s">
        <v>97</v>
      </c>
      <c r="G89" s="55" t="n">
        <v>210260</v>
      </c>
      <c r="H89" s="58" t="n">
        <v>45434.6407060185</v>
      </c>
      <c r="I89" s="7" t="n">
        <v>1</v>
      </c>
      <c r="J89" s="7" t="n">
        <v>88</v>
      </c>
      <c r="K89" s="7" t="n">
        <v>2</v>
      </c>
      <c r="L89" s="56" t="s">
        <v>97</v>
      </c>
      <c r="M89" s="7" t="n">
        <v>10</v>
      </c>
    </row>
    <row r="90" s="1" customFormat="true" ht="14.25" hidden="false" customHeight="false" outlineLevel="0" collapsed="false">
      <c r="A90" s="7" t="n">
        <v>105</v>
      </c>
      <c r="B90" s="7" t="s">
        <v>85</v>
      </c>
      <c r="C90" s="7" t="s">
        <v>86</v>
      </c>
      <c r="D90" s="7" t="n">
        <v>93202</v>
      </c>
      <c r="E90" s="55" t="n">
        <v>200025889787</v>
      </c>
      <c r="F90" s="56" t="s">
        <v>97</v>
      </c>
      <c r="G90" s="55" t="n">
        <v>210260</v>
      </c>
      <c r="H90" s="58" t="n">
        <v>45434.6407291667</v>
      </c>
      <c r="I90" s="7" t="n">
        <v>0</v>
      </c>
      <c r="J90" s="7" t="n">
        <v>89</v>
      </c>
      <c r="K90" s="7" t="n">
        <v>3</v>
      </c>
      <c r="L90" s="56" t="s">
        <v>97</v>
      </c>
      <c r="M90" s="7" t="n">
        <v>10</v>
      </c>
    </row>
    <row r="91" s="1" customFormat="true" ht="14.25" hidden="false" customHeight="false" outlineLevel="0" collapsed="false">
      <c r="A91" s="7" t="n">
        <v>106</v>
      </c>
      <c r="B91" s="7" t="s">
        <v>85</v>
      </c>
      <c r="C91" s="7" t="s">
        <v>86</v>
      </c>
      <c r="D91" s="7" t="n">
        <v>93202</v>
      </c>
      <c r="E91" s="55" t="n">
        <v>200025889787</v>
      </c>
      <c r="F91" s="56" t="s">
        <v>97</v>
      </c>
      <c r="G91" s="55" t="n">
        <v>210260</v>
      </c>
      <c r="H91" s="58" t="n">
        <v>45434.6407407407</v>
      </c>
      <c r="I91" s="7" t="n">
        <v>0</v>
      </c>
      <c r="J91" s="7" t="n">
        <v>90</v>
      </c>
      <c r="K91" s="7" t="n">
        <v>4</v>
      </c>
      <c r="L91" s="56" t="s">
        <v>97</v>
      </c>
      <c r="M91" s="7" t="n">
        <v>10</v>
      </c>
    </row>
    <row r="92" s="1" customFormat="true" ht="14.25" hidden="false" customHeight="false" outlineLevel="0" collapsed="false">
      <c r="A92" s="7" t="n">
        <v>107</v>
      </c>
      <c r="B92" s="7" t="s">
        <v>85</v>
      </c>
      <c r="C92" s="7" t="s">
        <v>86</v>
      </c>
      <c r="D92" s="7" t="n">
        <v>93202</v>
      </c>
      <c r="E92" s="55" t="n">
        <v>200025888841</v>
      </c>
      <c r="F92" s="56" t="s">
        <v>87</v>
      </c>
      <c r="G92" s="7" t="n">
        <v>230111</v>
      </c>
      <c r="H92" s="58" t="n">
        <v>45434.6496180556</v>
      </c>
      <c r="I92" s="7" t="n">
        <v>1</v>
      </c>
      <c r="J92" s="7" t="n">
        <v>91</v>
      </c>
      <c r="K92" s="7" t="n">
        <v>3</v>
      </c>
      <c r="L92" s="56" t="s">
        <v>87</v>
      </c>
      <c r="M92" s="7" t="n">
        <v>1</v>
      </c>
    </row>
    <row r="93" s="1" customFormat="true" ht="14.25" hidden="false" customHeight="false" outlineLevel="0" collapsed="false">
      <c r="A93" s="7" t="n">
        <v>108</v>
      </c>
      <c r="B93" s="7" t="s">
        <v>85</v>
      </c>
      <c r="C93" s="7" t="s">
        <v>86</v>
      </c>
      <c r="D93" s="7" t="n">
        <v>93202</v>
      </c>
      <c r="E93" s="55" t="n">
        <v>200025888841</v>
      </c>
      <c r="F93" s="56" t="s">
        <v>87</v>
      </c>
      <c r="G93" s="7" t="n">
        <v>230111</v>
      </c>
      <c r="H93" s="58" t="n">
        <v>45434.6497453704</v>
      </c>
      <c r="I93" s="7" t="n">
        <v>0</v>
      </c>
      <c r="J93" s="7" t="n">
        <v>92</v>
      </c>
      <c r="K93" s="7" t="n">
        <v>4</v>
      </c>
      <c r="L93" s="56" t="s">
        <v>87</v>
      </c>
      <c r="M93" s="7" t="n">
        <v>1</v>
      </c>
    </row>
    <row r="94" s="1" customFormat="true" ht="14.25" hidden="false" customHeight="false" outlineLevel="0" collapsed="false">
      <c r="A94" s="7" t="n">
        <v>109</v>
      </c>
      <c r="B94" s="7" t="s">
        <v>85</v>
      </c>
      <c r="C94" s="7" t="s">
        <v>86</v>
      </c>
      <c r="D94" s="7" t="n">
        <v>93202</v>
      </c>
      <c r="E94" s="55" t="n">
        <v>200025888841</v>
      </c>
      <c r="F94" s="56" t="s">
        <v>87</v>
      </c>
      <c r="G94" s="7" t="n">
        <v>230111</v>
      </c>
      <c r="H94" s="58" t="n">
        <v>45434.6499421296</v>
      </c>
      <c r="I94" s="7" t="n">
        <v>1</v>
      </c>
      <c r="J94" s="7" t="n">
        <v>93</v>
      </c>
      <c r="K94" s="7" t="n">
        <v>5</v>
      </c>
      <c r="L94" s="56" t="s">
        <v>87</v>
      </c>
      <c r="M94" s="7" t="n">
        <v>1</v>
      </c>
    </row>
    <row r="95" s="1" customFormat="true" ht="14.25" hidden="false" customHeight="false" outlineLevel="0" collapsed="false">
      <c r="A95" s="7" t="n">
        <v>110</v>
      </c>
      <c r="B95" s="7" t="s">
        <v>85</v>
      </c>
      <c r="C95" s="7" t="s">
        <v>86</v>
      </c>
      <c r="D95" s="7" t="n">
        <v>93202</v>
      </c>
      <c r="E95" s="55" t="n">
        <v>200025888841</v>
      </c>
      <c r="F95" s="56" t="s">
        <v>87</v>
      </c>
      <c r="G95" s="7" t="n">
        <v>230111</v>
      </c>
      <c r="H95" s="58" t="n">
        <v>45434.6502083333</v>
      </c>
      <c r="I95" s="7" t="n">
        <v>1</v>
      </c>
      <c r="J95" s="7" t="n">
        <v>94</v>
      </c>
      <c r="K95" s="7" t="n">
        <v>6</v>
      </c>
      <c r="L95" s="56" t="s">
        <v>87</v>
      </c>
      <c r="M95" s="7" t="n">
        <v>1</v>
      </c>
    </row>
    <row r="96" s="1" customFormat="true" ht="14.25" hidden="false" customHeight="false" outlineLevel="0" collapsed="false">
      <c r="A96" s="7" t="n">
        <v>111</v>
      </c>
      <c r="B96" s="7" t="s">
        <v>85</v>
      </c>
      <c r="C96" s="7" t="s">
        <v>86</v>
      </c>
      <c r="D96" s="7" t="n">
        <v>93202</v>
      </c>
      <c r="E96" s="55" t="n">
        <v>200025888841</v>
      </c>
      <c r="F96" s="56" t="s">
        <v>87</v>
      </c>
      <c r="G96" s="7" t="n">
        <v>230111</v>
      </c>
      <c r="H96" s="58" t="n">
        <v>45434.6502199074</v>
      </c>
      <c r="I96" s="7" t="n">
        <v>3</v>
      </c>
      <c r="J96" s="7" t="n">
        <v>95</v>
      </c>
      <c r="K96" s="7" t="n">
        <v>7</v>
      </c>
      <c r="L96" s="56" t="s">
        <v>87</v>
      </c>
      <c r="M96" s="7" t="n">
        <v>1</v>
      </c>
    </row>
    <row r="97" s="1" customFormat="true" ht="14.25" hidden="false" customHeight="false" outlineLevel="0" collapsed="false">
      <c r="A97" s="7" t="n">
        <v>112</v>
      </c>
      <c r="B97" s="7" t="s">
        <v>85</v>
      </c>
      <c r="C97" s="7" t="s">
        <v>86</v>
      </c>
      <c r="D97" s="7" t="n">
        <v>93202</v>
      </c>
      <c r="E97" s="55" t="n">
        <v>200025888841</v>
      </c>
      <c r="F97" s="56" t="s">
        <v>87</v>
      </c>
      <c r="G97" s="7" t="n">
        <v>230111</v>
      </c>
      <c r="H97" s="58" t="n">
        <v>45434.6504398148</v>
      </c>
      <c r="I97" s="7" t="n">
        <v>1</v>
      </c>
      <c r="J97" s="7" t="n">
        <v>96</v>
      </c>
      <c r="K97" s="7" t="n">
        <v>8</v>
      </c>
      <c r="L97" s="56" t="s">
        <v>87</v>
      </c>
      <c r="M97" s="7" t="n">
        <v>1</v>
      </c>
    </row>
    <row r="98" s="1" customFormat="true" ht="14.25" hidden="false" customHeight="false" outlineLevel="0" collapsed="false">
      <c r="A98" s="7" t="n">
        <v>113</v>
      </c>
      <c r="B98" s="7" t="s">
        <v>85</v>
      </c>
      <c r="C98" s="7" t="s">
        <v>86</v>
      </c>
      <c r="D98" s="7" t="n">
        <v>93202</v>
      </c>
      <c r="E98" s="55" t="n">
        <v>200025888841</v>
      </c>
      <c r="F98" s="56" t="s">
        <v>87</v>
      </c>
      <c r="G98" s="7" t="n">
        <v>230111</v>
      </c>
      <c r="H98" s="58" t="n">
        <v>45434.6504513889</v>
      </c>
      <c r="I98" s="7" t="n">
        <v>13</v>
      </c>
      <c r="J98" s="7" t="n">
        <v>97</v>
      </c>
      <c r="K98" s="7" t="n">
        <v>9</v>
      </c>
      <c r="L98" s="56" t="s">
        <v>87</v>
      </c>
      <c r="M98" s="7" t="n">
        <v>1</v>
      </c>
    </row>
    <row r="99" s="1" customFormat="true" ht="14.25" hidden="false" customHeight="false" outlineLevel="0" collapsed="false">
      <c r="A99" s="7" t="n">
        <v>114</v>
      </c>
      <c r="B99" s="7" t="s">
        <v>85</v>
      </c>
      <c r="C99" s="7" t="s">
        <v>86</v>
      </c>
      <c r="D99" s="7" t="n">
        <v>93202</v>
      </c>
      <c r="E99" s="55" t="n">
        <v>200025888841</v>
      </c>
      <c r="F99" s="56" t="s">
        <v>87</v>
      </c>
      <c r="G99" s="7" t="n">
        <v>230111</v>
      </c>
      <c r="H99" s="58" t="n">
        <v>45434.650625</v>
      </c>
      <c r="I99" s="7" t="n">
        <v>1</v>
      </c>
      <c r="J99" s="7" t="n">
        <v>98</v>
      </c>
      <c r="K99" s="7" t="n">
        <v>10</v>
      </c>
      <c r="L99" s="56" t="s">
        <v>87</v>
      </c>
      <c r="M99" s="7" t="n">
        <v>1</v>
      </c>
    </row>
    <row r="100" s="1" customFormat="true" ht="14.25" hidden="false" customHeight="false" outlineLevel="0" collapsed="false">
      <c r="A100" s="7" t="n">
        <v>115</v>
      </c>
      <c r="B100" s="7" t="s">
        <v>85</v>
      </c>
      <c r="C100" s="7" t="s">
        <v>86</v>
      </c>
      <c r="D100" s="7" t="n">
        <v>93202</v>
      </c>
      <c r="E100" s="55" t="n">
        <v>200025888841</v>
      </c>
      <c r="F100" s="56" t="s">
        <v>87</v>
      </c>
      <c r="G100" s="7" t="n">
        <v>230111</v>
      </c>
      <c r="H100" s="58" t="n">
        <v>45434.6509722222</v>
      </c>
      <c r="I100" s="7" t="n">
        <v>1</v>
      </c>
      <c r="J100" s="7" t="n">
        <v>99</v>
      </c>
      <c r="K100" s="7" t="n">
        <v>11</v>
      </c>
      <c r="L100" s="56" t="s">
        <v>87</v>
      </c>
      <c r="M100" s="7" t="n">
        <v>1</v>
      </c>
    </row>
    <row r="101" s="1" customFormat="true" ht="14.25" hidden="false" customHeight="false" outlineLevel="0" collapsed="false">
      <c r="A101" s="7" t="n">
        <v>116</v>
      </c>
      <c r="B101" s="7" t="s">
        <v>85</v>
      </c>
      <c r="C101" s="7" t="s">
        <v>86</v>
      </c>
      <c r="D101" s="7" t="n">
        <v>93202</v>
      </c>
      <c r="E101" s="55" t="n">
        <v>200025888841</v>
      </c>
      <c r="F101" s="56" t="s">
        <v>87</v>
      </c>
      <c r="G101" s="7" t="n">
        <v>230111</v>
      </c>
      <c r="H101" s="58" t="n">
        <v>45434.651412037</v>
      </c>
      <c r="I101" s="7" t="n">
        <v>21</v>
      </c>
      <c r="J101" s="7" t="n">
        <v>100</v>
      </c>
      <c r="K101" s="7" t="n">
        <v>12</v>
      </c>
      <c r="L101" s="56" t="s">
        <v>87</v>
      </c>
      <c r="M101" s="7" t="n">
        <v>1</v>
      </c>
    </row>
    <row r="102" s="1" customFormat="true" ht="14.25" hidden="false" customHeight="false" outlineLevel="0" collapsed="false">
      <c r="A102" s="7" t="n">
        <v>117</v>
      </c>
      <c r="B102" s="7" t="s">
        <v>85</v>
      </c>
      <c r="C102" s="7" t="s">
        <v>86</v>
      </c>
      <c r="D102" s="7" t="n">
        <v>93202</v>
      </c>
      <c r="E102" s="55" t="n">
        <v>200025888841</v>
      </c>
      <c r="F102" s="56" t="s">
        <v>87</v>
      </c>
      <c r="G102" s="7" t="n">
        <v>230111</v>
      </c>
      <c r="H102" s="58" t="n">
        <v>45434.6516550926</v>
      </c>
      <c r="I102" s="7" t="n">
        <v>0</v>
      </c>
      <c r="J102" s="7" t="n">
        <v>101</v>
      </c>
      <c r="K102" s="7" t="n">
        <v>13</v>
      </c>
      <c r="L102" s="56" t="s">
        <v>87</v>
      </c>
      <c r="M102" s="7" t="n">
        <v>1</v>
      </c>
    </row>
    <row r="103" s="1" customFormat="true" ht="14.25" hidden="false" customHeight="false" outlineLevel="0" collapsed="false">
      <c r="A103" s="7" t="n">
        <v>118</v>
      </c>
      <c r="B103" s="7" t="s">
        <v>85</v>
      </c>
      <c r="C103" s="7" t="s">
        <v>86</v>
      </c>
      <c r="D103" s="7" t="n">
        <v>93202</v>
      </c>
      <c r="E103" s="55" t="n">
        <v>200025888284</v>
      </c>
      <c r="F103" s="56" t="s">
        <v>94</v>
      </c>
      <c r="G103" s="55" t="n">
        <v>220244</v>
      </c>
      <c r="H103" s="58" t="n">
        <v>45434.6594444445</v>
      </c>
      <c r="I103" s="7" t="n">
        <v>0</v>
      </c>
      <c r="J103" s="7" t="n">
        <v>102</v>
      </c>
      <c r="K103" s="7" t="n">
        <v>13</v>
      </c>
      <c r="L103" s="56" t="s">
        <v>94</v>
      </c>
      <c r="M103" s="7" t="n">
        <v>7</v>
      </c>
    </row>
    <row r="104" s="1" customFormat="true" ht="14.25" hidden="false" customHeight="false" outlineLevel="0" collapsed="false">
      <c r="A104" s="7" t="n">
        <v>119</v>
      </c>
      <c r="B104" s="7" t="s">
        <v>85</v>
      </c>
      <c r="C104" s="7" t="s">
        <v>86</v>
      </c>
      <c r="D104" s="7" t="n">
        <v>93202</v>
      </c>
      <c r="E104" s="55" t="n">
        <v>200025888284</v>
      </c>
      <c r="F104" s="56" t="s">
        <v>94</v>
      </c>
      <c r="G104" s="55" t="n">
        <v>220244</v>
      </c>
      <c r="H104" s="58" t="n">
        <v>45434.6594560185</v>
      </c>
      <c r="I104" s="7" t="n">
        <v>1</v>
      </c>
      <c r="J104" s="7" t="n">
        <v>103</v>
      </c>
      <c r="K104" s="7" t="n">
        <v>14</v>
      </c>
      <c r="L104" s="56" t="s">
        <v>94</v>
      </c>
      <c r="M104" s="7" t="n">
        <v>7</v>
      </c>
    </row>
    <row r="105" s="1" customFormat="true" ht="14.25" hidden="false" customHeight="false" outlineLevel="0" collapsed="false">
      <c r="A105" s="7" t="n">
        <v>120</v>
      </c>
      <c r="B105" s="7" t="s">
        <v>85</v>
      </c>
      <c r="C105" s="7" t="s">
        <v>86</v>
      </c>
      <c r="D105" s="7" t="n">
        <v>93202</v>
      </c>
      <c r="E105" s="55" t="n">
        <v>200025888284</v>
      </c>
      <c r="F105" s="56" t="s">
        <v>94</v>
      </c>
      <c r="G105" s="55" t="n">
        <v>220244</v>
      </c>
      <c r="H105" s="58" t="n">
        <v>45434.6594675926</v>
      </c>
      <c r="I105" s="7" t="n">
        <v>1</v>
      </c>
      <c r="J105" s="7" t="n">
        <v>104</v>
      </c>
      <c r="K105" s="7" t="n">
        <v>15</v>
      </c>
      <c r="L105" s="56" t="s">
        <v>94</v>
      </c>
      <c r="M105" s="7" t="n">
        <v>7</v>
      </c>
    </row>
    <row r="106" s="1" customFormat="true" ht="14.25" hidden="false" customHeight="false" outlineLevel="0" collapsed="false">
      <c r="A106" s="7" t="n">
        <v>121</v>
      </c>
      <c r="B106" s="7" t="s">
        <v>85</v>
      </c>
      <c r="C106" s="7" t="s">
        <v>86</v>
      </c>
      <c r="D106" s="7" t="n">
        <v>93202</v>
      </c>
      <c r="E106" s="55" t="n">
        <v>200025888284</v>
      </c>
      <c r="F106" s="56" t="s">
        <v>94</v>
      </c>
      <c r="G106" s="55" t="n">
        <v>220244</v>
      </c>
      <c r="H106" s="58" t="n">
        <v>45434.6596296296</v>
      </c>
      <c r="I106" s="7" t="n">
        <v>0</v>
      </c>
      <c r="J106" s="7" t="n">
        <v>105</v>
      </c>
      <c r="K106" s="7" t="n">
        <v>16</v>
      </c>
      <c r="L106" s="56" t="s">
        <v>94</v>
      </c>
      <c r="M106" s="7" t="n">
        <v>7</v>
      </c>
    </row>
    <row r="107" s="1" customFormat="true" ht="14.25" hidden="false" customHeight="false" outlineLevel="0" collapsed="false">
      <c r="A107" s="7" t="n">
        <v>122</v>
      </c>
      <c r="B107" s="7" t="s">
        <v>85</v>
      </c>
      <c r="C107" s="7" t="s">
        <v>86</v>
      </c>
      <c r="D107" s="7" t="n">
        <v>93202</v>
      </c>
      <c r="E107" s="55" t="n">
        <v>200025888284</v>
      </c>
      <c r="F107" s="56" t="s">
        <v>94</v>
      </c>
      <c r="G107" s="55" t="n">
        <v>220244</v>
      </c>
      <c r="H107" s="58" t="n">
        <v>45434.6596296296</v>
      </c>
      <c r="I107" s="7" t="n">
        <v>1</v>
      </c>
      <c r="J107" s="7" t="n">
        <v>106</v>
      </c>
      <c r="K107" s="7" t="n">
        <v>17</v>
      </c>
      <c r="L107" s="56" t="s">
        <v>94</v>
      </c>
      <c r="M107" s="7" t="n">
        <v>7</v>
      </c>
    </row>
    <row r="108" s="1" customFormat="true" ht="14.25" hidden="false" customHeight="false" outlineLevel="0" collapsed="false">
      <c r="A108" s="7" t="n">
        <v>123</v>
      </c>
      <c r="B108" s="7" t="s">
        <v>85</v>
      </c>
      <c r="C108" s="7" t="s">
        <v>86</v>
      </c>
      <c r="D108" s="7" t="n">
        <v>93202</v>
      </c>
      <c r="E108" s="55" t="n">
        <v>200025888284</v>
      </c>
      <c r="F108" s="56" t="s">
        <v>94</v>
      </c>
      <c r="G108" s="55" t="n">
        <v>220244</v>
      </c>
      <c r="H108" s="58" t="n">
        <v>45434.6596527778</v>
      </c>
      <c r="I108" s="7" t="n">
        <v>1</v>
      </c>
      <c r="J108" s="7" t="n">
        <v>107</v>
      </c>
      <c r="K108" s="7" t="n">
        <v>18</v>
      </c>
      <c r="L108" s="56" t="s">
        <v>94</v>
      </c>
      <c r="M108" s="7" t="n">
        <v>7</v>
      </c>
    </row>
    <row r="109" s="1" customFormat="true" ht="14.25" hidden="false" customHeight="false" outlineLevel="0" collapsed="false">
      <c r="A109" s="7" t="n">
        <v>124</v>
      </c>
      <c r="B109" s="7" t="s">
        <v>85</v>
      </c>
      <c r="C109" s="7" t="s">
        <v>86</v>
      </c>
      <c r="D109" s="7" t="n">
        <v>93202</v>
      </c>
      <c r="E109" s="55" t="n">
        <v>200025888284</v>
      </c>
      <c r="F109" s="56" t="s">
        <v>94</v>
      </c>
      <c r="G109" s="55" t="n">
        <v>220244</v>
      </c>
      <c r="H109" s="58" t="n">
        <v>45434.6601157407</v>
      </c>
      <c r="I109" s="7" t="n">
        <v>0</v>
      </c>
      <c r="J109" s="7" t="n">
        <v>108</v>
      </c>
      <c r="K109" s="7" t="n">
        <v>19</v>
      </c>
      <c r="L109" s="56" t="s">
        <v>94</v>
      </c>
      <c r="M109" s="7" t="n">
        <v>7</v>
      </c>
    </row>
    <row r="110" s="1" customFormat="true" ht="14.25" hidden="false" customHeight="false" outlineLevel="0" collapsed="false">
      <c r="A110" s="7" t="n">
        <v>125</v>
      </c>
      <c r="B110" s="7" t="s">
        <v>85</v>
      </c>
      <c r="C110" s="7" t="s">
        <v>86</v>
      </c>
      <c r="D110" s="7" t="n">
        <v>93202</v>
      </c>
      <c r="E110" s="55" t="n">
        <v>200025888284</v>
      </c>
      <c r="F110" s="56" t="s">
        <v>94</v>
      </c>
      <c r="G110" s="55" t="n">
        <v>220244</v>
      </c>
      <c r="H110" s="58" t="n">
        <v>45434.6601273148</v>
      </c>
      <c r="I110" s="7" t="n">
        <v>1759</v>
      </c>
      <c r="J110" s="7" t="n">
        <v>109</v>
      </c>
      <c r="K110" s="7" t="n">
        <v>20</v>
      </c>
      <c r="L110" s="56" t="s">
        <v>94</v>
      </c>
      <c r="M110" s="7" t="n">
        <v>7</v>
      </c>
    </row>
    <row r="111" s="1" customFormat="true" ht="14.25" hidden="false" customHeight="false" outlineLevel="0" collapsed="false">
      <c r="A111" s="7" t="n">
        <v>126</v>
      </c>
      <c r="B111" s="7" t="s">
        <v>85</v>
      </c>
      <c r="C111" s="7" t="s">
        <v>86</v>
      </c>
      <c r="D111" s="7" t="n">
        <v>93202</v>
      </c>
      <c r="E111" s="55" t="n">
        <v>200025889054</v>
      </c>
      <c r="F111" s="56" t="s">
        <v>91</v>
      </c>
      <c r="G111" s="56" t="s">
        <v>92</v>
      </c>
      <c r="H111" s="58" t="n">
        <v>45434.6848148148</v>
      </c>
      <c r="I111" s="7" t="n">
        <v>1</v>
      </c>
      <c r="J111" s="7" t="n">
        <v>110</v>
      </c>
      <c r="K111" s="7" t="n">
        <v>15</v>
      </c>
      <c r="L111" s="56" t="s">
        <v>91</v>
      </c>
      <c r="M111" s="7" t="n">
        <v>5</v>
      </c>
    </row>
    <row r="112" s="1" customFormat="true" ht="14.25" hidden="false" customHeight="false" outlineLevel="0" collapsed="false">
      <c r="A112" s="7" t="n">
        <v>127</v>
      </c>
      <c r="B112" s="7" t="s">
        <v>85</v>
      </c>
      <c r="C112" s="7" t="s">
        <v>86</v>
      </c>
      <c r="D112" s="7" t="n">
        <v>93202</v>
      </c>
      <c r="E112" s="55" t="n">
        <v>200025889054</v>
      </c>
      <c r="F112" s="56" t="s">
        <v>91</v>
      </c>
      <c r="G112" s="56" t="s">
        <v>92</v>
      </c>
      <c r="H112" s="58" t="n">
        <v>45434.6848263889</v>
      </c>
      <c r="I112" s="7" t="n">
        <v>2</v>
      </c>
      <c r="J112" s="7" t="n">
        <v>111</v>
      </c>
      <c r="K112" s="7" t="n">
        <v>16</v>
      </c>
      <c r="L112" s="56" t="s">
        <v>91</v>
      </c>
      <c r="M112" s="7" t="n">
        <v>5</v>
      </c>
    </row>
    <row r="113" s="1" customFormat="true" ht="14.25" hidden="false" customHeight="false" outlineLevel="0" collapsed="false">
      <c r="A113" s="7" t="n">
        <v>128</v>
      </c>
      <c r="B113" s="7" t="s">
        <v>85</v>
      </c>
      <c r="C113" s="7" t="s">
        <v>86</v>
      </c>
      <c r="D113" s="7" t="n">
        <v>93202</v>
      </c>
      <c r="E113" s="55" t="n">
        <v>200025889054</v>
      </c>
      <c r="F113" s="56" t="s">
        <v>91</v>
      </c>
      <c r="G113" s="56" t="s">
        <v>92</v>
      </c>
      <c r="H113" s="58" t="n">
        <v>45434.684849537</v>
      </c>
      <c r="I113" s="7" t="n">
        <v>1</v>
      </c>
      <c r="J113" s="7" t="n">
        <v>112</v>
      </c>
      <c r="K113" s="7" t="n">
        <v>17</v>
      </c>
      <c r="L113" s="56" t="s">
        <v>91</v>
      </c>
      <c r="M113" s="7" t="n">
        <v>5</v>
      </c>
    </row>
    <row r="114" s="1" customFormat="true" ht="14.25" hidden="false" customHeight="false" outlineLevel="0" collapsed="false">
      <c r="A114" s="7" t="n">
        <v>129</v>
      </c>
      <c r="B114" s="7" t="s">
        <v>85</v>
      </c>
      <c r="C114" s="7" t="s">
        <v>86</v>
      </c>
      <c r="D114" s="7" t="n">
        <v>93202</v>
      </c>
      <c r="E114" s="55" t="n">
        <v>200025889054</v>
      </c>
      <c r="F114" s="56" t="s">
        <v>91</v>
      </c>
      <c r="G114" s="56" t="s">
        <v>92</v>
      </c>
      <c r="H114" s="58" t="n">
        <v>45434.6880324074</v>
      </c>
      <c r="I114" s="7" t="n">
        <v>0</v>
      </c>
      <c r="J114" s="7" t="n">
        <v>113</v>
      </c>
      <c r="K114" s="7" t="n">
        <v>18</v>
      </c>
      <c r="L114" s="56" t="s">
        <v>91</v>
      </c>
      <c r="M114" s="7" t="n">
        <v>5</v>
      </c>
    </row>
    <row r="115" s="1" customFormat="true" ht="14.25" hidden="false" customHeight="false" outlineLevel="0" collapsed="false">
      <c r="A115" s="7" t="n">
        <v>130</v>
      </c>
      <c r="B115" s="7" t="s">
        <v>85</v>
      </c>
      <c r="C115" s="7" t="s">
        <v>86</v>
      </c>
      <c r="D115" s="7" t="n">
        <v>93202</v>
      </c>
      <c r="E115" s="55" t="n">
        <v>200025889054</v>
      </c>
      <c r="F115" s="56" t="s">
        <v>91</v>
      </c>
      <c r="G115" s="56" t="s">
        <v>92</v>
      </c>
      <c r="H115" s="58" t="n">
        <v>45434.6880555556</v>
      </c>
      <c r="I115" s="7" t="n">
        <v>1</v>
      </c>
      <c r="J115" s="7" t="n">
        <v>114</v>
      </c>
      <c r="K115" s="7" t="n">
        <v>19</v>
      </c>
      <c r="L115" s="56" t="s">
        <v>91</v>
      </c>
      <c r="M115" s="7" t="n">
        <v>5</v>
      </c>
    </row>
    <row r="116" s="1" customFormat="true" ht="14.25" hidden="false" customHeight="false" outlineLevel="0" collapsed="false">
      <c r="A116" s="7" t="n">
        <v>131</v>
      </c>
      <c r="B116" s="7" t="s">
        <v>85</v>
      </c>
      <c r="C116" s="7" t="s">
        <v>86</v>
      </c>
      <c r="D116" s="7" t="n">
        <v>93202</v>
      </c>
      <c r="E116" s="55" t="n">
        <v>200025889054</v>
      </c>
      <c r="F116" s="56" t="s">
        <v>91</v>
      </c>
      <c r="G116" s="56" t="s">
        <v>92</v>
      </c>
      <c r="H116" s="58" t="n">
        <v>45434.6881597222</v>
      </c>
      <c r="I116" s="7" t="n">
        <v>0</v>
      </c>
      <c r="J116" s="7" t="n">
        <v>115</v>
      </c>
      <c r="K116" s="7" t="n">
        <v>20</v>
      </c>
      <c r="L116" s="56" t="s">
        <v>91</v>
      </c>
      <c r="M116" s="7" t="n">
        <v>5</v>
      </c>
    </row>
    <row r="117" s="1" customFormat="true" ht="14.25" hidden="false" customHeight="false" outlineLevel="0" collapsed="false">
      <c r="A117" s="7" t="n">
        <v>132</v>
      </c>
      <c r="B117" s="7" t="s">
        <v>85</v>
      </c>
      <c r="C117" s="7" t="s">
        <v>86</v>
      </c>
      <c r="D117" s="7" t="n">
        <v>93202</v>
      </c>
      <c r="E117" s="55" t="n">
        <v>200025889054</v>
      </c>
      <c r="F117" s="56" t="s">
        <v>91</v>
      </c>
      <c r="G117" s="56" t="s">
        <v>92</v>
      </c>
      <c r="H117" s="58" t="n">
        <v>45434.6881712963</v>
      </c>
      <c r="I117" s="7" t="n">
        <v>0</v>
      </c>
      <c r="J117" s="7" t="n">
        <v>116</v>
      </c>
      <c r="K117" s="7" t="n">
        <v>21</v>
      </c>
      <c r="L117" s="56" t="s">
        <v>91</v>
      </c>
      <c r="M117" s="7" t="n">
        <v>5</v>
      </c>
    </row>
    <row r="118" s="1" customFormat="true" ht="14.25" hidden="false" customHeight="false" outlineLevel="0" collapsed="false">
      <c r="A118" s="7" t="n">
        <v>133</v>
      </c>
      <c r="B118" s="7" t="s">
        <v>85</v>
      </c>
      <c r="C118" s="7" t="s">
        <v>86</v>
      </c>
      <c r="D118" s="7" t="n">
        <v>93202</v>
      </c>
      <c r="E118" s="55" t="n">
        <v>200025889054</v>
      </c>
      <c r="F118" s="56" t="s">
        <v>91</v>
      </c>
      <c r="G118" s="56" t="s">
        <v>92</v>
      </c>
      <c r="H118" s="58" t="n">
        <v>45434.6882060185</v>
      </c>
      <c r="I118" s="7" t="n">
        <v>3</v>
      </c>
      <c r="J118" s="7" t="n">
        <v>117</v>
      </c>
      <c r="K118" s="7" t="n">
        <v>22</v>
      </c>
      <c r="L118" s="56" t="s">
        <v>91</v>
      </c>
      <c r="M118" s="7" t="n">
        <v>5</v>
      </c>
    </row>
    <row r="119" s="1" customFormat="true" ht="14.25" hidden="false" customHeight="false" outlineLevel="0" collapsed="false">
      <c r="A119" s="7" t="n">
        <v>134</v>
      </c>
      <c r="B119" s="7" t="s">
        <v>85</v>
      </c>
      <c r="C119" s="7" t="s">
        <v>86</v>
      </c>
      <c r="D119" s="7" t="n">
        <v>93202</v>
      </c>
      <c r="E119" s="55" t="n">
        <v>200025889054</v>
      </c>
      <c r="F119" s="56" t="s">
        <v>91</v>
      </c>
      <c r="G119" s="56" t="s">
        <v>92</v>
      </c>
      <c r="H119" s="58" t="n">
        <v>45434.6882407407</v>
      </c>
      <c r="I119" s="7" t="n">
        <v>6</v>
      </c>
      <c r="J119" s="7" t="n">
        <v>118</v>
      </c>
      <c r="K119" s="7" t="n">
        <v>23</v>
      </c>
      <c r="L119" s="56" t="s">
        <v>91</v>
      </c>
      <c r="M119" s="7" t="n">
        <v>5</v>
      </c>
    </row>
    <row r="120" s="1" customFormat="true" ht="14.25" hidden="false" customHeight="false" outlineLevel="0" collapsed="false">
      <c r="A120" s="7" t="n">
        <v>135</v>
      </c>
      <c r="B120" s="7" t="s">
        <v>85</v>
      </c>
      <c r="C120" s="7" t="s">
        <v>86</v>
      </c>
      <c r="D120" s="7" t="n">
        <v>93202</v>
      </c>
      <c r="E120" s="55" t="n">
        <v>200025889054</v>
      </c>
      <c r="F120" s="56" t="s">
        <v>91</v>
      </c>
      <c r="G120" s="56" t="s">
        <v>92</v>
      </c>
      <c r="H120" s="58" t="n">
        <v>45434.6883217593</v>
      </c>
      <c r="I120" s="7" t="n">
        <v>1</v>
      </c>
      <c r="J120" s="7" t="n">
        <v>119</v>
      </c>
      <c r="K120" s="7" t="n">
        <v>24</v>
      </c>
      <c r="L120" s="56" t="s">
        <v>91</v>
      </c>
      <c r="M120" s="7" t="n">
        <v>5</v>
      </c>
    </row>
    <row r="121" s="1" customFormat="true" ht="14.25" hidden="false" customHeight="false" outlineLevel="0" collapsed="false">
      <c r="A121" s="7" t="n">
        <v>136</v>
      </c>
      <c r="B121" s="7" t="s">
        <v>85</v>
      </c>
      <c r="C121" s="7" t="s">
        <v>86</v>
      </c>
      <c r="D121" s="7" t="n">
        <v>93202</v>
      </c>
      <c r="E121" s="55" t="n">
        <v>200025889800</v>
      </c>
      <c r="F121" s="56" t="s">
        <v>96</v>
      </c>
      <c r="G121" s="55" t="n">
        <v>210257</v>
      </c>
      <c r="H121" s="58" t="n">
        <v>45434.6958680556</v>
      </c>
      <c r="I121" s="7" t="n">
        <v>0</v>
      </c>
      <c r="J121" s="7" t="n">
        <v>120</v>
      </c>
      <c r="K121" s="7" t="n">
        <v>11</v>
      </c>
      <c r="L121" s="56" t="s">
        <v>96</v>
      </c>
      <c r="M121" s="7" t="n">
        <v>9</v>
      </c>
    </row>
    <row r="122" s="1" customFormat="true" ht="14.25" hidden="false" customHeight="false" outlineLevel="0" collapsed="false">
      <c r="A122" s="7" t="n">
        <v>137</v>
      </c>
      <c r="B122" s="7" t="s">
        <v>85</v>
      </c>
      <c r="C122" s="7" t="s">
        <v>86</v>
      </c>
      <c r="D122" s="7" t="n">
        <v>93202</v>
      </c>
      <c r="E122" s="55" t="n">
        <v>200025889800</v>
      </c>
      <c r="F122" s="56" t="s">
        <v>96</v>
      </c>
      <c r="G122" s="55" t="n">
        <v>210257</v>
      </c>
      <c r="H122" s="58" t="n">
        <v>45434.6959837963</v>
      </c>
      <c r="I122" s="7" t="n">
        <v>1</v>
      </c>
      <c r="J122" s="7" t="n">
        <v>121</v>
      </c>
      <c r="K122" s="7" t="n">
        <v>12</v>
      </c>
      <c r="L122" s="56" t="s">
        <v>96</v>
      </c>
      <c r="M122" s="7" t="n">
        <v>9</v>
      </c>
    </row>
    <row r="123" s="1" customFormat="true" ht="14.25" hidden="false" customHeight="false" outlineLevel="0" collapsed="false">
      <c r="A123" s="7" t="n">
        <v>138</v>
      </c>
      <c r="B123" s="7" t="s">
        <v>85</v>
      </c>
      <c r="C123" s="7" t="s">
        <v>86</v>
      </c>
      <c r="D123" s="7" t="n">
        <v>93202</v>
      </c>
      <c r="E123" s="55" t="n">
        <v>200025889800</v>
      </c>
      <c r="F123" s="56" t="s">
        <v>96</v>
      </c>
      <c r="G123" s="55" t="n">
        <v>210257</v>
      </c>
      <c r="H123" s="58" t="n">
        <v>45434.6961921296</v>
      </c>
      <c r="I123" s="7" t="n">
        <v>0</v>
      </c>
      <c r="J123" s="7" t="n">
        <v>122</v>
      </c>
      <c r="K123" s="7" t="n">
        <v>13</v>
      </c>
      <c r="L123" s="56" t="s">
        <v>96</v>
      </c>
      <c r="M123" s="7" t="n">
        <v>9</v>
      </c>
    </row>
    <row r="124" s="1" customFormat="true" ht="14.25" hidden="false" customHeight="false" outlineLevel="0" collapsed="false">
      <c r="A124" s="7" t="n">
        <v>139</v>
      </c>
      <c r="B124" s="7" t="s">
        <v>85</v>
      </c>
      <c r="C124" s="7" t="s">
        <v>86</v>
      </c>
      <c r="D124" s="7" t="n">
        <v>93202</v>
      </c>
      <c r="E124" s="55" t="n">
        <v>200025889800</v>
      </c>
      <c r="F124" s="56" t="s">
        <v>96</v>
      </c>
      <c r="G124" s="55" t="n">
        <v>210257</v>
      </c>
      <c r="H124" s="58" t="n">
        <v>45434.6963541667</v>
      </c>
      <c r="I124" s="7" t="n">
        <v>1</v>
      </c>
      <c r="J124" s="7" t="n">
        <v>123</v>
      </c>
      <c r="K124" s="7" t="n">
        <v>14</v>
      </c>
      <c r="L124" s="56" t="s">
        <v>96</v>
      </c>
      <c r="M124" s="7" t="n">
        <v>9</v>
      </c>
    </row>
    <row r="125" s="1" customFormat="true" ht="14.25" hidden="false" customHeight="false" outlineLevel="0" collapsed="false">
      <c r="A125" s="7" t="n">
        <v>140</v>
      </c>
      <c r="B125" s="7" t="s">
        <v>85</v>
      </c>
      <c r="C125" s="7" t="s">
        <v>86</v>
      </c>
      <c r="D125" s="7" t="n">
        <v>93202</v>
      </c>
      <c r="E125" s="55" t="n">
        <v>200025889800</v>
      </c>
      <c r="F125" s="56" t="s">
        <v>96</v>
      </c>
      <c r="G125" s="55" t="n">
        <v>210257</v>
      </c>
      <c r="H125" s="58" t="n">
        <v>45434.6995023148</v>
      </c>
      <c r="I125" s="7" t="n">
        <v>1</v>
      </c>
      <c r="J125" s="7" t="n">
        <v>124</v>
      </c>
      <c r="K125" s="7" t="n">
        <v>15</v>
      </c>
      <c r="L125" s="56" t="s">
        <v>96</v>
      </c>
      <c r="M125" s="7" t="n">
        <v>9</v>
      </c>
    </row>
    <row r="126" s="1" customFormat="true" ht="14.25" hidden="false" customHeight="false" outlineLevel="0" collapsed="false">
      <c r="A126" s="7" t="n">
        <v>141</v>
      </c>
      <c r="B126" s="7" t="s">
        <v>85</v>
      </c>
      <c r="C126" s="7" t="s">
        <v>86</v>
      </c>
      <c r="D126" s="7" t="n">
        <v>93202</v>
      </c>
      <c r="E126" s="55" t="n">
        <v>200025888841</v>
      </c>
      <c r="F126" s="56" t="s">
        <v>87</v>
      </c>
      <c r="G126" s="7" t="n">
        <v>230111</v>
      </c>
      <c r="H126" s="58" t="n">
        <v>45434.7135300926</v>
      </c>
      <c r="I126" s="7" t="n">
        <v>1</v>
      </c>
      <c r="J126" s="7" t="n">
        <v>125</v>
      </c>
      <c r="K126" s="7" t="n">
        <v>14</v>
      </c>
      <c r="L126" s="56" t="s">
        <v>87</v>
      </c>
      <c r="M126" s="7" t="n">
        <v>1</v>
      </c>
    </row>
    <row r="127" s="1" customFormat="true" ht="14.25" hidden="false" customHeight="false" outlineLevel="0" collapsed="false">
      <c r="A127" s="7" t="n">
        <v>142</v>
      </c>
      <c r="B127" s="7" t="s">
        <v>85</v>
      </c>
      <c r="C127" s="7" t="s">
        <v>86</v>
      </c>
      <c r="D127" s="7" t="n">
        <v>93202</v>
      </c>
      <c r="E127" s="55" t="n">
        <v>200025888841</v>
      </c>
      <c r="F127" s="56" t="s">
        <v>87</v>
      </c>
      <c r="G127" s="7" t="n">
        <v>230111</v>
      </c>
      <c r="H127" s="58" t="n">
        <v>45434.7140162037</v>
      </c>
      <c r="I127" s="7" t="n">
        <v>0</v>
      </c>
      <c r="J127" s="7" t="n">
        <v>126</v>
      </c>
      <c r="K127" s="7" t="n">
        <v>15</v>
      </c>
      <c r="L127" s="56" t="s">
        <v>87</v>
      </c>
      <c r="M127" s="7" t="n">
        <v>1</v>
      </c>
    </row>
    <row r="128" s="1" customFormat="true" ht="14.25" hidden="false" customHeight="false" outlineLevel="0" collapsed="false">
      <c r="A128" s="7" t="n">
        <v>143</v>
      </c>
      <c r="B128" s="7" t="s">
        <v>85</v>
      </c>
      <c r="C128" s="7" t="s">
        <v>86</v>
      </c>
      <c r="D128" s="7" t="n">
        <v>93202</v>
      </c>
      <c r="E128" s="55" t="n">
        <v>200025888841</v>
      </c>
      <c r="F128" s="56" t="s">
        <v>87</v>
      </c>
      <c r="G128" s="7" t="n">
        <v>230111</v>
      </c>
      <c r="H128" s="58" t="n">
        <v>45434.7141550926</v>
      </c>
      <c r="I128" s="7" t="n">
        <v>1</v>
      </c>
      <c r="J128" s="7" t="n">
        <v>127</v>
      </c>
      <c r="K128" s="7" t="n">
        <v>16</v>
      </c>
      <c r="L128" s="56" t="s">
        <v>87</v>
      </c>
      <c r="M128" s="7" t="n">
        <v>1</v>
      </c>
    </row>
    <row r="129" s="1" customFormat="true" ht="14.25" hidden="false" customHeight="false" outlineLevel="0" collapsed="false">
      <c r="A129" s="7" t="n">
        <v>144</v>
      </c>
      <c r="B129" s="7" t="s">
        <v>85</v>
      </c>
      <c r="C129" s="7" t="s">
        <v>86</v>
      </c>
      <c r="D129" s="7" t="n">
        <v>93202</v>
      </c>
      <c r="E129" s="55" t="n">
        <v>200025888841</v>
      </c>
      <c r="F129" s="56" t="s">
        <v>87</v>
      </c>
      <c r="G129" s="7" t="n">
        <v>230111</v>
      </c>
      <c r="H129" s="58" t="n">
        <v>45434.7141782408</v>
      </c>
      <c r="I129" s="7" t="n">
        <v>1</v>
      </c>
      <c r="J129" s="7" t="n">
        <v>128</v>
      </c>
      <c r="K129" s="7" t="n">
        <v>17</v>
      </c>
      <c r="L129" s="56" t="s">
        <v>87</v>
      </c>
      <c r="M129" s="7" t="n">
        <v>1</v>
      </c>
    </row>
    <row r="130" s="1" customFormat="true" ht="14.25" hidden="false" customHeight="false" outlineLevel="0" collapsed="false">
      <c r="A130" s="7" t="n">
        <v>145</v>
      </c>
      <c r="B130" s="7" t="s">
        <v>85</v>
      </c>
      <c r="C130" s="7" t="s">
        <v>86</v>
      </c>
      <c r="D130" s="7" t="n">
        <v>93202</v>
      </c>
      <c r="E130" s="55" t="n">
        <v>200025889800</v>
      </c>
      <c r="F130" s="56" t="s">
        <v>96</v>
      </c>
      <c r="G130" s="55" t="n">
        <v>210257</v>
      </c>
      <c r="H130" s="58" t="n">
        <v>45434.7154166667</v>
      </c>
      <c r="I130" s="7" t="n">
        <v>0</v>
      </c>
      <c r="J130" s="7" t="n">
        <v>129</v>
      </c>
      <c r="K130" s="7" t="n">
        <v>16</v>
      </c>
      <c r="L130" s="56" t="s">
        <v>96</v>
      </c>
      <c r="M130" s="7" t="n">
        <v>9</v>
      </c>
    </row>
    <row r="131" s="1" customFormat="true" ht="14.25" hidden="false" customHeight="false" outlineLevel="0" collapsed="false">
      <c r="A131" s="7" t="n">
        <v>146</v>
      </c>
      <c r="B131" s="7" t="s">
        <v>85</v>
      </c>
      <c r="C131" s="7" t="s">
        <v>86</v>
      </c>
      <c r="D131" s="7" t="n">
        <v>93202</v>
      </c>
      <c r="E131" s="55" t="n">
        <v>200025889201</v>
      </c>
      <c r="F131" s="56" t="s">
        <v>98</v>
      </c>
      <c r="G131" s="55" t="n">
        <v>230126</v>
      </c>
      <c r="H131" s="58" t="n">
        <v>45434.7287152778</v>
      </c>
      <c r="I131" s="7" t="n">
        <v>0</v>
      </c>
      <c r="J131" s="7" t="n">
        <v>130</v>
      </c>
      <c r="K131" s="7" t="n">
        <v>1</v>
      </c>
      <c r="L131" s="56" t="s">
        <v>98</v>
      </c>
      <c r="M131" s="7" t="n">
        <v>11</v>
      </c>
    </row>
    <row r="132" customFormat="false" ht="14.25" hidden="false" customHeight="false" outlineLevel="0" collapsed="false">
      <c r="A132" s="7" t="n">
        <v>147</v>
      </c>
      <c r="B132" s="7" t="s">
        <v>85</v>
      </c>
      <c r="C132" s="7" t="s">
        <v>86</v>
      </c>
      <c r="D132" s="7" t="n">
        <v>93202</v>
      </c>
      <c r="E132" s="55" t="n">
        <v>200025889201</v>
      </c>
      <c r="F132" s="56" t="s">
        <v>98</v>
      </c>
      <c r="G132" s="55" t="n">
        <v>230126</v>
      </c>
      <c r="H132" s="58" t="n">
        <v>45434.7291898148</v>
      </c>
      <c r="I132" s="7" t="n">
        <v>1</v>
      </c>
      <c r="J132" s="7" t="n">
        <v>131</v>
      </c>
      <c r="K132" s="7" t="n">
        <v>2</v>
      </c>
      <c r="L132" s="56" t="s">
        <v>98</v>
      </c>
      <c r="M132" s="7" t="n">
        <v>11</v>
      </c>
    </row>
    <row r="133" s="1" customFormat="true" ht="14.25" hidden="false" customHeight="false" outlineLevel="0" collapsed="false">
      <c r="A133" s="7" t="n">
        <v>148</v>
      </c>
      <c r="B133" s="7" t="s">
        <v>85</v>
      </c>
      <c r="C133" s="7" t="s">
        <v>86</v>
      </c>
      <c r="D133" s="7" t="n">
        <v>93202</v>
      </c>
      <c r="E133" s="55" t="n">
        <v>200025889067</v>
      </c>
      <c r="F133" s="56" t="s">
        <v>99</v>
      </c>
      <c r="G133" s="55" t="n">
        <v>200983</v>
      </c>
      <c r="H133" s="58" t="n">
        <v>45434.7421064815</v>
      </c>
      <c r="I133" s="7" t="n">
        <v>1</v>
      </c>
      <c r="J133" s="7" t="n">
        <v>132</v>
      </c>
      <c r="K133" s="7" t="n">
        <v>1</v>
      </c>
      <c r="L133" s="56" t="s">
        <v>99</v>
      </c>
      <c r="M133" s="7" t="n">
        <v>12</v>
      </c>
    </row>
    <row r="134" s="1" customFormat="true" ht="14.25" hidden="false" customHeight="false" outlineLevel="0" collapsed="false">
      <c r="A134" s="7" t="n">
        <v>149</v>
      </c>
      <c r="B134" s="7" t="s">
        <v>85</v>
      </c>
      <c r="C134" s="7" t="s">
        <v>86</v>
      </c>
      <c r="D134" s="7" t="n">
        <v>93202</v>
      </c>
      <c r="E134" s="55" t="n">
        <v>200025889067</v>
      </c>
      <c r="F134" s="56" t="s">
        <v>99</v>
      </c>
      <c r="G134" s="55" t="n">
        <v>200983</v>
      </c>
      <c r="H134" s="58" t="n">
        <v>45434.7421296296</v>
      </c>
      <c r="I134" s="7" t="n">
        <v>1</v>
      </c>
      <c r="J134" s="7" t="n">
        <v>133</v>
      </c>
      <c r="K134" s="7" t="n">
        <v>2</v>
      </c>
      <c r="L134" s="56" t="s">
        <v>99</v>
      </c>
      <c r="M134" s="7" t="n">
        <v>12</v>
      </c>
    </row>
    <row r="135" s="1" customFormat="true" ht="14.25" hidden="false" customHeight="false" outlineLevel="0" collapsed="false">
      <c r="A135" s="7" t="n">
        <v>150</v>
      </c>
      <c r="B135" s="7" t="s">
        <v>85</v>
      </c>
      <c r="C135" s="7" t="s">
        <v>86</v>
      </c>
      <c r="D135" s="7" t="n">
        <v>93202</v>
      </c>
      <c r="E135" s="55" t="n">
        <v>200025889008</v>
      </c>
      <c r="F135" s="56" t="s">
        <v>100</v>
      </c>
      <c r="G135" s="55" t="n">
        <v>220235</v>
      </c>
      <c r="H135" s="58" t="n">
        <v>45434.7554398148</v>
      </c>
      <c r="I135" s="7" t="n">
        <v>1</v>
      </c>
      <c r="J135" s="7" t="n">
        <v>134</v>
      </c>
      <c r="K135" s="7" t="n">
        <v>1</v>
      </c>
      <c r="L135" s="56" t="s">
        <v>100</v>
      </c>
      <c r="M135" s="7" t="n">
        <v>13</v>
      </c>
    </row>
    <row r="136" s="1" customFormat="true" ht="14.25" hidden="false" customHeight="false" outlineLevel="0" collapsed="false">
      <c r="A136" s="7" t="n">
        <v>151</v>
      </c>
      <c r="B136" s="7" t="s">
        <v>85</v>
      </c>
      <c r="C136" s="7" t="s">
        <v>86</v>
      </c>
      <c r="D136" s="7" t="n">
        <v>93202</v>
      </c>
      <c r="E136" s="55" t="n">
        <v>200025889008</v>
      </c>
      <c r="F136" s="56" t="s">
        <v>100</v>
      </c>
      <c r="G136" s="55" t="n">
        <v>220235</v>
      </c>
      <c r="H136" s="58" t="n">
        <v>45434.755474537</v>
      </c>
      <c r="I136" s="7" t="n">
        <v>0</v>
      </c>
      <c r="J136" s="7" t="n">
        <v>135</v>
      </c>
      <c r="K136" s="7" t="n">
        <v>2</v>
      </c>
      <c r="L136" s="56" t="s">
        <v>100</v>
      </c>
      <c r="M136" s="7" t="n">
        <v>13</v>
      </c>
    </row>
    <row r="137" s="1" customFormat="true" ht="14.25" hidden="false" customHeight="false" outlineLevel="0" collapsed="false">
      <c r="A137" s="7" t="n">
        <v>152</v>
      </c>
      <c r="B137" s="7" t="s">
        <v>85</v>
      </c>
      <c r="C137" s="7" t="s">
        <v>86</v>
      </c>
      <c r="D137" s="7" t="n">
        <v>93202</v>
      </c>
      <c r="E137" s="55" t="n">
        <v>200025889008</v>
      </c>
      <c r="F137" s="56" t="s">
        <v>100</v>
      </c>
      <c r="G137" s="55" t="n">
        <v>220235</v>
      </c>
      <c r="H137" s="58" t="n">
        <v>45434.755474537</v>
      </c>
      <c r="I137" s="7" t="n">
        <v>1</v>
      </c>
      <c r="J137" s="7" t="n">
        <v>136</v>
      </c>
      <c r="K137" s="7" t="n">
        <v>3</v>
      </c>
      <c r="L137" s="56" t="s">
        <v>100</v>
      </c>
      <c r="M137" s="7" t="n">
        <v>13</v>
      </c>
    </row>
    <row r="138" s="1" customFormat="true" ht="14.25" hidden="false" customHeight="false" outlineLevel="0" collapsed="false">
      <c r="A138" s="7" t="n">
        <v>153</v>
      </c>
      <c r="B138" s="7" t="s">
        <v>85</v>
      </c>
      <c r="C138" s="7" t="s">
        <v>86</v>
      </c>
      <c r="D138" s="7" t="n">
        <v>93202</v>
      </c>
      <c r="E138" s="55" t="n">
        <v>200025889008</v>
      </c>
      <c r="F138" s="56" t="s">
        <v>100</v>
      </c>
      <c r="G138" s="55" t="n">
        <v>220235</v>
      </c>
      <c r="H138" s="58" t="n">
        <v>45434.7554976852</v>
      </c>
      <c r="I138" s="7" t="n">
        <v>0</v>
      </c>
      <c r="J138" s="7" t="n">
        <v>137</v>
      </c>
      <c r="K138" s="7" t="n">
        <v>4</v>
      </c>
      <c r="L138" s="56" t="s">
        <v>100</v>
      </c>
      <c r="M138" s="7" t="n">
        <v>13</v>
      </c>
    </row>
    <row r="139" s="1" customFormat="true" ht="14.25" hidden="false" customHeight="false" outlineLevel="0" collapsed="false">
      <c r="A139" s="7" t="n">
        <v>154</v>
      </c>
      <c r="B139" s="7" t="s">
        <v>85</v>
      </c>
      <c r="C139" s="7" t="s">
        <v>86</v>
      </c>
      <c r="D139" s="7" t="n">
        <v>93202</v>
      </c>
      <c r="E139" s="55" t="n">
        <v>200025889008</v>
      </c>
      <c r="F139" s="56" t="s">
        <v>100</v>
      </c>
      <c r="G139" s="55" t="n">
        <v>220235</v>
      </c>
      <c r="H139" s="58" t="n">
        <v>45434.7554976852</v>
      </c>
      <c r="I139" s="7" t="n">
        <v>2</v>
      </c>
      <c r="J139" s="7" t="n">
        <v>138</v>
      </c>
      <c r="K139" s="7" t="n">
        <v>5</v>
      </c>
      <c r="L139" s="56" t="s">
        <v>100</v>
      </c>
      <c r="M139" s="7" t="n">
        <v>13</v>
      </c>
    </row>
    <row r="140" s="1" customFormat="true" ht="14.25" hidden="false" customHeight="false" outlineLevel="0" collapsed="false">
      <c r="A140" s="7" t="n">
        <v>155</v>
      </c>
      <c r="B140" s="7" t="s">
        <v>85</v>
      </c>
      <c r="C140" s="7" t="s">
        <v>86</v>
      </c>
      <c r="D140" s="7" t="n">
        <v>93202</v>
      </c>
      <c r="E140" s="55" t="n">
        <v>200025889008</v>
      </c>
      <c r="F140" s="56" t="s">
        <v>100</v>
      </c>
      <c r="G140" s="55" t="n">
        <v>220235</v>
      </c>
      <c r="H140" s="58" t="n">
        <v>45434.755787037</v>
      </c>
      <c r="I140" s="7" t="n">
        <v>2</v>
      </c>
      <c r="J140" s="7" t="n">
        <v>139</v>
      </c>
      <c r="K140" s="7" t="n">
        <v>6</v>
      </c>
      <c r="L140" s="56" t="s">
        <v>100</v>
      </c>
      <c r="M140" s="7" t="n">
        <v>13</v>
      </c>
    </row>
    <row r="141" s="1" customFormat="true" ht="14.25" hidden="false" customHeight="false" outlineLevel="0" collapsed="false">
      <c r="A141" s="7" t="n">
        <v>156</v>
      </c>
      <c r="B141" s="7" t="s">
        <v>85</v>
      </c>
      <c r="C141" s="7" t="s">
        <v>86</v>
      </c>
      <c r="D141" s="7" t="n">
        <v>93202</v>
      </c>
      <c r="E141" s="55" t="n">
        <v>200025889800</v>
      </c>
      <c r="F141" s="56" t="s">
        <v>96</v>
      </c>
      <c r="G141" s="55" t="n">
        <v>210257</v>
      </c>
      <c r="H141" s="58" t="n">
        <v>45434.7562268519</v>
      </c>
      <c r="I141" s="7" t="n">
        <v>1</v>
      </c>
      <c r="J141" s="7" t="n">
        <v>140</v>
      </c>
      <c r="K141" s="7" t="n">
        <v>17</v>
      </c>
      <c r="L141" s="56" t="s">
        <v>96</v>
      </c>
      <c r="M141" s="7" t="n">
        <v>9</v>
      </c>
    </row>
    <row r="142" s="1" customFormat="true" ht="14.25" hidden="false" customHeight="false" outlineLevel="0" collapsed="false">
      <c r="A142" s="7" t="n">
        <v>157</v>
      </c>
      <c r="B142" s="7" t="s">
        <v>85</v>
      </c>
      <c r="C142" s="7" t="s">
        <v>86</v>
      </c>
      <c r="D142" s="7" t="n">
        <v>93202</v>
      </c>
      <c r="E142" s="55" t="n">
        <v>200025889800</v>
      </c>
      <c r="F142" s="56" t="s">
        <v>96</v>
      </c>
      <c r="G142" s="55" t="n">
        <v>210257</v>
      </c>
      <c r="H142" s="58" t="n">
        <v>45434.756400463</v>
      </c>
      <c r="I142" s="7" t="n">
        <v>1</v>
      </c>
      <c r="J142" s="7" t="n">
        <v>141</v>
      </c>
      <c r="K142" s="7" t="n">
        <v>18</v>
      </c>
      <c r="L142" s="56" t="s">
        <v>96</v>
      </c>
      <c r="M142" s="7" t="n">
        <v>9</v>
      </c>
    </row>
    <row r="143" s="1" customFormat="true" ht="14.25" hidden="false" customHeight="false" outlineLevel="0" collapsed="false">
      <c r="A143" s="7" t="n">
        <v>158</v>
      </c>
      <c r="B143" s="7" t="s">
        <v>85</v>
      </c>
      <c r="C143" s="7" t="s">
        <v>86</v>
      </c>
      <c r="D143" s="7" t="n">
        <v>93202</v>
      </c>
      <c r="E143" s="55" t="n">
        <v>200025888994</v>
      </c>
      <c r="F143" s="56" t="s">
        <v>101</v>
      </c>
      <c r="G143" s="55" t="n">
        <v>220203</v>
      </c>
      <c r="H143" s="58" t="n">
        <v>45434.7694560185</v>
      </c>
      <c r="I143" s="7" t="n">
        <v>0</v>
      </c>
      <c r="J143" s="7" t="n">
        <v>142</v>
      </c>
      <c r="K143" s="7" t="n">
        <v>1</v>
      </c>
      <c r="L143" s="56" t="s">
        <v>101</v>
      </c>
      <c r="M143" s="7" t="n">
        <v>14</v>
      </c>
    </row>
    <row r="144" s="1" customFormat="true" ht="14.25" hidden="false" customHeight="false" outlineLevel="0" collapsed="false">
      <c r="A144" s="7" t="n">
        <v>159</v>
      </c>
      <c r="B144" s="7" t="s">
        <v>85</v>
      </c>
      <c r="C144" s="7" t="s">
        <v>86</v>
      </c>
      <c r="D144" s="7" t="n">
        <v>93202</v>
      </c>
      <c r="E144" s="55" t="n">
        <v>200025888994</v>
      </c>
      <c r="F144" s="56" t="s">
        <v>101</v>
      </c>
      <c r="G144" s="55" t="n">
        <v>220203</v>
      </c>
      <c r="H144" s="58" t="n">
        <v>45434.7694675926</v>
      </c>
      <c r="I144" s="7" t="n">
        <v>0</v>
      </c>
      <c r="J144" s="7" t="n">
        <v>143</v>
      </c>
      <c r="K144" s="7" t="n">
        <v>2</v>
      </c>
      <c r="L144" s="56" t="s">
        <v>101</v>
      </c>
      <c r="M144" s="7" t="n">
        <v>14</v>
      </c>
    </row>
    <row r="145" s="1" customFormat="true" ht="14.25" hidden="false" customHeight="false" outlineLevel="0" collapsed="false">
      <c r="A145" s="7" t="n">
        <v>160</v>
      </c>
      <c r="B145" s="7" t="s">
        <v>85</v>
      </c>
      <c r="C145" s="7" t="s">
        <v>86</v>
      </c>
      <c r="D145" s="7" t="n">
        <v>93202</v>
      </c>
      <c r="E145" s="55" t="n">
        <v>200025888994</v>
      </c>
      <c r="F145" s="56" t="s">
        <v>101</v>
      </c>
      <c r="G145" s="55" t="n">
        <v>220203</v>
      </c>
      <c r="H145" s="58" t="n">
        <v>45434.7694675926</v>
      </c>
      <c r="I145" s="7" t="n">
        <v>1</v>
      </c>
      <c r="J145" s="7" t="n">
        <v>144</v>
      </c>
      <c r="K145" s="7" t="n">
        <v>3</v>
      </c>
      <c r="L145" s="56" t="s">
        <v>101</v>
      </c>
      <c r="M145" s="7" t="n">
        <v>14</v>
      </c>
    </row>
    <row r="146" s="1" customFormat="true" ht="14.25" hidden="false" customHeight="false" outlineLevel="0" collapsed="false">
      <c r="A146" s="7" t="n">
        <v>161</v>
      </c>
      <c r="B146" s="7" t="s">
        <v>85</v>
      </c>
      <c r="C146" s="7" t="s">
        <v>86</v>
      </c>
      <c r="D146" s="7" t="n">
        <v>93202</v>
      </c>
      <c r="E146" s="55" t="n">
        <v>200025888994</v>
      </c>
      <c r="F146" s="56" t="s">
        <v>101</v>
      </c>
      <c r="G146" s="55" t="n">
        <v>220203</v>
      </c>
      <c r="H146" s="58" t="n">
        <v>45434.7694907407</v>
      </c>
      <c r="I146" s="7" t="n">
        <v>0</v>
      </c>
      <c r="J146" s="7" t="n">
        <v>145</v>
      </c>
      <c r="K146" s="7" t="n">
        <v>4</v>
      </c>
      <c r="L146" s="56" t="s">
        <v>101</v>
      </c>
      <c r="M146" s="7" t="n">
        <v>14</v>
      </c>
    </row>
    <row r="147" s="1" customFormat="true" ht="14.25" hidden="false" customHeight="false" outlineLevel="0" collapsed="false">
      <c r="A147" s="7" t="n">
        <v>162</v>
      </c>
      <c r="B147" s="7" t="s">
        <v>85</v>
      </c>
      <c r="C147" s="7" t="s">
        <v>86</v>
      </c>
      <c r="D147" s="7" t="n">
        <v>93202</v>
      </c>
      <c r="E147" s="55" t="n">
        <v>200025889008</v>
      </c>
      <c r="F147" s="56" t="s">
        <v>100</v>
      </c>
      <c r="G147" s="55" t="n">
        <v>220235</v>
      </c>
      <c r="H147" s="58" t="n">
        <v>45434.781875</v>
      </c>
      <c r="I147" s="7" t="n">
        <v>1</v>
      </c>
      <c r="J147" s="7" t="n">
        <v>146</v>
      </c>
      <c r="K147" s="7" t="n">
        <v>7</v>
      </c>
      <c r="L147" s="56" t="s">
        <v>100</v>
      </c>
      <c r="M147" s="7" t="n">
        <v>13</v>
      </c>
    </row>
    <row r="148" s="1" customFormat="true" ht="14.25" hidden="false" customHeight="false" outlineLevel="0" collapsed="false">
      <c r="A148" s="7" t="n">
        <v>163</v>
      </c>
      <c r="B148" s="7" t="s">
        <v>85</v>
      </c>
      <c r="C148" s="7" t="s">
        <v>86</v>
      </c>
      <c r="D148" s="7" t="n">
        <v>93202</v>
      </c>
      <c r="E148" s="55" t="n">
        <v>200025889201</v>
      </c>
      <c r="F148" s="56" t="s">
        <v>98</v>
      </c>
      <c r="G148" s="55" t="n">
        <v>230126</v>
      </c>
      <c r="H148" s="58" t="n">
        <v>45434.7825810185</v>
      </c>
      <c r="I148" s="7" t="n">
        <v>1</v>
      </c>
      <c r="J148" s="7" t="n">
        <v>147</v>
      </c>
      <c r="K148" s="7" t="n">
        <v>3</v>
      </c>
      <c r="L148" s="56" t="s">
        <v>98</v>
      </c>
      <c r="M148" s="7" t="n">
        <v>11</v>
      </c>
    </row>
    <row r="149" s="1" customFormat="true" ht="14.25" hidden="false" customHeight="false" outlineLevel="0" collapsed="false">
      <c r="A149" s="7" t="n">
        <v>164</v>
      </c>
      <c r="B149" s="7" t="s">
        <v>85</v>
      </c>
      <c r="C149" s="7" t="s">
        <v>86</v>
      </c>
      <c r="D149" s="7" t="n">
        <v>93202</v>
      </c>
      <c r="E149" s="55" t="n">
        <v>200025889201</v>
      </c>
      <c r="F149" s="56" t="s">
        <v>98</v>
      </c>
      <c r="G149" s="55" t="n">
        <v>230126</v>
      </c>
      <c r="H149" s="58" t="n">
        <v>45434.7826041667</v>
      </c>
      <c r="I149" s="7" t="n">
        <v>0</v>
      </c>
      <c r="J149" s="7" t="n">
        <v>148</v>
      </c>
      <c r="K149" s="7" t="n">
        <v>4</v>
      </c>
      <c r="L149" s="56" t="s">
        <v>98</v>
      </c>
      <c r="M149" s="7" t="n">
        <v>11</v>
      </c>
    </row>
    <row r="150" s="1" customFormat="true" ht="14.25" hidden="false" customHeight="false" outlineLevel="0" collapsed="false">
      <c r="A150" s="7" t="n">
        <v>165</v>
      </c>
      <c r="B150" s="7" t="s">
        <v>85</v>
      </c>
      <c r="C150" s="7" t="s">
        <v>86</v>
      </c>
      <c r="D150" s="7" t="n">
        <v>93202</v>
      </c>
      <c r="E150" s="55" t="n">
        <v>200025889201</v>
      </c>
      <c r="F150" s="56" t="s">
        <v>98</v>
      </c>
      <c r="G150" s="55" t="n">
        <v>230126</v>
      </c>
      <c r="H150" s="58" t="n">
        <v>45434.7826157407</v>
      </c>
      <c r="I150" s="7" t="n">
        <v>0</v>
      </c>
      <c r="J150" s="7" t="n">
        <v>149</v>
      </c>
      <c r="K150" s="7" t="n">
        <v>5</v>
      </c>
      <c r="L150" s="56" t="s">
        <v>98</v>
      </c>
      <c r="M150" s="7" t="n">
        <v>11</v>
      </c>
    </row>
    <row r="151" s="1" customFormat="true" ht="14.25" hidden="false" customHeight="false" outlineLevel="0" collapsed="false">
      <c r="A151" s="7" t="n">
        <v>166</v>
      </c>
      <c r="B151" s="7" t="s">
        <v>85</v>
      </c>
      <c r="C151" s="7" t="s">
        <v>86</v>
      </c>
      <c r="D151" s="7" t="n">
        <v>93202</v>
      </c>
      <c r="E151" s="55" t="n">
        <v>200025889201</v>
      </c>
      <c r="F151" s="56" t="s">
        <v>98</v>
      </c>
      <c r="G151" s="55" t="n">
        <v>230126</v>
      </c>
      <c r="H151" s="58" t="n">
        <v>45434.7827662037</v>
      </c>
      <c r="I151" s="7" t="n">
        <v>1</v>
      </c>
      <c r="J151" s="7" t="n">
        <v>150</v>
      </c>
      <c r="K151" s="7" t="n">
        <v>6</v>
      </c>
      <c r="L151" s="56" t="s">
        <v>98</v>
      </c>
      <c r="M151" s="7" t="n">
        <v>11</v>
      </c>
    </row>
    <row r="152" s="1" customFormat="true" ht="14.25" hidden="false" customHeight="false" outlineLevel="0" collapsed="false">
      <c r="A152" s="7" t="n">
        <v>167</v>
      </c>
      <c r="B152" s="7" t="s">
        <v>85</v>
      </c>
      <c r="C152" s="7" t="s">
        <v>86</v>
      </c>
      <c r="D152" s="7" t="n">
        <v>93202</v>
      </c>
      <c r="E152" s="55" t="n">
        <v>200025888898</v>
      </c>
      <c r="F152" s="56" t="s">
        <v>95</v>
      </c>
      <c r="G152" s="55" t="n">
        <v>180085</v>
      </c>
      <c r="H152" s="58" t="n">
        <v>45434.7833564815</v>
      </c>
      <c r="I152" s="7" t="n">
        <v>1</v>
      </c>
      <c r="J152" s="7" t="n">
        <v>151</v>
      </c>
      <c r="K152" s="7" t="n">
        <v>4</v>
      </c>
      <c r="L152" s="56" t="s">
        <v>95</v>
      </c>
      <c r="M152" s="7" t="n">
        <v>8</v>
      </c>
    </row>
    <row r="153" s="1" customFormat="true" ht="14.25" hidden="false" customHeight="false" outlineLevel="0" collapsed="false">
      <c r="A153" s="7" t="n">
        <v>168</v>
      </c>
      <c r="B153" s="7" t="s">
        <v>85</v>
      </c>
      <c r="C153" s="7" t="s">
        <v>86</v>
      </c>
      <c r="D153" s="7" t="n">
        <v>93202</v>
      </c>
      <c r="E153" s="55" t="n">
        <v>200025888898</v>
      </c>
      <c r="F153" s="56" t="s">
        <v>95</v>
      </c>
      <c r="G153" s="55" t="n">
        <v>180085</v>
      </c>
      <c r="H153" s="58" t="n">
        <v>45434.7833680556</v>
      </c>
      <c r="I153" s="7" t="n">
        <v>1</v>
      </c>
      <c r="J153" s="7" t="n">
        <v>152</v>
      </c>
      <c r="K153" s="7" t="n">
        <v>5</v>
      </c>
      <c r="L153" s="56" t="s">
        <v>95</v>
      </c>
      <c r="M153" s="7" t="n">
        <v>8</v>
      </c>
    </row>
    <row r="154" s="1" customFormat="true" ht="14.25" hidden="false" customHeight="false" outlineLevel="0" collapsed="false">
      <c r="A154" s="7" t="n">
        <v>169</v>
      </c>
      <c r="B154" s="7" t="s">
        <v>85</v>
      </c>
      <c r="C154" s="7" t="s">
        <v>86</v>
      </c>
      <c r="D154" s="7" t="n">
        <v>93202</v>
      </c>
      <c r="E154" s="55" t="n">
        <v>200025889067</v>
      </c>
      <c r="F154" s="56" t="s">
        <v>99</v>
      </c>
      <c r="G154" s="55" t="n">
        <v>200983</v>
      </c>
      <c r="H154" s="58" t="n">
        <v>45434.8152546296</v>
      </c>
      <c r="I154" s="7" t="n">
        <v>2</v>
      </c>
      <c r="J154" s="7" t="n">
        <v>153</v>
      </c>
      <c r="K154" s="7" t="n">
        <v>3</v>
      </c>
      <c r="L154" s="56" t="s">
        <v>99</v>
      </c>
      <c r="M154" s="7" t="n">
        <v>12</v>
      </c>
    </row>
    <row r="155" s="1" customFormat="true" ht="14.25" hidden="false" customHeight="false" outlineLevel="0" collapsed="false">
      <c r="A155" s="7" t="n">
        <v>170</v>
      </c>
      <c r="B155" s="7" t="s">
        <v>85</v>
      </c>
      <c r="C155" s="7" t="s">
        <v>86</v>
      </c>
      <c r="D155" s="7" t="n">
        <v>93202</v>
      </c>
      <c r="E155" s="55" t="n">
        <v>200025889067</v>
      </c>
      <c r="F155" s="56" t="s">
        <v>99</v>
      </c>
      <c r="G155" s="55" t="n">
        <v>200983</v>
      </c>
      <c r="H155" s="58" t="n">
        <v>45434.8152777778</v>
      </c>
      <c r="I155" s="7" t="n">
        <v>0</v>
      </c>
      <c r="J155" s="7" t="n">
        <v>154</v>
      </c>
      <c r="K155" s="7" t="n">
        <v>4</v>
      </c>
      <c r="L155" s="56" t="s">
        <v>99</v>
      </c>
      <c r="M155" s="7" t="n">
        <v>12</v>
      </c>
    </row>
    <row r="156" s="1" customFormat="true" ht="14.25" hidden="false" customHeight="false" outlineLevel="0" collapsed="false">
      <c r="A156" s="7" t="n">
        <v>171</v>
      </c>
      <c r="B156" s="7" t="s">
        <v>85</v>
      </c>
      <c r="C156" s="7" t="s">
        <v>86</v>
      </c>
      <c r="D156" s="7" t="n">
        <v>93202</v>
      </c>
      <c r="E156" s="55" t="n">
        <v>200025889008</v>
      </c>
      <c r="F156" s="56" t="s">
        <v>100</v>
      </c>
      <c r="G156" s="55" t="n">
        <v>220235</v>
      </c>
      <c r="H156" s="58" t="n">
        <v>45434.8200810185</v>
      </c>
      <c r="I156" s="7" t="n">
        <v>1</v>
      </c>
      <c r="J156" s="7" t="n">
        <v>155</v>
      </c>
      <c r="K156" s="7" t="n">
        <v>8</v>
      </c>
      <c r="L156" s="56" t="s">
        <v>100</v>
      </c>
      <c r="M156" s="7" t="n">
        <v>13</v>
      </c>
    </row>
    <row r="157" s="1" customFormat="true" ht="14.25" hidden="false" customHeight="false" outlineLevel="0" collapsed="false">
      <c r="A157" s="7" t="n">
        <v>172</v>
      </c>
      <c r="B157" s="7" t="s">
        <v>85</v>
      </c>
      <c r="C157" s="7" t="s">
        <v>86</v>
      </c>
      <c r="D157" s="7" t="n">
        <v>93202</v>
      </c>
      <c r="E157" s="55" t="n">
        <v>200025889054</v>
      </c>
      <c r="F157" s="56" t="s">
        <v>91</v>
      </c>
      <c r="G157" s="56" t="s">
        <v>92</v>
      </c>
      <c r="H157" s="58" t="n">
        <v>45434.8208680556</v>
      </c>
      <c r="I157" s="7" t="n">
        <v>1</v>
      </c>
      <c r="J157" s="7" t="n">
        <v>156</v>
      </c>
      <c r="K157" s="7" t="n">
        <v>25</v>
      </c>
      <c r="L157" s="56" t="s">
        <v>91</v>
      </c>
      <c r="M157" s="7" t="n">
        <v>5</v>
      </c>
    </row>
    <row r="158" s="1" customFormat="true" ht="14.25" hidden="false" customHeight="false" outlineLevel="0" collapsed="false">
      <c r="A158" s="7" t="n">
        <v>173</v>
      </c>
      <c r="B158" s="7" t="s">
        <v>85</v>
      </c>
      <c r="C158" s="7" t="s">
        <v>86</v>
      </c>
      <c r="D158" s="7" t="n">
        <v>93202</v>
      </c>
      <c r="E158" s="55" t="n">
        <v>200025889054</v>
      </c>
      <c r="F158" s="56" t="s">
        <v>91</v>
      </c>
      <c r="G158" s="56" t="s">
        <v>92</v>
      </c>
      <c r="H158" s="58" t="n">
        <v>45434.8210416667</v>
      </c>
      <c r="I158" s="7" t="n">
        <v>1</v>
      </c>
      <c r="J158" s="7" t="n">
        <v>157</v>
      </c>
      <c r="K158" s="7" t="n">
        <v>26</v>
      </c>
      <c r="L158" s="56" t="s">
        <v>91</v>
      </c>
      <c r="M158" s="7" t="n">
        <v>5</v>
      </c>
    </row>
    <row r="159" s="1" customFormat="true" ht="14.25" hidden="false" customHeight="false" outlineLevel="0" collapsed="false">
      <c r="A159" s="7" t="n">
        <v>174</v>
      </c>
      <c r="B159" s="7" t="s">
        <v>85</v>
      </c>
      <c r="C159" s="7" t="s">
        <v>86</v>
      </c>
      <c r="D159" s="7" t="n">
        <v>93202</v>
      </c>
      <c r="E159" s="55" t="n">
        <v>200025889054</v>
      </c>
      <c r="F159" s="56" t="s">
        <v>91</v>
      </c>
      <c r="G159" s="56" t="s">
        <v>92</v>
      </c>
      <c r="H159" s="58" t="n">
        <v>45434.8211342593</v>
      </c>
      <c r="I159" s="7" t="n">
        <v>2</v>
      </c>
      <c r="J159" s="7" t="n">
        <v>158</v>
      </c>
      <c r="K159" s="7" t="n">
        <v>27</v>
      </c>
      <c r="L159" s="56" t="s">
        <v>91</v>
      </c>
      <c r="M159" s="7" t="n">
        <v>5</v>
      </c>
    </row>
    <row r="160" s="1" customFormat="true" ht="14.25" hidden="false" customHeight="false" outlineLevel="0" collapsed="false">
      <c r="A160" s="7" t="n">
        <v>175</v>
      </c>
      <c r="B160" s="7" t="s">
        <v>85</v>
      </c>
      <c r="C160" s="7" t="s">
        <v>86</v>
      </c>
      <c r="D160" s="7" t="n">
        <v>93202</v>
      </c>
      <c r="E160" s="55" t="n">
        <v>200025889054</v>
      </c>
      <c r="F160" s="56" t="s">
        <v>91</v>
      </c>
      <c r="G160" s="56" t="s">
        <v>92</v>
      </c>
      <c r="H160" s="58" t="n">
        <v>45434.8212268519</v>
      </c>
      <c r="I160" s="7" t="n">
        <v>1</v>
      </c>
      <c r="J160" s="7" t="n">
        <v>159</v>
      </c>
      <c r="K160" s="7" t="n">
        <v>28</v>
      </c>
      <c r="L160" s="56" t="s">
        <v>91</v>
      </c>
      <c r="M160" s="7" t="n">
        <v>5</v>
      </c>
    </row>
    <row r="161" s="1" customFormat="true" ht="14.25" hidden="false" customHeight="false" outlineLevel="0" collapsed="false">
      <c r="A161" s="7" t="n">
        <v>176</v>
      </c>
      <c r="B161" s="7" t="s">
        <v>85</v>
      </c>
      <c r="C161" s="7" t="s">
        <v>86</v>
      </c>
      <c r="D161" s="7" t="n">
        <v>93202</v>
      </c>
      <c r="E161" s="55" t="n">
        <v>200025889054</v>
      </c>
      <c r="F161" s="56" t="s">
        <v>91</v>
      </c>
      <c r="G161" s="56" t="s">
        <v>92</v>
      </c>
      <c r="H161" s="58" t="n">
        <v>45434.8213657407</v>
      </c>
      <c r="I161" s="7" t="n">
        <v>1</v>
      </c>
      <c r="J161" s="7" t="n">
        <v>160</v>
      </c>
      <c r="K161" s="7" t="n">
        <v>29</v>
      </c>
      <c r="L161" s="56" t="s">
        <v>91</v>
      </c>
      <c r="M161" s="7" t="n">
        <v>5</v>
      </c>
    </row>
    <row r="162" s="1" customFormat="true" ht="14.25" hidden="false" customHeight="false" outlineLevel="0" collapsed="false">
      <c r="A162" s="7" t="n">
        <v>177</v>
      </c>
      <c r="B162" s="7" t="s">
        <v>85</v>
      </c>
      <c r="C162" s="7" t="s">
        <v>86</v>
      </c>
      <c r="D162" s="7" t="n">
        <v>93202</v>
      </c>
      <c r="E162" s="55" t="n">
        <v>200025889054</v>
      </c>
      <c r="F162" s="56" t="s">
        <v>91</v>
      </c>
      <c r="G162" s="56" t="s">
        <v>92</v>
      </c>
      <c r="H162" s="58" t="n">
        <v>45434.8216550926</v>
      </c>
      <c r="I162" s="7" t="n">
        <v>0</v>
      </c>
      <c r="J162" s="7" t="n">
        <v>161</v>
      </c>
      <c r="K162" s="7" t="n">
        <v>30</v>
      </c>
      <c r="L162" s="56" t="s">
        <v>91</v>
      </c>
      <c r="M162" s="7" t="n">
        <v>5</v>
      </c>
    </row>
    <row r="163" s="1" customFormat="true" ht="14.25" hidden="false" customHeight="false" outlineLevel="0" collapsed="false">
      <c r="A163" s="7" t="n">
        <v>178</v>
      </c>
      <c r="B163" s="7" t="s">
        <v>85</v>
      </c>
      <c r="C163" s="7" t="s">
        <v>86</v>
      </c>
      <c r="D163" s="7" t="n">
        <v>93202</v>
      </c>
      <c r="E163" s="55" t="n">
        <v>200025889054</v>
      </c>
      <c r="F163" s="56" t="s">
        <v>91</v>
      </c>
      <c r="G163" s="56" t="s">
        <v>92</v>
      </c>
      <c r="H163" s="58" t="n">
        <v>45434.8216666667</v>
      </c>
      <c r="I163" s="7" t="n">
        <v>1</v>
      </c>
      <c r="J163" s="7" t="n">
        <v>162</v>
      </c>
      <c r="K163" s="7" t="n">
        <v>31</v>
      </c>
      <c r="L163" s="56" t="s">
        <v>91</v>
      </c>
      <c r="M163" s="7" t="n">
        <v>5</v>
      </c>
    </row>
    <row r="164" s="1" customFormat="true" ht="14.25" hidden="false" customHeight="false" outlineLevel="0" collapsed="false">
      <c r="A164" s="7" t="n">
        <v>179</v>
      </c>
      <c r="B164" s="7" t="s">
        <v>85</v>
      </c>
      <c r="C164" s="7" t="s">
        <v>86</v>
      </c>
      <c r="D164" s="7" t="n">
        <v>93202</v>
      </c>
      <c r="E164" s="55" t="n">
        <v>200025889271</v>
      </c>
      <c r="F164" s="56" t="s">
        <v>102</v>
      </c>
      <c r="G164" s="55" t="n">
        <v>210276</v>
      </c>
      <c r="H164" s="58" t="n">
        <v>45434.8310763889</v>
      </c>
      <c r="I164" s="7" t="n">
        <v>1</v>
      </c>
      <c r="J164" s="7" t="n">
        <v>163</v>
      </c>
      <c r="K164" s="7" t="n">
        <v>1</v>
      </c>
      <c r="L164" s="56" t="s">
        <v>102</v>
      </c>
      <c r="M164" s="7" t="n">
        <v>15</v>
      </c>
    </row>
    <row r="165" s="1" customFormat="true" ht="14.25" hidden="false" customHeight="false" outlineLevel="0" collapsed="false">
      <c r="A165" s="7" t="n">
        <v>180</v>
      </c>
      <c r="B165" s="7" t="s">
        <v>85</v>
      </c>
      <c r="C165" s="7" t="s">
        <v>86</v>
      </c>
      <c r="D165" s="7" t="n">
        <v>93202</v>
      </c>
      <c r="E165" s="55" t="n">
        <v>200025889271</v>
      </c>
      <c r="F165" s="56" t="s">
        <v>102</v>
      </c>
      <c r="G165" s="55" t="n">
        <v>210276</v>
      </c>
      <c r="H165" s="58" t="n">
        <v>45434.831087963</v>
      </c>
      <c r="I165" s="7" t="n">
        <v>0</v>
      </c>
      <c r="J165" s="7" t="n">
        <v>164</v>
      </c>
      <c r="K165" s="7" t="n">
        <v>2</v>
      </c>
      <c r="L165" s="56" t="s">
        <v>102</v>
      </c>
      <c r="M165" s="7" t="n">
        <v>15</v>
      </c>
    </row>
    <row r="166" s="1" customFormat="true" ht="14.25" hidden="false" customHeight="false" outlineLevel="0" collapsed="false">
      <c r="A166" s="7" t="n">
        <v>181</v>
      </c>
      <c r="B166" s="7" t="s">
        <v>85</v>
      </c>
      <c r="C166" s="7" t="s">
        <v>86</v>
      </c>
      <c r="D166" s="7" t="n">
        <v>93202</v>
      </c>
      <c r="E166" s="55" t="n">
        <v>200025889008</v>
      </c>
      <c r="F166" s="56" t="s">
        <v>100</v>
      </c>
      <c r="G166" s="55" t="n">
        <v>220235</v>
      </c>
      <c r="H166" s="58" t="n">
        <v>45434.8322453704</v>
      </c>
      <c r="I166" s="7" t="n">
        <v>0</v>
      </c>
      <c r="J166" s="7" t="n">
        <v>165</v>
      </c>
      <c r="K166" s="7" t="n">
        <v>9</v>
      </c>
      <c r="L166" s="56" t="s">
        <v>100</v>
      </c>
      <c r="M166" s="7" t="n">
        <v>13</v>
      </c>
    </row>
    <row r="167" s="1" customFormat="true" ht="14.25" hidden="false" customHeight="false" outlineLevel="0" collapsed="false">
      <c r="A167" s="7" t="n">
        <v>182</v>
      </c>
      <c r="B167" s="7" t="s">
        <v>85</v>
      </c>
      <c r="C167" s="7" t="s">
        <v>86</v>
      </c>
      <c r="D167" s="7" t="n">
        <v>93202</v>
      </c>
      <c r="E167" s="55" t="n">
        <v>200025889008</v>
      </c>
      <c r="F167" s="56" t="s">
        <v>100</v>
      </c>
      <c r="G167" s="55" t="n">
        <v>220235</v>
      </c>
      <c r="H167" s="58" t="n">
        <v>45434.8322569444</v>
      </c>
      <c r="I167" s="7" t="n">
        <v>1</v>
      </c>
      <c r="J167" s="7" t="n">
        <v>166</v>
      </c>
      <c r="K167" s="7" t="n">
        <v>10</v>
      </c>
      <c r="L167" s="56" t="s">
        <v>100</v>
      </c>
      <c r="M167" s="7" t="n">
        <v>13</v>
      </c>
    </row>
    <row r="168" s="1" customFormat="true" ht="14.25" hidden="false" customHeight="false" outlineLevel="0" collapsed="false">
      <c r="A168" s="7" t="n">
        <v>183</v>
      </c>
      <c r="B168" s="7" t="s">
        <v>85</v>
      </c>
      <c r="C168" s="7" t="s">
        <v>86</v>
      </c>
      <c r="D168" s="7" t="n">
        <v>93202</v>
      </c>
      <c r="E168" s="55" t="n">
        <v>200025889008</v>
      </c>
      <c r="F168" s="56" t="s">
        <v>100</v>
      </c>
      <c r="G168" s="55" t="n">
        <v>220235</v>
      </c>
      <c r="H168" s="58" t="n">
        <v>45434.8325694444</v>
      </c>
      <c r="I168" s="7" t="n">
        <v>0</v>
      </c>
      <c r="J168" s="7" t="n">
        <v>167</v>
      </c>
      <c r="K168" s="7" t="n">
        <v>11</v>
      </c>
      <c r="L168" s="56" t="s">
        <v>100</v>
      </c>
      <c r="M168" s="7" t="n">
        <v>13</v>
      </c>
    </row>
    <row r="169" s="1" customFormat="true" ht="14.25" hidden="false" customHeight="false" outlineLevel="0" collapsed="false">
      <c r="A169" s="7" t="n">
        <v>184</v>
      </c>
      <c r="B169" s="7" t="s">
        <v>85</v>
      </c>
      <c r="C169" s="7" t="s">
        <v>86</v>
      </c>
      <c r="D169" s="7" t="n">
        <v>93202</v>
      </c>
      <c r="E169" s="55" t="n">
        <v>200025889008</v>
      </c>
      <c r="F169" s="56" t="s">
        <v>100</v>
      </c>
      <c r="G169" s="55" t="n">
        <v>220235</v>
      </c>
      <c r="H169" s="58" t="n">
        <v>45434.8325810185</v>
      </c>
      <c r="I169" s="7" t="n">
        <v>0</v>
      </c>
      <c r="J169" s="7" t="n">
        <v>168</v>
      </c>
      <c r="K169" s="7" t="n">
        <v>12</v>
      </c>
      <c r="L169" s="56" t="s">
        <v>100</v>
      </c>
      <c r="M169" s="7" t="n">
        <v>13</v>
      </c>
    </row>
    <row r="170" s="1" customFormat="true" ht="14.25" hidden="false" customHeight="false" outlineLevel="0" collapsed="false">
      <c r="A170" s="7" t="n">
        <v>185</v>
      </c>
      <c r="B170" s="7" t="s">
        <v>85</v>
      </c>
      <c r="C170" s="7" t="s">
        <v>86</v>
      </c>
      <c r="D170" s="7" t="n">
        <v>93202</v>
      </c>
      <c r="E170" s="55" t="n">
        <v>200025889008</v>
      </c>
      <c r="F170" s="56" t="s">
        <v>100</v>
      </c>
      <c r="G170" s="55" t="n">
        <v>220235</v>
      </c>
      <c r="H170" s="58" t="n">
        <v>45434.8326041667</v>
      </c>
      <c r="I170" s="7" t="n">
        <v>1</v>
      </c>
      <c r="J170" s="7" t="n">
        <v>169</v>
      </c>
      <c r="K170" s="7" t="n">
        <v>13</v>
      </c>
      <c r="L170" s="56" t="s">
        <v>100</v>
      </c>
      <c r="M170" s="7" t="n">
        <v>13</v>
      </c>
    </row>
    <row r="171" s="1" customFormat="true" ht="14.25" hidden="false" customHeight="false" outlineLevel="0" collapsed="false">
      <c r="A171" s="7" t="n">
        <v>186</v>
      </c>
      <c r="B171" s="7" t="s">
        <v>85</v>
      </c>
      <c r="C171" s="7" t="s">
        <v>86</v>
      </c>
      <c r="D171" s="7" t="n">
        <v>93202</v>
      </c>
      <c r="E171" s="55" t="n">
        <v>200025889008</v>
      </c>
      <c r="F171" s="56" t="s">
        <v>100</v>
      </c>
      <c r="G171" s="55" t="n">
        <v>220235</v>
      </c>
      <c r="H171" s="58" t="n">
        <v>45434.8327430556</v>
      </c>
      <c r="I171" s="7" t="n">
        <v>0</v>
      </c>
      <c r="J171" s="7" t="n">
        <v>170</v>
      </c>
      <c r="K171" s="7" t="n">
        <v>14</v>
      </c>
      <c r="L171" s="56" t="s">
        <v>100</v>
      </c>
      <c r="M171" s="7" t="n">
        <v>13</v>
      </c>
    </row>
    <row r="172" s="1" customFormat="true" ht="14.25" hidden="false" customHeight="false" outlineLevel="0" collapsed="false">
      <c r="A172" s="7" t="n">
        <v>187</v>
      </c>
      <c r="B172" s="7" t="s">
        <v>85</v>
      </c>
      <c r="C172" s="7" t="s">
        <v>86</v>
      </c>
      <c r="D172" s="7" t="n">
        <v>93202</v>
      </c>
      <c r="E172" s="55" t="n">
        <v>200025889008</v>
      </c>
      <c r="F172" s="56" t="s">
        <v>100</v>
      </c>
      <c r="G172" s="55" t="n">
        <v>220235</v>
      </c>
      <c r="H172" s="58" t="n">
        <v>45434.8327430556</v>
      </c>
      <c r="I172" s="7" t="n">
        <v>2</v>
      </c>
      <c r="J172" s="7" t="n">
        <v>171</v>
      </c>
      <c r="K172" s="7" t="n">
        <v>15</v>
      </c>
      <c r="L172" s="56" t="s">
        <v>100</v>
      </c>
      <c r="M172" s="7" t="n">
        <v>13</v>
      </c>
    </row>
    <row r="173" s="1" customFormat="true" ht="14.25" hidden="false" customHeight="false" outlineLevel="0" collapsed="false">
      <c r="A173" s="7" t="n">
        <v>188</v>
      </c>
      <c r="B173" s="7" t="s">
        <v>85</v>
      </c>
      <c r="C173" s="7" t="s">
        <v>86</v>
      </c>
      <c r="D173" s="7" t="n">
        <v>93202</v>
      </c>
      <c r="E173" s="55" t="n">
        <v>200025888596</v>
      </c>
      <c r="F173" s="56" t="s">
        <v>103</v>
      </c>
      <c r="G173" s="55" t="n">
        <v>190077</v>
      </c>
      <c r="H173" s="58" t="n">
        <v>45434.8379398148</v>
      </c>
      <c r="I173" s="7" t="n">
        <v>0</v>
      </c>
      <c r="J173" s="7" t="n">
        <v>172</v>
      </c>
      <c r="K173" s="7" t="n">
        <v>1</v>
      </c>
      <c r="L173" s="56" t="s">
        <v>103</v>
      </c>
      <c r="M173" s="7" t="n">
        <v>16</v>
      </c>
    </row>
    <row r="174" s="1" customFormat="true" ht="14.25" hidden="false" customHeight="false" outlineLevel="0" collapsed="false">
      <c r="A174" s="7" t="n">
        <v>189</v>
      </c>
      <c r="B174" s="7" t="s">
        <v>85</v>
      </c>
      <c r="C174" s="7" t="s">
        <v>86</v>
      </c>
      <c r="D174" s="7" t="n">
        <v>93202</v>
      </c>
      <c r="E174" s="55" t="n">
        <v>200025888596</v>
      </c>
      <c r="F174" s="56" t="s">
        <v>103</v>
      </c>
      <c r="G174" s="55" t="n">
        <v>190077</v>
      </c>
      <c r="H174" s="58" t="n">
        <v>45434.8379513889</v>
      </c>
      <c r="I174" s="7" t="n">
        <v>1</v>
      </c>
      <c r="J174" s="7" t="n">
        <v>173</v>
      </c>
      <c r="K174" s="7" t="n">
        <v>2</v>
      </c>
      <c r="L174" s="56" t="s">
        <v>103</v>
      </c>
      <c r="M174" s="7" t="n">
        <v>16</v>
      </c>
    </row>
    <row r="175" s="1" customFormat="true" ht="14.25" hidden="false" customHeight="false" outlineLevel="0" collapsed="false">
      <c r="A175" s="7" t="n">
        <v>190</v>
      </c>
      <c r="B175" s="7" t="s">
        <v>85</v>
      </c>
      <c r="C175" s="7" t="s">
        <v>86</v>
      </c>
      <c r="D175" s="7" t="n">
        <v>93202</v>
      </c>
      <c r="E175" s="55" t="n">
        <v>200025888596</v>
      </c>
      <c r="F175" s="56" t="s">
        <v>103</v>
      </c>
      <c r="G175" s="55" t="n">
        <v>190077</v>
      </c>
      <c r="H175" s="58" t="n">
        <v>45434.838125</v>
      </c>
      <c r="I175" s="7" t="n">
        <v>1</v>
      </c>
      <c r="J175" s="7" t="n">
        <v>174</v>
      </c>
      <c r="K175" s="7" t="n">
        <v>3</v>
      </c>
      <c r="L175" s="56" t="s">
        <v>103</v>
      </c>
      <c r="M175" s="7" t="n">
        <v>16</v>
      </c>
    </row>
    <row r="176" s="1" customFormat="true" ht="14.25" hidden="false" customHeight="false" outlineLevel="0" collapsed="false">
      <c r="A176" s="7" t="n">
        <v>191</v>
      </c>
      <c r="B176" s="7" t="s">
        <v>85</v>
      </c>
      <c r="C176" s="7" t="s">
        <v>86</v>
      </c>
      <c r="D176" s="7" t="n">
        <v>93202</v>
      </c>
      <c r="E176" s="55" t="n">
        <v>200025888596</v>
      </c>
      <c r="F176" s="56" t="s">
        <v>103</v>
      </c>
      <c r="G176" s="55" t="n">
        <v>190077</v>
      </c>
      <c r="H176" s="58" t="n">
        <v>45434.8381597222</v>
      </c>
      <c r="I176" s="7" t="n">
        <v>0</v>
      </c>
      <c r="J176" s="7" t="n">
        <v>175</v>
      </c>
      <c r="K176" s="7" t="n">
        <v>4</v>
      </c>
      <c r="L176" s="56" t="s">
        <v>103</v>
      </c>
      <c r="M176" s="7" t="n">
        <v>16</v>
      </c>
    </row>
    <row r="177" s="1" customFormat="true" ht="14.25" hidden="false" customHeight="false" outlineLevel="0" collapsed="false">
      <c r="A177" s="7" t="n">
        <v>192</v>
      </c>
      <c r="B177" s="7" t="s">
        <v>85</v>
      </c>
      <c r="C177" s="7" t="s">
        <v>86</v>
      </c>
      <c r="D177" s="7" t="n">
        <v>93202</v>
      </c>
      <c r="E177" s="55" t="n">
        <v>200025888994</v>
      </c>
      <c r="F177" s="56" t="s">
        <v>101</v>
      </c>
      <c r="G177" s="55" t="n">
        <v>220203</v>
      </c>
      <c r="H177" s="58" t="n">
        <v>45434.8476967593</v>
      </c>
      <c r="I177" s="7" t="n">
        <v>1</v>
      </c>
      <c r="J177" s="7" t="n">
        <v>176</v>
      </c>
      <c r="K177" s="7" t="n">
        <v>5</v>
      </c>
      <c r="L177" s="56" t="s">
        <v>101</v>
      </c>
      <c r="M177" s="7" t="n">
        <v>14</v>
      </c>
    </row>
    <row r="178" s="1" customFormat="true" ht="14.25" hidden="false" customHeight="false" outlineLevel="0" collapsed="false">
      <c r="A178" s="7" t="n">
        <v>193</v>
      </c>
      <c r="B178" s="7" t="s">
        <v>85</v>
      </c>
      <c r="C178" s="7" t="s">
        <v>86</v>
      </c>
      <c r="D178" s="7" t="n">
        <v>93202</v>
      </c>
      <c r="E178" s="55" t="n">
        <v>200025888994</v>
      </c>
      <c r="F178" s="56" t="s">
        <v>101</v>
      </c>
      <c r="G178" s="55" t="n">
        <v>220203</v>
      </c>
      <c r="H178" s="58" t="n">
        <v>45434.8489699074</v>
      </c>
      <c r="I178" s="7" t="n">
        <v>2</v>
      </c>
      <c r="J178" s="7" t="n">
        <v>177</v>
      </c>
      <c r="K178" s="7" t="n">
        <v>6</v>
      </c>
      <c r="L178" s="56" t="s">
        <v>101</v>
      </c>
      <c r="M178" s="7" t="n">
        <v>14</v>
      </c>
    </row>
    <row r="179" s="1" customFormat="true" ht="14.25" hidden="false" customHeight="false" outlineLevel="0" collapsed="false">
      <c r="A179" s="7" t="n">
        <v>194</v>
      </c>
      <c r="B179" s="7" t="s">
        <v>85</v>
      </c>
      <c r="C179" s="7" t="s">
        <v>86</v>
      </c>
      <c r="D179" s="7" t="n">
        <v>93202</v>
      </c>
      <c r="E179" s="55" t="n">
        <v>200025888320</v>
      </c>
      <c r="F179" s="56" t="s">
        <v>104</v>
      </c>
      <c r="G179" s="55" t="n">
        <v>220201</v>
      </c>
      <c r="H179" s="58" t="n">
        <v>45434.8521759259</v>
      </c>
      <c r="I179" s="7" t="n">
        <v>1</v>
      </c>
      <c r="J179" s="7" t="n">
        <v>178</v>
      </c>
      <c r="K179" s="7" t="n">
        <v>1</v>
      </c>
      <c r="L179" s="56" t="s">
        <v>104</v>
      </c>
      <c r="M179" s="7" t="n">
        <v>17</v>
      </c>
    </row>
    <row r="180" s="1" customFormat="true" ht="14.25" hidden="false" customHeight="false" outlineLevel="0" collapsed="false">
      <c r="A180" s="7" t="n">
        <v>195</v>
      </c>
      <c r="B180" s="7" t="s">
        <v>85</v>
      </c>
      <c r="C180" s="7" t="s">
        <v>86</v>
      </c>
      <c r="D180" s="7" t="n">
        <v>93202</v>
      </c>
      <c r="E180" s="55" t="n">
        <v>200025889150</v>
      </c>
      <c r="F180" s="56" t="s">
        <v>105</v>
      </c>
      <c r="G180" s="55" t="n">
        <v>210281</v>
      </c>
      <c r="H180" s="58" t="n">
        <v>45434.8525462963</v>
      </c>
      <c r="I180" s="7" t="n">
        <v>1</v>
      </c>
      <c r="J180" s="7" t="n">
        <v>179</v>
      </c>
      <c r="K180" s="7" t="n">
        <v>1</v>
      </c>
      <c r="L180" s="56" t="s">
        <v>105</v>
      </c>
      <c r="M180" s="7" t="n">
        <v>18</v>
      </c>
    </row>
    <row r="181" s="1" customFormat="true" ht="14.25" hidden="false" customHeight="false" outlineLevel="0" collapsed="false">
      <c r="A181" s="7" t="n">
        <v>196</v>
      </c>
      <c r="B181" s="7" t="s">
        <v>85</v>
      </c>
      <c r="C181" s="7" t="s">
        <v>86</v>
      </c>
      <c r="D181" s="7" t="n">
        <v>93202</v>
      </c>
      <c r="E181" s="55" t="n">
        <v>200025889201</v>
      </c>
      <c r="F181" s="56" t="s">
        <v>98</v>
      </c>
      <c r="G181" s="55" t="n">
        <v>230126</v>
      </c>
      <c r="H181" s="58" t="n">
        <v>45434.8530092593</v>
      </c>
      <c r="I181" s="7" t="n">
        <v>0</v>
      </c>
      <c r="J181" s="7" t="n">
        <v>180</v>
      </c>
      <c r="K181" s="7" t="n">
        <v>7</v>
      </c>
      <c r="L181" s="56" t="s">
        <v>98</v>
      </c>
      <c r="M181" s="7" t="n">
        <v>11</v>
      </c>
    </row>
    <row r="182" s="1" customFormat="true" ht="14.25" hidden="false" customHeight="false" outlineLevel="0" collapsed="false">
      <c r="A182" s="7" t="n">
        <v>197</v>
      </c>
      <c r="B182" s="7" t="s">
        <v>85</v>
      </c>
      <c r="C182" s="7" t="s">
        <v>86</v>
      </c>
      <c r="D182" s="7" t="n">
        <v>93202</v>
      </c>
      <c r="E182" s="55" t="n">
        <v>200025889201</v>
      </c>
      <c r="F182" s="56" t="s">
        <v>98</v>
      </c>
      <c r="G182" s="55" t="n">
        <v>230126</v>
      </c>
      <c r="H182" s="58" t="n">
        <v>45434.8530092593</v>
      </c>
      <c r="I182" s="7" t="n">
        <v>1</v>
      </c>
      <c r="J182" s="7" t="n">
        <v>181</v>
      </c>
      <c r="K182" s="7" t="n">
        <v>8</v>
      </c>
      <c r="L182" s="56" t="s">
        <v>98</v>
      </c>
      <c r="M182" s="7" t="n">
        <v>11</v>
      </c>
    </row>
    <row r="183" s="1" customFormat="true" ht="14.25" hidden="false" customHeight="false" outlineLevel="0" collapsed="false">
      <c r="A183" s="7" t="n">
        <v>198</v>
      </c>
      <c r="B183" s="7" t="s">
        <v>85</v>
      </c>
      <c r="C183" s="7" t="s">
        <v>86</v>
      </c>
      <c r="D183" s="7" t="n">
        <v>93202</v>
      </c>
      <c r="E183" s="55" t="n">
        <v>200025889201</v>
      </c>
      <c r="F183" s="56" t="s">
        <v>98</v>
      </c>
      <c r="G183" s="55" t="n">
        <v>230126</v>
      </c>
      <c r="H183" s="58" t="n">
        <v>45434.8530324074</v>
      </c>
      <c r="I183" s="7" t="n">
        <v>0</v>
      </c>
      <c r="J183" s="7" t="n">
        <v>182</v>
      </c>
      <c r="K183" s="7" t="n">
        <v>9</v>
      </c>
      <c r="L183" s="56" t="s">
        <v>98</v>
      </c>
      <c r="M183" s="7" t="n">
        <v>11</v>
      </c>
    </row>
    <row r="184" s="1" customFormat="true" ht="14.25" hidden="false" customHeight="false" outlineLevel="0" collapsed="false">
      <c r="A184" s="7" t="n">
        <v>199</v>
      </c>
      <c r="B184" s="7" t="s">
        <v>85</v>
      </c>
      <c r="C184" s="7" t="s">
        <v>86</v>
      </c>
      <c r="D184" s="7" t="n">
        <v>93202</v>
      </c>
      <c r="E184" s="55" t="n">
        <v>200025889201</v>
      </c>
      <c r="F184" s="56" t="s">
        <v>98</v>
      </c>
      <c r="G184" s="55" t="n">
        <v>230126</v>
      </c>
      <c r="H184" s="58" t="n">
        <v>45434.8531365741</v>
      </c>
      <c r="I184" s="7" t="n">
        <v>1</v>
      </c>
      <c r="J184" s="7" t="n">
        <v>183</v>
      </c>
      <c r="K184" s="7" t="n">
        <v>10</v>
      </c>
      <c r="L184" s="56" t="s">
        <v>98</v>
      </c>
      <c r="M184" s="7" t="n">
        <v>11</v>
      </c>
    </row>
    <row r="185" s="1" customFormat="true" ht="14.25" hidden="false" customHeight="false" outlineLevel="0" collapsed="false">
      <c r="A185" s="7" t="n">
        <v>200</v>
      </c>
      <c r="B185" s="7" t="s">
        <v>85</v>
      </c>
      <c r="C185" s="7" t="s">
        <v>86</v>
      </c>
      <c r="D185" s="7" t="n">
        <v>93202</v>
      </c>
      <c r="E185" s="55" t="n">
        <v>200025888994</v>
      </c>
      <c r="F185" s="56" t="s">
        <v>101</v>
      </c>
      <c r="G185" s="55" t="n">
        <v>220203</v>
      </c>
      <c r="H185" s="58" t="n">
        <v>45434.8534606482</v>
      </c>
      <c r="I185" s="7" t="n">
        <v>1</v>
      </c>
      <c r="J185" s="7" t="n">
        <v>184</v>
      </c>
      <c r="K185" s="7" t="n">
        <v>7</v>
      </c>
      <c r="L185" s="56" t="s">
        <v>101</v>
      </c>
      <c r="M185" s="7" t="n">
        <v>14</v>
      </c>
    </row>
    <row r="186" s="1" customFormat="true" ht="14.25" hidden="false" customHeight="false" outlineLevel="0" collapsed="false">
      <c r="A186" s="7" t="n">
        <v>201</v>
      </c>
      <c r="B186" s="7" t="s">
        <v>85</v>
      </c>
      <c r="C186" s="7" t="s">
        <v>86</v>
      </c>
      <c r="D186" s="7" t="n">
        <v>93202</v>
      </c>
      <c r="E186" s="55" t="n">
        <v>200025888994</v>
      </c>
      <c r="F186" s="56" t="s">
        <v>101</v>
      </c>
      <c r="G186" s="55" t="n">
        <v>220203</v>
      </c>
      <c r="H186" s="58" t="n">
        <v>45434.8534837963</v>
      </c>
      <c r="I186" s="7" t="n">
        <v>1</v>
      </c>
      <c r="J186" s="7" t="n">
        <v>185</v>
      </c>
      <c r="K186" s="7" t="n">
        <v>8</v>
      </c>
      <c r="L186" s="56" t="s">
        <v>101</v>
      </c>
      <c r="M186" s="7" t="n">
        <v>14</v>
      </c>
    </row>
    <row r="187" s="1" customFormat="true" ht="14.25" hidden="false" customHeight="false" outlineLevel="0" collapsed="false">
      <c r="A187" s="7" t="n">
        <v>202</v>
      </c>
      <c r="B187" s="7" t="s">
        <v>85</v>
      </c>
      <c r="C187" s="7" t="s">
        <v>86</v>
      </c>
      <c r="D187" s="7" t="n">
        <v>93202</v>
      </c>
      <c r="E187" s="55" t="n">
        <v>200025888994</v>
      </c>
      <c r="F187" s="56" t="s">
        <v>101</v>
      </c>
      <c r="G187" s="55" t="n">
        <v>220203</v>
      </c>
      <c r="H187" s="58" t="n">
        <v>45434.8535069445</v>
      </c>
      <c r="I187" s="7" t="n">
        <v>1</v>
      </c>
      <c r="J187" s="7" t="n">
        <v>186</v>
      </c>
      <c r="K187" s="7" t="n">
        <v>9</v>
      </c>
      <c r="L187" s="56" t="s">
        <v>101</v>
      </c>
      <c r="M187" s="7" t="n">
        <v>14</v>
      </c>
    </row>
    <row r="188" s="1" customFormat="true" ht="14.25" hidden="false" customHeight="false" outlineLevel="0" collapsed="false">
      <c r="A188" s="7" t="n">
        <v>203</v>
      </c>
      <c r="B188" s="7" t="s">
        <v>85</v>
      </c>
      <c r="C188" s="7" t="s">
        <v>86</v>
      </c>
      <c r="D188" s="7" t="n">
        <v>93202</v>
      </c>
      <c r="E188" s="55" t="n">
        <v>200025888596</v>
      </c>
      <c r="F188" s="56" t="s">
        <v>103</v>
      </c>
      <c r="G188" s="55" t="n">
        <v>190077</v>
      </c>
      <c r="H188" s="58" t="n">
        <v>45434.8563888889</v>
      </c>
      <c r="I188" s="7" t="n">
        <v>1</v>
      </c>
      <c r="J188" s="7" t="n">
        <v>187</v>
      </c>
      <c r="K188" s="7" t="n">
        <v>5</v>
      </c>
      <c r="L188" s="56" t="s">
        <v>103</v>
      </c>
      <c r="M188" s="7" t="n">
        <v>16</v>
      </c>
    </row>
    <row r="189" s="1" customFormat="true" ht="14.25" hidden="false" customHeight="false" outlineLevel="0" collapsed="false">
      <c r="A189" s="7" t="n">
        <v>204</v>
      </c>
      <c r="B189" s="7" t="s">
        <v>85</v>
      </c>
      <c r="C189" s="7" t="s">
        <v>86</v>
      </c>
      <c r="D189" s="7" t="n">
        <v>93202</v>
      </c>
      <c r="E189" s="55" t="n">
        <v>200025889008</v>
      </c>
      <c r="F189" s="56" t="s">
        <v>100</v>
      </c>
      <c r="G189" s="55" t="n">
        <v>220235</v>
      </c>
      <c r="H189" s="58" t="n">
        <v>45434.8583912037</v>
      </c>
      <c r="I189" s="7" t="n">
        <v>1</v>
      </c>
      <c r="J189" s="7" t="n">
        <v>188</v>
      </c>
      <c r="K189" s="7" t="n">
        <v>16</v>
      </c>
      <c r="L189" s="56" t="s">
        <v>100</v>
      </c>
      <c r="M189" s="7" t="n">
        <v>13</v>
      </c>
    </row>
    <row r="190" s="1" customFormat="true" ht="14.25" hidden="false" customHeight="false" outlineLevel="0" collapsed="false">
      <c r="A190" s="7" t="n">
        <v>205</v>
      </c>
      <c r="B190" s="7" t="s">
        <v>85</v>
      </c>
      <c r="C190" s="7" t="s">
        <v>86</v>
      </c>
      <c r="D190" s="7" t="n">
        <v>93202</v>
      </c>
      <c r="E190" s="55" t="n">
        <v>200025889067</v>
      </c>
      <c r="F190" s="56" t="s">
        <v>99</v>
      </c>
      <c r="G190" s="55" t="n">
        <v>200983</v>
      </c>
      <c r="H190" s="58" t="n">
        <v>45434.8675115741</v>
      </c>
      <c r="I190" s="7" t="n">
        <v>0</v>
      </c>
      <c r="J190" s="7" t="n">
        <v>189</v>
      </c>
      <c r="K190" s="7" t="n">
        <v>5</v>
      </c>
      <c r="L190" s="56" t="s">
        <v>99</v>
      </c>
      <c r="M190" s="7" t="n">
        <v>12</v>
      </c>
    </row>
    <row r="191" s="1" customFormat="true" ht="14.25" hidden="false" customHeight="false" outlineLevel="0" collapsed="false">
      <c r="A191" s="7" t="n">
        <v>206</v>
      </c>
      <c r="B191" s="7" t="s">
        <v>85</v>
      </c>
      <c r="C191" s="7" t="s">
        <v>86</v>
      </c>
      <c r="D191" s="7" t="n">
        <v>93202</v>
      </c>
      <c r="E191" s="55" t="n">
        <v>200025889067</v>
      </c>
      <c r="F191" s="56" t="s">
        <v>99</v>
      </c>
      <c r="G191" s="55" t="n">
        <v>200983</v>
      </c>
      <c r="H191" s="58" t="n">
        <v>45434.8675462963</v>
      </c>
      <c r="I191" s="7" t="n">
        <v>1</v>
      </c>
      <c r="J191" s="7" t="n">
        <v>190</v>
      </c>
      <c r="K191" s="7" t="n">
        <v>6</v>
      </c>
      <c r="L191" s="56" t="s">
        <v>99</v>
      </c>
      <c r="M191" s="7" t="n">
        <v>12</v>
      </c>
    </row>
    <row r="192" s="1" customFormat="true" ht="14.25" hidden="false" customHeight="false" outlineLevel="0" collapsed="false">
      <c r="A192" s="7" t="n">
        <v>207</v>
      </c>
      <c r="B192" s="7" t="s">
        <v>85</v>
      </c>
      <c r="C192" s="7" t="s">
        <v>86</v>
      </c>
      <c r="D192" s="7" t="n">
        <v>93202</v>
      </c>
      <c r="E192" s="55" t="n">
        <v>200025888900</v>
      </c>
      <c r="F192" s="56" t="s">
        <v>106</v>
      </c>
      <c r="G192" s="55" t="n">
        <v>220210</v>
      </c>
      <c r="H192" s="58" t="n">
        <v>45434.8732407407</v>
      </c>
      <c r="I192" s="7" t="n">
        <v>0</v>
      </c>
      <c r="J192" s="7" t="n">
        <v>191</v>
      </c>
      <c r="K192" s="7" t="n">
        <v>1</v>
      </c>
      <c r="L192" s="56" t="s">
        <v>106</v>
      </c>
      <c r="M192" s="7" t="n">
        <v>19</v>
      </c>
    </row>
    <row r="193" s="1" customFormat="true" ht="14.25" hidden="false" customHeight="false" outlineLevel="0" collapsed="false">
      <c r="A193" s="7" t="n">
        <v>208</v>
      </c>
      <c r="B193" s="7" t="s">
        <v>85</v>
      </c>
      <c r="C193" s="7" t="s">
        <v>86</v>
      </c>
      <c r="D193" s="7" t="n">
        <v>93202</v>
      </c>
      <c r="E193" s="55" t="n">
        <v>200025888900</v>
      </c>
      <c r="F193" s="56" t="s">
        <v>106</v>
      </c>
      <c r="G193" s="55" t="n">
        <v>220210</v>
      </c>
      <c r="H193" s="58" t="n">
        <v>45434.873275463</v>
      </c>
      <c r="I193" s="7" t="n">
        <v>1</v>
      </c>
      <c r="J193" s="7" t="n">
        <v>192</v>
      </c>
      <c r="K193" s="7" t="n">
        <v>2</v>
      </c>
      <c r="L193" s="56" t="s">
        <v>106</v>
      </c>
      <c r="M193" s="7" t="n">
        <v>19</v>
      </c>
    </row>
    <row r="194" s="1" customFormat="true" ht="14.25" hidden="false" customHeight="false" outlineLevel="0" collapsed="false">
      <c r="A194" s="7" t="n">
        <v>209</v>
      </c>
      <c r="B194" s="7" t="s">
        <v>85</v>
      </c>
      <c r="C194" s="7" t="s">
        <v>86</v>
      </c>
      <c r="D194" s="7" t="n">
        <v>93202</v>
      </c>
      <c r="E194" s="55" t="n">
        <v>200025889008</v>
      </c>
      <c r="F194" s="56" t="s">
        <v>100</v>
      </c>
      <c r="G194" s="55" t="n">
        <v>220235</v>
      </c>
      <c r="H194" s="58" t="n">
        <v>45434.8848958333</v>
      </c>
      <c r="I194" s="7" t="n">
        <v>0</v>
      </c>
      <c r="J194" s="7" t="n">
        <v>193</v>
      </c>
      <c r="K194" s="7" t="n">
        <v>17</v>
      </c>
      <c r="L194" s="56" t="s">
        <v>100</v>
      </c>
      <c r="M194" s="7" t="n">
        <v>13</v>
      </c>
    </row>
    <row r="195" s="1" customFormat="true" ht="14.25" hidden="false" customHeight="false" outlineLevel="0" collapsed="false">
      <c r="A195" s="7" t="n">
        <v>210</v>
      </c>
      <c r="B195" s="7" t="s">
        <v>85</v>
      </c>
      <c r="C195" s="7" t="s">
        <v>86</v>
      </c>
      <c r="D195" s="7" t="n">
        <v>93202</v>
      </c>
      <c r="E195" s="55" t="n">
        <v>200025888592</v>
      </c>
      <c r="F195" s="56" t="s">
        <v>107</v>
      </c>
      <c r="G195" s="55" t="n">
        <v>220229</v>
      </c>
      <c r="H195" s="58" t="n">
        <v>45434.9254282407</v>
      </c>
      <c r="I195" s="7" t="n">
        <v>0</v>
      </c>
      <c r="J195" s="7" t="n">
        <v>194</v>
      </c>
      <c r="K195" s="7" t="n">
        <v>1</v>
      </c>
      <c r="L195" s="56" t="s">
        <v>107</v>
      </c>
      <c r="M195" s="7" t="n">
        <v>20</v>
      </c>
    </row>
    <row r="196" s="1" customFormat="true" ht="14.25" hidden="false" customHeight="false" outlineLevel="0" collapsed="false">
      <c r="A196" s="7" t="n">
        <v>211</v>
      </c>
      <c r="B196" s="7" t="s">
        <v>85</v>
      </c>
      <c r="C196" s="7" t="s">
        <v>86</v>
      </c>
      <c r="D196" s="7" t="n">
        <v>93202</v>
      </c>
      <c r="E196" s="55" t="n">
        <v>200025888592</v>
      </c>
      <c r="F196" s="56" t="s">
        <v>107</v>
      </c>
      <c r="G196" s="55" t="n">
        <v>220229</v>
      </c>
      <c r="H196" s="58" t="n">
        <v>45434.9254513889</v>
      </c>
      <c r="I196" s="7" t="n">
        <v>0</v>
      </c>
      <c r="J196" s="7" t="n">
        <v>195</v>
      </c>
      <c r="K196" s="7" t="n">
        <v>2</v>
      </c>
      <c r="L196" s="56" t="s">
        <v>107</v>
      </c>
      <c r="M196" s="7" t="n">
        <v>20</v>
      </c>
    </row>
    <row r="197" s="1" customFormat="true" ht="14.25" hidden="false" customHeight="false" outlineLevel="0" collapsed="false">
      <c r="A197" s="7" t="n">
        <v>212</v>
      </c>
      <c r="B197" s="7" t="s">
        <v>85</v>
      </c>
      <c r="C197" s="7" t="s">
        <v>86</v>
      </c>
      <c r="D197" s="7" t="n">
        <v>93202</v>
      </c>
      <c r="E197" s="55" t="n">
        <v>200025888592</v>
      </c>
      <c r="F197" s="56" t="s">
        <v>107</v>
      </c>
      <c r="G197" s="55" t="n">
        <v>220229</v>
      </c>
      <c r="H197" s="58" t="n">
        <v>45434.9254513889</v>
      </c>
      <c r="I197" s="7" t="n">
        <v>563</v>
      </c>
      <c r="J197" s="7" t="n">
        <v>196</v>
      </c>
      <c r="K197" s="7" t="n">
        <v>3</v>
      </c>
      <c r="L197" s="56" t="s">
        <v>107</v>
      </c>
      <c r="M197" s="7" t="n">
        <v>20</v>
      </c>
    </row>
    <row r="198" s="1" customFormat="true" ht="14.25" hidden="false" customHeight="false" outlineLevel="0" collapsed="false">
      <c r="A198" s="7" t="n">
        <v>213</v>
      </c>
      <c r="B198" s="7" t="s">
        <v>85</v>
      </c>
      <c r="C198" s="7" t="s">
        <v>86</v>
      </c>
      <c r="D198" s="7" t="n">
        <v>93202</v>
      </c>
      <c r="E198" s="55" t="n">
        <v>200025889008</v>
      </c>
      <c r="F198" s="56" t="s">
        <v>100</v>
      </c>
      <c r="G198" s="55" t="n">
        <v>220235</v>
      </c>
      <c r="H198" s="58" t="n">
        <v>45434.9320023148</v>
      </c>
      <c r="I198" s="7" t="n">
        <v>2</v>
      </c>
      <c r="J198" s="7" t="n">
        <v>197</v>
      </c>
      <c r="K198" s="7" t="n">
        <v>18</v>
      </c>
      <c r="L198" s="56" t="s">
        <v>100</v>
      </c>
      <c r="M198" s="7" t="n">
        <v>13</v>
      </c>
    </row>
    <row r="199" s="1" customFormat="true" ht="14.25" hidden="false" customHeight="false" outlineLevel="0" collapsed="false">
      <c r="A199" s="7" t="n">
        <v>214</v>
      </c>
      <c r="B199" s="7" t="s">
        <v>85</v>
      </c>
      <c r="C199" s="7" t="s">
        <v>86</v>
      </c>
      <c r="D199" s="7" t="n">
        <v>93202</v>
      </c>
      <c r="E199" s="55" t="n">
        <v>200025889008</v>
      </c>
      <c r="F199" s="56" t="s">
        <v>100</v>
      </c>
      <c r="G199" s="55" t="n">
        <v>220235</v>
      </c>
      <c r="H199" s="58" t="n">
        <v>45434.9328703704</v>
      </c>
      <c r="I199" s="7" t="n">
        <v>2</v>
      </c>
      <c r="J199" s="7" t="n">
        <v>198</v>
      </c>
      <c r="K199" s="7" t="n">
        <v>19</v>
      </c>
      <c r="L199" s="56" t="s">
        <v>100</v>
      </c>
      <c r="M199" s="7" t="n">
        <v>13</v>
      </c>
    </row>
    <row r="200" s="1" customFormat="true" ht="14.25" hidden="false" customHeight="false" outlineLevel="0" collapsed="false">
      <c r="A200" s="7" t="n">
        <v>215</v>
      </c>
      <c r="B200" s="7" t="s">
        <v>85</v>
      </c>
      <c r="C200" s="7" t="s">
        <v>86</v>
      </c>
      <c r="D200" s="7" t="n">
        <v>93202</v>
      </c>
      <c r="E200" s="55" t="n">
        <v>200025888994</v>
      </c>
      <c r="F200" s="56" t="s">
        <v>101</v>
      </c>
      <c r="G200" s="55" t="n">
        <v>220203</v>
      </c>
      <c r="H200" s="58" t="n">
        <v>45434.9432407407</v>
      </c>
      <c r="I200" s="7" t="n">
        <v>0</v>
      </c>
      <c r="J200" s="7" t="n">
        <v>199</v>
      </c>
      <c r="K200" s="7" t="n">
        <v>10</v>
      </c>
      <c r="L200" s="56" t="s">
        <v>101</v>
      </c>
      <c r="M200" s="7" t="n">
        <v>14</v>
      </c>
    </row>
    <row r="201" s="1" customFormat="true" ht="14.25" hidden="false" customHeight="false" outlineLevel="0" collapsed="false">
      <c r="A201" s="7" t="n">
        <v>216</v>
      </c>
      <c r="B201" s="7" t="s">
        <v>85</v>
      </c>
      <c r="C201" s="7" t="s">
        <v>86</v>
      </c>
      <c r="D201" s="7" t="n">
        <v>93202</v>
      </c>
      <c r="E201" s="55" t="n">
        <v>200025888994</v>
      </c>
      <c r="F201" s="56" t="s">
        <v>101</v>
      </c>
      <c r="G201" s="55" t="n">
        <v>220203</v>
      </c>
      <c r="H201" s="58" t="n">
        <v>45434.943287037</v>
      </c>
      <c r="I201" s="7" t="n">
        <v>0</v>
      </c>
      <c r="J201" s="7" t="n">
        <v>200</v>
      </c>
      <c r="K201" s="7" t="n">
        <v>11</v>
      </c>
      <c r="L201" s="56" t="s">
        <v>101</v>
      </c>
      <c r="M201" s="7" t="n">
        <v>14</v>
      </c>
    </row>
    <row r="202" s="1" customFormat="true" ht="14.25" hidden="false" customHeight="false" outlineLevel="0" collapsed="false">
      <c r="A202" s="7" t="n">
        <v>217</v>
      </c>
      <c r="B202" s="7" t="s">
        <v>85</v>
      </c>
      <c r="C202" s="7" t="s">
        <v>86</v>
      </c>
      <c r="D202" s="7" t="n">
        <v>93202</v>
      </c>
      <c r="E202" s="55" t="n">
        <v>200025888994</v>
      </c>
      <c r="F202" s="56" t="s">
        <v>101</v>
      </c>
      <c r="G202" s="55" t="n">
        <v>220203</v>
      </c>
      <c r="H202" s="58" t="n">
        <v>45434.9433101852</v>
      </c>
      <c r="I202" s="7" t="n">
        <v>0</v>
      </c>
      <c r="J202" s="7" t="n">
        <v>201</v>
      </c>
      <c r="K202" s="7" t="n">
        <v>12</v>
      </c>
      <c r="L202" s="56" t="s">
        <v>101</v>
      </c>
      <c r="M202" s="7" t="n">
        <v>14</v>
      </c>
    </row>
    <row r="203" s="1" customFormat="true" ht="14.25" hidden="false" customHeight="false" outlineLevel="0" collapsed="false">
      <c r="A203" s="7" t="n">
        <v>218</v>
      </c>
      <c r="B203" s="7" t="s">
        <v>85</v>
      </c>
      <c r="C203" s="7" t="s">
        <v>86</v>
      </c>
      <c r="D203" s="7" t="n">
        <v>93202</v>
      </c>
      <c r="E203" s="55" t="n">
        <v>200025888994</v>
      </c>
      <c r="F203" s="56" t="s">
        <v>101</v>
      </c>
      <c r="G203" s="55" t="n">
        <v>220203</v>
      </c>
      <c r="H203" s="58" t="n">
        <v>45434.9433217593</v>
      </c>
      <c r="I203" s="7" t="n">
        <v>76</v>
      </c>
      <c r="J203" s="7" t="n">
        <v>202</v>
      </c>
      <c r="K203" s="7" t="n">
        <v>13</v>
      </c>
      <c r="L203" s="56" t="s">
        <v>101</v>
      </c>
      <c r="M203" s="7" t="n">
        <v>14</v>
      </c>
    </row>
    <row r="204" s="1" customFormat="true" ht="14.25" hidden="false" customHeight="false" outlineLevel="0" collapsed="false">
      <c r="A204" s="7" t="n">
        <v>219</v>
      </c>
      <c r="B204" s="7" t="s">
        <v>85</v>
      </c>
      <c r="C204" s="7" t="s">
        <v>86</v>
      </c>
      <c r="D204" s="7" t="n">
        <v>93202</v>
      </c>
      <c r="E204" s="55" t="n">
        <v>200025888994</v>
      </c>
      <c r="F204" s="56" t="s">
        <v>101</v>
      </c>
      <c r="G204" s="55" t="n">
        <v>220203</v>
      </c>
      <c r="H204" s="58" t="n">
        <v>45434.9446875</v>
      </c>
      <c r="I204" s="7" t="n">
        <v>1</v>
      </c>
      <c r="J204" s="7" t="n">
        <v>203</v>
      </c>
      <c r="K204" s="7" t="n">
        <v>14</v>
      </c>
      <c r="L204" s="56" t="s">
        <v>101</v>
      </c>
      <c r="M204" s="7" t="n">
        <v>14</v>
      </c>
    </row>
    <row r="205" s="1" customFormat="true" ht="14.25" hidden="false" customHeight="false" outlineLevel="0" collapsed="false">
      <c r="A205" s="7" t="n">
        <v>220</v>
      </c>
      <c r="B205" s="7" t="s">
        <v>85</v>
      </c>
      <c r="C205" s="7" t="s">
        <v>86</v>
      </c>
      <c r="D205" s="7" t="n">
        <v>93202</v>
      </c>
      <c r="E205" s="55" t="n">
        <v>200025888994</v>
      </c>
      <c r="F205" s="56" t="s">
        <v>101</v>
      </c>
      <c r="G205" s="55" t="n">
        <v>220203</v>
      </c>
      <c r="H205" s="58" t="n">
        <v>45434.9446990741</v>
      </c>
      <c r="I205" s="7" t="n">
        <v>1</v>
      </c>
      <c r="J205" s="7" t="n">
        <v>204</v>
      </c>
      <c r="K205" s="7" t="n">
        <v>15</v>
      </c>
      <c r="L205" s="56" t="s">
        <v>101</v>
      </c>
      <c r="M205" s="7" t="n">
        <v>14</v>
      </c>
    </row>
    <row r="206" s="1" customFormat="true" ht="14.25" hidden="false" customHeight="false" outlineLevel="0" collapsed="false">
      <c r="A206" s="7" t="n">
        <v>221</v>
      </c>
      <c r="B206" s="7" t="s">
        <v>85</v>
      </c>
      <c r="C206" s="7" t="s">
        <v>86</v>
      </c>
      <c r="D206" s="7" t="n">
        <v>93202</v>
      </c>
      <c r="E206" s="55" t="n">
        <v>200025888994</v>
      </c>
      <c r="F206" s="56" t="s">
        <v>101</v>
      </c>
      <c r="G206" s="55" t="n">
        <v>220203</v>
      </c>
      <c r="H206" s="58" t="n">
        <v>45434.9448148148</v>
      </c>
      <c r="I206" s="7" t="n">
        <v>0</v>
      </c>
      <c r="J206" s="7" t="n">
        <v>205</v>
      </c>
      <c r="K206" s="7" t="n">
        <v>16</v>
      </c>
      <c r="L206" s="56" t="s">
        <v>101</v>
      </c>
      <c r="M206" s="7" t="n">
        <v>14</v>
      </c>
    </row>
    <row r="207" s="1" customFormat="true" ht="14.25" hidden="false" customHeight="false" outlineLevel="0" collapsed="false">
      <c r="A207" s="7" t="n">
        <v>222</v>
      </c>
      <c r="B207" s="7" t="s">
        <v>85</v>
      </c>
      <c r="C207" s="7" t="s">
        <v>86</v>
      </c>
      <c r="D207" s="7" t="n">
        <v>93202</v>
      </c>
      <c r="E207" s="55" t="n">
        <v>200025888994</v>
      </c>
      <c r="F207" s="56" t="s">
        <v>101</v>
      </c>
      <c r="G207" s="55" t="n">
        <v>220203</v>
      </c>
      <c r="H207" s="58" t="n">
        <v>45434.944837963</v>
      </c>
      <c r="I207" s="7" t="n">
        <v>0</v>
      </c>
      <c r="J207" s="7" t="n">
        <v>206</v>
      </c>
      <c r="K207" s="7" t="n">
        <v>17</v>
      </c>
      <c r="L207" s="56" t="s">
        <v>101</v>
      </c>
      <c r="M207" s="7" t="n">
        <v>14</v>
      </c>
    </row>
    <row r="208" s="1" customFormat="true" ht="14.25" hidden="false" customHeight="false" outlineLevel="0" collapsed="false">
      <c r="A208" s="7" t="n">
        <v>223</v>
      </c>
      <c r="B208" s="7" t="s">
        <v>85</v>
      </c>
      <c r="C208" s="7" t="s">
        <v>86</v>
      </c>
      <c r="D208" s="7" t="n">
        <v>93202</v>
      </c>
      <c r="E208" s="55" t="n">
        <v>200025888994</v>
      </c>
      <c r="F208" s="56" t="s">
        <v>101</v>
      </c>
      <c r="G208" s="55" t="n">
        <v>220203</v>
      </c>
      <c r="H208" s="58" t="n">
        <v>45434.9510069444</v>
      </c>
      <c r="I208" s="7" t="n">
        <v>0</v>
      </c>
      <c r="J208" s="7" t="n">
        <v>207</v>
      </c>
      <c r="K208" s="7" t="n">
        <v>18</v>
      </c>
      <c r="L208" s="56" t="s">
        <v>101</v>
      </c>
      <c r="M208" s="7" t="n">
        <v>14</v>
      </c>
    </row>
    <row r="209" s="1" customFormat="true" ht="14.25" hidden="false" customHeight="false" outlineLevel="0" collapsed="false">
      <c r="A209" s="7" t="n">
        <v>224</v>
      </c>
      <c r="B209" s="7" t="s">
        <v>85</v>
      </c>
      <c r="C209" s="7" t="s">
        <v>86</v>
      </c>
      <c r="D209" s="7" t="n">
        <v>93202</v>
      </c>
      <c r="E209" s="55" t="n">
        <v>200025888994</v>
      </c>
      <c r="F209" s="56" t="s">
        <v>101</v>
      </c>
      <c r="G209" s="55" t="n">
        <v>220203</v>
      </c>
      <c r="H209" s="58" t="n">
        <v>45434.9511689815</v>
      </c>
      <c r="I209" s="7" t="n">
        <v>0</v>
      </c>
      <c r="J209" s="7" t="n">
        <v>208</v>
      </c>
      <c r="K209" s="7" t="n">
        <v>19</v>
      </c>
      <c r="L209" s="56" t="s">
        <v>101</v>
      </c>
      <c r="M209" s="7" t="n">
        <v>14</v>
      </c>
    </row>
    <row r="210" s="1" customFormat="true" ht="14.25" hidden="false" customHeight="false" outlineLevel="0" collapsed="false">
      <c r="A210" s="7" t="n">
        <v>225</v>
      </c>
      <c r="B210" s="7" t="s">
        <v>85</v>
      </c>
      <c r="C210" s="7" t="s">
        <v>86</v>
      </c>
      <c r="D210" s="7" t="n">
        <v>93202</v>
      </c>
      <c r="E210" s="55" t="n">
        <v>200025888994</v>
      </c>
      <c r="F210" s="56" t="s">
        <v>101</v>
      </c>
      <c r="G210" s="55" t="n">
        <v>220203</v>
      </c>
      <c r="H210" s="58" t="n">
        <v>45434.9514467593</v>
      </c>
      <c r="I210" s="7" t="n">
        <v>3</v>
      </c>
      <c r="J210" s="7" t="n">
        <v>209</v>
      </c>
      <c r="K210" s="7" t="n">
        <v>20</v>
      </c>
      <c r="L210" s="56" t="s">
        <v>101</v>
      </c>
      <c r="M210" s="7" t="n">
        <v>14</v>
      </c>
    </row>
    <row r="211" s="1" customFormat="true" ht="14.25" hidden="false" customHeight="false" outlineLevel="0" collapsed="false">
      <c r="A211" s="7" t="n">
        <v>226</v>
      </c>
      <c r="B211" s="7" t="s">
        <v>85</v>
      </c>
      <c r="C211" s="7" t="s">
        <v>86</v>
      </c>
      <c r="D211" s="7" t="n">
        <v>93202</v>
      </c>
      <c r="E211" s="55" t="n">
        <v>200025888994</v>
      </c>
      <c r="F211" s="56" t="s">
        <v>101</v>
      </c>
      <c r="G211" s="55" t="n">
        <v>220203</v>
      </c>
      <c r="H211" s="58" t="n">
        <v>45434.9515972222</v>
      </c>
      <c r="I211" s="7" t="n">
        <v>1</v>
      </c>
      <c r="J211" s="7" t="n">
        <v>210</v>
      </c>
      <c r="K211" s="7" t="n">
        <v>21</v>
      </c>
      <c r="L211" s="56" t="s">
        <v>101</v>
      </c>
      <c r="M211" s="7" t="n">
        <v>14</v>
      </c>
    </row>
    <row r="212" s="1" customFormat="true" ht="14.25" hidden="false" customHeight="false" outlineLevel="0" collapsed="false">
      <c r="A212" s="7" t="n">
        <v>227</v>
      </c>
      <c r="B212" s="7" t="s">
        <v>85</v>
      </c>
      <c r="C212" s="7" t="s">
        <v>86</v>
      </c>
      <c r="D212" s="7" t="n">
        <v>93202</v>
      </c>
      <c r="E212" s="55" t="n">
        <v>200025889067</v>
      </c>
      <c r="F212" s="56" t="s">
        <v>99</v>
      </c>
      <c r="G212" s="55" t="n">
        <v>200983</v>
      </c>
      <c r="H212" s="58" t="n">
        <v>45434.9525347222</v>
      </c>
      <c r="I212" s="7" t="n">
        <v>1</v>
      </c>
      <c r="J212" s="7" t="n">
        <v>211</v>
      </c>
      <c r="K212" s="7" t="n">
        <v>7</v>
      </c>
      <c r="L212" s="56" t="s">
        <v>99</v>
      </c>
      <c r="M212" s="7" t="n">
        <v>12</v>
      </c>
    </row>
    <row r="213" s="1" customFormat="true" ht="14.25" hidden="false" customHeight="false" outlineLevel="0" collapsed="false">
      <c r="A213" s="7" t="n">
        <v>228</v>
      </c>
      <c r="B213" s="7" t="s">
        <v>85</v>
      </c>
      <c r="C213" s="7" t="s">
        <v>86</v>
      </c>
      <c r="D213" s="7" t="n">
        <v>93202</v>
      </c>
      <c r="E213" s="55" t="n">
        <v>200025889067</v>
      </c>
      <c r="F213" s="56" t="s">
        <v>99</v>
      </c>
      <c r="G213" s="55" t="n">
        <v>200983</v>
      </c>
      <c r="H213" s="58" t="n">
        <v>45434.9525462963</v>
      </c>
      <c r="I213" s="7" t="n">
        <v>0</v>
      </c>
      <c r="J213" s="7" t="n">
        <v>212</v>
      </c>
      <c r="K213" s="7" t="n">
        <v>8</v>
      </c>
      <c r="L213" s="56" t="s">
        <v>99</v>
      </c>
      <c r="M213" s="7" t="n">
        <v>12</v>
      </c>
    </row>
    <row r="214" s="1" customFormat="true" ht="14.25" hidden="false" customHeight="false" outlineLevel="0" collapsed="false">
      <c r="A214" s="7" t="n">
        <v>229</v>
      </c>
      <c r="B214" s="7" t="s">
        <v>85</v>
      </c>
      <c r="C214" s="7" t="s">
        <v>86</v>
      </c>
      <c r="D214" s="7" t="n">
        <v>93202</v>
      </c>
      <c r="E214" s="55" t="n">
        <v>200025889067</v>
      </c>
      <c r="F214" s="56" t="s">
        <v>99</v>
      </c>
      <c r="G214" s="55" t="n">
        <v>200983</v>
      </c>
      <c r="H214" s="58" t="n">
        <v>45434.9525578704</v>
      </c>
      <c r="I214" s="7" t="n">
        <v>0</v>
      </c>
      <c r="J214" s="7" t="n">
        <v>213</v>
      </c>
      <c r="K214" s="7" t="n">
        <v>9</v>
      </c>
      <c r="L214" s="56" t="s">
        <v>99</v>
      </c>
      <c r="M214" s="7" t="n">
        <v>12</v>
      </c>
    </row>
    <row r="215" s="1" customFormat="true" ht="14.25" hidden="false" customHeight="false" outlineLevel="0" collapsed="false">
      <c r="A215" s="7" t="n">
        <v>230</v>
      </c>
      <c r="B215" s="7" t="s">
        <v>85</v>
      </c>
      <c r="C215" s="7" t="s">
        <v>86</v>
      </c>
      <c r="D215" s="7" t="n">
        <v>93202</v>
      </c>
      <c r="E215" s="55" t="n">
        <v>200025889067</v>
      </c>
      <c r="F215" s="56" t="s">
        <v>99</v>
      </c>
      <c r="G215" s="55" t="n">
        <v>200983</v>
      </c>
      <c r="H215" s="58" t="n">
        <v>45434.9526967593</v>
      </c>
      <c r="I215" s="7" t="n">
        <v>1</v>
      </c>
      <c r="J215" s="7" t="n">
        <v>214</v>
      </c>
      <c r="K215" s="7" t="n">
        <v>10</v>
      </c>
      <c r="L215" s="56" t="s">
        <v>99</v>
      </c>
      <c r="M215" s="7" t="n">
        <v>12</v>
      </c>
    </row>
    <row r="216" s="1" customFormat="true" ht="14.25" hidden="false" customHeight="false" outlineLevel="0" collapsed="false">
      <c r="A216" s="7" t="n">
        <v>231</v>
      </c>
      <c r="B216" s="7" t="s">
        <v>85</v>
      </c>
      <c r="C216" s="7" t="s">
        <v>86</v>
      </c>
      <c r="D216" s="7" t="n">
        <v>93202</v>
      </c>
      <c r="E216" s="55" t="n">
        <v>200025888994</v>
      </c>
      <c r="F216" s="56" t="s">
        <v>101</v>
      </c>
      <c r="G216" s="55" t="n">
        <v>220203</v>
      </c>
      <c r="H216" s="58" t="n">
        <v>45434.9543287037</v>
      </c>
      <c r="I216" s="7" t="n">
        <v>1</v>
      </c>
      <c r="J216" s="7" t="n">
        <v>215</v>
      </c>
      <c r="K216" s="7" t="n">
        <v>22</v>
      </c>
      <c r="L216" s="56" t="s">
        <v>101</v>
      </c>
      <c r="M216" s="7" t="n">
        <v>14</v>
      </c>
    </row>
    <row r="217" s="1" customFormat="true" ht="14.25" hidden="false" customHeight="false" outlineLevel="0" collapsed="false">
      <c r="A217" s="7" t="n">
        <v>232</v>
      </c>
      <c r="B217" s="7" t="s">
        <v>85</v>
      </c>
      <c r="C217" s="7" t="s">
        <v>86</v>
      </c>
      <c r="D217" s="7" t="n">
        <v>93202</v>
      </c>
      <c r="E217" s="55" t="n">
        <v>200025888994</v>
      </c>
      <c r="F217" s="56" t="s">
        <v>101</v>
      </c>
      <c r="G217" s="55" t="n">
        <v>220203</v>
      </c>
      <c r="H217" s="58" t="n">
        <v>45434.9544560185</v>
      </c>
      <c r="I217" s="7" t="n">
        <v>2</v>
      </c>
      <c r="J217" s="7" t="n">
        <v>216</v>
      </c>
      <c r="K217" s="7" t="n">
        <v>23</v>
      </c>
      <c r="L217" s="56" t="s">
        <v>101</v>
      </c>
      <c r="M217" s="7" t="n">
        <v>14</v>
      </c>
    </row>
    <row r="218" s="1" customFormat="true" ht="14.25" hidden="false" customHeight="false" outlineLevel="0" collapsed="false">
      <c r="A218" s="7" t="n">
        <v>233</v>
      </c>
      <c r="B218" s="7" t="s">
        <v>85</v>
      </c>
      <c r="C218" s="7" t="s">
        <v>86</v>
      </c>
      <c r="D218" s="7" t="n">
        <v>93202</v>
      </c>
      <c r="E218" s="55" t="n">
        <v>200025888284</v>
      </c>
      <c r="F218" s="56" t="s">
        <v>94</v>
      </c>
      <c r="G218" s="55" t="n">
        <v>220244</v>
      </c>
      <c r="H218" s="58" t="n">
        <v>45434.9549421296</v>
      </c>
      <c r="I218" s="7" t="n">
        <v>0</v>
      </c>
      <c r="J218" s="7" t="n">
        <v>217</v>
      </c>
      <c r="K218" s="7" t="n">
        <v>21</v>
      </c>
      <c r="L218" s="56" t="s">
        <v>94</v>
      </c>
      <c r="M218" s="7" t="n">
        <v>7</v>
      </c>
    </row>
    <row r="219" s="1" customFormat="true" ht="14.25" hidden="false" customHeight="false" outlineLevel="0" collapsed="false">
      <c r="A219" s="7" t="n">
        <v>234</v>
      </c>
      <c r="B219" s="7" t="s">
        <v>85</v>
      </c>
      <c r="C219" s="7" t="s">
        <v>86</v>
      </c>
      <c r="D219" s="7" t="n">
        <v>93202</v>
      </c>
      <c r="E219" s="55" t="n">
        <v>200025888284</v>
      </c>
      <c r="F219" s="56" t="s">
        <v>94</v>
      </c>
      <c r="G219" s="55" t="n">
        <v>220244</v>
      </c>
      <c r="H219" s="58" t="n">
        <v>45434.9549537037</v>
      </c>
      <c r="I219" s="7" t="n">
        <v>1</v>
      </c>
      <c r="J219" s="7" t="n">
        <v>218</v>
      </c>
      <c r="K219" s="7" t="n">
        <v>22</v>
      </c>
      <c r="L219" s="56" t="s">
        <v>94</v>
      </c>
      <c r="M219" s="7" t="n">
        <v>7</v>
      </c>
    </row>
    <row r="220" s="1" customFormat="true" ht="14.25" hidden="false" customHeight="false" outlineLevel="0" collapsed="false">
      <c r="A220" s="7" t="n">
        <v>235</v>
      </c>
      <c r="B220" s="7" t="s">
        <v>85</v>
      </c>
      <c r="C220" s="7" t="s">
        <v>86</v>
      </c>
      <c r="D220" s="7" t="n">
        <v>93202</v>
      </c>
      <c r="E220" s="55" t="n">
        <v>200025888284</v>
      </c>
      <c r="F220" s="56" t="s">
        <v>94</v>
      </c>
      <c r="G220" s="55" t="n">
        <v>220244</v>
      </c>
      <c r="H220" s="58" t="n">
        <v>45434.9551273148</v>
      </c>
      <c r="I220" s="7" t="n">
        <v>3</v>
      </c>
      <c r="J220" s="7" t="n">
        <v>219</v>
      </c>
      <c r="K220" s="7" t="n">
        <v>23</v>
      </c>
      <c r="L220" s="56" t="s">
        <v>94</v>
      </c>
      <c r="M220" s="7" t="n">
        <v>7</v>
      </c>
    </row>
    <row r="221" s="1" customFormat="true" ht="14.25" hidden="false" customHeight="false" outlineLevel="0" collapsed="false">
      <c r="A221" s="7" t="n">
        <v>236</v>
      </c>
      <c r="B221" s="7" t="s">
        <v>85</v>
      </c>
      <c r="C221" s="7" t="s">
        <v>86</v>
      </c>
      <c r="D221" s="7" t="n">
        <v>93202</v>
      </c>
      <c r="E221" s="55" t="n">
        <v>200025888284</v>
      </c>
      <c r="F221" s="56" t="s">
        <v>94</v>
      </c>
      <c r="G221" s="55" t="n">
        <v>220244</v>
      </c>
      <c r="H221" s="58" t="n">
        <v>45434.955162037</v>
      </c>
      <c r="I221" s="7" t="n">
        <v>0</v>
      </c>
      <c r="J221" s="7" t="n">
        <v>220</v>
      </c>
      <c r="K221" s="7" t="n">
        <v>24</v>
      </c>
      <c r="L221" s="56" t="s">
        <v>94</v>
      </c>
      <c r="M221" s="7" t="n">
        <v>7</v>
      </c>
    </row>
    <row r="222" s="1" customFormat="true" ht="14.25" hidden="false" customHeight="false" outlineLevel="0" collapsed="false">
      <c r="A222" s="7" t="n">
        <v>237</v>
      </c>
      <c r="B222" s="7" t="s">
        <v>85</v>
      </c>
      <c r="C222" s="7" t="s">
        <v>86</v>
      </c>
      <c r="D222" s="7" t="n">
        <v>93202</v>
      </c>
      <c r="E222" s="55" t="n">
        <v>200025888284</v>
      </c>
      <c r="F222" s="56" t="s">
        <v>94</v>
      </c>
      <c r="G222" s="55" t="n">
        <v>220244</v>
      </c>
      <c r="H222" s="58" t="n">
        <v>45434.9551736111</v>
      </c>
      <c r="I222" s="7" t="n">
        <v>590</v>
      </c>
      <c r="J222" s="7" t="n">
        <v>221</v>
      </c>
      <c r="K222" s="7" t="n">
        <v>25</v>
      </c>
      <c r="L222" s="56" t="s">
        <v>94</v>
      </c>
      <c r="M222" s="7" t="n">
        <v>7</v>
      </c>
    </row>
    <row r="223" s="1" customFormat="true" ht="14.25" hidden="false" customHeight="false" outlineLevel="0" collapsed="false">
      <c r="A223" s="7" t="n">
        <v>238</v>
      </c>
      <c r="B223" s="7" t="s">
        <v>85</v>
      </c>
      <c r="C223" s="7" t="s">
        <v>86</v>
      </c>
      <c r="D223" s="7" t="n">
        <v>93202</v>
      </c>
      <c r="E223" s="55" t="n">
        <v>200025888917</v>
      </c>
      <c r="F223" s="56" t="s">
        <v>108</v>
      </c>
      <c r="G223" s="55" t="n">
        <v>230125</v>
      </c>
      <c r="H223" s="58" t="n">
        <v>45434.9620023148</v>
      </c>
      <c r="I223" s="7" t="n">
        <v>333</v>
      </c>
      <c r="J223" s="7" t="n">
        <v>222</v>
      </c>
      <c r="K223" s="7" t="n">
        <v>1</v>
      </c>
      <c r="L223" s="56" t="s">
        <v>108</v>
      </c>
      <c r="M223" s="7" t="n">
        <v>21</v>
      </c>
    </row>
    <row r="224" s="1" customFormat="true" ht="14.25" hidden="false" customHeight="false" outlineLevel="0" collapsed="false">
      <c r="A224" s="7" t="n">
        <v>239</v>
      </c>
      <c r="B224" s="7" t="s">
        <v>85</v>
      </c>
      <c r="C224" s="7" t="s">
        <v>86</v>
      </c>
      <c r="D224" s="7" t="n">
        <v>93202</v>
      </c>
      <c r="E224" s="55" t="n">
        <v>200025889277</v>
      </c>
      <c r="F224" s="56" t="s">
        <v>109</v>
      </c>
      <c r="G224" s="55" t="n">
        <v>220231</v>
      </c>
      <c r="H224" s="58" t="n">
        <v>45434.9658796296</v>
      </c>
      <c r="I224" s="7" t="n">
        <v>1</v>
      </c>
      <c r="J224" s="7" t="n">
        <v>223</v>
      </c>
      <c r="K224" s="7" t="n">
        <v>1</v>
      </c>
      <c r="L224" s="56" t="s">
        <v>109</v>
      </c>
      <c r="M224" s="7" t="n">
        <v>22</v>
      </c>
    </row>
    <row r="225" s="1" customFormat="true" ht="14.25" hidden="false" customHeight="false" outlineLevel="0" collapsed="false">
      <c r="A225" s="7" t="n">
        <v>240</v>
      </c>
      <c r="B225" s="7" t="s">
        <v>85</v>
      </c>
      <c r="C225" s="7" t="s">
        <v>86</v>
      </c>
      <c r="D225" s="7" t="n">
        <v>93202</v>
      </c>
      <c r="E225" s="55" t="n">
        <v>200025889277</v>
      </c>
      <c r="F225" s="56" t="s">
        <v>109</v>
      </c>
      <c r="G225" s="55" t="n">
        <v>220231</v>
      </c>
      <c r="H225" s="58" t="n">
        <v>45434.9660532407</v>
      </c>
      <c r="I225" s="7" t="n">
        <v>0</v>
      </c>
      <c r="J225" s="7" t="n">
        <v>224</v>
      </c>
      <c r="K225" s="7" t="n">
        <v>2</v>
      </c>
      <c r="L225" s="56" t="s">
        <v>109</v>
      </c>
      <c r="M225" s="7" t="n">
        <v>22</v>
      </c>
    </row>
    <row r="226" s="1" customFormat="true" ht="14.25" hidden="false" customHeight="false" outlineLevel="0" collapsed="false">
      <c r="A226" s="7" t="n">
        <v>241</v>
      </c>
      <c r="B226" s="7" t="s">
        <v>85</v>
      </c>
      <c r="C226" s="7" t="s">
        <v>86</v>
      </c>
      <c r="D226" s="7" t="n">
        <v>93202</v>
      </c>
      <c r="E226" s="55" t="n">
        <v>200025889277</v>
      </c>
      <c r="F226" s="56" t="s">
        <v>109</v>
      </c>
      <c r="G226" s="55" t="n">
        <v>220231</v>
      </c>
      <c r="H226" s="58" t="n">
        <v>45434.9660763889</v>
      </c>
      <c r="I226" s="7" t="n">
        <v>6</v>
      </c>
      <c r="J226" s="7" t="n">
        <v>225</v>
      </c>
      <c r="K226" s="7" t="n">
        <v>3</v>
      </c>
      <c r="L226" s="56" t="s">
        <v>109</v>
      </c>
      <c r="M226" s="7" t="n">
        <v>22</v>
      </c>
    </row>
    <row r="227" s="1" customFormat="true" ht="14.25" hidden="false" customHeight="false" outlineLevel="0" collapsed="false">
      <c r="A227" s="7" t="n">
        <v>242</v>
      </c>
      <c r="B227" s="7" t="s">
        <v>85</v>
      </c>
      <c r="C227" s="7" t="s">
        <v>86</v>
      </c>
      <c r="D227" s="7" t="n">
        <v>93202</v>
      </c>
      <c r="E227" s="55" t="n">
        <v>200025889067</v>
      </c>
      <c r="F227" s="56" t="s">
        <v>99</v>
      </c>
      <c r="G227" s="55" t="n">
        <v>200983</v>
      </c>
      <c r="H227" s="58" t="n">
        <v>45434.9678819444</v>
      </c>
      <c r="I227" s="7" t="n">
        <v>0</v>
      </c>
      <c r="J227" s="7" t="n">
        <v>226</v>
      </c>
      <c r="K227" s="7" t="n">
        <v>11</v>
      </c>
      <c r="L227" s="56" t="s">
        <v>99</v>
      </c>
      <c r="M227" s="7" t="n">
        <v>12</v>
      </c>
    </row>
    <row r="228" s="1" customFormat="true" ht="14.25" hidden="false" customHeight="false" outlineLevel="0" collapsed="false">
      <c r="A228" s="7" t="n">
        <v>243</v>
      </c>
      <c r="B228" s="7" t="s">
        <v>85</v>
      </c>
      <c r="C228" s="7" t="s">
        <v>86</v>
      </c>
      <c r="D228" s="7" t="n">
        <v>93202</v>
      </c>
      <c r="E228" s="55" t="n">
        <v>200025889067</v>
      </c>
      <c r="F228" s="56" t="s">
        <v>99</v>
      </c>
      <c r="G228" s="55" t="n">
        <v>200983</v>
      </c>
      <c r="H228" s="58" t="n">
        <v>45434.9678935185</v>
      </c>
      <c r="I228" s="7" t="n">
        <v>2</v>
      </c>
      <c r="J228" s="7" t="n">
        <v>227</v>
      </c>
      <c r="K228" s="7" t="n">
        <v>12</v>
      </c>
      <c r="L228" s="56" t="s">
        <v>99</v>
      </c>
      <c r="M228" s="7" t="n">
        <v>12</v>
      </c>
    </row>
    <row r="229" s="1" customFormat="true" ht="14.25" hidden="false" customHeight="false" outlineLevel="0" collapsed="false">
      <c r="A229" s="7" t="n">
        <v>244</v>
      </c>
      <c r="B229" s="7" t="s">
        <v>85</v>
      </c>
      <c r="C229" s="7" t="s">
        <v>86</v>
      </c>
      <c r="D229" s="7" t="n">
        <v>93202</v>
      </c>
      <c r="E229" s="55" t="n">
        <v>200025889067</v>
      </c>
      <c r="F229" s="56" t="s">
        <v>99</v>
      </c>
      <c r="G229" s="55" t="n">
        <v>200983</v>
      </c>
      <c r="H229" s="58" t="n">
        <v>45434.9680324074</v>
      </c>
      <c r="I229" s="7" t="n">
        <v>1</v>
      </c>
      <c r="J229" s="7" t="n">
        <v>228</v>
      </c>
      <c r="K229" s="7" t="n">
        <v>13</v>
      </c>
      <c r="L229" s="56" t="s">
        <v>99</v>
      </c>
      <c r="M229" s="7" t="n">
        <v>12</v>
      </c>
    </row>
    <row r="230" s="1" customFormat="true" ht="14.25" hidden="false" customHeight="false" outlineLevel="0" collapsed="false">
      <c r="A230" s="7" t="n">
        <v>245</v>
      </c>
      <c r="B230" s="7" t="s">
        <v>85</v>
      </c>
      <c r="C230" s="7" t="s">
        <v>86</v>
      </c>
      <c r="D230" s="7" t="n">
        <v>93202</v>
      </c>
      <c r="E230" s="55" t="n">
        <v>200025889067</v>
      </c>
      <c r="F230" s="56" t="s">
        <v>99</v>
      </c>
      <c r="G230" s="55" t="n">
        <v>200983</v>
      </c>
      <c r="H230" s="58" t="n">
        <v>45434.9680439815</v>
      </c>
      <c r="I230" s="7" t="n">
        <v>1</v>
      </c>
      <c r="J230" s="7" t="n">
        <v>229</v>
      </c>
      <c r="K230" s="7" t="n">
        <v>14</v>
      </c>
      <c r="L230" s="56" t="s">
        <v>99</v>
      </c>
      <c r="M230" s="7" t="n">
        <v>12</v>
      </c>
    </row>
    <row r="231" s="1" customFormat="true" ht="14.25" hidden="false" customHeight="false" outlineLevel="0" collapsed="false">
      <c r="A231" s="7" t="n">
        <v>246</v>
      </c>
      <c r="B231" s="7" t="s">
        <v>85</v>
      </c>
      <c r="C231" s="7" t="s">
        <v>86</v>
      </c>
      <c r="D231" s="7" t="n">
        <v>93202</v>
      </c>
      <c r="E231" s="55" t="n">
        <v>200025888767</v>
      </c>
      <c r="F231" s="56" t="s">
        <v>110</v>
      </c>
      <c r="G231" s="55" t="n">
        <v>220234</v>
      </c>
      <c r="H231" s="58" t="n">
        <v>45434.969537037</v>
      </c>
      <c r="I231" s="7" t="n">
        <v>4</v>
      </c>
      <c r="J231" s="7" t="n">
        <v>230</v>
      </c>
      <c r="K231" s="7" t="n">
        <v>1</v>
      </c>
      <c r="L231" s="56" t="s">
        <v>110</v>
      </c>
      <c r="M231" s="7" t="n">
        <v>23</v>
      </c>
    </row>
    <row r="232" s="1" customFormat="true" ht="14.25" hidden="false" customHeight="false" outlineLevel="0" collapsed="false">
      <c r="A232" s="7" t="n">
        <v>247</v>
      </c>
      <c r="B232" s="7" t="s">
        <v>85</v>
      </c>
      <c r="C232" s="7" t="s">
        <v>86</v>
      </c>
      <c r="D232" s="7" t="n">
        <v>93202</v>
      </c>
      <c r="E232" s="55" t="n">
        <v>200025888767</v>
      </c>
      <c r="F232" s="56" t="s">
        <v>110</v>
      </c>
      <c r="G232" s="55" t="n">
        <v>220234</v>
      </c>
      <c r="H232" s="58" t="n">
        <v>45434.9697106482</v>
      </c>
      <c r="I232" s="7" t="n">
        <v>3</v>
      </c>
      <c r="J232" s="7" t="n">
        <v>231</v>
      </c>
      <c r="K232" s="7" t="n">
        <v>2</v>
      </c>
      <c r="L232" s="56" t="s">
        <v>110</v>
      </c>
      <c r="M232" s="7" t="n">
        <v>23</v>
      </c>
    </row>
    <row r="233" s="1" customFormat="true" ht="14.25" hidden="false" customHeight="false" outlineLevel="0" collapsed="false">
      <c r="A233" s="7" t="n">
        <v>248</v>
      </c>
      <c r="B233" s="7" t="s">
        <v>85</v>
      </c>
      <c r="C233" s="7" t="s">
        <v>86</v>
      </c>
      <c r="D233" s="7" t="n">
        <v>93202</v>
      </c>
      <c r="E233" s="55" t="n">
        <v>200025888767</v>
      </c>
      <c r="F233" s="56" t="s">
        <v>110</v>
      </c>
      <c r="G233" s="55" t="n">
        <v>220234</v>
      </c>
      <c r="H233" s="58" t="n">
        <v>45434.9698726852</v>
      </c>
      <c r="I233" s="7" t="n">
        <v>1</v>
      </c>
      <c r="J233" s="7" t="n">
        <v>232</v>
      </c>
      <c r="K233" s="7" t="n">
        <v>3</v>
      </c>
      <c r="L233" s="56" t="s">
        <v>110</v>
      </c>
      <c r="M233" s="7" t="n">
        <v>23</v>
      </c>
    </row>
    <row r="234" s="1" customFormat="true" ht="14.25" hidden="false" customHeight="false" outlineLevel="0" collapsed="false">
      <c r="A234" s="7" t="n">
        <v>249</v>
      </c>
      <c r="B234" s="7" t="s">
        <v>85</v>
      </c>
      <c r="C234" s="7" t="s">
        <v>86</v>
      </c>
      <c r="D234" s="7" t="n">
        <v>93202</v>
      </c>
      <c r="E234" s="55" t="n">
        <v>200025888802</v>
      </c>
      <c r="F234" s="56" t="s">
        <v>111</v>
      </c>
      <c r="G234" s="55" t="n">
        <v>230110</v>
      </c>
      <c r="H234" s="58" t="n">
        <v>45434.9915046296</v>
      </c>
      <c r="I234" s="7" t="n">
        <v>0</v>
      </c>
      <c r="J234" s="7" t="n">
        <v>233</v>
      </c>
      <c r="K234" s="7" t="n">
        <v>1</v>
      </c>
      <c r="L234" s="56" t="s">
        <v>111</v>
      </c>
      <c r="M234" s="7" t="n">
        <v>24</v>
      </c>
    </row>
    <row r="235" s="1" customFormat="true" ht="14.25" hidden="false" customHeight="false" outlineLevel="0" collapsed="false">
      <c r="A235" s="7" t="n">
        <v>250</v>
      </c>
      <c r="B235" s="7" t="s">
        <v>85</v>
      </c>
      <c r="C235" s="7" t="s">
        <v>86</v>
      </c>
      <c r="D235" s="7" t="n">
        <v>93202</v>
      </c>
      <c r="E235" s="55" t="n">
        <v>200025888802</v>
      </c>
      <c r="F235" s="56" t="s">
        <v>111</v>
      </c>
      <c r="G235" s="55" t="n">
        <v>230110</v>
      </c>
      <c r="H235" s="58" t="n">
        <v>45434.9915046296</v>
      </c>
      <c r="I235" s="7" t="n">
        <v>1</v>
      </c>
      <c r="J235" s="7" t="n">
        <v>234</v>
      </c>
      <c r="K235" s="7" t="n">
        <v>2</v>
      </c>
      <c r="L235" s="56" t="s">
        <v>111</v>
      </c>
      <c r="M235" s="7" t="n">
        <v>24</v>
      </c>
    </row>
    <row r="236" s="1" customFormat="true" ht="14.25" hidden="false" customHeight="false" outlineLevel="0" collapsed="false">
      <c r="A236" s="7" t="n">
        <v>251</v>
      </c>
      <c r="B236" s="7" t="s">
        <v>85</v>
      </c>
      <c r="C236" s="7" t="s">
        <v>86</v>
      </c>
      <c r="D236" s="7" t="n">
        <v>93202</v>
      </c>
      <c r="E236" s="55" t="n">
        <v>200025888802</v>
      </c>
      <c r="F236" s="56" t="s">
        <v>111</v>
      </c>
      <c r="G236" s="55" t="n">
        <v>230110</v>
      </c>
      <c r="H236" s="58" t="n">
        <v>45434.9915277778</v>
      </c>
      <c r="I236" s="7" t="n">
        <v>1</v>
      </c>
      <c r="J236" s="7" t="n">
        <v>235</v>
      </c>
      <c r="K236" s="7" t="n">
        <v>3</v>
      </c>
      <c r="L236" s="56" t="s">
        <v>111</v>
      </c>
      <c r="M236" s="7" t="n">
        <v>24</v>
      </c>
    </row>
    <row r="237" s="1" customFormat="true" ht="14.25" hidden="false" customHeight="false" outlineLevel="0" collapsed="false">
      <c r="A237" s="7" t="n">
        <v>252</v>
      </c>
      <c r="B237" s="7" t="s">
        <v>85</v>
      </c>
      <c r="C237" s="7" t="s">
        <v>86</v>
      </c>
      <c r="D237" s="7" t="n">
        <v>93202</v>
      </c>
      <c r="E237" s="55" t="n">
        <v>200025888802</v>
      </c>
      <c r="F237" s="56" t="s">
        <v>111</v>
      </c>
      <c r="G237" s="55" t="n">
        <v>230110</v>
      </c>
      <c r="H237" s="58" t="n">
        <v>45434.9915509259</v>
      </c>
      <c r="I237" s="7" t="n">
        <v>0</v>
      </c>
      <c r="J237" s="7" t="n">
        <v>236</v>
      </c>
      <c r="K237" s="7" t="n">
        <v>4</v>
      </c>
      <c r="L237" s="56" t="s">
        <v>111</v>
      </c>
      <c r="M237" s="7" t="n">
        <v>24</v>
      </c>
    </row>
    <row r="238" s="1" customFormat="true" ht="14.25" hidden="false" customHeight="false" outlineLevel="0" collapsed="false">
      <c r="A238" s="7" t="n">
        <v>253</v>
      </c>
      <c r="B238" s="7" t="s">
        <v>85</v>
      </c>
      <c r="C238" s="7" t="s">
        <v>86</v>
      </c>
      <c r="D238" s="7" t="n">
        <v>93202</v>
      </c>
      <c r="E238" s="55" t="n">
        <v>200025889230</v>
      </c>
      <c r="F238" s="56" t="s">
        <v>112</v>
      </c>
      <c r="G238" s="55" t="n">
        <v>200970</v>
      </c>
      <c r="H238" s="58" t="n">
        <v>45435.0172222222</v>
      </c>
      <c r="I238" s="7" t="n">
        <v>0</v>
      </c>
      <c r="J238" s="7" t="n">
        <v>237</v>
      </c>
      <c r="K238" s="7" t="n">
        <v>1</v>
      </c>
      <c r="L238" s="56" t="s">
        <v>112</v>
      </c>
      <c r="M238" s="7" t="n">
        <v>25</v>
      </c>
    </row>
    <row r="239" s="1" customFormat="true" ht="14.25" hidden="false" customHeight="false" outlineLevel="0" collapsed="false">
      <c r="A239" s="7" t="n">
        <v>254</v>
      </c>
      <c r="B239" s="7" t="s">
        <v>85</v>
      </c>
      <c r="C239" s="7" t="s">
        <v>86</v>
      </c>
      <c r="D239" s="7" t="n">
        <v>93202</v>
      </c>
      <c r="E239" s="55" t="n">
        <v>200025889230</v>
      </c>
      <c r="F239" s="56" t="s">
        <v>112</v>
      </c>
      <c r="G239" s="55" t="n">
        <v>200970</v>
      </c>
      <c r="H239" s="58" t="n">
        <v>45435.0172222222</v>
      </c>
      <c r="I239" s="7" t="n">
        <v>2</v>
      </c>
      <c r="J239" s="7" t="n">
        <v>238</v>
      </c>
      <c r="K239" s="7" t="n">
        <v>2</v>
      </c>
      <c r="L239" s="56" t="s">
        <v>112</v>
      </c>
      <c r="M239" s="7" t="n">
        <v>25</v>
      </c>
    </row>
    <row r="240" s="1" customFormat="true" ht="14.25" hidden="false" customHeight="false" outlineLevel="0" collapsed="false">
      <c r="A240" s="7" t="n">
        <v>255</v>
      </c>
      <c r="B240" s="7" t="s">
        <v>85</v>
      </c>
      <c r="C240" s="7" t="s">
        <v>86</v>
      </c>
      <c r="D240" s="7" t="n">
        <v>93202</v>
      </c>
      <c r="E240" s="55" t="n">
        <v>200025889277</v>
      </c>
      <c r="F240" s="56" t="s">
        <v>109</v>
      </c>
      <c r="G240" s="55" t="n">
        <v>220231</v>
      </c>
      <c r="H240" s="58" t="n">
        <v>45435.035</v>
      </c>
      <c r="I240" s="7" t="n">
        <v>1</v>
      </c>
      <c r="J240" s="7" t="n">
        <v>239</v>
      </c>
      <c r="K240" s="7" t="n">
        <v>4</v>
      </c>
      <c r="L240" s="56" t="s">
        <v>109</v>
      </c>
      <c r="M240" s="7" t="n">
        <v>22</v>
      </c>
    </row>
    <row r="241" s="1" customFormat="true" ht="14.25" hidden="false" customHeight="false" outlineLevel="0" collapsed="false">
      <c r="A241" s="7" t="n">
        <v>256</v>
      </c>
      <c r="B241" s="7" t="s">
        <v>85</v>
      </c>
      <c r="C241" s="7" t="s">
        <v>86</v>
      </c>
      <c r="D241" s="7" t="n">
        <v>93202</v>
      </c>
      <c r="E241" s="55" t="n">
        <v>200025889277</v>
      </c>
      <c r="F241" s="56" t="s">
        <v>109</v>
      </c>
      <c r="G241" s="55" t="n">
        <v>220231</v>
      </c>
      <c r="H241" s="58" t="n">
        <v>45435.0352199074</v>
      </c>
      <c r="I241" s="7" t="n">
        <v>2</v>
      </c>
      <c r="J241" s="7" t="n">
        <v>240</v>
      </c>
      <c r="K241" s="7" t="n">
        <v>5</v>
      </c>
      <c r="L241" s="56" t="s">
        <v>109</v>
      </c>
      <c r="M241" s="7" t="n">
        <v>22</v>
      </c>
    </row>
    <row r="242" s="1" customFormat="true" ht="14.25" hidden="false" customHeight="false" outlineLevel="0" collapsed="false">
      <c r="A242" s="7" t="n">
        <v>257</v>
      </c>
      <c r="B242" s="7" t="s">
        <v>85</v>
      </c>
      <c r="C242" s="7" t="s">
        <v>86</v>
      </c>
      <c r="D242" s="7" t="n">
        <v>93202</v>
      </c>
      <c r="E242" s="55" t="n">
        <v>200025889277</v>
      </c>
      <c r="F242" s="56" t="s">
        <v>109</v>
      </c>
      <c r="G242" s="55" t="n">
        <v>220231</v>
      </c>
      <c r="H242" s="58" t="n">
        <v>45435.0352546296</v>
      </c>
      <c r="I242" s="7" t="n">
        <v>0</v>
      </c>
      <c r="J242" s="7" t="n">
        <v>241</v>
      </c>
      <c r="K242" s="7" t="n">
        <v>6</v>
      </c>
      <c r="L242" s="56" t="s">
        <v>109</v>
      </c>
      <c r="M242" s="7" t="n">
        <v>22</v>
      </c>
    </row>
    <row r="243" s="1" customFormat="true" ht="14.25" hidden="false" customHeight="false" outlineLevel="0" collapsed="false">
      <c r="A243" s="7" t="n">
        <v>258</v>
      </c>
      <c r="B243" s="7" t="s">
        <v>85</v>
      </c>
      <c r="C243" s="7" t="s">
        <v>86</v>
      </c>
      <c r="D243" s="7" t="n">
        <v>93202</v>
      </c>
      <c r="E243" s="55" t="n">
        <v>200025889277</v>
      </c>
      <c r="F243" s="56" t="s">
        <v>109</v>
      </c>
      <c r="G243" s="55" t="n">
        <v>220231</v>
      </c>
      <c r="H243" s="58" t="n">
        <v>45435.0354282407</v>
      </c>
      <c r="I243" s="7" t="n">
        <v>0</v>
      </c>
      <c r="J243" s="7" t="n">
        <v>242</v>
      </c>
      <c r="K243" s="7" t="n">
        <v>7</v>
      </c>
      <c r="L243" s="56" t="s">
        <v>109</v>
      </c>
      <c r="M243" s="7" t="n">
        <v>22</v>
      </c>
    </row>
    <row r="244" s="1" customFormat="true" ht="14.25" hidden="false" customHeight="false" outlineLevel="0" collapsed="false">
      <c r="A244" s="7" t="n">
        <v>259</v>
      </c>
      <c r="B244" s="7" t="s">
        <v>85</v>
      </c>
      <c r="C244" s="7" t="s">
        <v>86</v>
      </c>
      <c r="D244" s="7" t="n">
        <v>93202</v>
      </c>
      <c r="E244" s="55" t="n">
        <v>200025889230</v>
      </c>
      <c r="F244" s="56" t="s">
        <v>112</v>
      </c>
      <c r="G244" s="55" t="n">
        <v>200970</v>
      </c>
      <c r="H244" s="58" t="n">
        <v>45435.0415625</v>
      </c>
      <c r="I244" s="7" t="n">
        <v>1</v>
      </c>
      <c r="J244" s="7" t="n">
        <v>243</v>
      </c>
      <c r="K244" s="7" t="n">
        <v>3</v>
      </c>
      <c r="L244" s="56" t="s">
        <v>112</v>
      </c>
      <c r="M244" s="7" t="n">
        <v>25</v>
      </c>
    </row>
    <row r="245" s="1" customFormat="true" ht="14.25" hidden="false" customHeight="false" outlineLevel="0" collapsed="false">
      <c r="A245" s="7" t="n">
        <v>260</v>
      </c>
      <c r="B245" s="7" t="s">
        <v>85</v>
      </c>
      <c r="C245" s="7" t="s">
        <v>86</v>
      </c>
      <c r="D245" s="7" t="n">
        <v>93202</v>
      </c>
      <c r="E245" s="55" t="n">
        <v>200025889230</v>
      </c>
      <c r="F245" s="56" t="s">
        <v>112</v>
      </c>
      <c r="G245" s="55" t="n">
        <v>200970</v>
      </c>
      <c r="H245" s="58" t="n">
        <v>45435.0417939815</v>
      </c>
      <c r="I245" s="7" t="n">
        <v>474</v>
      </c>
      <c r="J245" s="7" t="n">
        <v>244</v>
      </c>
      <c r="K245" s="7" t="n">
        <v>4</v>
      </c>
      <c r="L245" s="56" t="s">
        <v>112</v>
      </c>
      <c r="M245" s="7" t="n">
        <v>25</v>
      </c>
    </row>
    <row r="246" s="1" customFormat="true" ht="14.25" hidden="false" customHeight="false" outlineLevel="0" collapsed="false">
      <c r="A246" s="7" t="n">
        <v>261</v>
      </c>
      <c r="B246" s="7" t="s">
        <v>85</v>
      </c>
      <c r="C246" s="7" t="s">
        <v>86</v>
      </c>
      <c r="D246" s="7" t="n">
        <v>93202</v>
      </c>
      <c r="E246" s="55" t="n">
        <v>200025889230</v>
      </c>
      <c r="F246" s="56" t="s">
        <v>112</v>
      </c>
      <c r="G246" s="55" t="n">
        <v>200970</v>
      </c>
      <c r="H246" s="58" t="n">
        <v>45435.0475</v>
      </c>
      <c r="I246" s="7" t="n">
        <v>1</v>
      </c>
      <c r="J246" s="7" t="n">
        <v>245</v>
      </c>
      <c r="K246" s="7" t="n">
        <v>5</v>
      </c>
      <c r="L246" s="56" t="s">
        <v>112</v>
      </c>
      <c r="M246" s="7" t="n">
        <v>25</v>
      </c>
    </row>
    <row r="247" s="1" customFormat="true" ht="14.25" hidden="false" customHeight="false" outlineLevel="0" collapsed="false">
      <c r="A247" s="7" t="n">
        <v>262</v>
      </c>
      <c r="B247" s="7" t="s">
        <v>85</v>
      </c>
      <c r="C247" s="7" t="s">
        <v>86</v>
      </c>
      <c r="D247" s="7" t="n">
        <v>93202</v>
      </c>
      <c r="E247" s="55" t="n">
        <v>200025889230</v>
      </c>
      <c r="F247" s="56" t="s">
        <v>112</v>
      </c>
      <c r="G247" s="55" t="n">
        <v>200970</v>
      </c>
      <c r="H247" s="58" t="n">
        <v>45435.0476736111</v>
      </c>
      <c r="I247" s="7" t="n">
        <v>1</v>
      </c>
      <c r="J247" s="7" t="n">
        <v>246</v>
      </c>
      <c r="K247" s="7" t="n">
        <v>6</v>
      </c>
      <c r="L247" s="56" t="s">
        <v>112</v>
      </c>
      <c r="M247" s="7" t="n">
        <v>25</v>
      </c>
    </row>
    <row r="248" s="1" customFormat="true" ht="14.25" hidden="false" customHeight="false" outlineLevel="0" collapsed="false">
      <c r="A248" s="7" t="n">
        <v>263</v>
      </c>
      <c r="B248" s="7" t="s">
        <v>85</v>
      </c>
      <c r="C248" s="7" t="s">
        <v>86</v>
      </c>
      <c r="D248" s="7" t="n">
        <v>93202</v>
      </c>
      <c r="E248" s="55" t="n">
        <v>200025888767</v>
      </c>
      <c r="F248" s="56" t="s">
        <v>110</v>
      </c>
      <c r="G248" s="55" t="n">
        <v>220234</v>
      </c>
      <c r="H248" s="58" t="n">
        <v>45435.0571412037</v>
      </c>
      <c r="I248" s="7" t="n">
        <v>0</v>
      </c>
      <c r="J248" s="7" t="n">
        <v>247</v>
      </c>
      <c r="K248" s="7" t="n">
        <v>4</v>
      </c>
      <c r="L248" s="56" t="s">
        <v>110</v>
      </c>
      <c r="M248" s="7" t="n">
        <v>23</v>
      </c>
    </row>
    <row r="249" s="1" customFormat="true" ht="14.25" hidden="false" customHeight="false" outlineLevel="0" collapsed="false">
      <c r="A249" s="7" t="n">
        <v>264</v>
      </c>
      <c r="B249" s="7" t="s">
        <v>85</v>
      </c>
      <c r="C249" s="7" t="s">
        <v>86</v>
      </c>
      <c r="D249" s="7" t="n">
        <v>93202</v>
      </c>
      <c r="E249" s="55" t="n">
        <v>200025888767</v>
      </c>
      <c r="F249" s="56" t="s">
        <v>110</v>
      </c>
      <c r="G249" s="55" t="n">
        <v>220234</v>
      </c>
      <c r="H249" s="58" t="n">
        <v>45435.0571527778</v>
      </c>
      <c r="I249" s="7" t="n">
        <v>2</v>
      </c>
      <c r="J249" s="7" t="n">
        <v>248</v>
      </c>
      <c r="K249" s="7" t="n">
        <v>5</v>
      </c>
      <c r="L249" s="56" t="s">
        <v>110</v>
      </c>
      <c r="M249" s="7" t="n">
        <v>23</v>
      </c>
    </row>
    <row r="250" s="1" customFormat="true" ht="14.25" hidden="false" customHeight="false" outlineLevel="0" collapsed="false">
      <c r="A250" s="7" t="n">
        <v>265</v>
      </c>
      <c r="B250" s="7" t="s">
        <v>85</v>
      </c>
      <c r="C250" s="7" t="s">
        <v>86</v>
      </c>
      <c r="D250" s="7" t="n">
        <v>93202</v>
      </c>
      <c r="E250" s="55" t="n">
        <v>200025888767</v>
      </c>
      <c r="F250" s="56" t="s">
        <v>110</v>
      </c>
      <c r="G250" s="55" t="n">
        <v>220234</v>
      </c>
      <c r="H250" s="58" t="n">
        <v>45435.057337963</v>
      </c>
      <c r="I250" s="7" t="n">
        <v>0</v>
      </c>
      <c r="J250" s="7" t="n">
        <v>249</v>
      </c>
      <c r="K250" s="7" t="n">
        <v>6</v>
      </c>
      <c r="L250" s="56" t="s">
        <v>110</v>
      </c>
      <c r="M250" s="7" t="n">
        <v>23</v>
      </c>
    </row>
    <row r="251" s="1" customFormat="true" ht="14.25" hidden="false" customHeight="false" outlineLevel="0" collapsed="false">
      <c r="A251" s="7" t="n">
        <v>266</v>
      </c>
      <c r="B251" s="7" t="s">
        <v>85</v>
      </c>
      <c r="C251" s="7" t="s">
        <v>86</v>
      </c>
      <c r="D251" s="7" t="n">
        <v>93202</v>
      </c>
      <c r="E251" s="55" t="n">
        <v>200025888767</v>
      </c>
      <c r="F251" s="56" t="s">
        <v>110</v>
      </c>
      <c r="G251" s="55" t="n">
        <v>220234</v>
      </c>
      <c r="H251" s="58" t="n">
        <v>45435.0574768519</v>
      </c>
      <c r="I251" s="7" t="n">
        <v>0</v>
      </c>
      <c r="J251" s="7" t="n">
        <v>250</v>
      </c>
      <c r="K251" s="7" t="n">
        <v>7</v>
      </c>
      <c r="L251" s="56" t="s">
        <v>110</v>
      </c>
      <c r="M251" s="7" t="n">
        <v>23</v>
      </c>
    </row>
    <row r="252" s="1" customFormat="true" ht="14.25" hidden="false" customHeight="false" outlineLevel="0" collapsed="false">
      <c r="A252" s="7" t="n">
        <v>267</v>
      </c>
      <c r="B252" s="7" t="s">
        <v>85</v>
      </c>
      <c r="C252" s="7" t="s">
        <v>86</v>
      </c>
      <c r="D252" s="7" t="n">
        <v>93202</v>
      </c>
      <c r="E252" s="55" t="n">
        <v>200025888767</v>
      </c>
      <c r="F252" s="56" t="s">
        <v>110</v>
      </c>
      <c r="G252" s="55" t="n">
        <v>220234</v>
      </c>
      <c r="H252" s="58" t="n">
        <v>45435.0575578704</v>
      </c>
      <c r="I252" s="7" t="n">
        <v>0</v>
      </c>
      <c r="J252" s="7" t="n">
        <v>251</v>
      </c>
      <c r="K252" s="7" t="n">
        <v>8</v>
      </c>
      <c r="L252" s="56" t="s">
        <v>110</v>
      </c>
      <c r="M252" s="7" t="n">
        <v>23</v>
      </c>
    </row>
    <row r="253" s="1" customFormat="true" ht="14.25" hidden="false" customHeight="false" outlineLevel="0" collapsed="false">
      <c r="A253" s="7" t="n">
        <v>268</v>
      </c>
      <c r="B253" s="7" t="s">
        <v>85</v>
      </c>
      <c r="C253" s="7" t="s">
        <v>86</v>
      </c>
      <c r="D253" s="7" t="n">
        <v>93202</v>
      </c>
      <c r="E253" s="55" t="n">
        <v>200025888767</v>
      </c>
      <c r="F253" s="56" t="s">
        <v>110</v>
      </c>
      <c r="G253" s="55" t="n">
        <v>220234</v>
      </c>
      <c r="H253" s="58" t="n">
        <v>45435.0575694444</v>
      </c>
      <c r="I253" s="7" t="n">
        <v>1</v>
      </c>
      <c r="J253" s="7" t="n">
        <v>252</v>
      </c>
      <c r="K253" s="7" t="n">
        <v>9</v>
      </c>
      <c r="L253" s="56" t="s">
        <v>110</v>
      </c>
      <c r="M253" s="7" t="n">
        <v>23</v>
      </c>
    </row>
    <row r="254" s="1" customFormat="true" ht="14.25" hidden="false" customHeight="false" outlineLevel="0" collapsed="false">
      <c r="A254" s="7" t="n">
        <v>269</v>
      </c>
      <c r="B254" s="7" t="s">
        <v>85</v>
      </c>
      <c r="C254" s="7" t="s">
        <v>86</v>
      </c>
      <c r="D254" s="7" t="n">
        <v>93202</v>
      </c>
      <c r="E254" s="55" t="n">
        <v>200025888767</v>
      </c>
      <c r="F254" s="56" t="s">
        <v>110</v>
      </c>
      <c r="G254" s="55" t="n">
        <v>220234</v>
      </c>
      <c r="H254" s="58" t="n">
        <v>45435.0577199074</v>
      </c>
      <c r="I254" s="7" t="n">
        <v>1</v>
      </c>
      <c r="J254" s="7" t="n">
        <v>253</v>
      </c>
      <c r="K254" s="7" t="n">
        <v>10</v>
      </c>
      <c r="L254" s="56" t="s">
        <v>110</v>
      </c>
      <c r="M254" s="7" t="n">
        <v>23</v>
      </c>
    </row>
    <row r="255" s="1" customFormat="true" ht="14.25" hidden="false" customHeight="false" outlineLevel="0" collapsed="false">
      <c r="A255" s="7" t="n">
        <v>270</v>
      </c>
      <c r="B255" s="7" t="s">
        <v>85</v>
      </c>
      <c r="C255" s="7" t="s">
        <v>86</v>
      </c>
      <c r="D255" s="7" t="n">
        <v>93202</v>
      </c>
      <c r="E255" s="55" t="n">
        <v>200025888767</v>
      </c>
      <c r="F255" s="56" t="s">
        <v>110</v>
      </c>
      <c r="G255" s="55" t="n">
        <v>220234</v>
      </c>
      <c r="H255" s="58" t="n">
        <v>45435.0577546296</v>
      </c>
      <c r="I255" s="7" t="n">
        <v>0</v>
      </c>
      <c r="J255" s="7" t="n">
        <v>254</v>
      </c>
      <c r="K255" s="7" t="n">
        <v>11</v>
      </c>
      <c r="L255" s="56" t="s">
        <v>110</v>
      </c>
      <c r="M255" s="7" t="n">
        <v>23</v>
      </c>
    </row>
    <row r="256" s="1" customFormat="true" ht="14.25" hidden="false" customHeight="false" outlineLevel="0" collapsed="false">
      <c r="A256" s="7" t="n">
        <v>271</v>
      </c>
      <c r="B256" s="7" t="s">
        <v>85</v>
      </c>
      <c r="C256" s="7" t="s">
        <v>86</v>
      </c>
      <c r="D256" s="7" t="n">
        <v>93202</v>
      </c>
      <c r="E256" s="55" t="n">
        <v>200025888767</v>
      </c>
      <c r="F256" s="56" t="s">
        <v>110</v>
      </c>
      <c r="G256" s="55" t="n">
        <v>220234</v>
      </c>
      <c r="H256" s="58" t="n">
        <v>45435.0578819444</v>
      </c>
      <c r="I256" s="7" t="n">
        <v>0</v>
      </c>
      <c r="J256" s="7" t="n">
        <v>255</v>
      </c>
      <c r="K256" s="7" t="n">
        <v>12</v>
      </c>
      <c r="L256" s="56" t="s">
        <v>110</v>
      </c>
      <c r="M256" s="7" t="n">
        <v>23</v>
      </c>
    </row>
    <row r="257" s="1" customFormat="true" ht="14.25" hidden="false" customHeight="false" outlineLevel="0" collapsed="false">
      <c r="A257" s="7" t="n">
        <v>272</v>
      </c>
      <c r="B257" s="7" t="s">
        <v>85</v>
      </c>
      <c r="C257" s="7" t="s">
        <v>86</v>
      </c>
      <c r="D257" s="7" t="n">
        <v>93202</v>
      </c>
      <c r="E257" s="55" t="n">
        <v>200025888767</v>
      </c>
      <c r="F257" s="56" t="s">
        <v>110</v>
      </c>
      <c r="G257" s="55" t="n">
        <v>220234</v>
      </c>
      <c r="H257" s="58" t="n">
        <v>45435.0578935185</v>
      </c>
      <c r="I257" s="7" t="n">
        <v>0</v>
      </c>
      <c r="J257" s="7" t="n">
        <v>256</v>
      </c>
      <c r="K257" s="7" t="n">
        <v>13</v>
      </c>
      <c r="L257" s="56" t="s">
        <v>110</v>
      </c>
      <c r="M257" s="7" t="n">
        <v>23</v>
      </c>
    </row>
    <row r="258" s="1" customFormat="true" ht="14.25" hidden="false" customHeight="false" outlineLevel="0" collapsed="false">
      <c r="A258" s="59" t="n">
        <v>16</v>
      </c>
      <c r="B258" s="59" t="s">
        <v>113</v>
      </c>
      <c r="C258" s="59" t="s">
        <v>114</v>
      </c>
      <c r="D258" s="59" t="n">
        <v>93202</v>
      </c>
      <c r="E258" s="60" t="n">
        <v>200025888557</v>
      </c>
      <c r="F258" s="61" t="s">
        <v>115</v>
      </c>
      <c r="G258" s="55" t="n">
        <v>210284</v>
      </c>
      <c r="H258" s="58" t="n">
        <v>45435.6540277778</v>
      </c>
      <c r="I258" s="7" t="n">
        <v>0</v>
      </c>
      <c r="J258" s="7" t="n">
        <v>257</v>
      </c>
      <c r="K258" s="7" t="n">
        <v>1</v>
      </c>
      <c r="L258" s="56" t="s">
        <v>115</v>
      </c>
      <c r="M258" s="7" t="n">
        <v>26</v>
      </c>
    </row>
    <row r="259" s="1" customFormat="true" ht="14.25" hidden="false" customHeight="false" outlineLevel="0" collapsed="false">
      <c r="A259" s="59" t="n">
        <v>17</v>
      </c>
      <c r="B259" s="59" t="s">
        <v>113</v>
      </c>
      <c r="C259" s="59" t="s">
        <v>114</v>
      </c>
      <c r="D259" s="59" t="n">
        <v>93202</v>
      </c>
      <c r="E259" s="60" t="n">
        <v>200025888802</v>
      </c>
      <c r="F259" s="61" t="s">
        <v>111</v>
      </c>
      <c r="G259" s="55" t="n">
        <v>230110</v>
      </c>
      <c r="H259" s="58" t="n">
        <v>45435.6684837963</v>
      </c>
      <c r="I259" s="7" t="n">
        <v>1</v>
      </c>
      <c r="J259" s="7" t="n">
        <v>258</v>
      </c>
      <c r="K259" s="7" t="n">
        <v>5</v>
      </c>
      <c r="L259" s="56" t="s">
        <v>111</v>
      </c>
      <c r="M259" s="7" t="n">
        <v>24</v>
      </c>
    </row>
    <row r="260" s="1" customFormat="true" ht="14.25" hidden="false" customHeight="false" outlineLevel="0" collapsed="false">
      <c r="A260" s="59" t="n">
        <v>18</v>
      </c>
      <c r="B260" s="59" t="s">
        <v>113</v>
      </c>
      <c r="C260" s="59" t="s">
        <v>114</v>
      </c>
      <c r="D260" s="59" t="n">
        <v>93202</v>
      </c>
      <c r="E260" s="60" t="n">
        <v>200025888802</v>
      </c>
      <c r="F260" s="61" t="s">
        <v>111</v>
      </c>
      <c r="G260" s="55" t="n">
        <v>230110</v>
      </c>
      <c r="H260" s="58" t="n">
        <v>45435.6687384259</v>
      </c>
      <c r="I260" s="7" t="n">
        <v>0</v>
      </c>
      <c r="J260" s="7" t="n">
        <v>259</v>
      </c>
      <c r="K260" s="7" t="n">
        <v>6</v>
      </c>
      <c r="L260" s="56" t="s">
        <v>111</v>
      </c>
      <c r="M260" s="7" t="n">
        <v>24</v>
      </c>
    </row>
    <row r="261" s="1" customFormat="true" ht="14.25" hidden="false" customHeight="false" outlineLevel="0" collapsed="false">
      <c r="A261" s="59" t="n">
        <v>19</v>
      </c>
      <c r="B261" s="59" t="s">
        <v>113</v>
      </c>
      <c r="C261" s="59" t="s">
        <v>114</v>
      </c>
      <c r="D261" s="59" t="n">
        <v>93202</v>
      </c>
      <c r="E261" s="60" t="n">
        <v>200025888802</v>
      </c>
      <c r="F261" s="61" t="s">
        <v>111</v>
      </c>
      <c r="G261" s="55" t="n">
        <v>230110</v>
      </c>
      <c r="H261" s="58" t="n">
        <v>45435.66875</v>
      </c>
      <c r="I261" s="7" t="n">
        <v>2</v>
      </c>
      <c r="J261" s="7" t="n">
        <v>260</v>
      </c>
      <c r="K261" s="7" t="n">
        <v>7</v>
      </c>
      <c r="L261" s="56" t="s">
        <v>111</v>
      </c>
      <c r="M261" s="7" t="n">
        <v>24</v>
      </c>
    </row>
    <row r="262" s="1" customFormat="true" ht="14.25" hidden="false" customHeight="false" outlineLevel="0" collapsed="false">
      <c r="A262" s="59" t="n">
        <v>20</v>
      </c>
      <c r="B262" s="59" t="s">
        <v>113</v>
      </c>
      <c r="C262" s="59" t="s">
        <v>114</v>
      </c>
      <c r="D262" s="59" t="n">
        <v>93202</v>
      </c>
      <c r="E262" s="60" t="n">
        <v>200025888802</v>
      </c>
      <c r="F262" s="61" t="s">
        <v>111</v>
      </c>
      <c r="G262" s="55" t="n">
        <v>230110</v>
      </c>
      <c r="H262" s="58" t="n">
        <v>45435.6689583333</v>
      </c>
      <c r="I262" s="7" t="n">
        <v>1</v>
      </c>
      <c r="J262" s="7" t="n">
        <v>261</v>
      </c>
      <c r="K262" s="7" t="n">
        <v>8</v>
      </c>
      <c r="L262" s="56" t="s">
        <v>111</v>
      </c>
      <c r="M262" s="7" t="n">
        <v>24</v>
      </c>
    </row>
    <row r="263" s="1" customFormat="true" ht="14.25" hidden="false" customHeight="false" outlineLevel="0" collapsed="false">
      <c r="A263" s="59" t="n">
        <v>21</v>
      </c>
      <c r="B263" s="59" t="s">
        <v>113</v>
      </c>
      <c r="C263" s="59" t="s">
        <v>114</v>
      </c>
      <c r="D263" s="59" t="n">
        <v>93202</v>
      </c>
      <c r="E263" s="60" t="n">
        <v>200025888802</v>
      </c>
      <c r="F263" s="61" t="s">
        <v>111</v>
      </c>
      <c r="G263" s="55" t="n">
        <v>230110</v>
      </c>
      <c r="H263" s="58" t="n">
        <v>45435.6691550926</v>
      </c>
      <c r="I263" s="7" t="n">
        <v>2</v>
      </c>
      <c r="J263" s="7" t="n">
        <v>262</v>
      </c>
      <c r="K263" s="7" t="n">
        <v>9</v>
      </c>
      <c r="L263" s="56" t="s">
        <v>111</v>
      </c>
      <c r="M263" s="7" t="n">
        <v>24</v>
      </c>
    </row>
    <row r="264" s="1" customFormat="true" ht="14.25" hidden="false" customHeight="false" outlineLevel="0" collapsed="false">
      <c r="A264" s="59" t="n">
        <v>22</v>
      </c>
      <c r="B264" s="59" t="s">
        <v>113</v>
      </c>
      <c r="C264" s="59" t="s">
        <v>114</v>
      </c>
      <c r="D264" s="59" t="n">
        <v>93202</v>
      </c>
      <c r="E264" s="60" t="n">
        <v>200025888802</v>
      </c>
      <c r="F264" s="61" t="s">
        <v>111</v>
      </c>
      <c r="G264" s="55" t="n">
        <v>230110</v>
      </c>
      <c r="H264" s="58" t="n">
        <v>45435.6691782407</v>
      </c>
      <c r="I264" s="7" t="n">
        <v>21</v>
      </c>
      <c r="J264" s="7" t="n">
        <v>263</v>
      </c>
      <c r="K264" s="7" t="n">
        <v>10</v>
      </c>
      <c r="L264" s="56" t="s">
        <v>111</v>
      </c>
      <c r="M264" s="7" t="n">
        <v>24</v>
      </c>
    </row>
    <row r="265" s="1" customFormat="true" ht="14.25" hidden="false" customHeight="false" outlineLevel="0" collapsed="false">
      <c r="A265" s="59" t="n">
        <v>23</v>
      </c>
      <c r="B265" s="59" t="s">
        <v>113</v>
      </c>
      <c r="C265" s="59" t="s">
        <v>114</v>
      </c>
      <c r="D265" s="59" t="n">
        <v>93202</v>
      </c>
      <c r="E265" s="60" t="n">
        <v>200025888802</v>
      </c>
      <c r="F265" s="61" t="s">
        <v>111</v>
      </c>
      <c r="G265" s="55" t="n">
        <v>230110</v>
      </c>
      <c r="H265" s="58" t="n">
        <v>45435.6695833333</v>
      </c>
      <c r="I265" s="7" t="n">
        <v>0</v>
      </c>
      <c r="J265" s="7" t="n">
        <v>264</v>
      </c>
      <c r="K265" s="7" t="n">
        <v>11</v>
      </c>
      <c r="L265" s="56" t="s">
        <v>111</v>
      </c>
      <c r="M265" s="7" t="n">
        <v>24</v>
      </c>
    </row>
    <row r="266" s="1" customFormat="true" ht="14.25" hidden="false" customHeight="false" outlineLevel="0" collapsed="false">
      <c r="A266" s="59" t="n">
        <v>24</v>
      </c>
      <c r="B266" s="59" t="s">
        <v>113</v>
      </c>
      <c r="C266" s="59" t="s">
        <v>114</v>
      </c>
      <c r="D266" s="59" t="n">
        <v>93202</v>
      </c>
      <c r="E266" s="60" t="n">
        <v>200025888802</v>
      </c>
      <c r="F266" s="61" t="s">
        <v>111</v>
      </c>
      <c r="G266" s="55" t="n">
        <v>230110</v>
      </c>
      <c r="H266" s="58" t="n">
        <v>45435.6695833333</v>
      </c>
      <c r="I266" s="7" t="n">
        <v>1</v>
      </c>
      <c r="J266" s="7" t="n">
        <v>265</v>
      </c>
      <c r="K266" s="7" t="n">
        <v>12</v>
      </c>
      <c r="L266" s="56" t="s">
        <v>111</v>
      </c>
      <c r="M266" s="7" t="n">
        <v>24</v>
      </c>
    </row>
    <row r="267" s="1" customFormat="true" ht="14.25" hidden="false" customHeight="false" outlineLevel="0" collapsed="false">
      <c r="A267" s="59" t="n">
        <v>25</v>
      </c>
      <c r="B267" s="59" t="s">
        <v>113</v>
      </c>
      <c r="C267" s="59" t="s">
        <v>114</v>
      </c>
      <c r="D267" s="59" t="n">
        <v>93202</v>
      </c>
      <c r="E267" s="60" t="n">
        <v>200025888802</v>
      </c>
      <c r="F267" s="61" t="s">
        <v>111</v>
      </c>
      <c r="G267" s="55" t="n">
        <v>230110</v>
      </c>
      <c r="H267" s="58" t="n">
        <v>45435.6695949074</v>
      </c>
      <c r="I267" s="7" t="n">
        <v>1</v>
      </c>
      <c r="J267" s="7" t="n">
        <v>266</v>
      </c>
      <c r="K267" s="7" t="n">
        <v>13</v>
      </c>
      <c r="L267" s="56" t="s">
        <v>111</v>
      </c>
      <c r="M267" s="7" t="n">
        <v>24</v>
      </c>
    </row>
    <row r="268" s="1" customFormat="true" ht="14.25" hidden="false" customHeight="false" outlineLevel="0" collapsed="false">
      <c r="A268" s="59" t="n">
        <v>26</v>
      </c>
      <c r="B268" s="59" t="s">
        <v>113</v>
      </c>
      <c r="C268" s="59" t="s">
        <v>114</v>
      </c>
      <c r="D268" s="59" t="n">
        <v>93202</v>
      </c>
      <c r="E268" s="60" t="n">
        <v>200025888802</v>
      </c>
      <c r="F268" s="61" t="s">
        <v>111</v>
      </c>
      <c r="G268" s="55" t="n">
        <v>230110</v>
      </c>
      <c r="H268" s="58" t="n">
        <v>45435.669837963</v>
      </c>
      <c r="I268" s="7" t="n">
        <v>1</v>
      </c>
      <c r="J268" s="7" t="n">
        <v>267</v>
      </c>
      <c r="K268" s="7" t="n">
        <v>14</v>
      </c>
      <c r="L268" s="56" t="s">
        <v>111</v>
      </c>
      <c r="M268" s="7" t="n">
        <v>24</v>
      </c>
    </row>
    <row r="269" s="1" customFormat="true" ht="14.25" hidden="false" customHeight="false" outlineLevel="0" collapsed="false">
      <c r="A269" s="59" t="n">
        <v>27</v>
      </c>
      <c r="B269" s="59" t="s">
        <v>113</v>
      </c>
      <c r="C269" s="59" t="s">
        <v>114</v>
      </c>
      <c r="D269" s="59" t="n">
        <v>93202</v>
      </c>
      <c r="E269" s="60" t="n">
        <v>200025888802</v>
      </c>
      <c r="F269" s="61" t="s">
        <v>111</v>
      </c>
      <c r="G269" s="55" t="n">
        <v>230110</v>
      </c>
      <c r="H269" s="58" t="n">
        <v>45435.6701157407</v>
      </c>
      <c r="I269" s="7" t="n">
        <v>1</v>
      </c>
      <c r="J269" s="7" t="n">
        <v>268</v>
      </c>
      <c r="K269" s="7" t="n">
        <v>15</v>
      </c>
      <c r="L269" s="56" t="s">
        <v>111</v>
      </c>
      <c r="M269" s="7" t="n">
        <v>24</v>
      </c>
    </row>
    <row r="270" customFormat="false" ht="14.25" hidden="false" customHeight="false" outlineLevel="0" collapsed="false">
      <c r="A270" s="59" t="n">
        <v>28</v>
      </c>
      <c r="B270" s="59" t="s">
        <v>113</v>
      </c>
      <c r="C270" s="59" t="s">
        <v>114</v>
      </c>
      <c r="D270" s="59" t="n">
        <v>93202</v>
      </c>
      <c r="E270" s="60" t="n">
        <v>200025888802</v>
      </c>
      <c r="F270" s="61" t="s">
        <v>111</v>
      </c>
      <c r="G270" s="55" t="n">
        <v>230110</v>
      </c>
      <c r="H270" s="58" t="n">
        <v>45435.6701388889</v>
      </c>
      <c r="I270" s="7" t="n">
        <v>0</v>
      </c>
      <c r="J270" s="7" t="n">
        <v>269</v>
      </c>
      <c r="K270" s="7" t="n">
        <v>16</v>
      </c>
      <c r="L270" s="56" t="s">
        <v>111</v>
      </c>
      <c r="M270" s="7" t="n">
        <v>24</v>
      </c>
    </row>
    <row r="271" customFormat="false" ht="14.25" hidden="false" customHeight="false" outlineLevel="0" collapsed="false">
      <c r="A271" s="59" t="n">
        <v>29</v>
      </c>
      <c r="B271" s="59" t="s">
        <v>113</v>
      </c>
      <c r="C271" s="59" t="s">
        <v>114</v>
      </c>
      <c r="D271" s="59" t="n">
        <v>93202</v>
      </c>
      <c r="E271" s="60" t="n">
        <v>200025888802</v>
      </c>
      <c r="F271" s="61" t="s">
        <v>111</v>
      </c>
      <c r="G271" s="55" t="n">
        <v>230110</v>
      </c>
      <c r="H271" s="58" t="n">
        <v>45435.670150463</v>
      </c>
      <c r="I271" s="7" t="n">
        <v>0</v>
      </c>
      <c r="J271" s="7" t="n">
        <v>270</v>
      </c>
      <c r="K271" s="7" t="n">
        <v>17</v>
      </c>
      <c r="L271" s="56" t="s">
        <v>111</v>
      </c>
      <c r="M271" s="7" t="n">
        <v>24</v>
      </c>
    </row>
    <row r="272" customFormat="false" ht="14.25" hidden="false" customHeight="false" outlineLevel="0" collapsed="false">
      <c r="A272" s="59" t="n">
        <v>30</v>
      </c>
      <c r="B272" s="59" t="s">
        <v>113</v>
      </c>
      <c r="C272" s="59" t="s">
        <v>114</v>
      </c>
      <c r="D272" s="59" t="n">
        <v>93202</v>
      </c>
      <c r="E272" s="60" t="n">
        <v>200025889417</v>
      </c>
      <c r="F272" s="61" t="s">
        <v>116</v>
      </c>
      <c r="G272" s="55" t="n">
        <v>230102</v>
      </c>
      <c r="H272" s="58" t="n">
        <v>45435.7239467593</v>
      </c>
      <c r="I272" s="7" t="n">
        <v>243</v>
      </c>
      <c r="J272" s="7" t="n">
        <v>271</v>
      </c>
      <c r="K272" s="7" t="n">
        <v>1</v>
      </c>
      <c r="L272" s="56" t="s">
        <v>116</v>
      </c>
      <c r="M272" s="7" t="n">
        <v>27</v>
      </c>
    </row>
    <row r="273" customFormat="false" ht="14.25" hidden="false" customHeight="false" outlineLevel="0" collapsed="false">
      <c r="A273" s="59" t="n">
        <v>31</v>
      </c>
      <c r="B273" s="59" t="s">
        <v>113</v>
      </c>
      <c r="C273" s="59" t="s">
        <v>114</v>
      </c>
      <c r="D273" s="59" t="n">
        <v>93202</v>
      </c>
      <c r="E273" s="60" t="n">
        <v>200025889417</v>
      </c>
      <c r="F273" s="61" t="s">
        <v>116</v>
      </c>
      <c r="G273" s="55" t="n">
        <v>230102</v>
      </c>
      <c r="H273" s="58" t="n">
        <v>45435.7267939815</v>
      </c>
      <c r="I273" s="7" t="n">
        <v>1</v>
      </c>
      <c r="J273" s="7" t="n">
        <v>272</v>
      </c>
      <c r="K273" s="7" t="n">
        <v>2</v>
      </c>
      <c r="L273" s="56" t="s">
        <v>116</v>
      </c>
      <c r="M273" s="7" t="n">
        <v>27</v>
      </c>
    </row>
    <row r="274" customFormat="false" ht="14.25" hidden="false" customHeight="false" outlineLevel="0" collapsed="false">
      <c r="A274" s="59" t="n">
        <v>32</v>
      </c>
      <c r="B274" s="59" t="s">
        <v>113</v>
      </c>
      <c r="C274" s="59" t="s">
        <v>114</v>
      </c>
      <c r="D274" s="59" t="n">
        <v>93202</v>
      </c>
      <c r="E274" s="60" t="n">
        <v>200025888940</v>
      </c>
      <c r="F274" s="61" t="s">
        <v>117</v>
      </c>
      <c r="G274" s="55" t="n">
        <v>220239</v>
      </c>
      <c r="H274" s="58" t="n">
        <v>45435.7447916667</v>
      </c>
      <c r="I274" s="7" t="n">
        <v>0</v>
      </c>
      <c r="J274" s="7" t="n">
        <v>273</v>
      </c>
      <c r="K274" s="7" t="n">
        <v>1</v>
      </c>
      <c r="L274" s="56" t="s">
        <v>117</v>
      </c>
      <c r="M274" s="7" t="n">
        <v>28</v>
      </c>
    </row>
    <row r="275" customFormat="false" ht="14.25" hidden="false" customHeight="false" outlineLevel="0" collapsed="false">
      <c r="A275" s="59" t="n">
        <v>33</v>
      </c>
      <c r="B275" s="59" t="s">
        <v>113</v>
      </c>
      <c r="C275" s="59" t="s">
        <v>114</v>
      </c>
      <c r="D275" s="59" t="n">
        <v>93202</v>
      </c>
      <c r="E275" s="60" t="n">
        <v>200025889417</v>
      </c>
      <c r="F275" s="61" t="s">
        <v>116</v>
      </c>
      <c r="G275" s="55" t="n">
        <v>230102</v>
      </c>
      <c r="H275" s="58" t="n">
        <v>45435.7627777778</v>
      </c>
      <c r="I275" s="7" t="n">
        <v>1</v>
      </c>
      <c r="J275" s="7" t="n">
        <v>274</v>
      </c>
      <c r="K275" s="7" t="n">
        <v>3</v>
      </c>
      <c r="L275" s="56" t="s">
        <v>116</v>
      </c>
      <c r="M275" s="7" t="n">
        <v>27</v>
      </c>
    </row>
    <row r="276" customFormat="false" ht="14.25" hidden="false" customHeight="false" outlineLevel="0" collapsed="false">
      <c r="A276" s="59" t="n">
        <v>34</v>
      </c>
      <c r="B276" s="59" t="s">
        <v>113</v>
      </c>
      <c r="C276" s="59" t="s">
        <v>114</v>
      </c>
      <c r="D276" s="59" t="n">
        <v>93202</v>
      </c>
      <c r="E276" s="60" t="n">
        <v>200025889417</v>
      </c>
      <c r="F276" s="61" t="s">
        <v>116</v>
      </c>
      <c r="G276" s="55" t="n">
        <v>230102</v>
      </c>
      <c r="H276" s="58" t="n">
        <v>45435.7682060185</v>
      </c>
      <c r="I276" s="7" t="n">
        <v>4</v>
      </c>
      <c r="J276" s="7" t="n">
        <v>275</v>
      </c>
      <c r="K276" s="7" t="n">
        <v>4</v>
      </c>
      <c r="L276" s="56" t="s">
        <v>116</v>
      </c>
      <c r="M276" s="7" t="n">
        <v>27</v>
      </c>
    </row>
    <row r="277" customFormat="false" ht="14.25" hidden="false" customHeight="false" outlineLevel="0" collapsed="false">
      <c r="A277" s="59" t="n">
        <v>35</v>
      </c>
      <c r="B277" s="59" t="s">
        <v>113</v>
      </c>
      <c r="C277" s="59" t="s">
        <v>114</v>
      </c>
      <c r="D277" s="59" t="n">
        <v>93202</v>
      </c>
      <c r="E277" s="60" t="n">
        <v>200025889417</v>
      </c>
      <c r="F277" s="61" t="s">
        <v>116</v>
      </c>
      <c r="G277" s="55" t="n">
        <v>230102</v>
      </c>
      <c r="H277" s="58" t="n">
        <v>45435.7682523148</v>
      </c>
      <c r="I277" s="7" t="n">
        <v>772</v>
      </c>
      <c r="J277" s="7" t="n">
        <v>276</v>
      </c>
      <c r="K277" s="7" t="n">
        <v>5</v>
      </c>
      <c r="L277" s="56" t="s">
        <v>116</v>
      </c>
      <c r="M277" s="7" t="n">
        <v>27</v>
      </c>
    </row>
    <row r="278" customFormat="false" ht="14.25" hidden="false" customHeight="false" outlineLevel="0" collapsed="false">
      <c r="A278" s="59" t="n">
        <v>36</v>
      </c>
      <c r="B278" s="59" t="s">
        <v>113</v>
      </c>
      <c r="C278" s="59" t="s">
        <v>114</v>
      </c>
      <c r="D278" s="59" t="n">
        <v>93202</v>
      </c>
      <c r="E278" s="60" t="n">
        <v>200025889417</v>
      </c>
      <c r="F278" s="61" t="s">
        <v>116</v>
      </c>
      <c r="G278" s="55" t="n">
        <v>230102</v>
      </c>
      <c r="H278" s="58" t="n">
        <v>45435.7771875</v>
      </c>
      <c r="I278" s="7" t="n">
        <v>6</v>
      </c>
      <c r="J278" s="7" t="n">
        <v>277</v>
      </c>
      <c r="K278" s="7" t="n">
        <v>6</v>
      </c>
      <c r="L278" s="56" t="s">
        <v>116</v>
      </c>
      <c r="M278" s="7" t="n">
        <v>27</v>
      </c>
    </row>
    <row r="279" customFormat="false" ht="14.25" hidden="false" customHeight="false" outlineLevel="0" collapsed="false">
      <c r="A279" s="59" t="n">
        <v>37</v>
      </c>
      <c r="B279" s="59" t="s">
        <v>113</v>
      </c>
      <c r="C279" s="59" t="s">
        <v>114</v>
      </c>
      <c r="D279" s="59" t="n">
        <v>93202</v>
      </c>
      <c r="E279" s="60" t="n">
        <v>200025889417</v>
      </c>
      <c r="F279" s="61" t="s">
        <v>116</v>
      </c>
      <c r="G279" s="55" t="n">
        <v>230102</v>
      </c>
      <c r="H279" s="58" t="n">
        <v>45435.7773032407</v>
      </c>
      <c r="I279" s="7" t="n">
        <v>13</v>
      </c>
      <c r="J279" s="7" t="n">
        <v>278</v>
      </c>
      <c r="K279" s="7" t="n">
        <v>7</v>
      </c>
      <c r="L279" s="56" t="s">
        <v>116</v>
      </c>
      <c r="M279" s="7" t="n">
        <v>27</v>
      </c>
    </row>
    <row r="280" customFormat="false" ht="14.25" hidden="false" customHeight="false" outlineLevel="0" collapsed="false">
      <c r="A280" s="59" t="n">
        <v>38</v>
      </c>
      <c r="B280" s="59" t="s">
        <v>113</v>
      </c>
      <c r="C280" s="59" t="s">
        <v>114</v>
      </c>
      <c r="D280" s="59" t="n">
        <v>93202</v>
      </c>
      <c r="E280" s="60" t="n">
        <v>200025889417</v>
      </c>
      <c r="F280" s="61" t="s">
        <v>116</v>
      </c>
      <c r="G280" s="55" t="n">
        <v>230102</v>
      </c>
      <c r="H280" s="58" t="n">
        <v>45435.7775925926</v>
      </c>
      <c r="I280" s="7" t="n">
        <v>0</v>
      </c>
      <c r="J280" s="7" t="n">
        <v>279</v>
      </c>
      <c r="K280" s="7" t="n">
        <v>8</v>
      </c>
      <c r="L280" s="56" t="s">
        <v>116</v>
      </c>
      <c r="M280" s="7" t="n">
        <v>27</v>
      </c>
    </row>
    <row r="281" customFormat="false" ht="14.25" hidden="false" customHeight="false" outlineLevel="0" collapsed="false">
      <c r="A281" s="59" t="n">
        <v>39</v>
      </c>
      <c r="B281" s="59" t="s">
        <v>113</v>
      </c>
      <c r="C281" s="59" t="s">
        <v>114</v>
      </c>
      <c r="D281" s="59" t="n">
        <v>93202</v>
      </c>
      <c r="E281" s="60" t="n">
        <v>200025889417</v>
      </c>
      <c r="F281" s="61" t="s">
        <v>116</v>
      </c>
      <c r="G281" s="55" t="n">
        <v>230102</v>
      </c>
      <c r="H281" s="58" t="n">
        <v>45435.8187847222</v>
      </c>
      <c r="I281" s="7" t="n">
        <v>14</v>
      </c>
      <c r="J281" s="7" t="n">
        <v>280</v>
      </c>
      <c r="K281" s="7" t="n">
        <v>9</v>
      </c>
      <c r="L281" s="56" t="s">
        <v>116</v>
      </c>
      <c r="M281" s="7" t="n">
        <v>27</v>
      </c>
    </row>
    <row r="282" customFormat="false" ht="14.25" hidden="false" customHeight="false" outlineLevel="0" collapsed="false">
      <c r="A282" s="59" t="n">
        <v>40</v>
      </c>
      <c r="B282" s="59" t="s">
        <v>113</v>
      </c>
      <c r="C282" s="59" t="s">
        <v>114</v>
      </c>
      <c r="D282" s="59" t="n">
        <v>93202</v>
      </c>
      <c r="E282" s="60" t="n">
        <v>200025888730</v>
      </c>
      <c r="F282" s="61" t="s">
        <v>118</v>
      </c>
      <c r="G282" s="55" t="n">
        <v>230134</v>
      </c>
      <c r="H282" s="58" t="n">
        <v>45435.8294212963</v>
      </c>
      <c r="I282" s="7" t="n">
        <v>1</v>
      </c>
      <c r="J282" s="7" t="n">
        <v>281</v>
      </c>
      <c r="K282" s="7" t="n">
        <v>1</v>
      </c>
      <c r="L282" s="56" t="s">
        <v>118</v>
      </c>
      <c r="M282" s="7" t="n">
        <v>29</v>
      </c>
    </row>
    <row r="283" customFormat="false" ht="14.25" hidden="false" customHeight="false" outlineLevel="0" collapsed="false">
      <c r="A283" s="59" t="n">
        <v>41</v>
      </c>
      <c r="B283" s="59" t="s">
        <v>113</v>
      </c>
      <c r="C283" s="59" t="s">
        <v>114</v>
      </c>
      <c r="D283" s="59" t="n">
        <v>93202</v>
      </c>
      <c r="E283" s="60" t="n">
        <v>200025888730</v>
      </c>
      <c r="F283" s="61" t="s">
        <v>118</v>
      </c>
      <c r="G283" s="55" t="n">
        <v>230134</v>
      </c>
      <c r="H283" s="58" t="n">
        <v>45435.8297453704</v>
      </c>
      <c r="I283" s="7" t="n">
        <v>0</v>
      </c>
      <c r="J283" s="7" t="n">
        <v>282</v>
      </c>
      <c r="K283" s="7" t="n">
        <v>2</v>
      </c>
      <c r="L283" s="56" t="s">
        <v>118</v>
      </c>
      <c r="M283" s="7" t="n">
        <v>29</v>
      </c>
    </row>
    <row r="284" customFormat="false" ht="14.25" hidden="false" customHeight="false" outlineLevel="0" collapsed="false">
      <c r="A284" s="59" t="n">
        <v>42</v>
      </c>
      <c r="B284" s="59" t="s">
        <v>113</v>
      </c>
      <c r="C284" s="59" t="s">
        <v>114</v>
      </c>
      <c r="D284" s="59" t="n">
        <v>93202</v>
      </c>
      <c r="E284" s="60" t="n">
        <v>200025888557</v>
      </c>
      <c r="F284" s="61" t="s">
        <v>115</v>
      </c>
      <c r="G284" s="55" t="n">
        <v>210284</v>
      </c>
      <c r="H284" s="58" t="n">
        <v>45435.8379166667</v>
      </c>
      <c r="I284" s="7" t="n">
        <v>0</v>
      </c>
      <c r="J284" s="7" t="n">
        <v>283</v>
      </c>
      <c r="K284" s="7" t="n">
        <v>2</v>
      </c>
      <c r="L284" s="56" t="s">
        <v>115</v>
      </c>
      <c r="M284" s="7" t="n">
        <v>26</v>
      </c>
    </row>
    <row r="285" customFormat="false" ht="14.25" hidden="false" customHeight="false" outlineLevel="0" collapsed="false">
      <c r="A285" s="59" t="n">
        <v>43</v>
      </c>
      <c r="B285" s="59" t="s">
        <v>113</v>
      </c>
      <c r="C285" s="59" t="s">
        <v>114</v>
      </c>
      <c r="D285" s="59" t="n">
        <v>93202</v>
      </c>
      <c r="E285" s="60" t="n">
        <v>200025889417</v>
      </c>
      <c r="F285" s="61" t="s">
        <v>116</v>
      </c>
      <c r="G285" s="55" t="n">
        <v>230102</v>
      </c>
      <c r="H285" s="58" t="n">
        <v>45435.8567592593</v>
      </c>
      <c r="I285" s="7" t="n">
        <v>0</v>
      </c>
      <c r="J285" s="7" t="n">
        <v>284</v>
      </c>
      <c r="K285" s="7" t="n">
        <v>10</v>
      </c>
      <c r="L285" s="56" t="s">
        <v>116</v>
      </c>
      <c r="M285" s="7" t="n">
        <v>27</v>
      </c>
    </row>
    <row r="286" customFormat="false" ht="14.25" hidden="false" customHeight="false" outlineLevel="0" collapsed="false">
      <c r="A286" s="59" t="n">
        <v>44</v>
      </c>
      <c r="B286" s="59" t="s">
        <v>113</v>
      </c>
      <c r="C286" s="59" t="s">
        <v>114</v>
      </c>
      <c r="D286" s="59" t="n">
        <v>93202</v>
      </c>
      <c r="E286" s="60" t="n">
        <v>200025889030</v>
      </c>
      <c r="F286" s="61" t="s">
        <v>119</v>
      </c>
      <c r="G286" s="55" t="n">
        <v>220220</v>
      </c>
      <c r="H286" s="58" t="n">
        <v>45435.8943055556</v>
      </c>
      <c r="I286" s="7" t="n">
        <v>454</v>
      </c>
      <c r="J286" s="7" t="n">
        <v>285</v>
      </c>
      <c r="K286" s="7" t="n">
        <v>1</v>
      </c>
      <c r="L286" s="56" t="s">
        <v>119</v>
      </c>
      <c r="M286" s="7" t="n">
        <v>29</v>
      </c>
    </row>
    <row r="287" customFormat="false" ht="14.25" hidden="false" customHeight="false" outlineLevel="0" collapsed="false">
      <c r="A287" s="59" t="n">
        <v>45</v>
      </c>
      <c r="B287" s="59" t="s">
        <v>113</v>
      </c>
      <c r="C287" s="59" t="s">
        <v>114</v>
      </c>
      <c r="D287" s="59" t="n">
        <v>93202</v>
      </c>
      <c r="E287" s="60" t="n">
        <v>200025888730</v>
      </c>
      <c r="F287" s="61" t="s">
        <v>118</v>
      </c>
      <c r="G287" s="55" t="n">
        <v>230134</v>
      </c>
      <c r="H287" s="58" t="n">
        <v>45435.8999537037</v>
      </c>
      <c r="I287" s="7" t="n">
        <v>1</v>
      </c>
      <c r="J287" s="7" t="n">
        <v>286</v>
      </c>
      <c r="K287" s="7" t="n">
        <v>3</v>
      </c>
      <c r="L287" s="56" t="s">
        <v>118</v>
      </c>
      <c r="M287" s="7" t="n">
        <v>29</v>
      </c>
    </row>
    <row r="288" customFormat="false" ht="14.25" hidden="false" customHeight="false" outlineLevel="0" collapsed="false">
      <c r="A288" s="59" t="n">
        <v>46</v>
      </c>
      <c r="B288" s="59" t="s">
        <v>113</v>
      </c>
      <c r="C288" s="59" t="s">
        <v>114</v>
      </c>
      <c r="D288" s="59" t="n">
        <v>93202</v>
      </c>
      <c r="E288" s="60" t="n">
        <v>200025889448</v>
      </c>
      <c r="F288" s="61" t="s">
        <v>120</v>
      </c>
      <c r="G288" s="55" t="n">
        <v>230135</v>
      </c>
      <c r="H288" s="58" t="n">
        <v>45435.9189583333</v>
      </c>
      <c r="I288" s="7" t="n">
        <v>0</v>
      </c>
      <c r="J288" s="7" t="n">
        <v>287</v>
      </c>
      <c r="K288" s="7" t="n">
        <v>1</v>
      </c>
      <c r="L288" s="56" t="s">
        <v>120</v>
      </c>
      <c r="M288" s="7" t="n">
        <v>31</v>
      </c>
    </row>
    <row r="289" customFormat="false" ht="14.25" hidden="false" customHeight="false" outlineLevel="0" collapsed="false">
      <c r="A289" s="59" t="n">
        <v>47</v>
      </c>
      <c r="B289" s="59" t="s">
        <v>113</v>
      </c>
      <c r="C289" s="59" t="s">
        <v>114</v>
      </c>
      <c r="D289" s="59" t="n">
        <v>93202</v>
      </c>
      <c r="E289" s="60" t="n">
        <v>200025889448</v>
      </c>
      <c r="F289" s="61" t="s">
        <v>120</v>
      </c>
      <c r="G289" s="55" t="n">
        <v>230135</v>
      </c>
      <c r="H289" s="58" t="n">
        <v>45435.9189583333</v>
      </c>
      <c r="I289" s="7" t="n">
        <v>1</v>
      </c>
      <c r="J289" s="7" t="n">
        <v>288</v>
      </c>
      <c r="K289" s="7" t="n">
        <v>2</v>
      </c>
      <c r="L289" s="56" t="s">
        <v>120</v>
      </c>
      <c r="M289" s="7" t="n">
        <v>31</v>
      </c>
    </row>
    <row r="290" customFormat="false" ht="14.25" hidden="false" customHeight="false" outlineLevel="0" collapsed="false">
      <c r="A290" s="59" t="n">
        <v>48</v>
      </c>
      <c r="B290" s="59" t="s">
        <v>113</v>
      </c>
      <c r="C290" s="59" t="s">
        <v>114</v>
      </c>
      <c r="D290" s="59" t="n">
        <v>93202</v>
      </c>
      <c r="E290" s="60" t="n">
        <v>200025889448</v>
      </c>
      <c r="F290" s="61" t="s">
        <v>120</v>
      </c>
      <c r="G290" s="55" t="n">
        <v>230135</v>
      </c>
      <c r="H290" s="58" t="n">
        <v>45435.9194791667</v>
      </c>
      <c r="I290" s="7" t="n">
        <v>2</v>
      </c>
      <c r="J290" s="7" t="n">
        <v>289</v>
      </c>
      <c r="K290" s="7" t="n">
        <v>3</v>
      </c>
      <c r="L290" s="56" t="s">
        <v>120</v>
      </c>
      <c r="M290" s="7" t="n">
        <v>31</v>
      </c>
    </row>
    <row r="291" customFormat="false" ht="14.25" hidden="false" customHeight="false" outlineLevel="0" collapsed="false">
      <c r="A291" s="59" t="n">
        <v>49</v>
      </c>
      <c r="B291" s="59" t="s">
        <v>113</v>
      </c>
      <c r="C291" s="59" t="s">
        <v>114</v>
      </c>
      <c r="D291" s="59" t="n">
        <v>93202</v>
      </c>
      <c r="E291" s="60" t="n">
        <v>200025889448</v>
      </c>
      <c r="F291" s="61" t="s">
        <v>120</v>
      </c>
      <c r="G291" s="55" t="n">
        <v>230135</v>
      </c>
      <c r="H291" s="58" t="n">
        <v>45435.9196527778</v>
      </c>
      <c r="I291" s="7" t="n">
        <v>1</v>
      </c>
      <c r="J291" s="7" t="n">
        <v>290</v>
      </c>
      <c r="K291" s="7" t="n">
        <v>4</v>
      </c>
      <c r="L291" s="56" t="s">
        <v>120</v>
      </c>
      <c r="M291" s="7" t="n">
        <v>31</v>
      </c>
    </row>
    <row r="292" customFormat="false" ht="14.25" hidden="false" customHeight="false" outlineLevel="0" collapsed="false">
      <c r="A292" s="59" t="n">
        <v>50</v>
      </c>
      <c r="B292" s="59" t="s">
        <v>113</v>
      </c>
      <c r="C292" s="59" t="s">
        <v>114</v>
      </c>
      <c r="D292" s="59" t="n">
        <v>93202</v>
      </c>
      <c r="E292" s="60" t="n">
        <v>200025889448</v>
      </c>
      <c r="F292" s="61" t="s">
        <v>120</v>
      </c>
      <c r="G292" s="55" t="n">
        <v>230135</v>
      </c>
      <c r="H292" s="58" t="n">
        <v>45435.9196643519</v>
      </c>
      <c r="I292" s="7" t="n">
        <v>1830</v>
      </c>
      <c r="J292" s="7" t="n">
        <v>291</v>
      </c>
      <c r="K292" s="7" t="n">
        <v>5</v>
      </c>
      <c r="L292" s="56" t="s">
        <v>120</v>
      </c>
      <c r="M292" s="7" t="n">
        <v>31</v>
      </c>
    </row>
    <row r="293" customFormat="false" ht="14.25" hidden="false" customHeight="false" outlineLevel="0" collapsed="false">
      <c r="A293" s="59" t="n">
        <v>51</v>
      </c>
      <c r="B293" s="59" t="s">
        <v>113</v>
      </c>
      <c r="C293" s="59" t="s">
        <v>114</v>
      </c>
      <c r="D293" s="59" t="n">
        <v>93202</v>
      </c>
      <c r="E293" s="60" t="n">
        <v>200025888730</v>
      </c>
      <c r="F293" s="61" t="s">
        <v>118</v>
      </c>
      <c r="G293" s="55" t="n">
        <v>230134</v>
      </c>
      <c r="H293" s="58" t="n">
        <v>45435.9410532407</v>
      </c>
      <c r="I293" s="7" t="n">
        <v>1</v>
      </c>
      <c r="J293" s="7" t="n">
        <v>292</v>
      </c>
      <c r="K293" s="7" t="n">
        <v>4</v>
      </c>
      <c r="L293" s="56" t="s">
        <v>118</v>
      </c>
      <c r="M293" s="7" t="n">
        <v>29</v>
      </c>
    </row>
    <row r="294" customFormat="false" ht="14.25" hidden="false" customHeight="false" outlineLevel="0" collapsed="false">
      <c r="A294" s="59" t="n">
        <v>52</v>
      </c>
      <c r="B294" s="59" t="s">
        <v>113</v>
      </c>
      <c r="C294" s="59" t="s">
        <v>114</v>
      </c>
      <c r="D294" s="59" t="n">
        <v>93202</v>
      </c>
      <c r="E294" s="60" t="n">
        <v>200025888730</v>
      </c>
      <c r="F294" s="61" t="s">
        <v>118</v>
      </c>
      <c r="G294" s="55" t="n">
        <v>230134</v>
      </c>
      <c r="H294" s="58" t="n">
        <v>45435.9415972222</v>
      </c>
      <c r="I294" s="7" t="n">
        <v>1</v>
      </c>
      <c r="J294" s="7" t="n">
        <v>293</v>
      </c>
      <c r="K294" s="7" t="n">
        <v>5</v>
      </c>
      <c r="L294" s="56" t="s">
        <v>118</v>
      </c>
      <c r="M294" s="7" t="n">
        <v>29</v>
      </c>
    </row>
    <row r="295" customFormat="false" ht="14.25" hidden="false" customHeight="false" outlineLevel="0" collapsed="false">
      <c r="A295" s="59" t="n">
        <v>53</v>
      </c>
      <c r="B295" s="59" t="s">
        <v>113</v>
      </c>
      <c r="C295" s="59" t="s">
        <v>114</v>
      </c>
      <c r="D295" s="59" t="n">
        <v>93202</v>
      </c>
      <c r="E295" s="60" t="n">
        <v>200025888730</v>
      </c>
      <c r="F295" s="61" t="s">
        <v>118</v>
      </c>
      <c r="G295" s="55" t="n">
        <v>230134</v>
      </c>
      <c r="H295" s="58" t="n">
        <v>45435.9417592593</v>
      </c>
      <c r="I295" s="7" t="n">
        <v>0</v>
      </c>
      <c r="J295" s="7" t="n">
        <v>294</v>
      </c>
      <c r="K295" s="7" t="n">
        <v>6</v>
      </c>
      <c r="L295" s="56" t="s">
        <v>118</v>
      </c>
      <c r="M295" s="7" t="n">
        <v>29</v>
      </c>
    </row>
    <row r="296" customFormat="false" ht="14.25" hidden="false" customHeight="false" outlineLevel="0" collapsed="false">
      <c r="A296" s="59" t="n">
        <v>54</v>
      </c>
      <c r="B296" s="59" t="s">
        <v>113</v>
      </c>
      <c r="C296" s="59" t="s">
        <v>114</v>
      </c>
      <c r="D296" s="59" t="n">
        <v>93202</v>
      </c>
      <c r="E296" s="60" t="n">
        <v>200025888730</v>
      </c>
      <c r="F296" s="61" t="s">
        <v>118</v>
      </c>
      <c r="G296" s="55" t="n">
        <v>230134</v>
      </c>
      <c r="H296" s="58" t="n">
        <v>45435.9417708333</v>
      </c>
      <c r="I296" s="7" t="n">
        <v>0</v>
      </c>
      <c r="J296" s="7" t="n">
        <v>295</v>
      </c>
      <c r="K296" s="7" t="n">
        <v>7</v>
      </c>
      <c r="L296" s="56" t="s">
        <v>118</v>
      </c>
      <c r="M296" s="7" t="n">
        <v>29</v>
      </c>
    </row>
    <row r="297" customFormat="false" ht="14.25" hidden="false" customHeight="false" outlineLevel="0" collapsed="false">
      <c r="A297" s="59" t="n">
        <v>55</v>
      </c>
      <c r="B297" s="59" t="s">
        <v>113</v>
      </c>
      <c r="C297" s="59" t="s">
        <v>114</v>
      </c>
      <c r="D297" s="59" t="n">
        <v>93202</v>
      </c>
      <c r="E297" s="60" t="n">
        <v>200025888730</v>
      </c>
      <c r="F297" s="61" t="s">
        <v>118</v>
      </c>
      <c r="G297" s="55" t="n">
        <v>230134</v>
      </c>
      <c r="H297" s="58" t="n">
        <v>45435.9450694444</v>
      </c>
      <c r="I297" s="7" t="n">
        <v>0</v>
      </c>
      <c r="J297" s="7" t="n">
        <v>296</v>
      </c>
      <c r="K297" s="7" t="n">
        <v>8</v>
      </c>
      <c r="L297" s="56" t="s">
        <v>118</v>
      </c>
      <c r="M297" s="7" t="n">
        <v>29</v>
      </c>
    </row>
    <row r="298" customFormat="false" ht="14.25" hidden="false" customHeight="false" outlineLevel="0" collapsed="false">
      <c r="A298" s="59" t="n">
        <v>56</v>
      </c>
      <c r="B298" s="59" t="s">
        <v>113</v>
      </c>
      <c r="C298" s="59" t="s">
        <v>114</v>
      </c>
      <c r="D298" s="59" t="n">
        <v>93202</v>
      </c>
      <c r="E298" s="60" t="n">
        <v>200025888730</v>
      </c>
      <c r="F298" s="61" t="s">
        <v>118</v>
      </c>
      <c r="G298" s="55" t="n">
        <v>230134</v>
      </c>
      <c r="H298" s="58" t="n">
        <v>45436.0546990741</v>
      </c>
      <c r="I298" s="7" t="n">
        <v>0</v>
      </c>
      <c r="J298" s="7" t="n">
        <v>297</v>
      </c>
      <c r="K298" s="7" t="n">
        <v>9</v>
      </c>
      <c r="L298" s="56" t="s">
        <v>118</v>
      </c>
      <c r="M298" s="7" t="n">
        <v>29</v>
      </c>
    </row>
    <row r="299" customFormat="false" ht="14.25" hidden="false" customHeight="false" outlineLevel="0" collapsed="false">
      <c r="A299" s="59" t="n">
        <v>57</v>
      </c>
      <c r="B299" s="59" t="s">
        <v>113</v>
      </c>
      <c r="C299" s="59" t="s">
        <v>114</v>
      </c>
      <c r="D299" s="59" t="n">
        <v>93202</v>
      </c>
      <c r="E299" s="60" t="n">
        <v>200025888730</v>
      </c>
      <c r="F299" s="61" t="s">
        <v>118</v>
      </c>
      <c r="G299" s="55" t="n">
        <v>230134</v>
      </c>
      <c r="H299" s="58" t="n">
        <v>45436.0548958333</v>
      </c>
      <c r="I299" s="7" t="n">
        <v>2</v>
      </c>
      <c r="J299" s="7" t="n">
        <v>298</v>
      </c>
      <c r="K299" s="7" t="n">
        <v>10</v>
      </c>
      <c r="L299" s="56" t="s">
        <v>118</v>
      </c>
      <c r="M299" s="7" t="n">
        <v>29</v>
      </c>
    </row>
    <row r="300" customFormat="false" ht="14.25" hidden="false" customHeight="false" outlineLevel="0" collapsed="false">
      <c r="A300" s="59" t="n">
        <v>58</v>
      </c>
      <c r="B300" s="59" t="s">
        <v>113</v>
      </c>
      <c r="C300" s="59" t="s">
        <v>114</v>
      </c>
      <c r="D300" s="59" t="n">
        <v>93202</v>
      </c>
      <c r="E300" s="60" t="n">
        <v>200025888730</v>
      </c>
      <c r="F300" s="61" t="s">
        <v>118</v>
      </c>
      <c r="G300" s="55" t="n">
        <v>230134</v>
      </c>
      <c r="H300" s="58" t="n">
        <v>45436.0565972222</v>
      </c>
      <c r="I300" s="7" t="n">
        <v>0</v>
      </c>
      <c r="J300" s="7" t="n">
        <v>299</v>
      </c>
      <c r="K300" s="7" t="n">
        <v>11</v>
      </c>
      <c r="L300" s="56" t="s">
        <v>118</v>
      </c>
      <c r="M300" s="7" t="n">
        <v>29</v>
      </c>
    </row>
    <row r="301" customFormat="false" ht="14.25" hidden="false" customHeight="false" outlineLevel="0" collapsed="false">
      <c r="A301" s="59" t="n">
        <v>59</v>
      </c>
      <c r="B301" s="59" t="s">
        <v>113</v>
      </c>
      <c r="C301" s="59" t="s">
        <v>114</v>
      </c>
      <c r="D301" s="59" t="n">
        <v>93202</v>
      </c>
      <c r="E301" s="60" t="n">
        <v>200025888730</v>
      </c>
      <c r="F301" s="61" t="s">
        <v>118</v>
      </c>
      <c r="G301" s="55" t="n">
        <v>230134</v>
      </c>
      <c r="H301" s="58" t="n">
        <v>45436.0571064815</v>
      </c>
      <c r="I301" s="7" t="n">
        <v>1</v>
      </c>
      <c r="J301" s="7" t="n">
        <v>300</v>
      </c>
      <c r="K301" s="7" t="n">
        <v>12</v>
      </c>
      <c r="L301" s="56" t="s">
        <v>118</v>
      </c>
      <c r="M301" s="7" t="n">
        <v>29</v>
      </c>
    </row>
    <row r="302" customFormat="false" ht="14.25" hidden="false" customHeight="false" outlineLevel="0" collapsed="false">
      <c r="A302" s="59" t="n">
        <v>60</v>
      </c>
      <c r="B302" s="59" t="s">
        <v>113</v>
      </c>
      <c r="C302" s="59" t="s">
        <v>114</v>
      </c>
      <c r="D302" s="59" t="n">
        <v>93202</v>
      </c>
      <c r="E302" s="60" t="n">
        <v>200025888730</v>
      </c>
      <c r="F302" s="61" t="s">
        <v>118</v>
      </c>
      <c r="G302" s="55" t="n">
        <v>230134</v>
      </c>
      <c r="H302" s="58" t="n">
        <v>45436.0572337963</v>
      </c>
      <c r="I302" s="7" t="n">
        <v>0</v>
      </c>
      <c r="J302" s="7" t="n">
        <v>301</v>
      </c>
      <c r="K302" s="7" t="n">
        <v>13</v>
      </c>
      <c r="L302" s="56" t="s">
        <v>118</v>
      </c>
      <c r="M302" s="7" t="n">
        <v>29</v>
      </c>
    </row>
    <row r="303" customFormat="false" ht="14.25" hidden="false" customHeight="false" outlineLevel="0" collapsed="false">
      <c r="A303" s="59" t="n">
        <v>61</v>
      </c>
      <c r="B303" s="59" t="s">
        <v>113</v>
      </c>
      <c r="C303" s="59" t="s">
        <v>114</v>
      </c>
      <c r="D303" s="59" t="n">
        <v>93202</v>
      </c>
      <c r="E303" s="60" t="n">
        <v>200025888730</v>
      </c>
      <c r="F303" s="61" t="s">
        <v>118</v>
      </c>
      <c r="G303" s="55" t="n">
        <v>230134</v>
      </c>
      <c r="H303" s="58" t="n">
        <v>45436.0574074074</v>
      </c>
      <c r="I303" s="7" t="n">
        <v>1</v>
      </c>
      <c r="J303" s="7" t="n">
        <v>302</v>
      </c>
      <c r="K303" s="7" t="n">
        <v>14</v>
      </c>
      <c r="L303" s="56" t="s">
        <v>118</v>
      </c>
      <c r="M303" s="7" t="n">
        <v>29</v>
      </c>
    </row>
    <row r="304" customFormat="false" ht="14.25" hidden="false" customHeight="false" outlineLevel="0" collapsed="false">
      <c r="A304" s="59" t="n">
        <v>62</v>
      </c>
      <c r="B304" s="59" t="s">
        <v>113</v>
      </c>
      <c r="C304" s="59" t="s">
        <v>114</v>
      </c>
      <c r="D304" s="59" t="n">
        <v>93202</v>
      </c>
      <c r="E304" s="60" t="n">
        <v>200025888730</v>
      </c>
      <c r="F304" s="61" t="s">
        <v>118</v>
      </c>
      <c r="G304" s="55" t="n">
        <v>230134</v>
      </c>
      <c r="H304" s="58" t="n">
        <v>45436.0578587963</v>
      </c>
      <c r="I304" s="7" t="n">
        <v>2</v>
      </c>
      <c r="J304" s="7" t="n">
        <v>303</v>
      </c>
      <c r="K304" s="7" t="n">
        <v>15</v>
      </c>
      <c r="L304" s="56" t="s">
        <v>118</v>
      </c>
      <c r="M304" s="7" t="n">
        <v>29</v>
      </c>
    </row>
    <row r="305" customFormat="false" ht="14.25" hidden="false" customHeight="false" outlineLevel="0" collapsed="false">
      <c r="A305" s="59" t="n">
        <v>63</v>
      </c>
      <c r="B305" s="59" t="s">
        <v>113</v>
      </c>
      <c r="C305" s="59" t="s">
        <v>114</v>
      </c>
      <c r="D305" s="59" t="n">
        <v>93202</v>
      </c>
      <c r="E305" s="60" t="n">
        <v>200025888730</v>
      </c>
      <c r="F305" s="61" t="s">
        <v>118</v>
      </c>
      <c r="G305" s="55" t="n">
        <v>230134</v>
      </c>
      <c r="H305" s="58" t="n">
        <v>45436.0615393518</v>
      </c>
      <c r="I305" s="7" t="n">
        <v>1</v>
      </c>
      <c r="J305" s="7" t="n">
        <v>304</v>
      </c>
      <c r="K305" s="7" t="n">
        <v>16</v>
      </c>
      <c r="L305" s="56" t="s">
        <v>118</v>
      </c>
      <c r="M305" s="7" t="n">
        <v>29</v>
      </c>
    </row>
    <row r="306" customFormat="false" ht="14.25" hidden="false" customHeight="false" outlineLevel="0" collapsed="false">
      <c r="A306" s="59" t="n">
        <v>64</v>
      </c>
      <c r="B306" s="59" t="s">
        <v>113</v>
      </c>
      <c r="C306" s="59" t="s">
        <v>114</v>
      </c>
      <c r="D306" s="59" t="n">
        <v>93202</v>
      </c>
      <c r="E306" s="60" t="n">
        <v>200025889448</v>
      </c>
      <c r="F306" s="61" t="s">
        <v>120</v>
      </c>
      <c r="G306" s="55" t="n">
        <v>230135</v>
      </c>
      <c r="H306" s="58" t="n">
        <v>45436.0827083333</v>
      </c>
      <c r="I306" s="7" t="n">
        <v>0</v>
      </c>
      <c r="J306" s="7" t="n">
        <v>305</v>
      </c>
      <c r="K306" s="7" t="n">
        <v>6</v>
      </c>
      <c r="L306" s="56" t="s">
        <v>120</v>
      </c>
      <c r="M306" s="7" t="n">
        <v>31</v>
      </c>
    </row>
    <row r="307" customFormat="false" ht="14.25" hidden="false" customHeight="false" outlineLevel="0" collapsed="false">
      <c r="A307" s="59" t="n">
        <v>65</v>
      </c>
      <c r="B307" s="59" t="s">
        <v>113</v>
      </c>
      <c r="C307" s="59" t="s">
        <v>114</v>
      </c>
      <c r="D307" s="59" t="n">
        <v>93202</v>
      </c>
      <c r="E307" s="60" t="n">
        <v>200025889448</v>
      </c>
      <c r="F307" s="61" t="s">
        <v>120</v>
      </c>
      <c r="G307" s="55" t="n">
        <v>230135</v>
      </c>
      <c r="H307" s="58" t="n">
        <v>45436.0828819444</v>
      </c>
      <c r="I307" s="7" t="n">
        <v>10</v>
      </c>
      <c r="J307" s="7" t="n">
        <v>306</v>
      </c>
      <c r="K307" s="7" t="n">
        <v>7</v>
      </c>
      <c r="L307" s="56" t="s">
        <v>120</v>
      </c>
      <c r="M307" s="7" t="n">
        <v>31</v>
      </c>
    </row>
    <row r="308" customFormat="false" ht="14.25" hidden="false" customHeight="false" outlineLevel="0" collapsed="false">
      <c r="A308" s="59" t="n">
        <v>66</v>
      </c>
      <c r="B308" s="59" t="s">
        <v>113</v>
      </c>
      <c r="C308" s="59" t="s">
        <v>114</v>
      </c>
      <c r="D308" s="59" t="n">
        <v>93202</v>
      </c>
      <c r="E308" s="60" t="n">
        <v>200025889448</v>
      </c>
      <c r="F308" s="61" t="s">
        <v>120</v>
      </c>
      <c r="G308" s="55" t="n">
        <v>230135</v>
      </c>
      <c r="H308" s="58" t="n">
        <v>45436.0829976852</v>
      </c>
      <c r="I308" s="7" t="n">
        <v>1</v>
      </c>
      <c r="J308" s="7" t="n">
        <v>307</v>
      </c>
      <c r="K308" s="7" t="n">
        <v>8</v>
      </c>
      <c r="L308" s="56" t="s">
        <v>120</v>
      </c>
      <c r="M308" s="7" t="n">
        <v>31</v>
      </c>
    </row>
    <row r="309" customFormat="false" ht="14.25" hidden="false" customHeight="false" outlineLevel="0" collapsed="false">
      <c r="A309" s="59" t="n">
        <v>67</v>
      </c>
      <c r="B309" s="59" t="s">
        <v>113</v>
      </c>
      <c r="C309" s="59" t="s">
        <v>114</v>
      </c>
      <c r="D309" s="59" t="n">
        <v>93202</v>
      </c>
      <c r="E309" s="60" t="n">
        <v>200025889448</v>
      </c>
      <c r="F309" s="61" t="s">
        <v>120</v>
      </c>
      <c r="G309" s="55" t="n">
        <v>230135</v>
      </c>
      <c r="H309" s="58" t="n">
        <v>45436.0852199074</v>
      </c>
      <c r="I309" s="7" t="n">
        <v>0</v>
      </c>
      <c r="J309" s="7" t="n">
        <v>308</v>
      </c>
      <c r="K309" s="7" t="n">
        <v>9</v>
      </c>
      <c r="L309" s="56" t="s">
        <v>120</v>
      </c>
      <c r="M309" s="7" t="n">
        <v>31</v>
      </c>
    </row>
    <row r="310" customFormat="false" ht="14.25" hidden="false" customHeight="false" outlineLevel="0" collapsed="false">
      <c r="A310" s="59" t="n">
        <v>68</v>
      </c>
      <c r="B310" s="59" t="s">
        <v>113</v>
      </c>
      <c r="C310" s="59" t="s">
        <v>114</v>
      </c>
      <c r="D310" s="59" t="n">
        <v>93202</v>
      </c>
      <c r="E310" s="60" t="n">
        <v>200025889448</v>
      </c>
      <c r="F310" s="61" t="s">
        <v>120</v>
      </c>
      <c r="G310" s="55" t="n">
        <v>230135</v>
      </c>
      <c r="H310" s="58" t="n">
        <v>45436.0852314815</v>
      </c>
      <c r="I310" s="7" t="n">
        <v>1291</v>
      </c>
      <c r="J310" s="7" t="n">
        <v>309</v>
      </c>
      <c r="K310" s="7" t="n">
        <v>10</v>
      </c>
      <c r="L310" s="56" t="s">
        <v>120</v>
      </c>
      <c r="M310" s="7" t="n">
        <v>31</v>
      </c>
    </row>
    <row r="311" s="1" customFormat="true" ht="14.25" hidden="false" customHeight="false" outlineLevel="0" collapsed="false">
      <c r="A311" s="59" t="n">
        <v>69</v>
      </c>
      <c r="B311" s="59" t="s">
        <v>113</v>
      </c>
      <c r="C311" s="59" t="s">
        <v>114</v>
      </c>
      <c r="D311" s="59" t="n">
        <v>93202</v>
      </c>
      <c r="E311" s="60" t="n">
        <v>200025889417</v>
      </c>
      <c r="F311" s="61" t="s">
        <v>116</v>
      </c>
      <c r="G311" s="55" t="n">
        <v>230102</v>
      </c>
      <c r="H311" s="58" t="n">
        <v>45436.1836458333</v>
      </c>
      <c r="I311" s="7" t="n">
        <v>1</v>
      </c>
      <c r="J311" s="7" t="n">
        <v>310</v>
      </c>
      <c r="K311" s="7" t="n">
        <v>11</v>
      </c>
      <c r="L311" s="56" t="s">
        <v>116</v>
      </c>
      <c r="M311" s="7" t="n">
        <v>27</v>
      </c>
    </row>
    <row r="312" s="1" customFormat="true" ht="14.25" hidden="false" customHeight="false" outlineLevel="0" collapsed="false">
      <c r="A312" s="59" t="n">
        <v>70</v>
      </c>
      <c r="B312" s="59" t="s">
        <v>113</v>
      </c>
      <c r="C312" s="59" t="s">
        <v>114</v>
      </c>
      <c r="D312" s="59" t="n">
        <v>93202</v>
      </c>
      <c r="E312" s="60" t="n">
        <v>200025889417</v>
      </c>
      <c r="F312" s="61" t="s">
        <v>116</v>
      </c>
      <c r="G312" s="55" t="n">
        <v>230102</v>
      </c>
      <c r="H312" s="58" t="n">
        <v>45436.1837847222</v>
      </c>
      <c r="I312" s="7" t="n">
        <v>17</v>
      </c>
      <c r="J312" s="7" t="n">
        <v>311</v>
      </c>
      <c r="K312" s="7" t="n">
        <v>12</v>
      </c>
      <c r="L312" s="56" t="s">
        <v>116</v>
      </c>
      <c r="M312" s="7" t="n">
        <v>27</v>
      </c>
    </row>
    <row r="313" s="1" customFormat="true" ht="14.25" hidden="false" customHeight="false" outlineLevel="0" collapsed="false">
      <c r="A313" s="59" t="n">
        <v>71</v>
      </c>
      <c r="B313" s="59" t="s">
        <v>113</v>
      </c>
      <c r="C313" s="59" t="s">
        <v>114</v>
      </c>
      <c r="D313" s="59" t="n">
        <v>93202</v>
      </c>
      <c r="E313" s="60" t="n">
        <v>200025889417</v>
      </c>
      <c r="F313" s="61" t="s">
        <v>116</v>
      </c>
      <c r="G313" s="55" t="n">
        <v>230102</v>
      </c>
      <c r="H313" s="58" t="n">
        <v>45436.1841666667</v>
      </c>
      <c r="I313" s="7" t="n">
        <v>0</v>
      </c>
      <c r="J313" s="7" t="n">
        <v>312</v>
      </c>
      <c r="K313" s="7" t="n">
        <v>13</v>
      </c>
      <c r="L313" s="56" t="s">
        <v>116</v>
      </c>
      <c r="M313" s="7" t="n">
        <v>27</v>
      </c>
    </row>
    <row r="314" s="1" customFormat="true" ht="14.25" hidden="false" customHeight="false" outlineLevel="0" collapsed="false">
      <c r="A314" s="7"/>
      <c r="B314" s="7"/>
      <c r="C314" s="7"/>
      <c r="D314" s="7"/>
      <c r="E314" s="55"/>
      <c r="F314" s="56"/>
      <c r="G314" s="55"/>
      <c r="H314" s="7"/>
      <c r="I314" s="7"/>
      <c r="J314" s="7"/>
      <c r="K314" s="7"/>
      <c r="L314" s="56"/>
      <c r="M314" s="7"/>
    </row>
    <row r="315" s="1" customFormat="true" ht="14.25" hidden="false" customHeight="false" outlineLevel="0" collapsed="false">
      <c r="A315" s="7"/>
      <c r="B315" s="7"/>
      <c r="C315" s="7"/>
      <c r="D315" s="7"/>
      <c r="E315" s="55"/>
      <c r="F315" s="56"/>
      <c r="G315" s="55"/>
      <c r="H315" s="7"/>
      <c r="I315" s="7"/>
      <c r="J315" s="7"/>
      <c r="K315" s="7"/>
      <c r="L315" s="56"/>
      <c r="M315" s="7"/>
    </row>
    <row r="316" s="1" customFormat="true" ht="14.25" hidden="false" customHeight="false" outlineLevel="0" collapsed="false">
      <c r="A316" s="7"/>
      <c r="B316" s="7"/>
      <c r="C316" s="7"/>
      <c r="D316" s="7"/>
      <c r="E316" s="55"/>
      <c r="F316" s="56"/>
      <c r="G316" s="55"/>
      <c r="H316" s="7"/>
      <c r="I316" s="7"/>
      <c r="J316" s="7"/>
      <c r="K316" s="7"/>
      <c r="L316" s="56"/>
      <c r="M316" s="7"/>
    </row>
    <row r="317" s="1" customFormat="true" ht="14.25" hidden="false" customHeight="false" outlineLevel="0" collapsed="false">
      <c r="A317" s="7"/>
      <c r="B317" s="7"/>
      <c r="C317" s="7"/>
      <c r="D317" s="7"/>
      <c r="E317" s="55"/>
      <c r="F317" s="56"/>
      <c r="G317" s="55"/>
      <c r="H317" s="7"/>
      <c r="I317" s="7"/>
      <c r="J317" s="7"/>
      <c r="K317" s="7"/>
      <c r="L317" s="56"/>
      <c r="M317" s="7"/>
    </row>
    <row r="318" s="1" customFormat="true" ht="14.25" hidden="false" customHeight="false" outlineLevel="0" collapsed="false">
      <c r="A318" s="7"/>
      <c r="B318" s="7"/>
      <c r="C318" s="7"/>
      <c r="D318" s="7"/>
      <c r="E318" s="55"/>
      <c r="F318" s="56"/>
      <c r="G318" s="55"/>
      <c r="H318" s="7"/>
      <c r="I318" s="7"/>
      <c r="J318" s="7"/>
      <c r="K318" s="7"/>
      <c r="L318" s="56"/>
      <c r="M318" s="7"/>
    </row>
    <row r="319" s="1" customFormat="true" ht="14.25" hidden="false" customHeight="false" outlineLevel="0" collapsed="false">
      <c r="A319" s="7"/>
      <c r="B319" s="7"/>
      <c r="C319" s="7"/>
      <c r="D319" s="7"/>
      <c r="E319" s="55"/>
      <c r="F319" s="56"/>
      <c r="G319" s="55"/>
      <c r="H319" s="7"/>
      <c r="I319" s="7"/>
      <c r="J319" s="7"/>
      <c r="K319" s="7"/>
      <c r="L319" s="56"/>
      <c r="M319" s="7"/>
    </row>
    <row r="320" s="1" customFormat="true" ht="14.25" hidden="false" customHeight="false" outlineLevel="0" collapsed="false">
      <c r="A320" s="7"/>
      <c r="B320" s="7"/>
      <c r="C320" s="7"/>
      <c r="D320" s="7"/>
      <c r="E320" s="55"/>
      <c r="F320" s="56"/>
      <c r="G320" s="55"/>
      <c r="H320" s="7"/>
      <c r="I320" s="7"/>
      <c r="J320" s="7"/>
      <c r="K320" s="7"/>
      <c r="L320" s="56"/>
      <c r="M320" s="7"/>
    </row>
    <row r="321" s="1" customFormat="true" ht="14.25" hidden="false" customHeight="false" outlineLevel="0" collapsed="false">
      <c r="A321" s="7"/>
      <c r="B321" s="7"/>
      <c r="C321" s="7"/>
      <c r="D321" s="7"/>
      <c r="E321" s="55"/>
      <c r="F321" s="56"/>
      <c r="G321" s="55"/>
      <c r="H321" s="7"/>
      <c r="I321" s="7"/>
      <c r="J321" s="7"/>
      <c r="K321" s="7"/>
      <c r="L321" s="56"/>
      <c r="M321" s="7"/>
    </row>
    <row r="322" s="1" customFormat="true" ht="14.25" hidden="false" customHeight="false" outlineLevel="0" collapsed="false">
      <c r="A322" s="7"/>
      <c r="B322" s="7"/>
      <c r="C322" s="7"/>
      <c r="D322" s="7"/>
      <c r="E322" s="55"/>
      <c r="F322" s="56"/>
      <c r="G322" s="55"/>
      <c r="H322" s="7"/>
      <c r="I322" s="7"/>
      <c r="J322" s="7"/>
      <c r="K322" s="7"/>
      <c r="L322" s="56"/>
      <c r="M322" s="7"/>
    </row>
    <row r="323" s="1" customFormat="true" ht="14.25" hidden="false" customHeight="false" outlineLevel="0" collapsed="false">
      <c r="A323" s="7"/>
      <c r="B323" s="7"/>
      <c r="C323" s="7"/>
      <c r="D323" s="7"/>
      <c r="E323" s="55"/>
      <c r="F323" s="56"/>
      <c r="G323" s="55"/>
      <c r="H323" s="7"/>
      <c r="I323" s="7"/>
      <c r="J323" s="7"/>
      <c r="K323" s="7"/>
      <c r="L323" s="56"/>
      <c r="M323" s="7"/>
    </row>
    <row r="324" s="1" customFormat="true" ht="14.25" hidden="false" customHeight="false" outlineLevel="0" collapsed="false">
      <c r="A324" s="7"/>
      <c r="B324" s="7"/>
      <c r="C324" s="7"/>
      <c r="D324" s="7"/>
      <c r="E324" s="55"/>
      <c r="F324" s="56"/>
      <c r="G324" s="55"/>
      <c r="H324" s="7"/>
      <c r="I324" s="7"/>
      <c r="J324" s="7"/>
      <c r="K324" s="7"/>
      <c r="L324" s="56"/>
      <c r="M324" s="7"/>
    </row>
    <row r="325" s="1" customFormat="true" ht="14.25" hidden="false" customHeight="false" outlineLevel="0" collapsed="false">
      <c r="A325" s="7"/>
      <c r="B325" s="7"/>
      <c r="C325" s="7"/>
      <c r="D325" s="7"/>
      <c r="E325" s="55"/>
      <c r="F325" s="56"/>
      <c r="G325" s="55"/>
      <c r="H325" s="7"/>
      <c r="I325" s="7"/>
      <c r="J325" s="7"/>
      <c r="K325" s="7"/>
      <c r="L325" s="56"/>
      <c r="M325" s="7"/>
    </row>
    <row r="326" s="1" customFormat="true" ht="14.25" hidden="false" customHeight="false" outlineLevel="0" collapsed="false">
      <c r="A326" s="7"/>
      <c r="B326" s="7"/>
      <c r="C326" s="7"/>
      <c r="D326" s="7"/>
      <c r="E326" s="55"/>
      <c r="F326" s="56"/>
      <c r="G326" s="55"/>
      <c r="H326" s="7"/>
      <c r="I326" s="7"/>
      <c r="J326" s="7"/>
      <c r="K326" s="7"/>
      <c r="L326" s="56"/>
      <c r="M326" s="7"/>
    </row>
    <row r="327" s="1" customFormat="true" ht="14.25" hidden="false" customHeight="false" outlineLevel="0" collapsed="false">
      <c r="A327" s="7"/>
      <c r="B327" s="7"/>
      <c r="C327" s="7"/>
      <c r="D327" s="7"/>
      <c r="E327" s="55"/>
      <c r="F327" s="56"/>
      <c r="G327" s="55"/>
      <c r="H327" s="7"/>
      <c r="I327" s="7"/>
      <c r="J327" s="7"/>
      <c r="K327" s="7"/>
      <c r="L327" s="56"/>
      <c r="M327" s="7"/>
    </row>
    <row r="328" s="1" customFormat="true" ht="14.25" hidden="false" customHeight="false" outlineLevel="0" collapsed="false">
      <c r="A328" s="7"/>
      <c r="B328" s="7"/>
      <c r="C328" s="7"/>
      <c r="D328" s="7"/>
      <c r="E328" s="55"/>
      <c r="F328" s="56"/>
      <c r="G328" s="55"/>
      <c r="H328" s="7"/>
      <c r="I328" s="7"/>
      <c r="J328" s="7"/>
      <c r="K328" s="7"/>
      <c r="L328" s="56"/>
      <c r="M328" s="7"/>
    </row>
    <row r="329" s="1" customFormat="true" ht="14.25" hidden="false" customHeight="false" outlineLevel="0" collapsed="false">
      <c r="A329" s="7"/>
      <c r="B329" s="7"/>
      <c r="C329" s="7"/>
      <c r="D329" s="7"/>
      <c r="E329" s="55"/>
      <c r="F329" s="56"/>
      <c r="G329" s="55"/>
      <c r="H329" s="7"/>
      <c r="I329" s="7"/>
      <c r="J329" s="7"/>
      <c r="K329" s="7"/>
      <c r="L329" s="56"/>
      <c r="M329" s="7"/>
    </row>
    <row r="330" s="1" customFormat="true" ht="14.25" hidden="false" customHeight="false" outlineLevel="0" collapsed="false">
      <c r="A330" s="7"/>
      <c r="B330" s="7"/>
      <c r="C330" s="7"/>
      <c r="D330" s="7"/>
      <c r="E330" s="55"/>
      <c r="F330" s="56"/>
      <c r="G330" s="55"/>
      <c r="H330" s="7"/>
      <c r="I330" s="7"/>
      <c r="J330" s="7"/>
      <c r="K330" s="7"/>
      <c r="L330" s="56"/>
      <c r="M330" s="7"/>
    </row>
    <row r="331" s="1" customFormat="true" ht="14.25" hidden="false" customHeight="false" outlineLevel="0" collapsed="false">
      <c r="A331" s="7"/>
      <c r="B331" s="7"/>
      <c r="C331" s="7"/>
      <c r="D331" s="7"/>
      <c r="E331" s="55"/>
      <c r="F331" s="56"/>
      <c r="G331" s="55"/>
      <c r="H331" s="7"/>
      <c r="I331" s="7"/>
      <c r="J331" s="7"/>
      <c r="K331" s="7"/>
      <c r="L331" s="56"/>
      <c r="M331" s="7"/>
    </row>
    <row r="332" s="1" customFormat="true" ht="14.25" hidden="false" customHeight="false" outlineLevel="0" collapsed="false">
      <c r="A332" s="7"/>
      <c r="B332" s="7"/>
      <c r="C332" s="7"/>
      <c r="D332" s="7"/>
      <c r="E332" s="55"/>
      <c r="F332" s="56"/>
      <c r="G332" s="55"/>
      <c r="H332" s="7"/>
      <c r="I332" s="7"/>
      <c r="J332" s="7"/>
      <c r="K332" s="7"/>
      <c r="L332" s="56"/>
      <c r="M332" s="7"/>
    </row>
    <row r="333" s="1" customFormat="true" ht="14.25" hidden="false" customHeight="false" outlineLevel="0" collapsed="false">
      <c r="A333" s="7"/>
      <c r="B333" s="7"/>
      <c r="C333" s="7"/>
      <c r="D333" s="7"/>
      <c r="E333" s="55"/>
      <c r="F333" s="56"/>
      <c r="G333" s="55"/>
      <c r="H333" s="7"/>
      <c r="I333" s="7"/>
      <c r="J333" s="7"/>
      <c r="K333" s="7"/>
      <c r="L333" s="56"/>
      <c r="M333" s="7"/>
    </row>
    <row r="334" s="1" customFormat="true" ht="14.25" hidden="false" customHeight="false" outlineLevel="0" collapsed="false">
      <c r="A334" s="7"/>
      <c r="B334" s="7"/>
      <c r="C334" s="7"/>
      <c r="D334" s="7"/>
      <c r="E334" s="55"/>
      <c r="F334" s="56"/>
      <c r="G334" s="55"/>
      <c r="H334" s="7"/>
      <c r="I334" s="7"/>
      <c r="J334" s="7"/>
      <c r="K334" s="7"/>
      <c r="L334" s="56"/>
      <c r="M334" s="7"/>
    </row>
    <row r="335" s="1" customFormat="true" ht="14.25" hidden="false" customHeight="false" outlineLevel="0" collapsed="false">
      <c r="A335" s="7"/>
      <c r="B335" s="7"/>
      <c r="C335" s="7"/>
      <c r="D335" s="7"/>
      <c r="E335" s="55"/>
      <c r="F335" s="56"/>
      <c r="G335" s="55"/>
      <c r="H335" s="7"/>
      <c r="I335" s="7"/>
      <c r="J335" s="7"/>
      <c r="K335" s="7"/>
      <c r="L335" s="56"/>
      <c r="M335" s="7"/>
    </row>
    <row r="336" s="1" customFormat="true" ht="14.25" hidden="false" customHeight="false" outlineLevel="0" collapsed="false">
      <c r="A336" s="7"/>
      <c r="B336" s="7"/>
      <c r="C336" s="7"/>
      <c r="D336" s="7"/>
      <c r="E336" s="55"/>
      <c r="F336" s="56"/>
      <c r="G336" s="55"/>
      <c r="H336" s="7"/>
      <c r="I336" s="7"/>
      <c r="J336" s="7"/>
      <c r="K336" s="7"/>
      <c r="L336" s="56"/>
      <c r="M336" s="7"/>
    </row>
    <row r="337" s="1" customFormat="true" ht="14.25" hidden="false" customHeight="false" outlineLevel="0" collapsed="false">
      <c r="A337" s="7"/>
      <c r="B337" s="7"/>
      <c r="C337" s="7"/>
      <c r="D337" s="7"/>
      <c r="E337" s="55"/>
      <c r="F337" s="56"/>
      <c r="G337" s="55"/>
      <c r="H337" s="7"/>
      <c r="I337" s="7"/>
      <c r="J337" s="7"/>
      <c r="K337" s="7"/>
      <c r="L337" s="56"/>
      <c r="M337" s="7"/>
    </row>
    <row r="338" s="1" customFormat="true" ht="14.25" hidden="false" customHeight="false" outlineLevel="0" collapsed="false">
      <c r="A338" s="7"/>
      <c r="B338" s="7"/>
      <c r="C338" s="7"/>
      <c r="D338" s="7"/>
      <c r="E338" s="55"/>
      <c r="F338" s="56"/>
      <c r="G338" s="55"/>
      <c r="H338" s="7"/>
      <c r="I338" s="7"/>
      <c r="J338" s="7"/>
      <c r="K338" s="7"/>
      <c r="L338" s="56"/>
      <c r="M338" s="7"/>
    </row>
    <row r="339" s="1" customFormat="true" ht="14.25" hidden="false" customHeight="false" outlineLevel="0" collapsed="false">
      <c r="A339" s="7"/>
      <c r="B339" s="7"/>
      <c r="C339" s="7"/>
      <c r="D339" s="7"/>
      <c r="E339" s="55"/>
      <c r="F339" s="56"/>
      <c r="G339" s="55"/>
      <c r="H339" s="7"/>
      <c r="I339" s="7"/>
      <c r="J339" s="7"/>
      <c r="K339" s="7"/>
      <c r="L339" s="56"/>
      <c r="M339" s="7"/>
    </row>
    <row r="340" s="1" customFormat="true" ht="14.25" hidden="false" customHeight="false" outlineLevel="0" collapsed="false">
      <c r="A340" s="7"/>
      <c r="B340" s="7"/>
      <c r="C340" s="7"/>
      <c r="D340" s="7"/>
      <c r="E340" s="55"/>
      <c r="F340" s="56"/>
      <c r="G340" s="55"/>
      <c r="H340" s="7"/>
      <c r="I340" s="7"/>
      <c r="J340" s="7"/>
      <c r="K340" s="7"/>
      <c r="L340" s="56"/>
      <c r="M340" s="7"/>
    </row>
    <row r="341" s="1" customFormat="true" ht="14.25" hidden="false" customHeight="false" outlineLevel="0" collapsed="false">
      <c r="A341" s="7"/>
      <c r="B341" s="7"/>
      <c r="C341" s="7"/>
      <c r="D341" s="7"/>
      <c r="E341" s="55"/>
      <c r="F341" s="56"/>
      <c r="G341" s="55"/>
      <c r="H341" s="7"/>
      <c r="I341" s="7"/>
      <c r="J341" s="7"/>
      <c r="K341" s="7"/>
      <c r="L341" s="56"/>
      <c r="M341" s="7"/>
    </row>
    <row r="342" s="1" customFormat="true" ht="14.25" hidden="false" customHeight="false" outlineLevel="0" collapsed="false">
      <c r="A342" s="7"/>
      <c r="B342" s="7"/>
      <c r="C342" s="7"/>
      <c r="D342" s="7"/>
      <c r="E342" s="55"/>
      <c r="F342" s="56"/>
      <c r="G342" s="55"/>
      <c r="H342" s="7"/>
      <c r="I342" s="7"/>
      <c r="J342" s="7"/>
      <c r="K342" s="7"/>
      <c r="L342" s="56"/>
      <c r="M342" s="7"/>
    </row>
    <row r="343" s="1" customFormat="true" ht="14.25" hidden="false" customHeight="false" outlineLevel="0" collapsed="false">
      <c r="A343" s="7"/>
      <c r="B343" s="7"/>
      <c r="C343" s="7"/>
      <c r="D343" s="7"/>
      <c r="E343" s="55"/>
      <c r="F343" s="56"/>
      <c r="G343" s="55"/>
      <c r="H343" s="7"/>
      <c r="I343" s="7"/>
      <c r="J343" s="7"/>
      <c r="K343" s="7"/>
      <c r="L343" s="56"/>
      <c r="M343" s="7"/>
    </row>
    <row r="344" s="1" customFormat="true" ht="14.25" hidden="false" customHeight="false" outlineLevel="0" collapsed="false">
      <c r="A344" s="7"/>
      <c r="B344" s="7"/>
      <c r="C344" s="7"/>
      <c r="D344" s="7"/>
      <c r="E344" s="55"/>
      <c r="F344" s="56"/>
      <c r="G344" s="55"/>
      <c r="H344" s="7"/>
      <c r="I344" s="7"/>
      <c r="J344" s="7"/>
      <c r="K344" s="7"/>
      <c r="L344" s="56"/>
      <c r="M344" s="7"/>
    </row>
    <row r="345" s="1" customFormat="true" ht="14.25" hidden="false" customHeight="false" outlineLevel="0" collapsed="false">
      <c r="A345" s="7"/>
      <c r="B345" s="7"/>
      <c r="C345" s="7"/>
      <c r="D345" s="7"/>
      <c r="E345" s="55"/>
      <c r="F345" s="56"/>
      <c r="G345" s="55"/>
      <c r="H345" s="7"/>
      <c r="I345" s="7"/>
      <c r="J345" s="7"/>
      <c r="K345" s="7"/>
      <c r="L345" s="56"/>
      <c r="M345" s="7"/>
    </row>
    <row r="346" s="1" customFormat="true" ht="14.25" hidden="false" customHeight="false" outlineLevel="0" collapsed="false">
      <c r="A346" s="7"/>
      <c r="B346" s="7"/>
      <c r="C346" s="7"/>
      <c r="D346" s="7"/>
      <c r="E346" s="55"/>
      <c r="F346" s="56"/>
      <c r="G346" s="55"/>
      <c r="H346" s="7"/>
      <c r="I346" s="7"/>
      <c r="J346" s="7"/>
      <c r="K346" s="7"/>
      <c r="L346" s="56"/>
      <c r="M346" s="7"/>
    </row>
    <row r="347" s="1" customFormat="true" ht="14.25" hidden="false" customHeight="false" outlineLevel="0" collapsed="false">
      <c r="A347" s="7"/>
      <c r="B347" s="7"/>
      <c r="C347" s="7"/>
      <c r="D347" s="7"/>
      <c r="E347" s="55"/>
      <c r="F347" s="56"/>
      <c r="G347" s="55"/>
      <c r="H347" s="7"/>
      <c r="I347" s="7"/>
      <c r="J347" s="7"/>
      <c r="K347" s="7"/>
      <c r="L347" s="56"/>
      <c r="M347" s="7"/>
    </row>
    <row r="348" s="1" customFormat="true" ht="14.25" hidden="false" customHeight="false" outlineLevel="0" collapsed="false">
      <c r="A348" s="7"/>
      <c r="B348" s="7"/>
      <c r="C348" s="7"/>
      <c r="D348" s="7"/>
      <c r="E348" s="55"/>
      <c r="F348" s="56"/>
      <c r="G348" s="55"/>
      <c r="H348" s="7"/>
      <c r="I348" s="7"/>
      <c r="J348" s="7"/>
      <c r="K348" s="7"/>
      <c r="L348" s="56"/>
      <c r="M348" s="7"/>
    </row>
    <row r="349" s="1" customFormat="true" ht="14.25" hidden="false" customHeight="false" outlineLevel="0" collapsed="false">
      <c r="A349" s="7"/>
      <c r="B349" s="7"/>
      <c r="C349" s="7"/>
      <c r="D349" s="7"/>
      <c r="E349" s="55"/>
      <c r="F349" s="56"/>
      <c r="G349" s="55"/>
      <c r="H349" s="7"/>
      <c r="I349" s="7"/>
      <c r="J349" s="7"/>
      <c r="K349" s="7"/>
      <c r="L349" s="56"/>
      <c r="M349" s="7"/>
    </row>
    <row r="350" s="1" customFormat="true" ht="14.25" hidden="false" customHeight="false" outlineLevel="0" collapsed="false">
      <c r="A350" s="7"/>
      <c r="B350" s="7"/>
      <c r="C350" s="7"/>
      <c r="D350" s="7"/>
      <c r="E350" s="55"/>
      <c r="F350" s="56"/>
      <c r="G350" s="55"/>
      <c r="H350" s="7"/>
      <c r="I350" s="7"/>
      <c r="J350" s="7"/>
      <c r="K350" s="7"/>
      <c r="L350" s="56"/>
      <c r="M350" s="7"/>
    </row>
    <row r="351" s="1" customFormat="true" ht="14.25" hidden="false" customHeight="false" outlineLevel="0" collapsed="false">
      <c r="A351" s="7"/>
      <c r="B351" s="7"/>
      <c r="C351" s="7"/>
      <c r="D351" s="7"/>
      <c r="E351" s="55"/>
      <c r="F351" s="56"/>
      <c r="G351" s="55"/>
      <c r="H351" s="7"/>
      <c r="I351" s="7"/>
      <c r="J351" s="7"/>
      <c r="K351" s="7"/>
      <c r="L351" s="56"/>
      <c r="M351" s="7"/>
    </row>
    <row r="352" s="1" customFormat="true" ht="14.25" hidden="false" customHeight="false" outlineLevel="0" collapsed="false">
      <c r="A352" s="7"/>
      <c r="B352" s="7"/>
      <c r="C352" s="7"/>
      <c r="D352" s="7"/>
      <c r="E352" s="55"/>
      <c r="F352" s="56"/>
      <c r="G352" s="55"/>
      <c r="H352" s="7"/>
      <c r="I352" s="7"/>
      <c r="J352" s="7"/>
      <c r="K352" s="7"/>
      <c r="L352" s="56"/>
      <c r="M352" s="7"/>
    </row>
    <row r="353" s="1" customFormat="true" ht="14.25" hidden="false" customHeight="false" outlineLevel="0" collapsed="false">
      <c r="A353" s="7"/>
      <c r="B353" s="7"/>
      <c r="C353" s="7"/>
      <c r="D353" s="7"/>
      <c r="E353" s="55"/>
      <c r="F353" s="56"/>
      <c r="G353" s="55"/>
      <c r="H353" s="7"/>
      <c r="I353" s="7"/>
      <c r="J353" s="7"/>
      <c r="K353" s="7"/>
      <c r="L353" s="56"/>
      <c r="M353" s="7"/>
    </row>
    <row r="354" s="1" customFormat="true" ht="14.25" hidden="false" customHeight="false" outlineLevel="0" collapsed="false">
      <c r="A354" s="7"/>
      <c r="B354" s="7"/>
      <c r="C354" s="7"/>
      <c r="D354" s="7"/>
      <c r="E354" s="55"/>
      <c r="F354" s="56"/>
      <c r="G354" s="55"/>
      <c r="H354" s="7"/>
      <c r="I354" s="7"/>
      <c r="J354" s="7"/>
      <c r="K354" s="7"/>
      <c r="L354" s="56"/>
      <c r="M354" s="7"/>
    </row>
    <row r="355" s="1" customFormat="true" ht="14.25" hidden="false" customHeight="false" outlineLevel="0" collapsed="false">
      <c r="A355" s="7"/>
      <c r="B355" s="7"/>
      <c r="C355" s="7"/>
      <c r="D355" s="7"/>
      <c r="E355" s="55"/>
      <c r="F355" s="56"/>
      <c r="G355" s="55"/>
      <c r="H355" s="7"/>
      <c r="I355" s="7"/>
      <c r="J355" s="7"/>
      <c r="K355" s="7"/>
      <c r="L355" s="56"/>
      <c r="M355" s="7"/>
    </row>
    <row r="356" s="1" customFormat="true" ht="14.25" hidden="false" customHeight="false" outlineLevel="0" collapsed="false">
      <c r="A356" s="7"/>
      <c r="B356" s="7"/>
      <c r="C356" s="7"/>
      <c r="D356" s="7"/>
      <c r="E356" s="55"/>
      <c r="F356" s="56"/>
      <c r="G356" s="55"/>
      <c r="H356" s="7"/>
      <c r="I356" s="7"/>
      <c r="J356" s="7"/>
      <c r="K356" s="7"/>
      <c r="L356" s="56"/>
      <c r="M356" s="7"/>
    </row>
    <row r="357" s="1" customFormat="true" ht="14.25" hidden="false" customHeight="false" outlineLevel="0" collapsed="false">
      <c r="A357" s="7"/>
      <c r="B357" s="7"/>
      <c r="C357" s="7"/>
      <c r="D357" s="7"/>
      <c r="E357" s="55"/>
      <c r="F357" s="56"/>
      <c r="G357" s="55"/>
      <c r="H357" s="7"/>
      <c r="I357" s="7"/>
      <c r="J357" s="7"/>
      <c r="K357" s="7"/>
      <c r="L357" s="56"/>
      <c r="M357" s="7"/>
    </row>
    <row r="358" s="1" customFormat="true" ht="14.25" hidden="false" customHeight="false" outlineLevel="0" collapsed="false">
      <c r="A358" s="7"/>
      <c r="B358" s="7"/>
      <c r="C358" s="7"/>
      <c r="D358" s="7"/>
      <c r="E358" s="55"/>
      <c r="F358" s="56"/>
      <c r="G358" s="55"/>
      <c r="H358" s="7"/>
      <c r="I358" s="7"/>
      <c r="J358" s="7"/>
      <c r="K358" s="7"/>
      <c r="L358" s="56"/>
      <c r="M358" s="7"/>
    </row>
    <row r="359" s="1" customFormat="true" ht="14.25" hidden="false" customHeight="false" outlineLevel="0" collapsed="false">
      <c r="A359" s="7"/>
      <c r="B359" s="7"/>
      <c r="C359" s="7"/>
      <c r="D359" s="7"/>
      <c r="E359" s="55"/>
      <c r="F359" s="56"/>
      <c r="G359" s="55"/>
      <c r="H359" s="7"/>
      <c r="I359" s="7"/>
      <c r="J359" s="7"/>
      <c r="K359" s="7"/>
      <c r="L359" s="56"/>
      <c r="M359" s="7"/>
    </row>
    <row r="360" s="1" customFormat="true" ht="14.25" hidden="false" customHeight="false" outlineLevel="0" collapsed="false">
      <c r="A360" s="7"/>
      <c r="B360" s="7"/>
      <c r="C360" s="7"/>
      <c r="D360" s="7"/>
      <c r="E360" s="55"/>
      <c r="F360" s="56"/>
      <c r="G360" s="55"/>
      <c r="H360" s="7"/>
      <c r="I360" s="7"/>
      <c r="J360" s="7"/>
      <c r="K360" s="7"/>
      <c r="L360" s="56"/>
      <c r="M360" s="7"/>
    </row>
    <row r="361" s="1" customFormat="true" ht="14.25" hidden="false" customHeight="false" outlineLevel="0" collapsed="false">
      <c r="A361" s="7"/>
      <c r="B361" s="7"/>
      <c r="C361" s="7"/>
      <c r="D361" s="7"/>
      <c r="E361" s="55"/>
      <c r="F361" s="56"/>
      <c r="G361" s="55"/>
      <c r="H361" s="7"/>
      <c r="I361" s="7"/>
      <c r="J361" s="7"/>
      <c r="K361" s="7"/>
      <c r="L361" s="56"/>
      <c r="M361" s="7"/>
    </row>
    <row r="362" s="1" customFormat="true" ht="14.25" hidden="false" customHeight="false" outlineLevel="0" collapsed="false">
      <c r="A362" s="7"/>
      <c r="B362" s="7"/>
      <c r="C362" s="7"/>
      <c r="D362" s="7"/>
      <c r="E362" s="55"/>
      <c r="F362" s="56"/>
      <c r="G362" s="55"/>
      <c r="H362" s="7"/>
      <c r="I362" s="7"/>
      <c r="J362" s="7"/>
      <c r="K362" s="7"/>
      <c r="L362" s="56"/>
      <c r="M362" s="7"/>
    </row>
    <row r="363" s="1" customFormat="true" ht="14.25" hidden="false" customHeight="false" outlineLevel="0" collapsed="false">
      <c r="A363" s="7"/>
      <c r="B363" s="7"/>
      <c r="C363" s="7"/>
      <c r="D363" s="7"/>
      <c r="E363" s="55"/>
      <c r="F363" s="56"/>
      <c r="G363" s="55"/>
      <c r="H363" s="7"/>
      <c r="I363" s="7"/>
      <c r="J363" s="7"/>
      <c r="K363" s="7"/>
      <c r="L363" s="56"/>
      <c r="M363" s="7"/>
    </row>
    <row r="364" s="1" customFormat="true" ht="14.25" hidden="false" customHeight="false" outlineLevel="0" collapsed="false">
      <c r="A364" s="7"/>
      <c r="B364" s="7"/>
      <c r="C364" s="7"/>
      <c r="D364" s="7"/>
      <c r="E364" s="55"/>
      <c r="F364" s="56"/>
      <c r="G364" s="55"/>
      <c r="H364" s="7"/>
      <c r="I364" s="7"/>
      <c r="J364" s="7"/>
      <c r="K364" s="7"/>
      <c r="L364" s="56"/>
      <c r="M364" s="7"/>
    </row>
    <row r="365" s="1" customFormat="true" ht="14.25" hidden="false" customHeight="false" outlineLevel="0" collapsed="false">
      <c r="A365" s="7"/>
      <c r="B365" s="7"/>
      <c r="C365" s="7"/>
      <c r="D365" s="7"/>
      <c r="E365" s="55"/>
      <c r="F365" s="56"/>
      <c r="G365" s="55"/>
      <c r="H365" s="7"/>
      <c r="I365" s="7"/>
      <c r="J365" s="7"/>
      <c r="K365" s="7"/>
      <c r="L365" s="56"/>
      <c r="M365" s="7"/>
    </row>
    <row r="366" s="1" customFormat="true" ht="14.25" hidden="false" customHeight="false" outlineLevel="0" collapsed="false">
      <c r="A366" s="7"/>
      <c r="B366" s="7"/>
      <c r="C366" s="7"/>
      <c r="D366" s="7"/>
      <c r="E366" s="55"/>
      <c r="F366" s="56"/>
      <c r="G366" s="55"/>
      <c r="H366" s="7"/>
      <c r="I366" s="7"/>
      <c r="J366" s="7"/>
      <c r="K366" s="7"/>
      <c r="L366" s="56"/>
      <c r="M366" s="7"/>
    </row>
    <row r="367" s="1" customFormat="true" ht="14.25" hidden="false" customHeight="false" outlineLevel="0" collapsed="false">
      <c r="A367" s="7"/>
      <c r="B367" s="7"/>
      <c r="C367" s="7"/>
      <c r="D367" s="7"/>
      <c r="E367" s="55"/>
      <c r="F367" s="56"/>
      <c r="G367" s="55"/>
      <c r="H367" s="7"/>
      <c r="I367" s="7"/>
      <c r="J367" s="7"/>
      <c r="K367" s="7"/>
      <c r="L367" s="56"/>
      <c r="M367" s="7"/>
    </row>
    <row r="368" s="1" customFormat="true" ht="14.25" hidden="false" customHeight="false" outlineLevel="0" collapsed="false">
      <c r="A368" s="7"/>
      <c r="B368" s="7"/>
      <c r="C368" s="7"/>
      <c r="D368" s="7"/>
      <c r="E368" s="55"/>
      <c r="F368" s="56"/>
      <c r="G368" s="55"/>
      <c r="H368" s="7"/>
      <c r="I368" s="7"/>
      <c r="J368" s="7"/>
      <c r="K368" s="7"/>
      <c r="L368" s="56"/>
      <c r="M368" s="7"/>
    </row>
    <row r="369" s="1" customFormat="true" ht="14.25" hidden="false" customHeight="false" outlineLevel="0" collapsed="false">
      <c r="A369" s="7"/>
      <c r="B369" s="7"/>
      <c r="C369" s="7"/>
      <c r="D369" s="7"/>
      <c r="E369" s="55"/>
      <c r="F369" s="56"/>
      <c r="G369" s="55"/>
      <c r="H369" s="7"/>
      <c r="I369" s="7"/>
      <c r="J369" s="7"/>
      <c r="K369" s="7"/>
      <c r="L369" s="56"/>
      <c r="M369" s="7"/>
    </row>
    <row r="370" s="1" customFormat="true" ht="14.25" hidden="false" customHeight="false" outlineLevel="0" collapsed="false">
      <c r="A370" s="7"/>
      <c r="B370" s="7"/>
      <c r="C370" s="7"/>
      <c r="D370" s="7"/>
      <c r="E370" s="55"/>
      <c r="F370" s="56"/>
      <c r="G370" s="55"/>
      <c r="H370" s="7"/>
      <c r="I370" s="7"/>
      <c r="J370" s="7"/>
      <c r="K370" s="7"/>
      <c r="L370" s="56"/>
      <c r="M370" s="7"/>
    </row>
    <row r="371" s="1" customFormat="true" ht="14.25" hidden="false" customHeight="false" outlineLevel="0" collapsed="false">
      <c r="A371" s="7"/>
      <c r="B371" s="7"/>
      <c r="C371" s="7"/>
      <c r="D371" s="7"/>
      <c r="E371" s="55"/>
      <c r="F371" s="56"/>
      <c r="G371" s="55"/>
      <c r="H371" s="7"/>
      <c r="I371" s="7"/>
      <c r="J371" s="7"/>
      <c r="K371" s="7"/>
      <c r="L371" s="56"/>
      <c r="M371" s="7"/>
    </row>
    <row r="372" s="1" customFormat="true" ht="14.25" hidden="false" customHeight="false" outlineLevel="0" collapsed="false">
      <c r="A372" s="7"/>
      <c r="B372" s="7"/>
      <c r="C372" s="7"/>
      <c r="D372" s="7"/>
      <c r="E372" s="55"/>
      <c r="F372" s="56"/>
      <c r="G372" s="55"/>
      <c r="H372" s="7"/>
      <c r="I372" s="7"/>
      <c r="J372" s="7"/>
      <c r="K372" s="7"/>
      <c r="L372" s="56"/>
      <c r="M372" s="7"/>
    </row>
    <row r="373" s="1" customFormat="true" ht="14.25" hidden="false" customHeight="false" outlineLevel="0" collapsed="false">
      <c r="A373" s="7"/>
      <c r="B373" s="7"/>
      <c r="C373" s="7"/>
      <c r="D373" s="7"/>
      <c r="E373" s="55"/>
      <c r="F373" s="56"/>
      <c r="G373" s="55"/>
      <c r="H373" s="7"/>
      <c r="I373" s="7"/>
      <c r="J373" s="7"/>
      <c r="K373" s="7"/>
      <c r="L373" s="56"/>
      <c r="M373" s="7"/>
    </row>
    <row r="374" s="1" customFormat="true" ht="14.25" hidden="false" customHeight="false" outlineLevel="0" collapsed="false">
      <c r="A374" s="7"/>
      <c r="B374" s="7"/>
      <c r="C374" s="7"/>
      <c r="D374" s="7"/>
      <c r="E374" s="55"/>
      <c r="F374" s="56"/>
      <c r="G374" s="55"/>
      <c r="H374" s="7"/>
      <c r="I374" s="7"/>
      <c r="J374" s="7"/>
      <c r="K374" s="7"/>
      <c r="L374" s="56"/>
      <c r="M374" s="7"/>
    </row>
    <row r="375" s="1" customFormat="true" ht="14.25" hidden="false" customHeight="false" outlineLevel="0" collapsed="false">
      <c r="A375" s="7"/>
      <c r="B375" s="7"/>
      <c r="C375" s="7"/>
      <c r="D375" s="7"/>
      <c r="E375" s="55"/>
      <c r="F375" s="56"/>
      <c r="G375" s="55"/>
      <c r="H375" s="7"/>
      <c r="I375" s="7"/>
      <c r="J375" s="7"/>
      <c r="K375" s="7"/>
      <c r="L375" s="56"/>
      <c r="M375" s="7"/>
    </row>
    <row r="376" s="1" customFormat="true" ht="14.25" hidden="false" customHeight="false" outlineLevel="0" collapsed="false">
      <c r="A376" s="7"/>
      <c r="B376" s="7"/>
      <c r="C376" s="7"/>
      <c r="D376" s="7"/>
      <c r="E376" s="55"/>
      <c r="F376" s="56"/>
      <c r="G376" s="55"/>
      <c r="H376" s="7"/>
      <c r="I376" s="7"/>
      <c r="J376" s="7"/>
      <c r="K376" s="7"/>
      <c r="L376" s="56"/>
      <c r="M376" s="7"/>
    </row>
    <row r="377" s="1" customFormat="true" ht="14.25" hidden="false" customHeight="false" outlineLevel="0" collapsed="false">
      <c r="A377" s="7"/>
      <c r="B377" s="7"/>
      <c r="C377" s="7"/>
      <c r="D377" s="7"/>
      <c r="E377" s="55"/>
      <c r="F377" s="56"/>
      <c r="G377" s="55"/>
      <c r="H377" s="7"/>
      <c r="I377" s="7"/>
      <c r="J377" s="7"/>
      <c r="K377" s="7"/>
      <c r="L377" s="56"/>
      <c r="M377" s="7"/>
    </row>
    <row r="378" s="1" customFormat="true" ht="14.25" hidden="false" customHeight="false" outlineLevel="0" collapsed="false">
      <c r="A378" s="7"/>
      <c r="B378" s="7"/>
      <c r="C378" s="7"/>
      <c r="D378" s="7"/>
      <c r="E378" s="55"/>
      <c r="F378" s="56"/>
      <c r="G378" s="55"/>
      <c r="H378" s="7"/>
      <c r="I378" s="7"/>
      <c r="J378" s="7"/>
      <c r="K378" s="7"/>
      <c r="L378" s="56"/>
      <c r="M378" s="7"/>
    </row>
    <row r="379" s="1" customFormat="true" ht="14.25" hidden="false" customHeight="false" outlineLevel="0" collapsed="false">
      <c r="A379" s="7"/>
      <c r="B379" s="7"/>
      <c r="C379" s="7"/>
      <c r="D379" s="7"/>
      <c r="E379" s="55"/>
      <c r="F379" s="56"/>
      <c r="G379" s="55"/>
      <c r="H379" s="7"/>
      <c r="I379" s="7"/>
      <c r="J379" s="7"/>
      <c r="K379" s="7"/>
      <c r="L379" s="56"/>
      <c r="M379" s="7"/>
    </row>
    <row r="380" s="1" customFormat="true" ht="14.25" hidden="false" customHeight="false" outlineLevel="0" collapsed="false">
      <c r="A380" s="7"/>
      <c r="B380" s="7"/>
      <c r="C380" s="7"/>
      <c r="D380" s="7"/>
      <c r="E380" s="55"/>
      <c r="F380" s="56"/>
      <c r="G380" s="55"/>
      <c r="H380" s="7"/>
      <c r="I380" s="7"/>
      <c r="J380" s="7"/>
      <c r="K380" s="7"/>
      <c r="L380" s="56"/>
      <c r="M380" s="7"/>
    </row>
    <row r="381" s="1" customFormat="true" ht="14.25" hidden="false" customHeight="false" outlineLevel="0" collapsed="false">
      <c r="A381" s="7"/>
      <c r="B381" s="7"/>
      <c r="C381" s="7"/>
      <c r="D381" s="7"/>
      <c r="E381" s="55"/>
      <c r="F381" s="56"/>
      <c r="G381" s="55"/>
      <c r="H381" s="7"/>
      <c r="I381" s="7"/>
      <c r="J381" s="7"/>
      <c r="K381" s="7"/>
      <c r="L381" s="56"/>
      <c r="M381" s="7"/>
    </row>
    <row r="382" s="1" customFormat="true" ht="14.25" hidden="false" customHeight="false" outlineLevel="0" collapsed="false">
      <c r="A382" s="7"/>
      <c r="B382" s="7"/>
      <c r="C382" s="7"/>
      <c r="D382" s="7"/>
      <c r="E382" s="55"/>
      <c r="F382" s="56"/>
      <c r="G382" s="55"/>
      <c r="H382" s="7"/>
      <c r="I382" s="7"/>
      <c r="J382" s="7"/>
      <c r="K382" s="7"/>
      <c r="L382" s="56"/>
      <c r="M382" s="7"/>
    </row>
    <row r="383" s="1" customFormat="true" ht="14.25" hidden="false" customHeight="false" outlineLevel="0" collapsed="false">
      <c r="A383" s="7"/>
      <c r="B383" s="7"/>
      <c r="C383" s="7"/>
      <c r="D383" s="7"/>
      <c r="E383" s="55"/>
      <c r="F383" s="56"/>
      <c r="G383" s="55"/>
      <c r="H383" s="7"/>
      <c r="I383" s="7"/>
      <c r="J383" s="7"/>
      <c r="K383" s="7"/>
      <c r="L383" s="56"/>
      <c r="M383" s="7"/>
    </row>
    <row r="384" s="1" customFormat="true" ht="14.25" hidden="false" customHeight="false" outlineLevel="0" collapsed="false">
      <c r="A384" s="7"/>
      <c r="B384" s="7"/>
      <c r="C384" s="7"/>
      <c r="D384" s="7"/>
      <c r="E384" s="55"/>
      <c r="F384" s="56"/>
      <c r="G384" s="55"/>
      <c r="H384" s="7"/>
      <c r="I384" s="7"/>
      <c r="J384" s="7"/>
      <c r="K384" s="7"/>
      <c r="L384" s="56"/>
      <c r="M384" s="7"/>
    </row>
    <row r="385" s="1" customFormat="true" ht="14.25" hidden="false" customHeight="false" outlineLevel="0" collapsed="false">
      <c r="A385" s="7"/>
      <c r="B385" s="7"/>
      <c r="C385" s="7"/>
      <c r="D385" s="7"/>
      <c r="E385" s="55"/>
      <c r="F385" s="56"/>
      <c r="G385" s="55"/>
      <c r="H385" s="7"/>
      <c r="I385" s="7"/>
      <c r="J385" s="7"/>
      <c r="K385" s="7"/>
      <c r="L385" s="56"/>
      <c r="M385" s="7"/>
    </row>
    <row r="386" s="1" customFormat="true" ht="14.25" hidden="false" customHeight="false" outlineLevel="0" collapsed="false">
      <c r="A386" s="7"/>
      <c r="B386" s="7"/>
      <c r="C386" s="7"/>
      <c r="D386" s="7"/>
      <c r="E386" s="55"/>
      <c r="F386" s="56"/>
      <c r="G386" s="55"/>
      <c r="H386" s="7"/>
      <c r="I386" s="7"/>
      <c r="J386" s="7"/>
      <c r="K386" s="7"/>
      <c r="L386" s="56"/>
      <c r="M386" s="7"/>
    </row>
    <row r="387" s="1" customFormat="true" ht="14.25" hidden="false" customHeight="false" outlineLevel="0" collapsed="false">
      <c r="A387" s="7"/>
      <c r="B387" s="7"/>
      <c r="C387" s="7"/>
      <c r="D387" s="7"/>
      <c r="E387" s="55"/>
      <c r="F387" s="56"/>
      <c r="G387" s="55"/>
      <c r="H387" s="7"/>
      <c r="I387" s="7"/>
      <c r="J387" s="7"/>
      <c r="K387" s="7"/>
      <c r="L387" s="56"/>
      <c r="M387" s="7"/>
    </row>
    <row r="388" s="1" customFormat="true" ht="14.25" hidden="false" customHeight="false" outlineLevel="0" collapsed="false">
      <c r="A388" s="7"/>
      <c r="B388" s="7"/>
      <c r="C388" s="7"/>
      <c r="D388" s="7"/>
      <c r="E388" s="55"/>
      <c r="F388" s="56"/>
      <c r="G388" s="55"/>
      <c r="H388" s="7"/>
      <c r="I388" s="7"/>
      <c r="J388" s="7"/>
      <c r="K388" s="7"/>
      <c r="L388" s="56"/>
      <c r="M388" s="7"/>
    </row>
    <row r="389" s="1" customFormat="true" ht="14.25" hidden="false" customHeight="false" outlineLevel="0" collapsed="false">
      <c r="A389" s="7"/>
      <c r="B389" s="7"/>
      <c r="C389" s="7"/>
      <c r="D389" s="7"/>
      <c r="E389" s="55"/>
      <c r="F389" s="56"/>
      <c r="G389" s="55"/>
      <c r="H389" s="7"/>
      <c r="I389" s="7"/>
      <c r="J389" s="7"/>
      <c r="K389" s="7"/>
      <c r="L389" s="56"/>
      <c r="M389" s="7"/>
    </row>
    <row r="390" s="1" customFormat="true" ht="14.25" hidden="false" customHeight="false" outlineLevel="0" collapsed="false">
      <c r="A390" s="7"/>
      <c r="B390" s="7"/>
      <c r="C390" s="7"/>
      <c r="D390" s="7"/>
      <c r="E390" s="55"/>
      <c r="F390" s="56"/>
      <c r="G390" s="55"/>
      <c r="H390" s="7"/>
      <c r="I390" s="7"/>
      <c r="J390" s="7"/>
      <c r="K390" s="7"/>
      <c r="L390" s="56"/>
      <c r="M390" s="7"/>
    </row>
    <row r="391" s="1" customFormat="true" ht="14.25" hidden="false" customHeight="false" outlineLevel="0" collapsed="false">
      <c r="A391" s="7"/>
      <c r="B391" s="7"/>
      <c r="C391" s="7"/>
      <c r="D391" s="7"/>
      <c r="E391" s="55"/>
      <c r="F391" s="56"/>
      <c r="G391" s="55"/>
      <c r="H391" s="7"/>
      <c r="I391" s="7"/>
      <c r="J391" s="7"/>
      <c r="K391" s="7"/>
      <c r="L391" s="56"/>
      <c r="M391" s="7"/>
    </row>
    <row r="392" s="1" customFormat="true" ht="14.25" hidden="false" customHeight="false" outlineLevel="0" collapsed="false">
      <c r="A392" s="7"/>
      <c r="B392" s="7"/>
      <c r="C392" s="7"/>
      <c r="D392" s="7"/>
      <c r="E392" s="55"/>
      <c r="F392" s="56"/>
      <c r="G392" s="55"/>
      <c r="H392" s="7"/>
      <c r="I392" s="7"/>
      <c r="J392" s="7"/>
      <c r="K392" s="7"/>
      <c r="L392" s="56"/>
      <c r="M392" s="7"/>
    </row>
    <row r="393" s="1" customFormat="true" ht="14.25" hidden="false" customHeight="false" outlineLevel="0" collapsed="false">
      <c r="A393" s="7"/>
      <c r="B393" s="7"/>
      <c r="C393" s="7"/>
      <c r="D393" s="7"/>
      <c r="E393" s="55"/>
      <c r="F393" s="56"/>
      <c r="G393" s="55"/>
      <c r="H393" s="7"/>
      <c r="I393" s="7"/>
      <c r="J393" s="7"/>
      <c r="K393" s="7"/>
      <c r="L393" s="56"/>
      <c r="M393" s="7"/>
    </row>
    <row r="394" s="1" customFormat="true" ht="14.25" hidden="false" customHeight="false" outlineLevel="0" collapsed="false">
      <c r="A394" s="7"/>
      <c r="B394" s="7"/>
      <c r="C394" s="7"/>
      <c r="D394" s="7"/>
      <c r="E394" s="55"/>
      <c r="F394" s="56"/>
      <c r="G394" s="55"/>
      <c r="H394" s="7"/>
      <c r="I394" s="7"/>
      <c r="J394" s="7"/>
      <c r="K394" s="7"/>
      <c r="L394" s="56"/>
      <c r="M394" s="7"/>
    </row>
    <row r="395" s="1" customFormat="true" ht="14.25" hidden="false" customHeight="false" outlineLevel="0" collapsed="false">
      <c r="A395" s="7"/>
      <c r="B395" s="7"/>
      <c r="C395" s="7"/>
      <c r="D395" s="7"/>
      <c r="E395" s="55"/>
      <c r="F395" s="56"/>
      <c r="G395" s="55"/>
      <c r="H395" s="7"/>
      <c r="I395" s="7"/>
      <c r="J395" s="7"/>
      <c r="K395" s="7"/>
      <c r="L395" s="56"/>
      <c r="M395" s="7"/>
    </row>
    <row r="396" s="1" customFormat="true" ht="14.25" hidden="false" customHeight="false" outlineLevel="0" collapsed="false">
      <c r="A396" s="7"/>
      <c r="B396" s="7"/>
      <c r="C396" s="7"/>
      <c r="D396" s="7"/>
      <c r="E396" s="55"/>
      <c r="F396" s="56"/>
      <c r="G396" s="55"/>
      <c r="H396" s="7"/>
      <c r="I396" s="7"/>
      <c r="J396" s="7"/>
      <c r="K396" s="7"/>
      <c r="L396" s="56"/>
      <c r="M396" s="7"/>
    </row>
    <row r="397" s="1" customFormat="true" ht="14.25" hidden="false" customHeight="false" outlineLevel="0" collapsed="false">
      <c r="A397" s="7"/>
      <c r="B397" s="7"/>
      <c r="C397" s="7"/>
      <c r="D397" s="7"/>
      <c r="E397" s="55"/>
      <c r="F397" s="56"/>
      <c r="G397" s="55"/>
      <c r="H397" s="7"/>
      <c r="I397" s="7"/>
      <c r="J397" s="7"/>
      <c r="K397" s="7"/>
      <c r="L397" s="56"/>
      <c r="M397" s="7"/>
    </row>
    <row r="398" s="1" customFormat="true" ht="14.25" hidden="false" customHeight="false" outlineLevel="0" collapsed="false">
      <c r="A398" s="7"/>
      <c r="B398" s="7"/>
      <c r="C398" s="7"/>
      <c r="D398" s="7"/>
      <c r="E398" s="55"/>
      <c r="F398" s="56"/>
      <c r="G398" s="55"/>
      <c r="H398" s="7"/>
      <c r="I398" s="7"/>
      <c r="J398" s="7"/>
      <c r="K398" s="7"/>
      <c r="L398" s="56"/>
      <c r="M398" s="7"/>
    </row>
    <row r="399" s="1" customFormat="true" ht="14.25" hidden="false" customHeight="false" outlineLevel="0" collapsed="false">
      <c r="A399" s="7"/>
      <c r="B399" s="7"/>
      <c r="C399" s="7"/>
      <c r="D399" s="7"/>
      <c r="E399" s="55"/>
      <c r="F399" s="56"/>
      <c r="G399" s="55"/>
      <c r="H399" s="7"/>
      <c r="I399" s="7"/>
      <c r="J399" s="7"/>
      <c r="K399" s="7"/>
      <c r="L399" s="56"/>
      <c r="M399" s="7"/>
    </row>
    <row r="400" s="1" customFormat="true" ht="14.25" hidden="false" customHeight="false" outlineLevel="0" collapsed="false">
      <c r="A400" s="7"/>
      <c r="B400" s="7"/>
      <c r="C400" s="7"/>
      <c r="D400" s="7"/>
      <c r="E400" s="55"/>
      <c r="F400" s="56"/>
      <c r="G400" s="55"/>
      <c r="H400" s="7"/>
      <c r="I400" s="7"/>
      <c r="J400" s="7"/>
      <c r="K400" s="7"/>
      <c r="L400" s="56"/>
      <c r="M400" s="7"/>
    </row>
    <row r="401" s="1" customFormat="true" ht="14.25" hidden="false" customHeight="false" outlineLevel="0" collapsed="false">
      <c r="A401" s="7"/>
      <c r="B401" s="7"/>
      <c r="C401" s="7"/>
      <c r="D401" s="7"/>
      <c r="E401" s="55"/>
      <c r="F401" s="56"/>
      <c r="G401" s="55"/>
      <c r="H401" s="7"/>
      <c r="I401" s="7"/>
      <c r="J401" s="7"/>
      <c r="K401" s="7"/>
      <c r="L401" s="56"/>
      <c r="M401" s="7"/>
    </row>
    <row r="402" s="1" customFormat="true" ht="14.25" hidden="false" customHeight="false" outlineLevel="0" collapsed="false">
      <c r="A402" s="7"/>
      <c r="B402" s="7"/>
      <c r="C402" s="7"/>
      <c r="D402" s="7"/>
      <c r="E402" s="55"/>
      <c r="F402" s="56"/>
      <c r="G402" s="55"/>
      <c r="H402" s="7"/>
      <c r="I402" s="7"/>
      <c r="J402" s="7"/>
      <c r="K402" s="7"/>
      <c r="L402" s="56"/>
      <c r="M402" s="7"/>
    </row>
    <row r="403" s="1" customFormat="true" ht="14.25" hidden="false" customHeight="false" outlineLevel="0" collapsed="false">
      <c r="A403" s="7"/>
      <c r="B403" s="7"/>
      <c r="C403" s="7"/>
      <c r="D403" s="7"/>
      <c r="E403" s="55"/>
      <c r="F403" s="56"/>
      <c r="G403" s="55"/>
      <c r="H403" s="7"/>
      <c r="I403" s="7"/>
      <c r="J403" s="7"/>
      <c r="K403" s="7"/>
      <c r="L403" s="56"/>
      <c r="M403" s="7"/>
    </row>
    <row r="404" s="1" customFormat="true" ht="14.25" hidden="false" customHeight="false" outlineLevel="0" collapsed="false">
      <c r="A404" s="7"/>
      <c r="B404" s="7"/>
      <c r="C404" s="7"/>
      <c r="D404" s="7"/>
      <c r="E404" s="55"/>
      <c r="F404" s="56"/>
      <c r="G404" s="55"/>
      <c r="H404" s="7"/>
      <c r="I404" s="7"/>
      <c r="J404" s="7"/>
      <c r="K404" s="7"/>
      <c r="L404" s="56"/>
      <c r="M404" s="7"/>
    </row>
    <row r="405" s="1" customFormat="true" ht="14.25" hidden="false" customHeight="false" outlineLevel="0" collapsed="false">
      <c r="A405" s="7"/>
      <c r="B405" s="7"/>
      <c r="C405" s="7"/>
      <c r="D405" s="7"/>
      <c r="E405" s="55"/>
      <c r="F405" s="56"/>
      <c r="G405" s="55"/>
      <c r="H405" s="7"/>
      <c r="I405" s="7"/>
      <c r="J405" s="7"/>
      <c r="K405" s="7"/>
      <c r="L405" s="56"/>
      <c r="M405" s="7"/>
    </row>
    <row r="406" s="1" customFormat="true" ht="14.25" hidden="false" customHeight="false" outlineLevel="0" collapsed="false">
      <c r="A406" s="7"/>
      <c r="B406" s="7"/>
      <c r="C406" s="7"/>
      <c r="D406" s="7"/>
      <c r="E406" s="55"/>
      <c r="F406" s="56"/>
      <c r="G406" s="55"/>
      <c r="H406" s="7"/>
      <c r="I406" s="7"/>
      <c r="J406" s="7"/>
      <c r="K406" s="7"/>
      <c r="L406" s="56"/>
      <c r="M406" s="7"/>
    </row>
    <row r="407" s="1" customFormat="true" ht="14.25" hidden="false" customHeight="false" outlineLevel="0" collapsed="false">
      <c r="A407" s="7"/>
      <c r="B407" s="7"/>
      <c r="C407" s="7"/>
      <c r="D407" s="7"/>
      <c r="E407" s="55"/>
      <c r="F407" s="56"/>
      <c r="G407" s="55"/>
      <c r="H407" s="7"/>
      <c r="I407" s="7"/>
      <c r="J407" s="7"/>
      <c r="K407" s="7"/>
      <c r="L407" s="56"/>
      <c r="M407" s="7"/>
    </row>
    <row r="408" s="1" customFormat="true" ht="14.25" hidden="false" customHeight="false" outlineLevel="0" collapsed="false">
      <c r="A408" s="7"/>
      <c r="B408" s="7"/>
      <c r="C408" s="7"/>
      <c r="D408" s="7"/>
      <c r="E408" s="55"/>
      <c r="F408" s="56"/>
      <c r="G408" s="55"/>
      <c r="H408" s="7"/>
      <c r="I408" s="7"/>
      <c r="J408" s="7"/>
      <c r="K408" s="7"/>
      <c r="L408" s="56"/>
      <c r="M408" s="7"/>
    </row>
    <row r="409" s="1" customFormat="true" ht="14.25" hidden="false" customHeight="false" outlineLevel="0" collapsed="false">
      <c r="A409" s="7"/>
      <c r="B409" s="7"/>
      <c r="C409" s="7"/>
      <c r="D409" s="7"/>
      <c r="E409" s="55"/>
      <c r="F409" s="56"/>
      <c r="G409" s="55"/>
      <c r="H409" s="7"/>
      <c r="I409" s="7"/>
      <c r="J409" s="7"/>
      <c r="K409" s="7"/>
      <c r="L409" s="56"/>
      <c r="M409" s="7"/>
    </row>
    <row r="410" s="1" customFormat="true" ht="14.25" hidden="false" customHeight="false" outlineLevel="0" collapsed="false">
      <c r="A410" s="7"/>
      <c r="B410" s="7"/>
      <c r="C410" s="7"/>
      <c r="D410" s="7"/>
      <c r="E410" s="55"/>
      <c r="F410" s="56"/>
      <c r="G410" s="55"/>
      <c r="H410" s="7"/>
      <c r="I410" s="7"/>
      <c r="J410" s="7"/>
      <c r="K410" s="7"/>
      <c r="L410" s="56"/>
      <c r="M410" s="7"/>
    </row>
    <row r="411" s="1" customFormat="true" ht="14.25" hidden="false" customHeight="false" outlineLevel="0" collapsed="false">
      <c r="A411" s="7"/>
      <c r="B411" s="7"/>
      <c r="C411" s="7"/>
      <c r="D411" s="7"/>
      <c r="E411" s="55"/>
      <c r="F411" s="56"/>
      <c r="G411" s="55"/>
      <c r="H411" s="7"/>
      <c r="I411" s="7"/>
      <c r="J411" s="7"/>
      <c r="K411" s="7"/>
      <c r="L411" s="56"/>
      <c r="M411" s="7"/>
    </row>
    <row r="412" s="1" customFormat="true" ht="14.25" hidden="false" customHeight="false" outlineLevel="0" collapsed="false">
      <c r="A412" s="7"/>
      <c r="B412" s="7"/>
      <c r="C412" s="7"/>
      <c r="D412" s="7"/>
      <c r="E412" s="55"/>
      <c r="F412" s="56"/>
      <c r="G412" s="55"/>
      <c r="H412" s="7"/>
      <c r="I412" s="7"/>
      <c r="J412" s="7"/>
      <c r="K412" s="7"/>
      <c r="L412" s="56"/>
      <c r="M412" s="7"/>
    </row>
    <row r="413" s="1" customFormat="true" ht="14.25" hidden="false" customHeight="false" outlineLevel="0" collapsed="false">
      <c r="A413" s="7"/>
      <c r="B413" s="7"/>
      <c r="C413" s="7"/>
      <c r="D413" s="7"/>
      <c r="E413" s="55"/>
      <c r="F413" s="56"/>
      <c r="G413" s="55"/>
      <c r="H413" s="7"/>
      <c r="I413" s="7"/>
      <c r="J413" s="7"/>
      <c r="K413" s="7"/>
      <c r="L413" s="56"/>
      <c r="M413" s="7"/>
    </row>
    <row r="414" s="1" customFormat="true" ht="14.25" hidden="false" customHeight="false" outlineLevel="0" collapsed="false">
      <c r="A414" s="7"/>
      <c r="B414" s="7"/>
      <c r="C414" s="7"/>
      <c r="D414" s="7"/>
      <c r="E414" s="55"/>
      <c r="F414" s="56"/>
      <c r="G414" s="55"/>
      <c r="H414" s="7"/>
      <c r="I414" s="7"/>
      <c r="J414" s="7"/>
      <c r="K414" s="7"/>
      <c r="L414" s="56"/>
      <c r="M414" s="7"/>
    </row>
    <row r="415" s="1" customFormat="true" ht="14.25" hidden="false" customHeight="false" outlineLevel="0" collapsed="false">
      <c r="A415" s="7"/>
      <c r="B415" s="7"/>
      <c r="C415" s="7"/>
      <c r="D415" s="7"/>
      <c r="E415" s="55"/>
      <c r="F415" s="56"/>
      <c r="G415" s="55"/>
      <c r="H415" s="7"/>
      <c r="I415" s="7"/>
      <c r="J415" s="7"/>
      <c r="K415" s="7"/>
      <c r="L415" s="56"/>
      <c r="M415" s="7"/>
    </row>
    <row r="416" s="1" customFormat="true" ht="14.25" hidden="false" customHeight="false" outlineLevel="0" collapsed="false">
      <c r="A416" s="7"/>
      <c r="B416" s="7"/>
      <c r="C416" s="7"/>
      <c r="D416" s="7"/>
      <c r="E416" s="55"/>
      <c r="F416" s="56"/>
      <c r="G416" s="55"/>
      <c r="H416" s="7"/>
      <c r="I416" s="7"/>
      <c r="J416" s="7"/>
      <c r="K416" s="7"/>
      <c r="L416" s="56"/>
      <c r="M41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4"/>
  <sheetViews>
    <sheetView showFormulas="false" showGridLines="true" showRowColHeaders="true" showZeros="true" rightToLeft="false" tabSelected="false" showOutlineSymbols="true" defaultGridColor="true" view="normal" topLeftCell="Q19" colorId="64" zoomScale="100" zoomScaleNormal="100" zoomScalePageLayoutView="100" workbookViewId="0">
      <selection pane="topLeft" activeCell="AH31" activeCellId="0" sqref="AH31"/>
    </sheetView>
  </sheetViews>
  <sheetFormatPr defaultColWidth="11.5625" defaultRowHeight="14.25" zeroHeight="false" outlineLevelRow="0" outlineLevelCol="0"/>
  <cols>
    <col collapsed="false" customWidth="true" hidden="false" outlineLevel="0" max="1" min="1" style="1" width="4.56"/>
    <col collapsed="false" customWidth="true" hidden="false" outlineLevel="0" max="2" min="2" style="1" width="21.67"/>
    <col collapsed="false" customWidth="true" hidden="false" outlineLevel="0" max="3" min="3" style="1" width="10.33"/>
    <col collapsed="false" customWidth="true" hidden="false" outlineLevel="0" max="4" min="4" style="1" width="7.33"/>
    <col collapsed="false" customWidth="true" hidden="false" outlineLevel="0" max="5" min="5" style="55" width="13.67"/>
    <col collapsed="false" customWidth="true" hidden="false" outlineLevel="0" max="6" min="6" style="56" width="7.67"/>
    <col collapsed="false" customWidth="true" hidden="false" outlineLevel="0" max="7" min="7" style="55" width="9.33"/>
    <col collapsed="false" customWidth="true" hidden="false" outlineLevel="0" max="8" min="8" style="1" width="17.33"/>
    <col collapsed="false" customWidth="true" hidden="false" outlineLevel="0" max="9" min="9" style="1" width="7.88"/>
    <col collapsed="false" customWidth="true" hidden="false" outlineLevel="0" max="10" min="10" style="1" width="6"/>
    <col collapsed="false" customWidth="true" hidden="false" outlineLevel="0" max="11" min="11" style="1" width="8.34"/>
    <col collapsed="false" customWidth="true" hidden="false" outlineLevel="0" max="12" min="12" style="56" width="9.33"/>
    <col collapsed="false" customWidth="true" hidden="false" outlineLevel="0" max="13" min="13" style="1" width="7.88"/>
    <col collapsed="false" customWidth="true" hidden="false" outlineLevel="0" max="14" min="14" style="1" width="8"/>
    <col collapsed="false" customWidth="false" hidden="false" outlineLevel="0" max="16384" min="15" style="7" width="11.56"/>
  </cols>
  <sheetData>
    <row r="1" customFormat="false" ht="82.05" hidden="false" customHeight="false" outlineLevel="0" collapsed="false">
      <c r="A1" s="7" t="s">
        <v>74</v>
      </c>
      <c r="B1" s="7" t="s">
        <v>75</v>
      </c>
      <c r="C1" s="7" t="s">
        <v>24</v>
      </c>
      <c r="D1" s="7" t="s">
        <v>76</v>
      </c>
      <c r="E1" s="62" t="s">
        <v>77</v>
      </c>
      <c r="F1" s="63" t="s">
        <v>78</v>
      </c>
      <c r="G1" s="62" t="s">
        <v>79</v>
      </c>
      <c r="H1" s="7" t="s">
        <v>80</v>
      </c>
      <c r="I1" s="57" t="s">
        <v>84</v>
      </c>
      <c r="J1" s="7" t="s">
        <v>81</v>
      </c>
      <c r="K1" s="57" t="s">
        <v>83</v>
      </c>
      <c r="L1" s="63" t="s">
        <v>78</v>
      </c>
      <c r="M1" s="57" t="s">
        <v>84</v>
      </c>
      <c r="N1" s="57" t="s">
        <v>82</v>
      </c>
      <c r="O1" s="1"/>
    </row>
    <row r="2" customFormat="false" ht="14.25" hidden="false" customHeight="false" outlineLevel="0" collapsed="false">
      <c r="A2" s="64" t="n">
        <v>17</v>
      </c>
      <c r="B2" s="64" t="s">
        <v>85</v>
      </c>
      <c r="C2" s="64" t="s">
        <v>86</v>
      </c>
      <c r="D2" s="64" t="n">
        <v>93202</v>
      </c>
      <c r="E2" s="65" t="n">
        <v>200025888841</v>
      </c>
      <c r="F2" s="66" t="s">
        <v>87</v>
      </c>
      <c r="G2" s="64" t="n">
        <v>230111</v>
      </c>
      <c r="H2" s="67" t="n">
        <v>45433.7543171296</v>
      </c>
      <c r="I2" s="64" t="n">
        <v>1</v>
      </c>
      <c r="J2" s="64" t="n">
        <v>0</v>
      </c>
      <c r="K2" s="64" t="n">
        <v>1</v>
      </c>
      <c r="L2" s="66" t="s">
        <v>87</v>
      </c>
      <c r="M2" s="64" t="n">
        <v>1</v>
      </c>
      <c r="N2" s="64" t="n">
        <v>1</v>
      </c>
    </row>
    <row r="3" customFormat="false" ht="14.25" hidden="false" customHeight="false" outlineLevel="0" collapsed="false">
      <c r="A3" s="64" t="n">
        <v>18</v>
      </c>
      <c r="B3" s="64" t="s">
        <v>85</v>
      </c>
      <c r="C3" s="64" t="s">
        <v>86</v>
      </c>
      <c r="D3" s="64" t="n">
        <v>93202</v>
      </c>
      <c r="E3" s="65" t="n">
        <v>200025888841</v>
      </c>
      <c r="F3" s="66" t="s">
        <v>87</v>
      </c>
      <c r="G3" s="64" t="n">
        <v>230111</v>
      </c>
      <c r="H3" s="67" t="n">
        <v>45433.757337963</v>
      </c>
      <c r="I3" s="64" t="n">
        <v>1</v>
      </c>
      <c r="J3" s="64" t="n">
        <v>0</v>
      </c>
      <c r="K3" s="64" t="n">
        <v>2</v>
      </c>
      <c r="L3" s="66" t="s">
        <v>87</v>
      </c>
      <c r="M3" s="64" t="n">
        <v>1</v>
      </c>
      <c r="N3" s="64" t="n">
        <v>2</v>
      </c>
    </row>
    <row r="4" customFormat="false" ht="14.25" hidden="false" customHeight="false" outlineLevel="0" collapsed="false">
      <c r="A4" s="64" t="n">
        <v>107</v>
      </c>
      <c r="B4" s="64" t="s">
        <v>85</v>
      </c>
      <c r="C4" s="64" t="s">
        <v>86</v>
      </c>
      <c r="D4" s="64" t="n">
        <v>93202</v>
      </c>
      <c r="E4" s="65" t="n">
        <v>200025888841</v>
      </c>
      <c r="F4" s="66" t="s">
        <v>87</v>
      </c>
      <c r="G4" s="64" t="n">
        <v>230111</v>
      </c>
      <c r="H4" s="67" t="n">
        <v>45434.6496180556</v>
      </c>
      <c r="I4" s="64" t="n">
        <v>1</v>
      </c>
      <c r="J4" s="64" t="n">
        <v>1</v>
      </c>
      <c r="K4" s="64" t="n">
        <v>3</v>
      </c>
      <c r="L4" s="66" t="s">
        <v>87</v>
      </c>
      <c r="M4" s="64" t="n">
        <v>1</v>
      </c>
      <c r="N4" s="64" t="n">
        <v>91</v>
      </c>
    </row>
    <row r="5" customFormat="false" ht="14.25" hidden="false" customHeight="false" outlineLevel="0" collapsed="false">
      <c r="A5" s="64" t="n">
        <v>108</v>
      </c>
      <c r="B5" s="64" t="s">
        <v>85</v>
      </c>
      <c r="C5" s="64" t="s">
        <v>86</v>
      </c>
      <c r="D5" s="64" t="n">
        <v>93202</v>
      </c>
      <c r="E5" s="65" t="n">
        <v>200025888841</v>
      </c>
      <c r="F5" s="66" t="s">
        <v>87</v>
      </c>
      <c r="G5" s="64" t="n">
        <v>230111</v>
      </c>
      <c r="H5" s="67" t="n">
        <v>45434.6497453704</v>
      </c>
      <c r="I5" s="64" t="n">
        <v>1</v>
      </c>
      <c r="J5" s="64" t="n">
        <v>0</v>
      </c>
      <c r="K5" s="64" t="n">
        <v>4</v>
      </c>
      <c r="L5" s="66" t="s">
        <v>87</v>
      </c>
      <c r="M5" s="64" t="n">
        <v>1</v>
      </c>
      <c r="N5" s="64" t="n">
        <v>92</v>
      </c>
    </row>
    <row r="6" customFormat="false" ht="14.25" hidden="false" customHeight="false" outlineLevel="0" collapsed="false">
      <c r="A6" s="64" t="n">
        <v>109</v>
      </c>
      <c r="B6" s="64" t="s">
        <v>85</v>
      </c>
      <c r="C6" s="64" t="s">
        <v>86</v>
      </c>
      <c r="D6" s="64" t="n">
        <v>93202</v>
      </c>
      <c r="E6" s="65" t="n">
        <v>200025888841</v>
      </c>
      <c r="F6" s="66" t="s">
        <v>87</v>
      </c>
      <c r="G6" s="64" t="n">
        <v>230111</v>
      </c>
      <c r="H6" s="67" t="n">
        <v>45434.6499421296</v>
      </c>
      <c r="I6" s="64" t="n">
        <v>1</v>
      </c>
      <c r="J6" s="64" t="n">
        <v>1</v>
      </c>
      <c r="K6" s="64" t="n">
        <v>5</v>
      </c>
      <c r="L6" s="66" t="s">
        <v>87</v>
      </c>
      <c r="M6" s="64" t="n">
        <v>1</v>
      </c>
      <c r="N6" s="64" t="n">
        <v>93</v>
      </c>
    </row>
    <row r="7" customFormat="false" ht="14.25" hidden="false" customHeight="false" outlineLevel="0" collapsed="false">
      <c r="A7" s="64" t="n">
        <v>110</v>
      </c>
      <c r="B7" s="64" t="s">
        <v>85</v>
      </c>
      <c r="C7" s="64" t="s">
        <v>86</v>
      </c>
      <c r="D7" s="64" t="n">
        <v>93202</v>
      </c>
      <c r="E7" s="65" t="n">
        <v>200025888841</v>
      </c>
      <c r="F7" s="66" t="s">
        <v>87</v>
      </c>
      <c r="G7" s="64" t="n">
        <v>230111</v>
      </c>
      <c r="H7" s="67" t="n">
        <v>45434.6502083333</v>
      </c>
      <c r="I7" s="64" t="n">
        <v>1</v>
      </c>
      <c r="J7" s="64" t="n">
        <v>1</v>
      </c>
      <c r="K7" s="64" t="n">
        <v>6</v>
      </c>
      <c r="L7" s="66" t="s">
        <v>87</v>
      </c>
      <c r="M7" s="64" t="n">
        <v>1</v>
      </c>
      <c r="N7" s="64" t="n">
        <v>94</v>
      </c>
    </row>
    <row r="8" customFormat="false" ht="14.25" hidden="false" customHeight="false" outlineLevel="0" collapsed="false">
      <c r="A8" s="64" t="n">
        <v>111</v>
      </c>
      <c r="B8" s="64" t="s">
        <v>85</v>
      </c>
      <c r="C8" s="64" t="s">
        <v>86</v>
      </c>
      <c r="D8" s="64" t="n">
        <v>93202</v>
      </c>
      <c r="E8" s="65" t="n">
        <v>200025888841</v>
      </c>
      <c r="F8" s="66" t="s">
        <v>87</v>
      </c>
      <c r="G8" s="64" t="n">
        <v>230111</v>
      </c>
      <c r="H8" s="67" t="n">
        <v>45434.6502199074</v>
      </c>
      <c r="I8" s="64" t="n">
        <v>1</v>
      </c>
      <c r="J8" s="64" t="n">
        <v>3</v>
      </c>
      <c r="K8" s="64" t="n">
        <v>7</v>
      </c>
      <c r="L8" s="66" t="s">
        <v>87</v>
      </c>
      <c r="M8" s="64" t="n">
        <v>1</v>
      </c>
      <c r="N8" s="64" t="n">
        <v>95</v>
      </c>
    </row>
    <row r="9" customFormat="false" ht="14.25" hidden="false" customHeight="false" outlineLevel="0" collapsed="false">
      <c r="A9" s="64" t="n">
        <v>112</v>
      </c>
      <c r="B9" s="64" t="s">
        <v>85</v>
      </c>
      <c r="C9" s="64" t="s">
        <v>86</v>
      </c>
      <c r="D9" s="64" t="n">
        <v>93202</v>
      </c>
      <c r="E9" s="65" t="n">
        <v>200025888841</v>
      </c>
      <c r="F9" s="66" t="s">
        <v>87</v>
      </c>
      <c r="G9" s="64" t="n">
        <v>230111</v>
      </c>
      <c r="H9" s="67" t="n">
        <v>45434.6504398148</v>
      </c>
      <c r="I9" s="64" t="n">
        <v>1</v>
      </c>
      <c r="J9" s="64" t="n">
        <v>1</v>
      </c>
      <c r="K9" s="64" t="n">
        <v>8</v>
      </c>
      <c r="L9" s="66" t="s">
        <v>87</v>
      </c>
      <c r="M9" s="64" t="n">
        <v>1</v>
      </c>
      <c r="N9" s="64" t="n">
        <v>96</v>
      </c>
    </row>
    <row r="10" customFormat="false" ht="14.25" hidden="false" customHeight="false" outlineLevel="0" collapsed="false">
      <c r="A10" s="64" t="n">
        <v>113</v>
      </c>
      <c r="B10" s="64" t="s">
        <v>85</v>
      </c>
      <c r="C10" s="64" t="s">
        <v>86</v>
      </c>
      <c r="D10" s="64" t="n">
        <v>93202</v>
      </c>
      <c r="E10" s="65" t="n">
        <v>200025888841</v>
      </c>
      <c r="F10" s="66" t="s">
        <v>87</v>
      </c>
      <c r="G10" s="64" t="n">
        <v>230111</v>
      </c>
      <c r="H10" s="67" t="n">
        <v>45434.6504513889</v>
      </c>
      <c r="I10" s="64" t="n">
        <v>1</v>
      </c>
      <c r="J10" s="64" t="n">
        <v>13</v>
      </c>
      <c r="K10" s="64" t="n">
        <v>9</v>
      </c>
      <c r="L10" s="66" t="s">
        <v>87</v>
      </c>
      <c r="M10" s="64" t="n">
        <v>1</v>
      </c>
      <c r="N10" s="64" t="n">
        <v>97</v>
      </c>
    </row>
    <row r="11" customFormat="false" ht="14.25" hidden="false" customHeight="false" outlineLevel="0" collapsed="false">
      <c r="A11" s="64" t="n">
        <v>114</v>
      </c>
      <c r="B11" s="64" t="s">
        <v>85</v>
      </c>
      <c r="C11" s="64" t="s">
        <v>86</v>
      </c>
      <c r="D11" s="64" t="n">
        <v>93202</v>
      </c>
      <c r="E11" s="65" t="n">
        <v>200025888841</v>
      </c>
      <c r="F11" s="66" t="s">
        <v>87</v>
      </c>
      <c r="G11" s="64" t="n">
        <v>230111</v>
      </c>
      <c r="H11" s="67" t="n">
        <v>45434.650625</v>
      </c>
      <c r="I11" s="64" t="n">
        <v>1</v>
      </c>
      <c r="J11" s="64" t="n">
        <v>1</v>
      </c>
      <c r="K11" s="64" t="n">
        <v>10</v>
      </c>
      <c r="L11" s="66" t="s">
        <v>87</v>
      </c>
      <c r="M11" s="64" t="n">
        <v>1</v>
      </c>
      <c r="N11" s="64" t="n">
        <v>98</v>
      </c>
    </row>
    <row r="12" customFormat="false" ht="14.25" hidden="false" customHeight="false" outlineLevel="0" collapsed="false">
      <c r="A12" s="64" t="n">
        <v>115</v>
      </c>
      <c r="B12" s="64" t="s">
        <v>85</v>
      </c>
      <c r="C12" s="64" t="s">
        <v>86</v>
      </c>
      <c r="D12" s="64" t="n">
        <v>93202</v>
      </c>
      <c r="E12" s="65" t="n">
        <v>200025888841</v>
      </c>
      <c r="F12" s="66" t="s">
        <v>87</v>
      </c>
      <c r="G12" s="64" t="n">
        <v>230111</v>
      </c>
      <c r="H12" s="67" t="n">
        <v>45434.6509722222</v>
      </c>
      <c r="I12" s="64" t="n">
        <v>1</v>
      </c>
      <c r="J12" s="64" t="n">
        <v>1</v>
      </c>
      <c r="K12" s="64" t="n">
        <v>11</v>
      </c>
      <c r="L12" s="66" t="s">
        <v>87</v>
      </c>
      <c r="M12" s="64" t="n">
        <v>1</v>
      </c>
      <c r="N12" s="64" t="n">
        <v>99</v>
      </c>
    </row>
    <row r="13" customFormat="false" ht="14.25" hidden="false" customHeight="false" outlineLevel="0" collapsed="false">
      <c r="A13" s="64" t="n">
        <v>116</v>
      </c>
      <c r="B13" s="64" t="s">
        <v>85</v>
      </c>
      <c r="C13" s="64" t="s">
        <v>86</v>
      </c>
      <c r="D13" s="64" t="n">
        <v>93202</v>
      </c>
      <c r="E13" s="65" t="n">
        <v>200025888841</v>
      </c>
      <c r="F13" s="66" t="s">
        <v>87</v>
      </c>
      <c r="G13" s="64" t="n">
        <v>230111</v>
      </c>
      <c r="H13" s="67" t="n">
        <v>45434.651412037</v>
      </c>
      <c r="I13" s="64" t="n">
        <v>1</v>
      </c>
      <c r="J13" s="64" t="n">
        <v>21</v>
      </c>
      <c r="K13" s="64" t="n">
        <v>12</v>
      </c>
      <c r="L13" s="66" t="s">
        <v>87</v>
      </c>
      <c r="M13" s="64" t="n">
        <v>1</v>
      </c>
      <c r="N13" s="64" t="n">
        <v>100</v>
      </c>
    </row>
    <row r="14" customFormat="false" ht="14.25" hidden="false" customHeight="false" outlineLevel="0" collapsed="false">
      <c r="A14" s="64" t="n">
        <v>117</v>
      </c>
      <c r="B14" s="64" t="s">
        <v>85</v>
      </c>
      <c r="C14" s="64" t="s">
        <v>86</v>
      </c>
      <c r="D14" s="64" t="n">
        <v>93202</v>
      </c>
      <c r="E14" s="65" t="n">
        <v>200025888841</v>
      </c>
      <c r="F14" s="66" t="s">
        <v>87</v>
      </c>
      <c r="G14" s="64" t="n">
        <v>230111</v>
      </c>
      <c r="H14" s="67" t="n">
        <v>45434.6516550926</v>
      </c>
      <c r="I14" s="64" t="n">
        <v>1</v>
      </c>
      <c r="J14" s="64" t="n">
        <v>0</v>
      </c>
      <c r="K14" s="64" t="n">
        <v>13</v>
      </c>
      <c r="L14" s="66" t="s">
        <v>87</v>
      </c>
      <c r="M14" s="64" t="n">
        <v>1</v>
      </c>
      <c r="N14" s="64" t="n">
        <v>101</v>
      </c>
    </row>
    <row r="15" customFormat="false" ht="14.25" hidden="false" customHeight="false" outlineLevel="0" collapsed="false">
      <c r="A15" s="64" t="n">
        <v>141</v>
      </c>
      <c r="B15" s="64" t="s">
        <v>85</v>
      </c>
      <c r="C15" s="64" t="s">
        <v>86</v>
      </c>
      <c r="D15" s="64" t="n">
        <v>93202</v>
      </c>
      <c r="E15" s="65" t="n">
        <v>200025888841</v>
      </c>
      <c r="F15" s="66" t="s">
        <v>87</v>
      </c>
      <c r="G15" s="64" t="n">
        <v>230111</v>
      </c>
      <c r="H15" s="67" t="n">
        <v>45434.7135300926</v>
      </c>
      <c r="I15" s="64" t="n">
        <v>1</v>
      </c>
      <c r="J15" s="64" t="n">
        <v>1</v>
      </c>
      <c r="K15" s="64" t="n">
        <v>14</v>
      </c>
      <c r="L15" s="66" t="s">
        <v>87</v>
      </c>
      <c r="M15" s="64" t="n">
        <v>1</v>
      </c>
      <c r="N15" s="64" t="n">
        <v>125</v>
      </c>
    </row>
    <row r="16" customFormat="false" ht="14.25" hidden="false" customHeight="false" outlineLevel="0" collapsed="false">
      <c r="A16" s="64" t="n">
        <v>142</v>
      </c>
      <c r="B16" s="64" t="s">
        <v>85</v>
      </c>
      <c r="C16" s="64" t="s">
        <v>86</v>
      </c>
      <c r="D16" s="64" t="n">
        <v>93202</v>
      </c>
      <c r="E16" s="65" t="n">
        <v>200025888841</v>
      </c>
      <c r="F16" s="66" t="s">
        <v>87</v>
      </c>
      <c r="G16" s="64" t="n">
        <v>230111</v>
      </c>
      <c r="H16" s="67" t="n">
        <v>45434.7140162037</v>
      </c>
      <c r="I16" s="64" t="n">
        <v>1</v>
      </c>
      <c r="J16" s="64" t="n">
        <v>0</v>
      </c>
      <c r="K16" s="64" t="n">
        <v>15</v>
      </c>
      <c r="L16" s="66" t="s">
        <v>87</v>
      </c>
      <c r="M16" s="64" t="n">
        <v>1</v>
      </c>
      <c r="N16" s="64" t="n">
        <v>126</v>
      </c>
    </row>
    <row r="17" customFormat="false" ht="14.25" hidden="false" customHeight="false" outlineLevel="0" collapsed="false">
      <c r="A17" s="64" t="n">
        <v>143</v>
      </c>
      <c r="B17" s="64" t="s">
        <v>85</v>
      </c>
      <c r="C17" s="64" t="s">
        <v>86</v>
      </c>
      <c r="D17" s="64" t="n">
        <v>93202</v>
      </c>
      <c r="E17" s="65" t="n">
        <v>200025888841</v>
      </c>
      <c r="F17" s="66" t="s">
        <v>87</v>
      </c>
      <c r="G17" s="64" t="n">
        <v>230111</v>
      </c>
      <c r="H17" s="67" t="n">
        <v>45434.7141550926</v>
      </c>
      <c r="I17" s="64" t="n">
        <v>1</v>
      </c>
      <c r="J17" s="64" t="n">
        <v>1</v>
      </c>
      <c r="K17" s="64" t="n">
        <v>16</v>
      </c>
      <c r="L17" s="66" t="s">
        <v>87</v>
      </c>
      <c r="M17" s="64" t="n">
        <v>1</v>
      </c>
      <c r="N17" s="64" t="n">
        <v>127</v>
      </c>
    </row>
    <row r="18" customFormat="false" ht="14.25" hidden="false" customHeight="false" outlineLevel="0" collapsed="false">
      <c r="A18" s="64" t="n">
        <v>144</v>
      </c>
      <c r="B18" s="64" t="s">
        <v>85</v>
      </c>
      <c r="C18" s="64" t="s">
        <v>86</v>
      </c>
      <c r="D18" s="64" t="n">
        <v>93202</v>
      </c>
      <c r="E18" s="65" t="n">
        <v>200025888841</v>
      </c>
      <c r="F18" s="66" t="s">
        <v>87</v>
      </c>
      <c r="G18" s="64" t="n">
        <v>230111</v>
      </c>
      <c r="H18" s="67" t="n">
        <v>45434.7141782408</v>
      </c>
      <c r="I18" s="64" t="n">
        <v>1</v>
      </c>
      <c r="J18" s="64" t="n">
        <v>1</v>
      </c>
      <c r="K18" s="64" t="n">
        <v>17</v>
      </c>
      <c r="L18" s="66" t="s">
        <v>87</v>
      </c>
      <c r="M18" s="64" t="n">
        <v>1</v>
      </c>
      <c r="N18" s="64" t="n">
        <v>128</v>
      </c>
    </row>
    <row r="19" customFormat="false" ht="14.25" hidden="false" customHeight="false" outlineLevel="0" collapsed="false">
      <c r="A19" s="68" t="n">
        <v>19</v>
      </c>
      <c r="B19" s="68" t="s">
        <v>85</v>
      </c>
      <c r="C19" s="68" t="s">
        <v>86</v>
      </c>
      <c r="D19" s="68" t="n">
        <v>93202</v>
      </c>
      <c r="E19" s="69" t="n">
        <v>200025889202</v>
      </c>
      <c r="F19" s="70" t="s">
        <v>88</v>
      </c>
      <c r="G19" s="69" t="n">
        <v>180063</v>
      </c>
      <c r="H19" s="71" t="n">
        <v>45433.8171180556</v>
      </c>
      <c r="I19" s="68" t="n">
        <v>2</v>
      </c>
      <c r="J19" s="68" t="n">
        <v>2</v>
      </c>
      <c r="K19" s="68" t="n">
        <v>1</v>
      </c>
      <c r="L19" s="70" t="s">
        <v>88</v>
      </c>
      <c r="M19" s="68" t="n">
        <v>2</v>
      </c>
      <c r="N19" s="68" t="n">
        <v>3</v>
      </c>
    </row>
    <row r="20" customFormat="false" ht="14.25" hidden="false" customHeight="false" outlineLevel="0" collapsed="false">
      <c r="A20" s="72" t="n">
        <v>20</v>
      </c>
      <c r="B20" s="72" t="s">
        <v>85</v>
      </c>
      <c r="C20" s="72" t="s">
        <v>86</v>
      </c>
      <c r="D20" s="72" t="n">
        <v>93202</v>
      </c>
      <c r="E20" s="73" t="n">
        <v>200025888303</v>
      </c>
      <c r="F20" s="74" t="s">
        <v>89</v>
      </c>
      <c r="G20" s="73" t="n">
        <v>230138</v>
      </c>
      <c r="H20" s="75" t="n">
        <v>45433.8617939815</v>
      </c>
      <c r="I20" s="72" t="n">
        <v>3</v>
      </c>
      <c r="J20" s="72" t="n">
        <v>1</v>
      </c>
      <c r="K20" s="72" t="n">
        <v>1</v>
      </c>
      <c r="L20" s="74" t="s">
        <v>89</v>
      </c>
      <c r="M20" s="72" t="n">
        <v>3</v>
      </c>
      <c r="N20" s="72" t="n">
        <v>4</v>
      </c>
    </row>
    <row r="21" customFormat="false" ht="14.25" hidden="false" customHeight="false" outlineLevel="0" collapsed="false">
      <c r="A21" s="72" t="n">
        <v>21</v>
      </c>
      <c r="B21" s="72" t="s">
        <v>85</v>
      </c>
      <c r="C21" s="72" t="s">
        <v>86</v>
      </c>
      <c r="D21" s="72" t="n">
        <v>93202</v>
      </c>
      <c r="E21" s="73" t="n">
        <v>200025888303</v>
      </c>
      <c r="F21" s="74" t="s">
        <v>89</v>
      </c>
      <c r="G21" s="73" t="n">
        <v>230138</v>
      </c>
      <c r="H21" s="75" t="n">
        <v>45433.8622569444</v>
      </c>
      <c r="I21" s="72" t="n">
        <v>3</v>
      </c>
      <c r="J21" s="72" t="n">
        <v>1</v>
      </c>
      <c r="K21" s="72" t="n">
        <v>2</v>
      </c>
      <c r="L21" s="74" t="s">
        <v>89</v>
      </c>
      <c r="M21" s="72" t="n">
        <v>3</v>
      </c>
      <c r="N21" s="72" t="n">
        <v>5</v>
      </c>
    </row>
    <row r="22" customFormat="false" ht="14.25" hidden="false" customHeight="false" outlineLevel="0" collapsed="false">
      <c r="A22" s="72" t="n">
        <v>22</v>
      </c>
      <c r="B22" s="72" t="s">
        <v>85</v>
      </c>
      <c r="C22" s="72" t="s">
        <v>86</v>
      </c>
      <c r="D22" s="72" t="n">
        <v>93202</v>
      </c>
      <c r="E22" s="73" t="n">
        <v>200025888303</v>
      </c>
      <c r="F22" s="74" t="s">
        <v>89</v>
      </c>
      <c r="G22" s="73" t="n">
        <v>230138</v>
      </c>
      <c r="H22" s="75" t="n">
        <v>45433.8622800926</v>
      </c>
      <c r="I22" s="72" t="n">
        <v>3</v>
      </c>
      <c r="J22" s="72" t="n">
        <v>0</v>
      </c>
      <c r="K22" s="72" t="n">
        <v>3</v>
      </c>
      <c r="L22" s="74" t="s">
        <v>89</v>
      </c>
      <c r="M22" s="72" t="n">
        <v>3</v>
      </c>
      <c r="N22" s="72" t="n">
        <v>6</v>
      </c>
    </row>
    <row r="23" customFormat="false" ht="14.25" hidden="false" customHeight="false" outlineLevel="0" collapsed="false">
      <c r="A23" s="72" t="n">
        <v>23</v>
      </c>
      <c r="B23" s="72" t="s">
        <v>85</v>
      </c>
      <c r="C23" s="72" t="s">
        <v>86</v>
      </c>
      <c r="D23" s="72" t="n">
        <v>93202</v>
      </c>
      <c r="E23" s="73" t="n">
        <v>200025888303</v>
      </c>
      <c r="F23" s="74" t="s">
        <v>89</v>
      </c>
      <c r="G23" s="73" t="n">
        <v>230138</v>
      </c>
      <c r="H23" s="75" t="n">
        <v>45433.8622916667</v>
      </c>
      <c r="I23" s="72" t="n">
        <v>3</v>
      </c>
      <c r="J23" s="72" t="n">
        <v>1</v>
      </c>
      <c r="K23" s="72" t="n">
        <v>4</v>
      </c>
      <c r="L23" s="74" t="s">
        <v>89</v>
      </c>
      <c r="M23" s="72" t="n">
        <v>3</v>
      </c>
      <c r="N23" s="72" t="n">
        <v>7</v>
      </c>
    </row>
    <row r="24" customFormat="false" ht="14.25" hidden="false" customHeight="false" outlineLevel="0" collapsed="false">
      <c r="A24" s="72" t="n">
        <v>24</v>
      </c>
      <c r="B24" s="72" t="s">
        <v>85</v>
      </c>
      <c r="C24" s="72" t="s">
        <v>86</v>
      </c>
      <c r="D24" s="72" t="n">
        <v>93202</v>
      </c>
      <c r="E24" s="73" t="n">
        <v>200025888303</v>
      </c>
      <c r="F24" s="74" t="s">
        <v>89</v>
      </c>
      <c r="G24" s="73" t="n">
        <v>230138</v>
      </c>
      <c r="H24" s="75" t="n">
        <v>45433.8791435185</v>
      </c>
      <c r="I24" s="72" t="n">
        <v>3</v>
      </c>
      <c r="J24" s="72" t="n">
        <v>1</v>
      </c>
      <c r="K24" s="72" t="n">
        <v>5</v>
      </c>
      <c r="L24" s="74" t="s">
        <v>89</v>
      </c>
      <c r="M24" s="72" t="n">
        <v>3</v>
      </c>
      <c r="N24" s="72" t="n">
        <v>8</v>
      </c>
    </row>
    <row r="25" customFormat="false" ht="14.25" hidden="false" customHeight="false" outlineLevel="0" collapsed="false">
      <c r="A25" s="72" t="n">
        <v>25</v>
      </c>
      <c r="B25" s="72" t="s">
        <v>85</v>
      </c>
      <c r="C25" s="72" t="s">
        <v>86</v>
      </c>
      <c r="D25" s="72" t="n">
        <v>93202</v>
      </c>
      <c r="E25" s="73" t="n">
        <v>200025888303</v>
      </c>
      <c r="F25" s="74" t="s">
        <v>89</v>
      </c>
      <c r="G25" s="73" t="n">
        <v>230138</v>
      </c>
      <c r="H25" s="75" t="n">
        <v>45433.8792592593</v>
      </c>
      <c r="I25" s="72" t="n">
        <v>3</v>
      </c>
      <c r="J25" s="72" t="n">
        <v>339</v>
      </c>
      <c r="K25" s="72" t="n">
        <v>6</v>
      </c>
      <c r="L25" s="74" t="s">
        <v>89</v>
      </c>
      <c r="M25" s="72" t="n">
        <v>3</v>
      </c>
      <c r="N25" s="72" t="n">
        <v>9</v>
      </c>
    </row>
    <row r="26" customFormat="false" ht="14.25" hidden="false" customHeight="false" outlineLevel="0" collapsed="false">
      <c r="A26" s="72" t="n">
        <v>26</v>
      </c>
      <c r="B26" s="72" t="s">
        <v>85</v>
      </c>
      <c r="C26" s="72" t="s">
        <v>86</v>
      </c>
      <c r="D26" s="72" t="n">
        <v>93202</v>
      </c>
      <c r="E26" s="73" t="n">
        <v>200025888303</v>
      </c>
      <c r="F26" s="74" t="s">
        <v>89</v>
      </c>
      <c r="G26" s="73" t="n">
        <v>230138</v>
      </c>
      <c r="H26" s="75" t="n">
        <v>45433.9273148148</v>
      </c>
      <c r="I26" s="72" t="n">
        <v>3</v>
      </c>
      <c r="J26" s="72" t="n">
        <v>0</v>
      </c>
      <c r="K26" s="72" t="n">
        <v>7</v>
      </c>
      <c r="L26" s="74" t="s">
        <v>89</v>
      </c>
      <c r="M26" s="72" t="n">
        <v>3</v>
      </c>
      <c r="N26" s="72" t="n">
        <v>10</v>
      </c>
    </row>
    <row r="27" customFormat="false" ht="14.25" hidden="false" customHeight="false" outlineLevel="0" collapsed="false">
      <c r="A27" s="76" t="n">
        <v>27</v>
      </c>
      <c r="B27" s="76" t="s">
        <v>85</v>
      </c>
      <c r="C27" s="76" t="s">
        <v>86</v>
      </c>
      <c r="D27" s="76" t="n">
        <v>93202</v>
      </c>
      <c r="E27" s="77" t="n">
        <v>200025889312</v>
      </c>
      <c r="F27" s="78" t="s">
        <v>90</v>
      </c>
      <c r="G27" s="77" t="n">
        <v>210262</v>
      </c>
      <c r="H27" s="79" t="n">
        <v>45434.2063425926</v>
      </c>
      <c r="I27" s="76" t="n">
        <v>4</v>
      </c>
      <c r="J27" s="76" t="n">
        <v>1</v>
      </c>
      <c r="K27" s="76" t="n">
        <v>1</v>
      </c>
      <c r="L27" s="78" t="s">
        <v>90</v>
      </c>
      <c r="M27" s="76" t="n">
        <v>4</v>
      </c>
      <c r="N27" s="76" t="n">
        <v>11</v>
      </c>
    </row>
    <row r="28" customFormat="false" ht="14.25" hidden="false" customHeight="false" outlineLevel="0" collapsed="false">
      <c r="A28" s="76" t="n">
        <v>28</v>
      </c>
      <c r="B28" s="76" t="s">
        <v>85</v>
      </c>
      <c r="C28" s="76" t="s">
        <v>86</v>
      </c>
      <c r="D28" s="76" t="n">
        <v>93202</v>
      </c>
      <c r="E28" s="77" t="n">
        <v>200025889312</v>
      </c>
      <c r="F28" s="78" t="s">
        <v>90</v>
      </c>
      <c r="G28" s="77" t="n">
        <v>210262</v>
      </c>
      <c r="H28" s="79" t="n">
        <v>45434.2082060185</v>
      </c>
      <c r="I28" s="76" t="n">
        <v>4</v>
      </c>
      <c r="J28" s="76" t="n">
        <v>2</v>
      </c>
      <c r="K28" s="76" t="n">
        <v>2</v>
      </c>
      <c r="L28" s="78" t="s">
        <v>90</v>
      </c>
      <c r="M28" s="76" t="n">
        <v>4</v>
      </c>
      <c r="N28" s="76" t="n">
        <v>12</v>
      </c>
    </row>
    <row r="29" customFormat="false" ht="14.25" hidden="false" customHeight="false" outlineLevel="0" collapsed="false">
      <c r="A29" s="76" t="n">
        <v>29</v>
      </c>
      <c r="B29" s="76" t="s">
        <v>85</v>
      </c>
      <c r="C29" s="76" t="s">
        <v>86</v>
      </c>
      <c r="D29" s="76" t="n">
        <v>93202</v>
      </c>
      <c r="E29" s="77" t="n">
        <v>200025889312</v>
      </c>
      <c r="F29" s="78" t="s">
        <v>90</v>
      </c>
      <c r="G29" s="77" t="n">
        <v>210262</v>
      </c>
      <c r="H29" s="79" t="n">
        <v>45434.2082291667</v>
      </c>
      <c r="I29" s="76" t="n">
        <v>4</v>
      </c>
      <c r="J29" s="76" t="n">
        <v>0</v>
      </c>
      <c r="K29" s="76" t="n">
        <v>3</v>
      </c>
      <c r="L29" s="78" t="s">
        <v>90</v>
      </c>
      <c r="M29" s="76" t="n">
        <v>4</v>
      </c>
      <c r="N29" s="76" t="n">
        <v>13</v>
      </c>
    </row>
    <row r="30" customFormat="false" ht="14.25" hidden="false" customHeight="false" outlineLevel="0" collapsed="false">
      <c r="A30" s="76" t="n">
        <v>30</v>
      </c>
      <c r="B30" s="76" t="s">
        <v>85</v>
      </c>
      <c r="C30" s="76" t="s">
        <v>86</v>
      </c>
      <c r="D30" s="76" t="n">
        <v>93202</v>
      </c>
      <c r="E30" s="77" t="n">
        <v>200025889312</v>
      </c>
      <c r="F30" s="78" t="s">
        <v>90</v>
      </c>
      <c r="G30" s="77" t="n">
        <v>210262</v>
      </c>
      <c r="H30" s="79" t="n">
        <v>45434.2082407407</v>
      </c>
      <c r="I30" s="76" t="n">
        <v>4</v>
      </c>
      <c r="J30" s="76" t="n">
        <v>1</v>
      </c>
      <c r="K30" s="76" t="n">
        <v>4</v>
      </c>
      <c r="L30" s="78" t="s">
        <v>90</v>
      </c>
      <c r="M30" s="76" t="n">
        <v>4</v>
      </c>
      <c r="N30" s="76" t="n">
        <v>14</v>
      </c>
    </row>
    <row r="31" s="1" customFormat="true" ht="14.25" hidden="false" customHeight="false" outlineLevel="0" collapsed="false">
      <c r="A31" s="76" t="n">
        <v>31</v>
      </c>
      <c r="B31" s="76" t="s">
        <v>85</v>
      </c>
      <c r="C31" s="76" t="s">
        <v>86</v>
      </c>
      <c r="D31" s="76" t="n">
        <v>93202</v>
      </c>
      <c r="E31" s="77" t="n">
        <v>200025889312</v>
      </c>
      <c r="F31" s="78" t="s">
        <v>90</v>
      </c>
      <c r="G31" s="77" t="n">
        <v>210262</v>
      </c>
      <c r="H31" s="79" t="n">
        <v>45434.2369444445</v>
      </c>
      <c r="I31" s="76" t="n">
        <v>4</v>
      </c>
      <c r="J31" s="76" t="n">
        <v>4</v>
      </c>
      <c r="K31" s="76" t="n">
        <v>5</v>
      </c>
      <c r="L31" s="78" t="s">
        <v>90</v>
      </c>
      <c r="M31" s="76" t="n">
        <v>4</v>
      </c>
      <c r="N31" s="76" t="n">
        <v>15</v>
      </c>
      <c r="O31" s="7"/>
    </row>
    <row r="32" customFormat="false" ht="14.25" hidden="false" customHeight="false" outlineLevel="0" collapsed="false">
      <c r="A32" s="76" t="n">
        <v>32</v>
      </c>
      <c r="B32" s="76" t="s">
        <v>85</v>
      </c>
      <c r="C32" s="76" t="s">
        <v>86</v>
      </c>
      <c r="D32" s="76" t="n">
        <v>93202</v>
      </c>
      <c r="E32" s="77" t="n">
        <v>200025889312</v>
      </c>
      <c r="F32" s="78" t="s">
        <v>90</v>
      </c>
      <c r="G32" s="77" t="n">
        <v>210262</v>
      </c>
      <c r="H32" s="79" t="n">
        <v>45434.2371064815</v>
      </c>
      <c r="I32" s="76" t="n">
        <v>4</v>
      </c>
      <c r="J32" s="76" t="n">
        <v>2</v>
      </c>
      <c r="K32" s="76" t="n">
        <v>6</v>
      </c>
      <c r="L32" s="78" t="s">
        <v>90</v>
      </c>
      <c r="M32" s="76" t="n">
        <v>4</v>
      </c>
      <c r="N32" s="76" t="n">
        <v>16</v>
      </c>
    </row>
    <row r="33" customFormat="false" ht="14.25" hidden="false" customHeight="false" outlineLevel="0" collapsed="false">
      <c r="A33" s="76" t="n">
        <v>33</v>
      </c>
      <c r="B33" s="76" t="s">
        <v>85</v>
      </c>
      <c r="C33" s="76" t="s">
        <v>86</v>
      </c>
      <c r="D33" s="76" t="n">
        <v>93202</v>
      </c>
      <c r="E33" s="77" t="n">
        <v>200025889312</v>
      </c>
      <c r="F33" s="78" t="s">
        <v>90</v>
      </c>
      <c r="G33" s="77" t="n">
        <v>210262</v>
      </c>
      <c r="H33" s="79" t="n">
        <v>45434.2371990741</v>
      </c>
      <c r="I33" s="76" t="n">
        <v>4</v>
      </c>
      <c r="J33" s="76" t="n">
        <v>1</v>
      </c>
      <c r="K33" s="76" t="n">
        <v>7</v>
      </c>
      <c r="L33" s="78" t="s">
        <v>90</v>
      </c>
      <c r="M33" s="76" t="n">
        <v>4</v>
      </c>
      <c r="N33" s="76" t="n">
        <v>17</v>
      </c>
    </row>
    <row r="34" customFormat="false" ht="14.25" hidden="false" customHeight="false" outlineLevel="0" collapsed="false">
      <c r="A34" s="76" t="n">
        <v>34</v>
      </c>
      <c r="B34" s="76" t="s">
        <v>85</v>
      </c>
      <c r="C34" s="76" t="s">
        <v>86</v>
      </c>
      <c r="D34" s="76" t="n">
        <v>93202</v>
      </c>
      <c r="E34" s="77" t="n">
        <v>200025889312</v>
      </c>
      <c r="F34" s="78" t="s">
        <v>90</v>
      </c>
      <c r="G34" s="77" t="n">
        <v>210262</v>
      </c>
      <c r="H34" s="79" t="n">
        <v>45434.2372222222</v>
      </c>
      <c r="I34" s="76" t="n">
        <v>4</v>
      </c>
      <c r="J34" s="76" t="n">
        <v>0</v>
      </c>
      <c r="K34" s="76" t="n">
        <v>8</v>
      </c>
      <c r="L34" s="78" t="s">
        <v>90</v>
      </c>
      <c r="M34" s="76" t="n">
        <v>4</v>
      </c>
      <c r="N34" s="76" t="n">
        <v>18</v>
      </c>
    </row>
    <row r="35" customFormat="false" ht="14.25" hidden="false" customHeight="false" outlineLevel="0" collapsed="false">
      <c r="A35" s="76" t="n">
        <v>35</v>
      </c>
      <c r="B35" s="76" t="s">
        <v>85</v>
      </c>
      <c r="C35" s="76" t="s">
        <v>86</v>
      </c>
      <c r="D35" s="76" t="n">
        <v>93202</v>
      </c>
      <c r="E35" s="77" t="n">
        <v>200025889312</v>
      </c>
      <c r="F35" s="78" t="s">
        <v>90</v>
      </c>
      <c r="G35" s="77" t="n">
        <v>210262</v>
      </c>
      <c r="H35" s="79" t="n">
        <v>45434.2374074074</v>
      </c>
      <c r="I35" s="76" t="n">
        <v>4</v>
      </c>
      <c r="J35" s="76" t="n">
        <v>0</v>
      </c>
      <c r="K35" s="76" t="n">
        <v>9</v>
      </c>
      <c r="L35" s="78" t="s">
        <v>90</v>
      </c>
      <c r="M35" s="76" t="n">
        <v>4</v>
      </c>
      <c r="N35" s="76" t="n">
        <v>19</v>
      </c>
      <c r="O35" s="1"/>
    </row>
    <row r="36" customFormat="false" ht="14.25" hidden="false" customHeight="false" outlineLevel="0" collapsed="false">
      <c r="A36" s="76" t="n">
        <v>36</v>
      </c>
      <c r="B36" s="76" t="s">
        <v>85</v>
      </c>
      <c r="C36" s="76" t="s">
        <v>86</v>
      </c>
      <c r="D36" s="76" t="n">
        <v>93202</v>
      </c>
      <c r="E36" s="77" t="n">
        <v>200025889312</v>
      </c>
      <c r="F36" s="78" t="s">
        <v>90</v>
      </c>
      <c r="G36" s="77" t="n">
        <v>210262</v>
      </c>
      <c r="H36" s="79" t="n">
        <v>45434.2374189815</v>
      </c>
      <c r="I36" s="76" t="n">
        <v>4</v>
      </c>
      <c r="J36" s="76" t="n">
        <v>16</v>
      </c>
      <c r="K36" s="76" t="n">
        <v>10</v>
      </c>
      <c r="L36" s="78" t="s">
        <v>90</v>
      </c>
      <c r="M36" s="76" t="n">
        <v>4</v>
      </c>
      <c r="N36" s="76" t="n">
        <v>20</v>
      </c>
    </row>
    <row r="37" customFormat="false" ht="14.25" hidden="false" customHeight="false" outlineLevel="0" collapsed="false">
      <c r="A37" s="76" t="n">
        <v>37</v>
      </c>
      <c r="B37" s="76" t="s">
        <v>85</v>
      </c>
      <c r="C37" s="76" t="s">
        <v>86</v>
      </c>
      <c r="D37" s="76" t="n">
        <v>93202</v>
      </c>
      <c r="E37" s="77" t="n">
        <v>200025889312</v>
      </c>
      <c r="F37" s="78" t="s">
        <v>90</v>
      </c>
      <c r="G37" s="77" t="n">
        <v>210262</v>
      </c>
      <c r="H37" s="79" t="n">
        <v>45434.2376041667</v>
      </c>
      <c r="I37" s="76" t="n">
        <v>4</v>
      </c>
      <c r="J37" s="76" t="n">
        <v>0</v>
      </c>
      <c r="K37" s="76" t="n">
        <v>11</v>
      </c>
      <c r="L37" s="78" t="s">
        <v>90</v>
      </c>
      <c r="M37" s="76" t="n">
        <v>4</v>
      </c>
      <c r="N37" s="76" t="n">
        <v>21</v>
      </c>
    </row>
    <row r="38" s="1" customFormat="true" ht="14.25" hidden="false" customHeight="false" outlineLevel="0" collapsed="false">
      <c r="A38" s="76" t="n">
        <v>38</v>
      </c>
      <c r="B38" s="76" t="s">
        <v>85</v>
      </c>
      <c r="C38" s="76" t="s">
        <v>86</v>
      </c>
      <c r="D38" s="76" t="n">
        <v>93202</v>
      </c>
      <c r="E38" s="77" t="n">
        <v>200025889312</v>
      </c>
      <c r="F38" s="78" t="s">
        <v>90</v>
      </c>
      <c r="G38" s="77" t="n">
        <v>210262</v>
      </c>
      <c r="H38" s="79" t="n">
        <v>45434.2376041667</v>
      </c>
      <c r="I38" s="76" t="n">
        <v>4</v>
      </c>
      <c r="J38" s="76" t="n">
        <v>1</v>
      </c>
      <c r="K38" s="76" t="n">
        <v>12</v>
      </c>
      <c r="L38" s="78" t="s">
        <v>90</v>
      </c>
      <c r="M38" s="76" t="n">
        <v>4</v>
      </c>
      <c r="N38" s="76" t="n">
        <v>22</v>
      </c>
      <c r="O38" s="7"/>
    </row>
    <row r="39" customFormat="false" ht="14.25" hidden="false" customHeight="false" outlineLevel="0" collapsed="false">
      <c r="A39" s="76" t="n">
        <v>39</v>
      </c>
      <c r="B39" s="76" t="s">
        <v>85</v>
      </c>
      <c r="C39" s="76" t="s">
        <v>86</v>
      </c>
      <c r="D39" s="76" t="n">
        <v>93202</v>
      </c>
      <c r="E39" s="77" t="n">
        <v>200025889312</v>
      </c>
      <c r="F39" s="78" t="s">
        <v>90</v>
      </c>
      <c r="G39" s="77" t="n">
        <v>210262</v>
      </c>
      <c r="H39" s="79" t="n">
        <v>45434.2376157407</v>
      </c>
      <c r="I39" s="76" t="n">
        <v>4</v>
      </c>
      <c r="J39" s="76" t="n">
        <v>1</v>
      </c>
      <c r="K39" s="76" t="n">
        <v>13</v>
      </c>
      <c r="L39" s="78" t="s">
        <v>90</v>
      </c>
      <c r="M39" s="76" t="n">
        <v>4</v>
      </c>
      <c r="N39" s="76" t="n">
        <v>23</v>
      </c>
    </row>
    <row r="40" customFormat="false" ht="14.25" hidden="false" customHeight="false" outlineLevel="0" collapsed="false">
      <c r="A40" s="76" t="n">
        <v>40</v>
      </c>
      <c r="B40" s="76" t="s">
        <v>85</v>
      </c>
      <c r="C40" s="76" t="s">
        <v>86</v>
      </c>
      <c r="D40" s="76" t="n">
        <v>93202</v>
      </c>
      <c r="E40" s="77" t="n">
        <v>200025889312</v>
      </c>
      <c r="F40" s="78" t="s">
        <v>90</v>
      </c>
      <c r="G40" s="77" t="n">
        <v>210262</v>
      </c>
      <c r="H40" s="79" t="n">
        <v>45434.2377777778</v>
      </c>
      <c r="I40" s="76" t="n">
        <v>4</v>
      </c>
      <c r="J40" s="76" t="n">
        <v>1</v>
      </c>
      <c r="K40" s="76" t="n">
        <v>14</v>
      </c>
      <c r="L40" s="78" t="s">
        <v>90</v>
      </c>
      <c r="M40" s="76" t="n">
        <v>4</v>
      </c>
      <c r="N40" s="76" t="n">
        <v>24</v>
      </c>
    </row>
    <row r="41" s="1" customFormat="true" ht="14.25" hidden="false" customHeight="false" outlineLevel="0" collapsed="false">
      <c r="A41" s="76" t="n">
        <v>41</v>
      </c>
      <c r="B41" s="76" t="s">
        <v>85</v>
      </c>
      <c r="C41" s="76" t="s">
        <v>86</v>
      </c>
      <c r="D41" s="76" t="n">
        <v>93202</v>
      </c>
      <c r="E41" s="77" t="n">
        <v>200025889312</v>
      </c>
      <c r="F41" s="78" t="s">
        <v>90</v>
      </c>
      <c r="G41" s="77" t="n">
        <v>210262</v>
      </c>
      <c r="H41" s="79" t="n">
        <v>45434.2394907407</v>
      </c>
      <c r="I41" s="76" t="n">
        <v>4</v>
      </c>
      <c r="J41" s="76" t="n">
        <v>2</v>
      </c>
      <c r="K41" s="76" t="n">
        <v>15</v>
      </c>
      <c r="L41" s="78" t="s">
        <v>90</v>
      </c>
      <c r="M41" s="76" t="n">
        <v>4</v>
      </c>
      <c r="N41" s="76" t="n">
        <v>25</v>
      </c>
      <c r="O41" s="7"/>
    </row>
    <row r="42" customFormat="false" ht="14.25" hidden="false" customHeight="false" outlineLevel="0" collapsed="false">
      <c r="A42" s="76" t="n">
        <v>42</v>
      </c>
      <c r="B42" s="76" t="s">
        <v>85</v>
      </c>
      <c r="C42" s="76" t="s">
        <v>86</v>
      </c>
      <c r="D42" s="76" t="n">
        <v>93202</v>
      </c>
      <c r="E42" s="77" t="n">
        <v>200025889312</v>
      </c>
      <c r="F42" s="78" t="s">
        <v>90</v>
      </c>
      <c r="G42" s="77" t="n">
        <v>210262</v>
      </c>
      <c r="H42" s="79" t="n">
        <v>45434.2455324074</v>
      </c>
      <c r="I42" s="76" t="n">
        <v>4</v>
      </c>
      <c r="J42" s="76" t="n">
        <v>0</v>
      </c>
      <c r="K42" s="76" t="n">
        <v>16</v>
      </c>
      <c r="L42" s="78" t="s">
        <v>90</v>
      </c>
      <c r="M42" s="76" t="n">
        <v>4</v>
      </c>
      <c r="N42" s="76" t="n">
        <v>26</v>
      </c>
      <c r="O42" s="1"/>
    </row>
    <row r="43" s="1" customFormat="true" ht="14.25" hidden="false" customHeight="false" outlineLevel="0" collapsed="false">
      <c r="A43" s="76" t="n">
        <v>43</v>
      </c>
      <c r="B43" s="76" t="s">
        <v>85</v>
      </c>
      <c r="C43" s="76" t="s">
        <v>86</v>
      </c>
      <c r="D43" s="76" t="n">
        <v>93202</v>
      </c>
      <c r="E43" s="77" t="n">
        <v>200025889312</v>
      </c>
      <c r="F43" s="78" t="s">
        <v>90</v>
      </c>
      <c r="G43" s="77" t="n">
        <v>210262</v>
      </c>
      <c r="H43" s="79" t="n">
        <v>45434.2455555556</v>
      </c>
      <c r="I43" s="76" t="n">
        <v>4</v>
      </c>
      <c r="J43" s="76" t="n">
        <v>0</v>
      </c>
      <c r="K43" s="76" t="n">
        <v>17</v>
      </c>
      <c r="L43" s="78" t="s">
        <v>90</v>
      </c>
      <c r="M43" s="76" t="n">
        <v>4</v>
      </c>
      <c r="N43" s="76" t="n">
        <v>27</v>
      </c>
      <c r="O43" s="7"/>
    </row>
    <row r="44" customFormat="false" ht="14.25" hidden="false" customHeight="false" outlineLevel="0" collapsed="false">
      <c r="A44" s="76" t="n">
        <v>44</v>
      </c>
      <c r="B44" s="76" t="s">
        <v>85</v>
      </c>
      <c r="C44" s="76" t="s">
        <v>86</v>
      </c>
      <c r="D44" s="76" t="n">
        <v>93202</v>
      </c>
      <c r="E44" s="77" t="n">
        <v>200025889312</v>
      </c>
      <c r="F44" s="78" t="s">
        <v>90</v>
      </c>
      <c r="G44" s="77" t="n">
        <v>210262</v>
      </c>
      <c r="H44" s="79" t="n">
        <v>45434.2455671296</v>
      </c>
      <c r="I44" s="76" t="n">
        <v>4</v>
      </c>
      <c r="J44" s="76" t="n">
        <v>0</v>
      </c>
      <c r="K44" s="76" t="n">
        <v>18</v>
      </c>
      <c r="L44" s="78" t="s">
        <v>90</v>
      </c>
      <c r="M44" s="76" t="n">
        <v>4</v>
      </c>
      <c r="N44" s="76" t="n">
        <v>28</v>
      </c>
    </row>
    <row r="45" customFormat="false" ht="14.25" hidden="false" customHeight="false" outlineLevel="0" collapsed="false">
      <c r="A45" s="76" t="n">
        <v>45</v>
      </c>
      <c r="B45" s="76" t="s">
        <v>85</v>
      </c>
      <c r="C45" s="76" t="s">
        <v>86</v>
      </c>
      <c r="D45" s="76" t="n">
        <v>93202</v>
      </c>
      <c r="E45" s="77" t="n">
        <v>200025889312</v>
      </c>
      <c r="F45" s="78" t="s">
        <v>90</v>
      </c>
      <c r="G45" s="77" t="n">
        <v>210262</v>
      </c>
      <c r="H45" s="79" t="n">
        <v>45434.248125</v>
      </c>
      <c r="I45" s="76" t="n">
        <v>4</v>
      </c>
      <c r="J45" s="76" t="n">
        <v>0</v>
      </c>
      <c r="K45" s="76" t="n">
        <v>19</v>
      </c>
      <c r="L45" s="78" t="s">
        <v>90</v>
      </c>
      <c r="M45" s="76" t="n">
        <v>4</v>
      </c>
      <c r="N45" s="76" t="n">
        <v>29</v>
      </c>
      <c r="O45" s="1"/>
    </row>
    <row r="46" customFormat="false" ht="14.25" hidden="false" customHeight="false" outlineLevel="0" collapsed="false">
      <c r="A46" s="76" t="n">
        <v>46</v>
      </c>
      <c r="B46" s="76" t="s">
        <v>85</v>
      </c>
      <c r="C46" s="76" t="s">
        <v>86</v>
      </c>
      <c r="D46" s="76" t="n">
        <v>93202</v>
      </c>
      <c r="E46" s="77" t="n">
        <v>200025889312</v>
      </c>
      <c r="F46" s="78" t="s">
        <v>90</v>
      </c>
      <c r="G46" s="77" t="n">
        <v>210262</v>
      </c>
      <c r="H46" s="79" t="n">
        <v>45434.2682175926</v>
      </c>
      <c r="I46" s="76" t="n">
        <v>4</v>
      </c>
      <c r="J46" s="76" t="n">
        <v>1</v>
      </c>
      <c r="K46" s="76" t="n">
        <v>20</v>
      </c>
      <c r="L46" s="78" t="s">
        <v>90</v>
      </c>
      <c r="M46" s="76" t="n">
        <v>4</v>
      </c>
      <c r="N46" s="76" t="n">
        <v>30</v>
      </c>
    </row>
    <row r="47" customFormat="false" ht="14.25" hidden="false" customHeight="false" outlineLevel="0" collapsed="false">
      <c r="A47" s="76" t="n">
        <v>47</v>
      </c>
      <c r="B47" s="76" t="s">
        <v>85</v>
      </c>
      <c r="C47" s="76" t="s">
        <v>86</v>
      </c>
      <c r="D47" s="76" t="n">
        <v>93202</v>
      </c>
      <c r="E47" s="77" t="n">
        <v>200025889312</v>
      </c>
      <c r="F47" s="78" t="s">
        <v>90</v>
      </c>
      <c r="G47" s="77" t="n">
        <v>210262</v>
      </c>
      <c r="H47" s="79" t="n">
        <v>45434.2682407407</v>
      </c>
      <c r="I47" s="76" t="n">
        <v>4</v>
      </c>
      <c r="J47" s="76" t="n">
        <v>1</v>
      </c>
      <c r="K47" s="76" t="n">
        <v>21</v>
      </c>
      <c r="L47" s="78" t="s">
        <v>90</v>
      </c>
      <c r="M47" s="76" t="n">
        <v>4</v>
      </c>
      <c r="N47" s="76" t="n">
        <v>31</v>
      </c>
      <c r="O47" s="1"/>
    </row>
    <row r="48" customFormat="false" ht="14.25" hidden="false" customHeight="false" outlineLevel="0" collapsed="false">
      <c r="A48" s="76" t="n">
        <v>48</v>
      </c>
      <c r="B48" s="76" t="s">
        <v>85</v>
      </c>
      <c r="C48" s="76" t="s">
        <v>86</v>
      </c>
      <c r="D48" s="76" t="n">
        <v>93202</v>
      </c>
      <c r="E48" s="77" t="n">
        <v>200025889312</v>
      </c>
      <c r="F48" s="78" t="s">
        <v>90</v>
      </c>
      <c r="G48" s="77" t="n">
        <v>210262</v>
      </c>
      <c r="H48" s="79" t="n">
        <v>45434.2724768519</v>
      </c>
      <c r="I48" s="76" t="n">
        <v>4</v>
      </c>
      <c r="J48" s="76" t="n">
        <v>1</v>
      </c>
      <c r="K48" s="76" t="n">
        <v>22</v>
      </c>
      <c r="L48" s="78" t="s">
        <v>90</v>
      </c>
      <c r="M48" s="76" t="n">
        <v>4</v>
      </c>
      <c r="N48" s="76" t="n">
        <v>32</v>
      </c>
    </row>
    <row r="49" customFormat="false" ht="14.25" hidden="false" customHeight="false" outlineLevel="0" collapsed="false">
      <c r="A49" s="76" t="n">
        <v>49</v>
      </c>
      <c r="B49" s="76" t="s">
        <v>85</v>
      </c>
      <c r="C49" s="76" t="s">
        <v>86</v>
      </c>
      <c r="D49" s="76" t="n">
        <v>93202</v>
      </c>
      <c r="E49" s="77" t="n">
        <v>200025889312</v>
      </c>
      <c r="F49" s="78" t="s">
        <v>90</v>
      </c>
      <c r="G49" s="77" t="n">
        <v>210262</v>
      </c>
      <c r="H49" s="79" t="n">
        <v>45434.2743865741</v>
      </c>
      <c r="I49" s="76" t="n">
        <v>4</v>
      </c>
      <c r="J49" s="76" t="n">
        <v>1</v>
      </c>
      <c r="K49" s="76" t="n">
        <v>23</v>
      </c>
      <c r="L49" s="78" t="s">
        <v>90</v>
      </c>
      <c r="M49" s="76" t="n">
        <v>4</v>
      </c>
      <c r="N49" s="76" t="n">
        <v>33</v>
      </c>
    </row>
    <row r="50" customFormat="false" ht="14.25" hidden="false" customHeight="false" outlineLevel="0" collapsed="false">
      <c r="A50" s="76" t="n">
        <v>50</v>
      </c>
      <c r="B50" s="76" t="s">
        <v>85</v>
      </c>
      <c r="C50" s="76" t="s">
        <v>86</v>
      </c>
      <c r="D50" s="76" t="n">
        <v>93202</v>
      </c>
      <c r="E50" s="77" t="n">
        <v>200025889312</v>
      </c>
      <c r="F50" s="78" t="s">
        <v>90</v>
      </c>
      <c r="G50" s="77" t="n">
        <v>210262</v>
      </c>
      <c r="H50" s="79" t="n">
        <v>45434.274525463</v>
      </c>
      <c r="I50" s="76" t="n">
        <v>4</v>
      </c>
      <c r="J50" s="76" t="n">
        <v>0</v>
      </c>
      <c r="K50" s="76" t="n">
        <v>24</v>
      </c>
      <c r="L50" s="78" t="s">
        <v>90</v>
      </c>
      <c r="M50" s="76" t="n">
        <v>4</v>
      </c>
      <c r="N50" s="76" t="n">
        <v>34</v>
      </c>
    </row>
    <row r="51" customFormat="false" ht="14.25" hidden="false" customHeight="false" outlineLevel="0" collapsed="false">
      <c r="A51" s="76" t="n">
        <v>51</v>
      </c>
      <c r="B51" s="76" t="s">
        <v>85</v>
      </c>
      <c r="C51" s="76" t="s">
        <v>86</v>
      </c>
      <c r="D51" s="76" t="n">
        <v>93202</v>
      </c>
      <c r="E51" s="77" t="n">
        <v>200025889312</v>
      </c>
      <c r="F51" s="78" t="s">
        <v>90</v>
      </c>
      <c r="G51" s="77" t="n">
        <v>210262</v>
      </c>
      <c r="H51" s="79" t="n">
        <v>45434.3656134259</v>
      </c>
      <c r="I51" s="76" t="n">
        <v>4</v>
      </c>
      <c r="J51" s="76" t="n">
        <v>2</v>
      </c>
      <c r="K51" s="76" t="n">
        <v>25</v>
      </c>
      <c r="L51" s="78" t="s">
        <v>90</v>
      </c>
      <c r="M51" s="76" t="n">
        <v>4</v>
      </c>
      <c r="N51" s="76" t="n">
        <v>35</v>
      </c>
    </row>
    <row r="52" customFormat="false" ht="14.25" hidden="false" customHeight="false" outlineLevel="0" collapsed="false">
      <c r="A52" s="76" t="n">
        <v>52</v>
      </c>
      <c r="B52" s="76" t="s">
        <v>85</v>
      </c>
      <c r="C52" s="76" t="s">
        <v>86</v>
      </c>
      <c r="D52" s="76" t="n">
        <v>93202</v>
      </c>
      <c r="E52" s="77" t="n">
        <v>200025889312</v>
      </c>
      <c r="F52" s="78" t="s">
        <v>90</v>
      </c>
      <c r="G52" s="77" t="n">
        <v>210262</v>
      </c>
      <c r="H52" s="79" t="n">
        <v>45434.3656365741</v>
      </c>
      <c r="I52" s="76" t="n">
        <v>4</v>
      </c>
      <c r="J52" s="76" t="n">
        <v>5671</v>
      </c>
      <c r="K52" s="76" t="n">
        <v>26</v>
      </c>
      <c r="L52" s="78" t="s">
        <v>90</v>
      </c>
      <c r="M52" s="76" t="n">
        <v>4</v>
      </c>
      <c r="N52" s="76" t="n">
        <v>36</v>
      </c>
    </row>
    <row r="53" customFormat="false" ht="14.25" hidden="false" customHeight="false" outlineLevel="0" collapsed="false">
      <c r="A53" s="76" t="n">
        <v>53</v>
      </c>
      <c r="B53" s="76" t="s">
        <v>85</v>
      </c>
      <c r="C53" s="76" t="s">
        <v>86</v>
      </c>
      <c r="D53" s="76" t="n">
        <v>93202</v>
      </c>
      <c r="E53" s="77" t="n">
        <v>200025889312</v>
      </c>
      <c r="F53" s="78" t="s">
        <v>90</v>
      </c>
      <c r="G53" s="77" t="n">
        <v>210262</v>
      </c>
      <c r="H53" s="79" t="n">
        <v>45434.4312847222</v>
      </c>
      <c r="I53" s="76" t="n">
        <v>4</v>
      </c>
      <c r="J53" s="76" t="n">
        <v>0</v>
      </c>
      <c r="K53" s="76" t="n">
        <v>27</v>
      </c>
      <c r="L53" s="78" t="s">
        <v>90</v>
      </c>
      <c r="M53" s="76" t="n">
        <v>4</v>
      </c>
      <c r="N53" s="76" t="n">
        <v>37</v>
      </c>
    </row>
    <row r="54" customFormat="false" ht="14.25" hidden="false" customHeight="false" outlineLevel="0" collapsed="false">
      <c r="A54" s="76" t="n">
        <v>54</v>
      </c>
      <c r="B54" s="76" t="s">
        <v>85</v>
      </c>
      <c r="C54" s="76" t="s">
        <v>86</v>
      </c>
      <c r="D54" s="76" t="n">
        <v>93202</v>
      </c>
      <c r="E54" s="77" t="n">
        <v>200025889312</v>
      </c>
      <c r="F54" s="78" t="s">
        <v>90</v>
      </c>
      <c r="G54" s="77" t="n">
        <v>210262</v>
      </c>
      <c r="H54" s="79" t="n">
        <v>45434.4312962963</v>
      </c>
      <c r="I54" s="76" t="n">
        <v>4</v>
      </c>
      <c r="J54" s="76" t="n">
        <v>0</v>
      </c>
      <c r="K54" s="76" t="n">
        <v>28</v>
      </c>
      <c r="L54" s="78" t="s">
        <v>90</v>
      </c>
      <c r="M54" s="76" t="n">
        <v>4</v>
      </c>
      <c r="N54" s="76" t="n">
        <v>38</v>
      </c>
    </row>
    <row r="55" customFormat="false" ht="14.25" hidden="false" customHeight="false" outlineLevel="0" collapsed="false">
      <c r="A55" s="76" t="n">
        <v>55</v>
      </c>
      <c r="B55" s="76" t="s">
        <v>85</v>
      </c>
      <c r="C55" s="76" t="s">
        <v>86</v>
      </c>
      <c r="D55" s="76" t="n">
        <v>93202</v>
      </c>
      <c r="E55" s="77" t="n">
        <v>200025889312</v>
      </c>
      <c r="F55" s="78" t="s">
        <v>90</v>
      </c>
      <c r="G55" s="77" t="n">
        <v>210262</v>
      </c>
      <c r="H55" s="79" t="n">
        <v>45434.4314699074</v>
      </c>
      <c r="I55" s="76" t="n">
        <v>4</v>
      </c>
      <c r="J55" s="76" t="n">
        <v>1</v>
      </c>
      <c r="K55" s="76" t="n">
        <v>29</v>
      </c>
      <c r="L55" s="78" t="s">
        <v>90</v>
      </c>
      <c r="M55" s="76" t="n">
        <v>4</v>
      </c>
      <c r="N55" s="76" t="n">
        <v>39</v>
      </c>
    </row>
    <row r="56" customFormat="false" ht="14.25" hidden="false" customHeight="false" outlineLevel="0" collapsed="false">
      <c r="A56" s="76" t="n">
        <v>56</v>
      </c>
      <c r="B56" s="76" t="s">
        <v>85</v>
      </c>
      <c r="C56" s="76" t="s">
        <v>86</v>
      </c>
      <c r="D56" s="76" t="n">
        <v>93202</v>
      </c>
      <c r="E56" s="77" t="n">
        <v>200025889312</v>
      </c>
      <c r="F56" s="78" t="s">
        <v>90</v>
      </c>
      <c r="G56" s="77" t="n">
        <v>210262</v>
      </c>
      <c r="H56" s="79" t="n">
        <v>45434.4314814815</v>
      </c>
      <c r="I56" s="76" t="n">
        <v>4</v>
      </c>
      <c r="J56" s="76" t="n">
        <v>1</v>
      </c>
      <c r="K56" s="76" t="n">
        <v>30</v>
      </c>
      <c r="L56" s="78" t="s">
        <v>90</v>
      </c>
      <c r="M56" s="76" t="n">
        <v>4</v>
      </c>
      <c r="N56" s="76" t="n">
        <v>40</v>
      </c>
    </row>
    <row r="57" customFormat="false" ht="14.25" hidden="false" customHeight="false" outlineLevel="0" collapsed="false">
      <c r="A57" s="76" t="n">
        <v>57</v>
      </c>
      <c r="B57" s="76" t="s">
        <v>85</v>
      </c>
      <c r="C57" s="76" t="s">
        <v>86</v>
      </c>
      <c r="D57" s="76" t="n">
        <v>93202</v>
      </c>
      <c r="E57" s="77" t="n">
        <v>200025889312</v>
      </c>
      <c r="F57" s="78" t="s">
        <v>90</v>
      </c>
      <c r="G57" s="77" t="n">
        <v>210262</v>
      </c>
      <c r="H57" s="79" t="n">
        <v>45434.4315046296</v>
      </c>
      <c r="I57" s="76" t="n">
        <v>4</v>
      </c>
      <c r="J57" s="76" t="n">
        <v>1</v>
      </c>
      <c r="K57" s="76" t="n">
        <v>31</v>
      </c>
      <c r="L57" s="78" t="s">
        <v>90</v>
      </c>
      <c r="M57" s="76" t="n">
        <v>4</v>
      </c>
      <c r="N57" s="76" t="n">
        <v>41</v>
      </c>
    </row>
    <row r="58" customFormat="false" ht="14.25" hidden="false" customHeight="false" outlineLevel="0" collapsed="false">
      <c r="A58" s="76" t="n">
        <v>63</v>
      </c>
      <c r="B58" s="76" t="s">
        <v>85</v>
      </c>
      <c r="C58" s="76" t="s">
        <v>86</v>
      </c>
      <c r="D58" s="76" t="n">
        <v>93202</v>
      </c>
      <c r="E58" s="77" t="n">
        <v>200025889312</v>
      </c>
      <c r="F58" s="78" t="s">
        <v>90</v>
      </c>
      <c r="G58" s="77" t="n">
        <v>210262</v>
      </c>
      <c r="H58" s="79" t="n">
        <v>45434.4987037037</v>
      </c>
      <c r="I58" s="76" t="n">
        <v>4</v>
      </c>
      <c r="J58" s="76" t="n">
        <v>1</v>
      </c>
      <c r="K58" s="76" t="n">
        <v>32</v>
      </c>
      <c r="L58" s="78" t="s">
        <v>90</v>
      </c>
      <c r="M58" s="76" t="n">
        <v>4</v>
      </c>
      <c r="N58" s="76" t="n">
        <v>47</v>
      </c>
    </row>
    <row r="59" customFormat="false" ht="14.25" hidden="false" customHeight="false" outlineLevel="0" collapsed="false">
      <c r="A59" s="76" t="n">
        <v>64</v>
      </c>
      <c r="B59" s="76" t="s">
        <v>85</v>
      </c>
      <c r="C59" s="76" t="s">
        <v>86</v>
      </c>
      <c r="D59" s="76" t="n">
        <v>93202</v>
      </c>
      <c r="E59" s="77" t="n">
        <v>200025889312</v>
      </c>
      <c r="F59" s="78" t="s">
        <v>90</v>
      </c>
      <c r="G59" s="77" t="n">
        <v>210262</v>
      </c>
      <c r="H59" s="79" t="n">
        <v>45434.4987152778</v>
      </c>
      <c r="I59" s="76" t="n">
        <v>4</v>
      </c>
      <c r="J59" s="76" t="n">
        <v>1</v>
      </c>
      <c r="K59" s="76" t="n">
        <v>33</v>
      </c>
      <c r="L59" s="78" t="s">
        <v>90</v>
      </c>
      <c r="M59" s="76" t="n">
        <v>4</v>
      </c>
      <c r="N59" s="76" t="n">
        <v>48</v>
      </c>
    </row>
    <row r="60" s="1" customFormat="true" ht="14.25" hidden="false" customHeight="false" outlineLevel="0" collapsed="false">
      <c r="A60" s="80" t="n">
        <v>58</v>
      </c>
      <c r="B60" s="80" t="s">
        <v>85</v>
      </c>
      <c r="C60" s="80" t="s">
        <v>86</v>
      </c>
      <c r="D60" s="80" t="n">
        <v>93202</v>
      </c>
      <c r="E60" s="81" t="n">
        <v>200025889054</v>
      </c>
      <c r="F60" s="82" t="s">
        <v>91</v>
      </c>
      <c r="G60" s="82" t="s">
        <v>92</v>
      </c>
      <c r="H60" s="83" t="n">
        <v>45434.4708217593</v>
      </c>
      <c r="I60" s="80" t="n">
        <v>5</v>
      </c>
      <c r="J60" s="80" t="n">
        <v>2</v>
      </c>
      <c r="K60" s="80" t="n">
        <v>1</v>
      </c>
      <c r="L60" s="82" t="s">
        <v>91</v>
      </c>
      <c r="M60" s="80" t="n">
        <v>5</v>
      </c>
      <c r="N60" s="80" t="n">
        <v>42</v>
      </c>
      <c r="O60" s="7"/>
    </row>
    <row r="61" s="1" customFormat="true" ht="14.25" hidden="false" customHeight="false" outlineLevel="0" collapsed="false">
      <c r="A61" s="80" t="n">
        <v>69</v>
      </c>
      <c r="B61" s="80" t="s">
        <v>85</v>
      </c>
      <c r="C61" s="80" t="s">
        <v>86</v>
      </c>
      <c r="D61" s="80" t="n">
        <v>93202</v>
      </c>
      <c r="E61" s="81" t="n">
        <v>200025889054</v>
      </c>
      <c r="F61" s="82" t="s">
        <v>91</v>
      </c>
      <c r="G61" s="82" t="s">
        <v>92</v>
      </c>
      <c r="H61" s="83" t="n">
        <v>45434.567025463</v>
      </c>
      <c r="I61" s="80" t="n">
        <v>5</v>
      </c>
      <c r="J61" s="80" t="n">
        <v>0</v>
      </c>
      <c r="K61" s="80" t="n">
        <v>2</v>
      </c>
      <c r="L61" s="82" t="s">
        <v>91</v>
      </c>
      <c r="M61" s="80" t="n">
        <v>5</v>
      </c>
      <c r="N61" s="80" t="n">
        <v>53</v>
      </c>
      <c r="O61" s="7"/>
    </row>
    <row r="62" s="1" customFormat="true" ht="14.25" hidden="false" customHeight="false" outlineLevel="0" collapsed="false">
      <c r="A62" s="80" t="n">
        <v>70</v>
      </c>
      <c r="B62" s="80" t="s">
        <v>85</v>
      </c>
      <c r="C62" s="80" t="s">
        <v>86</v>
      </c>
      <c r="D62" s="80" t="n">
        <v>93202</v>
      </c>
      <c r="E62" s="81" t="n">
        <v>200025889054</v>
      </c>
      <c r="F62" s="82" t="s">
        <v>91</v>
      </c>
      <c r="G62" s="82" t="s">
        <v>92</v>
      </c>
      <c r="H62" s="83" t="n">
        <v>45434.567025463</v>
      </c>
      <c r="I62" s="80" t="n">
        <v>5</v>
      </c>
      <c r="J62" s="80" t="n">
        <v>1</v>
      </c>
      <c r="K62" s="80" t="n">
        <v>3</v>
      </c>
      <c r="L62" s="82" t="s">
        <v>91</v>
      </c>
      <c r="M62" s="80" t="n">
        <v>5</v>
      </c>
      <c r="N62" s="80" t="n">
        <v>54</v>
      </c>
      <c r="O62" s="7"/>
    </row>
    <row r="63" s="1" customFormat="true" ht="14.25" hidden="false" customHeight="false" outlineLevel="0" collapsed="false">
      <c r="A63" s="80" t="n">
        <v>71</v>
      </c>
      <c r="B63" s="80" t="s">
        <v>85</v>
      </c>
      <c r="C63" s="80" t="s">
        <v>86</v>
      </c>
      <c r="D63" s="80" t="n">
        <v>93202</v>
      </c>
      <c r="E63" s="81" t="n">
        <v>200025889054</v>
      </c>
      <c r="F63" s="82" t="s">
        <v>91</v>
      </c>
      <c r="G63" s="82" t="s">
        <v>92</v>
      </c>
      <c r="H63" s="83" t="n">
        <v>45434.5670486111</v>
      </c>
      <c r="I63" s="80" t="n">
        <v>5</v>
      </c>
      <c r="J63" s="80" t="n">
        <v>1</v>
      </c>
      <c r="K63" s="80" t="n">
        <v>4</v>
      </c>
      <c r="L63" s="82" t="s">
        <v>91</v>
      </c>
      <c r="M63" s="80" t="n">
        <v>5</v>
      </c>
      <c r="N63" s="80" t="n">
        <v>55</v>
      </c>
      <c r="O63" s="7"/>
    </row>
    <row r="64" customFormat="false" ht="14.25" hidden="false" customHeight="false" outlineLevel="0" collapsed="false">
      <c r="A64" s="80" t="n">
        <v>82</v>
      </c>
      <c r="B64" s="80" t="s">
        <v>85</v>
      </c>
      <c r="C64" s="80" t="s">
        <v>86</v>
      </c>
      <c r="D64" s="80" t="n">
        <v>93202</v>
      </c>
      <c r="E64" s="81" t="n">
        <v>200025889054</v>
      </c>
      <c r="F64" s="82" t="s">
        <v>91</v>
      </c>
      <c r="G64" s="82" t="s">
        <v>92</v>
      </c>
      <c r="H64" s="83" t="n">
        <v>45434.5969560185</v>
      </c>
      <c r="I64" s="80" t="n">
        <v>5</v>
      </c>
      <c r="J64" s="80" t="n">
        <v>0</v>
      </c>
      <c r="K64" s="80" t="n">
        <v>5</v>
      </c>
      <c r="L64" s="82" t="s">
        <v>91</v>
      </c>
      <c r="M64" s="80" t="n">
        <v>5</v>
      </c>
      <c r="N64" s="80" t="n">
        <v>66</v>
      </c>
    </row>
    <row r="65" customFormat="false" ht="14.25" hidden="false" customHeight="false" outlineLevel="0" collapsed="false">
      <c r="A65" s="80" t="n">
        <v>83</v>
      </c>
      <c r="B65" s="80" t="s">
        <v>85</v>
      </c>
      <c r="C65" s="80" t="s">
        <v>86</v>
      </c>
      <c r="D65" s="80" t="n">
        <v>93202</v>
      </c>
      <c r="E65" s="81" t="n">
        <v>200025889054</v>
      </c>
      <c r="F65" s="82" t="s">
        <v>91</v>
      </c>
      <c r="G65" s="82" t="s">
        <v>92</v>
      </c>
      <c r="H65" s="83" t="n">
        <v>45434.5969675926</v>
      </c>
      <c r="I65" s="80" t="n">
        <v>5</v>
      </c>
      <c r="J65" s="80" t="n">
        <v>0</v>
      </c>
      <c r="K65" s="80" t="n">
        <v>6</v>
      </c>
      <c r="L65" s="82" t="s">
        <v>91</v>
      </c>
      <c r="M65" s="80" t="n">
        <v>5</v>
      </c>
      <c r="N65" s="80" t="n">
        <v>67</v>
      </c>
      <c r="O65" s="1"/>
    </row>
    <row r="66" customFormat="false" ht="14.25" hidden="false" customHeight="false" outlineLevel="0" collapsed="false">
      <c r="A66" s="80" t="n">
        <v>84</v>
      </c>
      <c r="B66" s="80" t="s">
        <v>85</v>
      </c>
      <c r="C66" s="80" t="s">
        <v>86</v>
      </c>
      <c r="D66" s="80" t="n">
        <v>93202</v>
      </c>
      <c r="E66" s="81" t="n">
        <v>200025889054</v>
      </c>
      <c r="F66" s="82" t="s">
        <v>91</v>
      </c>
      <c r="G66" s="82" t="s">
        <v>92</v>
      </c>
      <c r="H66" s="83" t="n">
        <v>45434.5969791667</v>
      </c>
      <c r="I66" s="80" t="n">
        <v>5</v>
      </c>
      <c r="J66" s="80" t="n">
        <v>0</v>
      </c>
      <c r="K66" s="80" t="n">
        <v>7</v>
      </c>
      <c r="L66" s="82" t="s">
        <v>91</v>
      </c>
      <c r="M66" s="80" t="n">
        <v>5</v>
      </c>
      <c r="N66" s="80" t="n">
        <v>68</v>
      </c>
      <c r="O66" s="1"/>
    </row>
    <row r="67" customFormat="false" ht="14.25" hidden="false" customHeight="false" outlineLevel="0" collapsed="false">
      <c r="A67" s="80" t="n">
        <v>85</v>
      </c>
      <c r="B67" s="80" t="s">
        <v>85</v>
      </c>
      <c r="C67" s="80" t="s">
        <v>86</v>
      </c>
      <c r="D67" s="80" t="n">
        <v>93202</v>
      </c>
      <c r="E67" s="81" t="n">
        <v>200025889054</v>
      </c>
      <c r="F67" s="82" t="s">
        <v>91</v>
      </c>
      <c r="G67" s="82" t="s">
        <v>92</v>
      </c>
      <c r="H67" s="83" t="n">
        <v>45434.5969791667</v>
      </c>
      <c r="I67" s="80" t="n">
        <v>5</v>
      </c>
      <c r="J67" s="80" t="n">
        <v>1</v>
      </c>
      <c r="K67" s="80" t="n">
        <v>8</v>
      </c>
      <c r="L67" s="82" t="s">
        <v>91</v>
      </c>
      <c r="M67" s="80" t="n">
        <v>5</v>
      </c>
      <c r="N67" s="80" t="n">
        <v>69</v>
      </c>
      <c r="O67" s="1"/>
    </row>
    <row r="68" customFormat="false" ht="14.25" hidden="false" customHeight="false" outlineLevel="0" collapsed="false">
      <c r="A68" s="80" t="n">
        <v>86</v>
      </c>
      <c r="B68" s="80" t="s">
        <v>85</v>
      </c>
      <c r="C68" s="80" t="s">
        <v>86</v>
      </c>
      <c r="D68" s="80" t="n">
        <v>93202</v>
      </c>
      <c r="E68" s="81" t="n">
        <v>200025889054</v>
      </c>
      <c r="F68" s="82" t="s">
        <v>91</v>
      </c>
      <c r="G68" s="82" t="s">
        <v>92</v>
      </c>
      <c r="H68" s="83" t="n">
        <v>45434.5969907407</v>
      </c>
      <c r="I68" s="80" t="n">
        <v>5</v>
      </c>
      <c r="J68" s="80" t="n">
        <v>0</v>
      </c>
      <c r="K68" s="80" t="n">
        <v>9</v>
      </c>
      <c r="L68" s="82" t="s">
        <v>91</v>
      </c>
      <c r="M68" s="80" t="n">
        <v>5</v>
      </c>
      <c r="N68" s="80" t="n">
        <v>70</v>
      </c>
      <c r="O68" s="1"/>
    </row>
    <row r="69" customFormat="false" ht="14.25" hidden="false" customHeight="false" outlineLevel="0" collapsed="false">
      <c r="A69" s="80" t="n">
        <v>87</v>
      </c>
      <c r="B69" s="80" t="s">
        <v>85</v>
      </c>
      <c r="C69" s="80" t="s">
        <v>86</v>
      </c>
      <c r="D69" s="80" t="n">
        <v>93202</v>
      </c>
      <c r="E69" s="81" t="n">
        <v>200025889054</v>
      </c>
      <c r="F69" s="82" t="s">
        <v>91</v>
      </c>
      <c r="G69" s="82" t="s">
        <v>92</v>
      </c>
      <c r="H69" s="83" t="n">
        <v>45434.5971412037</v>
      </c>
      <c r="I69" s="80" t="n">
        <v>5</v>
      </c>
      <c r="J69" s="80" t="n">
        <v>2</v>
      </c>
      <c r="K69" s="80" t="n">
        <v>10</v>
      </c>
      <c r="L69" s="82" t="s">
        <v>91</v>
      </c>
      <c r="M69" s="80" t="n">
        <v>5</v>
      </c>
      <c r="N69" s="80" t="n">
        <v>71</v>
      </c>
    </row>
    <row r="70" customFormat="false" ht="14.25" hidden="false" customHeight="false" outlineLevel="0" collapsed="false">
      <c r="A70" s="80" t="n">
        <v>88</v>
      </c>
      <c r="B70" s="80" t="s">
        <v>85</v>
      </c>
      <c r="C70" s="80" t="s">
        <v>86</v>
      </c>
      <c r="D70" s="80" t="n">
        <v>93202</v>
      </c>
      <c r="E70" s="81" t="n">
        <v>200025889054</v>
      </c>
      <c r="F70" s="82" t="s">
        <v>91</v>
      </c>
      <c r="G70" s="82" t="s">
        <v>92</v>
      </c>
      <c r="H70" s="83" t="n">
        <v>45434.5973148148</v>
      </c>
      <c r="I70" s="80" t="n">
        <v>5</v>
      </c>
      <c r="J70" s="80" t="n">
        <v>0</v>
      </c>
      <c r="K70" s="80" t="n">
        <v>11</v>
      </c>
      <c r="L70" s="82" t="s">
        <v>91</v>
      </c>
      <c r="M70" s="80" t="n">
        <v>5</v>
      </c>
      <c r="N70" s="80" t="n">
        <v>72</v>
      </c>
    </row>
    <row r="71" customFormat="false" ht="14.25" hidden="false" customHeight="false" outlineLevel="0" collapsed="false">
      <c r="A71" s="80" t="n">
        <v>89</v>
      </c>
      <c r="B71" s="80" t="s">
        <v>85</v>
      </c>
      <c r="C71" s="80" t="s">
        <v>86</v>
      </c>
      <c r="D71" s="80" t="n">
        <v>93202</v>
      </c>
      <c r="E71" s="81" t="n">
        <v>200025889054</v>
      </c>
      <c r="F71" s="82" t="s">
        <v>91</v>
      </c>
      <c r="G71" s="82" t="s">
        <v>92</v>
      </c>
      <c r="H71" s="83" t="n">
        <v>45434.5973263889</v>
      </c>
      <c r="I71" s="80" t="n">
        <v>5</v>
      </c>
      <c r="J71" s="80" t="n">
        <v>1</v>
      </c>
      <c r="K71" s="80" t="n">
        <v>12</v>
      </c>
      <c r="L71" s="82" t="s">
        <v>91</v>
      </c>
      <c r="M71" s="80" t="n">
        <v>5</v>
      </c>
      <c r="N71" s="80" t="n">
        <v>73</v>
      </c>
    </row>
    <row r="72" customFormat="false" ht="14.25" hidden="false" customHeight="false" outlineLevel="0" collapsed="false">
      <c r="A72" s="80" t="n">
        <v>90</v>
      </c>
      <c r="B72" s="80" t="s">
        <v>85</v>
      </c>
      <c r="C72" s="80" t="s">
        <v>86</v>
      </c>
      <c r="D72" s="80" t="n">
        <v>93202</v>
      </c>
      <c r="E72" s="81" t="n">
        <v>200025889054</v>
      </c>
      <c r="F72" s="82" t="s">
        <v>91</v>
      </c>
      <c r="G72" s="82" t="s">
        <v>92</v>
      </c>
      <c r="H72" s="83" t="n">
        <v>45434.5974421296</v>
      </c>
      <c r="I72" s="80" t="n">
        <v>5</v>
      </c>
      <c r="J72" s="80" t="n">
        <v>0</v>
      </c>
      <c r="K72" s="80" t="n">
        <v>13</v>
      </c>
      <c r="L72" s="82" t="s">
        <v>91</v>
      </c>
      <c r="M72" s="80" t="n">
        <v>5</v>
      </c>
      <c r="N72" s="80" t="n">
        <v>74</v>
      </c>
    </row>
    <row r="73" customFormat="false" ht="14.25" hidden="false" customHeight="false" outlineLevel="0" collapsed="false">
      <c r="A73" s="80" t="n">
        <v>91</v>
      </c>
      <c r="B73" s="80" t="s">
        <v>85</v>
      </c>
      <c r="C73" s="80" t="s">
        <v>86</v>
      </c>
      <c r="D73" s="80" t="n">
        <v>93202</v>
      </c>
      <c r="E73" s="81" t="n">
        <v>200025889054</v>
      </c>
      <c r="F73" s="82" t="s">
        <v>91</v>
      </c>
      <c r="G73" s="82" t="s">
        <v>92</v>
      </c>
      <c r="H73" s="83" t="n">
        <v>45434.5974421296</v>
      </c>
      <c r="I73" s="80" t="n">
        <v>5</v>
      </c>
      <c r="J73" s="80" t="n">
        <v>1</v>
      </c>
      <c r="K73" s="80" t="n">
        <v>14</v>
      </c>
      <c r="L73" s="82" t="s">
        <v>91</v>
      </c>
      <c r="M73" s="80" t="n">
        <v>5</v>
      </c>
      <c r="N73" s="80" t="n">
        <v>75</v>
      </c>
    </row>
    <row r="74" customFormat="false" ht="14.25" hidden="false" customHeight="false" outlineLevel="0" collapsed="false">
      <c r="A74" s="80" t="n">
        <v>126</v>
      </c>
      <c r="B74" s="80" t="s">
        <v>85</v>
      </c>
      <c r="C74" s="80" t="s">
        <v>86</v>
      </c>
      <c r="D74" s="80" t="n">
        <v>93202</v>
      </c>
      <c r="E74" s="81" t="n">
        <v>200025889054</v>
      </c>
      <c r="F74" s="82" t="s">
        <v>91</v>
      </c>
      <c r="G74" s="82" t="s">
        <v>92</v>
      </c>
      <c r="H74" s="83" t="n">
        <v>45434.6848148148</v>
      </c>
      <c r="I74" s="80" t="n">
        <v>5</v>
      </c>
      <c r="J74" s="80" t="n">
        <v>1</v>
      </c>
      <c r="K74" s="80" t="n">
        <v>15</v>
      </c>
      <c r="L74" s="82" t="s">
        <v>91</v>
      </c>
      <c r="M74" s="80" t="n">
        <v>5</v>
      </c>
      <c r="N74" s="80" t="n">
        <v>110</v>
      </c>
    </row>
    <row r="75" customFormat="false" ht="14.25" hidden="false" customHeight="false" outlineLevel="0" collapsed="false">
      <c r="A75" s="80" t="n">
        <v>127</v>
      </c>
      <c r="B75" s="80" t="s">
        <v>85</v>
      </c>
      <c r="C75" s="80" t="s">
        <v>86</v>
      </c>
      <c r="D75" s="80" t="n">
        <v>93202</v>
      </c>
      <c r="E75" s="81" t="n">
        <v>200025889054</v>
      </c>
      <c r="F75" s="82" t="s">
        <v>91</v>
      </c>
      <c r="G75" s="82" t="s">
        <v>92</v>
      </c>
      <c r="H75" s="83" t="n">
        <v>45434.6848263889</v>
      </c>
      <c r="I75" s="80" t="n">
        <v>5</v>
      </c>
      <c r="J75" s="80" t="n">
        <v>2</v>
      </c>
      <c r="K75" s="80" t="n">
        <v>16</v>
      </c>
      <c r="L75" s="82" t="s">
        <v>91</v>
      </c>
      <c r="M75" s="80" t="n">
        <v>5</v>
      </c>
      <c r="N75" s="80" t="n">
        <v>111</v>
      </c>
    </row>
    <row r="76" s="1" customFormat="true" ht="14.25" hidden="false" customHeight="false" outlineLevel="0" collapsed="false">
      <c r="A76" s="80" t="n">
        <v>128</v>
      </c>
      <c r="B76" s="80" t="s">
        <v>85</v>
      </c>
      <c r="C76" s="80" t="s">
        <v>86</v>
      </c>
      <c r="D76" s="80" t="n">
        <v>93202</v>
      </c>
      <c r="E76" s="81" t="n">
        <v>200025889054</v>
      </c>
      <c r="F76" s="82" t="s">
        <v>91</v>
      </c>
      <c r="G76" s="82" t="s">
        <v>92</v>
      </c>
      <c r="H76" s="83" t="n">
        <v>45434.684849537</v>
      </c>
      <c r="I76" s="80" t="n">
        <v>5</v>
      </c>
      <c r="J76" s="80" t="n">
        <v>1</v>
      </c>
      <c r="K76" s="80" t="n">
        <v>17</v>
      </c>
      <c r="L76" s="82" t="s">
        <v>91</v>
      </c>
      <c r="M76" s="80" t="n">
        <v>5</v>
      </c>
      <c r="N76" s="80" t="n">
        <v>112</v>
      </c>
      <c r="O76" s="7"/>
    </row>
    <row r="77" s="1" customFormat="true" ht="14.25" hidden="false" customHeight="false" outlineLevel="0" collapsed="false">
      <c r="A77" s="80" t="n">
        <v>129</v>
      </c>
      <c r="B77" s="80" t="s">
        <v>85</v>
      </c>
      <c r="C77" s="80" t="s">
        <v>86</v>
      </c>
      <c r="D77" s="80" t="n">
        <v>93202</v>
      </c>
      <c r="E77" s="81" t="n">
        <v>200025889054</v>
      </c>
      <c r="F77" s="82" t="s">
        <v>91</v>
      </c>
      <c r="G77" s="82" t="s">
        <v>92</v>
      </c>
      <c r="H77" s="83" t="n">
        <v>45434.6880324074</v>
      </c>
      <c r="I77" s="80" t="n">
        <v>5</v>
      </c>
      <c r="J77" s="80" t="n">
        <v>0</v>
      </c>
      <c r="K77" s="80" t="n">
        <v>18</v>
      </c>
      <c r="L77" s="82" t="s">
        <v>91</v>
      </c>
      <c r="M77" s="80" t="n">
        <v>5</v>
      </c>
      <c r="N77" s="80" t="n">
        <v>113</v>
      </c>
      <c r="O77" s="7"/>
    </row>
    <row r="78" s="1" customFormat="true" ht="14.25" hidden="false" customHeight="false" outlineLevel="0" collapsed="false">
      <c r="A78" s="80" t="n">
        <v>130</v>
      </c>
      <c r="B78" s="80" t="s">
        <v>85</v>
      </c>
      <c r="C78" s="80" t="s">
        <v>86</v>
      </c>
      <c r="D78" s="80" t="n">
        <v>93202</v>
      </c>
      <c r="E78" s="81" t="n">
        <v>200025889054</v>
      </c>
      <c r="F78" s="82" t="s">
        <v>91</v>
      </c>
      <c r="G78" s="82" t="s">
        <v>92</v>
      </c>
      <c r="H78" s="83" t="n">
        <v>45434.6880555556</v>
      </c>
      <c r="I78" s="80" t="n">
        <v>5</v>
      </c>
      <c r="J78" s="80" t="n">
        <v>1</v>
      </c>
      <c r="K78" s="80" t="n">
        <v>19</v>
      </c>
      <c r="L78" s="82" t="s">
        <v>91</v>
      </c>
      <c r="M78" s="80" t="n">
        <v>5</v>
      </c>
      <c r="N78" s="80" t="n">
        <v>114</v>
      </c>
      <c r="O78" s="7"/>
    </row>
    <row r="79" customFormat="false" ht="14.25" hidden="false" customHeight="false" outlineLevel="0" collapsed="false">
      <c r="A79" s="80" t="n">
        <v>131</v>
      </c>
      <c r="B79" s="80" t="s">
        <v>85</v>
      </c>
      <c r="C79" s="80" t="s">
        <v>86</v>
      </c>
      <c r="D79" s="80" t="n">
        <v>93202</v>
      </c>
      <c r="E79" s="81" t="n">
        <v>200025889054</v>
      </c>
      <c r="F79" s="82" t="s">
        <v>91</v>
      </c>
      <c r="G79" s="82" t="s">
        <v>92</v>
      </c>
      <c r="H79" s="83" t="n">
        <v>45434.6881597222</v>
      </c>
      <c r="I79" s="80" t="n">
        <v>5</v>
      </c>
      <c r="J79" s="80" t="n">
        <v>0</v>
      </c>
      <c r="K79" s="80" t="n">
        <v>20</v>
      </c>
      <c r="L79" s="82" t="s">
        <v>91</v>
      </c>
      <c r="M79" s="80" t="n">
        <v>5</v>
      </c>
      <c r="N79" s="80" t="n">
        <v>115</v>
      </c>
    </row>
    <row r="80" s="1" customFormat="true" ht="14.25" hidden="false" customHeight="false" outlineLevel="0" collapsed="false">
      <c r="A80" s="80" t="n">
        <v>132</v>
      </c>
      <c r="B80" s="80" t="s">
        <v>85</v>
      </c>
      <c r="C80" s="80" t="s">
        <v>86</v>
      </c>
      <c r="D80" s="80" t="n">
        <v>93202</v>
      </c>
      <c r="E80" s="81" t="n">
        <v>200025889054</v>
      </c>
      <c r="F80" s="82" t="s">
        <v>91</v>
      </c>
      <c r="G80" s="82" t="s">
        <v>92</v>
      </c>
      <c r="H80" s="83" t="n">
        <v>45434.6881712963</v>
      </c>
      <c r="I80" s="80" t="n">
        <v>5</v>
      </c>
      <c r="J80" s="80" t="n">
        <v>0</v>
      </c>
      <c r="K80" s="80" t="n">
        <v>21</v>
      </c>
      <c r="L80" s="82" t="s">
        <v>91</v>
      </c>
      <c r="M80" s="80" t="n">
        <v>5</v>
      </c>
      <c r="N80" s="80" t="n">
        <v>116</v>
      </c>
      <c r="O80" s="7"/>
    </row>
    <row r="81" s="1" customFormat="true" ht="14.25" hidden="false" customHeight="false" outlineLevel="0" collapsed="false">
      <c r="A81" s="80" t="n">
        <v>133</v>
      </c>
      <c r="B81" s="80" t="s">
        <v>85</v>
      </c>
      <c r="C81" s="80" t="s">
        <v>86</v>
      </c>
      <c r="D81" s="80" t="n">
        <v>93202</v>
      </c>
      <c r="E81" s="81" t="n">
        <v>200025889054</v>
      </c>
      <c r="F81" s="82" t="s">
        <v>91</v>
      </c>
      <c r="G81" s="82" t="s">
        <v>92</v>
      </c>
      <c r="H81" s="83" t="n">
        <v>45434.6882060185</v>
      </c>
      <c r="I81" s="80" t="n">
        <v>5</v>
      </c>
      <c r="J81" s="80" t="n">
        <v>3</v>
      </c>
      <c r="K81" s="80" t="n">
        <v>22</v>
      </c>
      <c r="L81" s="82" t="s">
        <v>91</v>
      </c>
      <c r="M81" s="80" t="n">
        <v>5</v>
      </c>
      <c r="N81" s="80" t="n">
        <v>117</v>
      </c>
    </row>
    <row r="82" s="1" customFormat="true" ht="14.25" hidden="false" customHeight="false" outlineLevel="0" collapsed="false">
      <c r="A82" s="80" t="n">
        <v>134</v>
      </c>
      <c r="B82" s="80" t="s">
        <v>85</v>
      </c>
      <c r="C82" s="80" t="s">
        <v>86</v>
      </c>
      <c r="D82" s="80" t="n">
        <v>93202</v>
      </c>
      <c r="E82" s="81" t="n">
        <v>200025889054</v>
      </c>
      <c r="F82" s="82" t="s">
        <v>91</v>
      </c>
      <c r="G82" s="82" t="s">
        <v>92</v>
      </c>
      <c r="H82" s="83" t="n">
        <v>45434.6882407407</v>
      </c>
      <c r="I82" s="80" t="n">
        <v>5</v>
      </c>
      <c r="J82" s="80" t="n">
        <v>6</v>
      </c>
      <c r="K82" s="80" t="n">
        <v>23</v>
      </c>
      <c r="L82" s="82" t="s">
        <v>91</v>
      </c>
      <c r="M82" s="80" t="n">
        <v>5</v>
      </c>
      <c r="N82" s="80" t="n">
        <v>118</v>
      </c>
    </row>
    <row r="83" s="1" customFormat="true" ht="14.25" hidden="false" customHeight="false" outlineLevel="0" collapsed="false">
      <c r="A83" s="80" t="n">
        <v>135</v>
      </c>
      <c r="B83" s="80" t="s">
        <v>85</v>
      </c>
      <c r="C83" s="80" t="s">
        <v>86</v>
      </c>
      <c r="D83" s="80" t="n">
        <v>93202</v>
      </c>
      <c r="E83" s="81" t="n">
        <v>200025889054</v>
      </c>
      <c r="F83" s="82" t="s">
        <v>91</v>
      </c>
      <c r="G83" s="82" t="s">
        <v>92</v>
      </c>
      <c r="H83" s="83" t="n">
        <v>45434.6883217593</v>
      </c>
      <c r="I83" s="80" t="n">
        <v>5</v>
      </c>
      <c r="J83" s="80" t="n">
        <v>1</v>
      </c>
      <c r="K83" s="80" t="n">
        <v>24</v>
      </c>
      <c r="L83" s="82" t="s">
        <v>91</v>
      </c>
      <c r="M83" s="80" t="n">
        <v>5</v>
      </c>
      <c r="N83" s="80" t="n">
        <v>119</v>
      </c>
    </row>
    <row r="84" s="1" customFormat="true" ht="14.25" hidden="false" customHeight="false" outlineLevel="0" collapsed="false">
      <c r="A84" s="80" t="n">
        <v>172</v>
      </c>
      <c r="B84" s="80" t="s">
        <v>85</v>
      </c>
      <c r="C84" s="80" t="s">
        <v>86</v>
      </c>
      <c r="D84" s="80" t="n">
        <v>93202</v>
      </c>
      <c r="E84" s="81" t="n">
        <v>200025889054</v>
      </c>
      <c r="F84" s="82" t="s">
        <v>91</v>
      </c>
      <c r="G84" s="82" t="s">
        <v>92</v>
      </c>
      <c r="H84" s="83" t="n">
        <v>45434.8208680556</v>
      </c>
      <c r="I84" s="80" t="n">
        <v>5</v>
      </c>
      <c r="J84" s="80" t="n">
        <v>1</v>
      </c>
      <c r="K84" s="80" t="n">
        <v>25</v>
      </c>
      <c r="L84" s="82" t="s">
        <v>91</v>
      </c>
      <c r="M84" s="80" t="n">
        <v>5</v>
      </c>
      <c r="N84" s="80" t="n">
        <v>156</v>
      </c>
      <c r="O84" s="7"/>
    </row>
    <row r="85" s="1" customFormat="true" ht="14.25" hidden="false" customHeight="false" outlineLevel="0" collapsed="false">
      <c r="A85" s="80" t="n">
        <v>173</v>
      </c>
      <c r="B85" s="80" t="s">
        <v>85</v>
      </c>
      <c r="C85" s="80" t="s">
        <v>86</v>
      </c>
      <c r="D85" s="80" t="n">
        <v>93202</v>
      </c>
      <c r="E85" s="81" t="n">
        <v>200025889054</v>
      </c>
      <c r="F85" s="82" t="s">
        <v>91</v>
      </c>
      <c r="G85" s="82" t="s">
        <v>92</v>
      </c>
      <c r="H85" s="83" t="n">
        <v>45434.8210416667</v>
      </c>
      <c r="I85" s="80" t="n">
        <v>5</v>
      </c>
      <c r="J85" s="80" t="n">
        <v>1</v>
      </c>
      <c r="K85" s="80" t="n">
        <v>26</v>
      </c>
      <c r="L85" s="82" t="s">
        <v>91</v>
      </c>
      <c r="M85" s="80" t="n">
        <v>5</v>
      </c>
      <c r="N85" s="80" t="n">
        <v>157</v>
      </c>
    </row>
    <row r="86" s="1" customFormat="true" ht="14.25" hidden="false" customHeight="false" outlineLevel="0" collapsed="false">
      <c r="A86" s="80" t="n">
        <v>174</v>
      </c>
      <c r="B86" s="80" t="s">
        <v>85</v>
      </c>
      <c r="C86" s="80" t="s">
        <v>86</v>
      </c>
      <c r="D86" s="80" t="n">
        <v>93202</v>
      </c>
      <c r="E86" s="81" t="n">
        <v>200025889054</v>
      </c>
      <c r="F86" s="82" t="s">
        <v>91</v>
      </c>
      <c r="G86" s="82" t="s">
        <v>92</v>
      </c>
      <c r="H86" s="83" t="n">
        <v>45434.8211342593</v>
      </c>
      <c r="I86" s="80" t="n">
        <v>5</v>
      </c>
      <c r="J86" s="80" t="n">
        <v>2</v>
      </c>
      <c r="K86" s="80" t="n">
        <v>27</v>
      </c>
      <c r="L86" s="82" t="s">
        <v>91</v>
      </c>
      <c r="M86" s="80" t="n">
        <v>5</v>
      </c>
      <c r="N86" s="80" t="n">
        <v>158</v>
      </c>
    </row>
    <row r="87" customFormat="false" ht="14.25" hidden="false" customHeight="false" outlineLevel="0" collapsed="false">
      <c r="A87" s="80" t="n">
        <v>175</v>
      </c>
      <c r="B87" s="80" t="s">
        <v>85</v>
      </c>
      <c r="C87" s="80" t="s">
        <v>86</v>
      </c>
      <c r="D87" s="80" t="n">
        <v>93202</v>
      </c>
      <c r="E87" s="81" t="n">
        <v>200025889054</v>
      </c>
      <c r="F87" s="82" t="s">
        <v>91</v>
      </c>
      <c r="G87" s="82" t="s">
        <v>92</v>
      </c>
      <c r="H87" s="83" t="n">
        <v>45434.8212268519</v>
      </c>
      <c r="I87" s="80" t="n">
        <v>5</v>
      </c>
      <c r="J87" s="80" t="n">
        <v>1</v>
      </c>
      <c r="K87" s="80" t="n">
        <v>28</v>
      </c>
      <c r="L87" s="82" t="s">
        <v>91</v>
      </c>
      <c r="M87" s="80" t="n">
        <v>5</v>
      </c>
      <c r="N87" s="80" t="n">
        <v>159</v>
      </c>
      <c r="O87" s="1"/>
    </row>
    <row r="88" customFormat="false" ht="14.25" hidden="false" customHeight="false" outlineLevel="0" collapsed="false">
      <c r="A88" s="80" t="n">
        <v>176</v>
      </c>
      <c r="B88" s="80" t="s">
        <v>85</v>
      </c>
      <c r="C88" s="80" t="s">
        <v>86</v>
      </c>
      <c r="D88" s="80" t="n">
        <v>93202</v>
      </c>
      <c r="E88" s="81" t="n">
        <v>200025889054</v>
      </c>
      <c r="F88" s="82" t="s">
        <v>91</v>
      </c>
      <c r="G88" s="82" t="s">
        <v>92</v>
      </c>
      <c r="H88" s="83" t="n">
        <v>45434.8213657407</v>
      </c>
      <c r="I88" s="80" t="n">
        <v>5</v>
      </c>
      <c r="J88" s="80" t="n">
        <v>1</v>
      </c>
      <c r="K88" s="80" t="n">
        <v>29</v>
      </c>
      <c r="L88" s="82" t="s">
        <v>91</v>
      </c>
      <c r="M88" s="80" t="n">
        <v>5</v>
      </c>
      <c r="N88" s="80" t="n">
        <v>160</v>
      </c>
      <c r="O88" s="1"/>
    </row>
    <row r="89" customFormat="false" ht="14.25" hidden="false" customHeight="false" outlineLevel="0" collapsed="false">
      <c r="A89" s="80" t="n">
        <v>177</v>
      </c>
      <c r="B89" s="80" t="s">
        <v>85</v>
      </c>
      <c r="C89" s="80" t="s">
        <v>86</v>
      </c>
      <c r="D89" s="80" t="n">
        <v>93202</v>
      </c>
      <c r="E89" s="81" t="n">
        <v>200025889054</v>
      </c>
      <c r="F89" s="82" t="s">
        <v>91</v>
      </c>
      <c r="G89" s="82" t="s">
        <v>92</v>
      </c>
      <c r="H89" s="83" t="n">
        <v>45434.8216550926</v>
      </c>
      <c r="I89" s="80" t="n">
        <v>5</v>
      </c>
      <c r="J89" s="80" t="n">
        <v>0</v>
      </c>
      <c r="K89" s="80" t="n">
        <v>30</v>
      </c>
      <c r="L89" s="82" t="s">
        <v>91</v>
      </c>
      <c r="M89" s="80" t="n">
        <v>5</v>
      </c>
      <c r="N89" s="80" t="n">
        <v>161</v>
      </c>
      <c r="O89" s="1"/>
    </row>
    <row r="90" customFormat="false" ht="14.25" hidden="false" customHeight="false" outlineLevel="0" collapsed="false">
      <c r="A90" s="80" t="n">
        <v>178</v>
      </c>
      <c r="B90" s="80" t="s">
        <v>85</v>
      </c>
      <c r="C90" s="80" t="s">
        <v>86</v>
      </c>
      <c r="D90" s="80" t="n">
        <v>93202</v>
      </c>
      <c r="E90" s="81" t="n">
        <v>200025889054</v>
      </c>
      <c r="F90" s="82" t="s">
        <v>91</v>
      </c>
      <c r="G90" s="82" t="s">
        <v>92</v>
      </c>
      <c r="H90" s="83" t="n">
        <v>45434.8216666667</v>
      </c>
      <c r="I90" s="80" t="n">
        <v>5</v>
      </c>
      <c r="J90" s="80" t="n">
        <v>1</v>
      </c>
      <c r="K90" s="80" t="n">
        <v>31</v>
      </c>
      <c r="L90" s="82" t="s">
        <v>91</v>
      </c>
      <c r="M90" s="80" t="n">
        <v>5</v>
      </c>
      <c r="N90" s="80" t="n">
        <v>162</v>
      </c>
      <c r="O90" s="1"/>
    </row>
    <row r="91" customFormat="false" ht="14.25" hidden="false" customHeight="false" outlineLevel="0" collapsed="false">
      <c r="A91" s="76" t="n">
        <v>59</v>
      </c>
      <c r="B91" s="76" t="s">
        <v>85</v>
      </c>
      <c r="C91" s="76" t="s">
        <v>86</v>
      </c>
      <c r="D91" s="76" t="n">
        <v>93202</v>
      </c>
      <c r="E91" s="77" t="n">
        <v>200025888831</v>
      </c>
      <c r="F91" s="78" t="s">
        <v>93</v>
      </c>
      <c r="G91" s="77" t="n">
        <v>220242</v>
      </c>
      <c r="H91" s="79" t="n">
        <v>45434.4776273148</v>
      </c>
      <c r="I91" s="76" t="n">
        <v>6</v>
      </c>
      <c r="J91" s="76" t="n">
        <v>0</v>
      </c>
      <c r="K91" s="76" t="n">
        <v>1</v>
      </c>
      <c r="L91" s="78" t="s">
        <v>93</v>
      </c>
      <c r="M91" s="76" t="n">
        <v>6</v>
      </c>
      <c r="N91" s="76" t="n">
        <v>43</v>
      </c>
      <c r="O91" s="1"/>
    </row>
    <row r="92" customFormat="false" ht="14.25" hidden="false" customHeight="false" outlineLevel="0" collapsed="false">
      <c r="A92" s="76" t="n">
        <v>60</v>
      </c>
      <c r="B92" s="76" t="s">
        <v>85</v>
      </c>
      <c r="C92" s="76" t="s">
        <v>86</v>
      </c>
      <c r="D92" s="76" t="n">
        <v>93202</v>
      </c>
      <c r="E92" s="77" t="n">
        <v>200025888831</v>
      </c>
      <c r="F92" s="78" t="s">
        <v>93</v>
      </c>
      <c r="G92" s="77" t="n">
        <v>220242</v>
      </c>
      <c r="H92" s="79" t="n">
        <v>45434.4778240741</v>
      </c>
      <c r="I92" s="76" t="n">
        <v>6</v>
      </c>
      <c r="J92" s="76" t="n">
        <v>0</v>
      </c>
      <c r="K92" s="76" t="n">
        <v>2</v>
      </c>
      <c r="L92" s="78" t="s">
        <v>93</v>
      </c>
      <c r="M92" s="76" t="n">
        <v>6</v>
      </c>
      <c r="N92" s="76" t="n">
        <v>44</v>
      </c>
    </row>
    <row r="93" customFormat="false" ht="14.25" hidden="false" customHeight="false" outlineLevel="0" collapsed="false">
      <c r="A93" s="76" t="n">
        <v>61</v>
      </c>
      <c r="B93" s="76" t="s">
        <v>85</v>
      </c>
      <c r="C93" s="76" t="s">
        <v>86</v>
      </c>
      <c r="D93" s="76" t="n">
        <v>93202</v>
      </c>
      <c r="E93" s="77" t="n">
        <v>200025888831</v>
      </c>
      <c r="F93" s="78" t="s">
        <v>93</v>
      </c>
      <c r="G93" s="77" t="n">
        <v>220242</v>
      </c>
      <c r="H93" s="79" t="n">
        <v>45434.4778356482</v>
      </c>
      <c r="I93" s="76" t="n">
        <v>6</v>
      </c>
      <c r="J93" s="76" t="n">
        <v>0</v>
      </c>
      <c r="K93" s="76" t="n">
        <v>3</v>
      </c>
      <c r="L93" s="78" t="s">
        <v>93</v>
      </c>
      <c r="M93" s="76" t="n">
        <v>6</v>
      </c>
      <c r="N93" s="76" t="n">
        <v>45</v>
      </c>
    </row>
    <row r="94" customFormat="false" ht="14.25" hidden="false" customHeight="false" outlineLevel="0" collapsed="false">
      <c r="A94" s="76" t="n">
        <v>62</v>
      </c>
      <c r="B94" s="76" t="s">
        <v>85</v>
      </c>
      <c r="C94" s="76" t="s">
        <v>86</v>
      </c>
      <c r="D94" s="76" t="n">
        <v>93202</v>
      </c>
      <c r="E94" s="77" t="n">
        <v>200025888831</v>
      </c>
      <c r="F94" s="78" t="s">
        <v>93</v>
      </c>
      <c r="G94" s="77" t="n">
        <v>220242</v>
      </c>
      <c r="H94" s="79" t="n">
        <v>45434.4778472222</v>
      </c>
      <c r="I94" s="76" t="n">
        <v>6</v>
      </c>
      <c r="J94" s="76" t="n">
        <v>1520</v>
      </c>
      <c r="K94" s="76" t="n">
        <v>4</v>
      </c>
      <c r="L94" s="78" t="s">
        <v>93</v>
      </c>
      <c r="M94" s="76" t="n">
        <v>6</v>
      </c>
      <c r="N94" s="76" t="n">
        <v>46</v>
      </c>
    </row>
    <row r="95" customFormat="false" ht="14.25" hidden="false" customHeight="false" outlineLevel="0" collapsed="false">
      <c r="A95" s="80" t="n">
        <v>65</v>
      </c>
      <c r="B95" s="80" t="s">
        <v>85</v>
      </c>
      <c r="C95" s="80" t="s">
        <v>86</v>
      </c>
      <c r="D95" s="80" t="n">
        <v>93202</v>
      </c>
      <c r="E95" s="81" t="n">
        <v>200025888284</v>
      </c>
      <c r="F95" s="82" t="s">
        <v>94</v>
      </c>
      <c r="G95" s="81" t="n">
        <v>220244</v>
      </c>
      <c r="H95" s="83" t="n">
        <v>45434.519212963</v>
      </c>
      <c r="I95" s="80" t="n">
        <v>7</v>
      </c>
      <c r="J95" s="80" t="n">
        <v>0</v>
      </c>
      <c r="K95" s="80" t="n">
        <v>1</v>
      </c>
      <c r="L95" s="82" t="s">
        <v>94</v>
      </c>
      <c r="M95" s="80" t="n">
        <v>7</v>
      </c>
      <c r="N95" s="80" t="n">
        <v>49</v>
      </c>
    </row>
    <row r="96" customFormat="false" ht="14.25" hidden="false" customHeight="false" outlineLevel="0" collapsed="false">
      <c r="A96" s="80" t="n">
        <v>66</v>
      </c>
      <c r="B96" s="80" t="s">
        <v>85</v>
      </c>
      <c r="C96" s="80" t="s">
        <v>86</v>
      </c>
      <c r="D96" s="80" t="n">
        <v>93202</v>
      </c>
      <c r="E96" s="81" t="n">
        <v>200025888284</v>
      </c>
      <c r="F96" s="82" t="s">
        <v>94</v>
      </c>
      <c r="G96" s="81" t="n">
        <v>220244</v>
      </c>
      <c r="H96" s="83" t="n">
        <v>45434.519212963</v>
      </c>
      <c r="I96" s="80" t="n">
        <v>7</v>
      </c>
      <c r="J96" s="80" t="n">
        <v>1</v>
      </c>
      <c r="K96" s="80" t="n">
        <v>2</v>
      </c>
      <c r="L96" s="82" t="s">
        <v>94</v>
      </c>
      <c r="M96" s="80" t="n">
        <v>7</v>
      </c>
      <c r="N96" s="80" t="n">
        <v>50</v>
      </c>
    </row>
    <row r="97" customFormat="false" ht="14.25" hidden="false" customHeight="false" outlineLevel="0" collapsed="false">
      <c r="A97" s="80" t="n">
        <v>67</v>
      </c>
      <c r="B97" s="80" t="s">
        <v>85</v>
      </c>
      <c r="C97" s="80" t="s">
        <v>86</v>
      </c>
      <c r="D97" s="80" t="n">
        <v>93202</v>
      </c>
      <c r="E97" s="81" t="n">
        <v>200025888284</v>
      </c>
      <c r="F97" s="82" t="s">
        <v>94</v>
      </c>
      <c r="G97" s="81" t="n">
        <v>220244</v>
      </c>
      <c r="H97" s="83" t="n">
        <v>45434.5195949074</v>
      </c>
      <c r="I97" s="80" t="n">
        <v>7</v>
      </c>
      <c r="J97" s="80" t="n">
        <v>0</v>
      </c>
      <c r="K97" s="80" t="n">
        <v>3</v>
      </c>
      <c r="L97" s="82" t="s">
        <v>94</v>
      </c>
      <c r="M97" s="80" t="n">
        <v>7</v>
      </c>
      <c r="N97" s="80" t="n">
        <v>51</v>
      </c>
    </row>
    <row r="98" customFormat="false" ht="14.25" hidden="false" customHeight="false" outlineLevel="0" collapsed="false">
      <c r="A98" s="80" t="n">
        <v>68</v>
      </c>
      <c r="B98" s="80" t="s">
        <v>85</v>
      </c>
      <c r="C98" s="80" t="s">
        <v>86</v>
      </c>
      <c r="D98" s="80" t="n">
        <v>93202</v>
      </c>
      <c r="E98" s="81" t="n">
        <v>200025888284</v>
      </c>
      <c r="F98" s="82" t="s">
        <v>94</v>
      </c>
      <c r="G98" s="81" t="n">
        <v>220244</v>
      </c>
      <c r="H98" s="83" t="n">
        <v>45434.5196064815</v>
      </c>
      <c r="I98" s="80" t="n">
        <v>7</v>
      </c>
      <c r="J98" s="80" t="n">
        <v>2</v>
      </c>
      <c r="K98" s="80" t="n">
        <v>4</v>
      </c>
      <c r="L98" s="82" t="s">
        <v>94</v>
      </c>
      <c r="M98" s="80" t="n">
        <v>7</v>
      </c>
      <c r="N98" s="80" t="n">
        <v>52</v>
      </c>
    </row>
    <row r="99" customFormat="false" ht="14.25" hidden="false" customHeight="false" outlineLevel="0" collapsed="false">
      <c r="A99" s="80" t="n">
        <v>75</v>
      </c>
      <c r="B99" s="80" t="s">
        <v>85</v>
      </c>
      <c r="C99" s="80" t="s">
        <v>86</v>
      </c>
      <c r="D99" s="80" t="n">
        <v>93202</v>
      </c>
      <c r="E99" s="81" t="n">
        <v>200025888284</v>
      </c>
      <c r="F99" s="82" t="s">
        <v>94</v>
      </c>
      <c r="G99" s="81" t="n">
        <v>220244</v>
      </c>
      <c r="H99" s="83" t="n">
        <v>45434.5819328704</v>
      </c>
      <c r="I99" s="80" t="n">
        <v>7</v>
      </c>
      <c r="J99" s="80" t="n">
        <v>2</v>
      </c>
      <c r="K99" s="80" t="n">
        <v>5</v>
      </c>
      <c r="L99" s="82" t="s">
        <v>94</v>
      </c>
      <c r="M99" s="80" t="n">
        <v>7</v>
      </c>
      <c r="N99" s="80" t="n">
        <v>59</v>
      </c>
    </row>
    <row r="100" customFormat="false" ht="14.25" hidden="false" customHeight="false" outlineLevel="0" collapsed="false">
      <c r="A100" s="80" t="n">
        <v>76</v>
      </c>
      <c r="B100" s="80" t="s">
        <v>85</v>
      </c>
      <c r="C100" s="80" t="s">
        <v>86</v>
      </c>
      <c r="D100" s="80" t="n">
        <v>93202</v>
      </c>
      <c r="E100" s="81" t="n">
        <v>200025888284</v>
      </c>
      <c r="F100" s="82" t="s">
        <v>94</v>
      </c>
      <c r="G100" s="81" t="n">
        <v>220244</v>
      </c>
      <c r="H100" s="83" t="n">
        <v>45434.5821990741</v>
      </c>
      <c r="I100" s="80" t="n">
        <v>7</v>
      </c>
      <c r="J100" s="80" t="n">
        <v>1</v>
      </c>
      <c r="K100" s="80" t="n">
        <v>6</v>
      </c>
      <c r="L100" s="82" t="s">
        <v>94</v>
      </c>
      <c r="M100" s="80" t="n">
        <v>7</v>
      </c>
      <c r="N100" s="80" t="n">
        <v>60</v>
      </c>
    </row>
    <row r="101" customFormat="false" ht="14.25" hidden="false" customHeight="false" outlineLevel="0" collapsed="false">
      <c r="A101" s="80" t="n">
        <v>77</v>
      </c>
      <c r="B101" s="80" t="s">
        <v>85</v>
      </c>
      <c r="C101" s="80" t="s">
        <v>86</v>
      </c>
      <c r="D101" s="80" t="n">
        <v>93202</v>
      </c>
      <c r="E101" s="81" t="n">
        <v>200025888284</v>
      </c>
      <c r="F101" s="82" t="s">
        <v>94</v>
      </c>
      <c r="G101" s="81" t="n">
        <v>220244</v>
      </c>
      <c r="H101" s="83" t="n">
        <v>45434.5822222222</v>
      </c>
      <c r="I101" s="80" t="n">
        <v>7</v>
      </c>
      <c r="J101" s="80" t="n">
        <v>0</v>
      </c>
      <c r="K101" s="80" t="n">
        <v>7</v>
      </c>
      <c r="L101" s="82" t="s">
        <v>94</v>
      </c>
      <c r="M101" s="80" t="n">
        <v>7</v>
      </c>
      <c r="N101" s="80" t="n">
        <v>61</v>
      </c>
    </row>
    <row r="102" customFormat="false" ht="14.25" hidden="false" customHeight="false" outlineLevel="0" collapsed="false">
      <c r="A102" s="80" t="n">
        <v>78</v>
      </c>
      <c r="B102" s="80" t="s">
        <v>85</v>
      </c>
      <c r="C102" s="80" t="s">
        <v>86</v>
      </c>
      <c r="D102" s="80" t="n">
        <v>93202</v>
      </c>
      <c r="E102" s="81" t="n">
        <v>200025888284</v>
      </c>
      <c r="F102" s="82" t="s">
        <v>94</v>
      </c>
      <c r="G102" s="81" t="n">
        <v>220244</v>
      </c>
      <c r="H102" s="83" t="n">
        <v>45434.5823263889</v>
      </c>
      <c r="I102" s="80" t="n">
        <v>7</v>
      </c>
      <c r="J102" s="80" t="n">
        <v>0</v>
      </c>
      <c r="K102" s="80" t="n">
        <v>8</v>
      </c>
      <c r="L102" s="82" t="s">
        <v>94</v>
      </c>
      <c r="M102" s="80" t="n">
        <v>7</v>
      </c>
      <c r="N102" s="80" t="n">
        <v>62</v>
      </c>
    </row>
    <row r="103" customFormat="false" ht="14.25" hidden="false" customHeight="false" outlineLevel="0" collapsed="false">
      <c r="A103" s="80" t="n">
        <v>79</v>
      </c>
      <c r="B103" s="80" t="s">
        <v>85</v>
      </c>
      <c r="C103" s="80" t="s">
        <v>86</v>
      </c>
      <c r="D103" s="80" t="n">
        <v>93202</v>
      </c>
      <c r="E103" s="81" t="n">
        <v>200025888284</v>
      </c>
      <c r="F103" s="82" t="s">
        <v>94</v>
      </c>
      <c r="G103" s="81" t="n">
        <v>220244</v>
      </c>
      <c r="H103" s="83" t="n">
        <v>45434.582349537</v>
      </c>
      <c r="I103" s="80" t="n">
        <v>7</v>
      </c>
      <c r="J103" s="80" t="n">
        <v>0</v>
      </c>
      <c r="K103" s="80" t="n">
        <v>9</v>
      </c>
      <c r="L103" s="82" t="s">
        <v>94</v>
      </c>
      <c r="M103" s="80" t="n">
        <v>7</v>
      </c>
      <c r="N103" s="80" t="n">
        <v>63</v>
      </c>
    </row>
    <row r="104" customFormat="false" ht="14.25" hidden="false" customHeight="false" outlineLevel="0" collapsed="false">
      <c r="A104" s="80" t="n">
        <v>80</v>
      </c>
      <c r="B104" s="80" t="s">
        <v>85</v>
      </c>
      <c r="C104" s="80" t="s">
        <v>86</v>
      </c>
      <c r="D104" s="80" t="n">
        <v>93202</v>
      </c>
      <c r="E104" s="81" t="n">
        <v>200025888284</v>
      </c>
      <c r="F104" s="82" t="s">
        <v>94</v>
      </c>
      <c r="G104" s="81" t="n">
        <v>220244</v>
      </c>
      <c r="H104" s="83" t="n">
        <v>45434.582650463</v>
      </c>
      <c r="I104" s="80" t="n">
        <v>7</v>
      </c>
      <c r="J104" s="80" t="n">
        <v>1</v>
      </c>
      <c r="K104" s="80" t="n">
        <v>10</v>
      </c>
      <c r="L104" s="82" t="s">
        <v>94</v>
      </c>
      <c r="M104" s="80" t="n">
        <v>7</v>
      </c>
      <c r="N104" s="80" t="n">
        <v>64</v>
      </c>
    </row>
    <row r="105" customFormat="false" ht="14.25" hidden="false" customHeight="false" outlineLevel="0" collapsed="false">
      <c r="A105" s="80" t="n">
        <v>81</v>
      </c>
      <c r="B105" s="80" t="s">
        <v>85</v>
      </c>
      <c r="C105" s="80" t="s">
        <v>86</v>
      </c>
      <c r="D105" s="80" t="n">
        <v>93202</v>
      </c>
      <c r="E105" s="81" t="n">
        <v>200025888284</v>
      </c>
      <c r="F105" s="82" t="s">
        <v>94</v>
      </c>
      <c r="G105" s="81" t="n">
        <v>220244</v>
      </c>
      <c r="H105" s="83" t="n">
        <v>45434.5826736111</v>
      </c>
      <c r="I105" s="80" t="n">
        <v>7</v>
      </c>
      <c r="J105" s="80" t="n">
        <v>0</v>
      </c>
      <c r="K105" s="80" t="n">
        <v>11</v>
      </c>
      <c r="L105" s="82" t="s">
        <v>94</v>
      </c>
      <c r="M105" s="80" t="n">
        <v>7</v>
      </c>
      <c r="N105" s="80" t="n">
        <v>65</v>
      </c>
    </row>
    <row r="106" customFormat="false" ht="14.25" hidden="false" customHeight="false" outlineLevel="0" collapsed="false">
      <c r="A106" s="80" t="n">
        <v>102</v>
      </c>
      <c r="B106" s="80" t="s">
        <v>85</v>
      </c>
      <c r="C106" s="80" t="s">
        <v>86</v>
      </c>
      <c r="D106" s="80" t="n">
        <v>93202</v>
      </c>
      <c r="E106" s="81" t="n">
        <v>200025888284</v>
      </c>
      <c r="F106" s="82" t="s">
        <v>94</v>
      </c>
      <c r="G106" s="81" t="n">
        <v>220244</v>
      </c>
      <c r="H106" s="83" t="n">
        <v>45434.6187731482</v>
      </c>
      <c r="I106" s="80" t="n">
        <v>7</v>
      </c>
      <c r="J106" s="80" t="n">
        <v>1</v>
      </c>
      <c r="K106" s="80" t="n">
        <v>12</v>
      </c>
      <c r="L106" s="82" t="s">
        <v>94</v>
      </c>
      <c r="M106" s="80" t="n">
        <v>7</v>
      </c>
      <c r="N106" s="80" t="n">
        <v>86</v>
      </c>
    </row>
    <row r="107" customFormat="false" ht="14.25" hidden="false" customHeight="false" outlineLevel="0" collapsed="false">
      <c r="A107" s="80" t="n">
        <v>118</v>
      </c>
      <c r="B107" s="80" t="s">
        <v>85</v>
      </c>
      <c r="C107" s="80" t="s">
        <v>86</v>
      </c>
      <c r="D107" s="80" t="n">
        <v>93202</v>
      </c>
      <c r="E107" s="81" t="n">
        <v>200025888284</v>
      </c>
      <c r="F107" s="82" t="s">
        <v>94</v>
      </c>
      <c r="G107" s="81" t="n">
        <v>220244</v>
      </c>
      <c r="H107" s="83" t="n">
        <v>45434.6594444445</v>
      </c>
      <c r="I107" s="80" t="n">
        <v>7</v>
      </c>
      <c r="J107" s="80" t="n">
        <v>0</v>
      </c>
      <c r="K107" s="80" t="n">
        <v>13</v>
      </c>
      <c r="L107" s="82" t="s">
        <v>94</v>
      </c>
      <c r="M107" s="80" t="n">
        <v>7</v>
      </c>
      <c r="N107" s="80" t="n">
        <v>102</v>
      </c>
    </row>
    <row r="108" customFormat="false" ht="14.25" hidden="false" customHeight="false" outlineLevel="0" collapsed="false">
      <c r="A108" s="80" t="n">
        <v>119</v>
      </c>
      <c r="B108" s="80" t="s">
        <v>85</v>
      </c>
      <c r="C108" s="80" t="s">
        <v>86</v>
      </c>
      <c r="D108" s="80" t="n">
        <v>93202</v>
      </c>
      <c r="E108" s="81" t="n">
        <v>200025888284</v>
      </c>
      <c r="F108" s="82" t="s">
        <v>94</v>
      </c>
      <c r="G108" s="81" t="n">
        <v>220244</v>
      </c>
      <c r="H108" s="83" t="n">
        <v>45434.6594560185</v>
      </c>
      <c r="I108" s="80" t="n">
        <v>7</v>
      </c>
      <c r="J108" s="80" t="n">
        <v>1</v>
      </c>
      <c r="K108" s="80" t="n">
        <v>14</v>
      </c>
      <c r="L108" s="82" t="s">
        <v>94</v>
      </c>
      <c r="M108" s="80" t="n">
        <v>7</v>
      </c>
      <c r="N108" s="80" t="n">
        <v>103</v>
      </c>
    </row>
    <row r="109" customFormat="false" ht="14.25" hidden="false" customHeight="false" outlineLevel="0" collapsed="false">
      <c r="A109" s="80" t="n">
        <v>120</v>
      </c>
      <c r="B109" s="80" t="s">
        <v>85</v>
      </c>
      <c r="C109" s="80" t="s">
        <v>86</v>
      </c>
      <c r="D109" s="80" t="n">
        <v>93202</v>
      </c>
      <c r="E109" s="81" t="n">
        <v>200025888284</v>
      </c>
      <c r="F109" s="82" t="s">
        <v>94</v>
      </c>
      <c r="G109" s="81" t="n">
        <v>220244</v>
      </c>
      <c r="H109" s="83" t="n">
        <v>45434.6594675926</v>
      </c>
      <c r="I109" s="80" t="n">
        <v>7</v>
      </c>
      <c r="J109" s="80" t="n">
        <v>1</v>
      </c>
      <c r="K109" s="80" t="n">
        <v>15</v>
      </c>
      <c r="L109" s="82" t="s">
        <v>94</v>
      </c>
      <c r="M109" s="80" t="n">
        <v>7</v>
      </c>
      <c r="N109" s="80" t="n">
        <v>104</v>
      </c>
    </row>
    <row r="110" customFormat="false" ht="14.25" hidden="false" customHeight="false" outlineLevel="0" collapsed="false">
      <c r="A110" s="80" t="n">
        <v>121</v>
      </c>
      <c r="B110" s="80" t="s">
        <v>85</v>
      </c>
      <c r="C110" s="80" t="s">
        <v>86</v>
      </c>
      <c r="D110" s="80" t="n">
        <v>93202</v>
      </c>
      <c r="E110" s="81" t="n">
        <v>200025888284</v>
      </c>
      <c r="F110" s="82" t="s">
        <v>94</v>
      </c>
      <c r="G110" s="81" t="n">
        <v>220244</v>
      </c>
      <c r="H110" s="83" t="n">
        <v>45434.6596296296</v>
      </c>
      <c r="I110" s="80" t="n">
        <v>7</v>
      </c>
      <c r="J110" s="80" t="n">
        <v>0</v>
      </c>
      <c r="K110" s="80" t="n">
        <v>16</v>
      </c>
      <c r="L110" s="82" t="s">
        <v>94</v>
      </c>
      <c r="M110" s="80" t="n">
        <v>7</v>
      </c>
      <c r="N110" s="80" t="n">
        <v>105</v>
      </c>
    </row>
    <row r="111" customFormat="false" ht="14.25" hidden="false" customHeight="false" outlineLevel="0" collapsed="false">
      <c r="A111" s="80" t="n">
        <v>122</v>
      </c>
      <c r="B111" s="80" t="s">
        <v>85</v>
      </c>
      <c r="C111" s="80" t="s">
        <v>86</v>
      </c>
      <c r="D111" s="80" t="n">
        <v>93202</v>
      </c>
      <c r="E111" s="81" t="n">
        <v>200025888284</v>
      </c>
      <c r="F111" s="82" t="s">
        <v>94</v>
      </c>
      <c r="G111" s="81" t="n">
        <v>220244</v>
      </c>
      <c r="H111" s="83" t="n">
        <v>45434.6596296296</v>
      </c>
      <c r="I111" s="80" t="n">
        <v>7</v>
      </c>
      <c r="J111" s="80" t="n">
        <v>1</v>
      </c>
      <c r="K111" s="80" t="n">
        <v>17</v>
      </c>
      <c r="L111" s="82" t="s">
        <v>94</v>
      </c>
      <c r="M111" s="80" t="n">
        <v>7</v>
      </c>
      <c r="N111" s="80" t="n">
        <v>106</v>
      </c>
    </row>
    <row r="112" customFormat="false" ht="14.25" hidden="false" customHeight="false" outlineLevel="0" collapsed="false">
      <c r="A112" s="80" t="n">
        <v>123</v>
      </c>
      <c r="B112" s="80" t="s">
        <v>85</v>
      </c>
      <c r="C112" s="80" t="s">
        <v>86</v>
      </c>
      <c r="D112" s="80" t="n">
        <v>93202</v>
      </c>
      <c r="E112" s="81" t="n">
        <v>200025888284</v>
      </c>
      <c r="F112" s="82" t="s">
        <v>94</v>
      </c>
      <c r="G112" s="81" t="n">
        <v>220244</v>
      </c>
      <c r="H112" s="83" t="n">
        <v>45434.6596527778</v>
      </c>
      <c r="I112" s="80" t="n">
        <v>7</v>
      </c>
      <c r="J112" s="80" t="n">
        <v>1</v>
      </c>
      <c r="K112" s="80" t="n">
        <v>18</v>
      </c>
      <c r="L112" s="82" t="s">
        <v>94</v>
      </c>
      <c r="M112" s="80" t="n">
        <v>7</v>
      </c>
      <c r="N112" s="80" t="n">
        <v>107</v>
      </c>
    </row>
    <row r="113" customFormat="false" ht="14.25" hidden="false" customHeight="false" outlineLevel="0" collapsed="false">
      <c r="A113" s="80" t="n">
        <v>124</v>
      </c>
      <c r="B113" s="80" t="s">
        <v>85</v>
      </c>
      <c r="C113" s="80" t="s">
        <v>86</v>
      </c>
      <c r="D113" s="80" t="n">
        <v>93202</v>
      </c>
      <c r="E113" s="81" t="n">
        <v>200025888284</v>
      </c>
      <c r="F113" s="82" t="s">
        <v>94</v>
      </c>
      <c r="G113" s="81" t="n">
        <v>220244</v>
      </c>
      <c r="H113" s="83" t="n">
        <v>45434.6601157407</v>
      </c>
      <c r="I113" s="80" t="n">
        <v>7</v>
      </c>
      <c r="J113" s="80" t="n">
        <v>0</v>
      </c>
      <c r="K113" s="80" t="n">
        <v>19</v>
      </c>
      <c r="L113" s="82" t="s">
        <v>94</v>
      </c>
      <c r="M113" s="80" t="n">
        <v>7</v>
      </c>
      <c r="N113" s="80" t="n">
        <v>108</v>
      </c>
    </row>
    <row r="114" customFormat="false" ht="14.25" hidden="false" customHeight="false" outlineLevel="0" collapsed="false">
      <c r="A114" s="80" t="n">
        <v>125</v>
      </c>
      <c r="B114" s="80" t="s">
        <v>85</v>
      </c>
      <c r="C114" s="80" t="s">
        <v>86</v>
      </c>
      <c r="D114" s="80" t="n">
        <v>93202</v>
      </c>
      <c r="E114" s="81" t="n">
        <v>200025888284</v>
      </c>
      <c r="F114" s="82" t="s">
        <v>94</v>
      </c>
      <c r="G114" s="81" t="n">
        <v>220244</v>
      </c>
      <c r="H114" s="83" t="n">
        <v>45434.6601273148</v>
      </c>
      <c r="I114" s="80" t="n">
        <v>7</v>
      </c>
      <c r="J114" s="80" t="n">
        <v>1759</v>
      </c>
      <c r="K114" s="80" t="n">
        <v>20</v>
      </c>
      <c r="L114" s="82" t="s">
        <v>94</v>
      </c>
      <c r="M114" s="80" t="n">
        <v>7</v>
      </c>
      <c r="N114" s="80" t="n">
        <v>109</v>
      </c>
    </row>
    <row r="115" customFormat="false" ht="14.25" hidden="false" customHeight="false" outlineLevel="0" collapsed="false">
      <c r="A115" s="80" t="n">
        <v>233</v>
      </c>
      <c r="B115" s="80" t="s">
        <v>85</v>
      </c>
      <c r="C115" s="80" t="s">
        <v>86</v>
      </c>
      <c r="D115" s="80" t="n">
        <v>93202</v>
      </c>
      <c r="E115" s="81" t="n">
        <v>200025888284</v>
      </c>
      <c r="F115" s="82" t="s">
        <v>94</v>
      </c>
      <c r="G115" s="81" t="n">
        <v>220244</v>
      </c>
      <c r="H115" s="83" t="n">
        <v>45434.9549421296</v>
      </c>
      <c r="I115" s="80" t="n">
        <v>7</v>
      </c>
      <c r="J115" s="80" t="n">
        <v>0</v>
      </c>
      <c r="K115" s="80" t="n">
        <v>21</v>
      </c>
      <c r="L115" s="82" t="s">
        <v>94</v>
      </c>
      <c r="M115" s="80" t="n">
        <v>7</v>
      </c>
      <c r="N115" s="80" t="n">
        <v>217</v>
      </c>
    </row>
    <row r="116" customFormat="false" ht="14.25" hidden="false" customHeight="false" outlineLevel="0" collapsed="false">
      <c r="A116" s="80" t="n">
        <v>234</v>
      </c>
      <c r="B116" s="80" t="s">
        <v>85</v>
      </c>
      <c r="C116" s="80" t="s">
        <v>86</v>
      </c>
      <c r="D116" s="80" t="n">
        <v>93202</v>
      </c>
      <c r="E116" s="81" t="n">
        <v>200025888284</v>
      </c>
      <c r="F116" s="82" t="s">
        <v>94</v>
      </c>
      <c r="G116" s="81" t="n">
        <v>220244</v>
      </c>
      <c r="H116" s="83" t="n">
        <v>45434.9549537037</v>
      </c>
      <c r="I116" s="80" t="n">
        <v>7</v>
      </c>
      <c r="J116" s="80" t="n">
        <v>1</v>
      </c>
      <c r="K116" s="80" t="n">
        <v>22</v>
      </c>
      <c r="L116" s="82" t="s">
        <v>94</v>
      </c>
      <c r="M116" s="80" t="n">
        <v>7</v>
      </c>
      <c r="N116" s="80" t="n">
        <v>218</v>
      </c>
    </row>
    <row r="117" customFormat="false" ht="14.25" hidden="false" customHeight="false" outlineLevel="0" collapsed="false">
      <c r="A117" s="80" t="n">
        <v>235</v>
      </c>
      <c r="B117" s="80" t="s">
        <v>85</v>
      </c>
      <c r="C117" s="80" t="s">
        <v>86</v>
      </c>
      <c r="D117" s="80" t="n">
        <v>93202</v>
      </c>
      <c r="E117" s="81" t="n">
        <v>200025888284</v>
      </c>
      <c r="F117" s="82" t="s">
        <v>94</v>
      </c>
      <c r="G117" s="81" t="n">
        <v>220244</v>
      </c>
      <c r="H117" s="83" t="n">
        <v>45434.9551273148</v>
      </c>
      <c r="I117" s="80" t="n">
        <v>7</v>
      </c>
      <c r="J117" s="80" t="n">
        <v>3</v>
      </c>
      <c r="K117" s="80" t="n">
        <v>23</v>
      </c>
      <c r="L117" s="82" t="s">
        <v>94</v>
      </c>
      <c r="M117" s="80" t="n">
        <v>7</v>
      </c>
      <c r="N117" s="80" t="n">
        <v>219</v>
      </c>
    </row>
    <row r="118" customFormat="false" ht="14.25" hidden="false" customHeight="false" outlineLevel="0" collapsed="false">
      <c r="A118" s="80" t="n">
        <v>236</v>
      </c>
      <c r="B118" s="80" t="s">
        <v>85</v>
      </c>
      <c r="C118" s="80" t="s">
        <v>86</v>
      </c>
      <c r="D118" s="80" t="n">
        <v>93202</v>
      </c>
      <c r="E118" s="81" t="n">
        <v>200025888284</v>
      </c>
      <c r="F118" s="82" t="s">
        <v>94</v>
      </c>
      <c r="G118" s="81" t="n">
        <v>220244</v>
      </c>
      <c r="H118" s="83" t="n">
        <v>45434.955162037</v>
      </c>
      <c r="I118" s="80" t="n">
        <v>7</v>
      </c>
      <c r="J118" s="80" t="n">
        <v>0</v>
      </c>
      <c r="K118" s="80" t="n">
        <v>24</v>
      </c>
      <c r="L118" s="82" t="s">
        <v>94</v>
      </c>
      <c r="M118" s="80" t="n">
        <v>7</v>
      </c>
      <c r="N118" s="80" t="n">
        <v>220</v>
      </c>
    </row>
    <row r="119" customFormat="false" ht="14.25" hidden="false" customHeight="false" outlineLevel="0" collapsed="false">
      <c r="A119" s="80" t="n">
        <v>237</v>
      </c>
      <c r="B119" s="80" t="s">
        <v>85</v>
      </c>
      <c r="C119" s="80" t="s">
        <v>86</v>
      </c>
      <c r="D119" s="80" t="n">
        <v>93202</v>
      </c>
      <c r="E119" s="81" t="n">
        <v>200025888284</v>
      </c>
      <c r="F119" s="82" t="s">
        <v>94</v>
      </c>
      <c r="G119" s="81" t="n">
        <v>220244</v>
      </c>
      <c r="H119" s="83" t="n">
        <v>45434.9551736111</v>
      </c>
      <c r="I119" s="80" t="n">
        <v>7</v>
      </c>
      <c r="J119" s="80" t="n">
        <v>590</v>
      </c>
      <c r="K119" s="80" t="n">
        <v>25</v>
      </c>
      <c r="L119" s="82" t="s">
        <v>94</v>
      </c>
      <c r="M119" s="80" t="n">
        <v>7</v>
      </c>
      <c r="N119" s="80" t="n">
        <v>221</v>
      </c>
    </row>
    <row r="120" customFormat="false" ht="14.25" hidden="false" customHeight="false" outlineLevel="0" collapsed="false">
      <c r="A120" s="76" t="n">
        <v>72</v>
      </c>
      <c r="B120" s="76" t="s">
        <v>85</v>
      </c>
      <c r="C120" s="76" t="s">
        <v>86</v>
      </c>
      <c r="D120" s="76" t="n">
        <v>93202</v>
      </c>
      <c r="E120" s="77" t="n">
        <v>200025888898</v>
      </c>
      <c r="F120" s="78" t="s">
        <v>95</v>
      </c>
      <c r="G120" s="77" t="n">
        <v>180085</v>
      </c>
      <c r="H120" s="79" t="n">
        <v>45434.5774652778</v>
      </c>
      <c r="I120" s="76" t="n">
        <v>8</v>
      </c>
      <c r="J120" s="76" t="n">
        <v>0</v>
      </c>
      <c r="K120" s="76" t="n">
        <v>1</v>
      </c>
      <c r="L120" s="78" t="s">
        <v>95</v>
      </c>
      <c r="M120" s="76" t="n">
        <v>8</v>
      </c>
      <c r="N120" s="76" t="n">
        <v>56</v>
      </c>
    </row>
    <row r="121" customFormat="false" ht="14.25" hidden="false" customHeight="false" outlineLevel="0" collapsed="false">
      <c r="A121" s="76" t="n">
        <v>73</v>
      </c>
      <c r="B121" s="76" t="s">
        <v>85</v>
      </c>
      <c r="C121" s="76" t="s">
        <v>86</v>
      </c>
      <c r="D121" s="76" t="n">
        <v>93202</v>
      </c>
      <c r="E121" s="77" t="n">
        <v>200025888898</v>
      </c>
      <c r="F121" s="78" t="s">
        <v>95</v>
      </c>
      <c r="G121" s="77" t="n">
        <v>180085</v>
      </c>
      <c r="H121" s="79" t="n">
        <v>45434.5776388889</v>
      </c>
      <c r="I121" s="76" t="n">
        <v>8</v>
      </c>
      <c r="J121" s="76" t="n">
        <v>1</v>
      </c>
      <c r="K121" s="76" t="n">
        <v>2</v>
      </c>
      <c r="L121" s="78" t="s">
        <v>95</v>
      </c>
      <c r="M121" s="76" t="n">
        <v>8</v>
      </c>
      <c r="N121" s="76" t="n">
        <v>57</v>
      </c>
    </row>
    <row r="122" customFormat="false" ht="14.25" hidden="false" customHeight="false" outlineLevel="0" collapsed="false">
      <c r="A122" s="76" t="n">
        <v>74</v>
      </c>
      <c r="B122" s="76" t="s">
        <v>85</v>
      </c>
      <c r="C122" s="76" t="s">
        <v>86</v>
      </c>
      <c r="D122" s="76" t="n">
        <v>93202</v>
      </c>
      <c r="E122" s="77" t="n">
        <v>200025888898</v>
      </c>
      <c r="F122" s="78" t="s">
        <v>95</v>
      </c>
      <c r="G122" s="77" t="n">
        <v>180085</v>
      </c>
      <c r="H122" s="79" t="n">
        <v>45434.577662037</v>
      </c>
      <c r="I122" s="76" t="n">
        <v>8</v>
      </c>
      <c r="J122" s="76" t="n">
        <v>0</v>
      </c>
      <c r="K122" s="76" t="n">
        <v>3</v>
      </c>
      <c r="L122" s="78" t="s">
        <v>95</v>
      </c>
      <c r="M122" s="76" t="n">
        <v>8</v>
      </c>
      <c r="N122" s="76" t="n">
        <v>58</v>
      </c>
    </row>
    <row r="123" customFormat="false" ht="14.25" hidden="false" customHeight="false" outlineLevel="0" collapsed="false">
      <c r="A123" s="76" t="n">
        <v>167</v>
      </c>
      <c r="B123" s="76" t="s">
        <v>85</v>
      </c>
      <c r="C123" s="76" t="s">
        <v>86</v>
      </c>
      <c r="D123" s="76" t="n">
        <v>93202</v>
      </c>
      <c r="E123" s="77" t="n">
        <v>200025888898</v>
      </c>
      <c r="F123" s="78" t="s">
        <v>95</v>
      </c>
      <c r="G123" s="77" t="n">
        <v>180085</v>
      </c>
      <c r="H123" s="79" t="n">
        <v>45434.7833564815</v>
      </c>
      <c r="I123" s="76" t="n">
        <v>8</v>
      </c>
      <c r="J123" s="76" t="n">
        <v>1</v>
      </c>
      <c r="K123" s="76" t="n">
        <v>4</v>
      </c>
      <c r="L123" s="78" t="s">
        <v>95</v>
      </c>
      <c r="M123" s="76" t="n">
        <v>8</v>
      </c>
      <c r="N123" s="76" t="n">
        <v>151</v>
      </c>
    </row>
    <row r="124" customFormat="false" ht="14.25" hidden="false" customHeight="false" outlineLevel="0" collapsed="false">
      <c r="A124" s="76" t="n">
        <v>168</v>
      </c>
      <c r="B124" s="76" t="s">
        <v>85</v>
      </c>
      <c r="C124" s="76" t="s">
        <v>86</v>
      </c>
      <c r="D124" s="76" t="n">
        <v>93202</v>
      </c>
      <c r="E124" s="77" t="n">
        <v>200025888898</v>
      </c>
      <c r="F124" s="78" t="s">
        <v>95</v>
      </c>
      <c r="G124" s="77" t="n">
        <v>180085</v>
      </c>
      <c r="H124" s="79" t="n">
        <v>45434.7833680556</v>
      </c>
      <c r="I124" s="76" t="n">
        <v>8</v>
      </c>
      <c r="J124" s="76" t="n">
        <v>1</v>
      </c>
      <c r="K124" s="76" t="n">
        <v>5</v>
      </c>
      <c r="L124" s="78" t="s">
        <v>95</v>
      </c>
      <c r="M124" s="76" t="n">
        <v>8</v>
      </c>
      <c r="N124" s="76" t="n">
        <v>152</v>
      </c>
    </row>
    <row r="125" customFormat="false" ht="14.25" hidden="false" customHeight="false" outlineLevel="0" collapsed="false">
      <c r="A125" s="80" t="n">
        <v>92</v>
      </c>
      <c r="B125" s="80" t="s">
        <v>85</v>
      </c>
      <c r="C125" s="80" t="s">
        <v>86</v>
      </c>
      <c r="D125" s="80" t="n">
        <v>93202</v>
      </c>
      <c r="E125" s="81" t="n">
        <v>200025889800</v>
      </c>
      <c r="F125" s="82" t="s">
        <v>96</v>
      </c>
      <c r="G125" s="81" t="n">
        <v>210257</v>
      </c>
      <c r="H125" s="83" t="n">
        <v>45434.6040972222</v>
      </c>
      <c r="I125" s="80" t="n">
        <v>9</v>
      </c>
      <c r="J125" s="80" t="n">
        <v>0</v>
      </c>
      <c r="K125" s="80" t="n">
        <v>1</v>
      </c>
      <c r="L125" s="82" t="s">
        <v>96</v>
      </c>
      <c r="M125" s="80" t="n">
        <v>9</v>
      </c>
      <c r="N125" s="80" t="n">
        <v>76</v>
      </c>
    </row>
    <row r="126" customFormat="false" ht="14.25" hidden="false" customHeight="false" outlineLevel="0" collapsed="false">
      <c r="A126" s="80" t="n">
        <v>93</v>
      </c>
      <c r="B126" s="80" t="s">
        <v>85</v>
      </c>
      <c r="C126" s="80" t="s">
        <v>86</v>
      </c>
      <c r="D126" s="80" t="n">
        <v>93202</v>
      </c>
      <c r="E126" s="81" t="n">
        <v>200025889800</v>
      </c>
      <c r="F126" s="82" t="s">
        <v>96</v>
      </c>
      <c r="G126" s="81" t="n">
        <v>210257</v>
      </c>
      <c r="H126" s="83" t="n">
        <v>45434.6056481482</v>
      </c>
      <c r="I126" s="80" t="n">
        <v>9</v>
      </c>
      <c r="J126" s="80" t="n">
        <v>1</v>
      </c>
      <c r="K126" s="80" t="n">
        <v>2</v>
      </c>
      <c r="L126" s="82" t="s">
        <v>96</v>
      </c>
      <c r="M126" s="80" t="n">
        <v>9</v>
      </c>
      <c r="N126" s="80" t="n">
        <v>77</v>
      </c>
    </row>
    <row r="127" customFormat="false" ht="14.25" hidden="false" customHeight="false" outlineLevel="0" collapsed="false">
      <c r="A127" s="80" t="n">
        <v>94</v>
      </c>
      <c r="B127" s="80" t="s">
        <v>85</v>
      </c>
      <c r="C127" s="80" t="s">
        <v>86</v>
      </c>
      <c r="D127" s="80" t="n">
        <v>93202</v>
      </c>
      <c r="E127" s="81" t="n">
        <v>200025889800</v>
      </c>
      <c r="F127" s="82" t="s">
        <v>96</v>
      </c>
      <c r="G127" s="81" t="n">
        <v>210257</v>
      </c>
      <c r="H127" s="83" t="n">
        <v>45434.6056597222</v>
      </c>
      <c r="I127" s="80" t="n">
        <v>9</v>
      </c>
      <c r="J127" s="80" t="n">
        <v>0</v>
      </c>
      <c r="K127" s="80" t="n">
        <v>3</v>
      </c>
      <c r="L127" s="82" t="s">
        <v>96</v>
      </c>
      <c r="M127" s="80" t="n">
        <v>9</v>
      </c>
      <c r="N127" s="80" t="n">
        <v>78</v>
      </c>
    </row>
    <row r="128" customFormat="false" ht="14.25" hidden="false" customHeight="false" outlineLevel="0" collapsed="false">
      <c r="A128" s="80" t="n">
        <v>95</v>
      </c>
      <c r="B128" s="80" t="s">
        <v>85</v>
      </c>
      <c r="C128" s="80" t="s">
        <v>86</v>
      </c>
      <c r="D128" s="80" t="n">
        <v>93202</v>
      </c>
      <c r="E128" s="81" t="n">
        <v>200025889800</v>
      </c>
      <c r="F128" s="82" t="s">
        <v>96</v>
      </c>
      <c r="G128" s="81" t="n">
        <v>210257</v>
      </c>
      <c r="H128" s="83" t="n">
        <v>45434.6058217593</v>
      </c>
      <c r="I128" s="80" t="n">
        <v>9</v>
      </c>
      <c r="J128" s="80" t="n">
        <v>0</v>
      </c>
      <c r="K128" s="80" t="n">
        <v>4</v>
      </c>
      <c r="L128" s="82" t="s">
        <v>96</v>
      </c>
      <c r="M128" s="80" t="n">
        <v>9</v>
      </c>
      <c r="N128" s="80" t="n">
        <v>79</v>
      </c>
    </row>
    <row r="129" customFormat="false" ht="14.25" hidden="false" customHeight="false" outlineLevel="0" collapsed="false">
      <c r="A129" s="80" t="n">
        <v>96</v>
      </c>
      <c r="B129" s="80" t="s">
        <v>85</v>
      </c>
      <c r="C129" s="80" t="s">
        <v>86</v>
      </c>
      <c r="D129" s="80" t="n">
        <v>93202</v>
      </c>
      <c r="E129" s="81" t="n">
        <v>200025889800</v>
      </c>
      <c r="F129" s="82" t="s">
        <v>96</v>
      </c>
      <c r="G129" s="81" t="n">
        <v>210257</v>
      </c>
      <c r="H129" s="83" t="n">
        <v>45434.6058564815</v>
      </c>
      <c r="I129" s="80" t="n">
        <v>9</v>
      </c>
      <c r="J129" s="80" t="n">
        <v>1</v>
      </c>
      <c r="K129" s="80" t="n">
        <v>5</v>
      </c>
      <c r="L129" s="82" t="s">
        <v>96</v>
      </c>
      <c r="M129" s="80" t="n">
        <v>9</v>
      </c>
      <c r="N129" s="80" t="n">
        <v>80</v>
      </c>
    </row>
    <row r="130" customFormat="false" ht="14.25" hidden="false" customHeight="false" outlineLevel="0" collapsed="false">
      <c r="A130" s="80" t="n">
        <v>97</v>
      </c>
      <c r="B130" s="80" t="s">
        <v>85</v>
      </c>
      <c r="C130" s="80" t="s">
        <v>86</v>
      </c>
      <c r="D130" s="80" t="n">
        <v>93202</v>
      </c>
      <c r="E130" s="81" t="n">
        <v>200025889800</v>
      </c>
      <c r="F130" s="82" t="s">
        <v>96</v>
      </c>
      <c r="G130" s="81" t="n">
        <v>210257</v>
      </c>
      <c r="H130" s="83" t="n">
        <v>45434.6100115741</v>
      </c>
      <c r="I130" s="80" t="n">
        <v>9</v>
      </c>
      <c r="J130" s="80" t="n">
        <v>0</v>
      </c>
      <c r="K130" s="80" t="n">
        <v>6</v>
      </c>
      <c r="L130" s="82" t="s">
        <v>96</v>
      </c>
      <c r="M130" s="80" t="n">
        <v>9</v>
      </c>
      <c r="N130" s="80" t="n">
        <v>81</v>
      </c>
    </row>
    <row r="131" customFormat="false" ht="14.25" hidden="false" customHeight="false" outlineLevel="0" collapsed="false">
      <c r="A131" s="80" t="n">
        <v>98</v>
      </c>
      <c r="B131" s="80" t="s">
        <v>85</v>
      </c>
      <c r="C131" s="80" t="s">
        <v>86</v>
      </c>
      <c r="D131" s="80" t="n">
        <v>93202</v>
      </c>
      <c r="E131" s="81" t="n">
        <v>200025889800</v>
      </c>
      <c r="F131" s="82" t="s">
        <v>96</v>
      </c>
      <c r="G131" s="81" t="n">
        <v>210257</v>
      </c>
      <c r="H131" s="83" t="n">
        <v>45434.6101273148</v>
      </c>
      <c r="I131" s="80" t="n">
        <v>9</v>
      </c>
      <c r="J131" s="80" t="n">
        <v>0</v>
      </c>
      <c r="K131" s="80" t="n">
        <v>7</v>
      </c>
      <c r="L131" s="82" t="s">
        <v>96</v>
      </c>
      <c r="M131" s="80" t="n">
        <v>9</v>
      </c>
      <c r="N131" s="80" t="n">
        <v>82</v>
      </c>
    </row>
    <row r="132" customFormat="false" ht="14.25" hidden="false" customHeight="false" outlineLevel="0" collapsed="false">
      <c r="A132" s="80" t="n">
        <v>99</v>
      </c>
      <c r="B132" s="80" t="s">
        <v>85</v>
      </c>
      <c r="C132" s="80" t="s">
        <v>86</v>
      </c>
      <c r="D132" s="80" t="n">
        <v>93202</v>
      </c>
      <c r="E132" s="81" t="n">
        <v>200025889800</v>
      </c>
      <c r="F132" s="82" t="s">
        <v>96</v>
      </c>
      <c r="G132" s="81" t="n">
        <v>210257</v>
      </c>
      <c r="H132" s="83" t="n">
        <v>45434.6101388889</v>
      </c>
      <c r="I132" s="80" t="n">
        <v>9</v>
      </c>
      <c r="J132" s="80" t="n">
        <v>2</v>
      </c>
      <c r="K132" s="80" t="n">
        <v>8</v>
      </c>
      <c r="L132" s="82" t="s">
        <v>96</v>
      </c>
      <c r="M132" s="80" t="n">
        <v>9</v>
      </c>
      <c r="N132" s="80" t="n">
        <v>83</v>
      </c>
    </row>
    <row r="133" customFormat="false" ht="14.25" hidden="false" customHeight="false" outlineLevel="0" collapsed="false">
      <c r="A133" s="80" t="n">
        <v>100</v>
      </c>
      <c r="B133" s="80" t="s">
        <v>85</v>
      </c>
      <c r="C133" s="80" t="s">
        <v>86</v>
      </c>
      <c r="D133" s="80" t="n">
        <v>93202</v>
      </c>
      <c r="E133" s="81" t="n">
        <v>200025889800</v>
      </c>
      <c r="F133" s="82" t="s">
        <v>96</v>
      </c>
      <c r="G133" s="81" t="n">
        <v>210257</v>
      </c>
      <c r="H133" s="83" t="n">
        <v>45434.610162037</v>
      </c>
      <c r="I133" s="80" t="n">
        <v>9</v>
      </c>
      <c r="J133" s="80" t="n">
        <v>24</v>
      </c>
      <c r="K133" s="80" t="n">
        <v>9</v>
      </c>
      <c r="L133" s="82" t="s">
        <v>96</v>
      </c>
      <c r="M133" s="80" t="n">
        <v>9</v>
      </c>
      <c r="N133" s="80" t="n">
        <v>84</v>
      </c>
    </row>
    <row r="134" customFormat="false" ht="14.25" hidden="false" customHeight="false" outlineLevel="0" collapsed="false">
      <c r="A134" s="80" t="n">
        <v>101</v>
      </c>
      <c r="B134" s="80" t="s">
        <v>85</v>
      </c>
      <c r="C134" s="80" t="s">
        <v>86</v>
      </c>
      <c r="D134" s="80" t="n">
        <v>93202</v>
      </c>
      <c r="E134" s="81" t="n">
        <v>200025889800</v>
      </c>
      <c r="F134" s="82" t="s">
        <v>96</v>
      </c>
      <c r="G134" s="81" t="n">
        <v>210257</v>
      </c>
      <c r="H134" s="83" t="n">
        <v>45434.610462963</v>
      </c>
      <c r="I134" s="80" t="n">
        <v>9</v>
      </c>
      <c r="J134" s="80" t="n">
        <v>1</v>
      </c>
      <c r="K134" s="80" t="n">
        <v>10</v>
      </c>
      <c r="L134" s="82" t="s">
        <v>96</v>
      </c>
      <c r="M134" s="80" t="n">
        <v>9</v>
      </c>
      <c r="N134" s="80" t="n">
        <v>85</v>
      </c>
    </row>
    <row r="135" customFormat="false" ht="14.25" hidden="false" customHeight="false" outlineLevel="0" collapsed="false">
      <c r="A135" s="80" t="n">
        <v>136</v>
      </c>
      <c r="B135" s="80" t="s">
        <v>85</v>
      </c>
      <c r="C135" s="80" t="s">
        <v>86</v>
      </c>
      <c r="D135" s="80" t="n">
        <v>93202</v>
      </c>
      <c r="E135" s="81" t="n">
        <v>200025889800</v>
      </c>
      <c r="F135" s="82" t="s">
        <v>96</v>
      </c>
      <c r="G135" s="81" t="n">
        <v>210257</v>
      </c>
      <c r="H135" s="83" t="n">
        <v>45434.6958680556</v>
      </c>
      <c r="I135" s="80" t="n">
        <v>9</v>
      </c>
      <c r="J135" s="80" t="n">
        <v>0</v>
      </c>
      <c r="K135" s="80" t="n">
        <v>11</v>
      </c>
      <c r="L135" s="82" t="s">
        <v>96</v>
      </c>
      <c r="M135" s="80" t="n">
        <v>9</v>
      </c>
      <c r="N135" s="80" t="n">
        <v>120</v>
      </c>
    </row>
    <row r="136" customFormat="false" ht="14.25" hidden="false" customHeight="false" outlineLevel="0" collapsed="false">
      <c r="A136" s="80" t="n">
        <v>137</v>
      </c>
      <c r="B136" s="80" t="s">
        <v>85</v>
      </c>
      <c r="C136" s="80" t="s">
        <v>86</v>
      </c>
      <c r="D136" s="80" t="n">
        <v>93202</v>
      </c>
      <c r="E136" s="81" t="n">
        <v>200025889800</v>
      </c>
      <c r="F136" s="82" t="s">
        <v>96</v>
      </c>
      <c r="G136" s="81" t="n">
        <v>210257</v>
      </c>
      <c r="H136" s="83" t="n">
        <v>45434.6959837963</v>
      </c>
      <c r="I136" s="80" t="n">
        <v>9</v>
      </c>
      <c r="J136" s="80" t="n">
        <v>1</v>
      </c>
      <c r="K136" s="80" t="n">
        <v>12</v>
      </c>
      <c r="L136" s="82" t="s">
        <v>96</v>
      </c>
      <c r="M136" s="80" t="n">
        <v>9</v>
      </c>
      <c r="N136" s="80" t="n">
        <v>121</v>
      </c>
    </row>
    <row r="137" customFormat="false" ht="14.25" hidden="false" customHeight="false" outlineLevel="0" collapsed="false">
      <c r="A137" s="80" t="n">
        <v>138</v>
      </c>
      <c r="B137" s="80" t="s">
        <v>85</v>
      </c>
      <c r="C137" s="80" t="s">
        <v>86</v>
      </c>
      <c r="D137" s="80" t="n">
        <v>93202</v>
      </c>
      <c r="E137" s="81" t="n">
        <v>200025889800</v>
      </c>
      <c r="F137" s="82" t="s">
        <v>96</v>
      </c>
      <c r="G137" s="81" t="n">
        <v>210257</v>
      </c>
      <c r="H137" s="83" t="n">
        <v>45434.6961921296</v>
      </c>
      <c r="I137" s="80" t="n">
        <v>9</v>
      </c>
      <c r="J137" s="80" t="n">
        <v>0</v>
      </c>
      <c r="K137" s="80" t="n">
        <v>13</v>
      </c>
      <c r="L137" s="82" t="s">
        <v>96</v>
      </c>
      <c r="M137" s="80" t="n">
        <v>9</v>
      </c>
      <c r="N137" s="80" t="n">
        <v>122</v>
      </c>
    </row>
    <row r="138" customFormat="false" ht="14.25" hidden="false" customHeight="false" outlineLevel="0" collapsed="false">
      <c r="A138" s="80" t="n">
        <v>139</v>
      </c>
      <c r="B138" s="80" t="s">
        <v>85</v>
      </c>
      <c r="C138" s="80" t="s">
        <v>86</v>
      </c>
      <c r="D138" s="80" t="n">
        <v>93202</v>
      </c>
      <c r="E138" s="81" t="n">
        <v>200025889800</v>
      </c>
      <c r="F138" s="82" t="s">
        <v>96</v>
      </c>
      <c r="G138" s="81" t="n">
        <v>210257</v>
      </c>
      <c r="H138" s="83" t="n">
        <v>45434.6963541667</v>
      </c>
      <c r="I138" s="80" t="n">
        <v>9</v>
      </c>
      <c r="J138" s="80" t="n">
        <v>1</v>
      </c>
      <c r="K138" s="80" t="n">
        <v>14</v>
      </c>
      <c r="L138" s="82" t="s">
        <v>96</v>
      </c>
      <c r="M138" s="80" t="n">
        <v>9</v>
      </c>
      <c r="N138" s="80" t="n">
        <v>123</v>
      </c>
    </row>
    <row r="139" s="1" customFormat="true" ht="14.25" hidden="false" customHeight="false" outlineLevel="0" collapsed="false">
      <c r="A139" s="80" t="n">
        <v>140</v>
      </c>
      <c r="B139" s="80" t="s">
        <v>85</v>
      </c>
      <c r="C139" s="80" t="s">
        <v>86</v>
      </c>
      <c r="D139" s="80" t="n">
        <v>93202</v>
      </c>
      <c r="E139" s="81" t="n">
        <v>200025889800</v>
      </c>
      <c r="F139" s="82" t="s">
        <v>96</v>
      </c>
      <c r="G139" s="81" t="n">
        <v>210257</v>
      </c>
      <c r="H139" s="83" t="n">
        <v>45434.6995023148</v>
      </c>
      <c r="I139" s="80" t="n">
        <v>9</v>
      </c>
      <c r="J139" s="80" t="n">
        <v>1</v>
      </c>
      <c r="K139" s="80" t="n">
        <v>15</v>
      </c>
      <c r="L139" s="82" t="s">
        <v>96</v>
      </c>
      <c r="M139" s="80" t="n">
        <v>9</v>
      </c>
      <c r="N139" s="80" t="n">
        <v>124</v>
      </c>
      <c r="O139" s="7"/>
    </row>
    <row r="140" s="1" customFormat="true" ht="14.25" hidden="false" customHeight="false" outlineLevel="0" collapsed="false">
      <c r="A140" s="80" t="n">
        <v>145</v>
      </c>
      <c r="B140" s="80" t="s">
        <v>85</v>
      </c>
      <c r="C140" s="80" t="s">
        <v>86</v>
      </c>
      <c r="D140" s="80" t="n">
        <v>93202</v>
      </c>
      <c r="E140" s="81" t="n">
        <v>200025889800</v>
      </c>
      <c r="F140" s="82" t="s">
        <v>96</v>
      </c>
      <c r="G140" s="81" t="n">
        <v>210257</v>
      </c>
      <c r="H140" s="83" t="n">
        <v>45434.7154166667</v>
      </c>
      <c r="I140" s="80" t="n">
        <v>9</v>
      </c>
      <c r="J140" s="80" t="n">
        <v>0</v>
      </c>
      <c r="K140" s="80" t="n">
        <v>16</v>
      </c>
      <c r="L140" s="82" t="s">
        <v>96</v>
      </c>
      <c r="M140" s="80" t="n">
        <v>9</v>
      </c>
      <c r="N140" s="80" t="n">
        <v>129</v>
      </c>
      <c r="O140" s="7"/>
    </row>
    <row r="141" customFormat="false" ht="14.25" hidden="false" customHeight="false" outlineLevel="0" collapsed="false">
      <c r="A141" s="80" t="n">
        <v>156</v>
      </c>
      <c r="B141" s="80" t="s">
        <v>85</v>
      </c>
      <c r="C141" s="80" t="s">
        <v>86</v>
      </c>
      <c r="D141" s="80" t="n">
        <v>93202</v>
      </c>
      <c r="E141" s="81" t="n">
        <v>200025889800</v>
      </c>
      <c r="F141" s="82" t="s">
        <v>96</v>
      </c>
      <c r="G141" s="81" t="n">
        <v>210257</v>
      </c>
      <c r="H141" s="83" t="n">
        <v>45434.7562268519</v>
      </c>
      <c r="I141" s="80" t="n">
        <v>9</v>
      </c>
      <c r="J141" s="80" t="n">
        <v>1</v>
      </c>
      <c r="K141" s="80" t="n">
        <v>17</v>
      </c>
      <c r="L141" s="82" t="s">
        <v>96</v>
      </c>
      <c r="M141" s="80" t="n">
        <v>9</v>
      </c>
      <c r="N141" s="80" t="n">
        <v>140</v>
      </c>
    </row>
    <row r="142" customFormat="false" ht="14.25" hidden="false" customHeight="false" outlineLevel="0" collapsed="false">
      <c r="A142" s="80" t="n">
        <v>157</v>
      </c>
      <c r="B142" s="80" t="s">
        <v>85</v>
      </c>
      <c r="C142" s="80" t="s">
        <v>86</v>
      </c>
      <c r="D142" s="80" t="n">
        <v>93202</v>
      </c>
      <c r="E142" s="81" t="n">
        <v>200025889800</v>
      </c>
      <c r="F142" s="82" t="s">
        <v>96</v>
      </c>
      <c r="G142" s="81" t="n">
        <v>210257</v>
      </c>
      <c r="H142" s="83" t="n">
        <v>45434.756400463</v>
      </c>
      <c r="I142" s="80" t="n">
        <v>9</v>
      </c>
      <c r="J142" s="80" t="n">
        <v>1</v>
      </c>
      <c r="K142" s="80" t="n">
        <v>18</v>
      </c>
      <c r="L142" s="82" t="s">
        <v>96</v>
      </c>
      <c r="M142" s="80" t="n">
        <v>9</v>
      </c>
      <c r="N142" s="80" t="n">
        <v>141</v>
      </c>
    </row>
    <row r="143" customFormat="false" ht="14.25" hidden="false" customHeight="false" outlineLevel="0" collapsed="false">
      <c r="A143" s="76" t="n">
        <v>103</v>
      </c>
      <c r="B143" s="76" t="s">
        <v>85</v>
      </c>
      <c r="C143" s="76" t="s">
        <v>86</v>
      </c>
      <c r="D143" s="76" t="n">
        <v>93202</v>
      </c>
      <c r="E143" s="77" t="n">
        <v>200025889787</v>
      </c>
      <c r="F143" s="78" t="s">
        <v>97</v>
      </c>
      <c r="G143" s="77" t="n">
        <v>210260</v>
      </c>
      <c r="H143" s="79" t="n">
        <v>45434.6339930556</v>
      </c>
      <c r="I143" s="76" t="n">
        <v>10</v>
      </c>
      <c r="J143" s="76" t="n">
        <v>0</v>
      </c>
      <c r="K143" s="76" t="n">
        <v>1</v>
      </c>
      <c r="L143" s="78" t="s">
        <v>97</v>
      </c>
      <c r="M143" s="76" t="n">
        <v>10</v>
      </c>
      <c r="N143" s="76" t="n">
        <v>87</v>
      </c>
    </row>
    <row r="144" customFormat="false" ht="14.25" hidden="false" customHeight="false" outlineLevel="0" collapsed="false">
      <c r="A144" s="76" t="n">
        <v>104</v>
      </c>
      <c r="B144" s="76" t="s">
        <v>85</v>
      </c>
      <c r="C144" s="76" t="s">
        <v>86</v>
      </c>
      <c r="D144" s="76" t="n">
        <v>93202</v>
      </c>
      <c r="E144" s="77" t="n">
        <v>200025889787</v>
      </c>
      <c r="F144" s="78" t="s">
        <v>97</v>
      </c>
      <c r="G144" s="77" t="n">
        <v>210260</v>
      </c>
      <c r="H144" s="79" t="n">
        <v>45434.6407060185</v>
      </c>
      <c r="I144" s="76" t="n">
        <v>10</v>
      </c>
      <c r="J144" s="76" t="n">
        <v>1</v>
      </c>
      <c r="K144" s="76" t="n">
        <v>2</v>
      </c>
      <c r="L144" s="78" t="s">
        <v>97</v>
      </c>
      <c r="M144" s="76" t="n">
        <v>10</v>
      </c>
      <c r="N144" s="76" t="n">
        <v>88</v>
      </c>
      <c r="O144" s="1"/>
    </row>
    <row r="145" customFormat="false" ht="14.25" hidden="false" customHeight="false" outlineLevel="0" collapsed="false">
      <c r="A145" s="76" t="n">
        <v>105</v>
      </c>
      <c r="B145" s="76" t="s">
        <v>85</v>
      </c>
      <c r="C145" s="76" t="s">
        <v>86</v>
      </c>
      <c r="D145" s="76" t="n">
        <v>93202</v>
      </c>
      <c r="E145" s="77" t="n">
        <v>200025889787</v>
      </c>
      <c r="F145" s="78" t="s">
        <v>97</v>
      </c>
      <c r="G145" s="77" t="n">
        <v>210260</v>
      </c>
      <c r="H145" s="79" t="n">
        <v>45434.6407291667</v>
      </c>
      <c r="I145" s="76" t="n">
        <v>10</v>
      </c>
      <c r="J145" s="76" t="n">
        <v>0</v>
      </c>
      <c r="K145" s="76" t="n">
        <v>3</v>
      </c>
      <c r="L145" s="78" t="s">
        <v>97</v>
      </c>
      <c r="M145" s="76" t="n">
        <v>10</v>
      </c>
      <c r="N145" s="76" t="n">
        <v>89</v>
      </c>
      <c r="O145" s="1"/>
    </row>
    <row r="146" customFormat="false" ht="14.25" hidden="false" customHeight="false" outlineLevel="0" collapsed="false">
      <c r="A146" s="76" t="n">
        <v>106</v>
      </c>
      <c r="B146" s="76" t="s">
        <v>85</v>
      </c>
      <c r="C146" s="76" t="s">
        <v>86</v>
      </c>
      <c r="D146" s="76" t="n">
        <v>93202</v>
      </c>
      <c r="E146" s="77" t="n">
        <v>200025889787</v>
      </c>
      <c r="F146" s="78" t="s">
        <v>97</v>
      </c>
      <c r="G146" s="77" t="n">
        <v>210260</v>
      </c>
      <c r="H146" s="79" t="n">
        <v>45434.6407407407</v>
      </c>
      <c r="I146" s="76" t="n">
        <v>10</v>
      </c>
      <c r="J146" s="76" t="n">
        <v>0</v>
      </c>
      <c r="K146" s="76" t="n">
        <v>4</v>
      </c>
      <c r="L146" s="78" t="s">
        <v>97</v>
      </c>
      <c r="M146" s="76" t="n">
        <v>10</v>
      </c>
      <c r="N146" s="76" t="n">
        <v>90</v>
      </c>
    </row>
    <row r="147" customFormat="false" ht="14.25" hidden="false" customHeight="false" outlineLevel="0" collapsed="false">
      <c r="A147" s="80" t="n">
        <v>146</v>
      </c>
      <c r="B147" s="80" t="s">
        <v>85</v>
      </c>
      <c r="C147" s="80" t="s">
        <v>86</v>
      </c>
      <c r="D147" s="80" t="n">
        <v>93202</v>
      </c>
      <c r="E147" s="81" t="n">
        <v>200025889201</v>
      </c>
      <c r="F147" s="82" t="s">
        <v>98</v>
      </c>
      <c r="G147" s="81" t="n">
        <v>230126</v>
      </c>
      <c r="H147" s="83" t="n">
        <v>45434.7287152778</v>
      </c>
      <c r="I147" s="80" t="n">
        <v>11</v>
      </c>
      <c r="J147" s="80" t="n">
        <v>0</v>
      </c>
      <c r="K147" s="80" t="n">
        <v>1</v>
      </c>
      <c r="L147" s="82" t="s">
        <v>98</v>
      </c>
      <c r="M147" s="80" t="n">
        <v>11</v>
      </c>
      <c r="N147" s="80" t="n">
        <v>130</v>
      </c>
    </row>
    <row r="148" customFormat="false" ht="14.25" hidden="false" customHeight="false" outlineLevel="0" collapsed="false">
      <c r="A148" s="80" t="n">
        <v>147</v>
      </c>
      <c r="B148" s="80" t="s">
        <v>85</v>
      </c>
      <c r="C148" s="80" t="s">
        <v>86</v>
      </c>
      <c r="D148" s="80" t="n">
        <v>93202</v>
      </c>
      <c r="E148" s="81" t="n">
        <v>200025889201</v>
      </c>
      <c r="F148" s="82" t="s">
        <v>98</v>
      </c>
      <c r="G148" s="81" t="n">
        <v>230126</v>
      </c>
      <c r="H148" s="83" t="n">
        <v>45434.7291898148</v>
      </c>
      <c r="I148" s="80" t="n">
        <v>11</v>
      </c>
      <c r="J148" s="80" t="n">
        <v>1</v>
      </c>
      <c r="K148" s="80" t="n">
        <v>2</v>
      </c>
      <c r="L148" s="82" t="s">
        <v>98</v>
      </c>
      <c r="M148" s="80" t="n">
        <v>11</v>
      </c>
      <c r="N148" s="80" t="n">
        <v>131</v>
      </c>
    </row>
    <row r="149" customFormat="false" ht="14.25" hidden="false" customHeight="false" outlineLevel="0" collapsed="false">
      <c r="A149" s="80" t="n">
        <v>163</v>
      </c>
      <c r="B149" s="80" t="s">
        <v>85</v>
      </c>
      <c r="C149" s="80" t="s">
        <v>86</v>
      </c>
      <c r="D149" s="80" t="n">
        <v>93202</v>
      </c>
      <c r="E149" s="81" t="n">
        <v>200025889201</v>
      </c>
      <c r="F149" s="82" t="s">
        <v>98</v>
      </c>
      <c r="G149" s="81" t="n">
        <v>230126</v>
      </c>
      <c r="H149" s="83" t="n">
        <v>45434.7825810185</v>
      </c>
      <c r="I149" s="80" t="n">
        <v>11</v>
      </c>
      <c r="J149" s="80" t="n">
        <v>1</v>
      </c>
      <c r="K149" s="80" t="n">
        <v>3</v>
      </c>
      <c r="L149" s="82" t="s">
        <v>98</v>
      </c>
      <c r="M149" s="80" t="n">
        <v>11</v>
      </c>
      <c r="N149" s="80" t="n">
        <v>147</v>
      </c>
    </row>
    <row r="150" customFormat="false" ht="14.25" hidden="false" customHeight="false" outlineLevel="0" collapsed="false">
      <c r="A150" s="80" t="n">
        <v>164</v>
      </c>
      <c r="B150" s="80" t="s">
        <v>85</v>
      </c>
      <c r="C150" s="80" t="s">
        <v>86</v>
      </c>
      <c r="D150" s="80" t="n">
        <v>93202</v>
      </c>
      <c r="E150" s="81" t="n">
        <v>200025889201</v>
      </c>
      <c r="F150" s="82" t="s">
        <v>98</v>
      </c>
      <c r="G150" s="81" t="n">
        <v>230126</v>
      </c>
      <c r="H150" s="83" t="n">
        <v>45434.7826041667</v>
      </c>
      <c r="I150" s="80" t="n">
        <v>11</v>
      </c>
      <c r="J150" s="80" t="n">
        <v>0</v>
      </c>
      <c r="K150" s="80" t="n">
        <v>4</v>
      </c>
      <c r="L150" s="82" t="s">
        <v>98</v>
      </c>
      <c r="M150" s="80" t="n">
        <v>11</v>
      </c>
      <c r="N150" s="80" t="n">
        <v>148</v>
      </c>
    </row>
    <row r="151" customFormat="false" ht="14.25" hidden="false" customHeight="false" outlineLevel="0" collapsed="false">
      <c r="A151" s="80" t="n">
        <v>165</v>
      </c>
      <c r="B151" s="80" t="s">
        <v>85</v>
      </c>
      <c r="C151" s="80" t="s">
        <v>86</v>
      </c>
      <c r="D151" s="80" t="n">
        <v>93202</v>
      </c>
      <c r="E151" s="81" t="n">
        <v>200025889201</v>
      </c>
      <c r="F151" s="82" t="s">
        <v>98</v>
      </c>
      <c r="G151" s="81" t="n">
        <v>230126</v>
      </c>
      <c r="H151" s="83" t="n">
        <v>45434.7826157407</v>
      </c>
      <c r="I151" s="80" t="n">
        <v>11</v>
      </c>
      <c r="J151" s="80" t="n">
        <v>0</v>
      </c>
      <c r="K151" s="80" t="n">
        <v>5</v>
      </c>
      <c r="L151" s="82" t="s">
        <v>98</v>
      </c>
      <c r="M151" s="80" t="n">
        <v>11</v>
      </c>
      <c r="N151" s="80" t="n">
        <v>149</v>
      </c>
    </row>
    <row r="152" customFormat="false" ht="14.25" hidden="false" customHeight="false" outlineLevel="0" collapsed="false">
      <c r="A152" s="80" t="n">
        <v>166</v>
      </c>
      <c r="B152" s="80" t="s">
        <v>85</v>
      </c>
      <c r="C152" s="80" t="s">
        <v>86</v>
      </c>
      <c r="D152" s="80" t="n">
        <v>93202</v>
      </c>
      <c r="E152" s="81" t="n">
        <v>200025889201</v>
      </c>
      <c r="F152" s="82" t="s">
        <v>98</v>
      </c>
      <c r="G152" s="81" t="n">
        <v>230126</v>
      </c>
      <c r="H152" s="83" t="n">
        <v>45434.7827662037</v>
      </c>
      <c r="I152" s="80" t="n">
        <v>11</v>
      </c>
      <c r="J152" s="80" t="n">
        <v>1</v>
      </c>
      <c r="K152" s="80" t="n">
        <v>6</v>
      </c>
      <c r="L152" s="82" t="s">
        <v>98</v>
      </c>
      <c r="M152" s="80" t="n">
        <v>11</v>
      </c>
      <c r="N152" s="80" t="n">
        <v>150</v>
      </c>
    </row>
    <row r="153" customFormat="false" ht="14.25" hidden="false" customHeight="false" outlineLevel="0" collapsed="false">
      <c r="A153" s="80" t="n">
        <v>196</v>
      </c>
      <c r="B153" s="80" t="s">
        <v>85</v>
      </c>
      <c r="C153" s="80" t="s">
        <v>86</v>
      </c>
      <c r="D153" s="80" t="n">
        <v>93202</v>
      </c>
      <c r="E153" s="81" t="n">
        <v>200025889201</v>
      </c>
      <c r="F153" s="82" t="s">
        <v>98</v>
      </c>
      <c r="G153" s="81" t="n">
        <v>230126</v>
      </c>
      <c r="H153" s="83" t="n">
        <v>45434.8530092593</v>
      </c>
      <c r="I153" s="80" t="n">
        <v>11</v>
      </c>
      <c r="J153" s="80" t="n">
        <v>0</v>
      </c>
      <c r="K153" s="80" t="n">
        <v>7</v>
      </c>
      <c r="L153" s="82" t="s">
        <v>98</v>
      </c>
      <c r="M153" s="80" t="n">
        <v>11</v>
      </c>
      <c r="N153" s="80" t="n">
        <v>180</v>
      </c>
    </row>
    <row r="154" customFormat="false" ht="14.25" hidden="false" customHeight="false" outlineLevel="0" collapsed="false">
      <c r="A154" s="80" t="n">
        <v>197</v>
      </c>
      <c r="B154" s="80" t="s">
        <v>85</v>
      </c>
      <c r="C154" s="80" t="s">
        <v>86</v>
      </c>
      <c r="D154" s="80" t="n">
        <v>93202</v>
      </c>
      <c r="E154" s="81" t="n">
        <v>200025889201</v>
      </c>
      <c r="F154" s="82" t="s">
        <v>98</v>
      </c>
      <c r="G154" s="81" t="n">
        <v>230126</v>
      </c>
      <c r="H154" s="83" t="n">
        <v>45434.8530092593</v>
      </c>
      <c r="I154" s="80" t="n">
        <v>11</v>
      </c>
      <c r="J154" s="80" t="n">
        <v>1</v>
      </c>
      <c r="K154" s="80" t="n">
        <v>8</v>
      </c>
      <c r="L154" s="82" t="s">
        <v>98</v>
      </c>
      <c r="M154" s="80" t="n">
        <v>11</v>
      </c>
      <c r="N154" s="80" t="n">
        <v>181</v>
      </c>
    </row>
    <row r="155" customFormat="false" ht="14.25" hidden="false" customHeight="false" outlineLevel="0" collapsed="false">
      <c r="A155" s="80" t="n">
        <v>198</v>
      </c>
      <c r="B155" s="80" t="s">
        <v>85</v>
      </c>
      <c r="C155" s="80" t="s">
        <v>86</v>
      </c>
      <c r="D155" s="80" t="n">
        <v>93202</v>
      </c>
      <c r="E155" s="81" t="n">
        <v>200025889201</v>
      </c>
      <c r="F155" s="82" t="s">
        <v>98</v>
      </c>
      <c r="G155" s="81" t="n">
        <v>230126</v>
      </c>
      <c r="H155" s="83" t="n">
        <v>45434.8530324074</v>
      </c>
      <c r="I155" s="80" t="n">
        <v>11</v>
      </c>
      <c r="J155" s="80" t="n">
        <v>0</v>
      </c>
      <c r="K155" s="80" t="n">
        <v>9</v>
      </c>
      <c r="L155" s="82" t="s">
        <v>98</v>
      </c>
      <c r="M155" s="80" t="n">
        <v>11</v>
      </c>
      <c r="N155" s="80" t="n">
        <v>182</v>
      </c>
    </row>
    <row r="156" customFormat="false" ht="14.25" hidden="false" customHeight="false" outlineLevel="0" collapsed="false">
      <c r="A156" s="80" t="n">
        <v>199</v>
      </c>
      <c r="B156" s="80" t="s">
        <v>85</v>
      </c>
      <c r="C156" s="80" t="s">
        <v>86</v>
      </c>
      <c r="D156" s="80" t="n">
        <v>93202</v>
      </c>
      <c r="E156" s="81" t="n">
        <v>200025889201</v>
      </c>
      <c r="F156" s="82" t="s">
        <v>98</v>
      </c>
      <c r="G156" s="81" t="n">
        <v>230126</v>
      </c>
      <c r="H156" s="83" t="n">
        <v>45434.8531365741</v>
      </c>
      <c r="I156" s="80" t="n">
        <v>11</v>
      </c>
      <c r="J156" s="80" t="n">
        <v>1</v>
      </c>
      <c r="K156" s="80" t="n">
        <v>10</v>
      </c>
      <c r="L156" s="82" t="s">
        <v>98</v>
      </c>
      <c r="M156" s="80" t="n">
        <v>11</v>
      </c>
      <c r="N156" s="80" t="n">
        <v>183</v>
      </c>
    </row>
    <row r="157" customFormat="false" ht="14.25" hidden="false" customHeight="false" outlineLevel="0" collapsed="false">
      <c r="A157" s="76" t="n">
        <v>148</v>
      </c>
      <c r="B157" s="76" t="s">
        <v>85</v>
      </c>
      <c r="C157" s="76" t="s">
        <v>86</v>
      </c>
      <c r="D157" s="76" t="n">
        <v>93202</v>
      </c>
      <c r="E157" s="77" t="n">
        <v>200025889067</v>
      </c>
      <c r="F157" s="78" t="s">
        <v>99</v>
      </c>
      <c r="G157" s="77" t="n">
        <v>200983</v>
      </c>
      <c r="H157" s="79" t="n">
        <v>45434.7421064815</v>
      </c>
      <c r="I157" s="76" t="n">
        <v>12</v>
      </c>
      <c r="J157" s="76" t="n">
        <v>1</v>
      </c>
      <c r="K157" s="76" t="n">
        <v>1</v>
      </c>
      <c r="L157" s="78" t="s">
        <v>99</v>
      </c>
      <c r="M157" s="76" t="n">
        <v>12</v>
      </c>
      <c r="N157" s="76" t="n">
        <v>132</v>
      </c>
    </row>
    <row r="158" customFormat="false" ht="14.25" hidden="false" customHeight="false" outlineLevel="0" collapsed="false">
      <c r="A158" s="76" t="n">
        <v>149</v>
      </c>
      <c r="B158" s="76" t="s">
        <v>85</v>
      </c>
      <c r="C158" s="76" t="s">
        <v>86</v>
      </c>
      <c r="D158" s="76" t="n">
        <v>93202</v>
      </c>
      <c r="E158" s="77" t="n">
        <v>200025889067</v>
      </c>
      <c r="F158" s="78" t="s">
        <v>99</v>
      </c>
      <c r="G158" s="77" t="n">
        <v>200983</v>
      </c>
      <c r="H158" s="79" t="n">
        <v>45434.7421296296</v>
      </c>
      <c r="I158" s="76" t="n">
        <v>12</v>
      </c>
      <c r="J158" s="76" t="n">
        <v>1</v>
      </c>
      <c r="K158" s="76" t="n">
        <v>2</v>
      </c>
      <c r="L158" s="78" t="s">
        <v>99</v>
      </c>
      <c r="M158" s="76" t="n">
        <v>12</v>
      </c>
      <c r="N158" s="76" t="n">
        <v>133</v>
      </c>
    </row>
    <row r="159" customFormat="false" ht="14.25" hidden="false" customHeight="false" outlineLevel="0" collapsed="false">
      <c r="A159" s="76" t="n">
        <v>169</v>
      </c>
      <c r="B159" s="76" t="s">
        <v>85</v>
      </c>
      <c r="C159" s="76" t="s">
        <v>86</v>
      </c>
      <c r="D159" s="76" t="n">
        <v>93202</v>
      </c>
      <c r="E159" s="77" t="n">
        <v>200025889067</v>
      </c>
      <c r="F159" s="78" t="s">
        <v>99</v>
      </c>
      <c r="G159" s="77" t="n">
        <v>200983</v>
      </c>
      <c r="H159" s="79" t="n">
        <v>45434.8152546296</v>
      </c>
      <c r="I159" s="76" t="n">
        <v>12</v>
      </c>
      <c r="J159" s="76" t="n">
        <v>2</v>
      </c>
      <c r="K159" s="76" t="n">
        <v>3</v>
      </c>
      <c r="L159" s="78" t="s">
        <v>99</v>
      </c>
      <c r="M159" s="76" t="n">
        <v>12</v>
      </c>
      <c r="N159" s="76" t="n">
        <v>153</v>
      </c>
    </row>
    <row r="160" customFormat="false" ht="14.25" hidden="false" customHeight="false" outlineLevel="0" collapsed="false">
      <c r="A160" s="76" t="n">
        <v>170</v>
      </c>
      <c r="B160" s="76" t="s">
        <v>85</v>
      </c>
      <c r="C160" s="76" t="s">
        <v>86</v>
      </c>
      <c r="D160" s="76" t="n">
        <v>93202</v>
      </c>
      <c r="E160" s="77" t="n">
        <v>200025889067</v>
      </c>
      <c r="F160" s="78" t="s">
        <v>99</v>
      </c>
      <c r="G160" s="77" t="n">
        <v>200983</v>
      </c>
      <c r="H160" s="79" t="n">
        <v>45434.8152777778</v>
      </c>
      <c r="I160" s="76" t="n">
        <v>12</v>
      </c>
      <c r="J160" s="76" t="n">
        <v>0</v>
      </c>
      <c r="K160" s="76" t="n">
        <v>4</v>
      </c>
      <c r="L160" s="78" t="s">
        <v>99</v>
      </c>
      <c r="M160" s="76" t="n">
        <v>12</v>
      </c>
      <c r="N160" s="76" t="n">
        <v>154</v>
      </c>
    </row>
    <row r="161" customFormat="false" ht="14.25" hidden="false" customHeight="false" outlineLevel="0" collapsed="false">
      <c r="A161" s="76" t="n">
        <v>205</v>
      </c>
      <c r="B161" s="76" t="s">
        <v>85</v>
      </c>
      <c r="C161" s="76" t="s">
        <v>86</v>
      </c>
      <c r="D161" s="76" t="n">
        <v>93202</v>
      </c>
      <c r="E161" s="77" t="n">
        <v>200025889067</v>
      </c>
      <c r="F161" s="78" t="s">
        <v>99</v>
      </c>
      <c r="G161" s="77" t="n">
        <v>200983</v>
      </c>
      <c r="H161" s="79" t="n">
        <v>45434.8675115741</v>
      </c>
      <c r="I161" s="76" t="n">
        <v>12</v>
      </c>
      <c r="J161" s="76" t="n">
        <v>0</v>
      </c>
      <c r="K161" s="76" t="n">
        <v>5</v>
      </c>
      <c r="L161" s="78" t="s">
        <v>99</v>
      </c>
      <c r="M161" s="76" t="n">
        <v>12</v>
      </c>
      <c r="N161" s="76" t="n">
        <v>189</v>
      </c>
    </row>
    <row r="162" customFormat="false" ht="14.25" hidden="false" customHeight="false" outlineLevel="0" collapsed="false">
      <c r="A162" s="76" t="n">
        <v>206</v>
      </c>
      <c r="B162" s="76" t="s">
        <v>85</v>
      </c>
      <c r="C162" s="76" t="s">
        <v>86</v>
      </c>
      <c r="D162" s="76" t="n">
        <v>93202</v>
      </c>
      <c r="E162" s="77" t="n">
        <v>200025889067</v>
      </c>
      <c r="F162" s="78" t="s">
        <v>99</v>
      </c>
      <c r="G162" s="77" t="n">
        <v>200983</v>
      </c>
      <c r="H162" s="79" t="n">
        <v>45434.8675462963</v>
      </c>
      <c r="I162" s="76" t="n">
        <v>12</v>
      </c>
      <c r="J162" s="76" t="n">
        <v>1</v>
      </c>
      <c r="K162" s="76" t="n">
        <v>6</v>
      </c>
      <c r="L162" s="78" t="s">
        <v>99</v>
      </c>
      <c r="M162" s="76" t="n">
        <v>12</v>
      </c>
      <c r="N162" s="76" t="n">
        <v>190</v>
      </c>
    </row>
    <row r="163" customFormat="false" ht="14.25" hidden="false" customHeight="false" outlineLevel="0" collapsed="false">
      <c r="A163" s="76" t="n">
        <v>227</v>
      </c>
      <c r="B163" s="76" t="s">
        <v>85</v>
      </c>
      <c r="C163" s="76" t="s">
        <v>86</v>
      </c>
      <c r="D163" s="76" t="n">
        <v>93202</v>
      </c>
      <c r="E163" s="77" t="n">
        <v>200025889067</v>
      </c>
      <c r="F163" s="78" t="s">
        <v>99</v>
      </c>
      <c r="G163" s="77" t="n">
        <v>200983</v>
      </c>
      <c r="H163" s="79" t="n">
        <v>45434.9525347222</v>
      </c>
      <c r="I163" s="76" t="n">
        <v>12</v>
      </c>
      <c r="J163" s="76" t="n">
        <v>1</v>
      </c>
      <c r="K163" s="76" t="n">
        <v>7</v>
      </c>
      <c r="L163" s="78" t="s">
        <v>99</v>
      </c>
      <c r="M163" s="76" t="n">
        <v>12</v>
      </c>
      <c r="N163" s="76" t="n">
        <v>211</v>
      </c>
    </row>
    <row r="164" customFormat="false" ht="14.25" hidden="false" customHeight="false" outlineLevel="0" collapsed="false">
      <c r="A164" s="76" t="n">
        <v>228</v>
      </c>
      <c r="B164" s="76" t="s">
        <v>85</v>
      </c>
      <c r="C164" s="76" t="s">
        <v>86</v>
      </c>
      <c r="D164" s="76" t="n">
        <v>93202</v>
      </c>
      <c r="E164" s="77" t="n">
        <v>200025889067</v>
      </c>
      <c r="F164" s="78" t="s">
        <v>99</v>
      </c>
      <c r="G164" s="77" t="n">
        <v>200983</v>
      </c>
      <c r="H164" s="79" t="n">
        <v>45434.9525462963</v>
      </c>
      <c r="I164" s="76" t="n">
        <v>12</v>
      </c>
      <c r="J164" s="76" t="n">
        <v>0</v>
      </c>
      <c r="K164" s="76" t="n">
        <v>8</v>
      </c>
      <c r="L164" s="78" t="s">
        <v>99</v>
      </c>
      <c r="M164" s="76" t="n">
        <v>12</v>
      </c>
      <c r="N164" s="76" t="n">
        <v>212</v>
      </c>
    </row>
    <row r="165" customFormat="false" ht="14.25" hidden="false" customHeight="false" outlineLevel="0" collapsed="false">
      <c r="A165" s="76" t="n">
        <v>229</v>
      </c>
      <c r="B165" s="76" t="s">
        <v>85</v>
      </c>
      <c r="C165" s="76" t="s">
        <v>86</v>
      </c>
      <c r="D165" s="76" t="n">
        <v>93202</v>
      </c>
      <c r="E165" s="77" t="n">
        <v>200025889067</v>
      </c>
      <c r="F165" s="78" t="s">
        <v>99</v>
      </c>
      <c r="G165" s="77" t="n">
        <v>200983</v>
      </c>
      <c r="H165" s="79" t="n">
        <v>45434.9525578704</v>
      </c>
      <c r="I165" s="76" t="n">
        <v>12</v>
      </c>
      <c r="J165" s="76" t="n">
        <v>0</v>
      </c>
      <c r="K165" s="76" t="n">
        <v>9</v>
      </c>
      <c r="L165" s="78" t="s">
        <v>99</v>
      </c>
      <c r="M165" s="76" t="n">
        <v>12</v>
      </c>
      <c r="N165" s="76" t="n">
        <v>213</v>
      </c>
    </row>
    <row r="166" customFormat="false" ht="14.25" hidden="false" customHeight="false" outlineLevel="0" collapsed="false">
      <c r="A166" s="76" t="n">
        <v>230</v>
      </c>
      <c r="B166" s="76" t="s">
        <v>85</v>
      </c>
      <c r="C166" s="76" t="s">
        <v>86</v>
      </c>
      <c r="D166" s="76" t="n">
        <v>93202</v>
      </c>
      <c r="E166" s="77" t="n">
        <v>200025889067</v>
      </c>
      <c r="F166" s="78" t="s">
        <v>99</v>
      </c>
      <c r="G166" s="77" t="n">
        <v>200983</v>
      </c>
      <c r="H166" s="79" t="n">
        <v>45434.9526967593</v>
      </c>
      <c r="I166" s="76" t="n">
        <v>12</v>
      </c>
      <c r="J166" s="76" t="n">
        <v>1</v>
      </c>
      <c r="K166" s="76" t="n">
        <v>10</v>
      </c>
      <c r="L166" s="78" t="s">
        <v>99</v>
      </c>
      <c r="M166" s="76" t="n">
        <v>12</v>
      </c>
      <c r="N166" s="76" t="n">
        <v>214</v>
      </c>
    </row>
    <row r="167" customFormat="false" ht="14.25" hidden="false" customHeight="false" outlineLevel="0" collapsed="false">
      <c r="A167" s="76" t="n">
        <v>242</v>
      </c>
      <c r="B167" s="76" t="s">
        <v>85</v>
      </c>
      <c r="C167" s="76" t="s">
        <v>86</v>
      </c>
      <c r="D167" s="76" t="n">
        <v>93202</v>
      </c>
      <c r="E167" s="77" t="n">
        <v>200025889067</v>
      </c>
      <c r="F167" s="78" t="s">
        <v>99</v>
      </c>
      <c r="G167" s="77" t="n">
        <v>200983</v>
      </c>
      <c r="H167" s="79" t="n">
        <v>45434.9678819444</v>
      </c>
      <c r="I167" s="76" t="n">
        <v>12</v>
      </c>
      <c r="J167" s="76" t="n">
        <v>0</v>
      </c>
      <c r="K167" s="76" t="n">
        <v>11</v>
      </c>
      <c r="L167" s="78" t="s">
        <v>99</v>
      </c>
      <c r="M167" s="76" t="n">
        <v>12</v>
      </c>
      <c r="N167" s="76" t="n">
        <v>226</v>
      </c>
    </row>
    <row r="168" customFormat="false" ht="14.25" hidden="false" customHeight="false" outlineLevel="0" collapsed="false">
      <c r="A168" s="76" t="n">
        <v>243</v>
      </c>
      <c r="B168" s="76" t="s">
        <v>85</v>
      </c>
      <c r="C168" s="76" t="s">
        <v>86</v>
      </c>
      <c r="D168" s="76" t="n">
        <v>93202</v>
      </c>
      <c r="E168" s="77" t="n">
        <v>200025889067</v>
      </c>
      <c r="F168" s="78" t="s">
        <v>99</v>
      </c>
      <c r="G168" s="77" t="n">
        <v>200983</v>
      </c>
      <c r="H168" s="79" t="n">
        <v>45434.9678935185</v>
      </c>
      <c r="I168" s="76" t="n">
        <v>12</v>
      </c>
      <c r="J168" s="76" t="n">
        <v>2</v>
      </c>
      <c r="K168" s="76" t="n">
        <v>12</v>
      </c>
      <c r="L168" s="78" t="s">
        <v>99</v>
      </c>
      <c r="M168" s="76" t="n">
        <v>12</v>
      </c>
      <c r="N168" s="76" t="n">
        <v>227</v>
      </c>
    </row>
    <row r="169" customFormat="false" ht="14.25" hidden="false" customHeight="false" outlineLevel="0" collapsed="false">
      <c r="A169" s="76" t="n">
        <v>244</v>
      </c>
      <c r="B169" s="76" t="s">
        <v>85</v>
      </c>
      <c r="C169" s="76" t="s">
        <v>86</v>
      </c>
      <c r="D169" s="76" t="n">
        <v>93202</v>
      </c>
      <c r="E169" s="77" t="n">
        <v>200025889067</v>
      </c>
      <c r="F169" s="78" t="s">
        <v>99</v>
      </c>
      <c r="G169" s="77" t="n">
        <v>200983</v>
      </c>
      <c r="H169" s="79" t="n">
        <v>45434.9680324074</v>
      </c>
      <c r="I169" s="76" t="n">
        <v>12</v>
      </c>
      <c r="J169" s="76" t="n">
        <v>1</v>
      </c>
      <c r="K169" s="76" t="n">
        <v>13</v>
      </c>
      <c r="L169" s="78" t="s">
        <v>99</v>
      </c>
      <c r="M169" s="76" t="n">
        <v>12</v>
      </c>
      <c r="N169" s="76" t="n">
        <v>228</v>
      </c>
    </row>
    <row r="170" customFormat="false" ht="14.25" hidden="false" customHeight="false" outlineLevel="0" collapsed="false">
      <c r="A170" s="76" t="n">
        <v>245</v>
      </c>
      <c r="B170" s="76" t="s">
        <v>85</v>
      </c>
      <c r="C170" s="76" t="s">
        <v>86</v>
      </c>
      <c r="D170" s="76" t="n">
        <v>93202</v>
      </c>
      <c r="E170" s="77" t="n">
        <v>200025889067</v>
      </c>
      <c r="F170" s="78" t="s">
        <v>99</v>
      </c>
      <c r="G170" s="77" t="n">
        <v>200983</v>
      </c>
      <c r="H170" s="79" t="n">
        <v>45434.9680439815</v>
      </c>
      <c r="I170" s="76" t="n">
        <v>12</v>
      </c>
      <c r="J170" s="76" t="n">
        <v>1</v>
      </c>
      <c r="K170" s="76" t="n">
        <v>14</v>
      </c>
      <c r="L170" s="78" t="s">
        <v>99</v>
      </c>
      <c r="M170" s="76" t="n">
        <v>12</v>
      </c>
      <c r="N170" s="76" t="n">
        <v>229</v>
      </c>
    </row>
    <row r="171" s="1" customFormat="true" ht="14.25" hidden="false" customHeight="false" outlineLevel="0" collapsed="false">
      <c r="A171" s="80" t="n">
        <v>150</v>
      </c>
      <c r="B171" s="80" t="s">
        <v>85</v>
      </c>
      <c r="C171" s="80" t="s">
        <v>86</v>
      </c>
      <c r="D171" s="80" t="n">
        <v>93202</v>
      </c>
      <c r="E171" s="81" t="n">
        <v>200025889008</v>
      </c>
      <c r="F171" s="82" t="s">
        <v>100</v>
      </c>
      <c r="G171" s="81" t="n">
        <v>220235</v>
      </c>
      <c r="H171" s="83" t="n">
        <v>45434.7554398148</v>
      </c>
      <c r="I171" s="80" t="n">
        <v>13</v>
      </c>
      <c r="J171" s="80" t="n">
        <v>1</v>
      </c>
      <c r="K171" s="80" t="n">
        <v>1</v>
      </c>
      <c r="L171" s="82" t="s">
        <v>100</v>
      </c>
      <c r="M171" s="80" t="n">
        <v>13</v>
      </c>
      <c r="N171" s="80" t="n">
        <v>134</v>
      </c>
      <c r="O171" s="7"/>
    </row>
    <row r="172" s="1" customFormat="true" ht="14.25" hidden="false" customHeight="false" outlineLevel="0" collapsed="false">
      <c r="A172" s="80" t="n">
        <v>151</v>
      </c>
      <c r="B172" s="80" t="s">
        <v>85</v>
      </c>
      <c r="C172" s="80" t="s">
        <v>86</v>
      </c>
      <c r="D172" s="80" t="n">
        <v>93202</v>
      </c>
      <c r="E172" s="81" t="n">
        <v>200025889008</v>
      </c>
      <c r="F172" s="82" t="s">
        <v>100</v>
      </c>
      <c r="G172" s="81" t="n">
        <v>220235</v>
      </c>
      <c r="H172" s="83" t="n">
        <v>45434.755474537</v>
      </c>
      <c r="I172" s="80" t="n">
        <v>13</v>
      </c>
      <c r="J172" s="80" t="n">
        <v>0</v>
      </c>
      <c r="K172" s="80" t="n">
        <v>2</v>
      </c>
      <c r="L172" s="82" t="s">
        <v>100</v>
      </c>
      <c r="M172" s="80" t="n">
        <v>13</v>
      </c>
      <c r="N172" s="80" t="n">
        <v>135</v>
      </c>
      <c r="O172" s="7"/>
    </row>
    <row r="173" s="1" customFormat="true" ht="14.25" hidden="false" customHeight="false" outlineLevel="0" collapsed="false">
      <c r="A173" s="80" t="n">
        <v>152</v>
      </c>
      <c r="B173" s="80" t="s">
        <v>85</v>
      </c>
      <c r="C173" s="80" t="s">
        <v>86</v>
      </c>
      <c r="D173" s="80" t="n">
        <v>93202</v>
      </c>
      <c r="E173" s="81" t="n">
        <v>200025889008</v>
      </c>
      <c r="F173" s="82" t="s">
        <v>100</v>
      </c>
      <c r="G173" s="81" t="n">
        <v>220235</v>
      </c>
      <c r="H173" s="83" t="n">
        <v>45434.755474537</v>
      </c>
      <c r="I173" s="80" t="n">
        <v>13</v>
      </c>
      <c r="J173" s="80" t="n">
        <v>1</v>
      </c>
      <c r="K173" s="80" t="n">
        <v>3</v>
      </c>
      <c r="L173" s="82" t="s">
        <v>100</v>
      </c>
      <c r="M173" s="80" t="n">
        <v>13</v>
      </c>
      <c r="N173" s="80" t="n">
        <v>136</v>
      </c>
      <c r="O173" s="7"/>
    </row>
    <row r="174" customFormat="false" ht="14.25" hidden="false" customHeight="false" outlineLevel="0" collapsed="false">
      <c r="A174" s="80" t="n">
        <v>153</v>
      </c>
      <c r="B174" s="80" t="s">
        <v>85</v>
      </c>
      <c r="C174" s="80" t="s">
        <v>86</v>
      </c>
      <c r="D174" s="80" t="n">
        <v>93202</v>
      </c>
      <c r="E174" s="81" t="n">
        <v>200025889008</v>
      </c>
      <c r="F174" s="82" t="s">
        <v>100</v>
      </c>
      <c r="G174" s="81" t="n">
        <v>220235</v>
      </c>
      <c r="H174" s="83" t="n">
        <v>45434.7554976852</v>
      </c>
      <c r="I174" s="80" t="n">
        <v>13</v>
      </c>
      <c r="J174" s="80" t="n">
        <v>0</v>
      </c>
      <c r="K174" s="80" t="n">
        <v>4</v>
      </c>
      <c r="L174" s="82" t="s">
        <v>100</v>
      </c>
      <c r="M174" s="80" t="n">
        <v>13</v>
      </c>
      <c r="N174" s="80" t="n">
        <v>137</v>
      </c>
    </row>
    <row r="175" customFormat="false" ht="14.25" hidden="false" customHeight="false" outlineLevel="0" collapsed="false">
      <c r="A175" s="80" t="n">
        <v>154</v>
      </c>
      <c r="B175" s="80" t="s">
        <v>85</v>
      </c>
      <c r="C175" s="80" t="s">
        <v>86</v>
      </c>
      <c r="D175" s="80" t="n">
        <v>93202</v>
      </c>
      <c r="E175" s="81" t="n">
        <v>200025889008</v>
      </c>
      <c r="F175" s="82" t="s">
        <v>100</v>
      </c>
      <c r="G175" s="81" t="n">
        <v>220235</v>
      </c>
      <c r="H175" s="83" t="n">
        <v>45434.7554976852</v>
      </c>
      <c r="I175" s="80" t="n">
        <v>13</v>
      </c>
      <c r="J175" s="80" t="n">
        <v>2</v>
      </c>
      <c r="K175" s="80" t="n">
        <v>5</v>
      </c>
      <c r="L175" s="82" t="s">
        <v>100</v>
      </c>
      <c r="M175" s="80" t="n">
        <v>13</v>
      </c>
      <c r="N175" s="80" t="n">
        <v>138</v>
      </c>
    </row>
    <row r="176" customFormat="false" ht="14.25" hidden="false" customHeight="false" outlineLevel="0" collapsed="false">
      <c r="A176" s="80" t="n">
        <v>155</v>
      </c>
      <c r="B176" s="80" t="s">
        <v>85</v>
      </c>
      <c r="C176" s="80" t="s">
        <v>86</v>
      </c>
      <c r="D176" s="80" t="n">
        <v>93202</v>
      </c>
      <c r="E176" s="81" t="n">
        <v>200025889008</v>
      </c>
      <c r="F176" s="82" t="s">
        <v>100</v>
      </c>
      <c r="G176" s="81" t="n">
        <v>220235</v>
      </c>
      <c r="H176" s="83" t="n">
        <v>45434.755787037</v>
      </c>
      <c r="I176" s="80" t="n">
        <v>13</v>
      </c>
      <c r="J176" s="80" t="n">
        <v>2</v>
      </c>
      <c r="K176" s="80" t="n">
        <v>6</v>
      </c>
      <c r="L176" s="82" t="s">
        <v>100</v>
      </c>
      <c r="M176" s="80" t="n">
        <v>13</v>
      </c>
      <c r="N176" s="80" t="n">
        <v>139</v>
      </c>
      <c r="O176" s="1"/>
    </row>
    <row r="177" customFormat="false" ht="14.25" hidden="false" customHeight="false" outlineLevel="0" collapsed="false">
      <c r="A177" s="80" t="n">
        <v>162</v>
      </c>
      <c r="B177" s="80" t="s">
        <v>85</v>
      </c>
      <c r="C177" s="80" t="s">
        <v>86</v>
      </c>
      <c r="D177" s="80" t="n">
        <v>93202</v>
      </c>
      <c r="E177" s="81" t="n">
        <v>200025889008</v>
      </c>
      <c r="F177" s="82" t="s">
        <v>100</v>
      </c>
      <c r="G177" s="81" t="n">
        <v>220235</v>
      </c>
      <c r="H177" s="83" t="n">
        <v>45434.781875</v>
      </c>
      <c r="I177" s="80" t="n">
        <v>13</v>
      </c>
      <c r="J177" s="80" t="n">
        <v>1</v>
      </c>
      <c r="K177" s="80" t="n">
        <v>7</v>
      </c>
      <c r="L177" s="82" t="s">
        <v>100</v>
      </c>
      <c r="M177" s="80" t="n">
        <v>13</v>
      </c>
      <c r="N177" s="80" t="n">
        <v>146</v>
      </c>
      <c r="O177" s="1"/>
    </row>
    <row r="178" customFormat="false" ht="14.25" hidden="false" customHeight="false" outlineLevel="0" collapsed="false">
      <c r="A178" s="80" t="n">
        <v>171</v>
      </c>
      <c r="B178" s="80" t="s">
        <v>85</v>
      </c>
      <c r="C178" s="80" t="s">
        <v>86</v>
      </c>
      <c r="D178" s="80" t="n">
        <v>93202</v>
      </c>
      <c r="E178" s="81" t="n">
        <v>200025889008</v>
      </c>
      <c r="F178" s="82" t="s">
        <v>100</v>
      </c>
      <c r="G178" s="81" t="n">
        <v>220235</v>
      </c>
      <c r="H178" s="83" t="n">
        <v>45434.8200810185</v>
      </c>
      <c r="I178" s="80" t="n">
        <v>13</v>
      </c>
      <c r="J178" s="80" t="n">
        <v>1</v>
      </c>
      <c r="K178" s="80" t="n">
        <v>8</v>
      </c>
      <c r="L178" s="82" t="s">
        <v>100</v>
      </c>
      <c r="M178" s="80" t="n">
        <v>13</v>
      </c>
      <c r="N178" s="80" t="n">
        <v>155</v>
      </c>
      <c r="O178" s="1"/>
    </row>
    <row r="179" customFormat="false" ht="14.25" hidden="false" customHeight="false" outlineLevel="0" collapsed="false">
      <c r="A179" s="80" t="n">
        <v>181</v>
      </c>
      <c r="B179" s="80" t="s">
        <v>85</v>
      </c>
      <c r="C179" s="80" t="s">
        <v>86</v>
      </c>
      <c r="D179" s="80" t="n">
        <v>93202</v>
      </c>
      <c r="E179" s="81" t="n">
        <v>200025889008</v>
      </c>
      <c r="F179" s="82" t="s">
        <v>100</v>
      </c>
      <c r="G179" s="81" t="n">
        <v>220235</v>
      </c>
      <c r="H179" s="83" t="n">
        <v>45434.8322453704</v>
      </c>
      <c r="I179" s="80" t="n">
        <v>13</v>
      </c>
      <c r="J179" s="80" t="n">
        <v>0</v>
      </c>
      <c r="K179" s="80" t="n">
        <v>9</v>
      </c>
      <c r="L179" s="82" t="s">
        <v>100</v>
      </c>
      <c r="M179" s="80" t="n">
        <v>13</v>
      </c>
      <c r="N179" s="80" t="n">
        <v>165</v>
      </c>
    </row>
    <row r="180" customFormat="false" ht="14.25" hidden="false" customHeight="false" outlineLevel="0" collapsed="false">
      <c r="A180" s="80" t="n">
        <v>182</v>
      </c>
      <c r="B180" s="80" t="s">
        <v>85</v>
      </c>
      <c r="C180" s="80" t="s">
        <v>86</v>
      </c>
      <c r="D180" s="80" t="n">
        <v>93202</v>
      </c>
      <c r="E180" s="81" t="n">
        <v>200025889008</v>
      </c>
      <c r="F180" s="82" t="s">
        <v>100</v>
      </c>
      <c r="G180" s="81" t="n">
        <v>220235</v>
      </c>
      <c r="H180" s="83" t="n">
        <v>45434.8322569444</v>
      </c>
      <c r="I180" s="80" t="n">
        <v>13</v>
      </c>
      <c r="J180" s="80" t="n">
        <v>1</v>
      </c>
      <c r="K180" s="80" t="n">
        <v>10</v>
      </c>
      <c r="L180" s="82" t="s">
        <v>100</v>
      </c>
      <c r="M180" s="80" t="n">
        <v>13</v>
      </c>
      <c r="N180" s="80" t="n">
        <v>166</v>
      </c>
    </row>
    <row r="181" customFormat="false" ht="14.25" hidden="false" customHeight="false" outlineLevel="0" collapsed="false">
      <c r="A181" s="80" t="n">
        <v>183</v>
      </c>
      <c r="B181" s="80" t="s">
        <v>85</v>
      </c>
      <c r="C181" s="80" t="s">
        <v>86</v>
      </c>
      <c r="D181" s="80" t="n">
        <v>93202</v>
      </c>
      <c r="E181" s="81" t="n">
        <v>200025889008</v>
      </c>
      <c r="F181" s="82" t="s">
        <v>100</v>
      </c>
      <c r="G181" s="81" t="n">
        <v>220235</v>
      </c>
      <c r="H181" s="83" t="n">
        <v>45434.8325694444</v>
      </c>
      <c r="I181" s="80" t="n">
        <v>13</v>
      </c>
      <c r="J181" s="80" t="n">
        <v>0</v>
      </c>
      <c r="K181" s="80" t="n">
        <v>11</v>
      </c>
      <c r="L181" s="82" t="s">
        <v>100</v>
      </c>
      <c r="M181" s="80" t="n">
        <v>13</v>
      </c>
      <c r="N181" s="80" t="n">
        <v>167</v>
      </c>
    </row>
    <row r="182" s="1" customFormat="true" ht="14.25" hidden="false" customHeight="false" outlineLevel="0" collapsed="false">
      <c r="A182" s="80" t="n">
        <v>184</v>
      </c>
      <c r="B182" s="80" t="s">
        <v>85</v>
      </c>
      <c r="C182" s="80" t="s">
        <v>86</v>
      </c>
      <c r="D182" s="80" t="n">
        <v>93202</v>
      </c>
      <c r="E182" s="81" t="n">
        <v>200025889008</v>
      </c>
      <c r="F182" s="82" t="s">
        <v>100</v>
      </c>
      <c r="G182" s="81" t="n">
        <v>220235</v>
      </c>
      <c r="H182" s="83" t="n">
        <v>45434.8325810185</v>
      </c>
      <c r="I182" s="80" t="n">
        <v>13</v>
      </c>
      <c r="J182" s="80" t="n">
        <v>0</v>
      </c>
      <c r="K182" s="80" t="n">
        <v>12</v>
      </c>
      <c r="L182" s="82" t="s">
        <v>100</v>
      </c>
      <c r="M182" s="80" t="n">
        <v>13</v>
      </c>
      <c r="N182" s="80" t="n">
        <v>168</v>
      </c>
      <c r="O182" s="7"/>
    </row>
    <row r="183" s="1" customFormat="true" ht="14.25" hidden="false" customHeight="false" outlineLevel="0" collapsed="false">
      <c r="A183" s="80" t="n">
        <v>185</v>
      </c>
      <c r="B183" s="80" t="s">
        <v>85</v>
      </c>
      <c r="C183" s="80" t="s">
        <v>86</v>
      </c>
      <c r="D183" s="80" t="n">
        <v>93202</v>
      </c>
      <c r="E183" s="81" t="n">
        <v>200025889008</v>
      </c>
      <c r="F183" s="82" t="s">
        <v>100</v>
      </c>
      <c r="G183" s="81" t="n">
        <v>220235</v>
      </c>
      <c r="H183" s="83" t="n">
        <v>45434.8326041667</v>
      </c>
      <c r="I183" s="80" t="n">
        <v>13</v>
      </c>
      <c r="J183" s="80" t="n">
        <v>1</v>
      </c>
      <c r="K183" s="80" t="n">
        <v>13</v>
      </c>
      <c r="L183" s="82" t="s">
        <v>100</v>
      </c>
      <c r="M183" s="80" t="n">
        <v>13</v>
      </c>
      <c r="N183" s="80" t="n">
        <v>169</v>
      </c>
      <c r="O183" s="7"/>
    </row>
    <row r="184" s="1" customFormat="true" ht="14.25" hidden="false" customHeight="false" outlineLevel="0" collapsed="false">
      <c r="A184" s="80" t="n">
        <v>186</v>
      </c>
      <c r="B184" s="80" t="s">
        <v>85</v>
      </c>
      <c r="C184" s="80" t="s">
        <v>86</v>
      </c>
      <c r="D184" s="80" t="n">
        <v>93202</v>
      </c>
      <c r="E184" s="81" t="n">
        <v>200025889008</v>
      </c>
      <c r="F184" s="82" t="s">
        <v>100</v>
      </c>
      <c r="G184" s="81" t="n">
        <v>220235</v>
      </c>
      <c r="H184" s="83" t="n">
        <v>45434.8327430556</v>
      </c>
      <c r="I184" s="80" t="n">
        <v>13</v>
      </c>
      <c r="J184" s="80" t="n">
        <v>0</v>
      </c>
      <c r="K184" s="80" t="n">
        <v>14</v>
      </c>
      <c r="L184" s="82" t="s">
        <v>100</v>
      </c>
      <c r="M184" s="80" t="n">
        <v>13</v>
      </c>
      <c r="N184" s="80" t="n">
        <v>170</v>
      </c>
      <c r="O184" s="7"/>
    </row>
    <row r="185" customFormat="false" ht="14.25" hidden="false" customHeight="false" outlineLevel="0" collapsed="false">
      <c r="A185" s="80" t="n">
        <v>187</v>
      </c>
      <c r="B185" s="80" t="s">
        <v>85</v>
      </c>
      <c r="C185" s="80" t="s">
        <v>86</v>
      </c>
      <c r="D185" s="80" t="n">
        <v>93202</v>
      </c>
      <c r="E185" s="81" t="n">
        <v>200025889008</v>
      </c>
      <c r="F185" s="82" t="s">
        <v>100</v>
      </c>
      <c r="G185" s="81" t="n">
        <v>220235</v>
      </c>
      <c r="H185" s="83" t="n">
        <v>45434.8327430556</v>
      </c>
      <c r="I185" s="80" t="n">
        <v>13</v>
      </c>
      <c r="J185" s="80" t="n">
        <v>2</v>
      </c>
      <c r="K185" s="80" t="n">
        <v>15</v>
      </c>
      <c r="L185" s="82" t="s">
        <v>100</v>
      </c>
      <c r="M185" s="80" t="n">
        <v>13</v>
      </c>
      <c r="N185" s="80" t="n">
        <v>171</v>
      </c>
    </row>
    <row r="186" customFormat="false" ht="14.25" hidden="false" customHeight="false" outlineLevel="0" collapsed="false">
      <c r="A186" s="80" t="n">
        <v>204</v>
      </c>
      <c r="B186" s="80" t="s">
        <v>85</v>
      </c>
      <c r="C186" s="80" t="s">
        <v>86</v>
      </c>
      <c r="D186" s="80" t="n">
        <v>93202</v>
      </c>
      <c r="E186" s="81" t="n">
        <v>200025889008</v>
      </c>
      <c r="F186" s="82" t="s">
        <v>100</v>
      </c>
      <c r="G186" s="81" t="n">
        <v>220235</v>
      </c>
      <c r="H186" s="83" t="n">
        <v>45434.8583912037</v>
      </c>
      <c r="I186" s="80" t="n">
        <v>13</v>
      </c>
      <c r="J186" s="80" t="n">
        <v>1</v>
      </c>
      <c r="K186" s="80" t="n">
        <v>16</v>
      </c>
      <c r="L186" s="82" t="s">
        <v>100</v>
      </c>
      <c r="M186" s="80" t="n">
        <v>13</v>
      </c>
      <c r="N186" s="80" t="n">
        <v>188</v>
      </c>
    </row>
    <row r="187" customFormat="false" ht="14.25" hidden="false" customHeight="false" outlineLevel="0" collapsed="false">
      <c r="A187" s="80" t="n">
        <v>209</v>
      </c>
      <c r="B187" s="80" t="s">
        <v>85</v>
      </c>
      <c r="C187" s="80" t="s">
        <v>86</v>
      </c>
      <c r="D187" s="80" t="n">
        <v>93202</v>
      </c>
      <c r="E187" s="81" t="n">
        <v>200025889008</v>
      </c>
      <c r="F187" s="82" t="s">
        <v>100</v>
      </c>
      <c r="G187" s="81" t="n">
        <v>220235</v>
      </c>
      <c r="H187" s="83" t="n">
        <v>45434.8848958333</v>
      </c>
      <c r="I187" s="80" t="n">
        <v>13</v>
      </c>
      <c r="J187" s="80" t="n">
        <v>0</v>
      </c>
      <c r="K187" s="80" t="n">
        <v>17</v>
      </c>
      <c r="L187" s="82" t="s">
        <v>100</v>
      </c>
      <c r="M187" s="80" t="n">
        <v>13</v>
      </c>
      <c r="N187" s="80" t="n">
        <v>193</v>
      </c>
      <c r="O187" s="1"/>
    </row>
    <row r="188" customFormat="false" ht="14.25" hidden="false" customHeight="false" outlineLevel="0" collapsed="false">
      <c r="A188" s="80" t="n">
        <v>213</v>
      </c>
      <c r="B188" s="80" t="s">
        <v>85</v>
      </c>
      <c r="C188" s="80" t="s">
        <v>86</v>
      </c>
      <c r="D188" s="80" t="n">
        <v>93202</v>
      </c>
      <c r="E188" s="81" t="n">
        <v>200025889008</v>
      </c>
      <c r="F188" s="82" t="s">
        <v>100</v>
      </c>
      <c r="G188" s="81" t="n">
        <v>220235</v>
      </c>
      <c r="H188" s="83" t="n">
        <v>45434.9320023148</v>
      </c>
      <c r="I188" s="80" t="n">
        <v>13</v>
      </c>
      <c r="J188" s="80" t="n">
        <v>2</v>
      </c>
      <c r="K188" s="80" t="n">
        <v>18</v>
      </c>
      <c r="L188" s="82" t="s">
        <v>100</v>
      </c>
      <c r="M188" s="80" t="n">
        <v>13</v>
      </c>
      <c r="N188" s="80" t="n">
        <v>197</v>
      </c>
      <c r="O188" s="1"/>
    </row>
    <row r="189" customFormat="false" ht="14.25" hidden="false" customHeight="false" outlineLevel="0" collapsed="false">
      <c r="A189" s="80" t="n">
        <v>214</v>
      </c>
      <c r="B189" s="80" t="s">
        <v>85</v>
      </c>
      <c r="C189" s="80" t="s">
        <v>86</v>
      </c>
      <c r="D189" s="80" t="n">
        <v>93202</v>
      </c>
      <c r="E189" s="81" t="n">
        <v>200025889008</v>
      </c>
      <c r="F189" s="82" t="s">
        <v>100</v>
      </c>
      <c r="G189" s="81" t="n">
        <v>220235</v>
      </c>
      <c r="H189" s="83" t="n">
        <v>45434.9328703704</v>
      </c>
      <c r="I189" s="80" t="n">
        <v>13</v>
      </c>
      <c r="J189" s="80" t="n">
        <v>2</v>
      </c>
      <c r="K189" s="80" t="n">
        <v>19</v>
      </c>
      <c r="L189" s="82" t="s">
        <v>100</v>
      </c>
      <c r="M189" s="80" t="n">
        <v>13</v>
      </c>
      <c r="N189" s="80" t="n">
        <v>198</v>
      </c>
      <c r="O189" s="1"/>
    </row>
    <row r="190" customFormat="false" ht="14.25" hidden="false" customHeight="false" outlineLevel="0" collapsed="false">
      <c r="A190" s="76" t="n">
        <v>158</v>
      </c>
      <c r="B190" s="76" t="s">
        <v>85</v>
      </c>
      <c r="C190" s="76" t="s">
        <v>86</v>
      </c>
      <c r="D190" s="76" t="n">
        <v>93202</v>
      </c>
      <c r="E190" s="77" t="n">
        <v>200025888994</v>
      </c>
      <c r="F190" s="78" t="s">
        <v>101</v>
      </c>
      <c r="G190" s="77" t="n">
        <v>220203</v>
      </c>
      <c r="H190" s="79" t="n">
        <v>45434.7694560185</v>
      </c>
      <c r="I190" s="76" t="n">
        <v>14</v>
      </c>
      <c r="J190" s="76" t="n">
        <v>0</v>
      </c>
      <c r="K190" s="76" t="n">
        <v>1</v>
      </c>
      <c r="L190" s="78" t="s">
        <v>101</v>
      </c>
      <c r="M190" s="76" t="n">
        <v>14</v>
      </c>
      <c r="N190" s="76" t="n">
        <v>142</v>
      </c>
    </row>
    <row r="191" customFormat="false" ht="14.25" hidden="false" customHeight="false" outlineLevel="0" collapsed="false">
      <c r="A191" s="76" t="n">
        <v>159</v>
      </c>
      <c r="B191" s="76" t="s">
        <v>85</v>
      </c>
      <c r="C191" s="76" t="s">
        <v>86</v>
      </c>
      <c r="D191" s="76" t="n">
        <v>93202</v>
      </c>
      <c r="E191" s="77" t="n">
        <v>200025888994</v>
      </c>
      <c r="F191" s="78" t="s">
        <v>101</v>
      </c>
      <c r="G191" s="77" t="n">
        <v>220203</v>
      </c>
      <c r="H191" s="79" t="n">
        <v>45434.7694675926</v>
      </c>
      <c r="I191" s="76" t="n">
        <v>14</v>
      </c>
      <c r="J191" s="76" t="n">
        <v>0</v>
      </c>
      <c r="K191" s="76" t="n">
        <v>2</v>
      </c>
      <c r="L191" s="78" t="s">
        <v>101</v>
      </c>
      <c r="M191" s="76" t="n">
        <v>14</v>
      </c>
      <c r="N191" s="76" t="n">
        <v>143</v>
      </c>
    </row>
    <row r="192" s="1" customFormat="true" ht="14.25" hidden="false" customHeight="false" outlineLevel="0" collapsed="false">
      <c r="A192" s="76" t="n">
        <v>160</v>
      </c>
      <c r="B192" s="76" t="s">
        <v>85</v>
      </c>
      <c r="C192" s="76" t="s">
        <v>86</v>
      </c>
      <c r="D192" s="76" t="n">
        <v>93202</v>
      </c>
      <c r="E192" s="77" t="n">
        <v>200025888994</v>
      </c>
      <c r="F192" s="78" t="s">
        <v>101</v>
      </c>
      <c r="G192" s="77" t="n">
        <v>220203</v>
      </c>
      <c r="H192" s="79" t="n">
        <v>45434.7694675926</v>
      </c>
      <c r="I192" s="76" t="n">
        <v>14</v>
      </c>
      <c r="J192" s="76" t="n">
        <v>1</v>
      </c>
      <c r="K192" s="76" t="n">
        <v>3</v>
      </c>
      <c r="L192" s="78" t="s">
        <v>101</v>
      </c>
      <c r="M192" s="76" t="n">
        <v>14</v>
      </c>
      <c r="N192" s="76" t="n">
        <v>144</v>
      </c>
      <c r="O192" s="7"/>
    </row>
    <row r="193" s="1" customFormat="true" ht="14.25" hidden="false" customHeight="false" outlineLevel="0" collapsed="false">
      <c r="A193" s="76" t="n">
        <v>161</v>
      </c>
      <c r="B193" s="76" t="s">
        <v>85</v>
      </c>
      <c r="C193" s="76" t="s">
        <v>86</v>
      </c>
      <c r="D193" s="76" t="n">
        <v>93202</v>
      </c>
      <c r="E193" s="77" t="n">
        <v>200025888994</v>
      </c>
      <c r="F193" s="78" t="s">
        <v>101</v>
      </c>
      <c r="G193" s="77" t="n">
        <v>220203</v>
      </c>
      <c r="H193" s="79" t="n">
        <v>45434.7694907407</v>
      </c>
      <c r="I193" s="76" t="n">
        <v>14</v>
      </c>
      <c r="J193" s="76" t="n">
        <v>0</v>
      </c>
      <c r="K193" s="76" t="n">
        <v>4</v>
      </c>
      <c r="L193" s="78" t="s">
        <v>101</v>
      </c>
      <c r="M193" s="76" t="n">
        <v>14</v>
      </c>
      <c r="N193" s="76" t="n">
        <v>145</v>
      </c>
      <c r="O193" s="7"/>
    </row>
    <row r="194" customFormat="false" ht="14.25" hidden="false" customHeight="false" outlineLevel="0" collapsed="false">
      <c r="A194" s="76" t="n">
        <v>192</v>
      </c>
      <c r="B194" s="76" t="s">
        <v>85</v>
      </c>
      <c r="C194" s="76" t="s">
        <v>86</v>
      </c>
      <c r="D194" s="76" t="n">
        <v>93202</v>
      </c>
      <c r="E194" s="77" t="n">
        <v>200025888994</v>
      </c>
      <c r="F194" s="78" t="s">
        <v>101</v>
      </c>
      <c r="G194" s="77" t="n">
        <v>220203</v>
      </c>
      <c r="H194" s="79" t="n">
        <v>45434.8476967593</v>
      </c>
      <c r="I194" s="76" t="n">
        <v>14</v>
      </c>
      <c r="J194" s="76" t="n">
        <v>1</v>
      </c>
      <c r="K194" s="76" t="n">
        <v>5</v>
      </c>
      <c r="L194" s="78" t="s">
        <v>101</v>
      </c>
      <c r="M194" s="76" t="n">
        <v>14</v>
      </c>
      <c r="N194" s="76" t="n">
        <v>176</v>
      </c>
    </row>
    <row r="195" s="1" customFormat="true" ht="14.25" hidden="false" customHeight="false" outlineLevel="0" collapsed="false">
      <c r="A195" s="76" t="n">
        <v>193</v>
      </c>
      <c r="B195" s="76" t="s">
        <v>85</v>
      </c>
      <c r="C195" s="76" t="s">
        <v>86</v>
      </c>
      <c r="D195" s="76" t="n">
        <v>93202</v>
      </c>
      <c r="E195" s="77" t="n">
        <v>200025888994</v>
      </c>
      <c r="F195" s="78" t="s">
        <v>101</v>
      </c>
      <c r="G195" s="77" t="n">
        <v>220203</v>
      </c>
      <c r="H195" s="79" t="n">
        <v>45434.8489699074</v>
      </c>
      <c r="I195" s="76" t="n">
        <v>14</v>
      </c>
      <c r="J195" s="76" t="n">
        <v>2</v>
      </c>
      <c r="K195" s="76" t="n">
        <v>6</v>
      </c>
      <c r="L195" s="78" t="s">
        <v>101</v>
      </c>
      <c r="M195" s="76" t="n">
        <v>14</v>
      </c>
      <c r="N195" s="76" t="n">
        <v>177</v>
      </c>
      <c r="O195" s="7"/>
    </row>
    <row r="196" customFormat="false" ht="14.25" hidden="false" customHeight="false" outlineLevel="0" collapsed="false">
      <c r="A196" s="76" t="n">
        <v>200</v>
      </c>
      <c r="B196" s="76" t="s">
        <v>85</v>
      </c>
      <c r="C196" s="76" t="s">
        <v>86</v>
      </c>
      <c r="D196" s="76" t="n">
        <v>93202</v>
      </c>
      <c r="E196" s="77" t="n">
        <v>200025888994</v>
      </c>
      <c r="F196" s="78" t="s">
        <v>101</v>
      </c>
      <c r="G196" s="77" t="n">
        <v>220203</v>
      </c>
      <c r="H196" s="79" t="n">
        <v>45434.8534606482</v>
      </c>
      <c r="I196" s="76" t="n">
        <v>14</v>
      </c>
      <c r="J196" s="76" t="n">
        <v>1</v>
      </c>
      <c r="K196" s="76" t="n">
        <v>7</v>
      </c>
      <c r="L196" s="78" t="s">
        <v>101</v>
      </c>
      <c r="M196" s="76" t="n">
        <v>14</v>
      </c>
      <c r="N196" s="76" t="n">
        <v>184</v>
      </c>
    </row>
    <row r="197" customFormat="false" ht="14.25" hidden="false" customHeight="false" outlineLevel="0" collapsed="false">
      <c r="A197" s="76" t="n">
        <v>201</v>
      </c>
      <c r="B197" s="76" t="s">
        <v>85</v>
      </c>
      <c r="C197" s="76" t="s">
        <v>86</v>
      </c>
      <c r="D197" s="76" t="n">
        <v>93202</v>
      </c>
      <c r="E197" s="77" t="n">
        <v>200025888994</v>
      </c>
      <c r="F197" s="78" t="s">
        <v>101</v>
      </c>
      <c r="G197" s="77" t="n">
        <v>220203</v>
      </c>
      <c r="H197" s="79" t="n">
        <v>45434.8534837963</v>
      </c>
      <c r="I197" s="76" t="n">
        <v>14</v>
      </c>
      <c r="J197" s="76" t="n">
        <v>1</v>
      </c>
      <c r="K197" s="76" t="n">
        <v>8</v>
      </c>
      <c r="L197" s="78" t="s">
        <v>101</v>
      </c>
      <c r="M197" s="76" t="n">
        <v>14</v>
      </c>
      <c r="N197" s="76" t="n">
        <v>185</v>
      </c>
      <c r="O197" s="1"/>
    </row>
    <row r="198" customFormat="false" ht="14.25" hidden="false" customHeight="false" outlineLevel="0" collapsed="false">
      <c r="A198" s="76" t="n">
        <v>202</v>
      </c>
      <c r="B198" s="76" t="s">
        <v>85</v>
      </c>
      <c r="C198" s="76" t="s">
        <v>86</v>
      </c>
      <c r="D198" s="76" t="n">
        <v>93202</v>
      </c>
      <c r="E198" s="77" t="n">
        <v>200025888994</v>
      </c>
      <c r="F198" s="78" t="s">
        <v>101</v>
      </c>
      <c r="G198" s="77" t="n">
        <v>220203</v>
      </c>
      <c r="H198" s="79" t="n">
        <v>45434.8535069445</v>
      </c>
      <c r="I198" s="76" t="n">
        <v>14</v>
      </c>
      <c r="J198" s="76" t="n">
        <v>1</v>
      </c>
      <c r="K198" s="76" t="n">
        <v>9</v>
      </c>
      <c r="L198" s="78" t="s">
        <v>101</v>
      </c>
      <c r="M198" s="76" t="n">
        <v>14</v>
      </c>
      <c r="N198" s="76" t="n">
        <v>186</v>
      </c>
      <c r="O198" s="1"/>
    </row>
    <row r="199" s="1" customFormat="true" ht="14.25" hidden="false" customHeight="false" outlineLevel="0" collapsed="false">
      <c r="A199" s="76" t="n">
        <v>215</v>
      </c>
      <c r="B199" s="76" t="s">
        <v>85</v>
      </c>
      <c r="C199" s="76" t="s">
        <v>86</v>
      </c>
      <c r="D199" s="76" t="n">
        <v>93202</v>
      </c>
      <c r="E199" s="77" t="n">
        <v>200025888994</v>
      </c>
      <c r="F199" s="78" t="s">
        <v>101</v>
      </c>
      <c r="G199" s="77" t="n">
        <v>220203</v>
      </c>
      <c r="H199" s="79" t="n">
        <v>45434.9432407407</v>
      </c>
      <c r="I199" s="76" t="n">
        <v>14</v>
      </c>
      <c r="J199" s="76" t="n">
        <v>0</v>
      </c>
      <c r="K199" s="76" t="n">
        <v>10</v>
      </c>
      <c r="L199" s="78" t="s">
        <v>101</v>
      </c>
      <c r="M199" s="76" t="n">
        <v>14</v>
      </c>
      <c r="N199" s="76" t="n">
        <v>199</v>
      </c>
      <c r="O199" s="7"/>
    </row>
    <row r="200" s="1" customFormat="true" ht="14.25" hidden="false" customHeight="false" outlineLevel="0" collapsed="false">
      <c r="A200" s="76" t="n">
        <v>216</v>
      </c>
      <c r="B200" s="76" t="s">
        <v>85</v>
      </c>
      <c r="C200" s="76" t="s">
        <v>86</v>
      </c>
      <c r="D200" s="76" t="n">
        <v>93202</v>
      </c>
      <c r="E200" s="77" t="n">
        <v>200025888994</v>
      </c>
      <c r="F200" s="78" t="s">
        <v>101</v>
      </c>
      <c r="G200" s="77" t="n">
        <v>220203</v>
      </c>
      <c r="H200" s="79" t="n">
        <v>45434.943287037</v>
      </c>
      <c r="I200" s="76" t="n">
        <v>14</v>
      </c>
      <c r="J200" s="76" t="n">
        <v>0</v>
      </c>
      <c r="K200" s="76" t="n">
        <v>11</v>
      </c>
      <c r="L200" s="78" t="s">
        <v>101</v>
      </c>
      <c r="M200" s="76" t="n">
        <v>14</v>
      </c>
      <c r="N200" s="76" t="n">
        <v>200</v>
      </c>
    </row>
    <row r="201" s="1" customFormat="true" ht="14.25" hidden="false" customHeight="false" outlineLevel="0" collapsed="false">
      <c r="A201" s="76" t="n">
        <v>217</v>
      </c>
      <c r="B201" s="76" t="s">
        <v>85</v>
      </c>
      <c r="C201" s="76" t="s">
        <v>86</v>
      </c>
      <c r="D201" s="76" t="n">
        <v>93202</v>
      </c>
      <c r="E201" s="77" t="n">
        <v>200025888994</v>
      </c>
      <c r="F201" s="78" t="s">
        <v>101</v>
      </c>
      <c r="G201" s="77" t="n">
        <v>220203</v>
      </c>
      <c r="H201" s="79" t="n">
        <v>45434.9433101852</v>
      </c>
      <c r="I201" s="76" t="n">
        <v>14</v>
      </c>
      <c r="J201" s="76" t="n">
        <v>0</v>
      </c>
      <c r="K201" s="76" t="n">
        <v>12</v>
      </c>
      <c r="L201" s="78" t="s">
        <v>101</v>
      </c>
      <c r="M201" s="76" t="n">
        <v>14</v>
      </c>
      <c r="N201" s="76" t="n">
        <v>201</v>
      </c>
      <c r="O201" s="7"/>
    </row>
    <row r="202" s="1" customFormat="true" ht="14.25" hidden="false" customHeight="false" outlineLevel="0" collapsed="false">
      <c r="A202" s="76" t="n">
        <v>218</v>
      </c>
      <c r="B202" s="76" t="s">
        <v>85</v>
      </c>
      <c r="C202" s="76" t="s">
        <v>86</v>
      </c>
      <c r="D202" s="76" t="n">
        <v>93202</v>
      </c>
      <c r="E202" s="77" t="n">
        <v>200025888994</v>
      </c>
      <c r="F202" s="78" t="s">
        <v>101</v>
      </c>
      <c r="G202" s="77" t="n">
        <v>220203</v>
      </c>
      <c r="H202" s="79" t="n">
        <v>45434.9433217593</v>
      </c>
      <c r="I202" s="76" t="n">
        <v>14</v>
      </c>
      <c r="J202" s="76" t="n">
        <v>76</v>
      </c>
      <c r="K202" s="76" t="n">
        <v>13</v>
      </c>
      <c r="L202" s="78" t="s">
        <v>101</v>
      </c>
      <c r="M202" s="76" t="n">
        <v>14</v>
      </c>
      <c r="N202" s="76" t="n">
        <v>202</v>
      </c>
      <c r="O202" s="7"/>
    </row>
    <row r="203" s="1" customFormat="true" ht="14.25" hidden="false" customHeight="false" outlineLevel="0" collapsed="false">
      <c r="A203" s="76" t="n">
        <v>219</v>
      </c>
      <c r="B203" s="76" t="s">
        <v>85</v>
      </c>
      <c r="C203" s="76" t="s">
        <v>86</v>
      </c>
      <c r="D203" s="76" t="n">
        <v>93202</v>
      </c>
      <c r="E203" s="77" t="n">
        <v>200025888994</v>
      </c>
      <c r="F203" s="78" t="s">
        <v>101</v>
      </c>
      <c r="G203" s="77" t="n">
        <v>220203</v>
      </c>
      <c r="H203" s="79" t="n">
        <v>45434.9446875</v>
      </c>
      <c r="I203" s="76" t="n">
        <v>14</v>
      </c>
      <c r="J203" s="76" t="n">
        <v>1</v>
      </c>
      <c r="K203" s="76" t="n">
        <v>14</v>
      </c>
      <c r="L203" s="78" t="s">
        <v>101</v>
      </c>
      <c r="M203" s="76" t="n">
        <v>14</v>
      </c>
      <c r="N203" s="76" t="n">
        <v>203</v>
      </c>
      <c r="O203" s="7"/>
    </row>
    <row r="204" s="1" customFormat="true" ht="14.25" hidden="false" customHeight="false" outlineLevel="0" collapsed="false">
      <c r="A204" s="76" t="n">
        <v>220</v>
      </c>
      <c r="B204" s="76" t="s">
        <v>85</v>
      </c>
      <c r="C204" s="76" t="s">
        <v>86</v>
      </c>
      <c r="D204" s="76" t="n">
        <v>93202</v>
      </c>
      <c r="E204" s="77" t="n">
        <v>200025888994</v>
      </c>
      <c r="F204" s="78" t="s">
        <v>101</v>
      </c>
      <c r="G204" s="77" t="n">
        <v>220203</v>
      </c>
      <c r="H204" s="79" t="n">
        <v>45434.9446990741</v>
      </c>
      <c r="I204" s="76" t="n">
        <v>14</v>
      </c>
      <c r="J204" s="76" t="n">
        <v>1</v>
      </c>
      <c r="K204" s="76" t="n">
        <v>15</v>
      </c>
      <c r="L204" s="78" t="s">
        <v>101</v>
      </c>
      <c r="M204" s="76" t="n">
        <v>14</v>
      </c>
      <c r="N204" s="76" t="n">
        <v>204</v>
      </c>
    </row>
    <row r="205" s="1" customFormat="true" ht="14.25" hidden="false" customHeight="false" outlineLevel="0" collapsed="false">
      <c r="A205" s="76" t="n">
        <v>221</v>
      </c>
      <c r="B205" s="76" t="s">
        <v>85</v>
      </c>
      <c r="C205" s="76" t="s">
        <v>86</v>
      </c>
      <c r="D205" s="76" t="n">
        <v>93202</v>
      </c>
      <c r="E205" s="77" t="n">
        <v>200025888994</v>
      </c>
      <c r="F205" s="78" t="s">
        <v>101</v>
      </c>
      <c r="G205" s="77" t="n">
        <v>220203</v>
      </c>
      <c r="H205" s="79" t="n">
        <v>45434.9448148148</v>
      </c>
      <c r="I205" s="76" t="n">
        <v>14</v>
      </c>
      <c r="J205" s="76" t="n">
        <v>0</v>
      </c>
      <c r="K205" s="76" t="n">
        <v>16</v>
      </c>
      <c r="L205" s="78" t="s">
        <v>101</v>
      </c>
      <c r="M205" s="76" t="n">
        <v>14</v>
      </c>
      <c r="N205" s="76" t="n">
        <v>205</v>
      </c>
    </row>
    <row r="206" s="1" customFormat="true" ht="14.25" hidden="false" customHeight="false" outlineLevel="0" collapsed="false">
      <c r="A206" s="76" t="n">
        <v>222</v>
      </c>
      <c r="B206" s="76" t="s">
        <v>85</v>
      </c>
      <c r="C206" s="76" t="s">
        <v>86</v>
      </c>
      <c r="D206" s="76" t="n">
        <v>93202</v>
      </c>
      <c r="E206" s="77" t="n">
        <v>200025888994</v>
      </c>
      <c r="F206" s="78" t="s">
        <v>101</v>
      </c>
      <c r="G206" s="77" t="n">
        <v>220203</v>
      </c>
      <c r="H206" s="79" t="n">
        <v>45434.944837963</v>
      </c>
      <c r="I206" s="76" t="n">
        <v>14</v>
      </c>
      <c r="J206" s="76" t="n">
        <v>0</v>
      </c>
      <c r="K206" s="76" t="n">
        <v>17</v>
      </c>
      <c r="L206" s="78" t="s">
        <v>101</v>
      </c>
      <c r="M206" s="76" t="n">
        <v>14</v>
      </c>
      <c r="N206" s="76" t="n">
        <v>206</v>
      </c>
    </row>
    <row r="207" s="1" customFormat="true" ht="14.25" hidden="false" customHeight="false" outlineLevel="0" collapsed="false">
      <c r="A207" s="76" t="n">
        <v>223</v>
      </c>
      <c r="B207" s="76" t="s">
        <v>85</v>
      </c>
      <c r="C207" s="76" t="s">
        <v>86</v>
      </c>
      <c r="D207" s="76" t="n">
        <v>93202</v>
      </c>
      <c r="E207" s="77" t="n">
        <v>200025888994</v>
      </c>
      <c r="F207" s="78" t="s">
        <v>101</v>
      </c>
      <c r="G207" s="77" t="n">
        <v>220203</v>
      </c>
      <c r="H207" s="79" t="n">
        <v>45434.9510069444</v>
      </c>
      <c r="I207" s="76" t="n">
        <v>14</v>
      </c>
      <c r="J207" s="76" t="n">
        <v>0</v>
      </c>
      <c r="K207" s="76" t="n">
        <v>18</v>
      </c>
      <c r="L207" s="78" t="s">
        <v>101</v>
      </c>
      <c r="M207" s="76" t="n">
        <v>14</v>
      </c>
      <c r="N207" s="76" t="n">
        <v>207</v>
      </c>
    </row>
    <row r="208" s="1" customFormat="true" ht="14.25" hidden="false" customHeight="false" outlineLevel="0" collapsed="false">
      <c r="A208" s="76" t="n">
        <v>224</v>
      </c>
      <c r="B208" s="76" t="s">
        <v>85</v>
      </c>
      <c r="C208" s="76" t="s">
        <v>86</v>
      </c>
      <c r="D208" s="76" t="n">
        <v>93202</v>
      </c>
      <c r="E208" s="77" t="n">
        <v>200025888994</v>
      </c>
      <c r="F208" s="78" t="s">
        <v>101</v>
      </c>
      <c r="G208" s="77" t="n">
        <v>220203</v>
      </c>
      <c r="H208" s="79" t="n">
        <v>45434.9511689815</v>
      </c>
      <c r="I208" s="76" t="n">
        <v>14</v>
      </c>
      <c r="J208" s="76" t="n">
        <v>0</v>
      </c>
      <c r="K208" s="76" t="n">
        <v>19</v>
      </c>
      <c r="L208" s="78" t="s">
        <v>101</v>
      </c>
      <c r="M208" s="76" t="n">
        <v>14</v>
      </c>
      <c r="N208" s="76" t="n">
        <v>208</v>
      </c>
    </row>
    <row r="209" customFormat="false" ht="14.25" hidden="false" customHeight="false" outlineLevel="0" collapsed="false">
      <c r="A209" s="76" t="n">
        <v>225</v>
      </c>
      <c r="B209" s="76" t="s">
        <v>85</v>
      </c>
      <c r="C209" s="76" t="s">
        <v>86</v>
      </c>
      <c r="D209" s="76" t="n">
        <v>93202</v>
      </c>
      <c r="E209" s="77" t="n">
        <v>200025888994</v>
      </c>
      <c r="F209" s="78" t="s">
        <v>101</v>
      </c>
      <c r="G209" s="77" t="n">
        <v>220203</v>
      </c>
      <c r="H209" s="79" t="n">
        <v>45434.9514467593</v>
      </c>
      <c r="I209" s="76" t="n">
        <v>14</v>
      </c>
      <c r="J209" s="76" t="n">
        <v>3</v>
      </c>
      <c r="K209" s="76" t="n">
        <v>20</v>
      </c>
      <c r="L209" s="78" t="s">
        <v>101</v>
      </c>
      <c r="M209" s="76" t="n">
        <v>14</v>
      </c>
      <c r="N209" s="76" t="n">
        <v>209</v>
      </c>
      <c r="O209" s="1"/>
    </row>
    <row r="210" customFormat="false" ht="14.25" hidden="false" customHeight="false" outlineLevel="0" collapsed="false">
      <c r="A210" s="76" t="n">
        <v>226</v>
      </c>
      <c r="B210" s="76" t="s">
        <v>85</v>
      </c>
      <c r="C210" s="76" t="s">
        <v>86</v>
      </c>
      <c r="D210" s="76" t="n">
        <v>93202</v>
      </c>
      <c r="E210" s="77" t="n">
        <v>200025888994</v>
      </c>
      <c r="F210" s="78" t="s">
        <v>101</v>
      </c>
      <c r="G210" s="77" t="n">
        <v>220203</v>
      </c>
      <c r="H210" s="79" t="n">
        <v>45434.9515972222</v>
      </c>
      <c r="I210" s="76" t="n">
        <v>14</v>
      </c>
      <c r="J210" s="76" t="n">
        <v>1</v>
      </c>
      <c r="K210" s="76" t="n">
        <v>21</v>
      </c>
      <c r="L210" s="78" t="s">
        <v>101</v>
      </c>
      <c r="M210" s="76" t="n">
        <v>14</v>
      </c>
      <c r="N210" s="76" t="n">
        <v>210</v>
      </c>
      <c r="O210" s="1"/>
    </row>
    <row r="211" s="1" customFormat="true" ht="14.25" hidden="false" customHeight="false" outlineLevel="0" collapsed="false">
      <c r="A211" s="76" t="n">
        <v>231</v>
      </c>
      <c r="B211" s="76" t="s">
        <v>85</v>
      </c>
      <c r="C211" s="76" t="s">
        <v>86</v>
      </c>
      <c r="D211" s="76" t="n">
        <v>93202</v>
      </c>
      <c r="E211" s="77" t="n">
        <v>200025888994</v>
      </c>
      <c r="F211" s="78" t="s">
        <v>101</v>
      </c>
      <c r="G211" s="77" t="n">
        <v>220203</v>
      </c>
      <c r="H211" s="79" t="n">
        <v>45434.9543287037</v>
      </c>
      <c r="I211" s="76" t="n">
        <v>14</v>
      </c>
      <c r="J211" s="76" t="n">
        <v>1</v>
      </c>
      <c r="K211" s="76" t="n">
        <v>22</v>
      </c>
      <c r="L211" s="78" t="s">
        <v>101</v>
      </c>
      <c r="M211" s="76" t="n">
        <v>14</v>
      </c>
      <c r="N211" s="76" t="n">
        <v>215</v>
      </c>
    </row>
    <row r="212" s="1" customFormat="true" ht="14.25" hidden="false" customHeight="false" outlineLevel="0" collapsed="false">
      <c r="A212" s="76" t="n">
        <v>232</v>
      </c>
      <c r="B212" s="76" t="s">
        <v>85</v>
      </c>
      <c r="C212" s="76" t="s">
        <v>86</v>
      </c>
      <c r="D212" s="76" t="n">
        <v>93202</v>
      </c>
      <c r="E212" s="77" t="n">
        <v>200025888994</v>
      </c>
      <c r="F212" s="78" t="s">
        <v>101</v>
      </c>
      <c r="G212" s="77" t="n">
        <v>220203</v>
      </c>
      <c r="H212" s="79" t="n">
        <v>45434.9544560185</v>
      </c>
      <c r="I212" s="76" t="n">
        <v>14</v>
      </c>
      <c r="J212" s="76" t="n">
        <v>2</v>
      </c>
      <c r="K212" s="76" t="n">
        <v>23</v>
      </c>
      <c r="L212" s="78" t="s">
        <v>101</v>
      </c>
      <c r="M212" s="76" t="n">
        <v>14</v>
      </c>
      <c r="N212" s="76" t="n">
        <v>216</v>
      </c>
    </row>
    <row r="213" s="1" customFormat="true" ht="14.25" hidden="false" customHeight="false" outlineLevel="0" collapsed="false">
      <c r="A213" s="80" t="n">
        <v>179</v>
      </c>
      <c r="B213" s="80" t="s">
        <v>85</v>
      </c>
      <c r="C213" s="80" t="s">
        <v>86</v>
      </c>
      <c r="D213" s="80" t="n">
        <v>93202</v>
      </c>
      <c r="E213" s="81" t="n">
        <v>200025889271</v>
      </c>
      <c r="F213" s="82" t="s">
        <v>102</v>
      </c>
      <c r="G213" s="81" t="n">
        <v>210276</v>
      </c>
      <c r="H213" s="83" t="n">
        <v>45434.8310763889</v>
      </c>
      <c r="I213" s="80" t="n">
        <v>15</v>
      </c>
      <c r="J213" s="80" t="n">
        <v>1</v>
      </c>
      <c r="K213" s="80" t="n">
        <v>1</v>
      </c>
      <c r="L213" s="82" t="s">
        <v>102</v>
      </c>
      <c r="M213" s="80" t="n">
        <v>15</v>
      </c>
      <c r="N213" s="80" t="n">
        <v>163</v>
      </c>
    </row>
    <row r="214" s="1" customFormat="true" ht="14.25" hidden="false" customHeight="false" outlineLevel="0" collapsed="false">
      <c r="A214" s="80" t="n">
        <v>180</v>
      </c>
      <c r="B214" s="80" t="s">
        <v>85</v>
      </c>
      <c r="C214" s="80" t="s">
        <v>86</v>
      </c>
      <c r="D214" s="80" t="n">
        <v>93202</v>
      </c>
      <c r="E214" s="81" t="n">
        <v>200025889271</v>
      </c>
      <c r="F214" s="82" t="s">
        <v>102</v>
      </c>
      <c r="G214" s="81" t="n">
        <v>210276</v>
      </c>
      <c r="H214" s="83" t="n">
        <v>45434.831087963</v>
      </c>
      <c r="I214" s="80" t="n">
        <v>15</v>
      </c>
      <c r="J214" s="80" t="n">
        <v>0</v>
      </c>
      <c r="K214" s="80" t="n">
        <v>2</v>
      </c>
      <c r="L214" s="82" t="s">
        <v>102</v>
      </c>
      <c r="M214" s="80" t="n">
        <v>15</v>
      </c>
      <c r="N214" s="80" t="n">
        <v>164</v>
      </c>
      <c r="O214" s="7"/>
    </row>
    <row r="215" s="1" customFormat="true" ht="14.25" hidden="false" customHeight="false" outlineLevel="0" collapsed="false">
      <c r="A215" s="76" t="n">
        <v>188</v>
      </c>
      <c r="B215" s="76" t="s">
        <v>85</v>
      </c>
      <c r="C215" s="76" t="s">
        <v>86</v>
      </c>
      <c r="D215" s="76" t="n">
        <v>93202</v>
      </c>
      <c r="E215" s="77" t="n">
        <v>200025888596</v>
      </c>
      <c r="F215" s="78" t="s">
        <v>103</v>
      </c>
      <c r="G215" s="77" t="n">
        <v>190077</v>
      </c>
      <c r="H215" s="79" t="n">
        <v>45434.8379398148</v>
      </c>
      <c r="I215" s="76" t="n">
        <v>16</v>
      </c>
      <c r="J215" s="76" t="n">
        <v>0</v>
      </c>
      <c r="K215" s="76" t="n">
        <v>1</v>
      </c>
      <c r="L215" s="78" t="s">
        <v>103</v>
      </c>
      <c r="M215" s="76" t="n">
        <v>16</v>
      </c>
      <c r="N215" s="76" t="n">
        <v>172</v>
      </c>
      <c r="O215" s="7"/>
    </row>
    <row r="216" s="1" customFormat="true" ht="14.25" hidden="false" customHeight="false" outlineLevel="0" collapsed="false">
      <c r="A216" s="76" t="n">
        <v>189</v>
      </c>
      <c r="B216" s="76" t="s">
        <v>85</v>
      </c>
      <c r="C216" s="76" t="s">
        <v>86</v>
      </c>
      <c r="D216" s="76" t="n">
        <v>93202</v>
      </c>
      <c r="E216" s="77" t="n">
        <v>200025888596</v>
      </c>
      <c r="F216" s="78" t="s">
        <v>103</v>
      </c>
      <c r="G216" s="77" t="n">
        <v>190077</v>
      </c>
      <c r="H216" s="79" t="n">
        <v>45434.8379513889</v>
      </c>
      <c r="I216" s="76" t="n">
        <v>16</v>
      </c>
      <c r="J216" s="76" t="n">
        <v>1</v>
      </c>
      <c r="K216" s="76" t="n">
        <v>2</v>
      </c>
      <c r="L216" s="78" t="s">
        <v>103</v>
      </c>
      <c r="M216" s="76" t="n">
        <v>16</v>
      </c>
      <c r="N216" s="76" t="n">
        <v>173</v>
      </c>
    </row>
    <row r="217" s="1" customFormat="true" ht="14.25" hidden="false" customHeight="false" outlineLevel="0" collapsed="false">
      <c r="A217" s="76" t="n">
        <v>190</v>
      </c>
      <c r="B217" s="76" t="s">
        <v>85</v>
      </c>
      <c r="C217" s="76" t="s">
        <v>86</v>
      </c>
      <c r="D217" s="76" t="n">
        <v>93202</v>
      </c>
      <c r="E217" s="77" t="n">
        <v>200025888596</v>
      </c>
      <c r="F217" s="78" t="s">
        <v>103</v>
      </c>
      <c r="G217" s="77" t="n">
        <v>190077</v>
      </c>
      <c r="H217" s="79" t="n">
        <v>45434.838125</v>
      </c>
      <c r="I217" s="76" t="n">
        <v>16</v>
      </c>
      <c r="J217" s="76" t="n">
        <v>1</v>
      </c>
      <c r="K217" s="76" t="n">
        <v>3</v>
      </c>
      <c r="L217" s="78" t="s">
        <v>103</v>
      </c>
      <c r="M217" s="76" t="n">
        <v>16</v>
      </c>
      <c r="N217" s="76" t="n">
        <v>174</v>
      </c>
    </row>
    <row r="218" s="1" customFormat="true" ht="14.25" hidden="false" customHeight="false" outlineLevel="0" collapsed="false">
      <c r="A218" s="76" t="n">
        <v>191</v>
      </c>
      <c r="B218" s="76" t="s">
        <v>85</v>
      </c>
      <c r="C218" s="76" t="s">
        <v>86</v>
      </c>
      <c r="D218" s="76" t="n">
        <v>93202</v>
      </c>
      <c r="E218" s="77" t="n">
        <v>200025888596</v>
      </c>
      <c r="F218" s="78" t="s">
        <v>103</v>
      </c>
      <c r="G218" s="77" t="n">
        <v>190077</v>
      </c>
      <c r="H218" s="79" t="n">
        <v>45434.8381597222</v>
      </c>
      <c r="I218" s="76" t="n">
        <v>16</v>
      </c>
      <c r="J218" s="76" t="n">
        <v>0</v>
      </c>
      <c r="K218" s="76" t="n">
        <v>4</v>
      </c>
      <c r="L218" s="78" t="s">
        <v>103</v>
      </c>
      <c r="M218" s="76" t="n">
        <v>16</v>
      </c>
      <c r="N218" s="76" t="n">
        <v>175</v>
      </c>
    </row>
    <row r="219" s="1" customFormat="true" ht="14.25" hidden="false" customHeight="false" outlineLevel="0" collapsed="false">
      <c r="A219" s="76" t="n">
        <v>203</v>
      </c>
      <c r="B219" s="76" t="s">
        <v>85</v>
      </c>
      <c r="C219" s="76" t="s">
        <v>86</v>
      </c>
      <c r="D219" s="76" t="n">
        <v>93202</v>
      </c>
      <c r="E219" s="77" t="n">
        <v>200025888596</v>
      </c>
      <c r="F219" s="78" t="s">
        <v>103</v>
      </c>
      <c r="G219" s="77" t="n">
        <v>190077</v>
      </c>
      <c r="H219" s="79" t="n">
        <v>45434.8563888889</v>
      </c>
      <c r="I219" s="76" t="n">
        <v>16</v>
      </c>
      <c r="J219" s="76" t="n">
        <v>1</v>
      </c>
      <c r="K219" s="76" t="n">
        <v>5</v>
      </c>
      <c r="L219" s="78" t="s">
        <v>103</v>
      </c>
      <c r="M219" s="76" t="n">
        <v>16</v>
      </c>
      <c r="N219" s="76" t="n">
        <v>187</v>
      </c>
    </row>
    <row r="220" s="1" customFormat="true" ht="14.25" hidden="false" customHeight="false" outlineLevel="0" collapsed="false">
      <c r="A220" s="80" t="n">
        <v>194</v>
      </c>
      <c r="B220" s="80" t="s">
        <v>85</v>
      </c>
      <c r="C220" s="80" t="s">
        <v>86</v>
      </c>
      <c r="D220" s="80" t="n">
        <v>93202</v>
      </c>
      <c r="E220" s="81" t="n">
        <v>200025888320</v>
      </c>
      <c r="F220" s="82" t="s">
        <v>104</v>
      </c>
      <c r="G220" s="81" t="n">
        <v>220201</v>
      </c>
      <c r="H220" s="83" t="n">
        <v>45434.8521759259</v>
      </c>
      <c r="I220" s="80" t="n">
        <v>17</v>
      </c>
      <c r="J220" s="80" t="n">
        <v>1</v>
      </c>
      <c r="K220" s="80" t="n">
        <v>1</v>
      </c>
      <c r="L220" s="82" t="s">
        <v>104</v>
      </c>
      <c r="M220" s="80" t="n">
        <v>17</v>
      </c>
      <c r="N220" s="80" t="n">
        <v>178</v>
      </c>
    </row>
    <row r="221" s="1" customFormat="true" ht="14.25" hidden="false" customHeight="false" outlineLevel="0" collapsed="false">
      <c r="A221" s="76" t="n">
        <v>195</v>
      </c>
      <c r="B221" s="76" t="s">
        <v>85</v>
      </c>
      <c r="C221" s="76" t="s">
        <v>86</v>
      </c>
      <c r="D221" s="76" t="n">
        <v>93202</v>
      </c>
      <c r="E221" s="77" t="n">
        <v>200025889150</v>
      </c>
      <c r="F221" s="78" t="s">
        <v>105</v>
      </c>
      <c r="G221" s="77" t="n">
        <v>210281</v>
      </c>
      <c r="H221" s="79" t="n">
        <v>45434.8525462963</v>
      </c>
      <c r="I221" s="76" t="n">
        <v>18</v>
      </c>
      <c r="J221" s="76" t="n">
        <v>1</v>
      </c>
      <c r="K221" s="76" t="n">
        <v>1</v>
      </c>
      <c r="L221" s="78" t="s">
        <v>105</v>
      </c>
      <c r="M221" s="76" t="n">
        <v>18</v>
      </c>
      <c r="N221" s="76" t="n">
        <v>179</v>
      </c>
    </row>
    <row r="222" s="1" customFormat="true" ht="14.25" hidden="false" customHeight="false" outlineLevel="0" collapsed="false">
      <c r="A222" s="80" t="n">
        <v>207</v>
      </c>
      <c r="B222" s="80" t="s">
        <v>85</v>
      </c>
      <c r="C222" s="80" t="s">
        <v>86</v>
      </c>
      <c r="D222" s="80" t="n">
        <v>93202</v>
      </c>
      <c r="E222" s="81" t="n">
        <v>200025888900</v>
      </c>
      <c r="F222" s="82" t="s">
        <v>106</v>
      </c>
      <c r="G222" s="81" t="n">
        <v>220210</v>
      </c>
      <c r="H222" s="83" t="n">
        <v>45434.8732407407</v>
      </c>
      <c r="I222" s="80" t="n">
        <v>19</v>
      </c>
      <c r="J222" s="80" t="n">
        <v>0</v>
      </c>
      <c r="K222" s="80" t="n">
        <v>1</v>
      </c>
      <c r="L222" s="82" t="s">
        <v>106</v>
      </c>
      <c r="M222" s="80" t="n">
        <v>19</v>
      </c>
      <c r="N222" s="80" t="n">
        <v>191</v>
      </c>
    </row>
    <row r="223" s="1" customFormat="true" ht="14.25" hidden="false" customHeight="false" outlineLevel="0" collapsed="false">
      <c r="A223" s="80" t="n">
        <v>208</v>
      </c>
      <c r="B223" s="80" t="s">
        <v>85</v>
      </c>
      <c r="C223" s="80" t="s">
        <v>86</v>
      </c>
      <c r="D223" s="80" t="n">
        <v>93202</v>
      </c>
      <c r="E223" s="81" t="n">
        <v>200025888900</v>
      </c>
      <c r="F223" s="82" t="s">
        <v>106</v>
      </c>
      <c r="G223" s="81" t="n">
        <v>220210</v>
      </c>
      <c r="H223" s="83" t="n">
        <v>45434.873275463</v>
      </c>
      <c r="I223" s="80" t="n">
        <v>19</v>
      </c>
      <c r="J223" s="80" t="n">
        <v>1</v>
      </c>
      <c r="K223" s="80" t="n">
        <v>2</v>
      </c>
      <c r="L223" s="82" t="s">
        <v>106</v>
      </c>
      <c r="M223" s="80" t="n">
        <v>19</v>
      </c>
      <c r="N223" s="80" t="n">
        <v>192</v>
      </c>
    </row>
    <row r="224" s="1" customFormat="true" ht="14.25" hidden="false" customHeight="false" outlineLevel="0" collapsed="false">
      <c r="A224" s="76" t="n">
        <v>210</v>
      </c>
      <c r="B224" s="76" t="s">
        <v>85</v>
      </c>
      <c r="C224" s="76" t="s">
        <v>86</v>
      </c>
      <c r="D224" s="76" t="n">
        <v>93202</v>
      </c>
      <c r="E224" s="77" t="n">
        <v>200025888592</v>
      </c>
      <c r="F224" s="78" t="s">
        <v>107</v>
      </c>
      <c r="G224" s="77" t="n">
        <v>220229</v>
      </c>
      <c r="H224" s="79" t="n">
        <v>45434.9254282407</v>
      </c>
      <c r="I224" s="76" t="n">
        <v>20</v>
      </c>
      <c r="J224" s="76" t="n">
        <v>0</v>
      </c>
      <c r="K224" s="76" t="n">
        <v>1</v>
      </c>
      <c r="L224" s="78" t="s">
        <v>107</v>
      </c>
      <c r="M224" s="76" t="n">
        <v>20</v>
      </c>
      <c r="N224" s="76" t="n">
        <v>194</v>
      </c>
    </row>
    <row r="225" s="1" customFormat="true" ht="14.25" hidden="false" customHeight="false" outlineLevel="0" collapsed="false">
      <c r="A225" s="76" t="n">
        <v>211</v>
      </c>
      <c r="B225" s="76" t="s">
        <v>85</v>
      </c>
      <c r="C225" s="76" t="s">
        <v>86</v>
      </c>
      <c r="D225" s="76" t="n">
        <v>93202</v>
      </c>
      <c r="E225" s="77" t="n">
        <v>200025888592</v>
      </c>
      <c r="F225" s="78" t="s">
        <v>107</v>
      </c>
      <c r="G225" s="77" t="n">
        <v>220229</v>
      </c>
      <c r="H225" s="79" t="n">
        <v>45434.9254513889</v>
      </c>
      <c r="I225" s="76" t="n">
        <v>20</v>
      </c>
      <c r="J225" s="76" t="n">
        <v>0</v>
      </c>
      <c r="K225" s="76" t="n">
        <v>2</v>
      </c>
      <c r="L225" s="78" t="s">
        <v>107</v>
      </c>
      <c r="M225" s="76" t="n">
        <v>20</v>
      </c>
      <c r="N225" s="76" t="n">
        <v>195</v>
      </c>
    </row>
    <row r="226" s="1" customFormat="true" ht="14.25" hidden="false" customHeight="false" outlineLevel="0" collapsed="false">
      <c r="A226" s="76" t="n">
        <v>212</v>
      </c>
      <c r="B226" s="76" t="s">
        <v>85</v>
      </c>
      <c r="C226" s="76" t="s">
        <v>86</v>
      </c>
      <c r="D226" s="76" t="n">
        <v>93202</v>
      </c>
      <c r="E226" s="77" t="n">
        <v>200025888592</v>
      </c>
      <c r="F226" s="78" t="s">
        <v>107</v>
      </c>
      <c r="G226" s="77" t="n">
        <v>220229</v>
      </c>
      <c r="H226" s="79" t="n">
        <v>45434.9254513889</v>
      </c>
      <c r="I226" s="76" t="n">
        <v>20</v>
      </c>
      <c r="J226" s="76" t="n">
        <v>563</v>
      </c>
      <c r="K226" s="76" t="n">
        <v>3</v>
      </c>
      <c r="L226" s="78" t="s">
        <v>107</v>
      </c>
      <c r="M226" s="76" t="n">
        <v>20</v>
      </c>
      <c r="N226" s="76" t="n">
        <v>196</v>
      </c>
    </row>
    <row r="227" s="1" customFormat="true" ht="14.25" hidden="false" customHeight="false" outlineLevel="0" collapsed="false">
      <c r="A227" s="80" t="n">
        <v>238</v>
      </c>
      <c r="B227" s="80" t="s">
        <v>85</v>
      </c>
      <c r="C227" s="80" t="s">
        <v>86</v>
      </c>
      <c r="D227" s="80" t="n">
        <v>93202</v>
      </c>
      <c r="E227" s="81" t="n">
        <v>200025888917</v>
      </c>
      <c r="F227" s="82" t="s">
        <v>108</v>
      </c>
      <c r="G227" s="81" t="n">
        <v>230125</v>
      </c>
      <c r="H227" s="83" t="n">
        <v>45434.9620023148</v>
      </c>
      <c r="I227" s="80" t="n">
        <v>21</v>
      </c>
      <c r="J227" s="80" t="n">
        <v>333</v>
      </c>
      <c r="K227" s="80" t="n">
        <v>1</v>
      </c>
      <c r="L227" s="82" t="s">
        <v>108</v>
      </c>
      <c r="M227" s="80" t="n">
        <v>21</v>
      </c>
      <c r="N227" s="80" t="n">
        <v>222</v>
      </c>
    </row>
    <row r="228" customFormat="false" ht="14.25" hidden="false" customHeight="false" outlineLevel="0" collapsed="false">
      <c r="A228" s="76" t="n">
        <v>239</v>
      </c>
      <c r="B228" s="76" t="s">
        <v>85</v>
      </c>
      <c r="C228" s="76" t="s">
        <v>86</v>
      </c>
      <c r="D228" s="76" t="n">
        <v>93202</v>
      </c>
      <c r="E228" s="77" t="n">
        <v>200025889277</v>
      </c>
      <c r="F228" s="78" t="s">
        <v>109</v>
      </c>
      <c r="G228" s="77" t="n">
        <v>220231</v>
      </c>
      <c r="H228" s="79" t="n">
        <v>45434.9658796296</v>
      </c>
      <c r="I228" s="76" t="n">
        <v>22</v>
      </c>
      <c r="J228" s="76" t="n">
        <v>1</v>
      </c>
      <c r="K228" s="76" t="n">
        <v>1</v>
      </c>
      <c r="L228" s="78" t="s">
        <v>109</v>
      </c>
      <c r="M228" s="76" t="n">
        <v>22</v>
      </c>
      <c r="N228" s="76" t="n">
        <v>223</v>
      </c>
      <c r="O228" s="1"/>
    </row>
    <row r="229" customFormat="false" ht="14.25" hidden="false" customHeight="false" outlineLevel="0" collapsed="false">
      <c r="A229" s="76" t="n">
        <v>240</v>
      </c>
      <c r="B229" s="76" t="s">
        <v>85</v>
      </c>
      <c r="C229" s="76" t="s">
        <v>86</v>
      </c>
      <c r="D229" s="76" t="n">
        <v>93202</v>
      </c>
      <c r="E229" s="77" t="n">
        <v>200025889277</v>
      </c>
      <c r="F229" s="78" t="s">
        <v>109</v>
      </c>
      <c r="G229" s="77" t="n">
        <v>220231</v>
      </c>
      <c r="H229" s="79" t="n">
        <v>45434.9660532407</v>
      </c>
      <c r="I229" s="76" t="n">
        <v>22</v>
      </c>
      <c r="J229" s="76" t="n">
        <v>0</v>
      </c>
      <c r="K229" s="76" t="n">
        <v>2</v>
      </c>
      <c r="L229" s="78" t="s">
        <v>109</v>
      </c>
      <c r="M229" s="76" t="n">
        <v>22</v>
      </c>
      <c r="N229" s="76" t="n">
        <v>224</v>
      </c>
      <c r="O229" s="1"/>
    </row>
    <row r="230" s="1" customFormat="true" ht="14.25" hidden="false" customHeight="false" outlineLevel="0" collapsed="false">
      <c r="A230" s="76" t="n">
        <v>241</v>
      </c>
      <c r="B230" s="76" t="s">
        <v>85</v>
      </c>
      <c r="C230" s="76" t="s">
        <v>86</v>
      </c>
      <c r="D230" s="76" t="n">
        <v>93202</v>
      </c>
      <c r="E230" s="77" t="n">
        <v>200025889277</v>
      </c>
      <c r="F230" s="78" t="s">
        <v>109</v>
      </c>
      <c r="G230" s="77" t="n">
        <v>220231</v>
      </c>
      <c r="H230" s="79" t="n">
        <v>45434.9660763889</v>
      </c>
      <c r="I230" s="76" t="n">
        <v>22</v>
      </c>
      <c r="J230" s="76" t="n">
        <v>6</v>
      </c>
      <c r="K230" s="76" t="n">
        <v>3</v>
      </c>
      <c r="L230" s="78" t="s">
        <v>109</v>
      </c>
      <c r="M230" s="76" t="n">
        <v>22</v>
      </c>
      <c r="N230" s="76" t="n">
        <v>225</v>
      </c>
    </row>
    <row r="231" s="1" customFormat="true" ht="14.25" hidden="false" customHeight="false" outlineLevel="0" collapsed="false">
      <c r="A231" s="76" t="n">
        <v>255</v>
      </c>
      <c r="B231" s="76" t="s">
        <v>85</v>
      </c>
      <c r="C231" s="76" t="s">
        <v>86</v>
      </c>
      <c r="D231" s="76" t="n">
        <v>93202</v>
      </c>
      <c r="E231" s="77" t="n">
        <v>200025889277</v>
      </c>
      <c r="F231" s="78" t="s">
        <v>109</v>
      </c>
      <c r="G231" s="77" t="n">
        <v>220231</v>
      </c>
      <c r="H231" s="79" t="n">
        <v>45435.035</v>
      </c>
      <c r="I231" s="76" t="n">
        <v>22</v>
      </c>
      <c r="J231" s="76" t="n">
        <v>1</v>
      </c>
      <c r="K231" s="76" t="n">
        <v>4</v>
      </c>
      <c r="L231" s="78" t="s">
        <v>109</v>
      </c>
      <c r="M231" s="76" t="n">
        <v>22</v>
      </c>
      <c r="N231" s="76" t="n">
        <v>239</v>
      </c>
    </row>
    <row r="232" s="1" customFormat="true" ht="14.25" hidden="false" customHeight="false" outlineLevel="0" collapsed="false">
      <c r="A232" s="76" t="n">
        <v>256</v>
      </c>
      <c r="B232" s="76" t="s">
        <v>85</v>
      </c>
      <c r="C232" s="76" t="s">
        <v>86</v>
      </c>
      <c r="D232" s="76" t="n">
        <v>93202</v>
      </c>
      <c r="E232" s="77" t="n">
        <v>200025889277</v>
      </c>
      <c r="F232" s="78" t="s">
        <v>109</v>
      </c>
      <c r="G232" s="77" t="n">
        <v>220231</v>
      </c>
      <c r="H232" s="79" t="n">
        <v>45435.0352199074</v>
      </c>
      <c r="I232" s="76" t="n">
        <v>22</v>
      </c>
      <c r="J232" s="76" t="n">
        <v>2</v>
      </c>
      <c r="K232" s="76" t="n">
        <v>5</v>
      </c>
      <c r="L232" s="78" t="s">
        <v>109</v>
      </c>
      <c r="M232" s="76" t="n">
        <v>22</v>
      </c>
      <c r="N232" s="76" t="n">
        <v>240</v>
      </c>
    </row>
    <row r="233" s="1" customFormat="true" ht="14.25" hidden="false" customHeight="false" outlineLevel="0" collapsed="false">
      <c r="A233" s="76" t="n">
        <v>257</v>
      </c>
      <c r="B233" s="76" t="s">
        <v>85</v>
      </c>
      <c r="C233" s="76" t="s">
        <v>86</v>
      </c>
      <c r="D233" s="76" t="n">
        <v>93202</v>
      </c>
      <c r="E233" s="77" t="n">
        <v>200025889277</v>
      </c>
      <c r="F233" s="78" t="s">
        <v>109</v>
      </c>
      <c r="G233" s="77" t="n">
        <v>220231</v>
      </c>
      <c r="H233" s="79" t="n">
        <v>45435.0352546296</v>
      </c>
      <c r="I233" s="76" t="n">
        <v>22</v>
      </c>
      <c r="J233" s="76" t="n">
        <v>0</v>
      </c>
      <c r="K233" s="76" t="n">
        <v>6</v>
      </c>
      <c r="L233" s="78" t="s">
        <v>109</v>
      </c>
      <c r="M233" s="76" t="n">
        <v>22</v>
      </c>
      <c r="N233" s="76" t="n">
        <v>241</v>
      </c>
      <c r="O233" s="7"/>
    </row>
    <row r="234" s="1" customFormat="true" ht="14.25" hidden="false" customHeight="false" outlineLevel="0" collapsed="false">
      <c r="A234" s="76" t="n">
        <v>258</v>
      </c>
      <c r="B234" s="76" t="s">
        <v>85</v>
      </c>
      <c r="C234" s="76" t="s">
        <v>86</v>
      </c>
      <c r="D234" s="76" t="n">
        <v>93202</v>
      </c>
      <c r="E234" s="77" t="n">
        <v>200025889277</v>
      </c>
      <c r="F234" s="78" t="s">
        <v>109</v>
      </c>
      <c r="G234" s="77" t="n">
        <v>220231</v>
      </c>
      <c r="H234" s="79" t="n">
        <v>45435.0354282407</v>
      </c>
      <c r="I234" s="76" t="n">
        <v>22</v>
      </c>
      <c r="J234" s="76" t="n">
        <v>0</v>
      </c>
      <c r="K234" s="76" t="n">
        <v>7</v>
      </c>
      <c r="L234" s="78" t="s">
        <v>109</v>
      </c>
      <c r="M234" s="76" t="n">
        <v>22</v>
      </c>
      <c r="N234" s="76" t="n">
        <v>242</v>
      </c>
      <c r="O234" s="7"/>
    </row>
    <row r="235" s="1" customFormat="true" ht="14.25" hidden="false" customHeight="false" outlineLevel="0" collapsed="false">
      <c r="A235" s="80" t="n">
        <v>246</v>
      </c>
      <c r="B235" s="80" t="s">
        <v>85</v>
      </c>
      <c r="C235" s="80" t="s">
        <v>86</v>
      </c>
      <c r="D235" s="80" t="n">
        <v>93202</v>
      </c>
      <c r="E235" s="81" t="n">
        <v>200025888767</v>
      </c>
      <c r="F235" s="82" t="s">
        <v>110</v>
      </c>
      <c r="G235" s="81" t="n">
        <v>220234</v>
      </c>
      <c r="H235" s="83" t="n">
        <v>45434.969537037</v>
      </c>
      <c r="I235" s="80" t="n">
        <v>23</v>
      </c>
      <c r="J235" s="80" t="n">
        <v>4</v>
      </c>
      <c r="K235" s="80" t="n">
        <v>1</v>
      </c>
      <c r="L235" s="82" t="s">
        <v>110</v>
      </c>
      <c r="M235" s="80" t="n">
        <v>23</v>
      </c>
      <c r="N235" s="80" t="n">
        <v>230</v>
      </c>
    </row>
    <row r="236" s="1" customFormat="true" ht="14.25" hidden="false" customHeight="false" outlineLevel="0" collapsed="false">
      <c r="A236" s="80" t="n">
        <v>247</v>
      </c>
      <c r="B236" s="80" t="s">
        <v>85</v>
      </c>
      <c r="C236" s="80" t="s">
        <v>86</v>
      </c>
      <c r="D236" s="80" t="n">
        <v>93202</v>
      </c>
      <c r="E236" s="81" t="n">
        <v>200025888767</v>
      </c>
      <c r="F236" s="82" t="s">
        <v>110</v>
      </c>
      <c r="G236" s="81" t="n">
        <v>220234</v>
      </c>
      <c r="H236" s="83" t="n">
        <v>45434.9697106482</v>
      </c>
      <c r="I236" s="80" t="n">
        <v>23</v>
      </c>
      <c r="J236" s="80" t="n">
        <v>3</v>
      </c>
      <c r="K236" s="80" t="n">
        <v>2</v>
      </c>
      <c r="L236" s="82" t="s">
        <v>110</v>
      </c>
      <c r="M236" s="80" t="n">
        <v>23</v>
      </c>
      <c r="N236" s="80" t="n">
        <v>231</v>
      </c>
    </row>
    <row r="237" s="1" customFormat="true" ht="14.25" hidden="false" customHeight="false" outlineLevel="0" collapsed="false">
      <c r="A237" s="80" t="n">
        <v>248</v>
      </c>
      <c r="B237" s="80" t="s">
        <v>85</v>
      </c>
      <c r="C237" s="80" t="s">
        <v>86</v>
      </c>
      <c r="D237" s="80" t="n">
        <v>93202</v>
      </c>
      <c r="E237" s="81" t="n">
        <v>200025888767</v>
      </c>
      <c r="F237" s="82" t="s">
        <v>110</v>
      </c>
      <c r="G237" s="81" t="n">
        <v>220234</v>
      </c>
      <c r="H237" s="83" t="n">
        <v>45434.9698726852</v>
      </c>
      <c r="I237" s="80" t="n">
        <v>23</v>
      </c>
      <c r="J237" s="80" t="n">
        <v>1</v>
      </c>
      <c r="K237" s="80" t="n">
        <v>3</v>
      </c>
      <c r="L237" s="82" t="s">
        <v>110</v>
      </c>
      <c r="M237" s="80" t="n">
        <v>23</v>
      </c>
      <c r="N237" s="80" t="n">
        <v>232</v>
      </c>
    </row>
    <row r="238" s="1" customFormat="true" ht="14.25" hidden="false" customHeight="false" outlineLevel="0" collapsed="false">
      <c r="A238" s="80" t="n">
        <v>263</v>
      </c>
      <c r="B238" s="80" t="s">
        <v>85</v>
      </c>
      <c r="C238" s="80" t="s">
        <v>86</v>
      </c>
      <c r="D238" s="80" t="n">
        <v>93202</v>
      </c>
      <c r="E238" s="81" t="n">
        <v>200025888767</v>
      </c>
      <c r="F238" s="82" t="s">
        <v>110</v>
      </c>
      <c r="G238" s="81" t="n">
        <v>220234</v>
      </c>
      <c r="H238" s="83" t="n">
        <v>45435.0571412037</v>
      </c>
      <c r="I238" s="80" t="n">
        <v>23</v>
      </c>
      <c r="J238" s="80" t="n">
        <v>0</v>
      </c>
      <c r="K238" s="80" t="n">
        <v>4</v>
      </c>
      <c r="L238" s="82" t="s">
        <v>110</v>
      </c>
      <c r="M238" s="80" t="n">
        <v>23</v>
      </c>
      <c r="N238" s="80" t="n">
        <v>247</v>
      </c>
    </row>
    <row r="239" s="1" customFormat="true" ht="14.25" hidden="false" customHeight="false" outlineLevel="0" collapsed="false">
      <c r="A239" s="80" t="n">
        <v>264</v>
      </c>
      <c r="B239" s="80" t="s">
        <v>85</v>
      </c>
      <c r="C239" s="80" t="s">
        <v>86</v>
      </c>
      <c r="D239" s="80" t="n">
        <v>93202</v>
      </c>
      <c r="E239" s="81" t="n">
        <v>200025888767</v>
      </c>
      <c r="F239" s="82" t="s">
        <v>110</v>
      </c>
      <c r="G239" s="81" t="n">
        <v>220234</v>
      </c>
      <c r="H239" s="83" t="n">
        <v>45435.0571527778</v>
      </c>
      <c r="I239" s="80" t="n">
        <v>23</v>
      </c>
      <c r="J239" s="80" t="n">
        <v>2</v>
      </c>
      <c r="K239" s="80" t="n">
        <v>5</v>
      </c>
      <c r="L239" s="82" t="s">
        <v>110</v>
      </c>
      <c r="M239" s="80" t="n">
        <v>23</v>
      </c>
      <c r="N239" s="80" t="n">
        <v>248</v>
      </c>
    </row>
    <row r="240" s="1" customFormat="true" ht="14.25" hidden="false" customHeight="false" outlineLevel="0" collapsed="false">
      <c r="A240" s="80" t="n">
        <v>265</v>
      </c>
      <c r="B240" s="80" t="s">
        <v>85</v>
      </c>
      <c r="C240" s="80" t="s">
        <v>86</v>
      </c>
      <c r="D240" s="80" t="n">
        <v>93202</v>
      </c>
      <c r="E240" s="81" t="n">
        <v>200025888767</v>
      </c>
      <c r="F240" s="82" t="s">
        <v>110</v>
      </c>
      <c r="G240" s="81" t="n">
        <v>220234</v>
      </c>
      <c r="H240" s="83" t="n">
        <v>45435.057337963</v>
      </c>
      <c r="I240" s="80" t="n">
        <v>23</v>
      </c>
      <c r="J240" s="80" t="n">
        <v>0</v>
      </c>
      <c r="K240" s="80" t="n">
        <v>6</v>
      </c>
      <c r="L240" s="82" t="s">
        <v>110</v>
      </c>
      <c r="M240" s="80" t="n">
        <v>23</v>
      </c>
      <c r="N240" s="80" t="n">
        <v>249</v>
      </c>
    </row>
    <row r="241" s="1" customFormat="true" ht="14.25" hidden="false" customHeight="false" outlineLevel="0" collapsed="false">
      <c r="A241" s="80" t="n">
        <v>266</v>
      </c>
      <c r="B241" s="80" t="s">
        <v>85</v>
      </c>
      <c r="C241" s="80" t="s">
        <v>86</v>
      </c>
      <c r="D241" s="80" t="n">
        <v>93202</v>
      </c>
      <c r="E241" s="81" t="n">
        <v>200025888767</v>
      </c>
      <c r="F241" s="82" t="s">
        <v>110</v>
      </c>
      <c r="G241" s="81" t="n">
        <v>220234</v>
      </c>
      <c r="H241" s="83" t="n">
        <v>45435.0574768519</v>
      </c>
      <c r="I241" s="80" t="n">
        <v>23</v>
      </c>
      <c r="J241" s="80" t="n">
        <v>0</v>
      </c>
      <c r="K241" s="80" t="n">
        <v>7</v>
      </c>
      <c r="L241" s="82" t="s">
        <v>110</v>
      </c>
      <c r="M241" s="80" t="n">
        <v>23</v>
      </c>
      <c r="N241" s="80" t="n">
        <v>250</v>
      </c>
    </row>
    <row r="242" s="1" customFormat="true" ht="14.25" hidden="false" customHeight="false" outlineLevel="0" collapsed="false">
      <c r="A242" s="80" t="n">
        <v>267</v>
      </c>
      <c r="B242" s="80" t="s">
        <v>85</v>
      </c>
      <c r="C242" s="80" t="s">
        <v>86</v>
      </c>
      <c r="D242" s="80" t="n">
        <v>93202</v>
      </c>
      <c r="E242" s="81" t="n">
        <v>200025888767</v>
      </c>
      <c r="F242" s="82" t="s">
        <v>110</v>
      </c>
      <c r="G242" s="81" t="n">
        <v>220234</v>
      </c>
      <c r="H242" s="83" t="n">
        <v>45435.0575578704</v>
      </c>
      <c r="I242" s="80" t="n">
        <v>23</v>
      </c>
      <c r="J242" s="80" t="n">
        <v>0</v>
      </c>
      <c r="K242" s="80" t="n">
        <v>8</v>
      </c>
      <c r="L242" s="82" t="s">
        <v>110</v>
      </c>
      <c r="M242" s="80" t="n">
        <v>23</v>
      </c>
      <c r="N242" s="80" t="n">
        <v>251</v>
      </c>
    </row>
    <row r="243" s="1" customFormat="true" ht="14.25" hidden="false" customHeight="false" outlineLevel="0" collapsed="false">
      <c r="A243" s="80" t="n">
        <v>268</v>
      </c>
      <c r="B243" s="80" t="s">
        <v>85</v>
      </c>
      <c r="C243" s="80" t="s">
        <v>86</v>
      </c>
      <c r="D243" s="80" t="n">
        <v>93202</v>
      </c>
      <c r="E243" s="81" t="n">
        <v>200025888767</v>
      </c>
      <c r="F243" s="82" t="s">
        <v>110</v>
      </c>
      <c r="G243" s="81" t="n">
        <v>220234</v>
      </c>
      <c r="H243" s="83" t="n">
        <v>45435.0575694444</v>
      </c>
      <c r="I243" s="80" t="n">
        <v>23</v>
      </c>
      <c r="J243" s="80" t="n">
        <v>1</v>
      </c>
      <c r="K243" s="80" t="n">
        <v>9</v>
      </c>
      <c r="L243" s="82" t="s">
        <v>110</v>
      </c>
      <c r="M243" s="80" t="n">
        <v>23</v>
      </c>
      <c r="N243" s="80" t="n">
        <v>252</v>
      </c>
    </row>
    <row r="244" s="1" customFormat="true" ht="14.25" hidden="false" customHeight="false" outlineLevel="0" collapsed="false">
      <c r="A244" s="80" t="n">
        <v>269</v>
      </c>
      <c r="B244" s="80" t="s">
        <v>85</v>
      </c>
      <c r="C244" s="80" t="s">
        <v>86</v>
      </c>
      <c r="D244" s="80" t="n">
        <v>93202</v>
      </c>
      <c r="E244" s="81" t="n">
        <v>200025888767</v>
      </c>
      <c r="F244" s="82" t="s">
        <v>110</v>
      </c>
      <c r="G244" s="81" t="n">
        <v>220234</v>
      </c>
      <c r="H244" s="83" t="n">
        <v>45435.0577199074</v>
      </c>
      <c r="I244" s="80" t="n">
        <v>23</v>
      </c>
      <c r="J244" s="80" t="n">
        <v>1</v>
      </c>
      <c r="K244" s="80" t="n">
        <v>10</v>
      </c>
      <c r="L244" s="82" t="s">
        <v>110</v>
      </c>
      <c r="M244" s="80" t="n">
        <v>23</v>
      </c>
      <c r="N244" s="80" t="n">
        <v>253</v>
      </c>
    </row>
    <row r="245" s="1" customFormat="true" ht="14.25" hidden="false" customHeight="false" outlineLevel="0" collapsed="false">
      <c r="A245" s="80" t="n">
        <v>270</v>
      </c>
      <c r="B245" s="80" t="s">
        <v>85</v>
      </c>
      <c r="C245" s="80" t="s">
        <v>86</v>
      </c>
      <c r="D245" s="80" t="n">
        <v>93202</v>
      </c>
      <c r="E245" s="81" t="n">
        <v>200025888767</v>
      </c>
      <c r="F245" s="82" t="s">
        <v>110</v>
      </c>
      <c r="G245" s="81" t="n">
        <v>220234</v>
      </c>
      <c r="H245" s="83" t="n">
        <v>45435.0577546296</v>
      </c>
      <c r="I245" s="80" t="n">
        <v>23</v>
      </c>
      <c r="J245" s="80" t="n">
        <v>0</v>
      </c>
      <c r="K245" s="80" t="n">
        <v>11</v>
      </c>
      <c r="L245" s="82" t="s">
        <v>110</v>
      </c>
      <c r="M245" s="80" t="n">
        <v>23</v>
      </c>
      <c r="N245" s="80" t="n">
        <v>254</v>
      </c>
    </row>
    <row r="246" s="1" customFormat="true" ht="14.25" hidden="false" customHeight="false" outlineLevel="0" collapsed="false">
      <c r="A246" s="80" t="n">
        <v>271</v>
      </c>
      <c r="B246" s="80" t="s">
        <v>85</v>
      </c>
      <c r="C246" s="80" t="s">
        <v>86</v>
      </c>
      <c r="D246" s="80" t="n">
        <v>93202</v>
      </c>
      <c r="E246" s="81" t="n">
        <v>200025888767</v>
      </c>
      <c r="F246" s="82" t="s">
        <v>110</v>
      </c>
      <c r="G246" s="81" t="n">
        <v>220234</v>
      </c>
      <c r="H246" s="83" t="n">
        <v>45435.0578819444</v>
      </c>
      <c r="I246" s="80" t="n">
        <v>23</v>
      </c>
      <c r="J246" s="80" t="n">
        <v>0</v>
      </c>
      <c r="K246" s="80" t="n">
        <v>12</v>
      </c>
      <c r="L246" s="82" t="s">
        <v>110</v>
      </c>
      <c r="M246" s="80" t="n">
        <v>23</v>
      </c>
      <c r="N246" s="80" t="n">
        <v>255</v>
      </c>
    </row>
    <row r="247" s="1" customFormat="true" ht="14.25" hidden="false" customHeight="false" outlineLevel="0" collapsed="false">
      <c r="A247" s="80" t="n">
        <v>272</v>
      </c>
      <c r="B247" s="80" t="s">
        <v>85</v>
      </c>
      <c r="C247" s="80" t="s">
        <v>86</v>
      </c>
      <c r="D247" s="80" t="n">
        <v>93202</v>
      </c>
      <c r="E247" s="81" t="n">
        <v>200025888767</v>
      </c>
      <c r="F247" s="82" t="s">
        <v>110</v>
      </c>
      <c r="G247" s="81" t="n">
        <v>220234</v>
      </c>
      <c r="H247" s="83" t="n">
        <v>45435.0578935185</v>
      </c>
      <c r="I247" s="80" t="n">
        <v>23</v>
      </c>
      <c r="J247" s="80" t="n">
        <v>0</v>
      </c>
      <c r="K247" s="80" t="n">
        <v>13</v>
      </c>
      <c r="L247" s="82" t="s">
        <v>110</v>
      </c>
      <c r="M247" s="80" t="n">
        <v>23</v>
      </c>
      <c r="N247" s="80" t="n">
        <v>256</v>
      </c>
    </row>
    <row r="248" s="1" customFormat="true" ht="14.25" hidden="false" customHeight="false" outlineLevel="0" collapsed="false">
      <c r="A248" s="76" t="n">
        <v>249</v>
      </c>
      <c r="B248" s="76" t="s">
        <v>85</v>
      </c>
      <c r="C248" s="76" t="s">
        <v>86</v>
      </c>
      <c r="D248" s="76" t="n">
        <v>93202</v>
      </c>
      <c r="E248" s="77" t="n">
        <v>200025888802</v>
      </c>
      <c r="F248" s="78" t="s">
        <v>111</v>
      </c>
      <c r="G248" s="77" t="n">
        <v>230110</v>
      </c>
      <c r="H248" s="79" t="n">
        <v>45434.9915046296</v>
      </c>
      <c r="I248" s="76" t="n">
        <v>24</v>
      </c>
      <c r="J248" s="76" t="n">
        <v>0</v>
      </c>
      <c r="K248" s="76" t="n">
        <v>1</v>
      </c>
      <c r="L248" s="78" t="s">
        <v>111</v>
      </c>
      <c r="M248" s="76" t="n">
        <v>24</v>
      </c>
      <c r="N248" s="76" t="n">
        <v>233</v>
      </c>
    </row>
    <row r="249" s="1" customFormat="true" ht="14.25" hidden="false" customHeight="false" outlineLevel="0" collapsed="false">
      <c r="A249" s="76" t="n">
        <v>250</v>
      </c>
      <c r="B249" s="76" t="s">
        <v>85</v>
      </c>
      <c r="C249" s="76" t="s">
        <v>86</v>
      </c>
      <c r="D249" s="76" t="n">
        <v>93202</v>
      </c>
      <c r="E249" s="77" t="n">
        <v>200025888802</v>
      </c>
      <c r="F249" s="78" t="s">
        <v>111</v>
      </c>
      <c r="G249" s="77" t="n">
        <v>230110</v>
      </c>
      <c r="H249" s="79" t="n">
        <v>45434.9915046296</v>
      </c>
      <c r="I249" s="76" t="n">
        <v>24</v>
      </c>
      <c r="J249" s="76" t="n">
        <v>1</v>
      </c>
      <c r="K249" s="76" t="n">
        <v>2</v>
      </c>
      <c r="L249" s="78" t="s">
        <v>111</v>
      </c>
      <c r="M249" s="76" t="n">
        <v>24</v>
      </c>
      <c r="N249" s="76" t="n">
        <v>234</v>
      </c>
    </row>
    <row r="250" s="1" customFormat="true" ht="14.25" hidden="false" customHeight="false" outlineLevel="0" collapsed="false">
      <c r="A250" s="76" t="n">
        <v>251</v>
      </c>
      <c r="B250" s="76" t="s">
        <v>85</v>
      </c>
      <c r="C250" s="76" t="s">
        <v>86</v>
      </c>
      <c r="D250" s="76" t="n">
        <v>93202</v>
      </c>
      <c r="E250" s="77" t="n">
        <v>200025888802</v>
      </c>
      <c r="F250" s="78" t="s">
        <v>111</v>
      </c>
      <c r="G250" s="77" t="n">
        <v>230110</v>
      </c>
      <c r="H250" s="79" t="n">
        <v>45434.9915277778</v>
      </c>
      <c r="I250" s="76" t="n">
        <v>24</v>
      </c>
      <c r="J250" s="76" t="n">
        <v>1</v>
      </c>
      <c r="K250" s="76" t="n">
        <v>3</v>
      </c>
      <c r="L250" s="78" t="s">
        <v>111</v>
      </c>
      <c r="M250" s="76" t="n">
        <v>24</v>
      </c>
      <c r="N250" s="76" t="n">
        <v>235</v>
      </c>
    </row>
    <row r="251" s="1" customFormat="true" ht="14.25" hidden="false" customHeight="false" outlineLevel="0" collapsed="false">
      <c r="A251" s="76" t="n">
        <v>252</v>
      </c>
      <c r="B251" s="76" t="s">
        <v>85</v>
      </c>
      <c r="C251" s="76" t="s">
        <v>86</v>
      </c>
      <c r="D251" s="76" t="n">
        <v>93202</v>
      </c>
      <c r="E251" s="77" t="n">
        <v>200025888802</v>
      </c>
      <c r="F251" s="78" t="s">
        <v>111</v>
      </c>
      <c r="G251" s="77" t="n">
        <v>230110</v>
      </c>
      <c r="H251" s="79" t="n">
        <v>45434.9915509259</v>
      </c>
      <c r="I251" s="76" t="n">
        <v>24</v>
      </c>
      <c r="J251" s="76" t="n">
        <v>0</v>
      </c>
      <c r="K251" s="76" t="n">
        <v>4</v>
      </c>
      <c r="L251" s="78" t="s">
        <v>111</v>
      </c>
      <c r="M251" s="76" t="n">
        <v>24</v>
      </c>
      <c r="N251" s="76" t="n">
        <v>236</v>
      </c>
    </row>
    <row r="252" s="1" customFormat="true" ht="14.25" hidden="false" customHeight="false" outlineLevel="0" collapsed="false">
      <c r="A252" s="59" t="n">
        <v>17</v>
      </c>
      <c r="B252" s="59" t="s">
        <v>113</v>
      </c>
      <c r="C252" s="59" t="s">
        <v>86</v>
      </c>
      <c r="D252" s="59" t="n">
        <v>93202</v>
      </c>
      <c r="E252" s="60" t="n">
        <v>200025888802</v>
      </c>
      <c r="F252" s="61" t="s">
        <v>111</v>
      </c>
      <c r="G252" s="77" t="n">
        <v>230110</v>
      </c>
      <c r="H252" s="84" t="n">
        <v>45435.6684837963</v>
      </c>
      <c r="I252" s="76" t="n">
        <v>24</v>
      </c>
      <c r="J252" s="59" t="n">
        <v>1</v>
      </c>
      <c r="K252" s="76" t="n">
        <v>5</v>
      </c>
      <c r="L252" s="61" t="s">
        <v>111</v>
      </c>
      <c r="M252" s="76" t="n">
        <v>24</v>
      </c>
      <c r="N252" s="59" t="n">
        <v>258</v>
      </c>
      <c r="O252" s="7"/>
    </row>
    <row r="253" s="1" customFormat="true" ht="14.25" hidden="false" customHeight="false" outlineLevel="0" collapsed="false">
      <c r="A253" s="59" t="n">
        <v>18</v>
      </c>
      <c r="B253" s="59" t="s">
        <v>113</v>
      </c>
      <c r="C253" s="59" t="s">
        <v>86</v>
      </c>
      <c r="D253" s="59" t="n">
        <v>93202</v>
      </c>
      <c r="E253" s="60" t="n">
        <v>200025888802</v>
      </c>
      <c r="F253" s="61" t="s">
        <v>111</v>
      </c>
      <c r="G253" s="77" t="n">
        <v>230110</v>
      </c>
      <c r="H253" s="84" t="n">
        <v>45435.6687384259</v>
      </c>
      <c r="I253" s="76" t="n">
        <v>24</v>
      </c>
      <c r="J253" s="59" t="n">
        <v>0</v>
      </c>
      <c r="K253" s="76" t="n">
        <v>6</v>
      </c>
      <c r="L253" s="61" t="s">
        <v>111</v>
      </c>
      <c r="M253" s="76" t="n">
        <v>24</v>
      </c>
      <c r="N253" s="59" t="n">
        <v>259</v>
      </c>
      <c r="O253" s="7"/>
    </row>
    <row r="254" s="1" customFormat="true" ht="14.25" hidden="false" customHeight="false" outlineLevel="0" collapsed="false">
      <c r="A254" s="59" t="n">
        <v>19</v>
      </c>
      <c r="B254" s="59" t="s">
        <v>113</v>
      </c>
      <c r="C254" s="59" t="s">
        <v>86</v>
      </c>
      <c r="D254" s="59" t="n">
        <v>93202</v>
      </c>
      <c r="E254" s="60" t="n">
        <v>200025888802</v>
      </c>
      <c r="F254" s="61" t="s">
        <v>111</v>
      </c>
      <c r="G254" s="77" t="n">
        <v>230110</v>
      </c>
      <c r="H254" s="84" t="n">
        <v>45435.66875</v>
      </c>
      <c r="I254" s="76" t="n">
        <v>24</v>
      </c>
      <c r="J254" s="59" t="n">
        <v>2</v>
      </c>
      <c r="K254" s="76" t="n">
        <v>7</v>
      </c>
      <c r="L254" s="61" t="s">
        <v>111</v>
      </c>
      <c r="M254" s="76" t="n">
        <v>24</v>
      </c>
      <c r="N254" s="59" t="n">
        <v>260</v>
      </c>
      <c r="O254" s="7"/>
    </row>
    <row r="255" s="1" customFormat="true" ht="14.25" hidden="false" customHeight="false" outlineLevel="0" collapsed="false">
      <c r="A255" s="59" t="n">
        <v>20</v>
      </c>
      <c r="B255" s="59" t="s">
        <v>113</v>
      </c>
      <c r="C255" s="59" t="s">
        <v>86</v>
      </c>
      <c r="D255" s="59" t="n">
        <v>93202</v>
      </c>
      <c r="E255" s="60" t="n">
        <v>200025888802</v>
      </c>
      <c r="F255" s="61" t="s">
        <v>111</v>
      </c>
      <c r="G255" s="77" t="n">
        <v>230110</v>
      </c>
      <c r="H255" s="84" t="n">
        <v>45435.6689583333</v>
      </c>
      <c r="I255" s="76" t="n">
        <v>24</v>
      </c>
      <c r="J255" s="59" t="n">
        <v>1</v>
      </c>
      <c r="K255" s="76" t="n">
        <v>8</v>
      </c>
      <c r="L255" s="61" t="s">
        <v>111</v>
      </c>
      <c r="M255" s="76" t="n">
        <v>24</v>
      </c>
      <c r="N255" s="59" t="n">
        <v>261</v>
      </c>
      <c r="O255" s="7"/>
    </row>
    <row r="256" s="1" customFormat="true" ht="14.25" hidden="false" customHeight="false" outlineLevel="0" collapsed="false">
      <c r="A256" s="59" t="n">
        <v>21</v>
      </c>
      <c r="B256" s="59" t="s">
        <v>113</v>
      </c>
      <c r="C256" s="59" t="s">
        <v>86</v>
      </c>
      <c r="D256" s="59" t="n">
        <v>93202</v>
      </c>
      <c r="E256" s="60" t="n">
        <v>200025888802</v>
      </c>
      <c r="F256" s="61" t="s">
        <v>111</v>
      </c>
      <c r="G256" s="77" t="n">
        <v>230110</v>
      </c>
      <c r="H256" s="84" t="n">
        <v>45435.6691550926</v>
      </c>
      <c r="I256" s="76" t="n">
        <v>24</v>
      </c>
      <c r="J256" s="59" t="n">
        <v>2</v>
      </c>
      <c r="K256" s="76" t="n">
        <v>9</v>
      </c>
      <c r="L256" s="61" t="s">
        <v>111</v>
      </c>
      <c r="M256" s="76" t="n">
        <v>24</v>
      </c>
      <c r="N256" s="59" t="n">
        <v>262</v>
      </c>
      <c r="O256" s="7"/>
    </row>
    <row r="257" s="1" customFormat="true" ht="14.25" hidden="false" customHeight="false" outlineLevel="0" collapsed="false">
      <c r="A257" s="59" t="n">
        <v>22</v>
      </c>
      <c r="B257" s="59" t="s">
        <v>113</v>
      </c>
      <c r="C257" s="59" t="s">
        <v>86</v>
      </c>
      <c r="D257" s="59" t="n">
        <v>93202</v>
      </c>
      <c r="E257" s="60" t="n">
        <v>200025888802</v>
      </c>
      <c r="F257" s="61" t="s">
        <v>111</v>
      </c>
      <c r="G257" s="77" t="n">
        <v>230110</v>
      </c>
      <c r="H257" s="84" t="n">
        <v>45435.6691782407</v>
      </c>
      <c r="I257" s="76" t="n">
        <v>24</v>
      </c>
      <c r="J257" s="59" t="n">
        <v>21</v>
      </c>
      <c r="K257" s="76" t="n">
        <v>10</v>
      </c>
      <c r="L257" s="61" t="s">
        <v>111</v>
      </c>
      <c r="M257" s="76" t="n">
        <v>24</v>
      </c>
      <c r="N257" s="59" t="n">
        <v>263</v>
      </c>
      <c r="O257" s="7"/>
    </row>
    <row r="258" s="1" customFormat="true" ht="14.25" hidden="false" customHeight="false" outlineLevel="0" collapsed="false">
      <c r="A258" s="59" t="n">
        <v>23</v>
      </c>
      <c r="B258" s="59" t="s">
        <v>113</v>
      </c>
      <c r="C258" s="59" t="s">
        <v>86</v>
      </c>
      <c r="D258" s="59" t="n">
        <v>93202</v>
      </c>
      <c r="E258" s="60" t="n">
        <v>200025888802</v>
      </c>
      <c r="F258" s="61" t="s">
        <v>111</v>
      </c>
      <c r="G258" s="77" t="n">
        <v>230110</v>
      </c>
      <c r="H258" s="84" t="n">
        <v>45435.6695833333</v>
      </c>
      <c r="I258" s="76" t="n">
        <v>24</v>
      </c>
      <c r="J258" s="59" t="n">
        <v>0</v>
      </c>
      <c r="K258" s="76" t="n">
        <v>11</v>
      </c>
      <c r="L258" s="61" t="s">
        <v>111</v>
      </c>
      <c r="M258" s="76" t="n">
        <v>24</v>
      </c>
      <c r="N258" s="59" t="n">
        <v>264</v>
      </c>
      <c r="O258" s="7"/>
    </row>
    <row r="259" s="1" customFormat="true" ht="14.25" hidden="false" customHeight="false" outlineLevel="0" collapsed="false">
      <c r="A259" s="59" t="n">
        <v>24</v>
      </c>
      <c r="B259" s="59" t="s">
        <v>113</v>
      </c>
      <c r="C259" s="59" t="s">
        <v>86</v>
      </c>
      <c r="D259" s="59" t="n">
        <v>93202</v>
      </c>
      <c r="E259" s="60" t="n">
        <v>200025888802</v>
      </c>
      <c r="F259" s="61" t="s">
        <v>111</v>
      </c>
      <c r="G259" s="77" t="n">
        <v>230110</v>
      </c>
      <c r="H259" s="84" t="n">
        <v>45435.6695833333</v>
      </c>
      <c r="I259" s="76" t="n">
        <v>24</v>
      </c>
      <c r="J259" s="59" t="n">
        <v>1</v>
      </c>
      <c r="K259" s="76" t="n">
        <v>12</v>
      </c>
      <c r="L259" s="61" t="s">
        <v>111</v>
      </c>
      <c r="M259" s="76" t="n">
        <v>24</v>
      </c>
      <c r="N259" s="59" t="n">
        <v>265</v>
      </c>
      <c r="O259" s="7"/>
    </row>
    <row r="260" s="1" customFormat="true" ht="14.25" hidden="false" customHeight="false" outlineLevel="0" collapsed="false">
      <c r="A260" s="59" t="n">
        <v>25</v>
      </c>
      <c r="B260" s="59" t="s">
        <v>113</v>
      </c>
      <c r="C260" s="59" t="s">
        <v>86</v>
      </c>
      <c r="D260" s="59" t="n">
        <v>93202</v>
      </c>
      <c r="E260" s="60" t="n">
        <v>200025888802</v>
      </c>
      <c r="F260" s="61" t="s">
        <v>111</v>
      </c>
      <c r="G260" s="77" t="n">
        <v>230110</v>
      </c>
      <c r="H260" s="84" t="n">
        <v>45435.6695949074</v>
      </c>
      <c r="I260" s="76" t="n">
        <v>24</v>
      </c>
      <c r="J260" s="59" t="n">
        <v>1</v>
      </c>
      <c r="K260" s="76" t="n">
        <v>13</v>
      </c>
      <c r="L260" s="61" t="s">
        <v>111</v>
      </c>
      <c r="M260" s="76" t="n">
        <v>24</v>
      </c>
      <c r="N260" s="59" t="n">
        <v>266</v>
      </c>
      <c r="O260" s="7"/>
    </row>
    <row r="261" s="1" customFormat="true" ht="14.25" hidden="false" customHeight="false" outlineLevel="0" collapsed="false">
      <c r="A261" s="59" t="n">
        <v>26</v>
      </c>
      <c r="B261" s="59" t="s">
        <v>113</v>
      </c>
      <c r="C261" s="59" t="s">
        <v>86</v>
      </c>
      <c r="D261" s="59" t="n">
        <v>93202</v>
      </c>
      <c r="E261" s="60" t="n">
        <v>200025888802</v>
      </c>
      <c r="F261" s="61" t="s">
        <v>111</v>
      </c>
      <c r="G261" s="77" t="n">
        <v>230110</v>
      </c>
      <c r="H261" s="84" t="n">
        <v>45435.669837963</v>
      </c>
      <c r="I261" s="76" t="n">
        <v>24</v>
      </c>
      <c r="J261" s="59" t="n">
        <v>1</v>
      </c>
      <c r="K261" s="76" t="n">
        <v>14</v>
      </c>
      <c r="L261" s="61" t="s">
        <v>111</v>
      </c>
      <c r="M261" s="76" t="n">
        <v>24</v>
      </c>
      <c r="N261" s="59" t="n">
        <v>267</v>
      </c>
      <c r="O261" s="7"/>
    </row>
    <row r="262" s="1" customFormat="true" ht="14.25" hidden="false" customHeight="false" outlineLevel="0" collapsed="false">
      <c r="A262" s="59" t="n">
        <v>27</v>
      </c>
      <c r="B262" s="59" t="s">
        <v>113</v>
      </c>
      <c r="C262" s="59" t="s">
        <v>86</v>
      </c>
      <c r="D262" s="59" t="n">
        <v>93202</v>
      </c>
      <c r="E262" s="60" t="n">
        <v>200025888802</v>
      </c>
      <c r="F262" s="61" t="s">
        <v>111</v>
      </c>
      <c r="G262" s="77" t="n">
        <v>230110</v>
      </c>
      <c r="H262" s="84" t="n">
        <v>45435.6701157407</v>
      </c>
      <c r="I262" s="76" t="n">
        <v>24</v>
      </c>
      <c r="J262" s="59" t="n">
        <v>1</v>
      </c>
      <c r="K262" s="76" t="n">
        <v>15</v>
      </c>
      <c r="L262" s="61" t="s">
        <v>111</v>
      </c>
      <c r="M262" s="76" t="n">
        <v>24</v>
      </c>
      <c r="N262" s="59" t="n">
        <v>268</v>
      </c>
      <c r="O262" s="7"/>
    </row>
    <row r="263" s="1" customFormat="true" ht="14.25" hidden="false" customHeight="false" outlineLevel="0" collapsed="false">
      <c r="A263" s="59" t="n">
        <v>28</v>
      </c>
      <c r="B263" s="59" t="s">
        <v>113</v>
      </c>
      <c r="C263" s="59" t="s">
        <v>86</v>
      </c>
      <c r="D263" s="59" t="n">
        <v>93202</v>
      </c>
      <c r="E263" s="60" t="n">
        <v>200025888802</v>
      </c>
      <c r="F263" s="61" t="s">
        <v>111</v>
      </c>
      <c r="G263" s="77" t="n">
        <v>230110</v>
      </c>
      <c r="H263" s="84" t="n">
        <v>45435.6701388889</v>
      </c>
      <c r="I263" s="76" t="n">
        <v>24</v>
      </c>
      <c r="J263" s="59" t="n">
        <v>0</v>
      </c>
      <c r="K263" s="76" t="n">
        <v>16</v>
      </c>
      <c r="L263" s="61" t="s">
        <v>111</v>
      </c>
      <c r="M263" s="76" t="n">
        <v>24</v>
      </c>
      <c r="N263" s="59" t="n">
        <v>269</v>
      </c>
      <c r="O263" s="7"/>
    </row>
    <row r="264" s="1" customFormat="true" ht="14.25" hidden="false" customHeight="false" outlineLevel="0" collapsed="false">
      <c r="A264" s="59" t="n">
        <v>29</v>
      </c>
      <c r="B264" s="59" t="s">
        <v>113</v>
      </c>
      <c r="C264" s="59" t="s">
        <v>86</v>
      </c>
      <c r="D264" s="59" t="n">
        <v>93202</v>
      </c>
      <c r="E264" s="60" t="n">
        <v>200025888802</v>
      </c>
      <c r="F264" s="61" t="s">
        <v>111</v>
      </c>
      <c r="G264" s="77" t="n">
        <v>230110</v>
      </c>
      <c r="H264" s="84" t="n">
        <v>45435.670150463</v>
      </c>
      <c r="I264" s="76" t="n">
        <v>24</v>
      </c>
      <c r="J264" s="59" t="n">
        <v>0</v>
      </c>
      <c r="K264" s="76" t="n">
        <v>17</v>
      </c>
      <c r="L264" s="61" t="s">
        <v>111</v>
      </c>
      <c r="M264" s="76" t="n">
        <v>24</v>
      </c>
      <c r="N264" s="59" t="n">
        <v>270</v>
      </c>
      <c r="O264" s="7"/>
    </row>
    <row r="265" s="1" customFormat="true" ht="14.25" hidden="false" customHeight="false" outlineLevel="0" collapsed="false">
      <c r="A265" s="80" t="n">
        <v>253</v>
      </c>
      <c r="B265" s="80" t="s">
        <v>85</v>
      </c>
      <c r="C265" s="80" t="s">
        <v>86</v>
      </c>
      <c r="D265" s="80" t="n">
        <v>93202</v>
      </c>
      <c r="E265" s="81" t="n">
        <v>200025889230</v>
      </c>
      <c r="F265" s="82" t="s">
        <v>112</v>
      </c>
      <c r="G265" s="81" t="n">
        <v>200970</v>
      </c>
      <c r="H265" s="83" t="n">
        <v>45435.0172222222</v>
      </c>
      <c r="I265" s="80" t="n">
        <v>25</v>
      </c>
      <c r="J265" s="80" t="n">
        <v>0</v>
      </c>
      <c r="K265" s="80" t="n">
        <v>1</v>
      </c>
      <c r="L265" s="82" t="s">
        <v>112</v>
      </c>
      <c r="M265" s="80" t="n">
        <v>25</v>
      </c>
      <c r="N265" s="80" t="n">
        <v>237</v>
      </c>
    </row>
    <row r="266" s="1" customFormat="true" ht="14.25" hidden="false" customHeight="false" outlineLevel="0" collapsed="false">
      <c r="A266" s="80" t="n">
        <v>254</v>
      </c>
      <c r="B266" s="80" t="s">
        <v>85</v>
      </c>
      <c r="C266" s="80" t="s">
        <v>86</v>
      </c>
      <c r="D266" s="80" t="n">
        <v>93202</v>
      </c>
      <c r="E266" s="81" t="n">
        <v>200025889230</v>
      </c>
      <c r="F266" s="82" t="s">
        <v>112</v>
      </c>
      <c r="G266" s="81" t="n">
        <v>200970</v>
      </c>
      <c r="H266" s="83" t="n">
        <v>45435.0172222222</v>
      </c>
      <c r="I266" s="80" t="n">
        <v>25</v>
      </c>
      <c r="J266" s="80" t="n">
        <v>2</v>
      </c>
      <c r="K266" s="80" t="n">
        <v>2</v>
      </c>
      <c r="L266" s="82" t="s">
        <v>112</v>
      </c>
      <c r="M266" s="80" t="n">
        <v>25</v>
      </c>
      <c r="N266" s="80" t="n">
        <v>238</v>
      </c>
    </row>
    <row r="267" s="1" customFormat="true" ht="14.25" hidden="false" customHeight="false" outlineLevel="0" collapsed="false">
      <c r="A267" s="80" t="n">
        <v>259</v>
      </c>
      <c r="B267" s="80" t="s">
        <v>85</v>
      </c>
      <c r="C267" s="80" t="s">
        <v>86</v>
      </c>
      <c r="D267" s="80" t="n">
        <v>93202</v>
      </c>
      <c r="E267" s="81" t="n">
        <v>200025889230</v>
      </c>
      <c r="F267" s="82" t="s">
        <v>112</v>
      </c>
      <c r="G267" s="81" t="n">
        <v>200970</v>
      </c>
      <c r="H267" s="83" t="n">
        <v>45435.0415625</v>
      </c>
      <c r="I267" s="80" t="n">
        <v>25</v>
      </c>
      <c r="J267" s="80" t="n">
        <v>1</v>
      </c>
      <c r="K267" s="80" t="n">
        <v>3</v>
      </c>
      <c r="L267" s="82" t="s">
        <v>112</v>
      </c>
      <c r="M267" s="80" t="n">
        <v>25</v>
      </c>
      <c r="N267" s="80" t="n">
        <v>243</v>
      </c>
    </row>
    <row r="268" s="1" customFormat="true" ht="14.25" hidden="false" customHeight="false" outlineLevel="0" collapsed="false">
      <c r="A268" s="80" t="n">
        <v>260</v>
      </c>
      <c r="B268" s="80" t="s">
        <v>85</v>
      </c>
      <c r="C268" s="80" t="s">
        <v>86</v>
      </c>
      <c r="D268" s="80" t="n">
        <v>93202</v>
      </c>
      <c r="E268" s="81" t="n">
        <v>200025889230</v>
      </c>
      <c r="F268" s="82" t="s">
        <v>112</v>
      </c>
      <c r="G268" s="81" t="n">
        <v>200970</v>
      </c>
      <c r="H268" s="83" t="n">
        <v>45435.0417939815</v>
      </c>
      <c r="I268" s="80" t="n">
        <v>25</v>
      </c>
      <c r="J268" s="80" t="n">
        <v>474</v>
      </c>
      <c r="K268" s="80" t="n">
        <v>4</v>
      </c>
      <c r="L268" s="82" t="s">
        <v>112</v>
      </c>
      <c r="M268" s="80" t="n">
        <v>25</v>
      </c>
      <c r="N268" s="80" t="n">
        <v>244</v>
      </c>
    </row>
    <row r="269" s="1" customFormat="true" ht="14.25" hidden="false" customHeight="false" outlineLevel="0" collapsed="false">
      <c r="A269" s="80" t="n">
        <v>261</v>
      </c>
      <c r="B269" s="80" t="s">
        <v>85</v>
      </c>
      <c r="C269" s="80" t="s">
        <v>86</v>
      </c>
      <c r="D269" s="80" t="n">
        <v>93202</v>
      </c>
      <c r="E269" s="81" t="n">
        <v>200025889230</v>
      </c>
      <c r="F269" s="82" t="s">
        <v>112</v>
      </c>
      <c r="G269" s="81" t="n">
        <v>200970</v>
      </c>
      <c r="H269" s="83" t="n">
        <v>45435.0475</v>
      </c>
      <c r="I269" s="80" t="n">
        <v>25</v>
      </c>
      <c r="J269" s="80" t="n">
        <v>1</v>
      </c>
      <c r="K269" s="80" t="n">
        <v>5</v>
      </c>
      <c r="L269" s="82" t="s">
        <v>112</v>
      </c>
      <c r="M269" s="80" t="n">
        <v>25</v>
      </c>
      <c r="N269" s="80" t="n">
        <v>245</v>
      </c>
    </row>
    <row r="270" s="1" customFormat="true" ht="14.25" hidden="false" customHeight="false" outlineLevel="0" collapsed="false">
      <c r="A270" s="80" t="n">
        <v>262</v>
      </c>
      <c r="B270" s="80" t="s">
        <v>85</v>
      </c>
      <c r="C270" s="80" t="s">
        <v>86</v>
      </c>
      <c r="D270" s="80" t="n">
        <v>93202</v>
      </c>
      <c r="E270" s="81" t="n">
        <v>200025889230</v>
      </c>
      <c r="F270" s="82" t="s">
        <v>112</v>
      </c>
      <c r="G270" s="81" t="n">
        <v>200970</v>
      </c>
      <c r="H270" s="83" t="n">
        <v>45435.0476736111</v>
      </c>
      <c r="I270" s="80" t="n">
        <v>25</v>
      </c>
      <c r="J270" s="80" t="n">
        <v>1</v>
      </c>
      <c r="K270" s="80" t="n">
        <v>6</v>
      </c>
      <c r="L270" s="82" t="s">
        <v>112</v>
      </c>
      <c r="M270" s="80" t="n">
        <v>25</v>
      </c>
      <c r="N270" s="80" t="n">
        <v>246</v>
      </c>
    </row>
    <row r="271" s="1" customFormat="true" ht="14.25" hidden="false" customHeight="false" outlineLevel="0" collapsed="false">
      <c r="A271" s="59" t="n">
        <v>16</v>
      </c>
      <c r="B271" s="59" t="s">
        <v>113</v>
      </c>
      <c r="C271" s="59" t="s">
        <v>86</v>
      </c>
      <c r="D271" s="59" t="n">
        <v>93202</v>
      </c>
      <c r="E271" s="60" t="n">
        <v>200025888557</v>
      </c>
      <c r="F271" s="61" t="s">
        <v>115</v>
      </c>
      <c r="G271" s="60" t="n">
        <v>210284</v>
      </c>
      <c r="H271" s="84" t="n">
        <v>45435.6540277778</v>
      </c>
      <c r="I271" s="59" t="n">
        <v>26</v>
      </c>
      <c r="J271" s="59" t="n">
        <v>0</v>
      </c>
      <c r="K271" s="59" t="n">
        <v>1</v>
      </c>
      <c r="L271" s="61" t="s">
        <v>115</v>
      </c>
      <c r="M271" s="59" t="n">
        <v>26</v>
      </c>
      <c r="N271" s="59" t="n">
        <v>257</v>
      </c>
      <c r="O271" s="7"/>
    </row>
    <row r="272" s="1" customFormat="true" ht="14.25" hidden="false" customHeight="false" outlineLevel="0" collapsed="false">
      <c r="A272" s="59" t="n">
        <v>42</v>
      </c>
      <c r="B272" s="59" t="s">
        <v>113</v>
      </c>
      <c r="C272" s="59" t="s">
        <v>86</v>
      </c>
      <c r="D272" s="59" t="n">
        <v>93202</v>
      </c>
      <c r="E272" s="60" t="n">
        <v>200025888557</v>
      </c>
      <c r="F272" s="61" t="s">
        <v>115</v>
      </c>
      <c r="G272" s="60" t="n">
        <v>210284</v>
      </c>
      <c r="H272" s="84" t="n">
        <v>45435.8379166667</v>
      </c>
      <c r="I272" s="59" t="n">
        <v>26</v>
      </c>
      <c r="J272" s="59" t="n">
        <v>0</v>
      </c>
      <c r="K272" s="59" t="n">
        <v>2</v>
      </c>
      <c r="L272" s="61" t="s">
        <v>115</v>
      </c>
      <c r="M272" s="59" t="n">
        <v>26</v>
      </c>
      <c r="N272" s="59" t="n">
        <v>283</v>
      </c>
      <c r="O272" s="7"/>
    </row>
    <row r="273" s="1" customFormat="true" ht="14.25" hidden="false" customHeight="false" outlineLevel="0" collapsed="false">
      <c r="A273" s="59" t="n">
        <v>30</v>
      </c>
      <c r="B273" s="59" t="s">
        <v>113</v>
      </c>
      <c r="C273" s="59" t="s">
        <v>86</v>
      </c>
      <c r="D273" s="59" t="n">
        <v>93202</v>
      </c>
      <c r="E273" s="60" t="n">
        <v>200025889417</v>
      </c>
      <c r="F273" s="61" t="s">
        <v>116</v>
      </c>
      <c r="G273" s="60" t="n">
        <v>230102</v>
      </c>
      <c r="H273" s="84" t="n">
        <v>45435.7239467593</v>
      </c>
      <c r="I273" s="59" t="n">
        <v>27</v>
      </c>
      <c r="J273" s="59" t="n">
        <v>243</v>
      </c>
      <c r="K273" s="59" t="n">
        <v>1</v>
      </c>
      <c r="L273" s="61" t="s">
        <v>116</v>
      </c>
      <c r="M273" s="59" t="n">
        <v>27</v>
      </c>
      <c r="N273" s="59" t="n">
        <v>271</v>
      </c>
      <c r="O273" s="7"/>
    </row>
    <row r="274" s="1" customFormat="true" ht="14.25" hidden="false" customHeight="false" outlineLevel="0" collapsed="false">
      <c r="A274" s="59" t="n">
        <v>31</v>
      </c>
      <c r="B274" s="59" t="s">
        <v>113</v>
      </c>
      <c r="C274" s="59" t="s">
        <v>86</v>
      </c>
      <c r="D274" s="59" t="n">
        <v>93202</v>
      </c>
      <c r="E274" s="60" t="n">
        <v>200025889417</v>
      </c>
      <c r="F274" s="61" t="s">
        <v>116</v>
      </c>
      <c r="G274" s="60" t="n">
        <v>230102</v>
      </c>
      <c r="H274" s="84" t="n">
        <v>45435.7267939815</v>
      </c>
      <c r="I274" s="59" t="n">
        <v>27</v>
      </c>
      <c r="J274" s="59" t="n">
        <v>1</v>
      </c>
      <c r="K274" s="59" t="n">
        <v>2</v>
      </c>
      <c r="L274" s="61" t="s">
        <v>116</v>
      </c>
      <c r="M274" s="59" t="n">
        <v>27</v>
      </c>
      <c r="N274" s="59" t="n">
        <v>272</v>
      </c>
      <c r="O274" s="7"/>
    </row>
    <row r="275" s="1" customFormat="true" ht="14.25" hidden="false" customHeight="false" outlineLevel="0" collapsed="false">
      <c r="A275" s="59" t="n">
        <v>33</v>
      </c>
      <c r="B275" s="59" t="s">
        <v>113</v>
      </c>
      <c r="C275" s="59" t="s">
        <v>86</v>
      </c>
      <c r="D275" s="59" t="n">
        <v>93202</v>
      </c>
      <c r="E275" s="60" t="n">
        <v>200025889417</v>
      </c>
      <c r="F275" s="61" t="s">
        <v>116</v>
      </c>
      <c r="G275" s="60" t="n">
        <v>230102</v>
      </c>
      <c r="H275" s="84" t="n">
        <v>45435.7627777778</v>
      </c>
      <c r="I275" s="59" t="n">
        <v>27</v>
      </c>
      <c r="J275" s="59" t="n">
        <v>1</v>
      </c>
      <c r="K275" s="59" t="n">
        <v>3</v>
      </c>
      <c r="L275" s="61" t="s">
        <v>116</v>
      </c>
      <c r="M275" s="59" t="n">
        <v>27</v>
      </c>
      <c r="N275" s="59" t="n">
        <v>274</v>
      </c>
      <c r="O275" s="7"/>
    </row>
    <row r="276" s="1" customFormat="true" ht="14.25" hidden="false" customHeight="false" outlineLevel="0" collapsed="false">
      <c r="A276" s="59" t="n">
        <v>34</v>
      </c>
      <c r="B276" s="59" t="s">
        <v>113</v>
      </c>
      <c r="C276" s="59" t="s">
        <v>86</v>
      </c>
      <c r="D276" s="59" t="n">
        <v>93202</v>
      </c>
      <c r="E276" s="60" t="n">
        <v>200025889417</v>
      </c>
      <c r="F276" s="61" t="s">
        <v>116</v>
      </c>
      <c r="G276" s="60" t="n">
        <v>230102</v>
      </c>
      <c r="H276" s="84" t="n">
        <v>45435.7682060185</v>
      </c>
      <c r="I276" s="59" t="n">
        <v>27</v>
      </c>
      <c r="J276" s="59" t="n">
        <v>4</v>
      </c>
      <c r="K276" s="59" t="n">
        <v>4</v>
      </c>
      <c r="L276" s="61" t="s">
        <v>116</v>
      </c>
      <c r="M276" s="59" t="n">
        <v>27</v>
      </c>
      <c r="N276" s="59" t="n">
        <v>275</v>
      </c>
      <c r="O276" s="7"/>
    </row>
    <row r="277" s="1" customFormat="true" ht="14.25" hidden="false" customHeight="false" outlineLevel="0" collapsed="false">
      <c r="A277" s="59" t="n">
        <v>35</v>
      </c>
      <c r="B277" s="59" t="s">
        <v>113</v>
      </c>
      <c r="C277" s="59" t="s">
        <v>86</v>
      </c>
      <c r="D277" s="59" t="n">
        <v>93202</v>
      </c>
      <c r="E277" s="60" t="n">
        <v>200025889417</v>
      </c>
      <c r="F277" s="61" t="s">
        <v>116</v>
      </c>
      <c r="G277" s="60" t="n">
        <v>230102</v>
      </c>
      <c r="H277" s="84" t="n">
        <v>45435.7682523148</v>
      </c>
      <c r="I277" s="59" t="n">
        <v>27</v>
      </c>
      <c r="J277" s="59" t="n">
        <v>772</v>
      </c>
      <c r="K277" s="59" t="n">
        <v>5</v>
      </c>
      <c r="L277" s="61" t="s">
        <v>116</v>
      </c>
      <c r="M277" s="59" t="n">
        <v>27</v>
      </c>
      <c r="N277" s="59" t="n">
        <v>276</v>
      </c>
      <c r="O277" s="7"/>
    </row>
    <row r="278" s="1" customFormat="true" ht="14.25" hidden="false" customHeight="false" outlineLevel="0" collapsed="false">
      <c r="A278" s="59" t="n">
        <v>36</v>
      </c>
      <c r="B278" s="59" t="s">
        <v>113</v>
      </c>
      <c r="C278" s="59" t="s">
        <v>86</v>
      </c>
      <c r="D278" s="59" t="n">
        <v>93202</v>
      </c>
      <c r="E278" s="60" t="n">
        <v>200025889417</v>
      </c>
      <c r="F278" s="61" t="s">
        <v>116</v>
      </c>
      <c r="G278" s="60" t="n">
        <v>230102</v>
      </c>
      <c r="H278" s="84" t="n">
        <v>45435.7771875</v>
      </c>
      <c r="I278" s="59" t="n">
        <v>27</v>
      </c>
      <c r="J278" s="59" t="n">
        <v>6</v>
      </c>
      <c r="K278" s="59" t="n">
        <v>6</v>
      </c>
      <c r="L278" s="61" t="s">
        <v>116</v>
      </c>
      <c r="M278" s="59" t="n">
        <v>27</v>
      </c>
      <c r="N278" s="59" t="n">
        <v>277</v>
      </c>
      <c r="O278" s="7"/>
    </row>
    <row r="279" s="1" customFormat="true" ht="14.25" hidden="false" customHeight="false" outlineLevel="0" collapsed="false">
      <c r="A279" s="59" t="n">
        <v>37</v>
      </c>
      <c r="B279" s="59" t="s">
        <v>113</v>
      </c>
      <c r="C279" s="59" t="s">
        <v>86</v>
      </c>
      <c r="D279" s="59" t="n">
        <v>93202</v>
      </c>
      <c r="E279" s="60" t="n">
        <v>200025889417</v>
      </c>
      <c r="F279" s="61" t="s">
        <v>116</v>
      </c>
      <c r="G279" s="60" t="n">
        <v>230102</v>
      </c>
      <c r="H279" s="84" t="n">
        <v>45435.7773032407</v>
      </c>
      <c r="I279" s="59" t="n">
        <v>27</v>
      </c>
      <c r="J279" s="59" t="n">
        <v>13</v>
      </c>
      <c r="K279" s="59" t="n">
        <v>7</v>
      </c>
      <c r="L279" s="61" t="s">
        <v>116</v>
      </c>
      <c r="M279" s="59" t="n">
        <v>27</v>
      </c>
      <c r="N279" s="59" t="n">
        <v>278</v>
      </c>
      <c r="O279" s="7"/>
    </row>
    <row r="280" s="1" customFormat="true" ht="14.25" hidden="false" customHeight="false" outlineLevel="0" collapsed="false">
      <c r="A280" s="59" t="n">
        <v>38</v>
      </c>
      <c r="B280" s="59" t="s">
        <v>113</v>
      </c>
      <c r="C280" s="59" t="s">
        <v>86</v>
      </c>
      <c r="D280" s="59" t="n">
        <v>93202</v>
      </c>
      <c r="E280" s="60" t="n">
        <v>200025889417</v>
      </c>
      <c r="F280" s="61" t="s">
        <v>116</v>
      </c>
      <c r="G280" s="60" t="n">
        <v>230102</v>
      </c>
      <c r="H280" s="84" t="n">
        <v>45435.7775925926</v>
      </c>
      <c r="I280" s="59" t="n">
        <v>27</v>
      </c>
      <c r="J280" s="59" t="n">
        <v>0</v>
      </c>
      <c r="K280" s="59" t="n">
        <v>8</v>
      </c>
      <c r="L280" s="61" t="s">
        <v>116</v>
      </c>
      <c r="M280" s="59" t="n">
        <v>27</v>
      </c>
      <c r="N280" s="59" t="n">
        <v>279</v>
      </c>
      <c r="O280" s="7"/>
    </row>
    <row r="281" s="1" customFormat="true" ht="14.25" hidden="false" customHeight="false" outlineLevel="0" collapsed="false">
      <c r="A281" s="59" t="n">
        <v>39</v>
      </c>
      <c r="B281" s="59" t="s">
        <v>113</v>
      </c>
      <c r="C281" s="59" t="s">
        <v>86</v>
      </c>
      <c r="D281" s="59" t="n">
        <v>93202</v>
      </c>
      <c r="E281" s="60" t="n">
        <v>200025889417</v>
      </c>
      <c r="F281" s="61" t="s">
        <v>116</v>
      </c>
      <c r="G281" s="60" t="n">
        <v>230102</v>
      </c>
      <c r="H281" s="84" t="n">
        <v>45435.8187847222</v>
      </c>
      <c r="I281" s="59" t="n">
        <v>27</v>
      </c>
      <c r="J281" s="59" t="n">
        <v>14</v>
      </c>
      <c r="K281" s="59" t="n">
        <v>9</v>
      </c>
      <c r="L281" s="61" t="s">
        <v>116</v>
      </c>
      <c r="M281" s="59" t="n">
        <v>27</v>
      </c>
      <c r="N281" s="59" t="n">
        <v>280</v>
      </c>
      <c r="O281" s="7"/>
    </row>
    <row r="282" s="1" customFormat="true" ht="14.25" hidden="false" customHeight="false" outlineLevel="0" collapsed="false">
      <c r="A282" s="59" t="n">
        <v>43</v>
      </c>
      <c r="B282" s="59" t="s">
        <v>113</v>
      </c>
      <c r="C282" s="59" t="s">
        <v>86</v>
      </c>
      <c r="D282" s="59" t="n">
        <v>93202</v>
      </c>
      <c r="E282" s="60" t="n">
        <v>200025889417</v>
      </c>
      <c r="F282" s="61" t="s">
        <v>116</v>
      </c>
      <c r="G282" s="60" t="n">
        <v>230102</v>
      </c>
      <c r="H282" s="84" t="n">
        <v>45435.8567592593</v>
      </c>
      <c r="I282" s="59" t="n">
        <v>27</v>
      </c>
      <c r="J282" s="59" t="n">
        <v>0</v>
      </c>
      <c r="K282" s="59" t="n">
        <v>10</v>
      </c>
      <c r="L282" s="61" t="s">
        <v>116</v>
      </c>
      <c r="M282" s="59" t="n">
        <v>27</v>
      </c>
      <c r="N282" s="59" t="n">
        <v>284</v>
      </c>
      <c r="O282" s="7"/>
    </row>
    <row r="283" s="1" customFormat="true" ht="14.25" hidden="false" customHeight="false" outlineLevel="0" collapsed="false">
      <c r="A283" s="59" t="n">
        <v>69</v>
      </c>
      <c r="B283" s="59" t="s">
        <v>113</v>
      </c>
      <c r="C283" s="59" t="s">
        <v>86</v>
      </c>
      <c r="D283" s="59" t="n">
        <v>93202</v>
      </c>
      <c r="E283" s="60" t="n">
        <v>200025889417</v>
      </c>
      <c r="F283" s="61" t="s">
        <v>116</v>
      </c>
      <c r="G283" s="60" t="n">
        <v>230102</v>
      </c>
      <c r="H283" s="84" t="n">
        <v>45436.1836458333</v>
      </c>
      <c r="I283" s="59" t="n">
        <v>27</v>
      </c>
      <c r="J283" s="59" t="n">
        <v>1</v>
      </c>
      <c r="K283" s="59" t="n">
        <v>11</v>
      </c>
      <c r="L283" s="61" t="s">
        <v>116</v>
      </c>
      <c r="M283" s="59" t="n">
        <v>27</v>
      </c>
      <c r="N283" s="59" t="n">
        <v>310</v>
      </c>
      <c r="O283" s="7"/>
    </row>
    <row r="284" s="1" customFormat="true" ht="14.25" hidden="false" customHeight="false" outlineLevel="0" collapsed="false">
      <c r="A284" s="59" t="n">
        <v>70</v>
      </c>
      <c r="B284" s="59" t="s">
        <v>113</v>
      </c>
      <c r="C284" s="59" t="s">
        <v>86</v>
      </c>
      <c r="D284" s="59" t="n">
        <v>93202</v>
      </c>
      <c r="E284" s="60" t="n">
        <v>200025889417</v>
      </c>
      <c r="F284" s="61" t="s">
        <v>116</v>
      </c>
      <c r="G284" s="60" t="n">
        <v>230102</v>
      </c>
      <c r="H284" s="84" t="n">
        <v>45436.1837847222</v>
      </c>
      <c r="I284" s="59" t="n">
        <v>27</v>
      </c>
      <c r="J284" s="59" t="n">
        <v>17</v>
      </c>
      <c r="K284" s="59" t="n">
        <v>12</v>
      </c>
      <c r="L284" s="61" t="s">
        <v>116</v>
      </c>
      <c r="M284" s="59" t="n">
        <v>27</v>
      </c>
      <c r="N284" s="59" t="n">
        <v>311</v>
      </c>
      <c r="O284" s="7"/>
    </row>
    <row r="285" s="1" customFormat="true" ht="14.25" hidden="false" customHeight="false" outlineLevel="0" collapsed="false">
      <c r="A285" s="59" t="n">
        <v>71</v>
      </c>
      <c r="B285" s="59" t="s">
        <v>113</v>
      </c>
      <c r="C285" s="59" t="s">
        <v>86</v>
      </c>
      <c r="D285" s="59" t="n">
        <v>93202</v>
      </c>
      <c r="E285" s="60" t="n">
        <v>200025889417</v>
      </c>
      <c r="F285" s="61" t="s">
        <v>116</v>
      </c>
      <c r="G285" s="60" t="n">
        <v>230102</v>
      </c>
      <c r="H285" s="84" t="n">
        <v>45436.1841666667</v>
      </c>
      <c r="I285" s="59" t="n">
        <v>27</v>
      </c>
      <c r="J285" s="59" t="n">
        <v>0</v>
      </c>
      <c r="K285" s="59" t="n">
        <v>13</v>
      </c>
      <c r="L285" s="61" t="s">
        <v>116</v>
      </c>
      <c r="M285" s="59" t="n">
        <v>27</v>
      </c>
      <c r="N285" s="59" t="n">
        <v>312</v>
      </c>
      <c r="O285" s="7"/>
    </row>
    <row r="286" s="1" customFormat="true" ht="14.25" hidden="false" customHeight="false" outlineLevel="0" collapsed="false">
      <c r="A286" s="59" t="n">
        <v>32</v>
      </c>
      <c r="B286" s="59" t="s">
        <v>113</v>
      </c>
      <c r="C286" s="59" t="s">
        <v>86</v>
      </c>
      <c r="D286" s="59" t="n">
        <v>93202</v>
      </c>
      <c r="E286" s="60" t="n">
        <v>200025888940</v>
      </c>
      <c r="F286" s="61" t="s">
        <v>117</v>
      </c>
      <c r="G286" s="60" t="n">
        <v>220239</v>
      </c>
      <c r="H286" s="84" t="n">
        <v>45435.7447916667</v>
      </c>
      <c r="I286" s="59" t="n">
        <v>28</v>
      </c>
      <c r="J286" s="59" t="n">
        <v>0</v>
      </c>
      <c r="K286" s="59" t="n">
        <v>1</v>
      </c>
      <c r="L286" s="61" t="s">
        <v>117</v>
      </c>
      <c r="M286" s="59" t="n">
        <v>28</v>
      </c>
      <c r="N286" s="59" t="n">
        <v>273</v>
      </c>
      <c r="O286" s="7"/>
    </row>
    <row r="287" s="1" customFormat="true" ht="14.25" hidden="false" customHeight="false" outlineLevel="0" collapsed="false">
      <c r="A287" s="59" t="n">
        <v>40</v>
      </c>
      <c r="B287" s="59" t="s">
        <v>113</v>
      </c>
      <c r="C287" s="59" t="s">
        <v>86</v>
      </c>
      <c r="D287" s="59" t="n">
        <v>93202</v>
      </c>
      <c r="E287" s="60" t="n">
        <v>200025888730</v>
      </c>
      <c r="F287" s="61" t="s">
        <v>118</v>
      </c>
      <c r="G287" s="60" t="n">
        <v>230134</v>
      </c>
      <c r="H287" s="84" t="n">
        <v>45435.8294212963</v>
      </c>
      <c r="I287" s="59" t="n">
        <v>29</v>
      </c>
      <c r="J287" s="59" t="n">
        <v>1</v>
      </c>
      <c r="K287" s="59" t="n">
        <v>1</v>
      </c>
      <c r="L287" s="61" t="s">
        <v>118</v>
      </c>
      <c r="M287" s="59" t="n">
        <v>29</v>
      </c>
      <c r="N287" s="59" t="n">
        <v>281</v>
      </c>
      <c r="O287" s="7"/>
    </row>
    <row r="288" s="1" customFormat="true" ht="14.25" hidden="false" customHeight="false" outlineLevel="0" collapsed="false">
      <c r="A288" s="59" t="n">
        <v>41</v>
      </c>
      <c r="B288" s="59" t="s">
        <v>113</v>
      </c>
      <c r="C288" s="59" t="s">
        <v>86</v>
      </c>
      <c r="D288" s="59" t="n">
        <v>93202</v>
      </c>
      <c r="E288" s="60" t="n">
        <v>200025888730</v>
      </c>
      <c r="F288" s="61" t="s">
        <v>118</v>
      </c>
      <c r="G288" s="60" t="n">
        <v>230134</v>
      </c>
      <c r="H288" s="84" t="n">
        <v>45435.8297453704</v>
      </c>
      <c r="I288" s="59" t="n">
        <v>29</v>
      </c>
      <c r="J288" s="59" t="n">
        <v>0</v>
      </c>
      <c r="K288" s="59" t="n">
        <v>2</v>
      </c>
      <c r="L288" s="61" t="s">
        <v>118</v>
      </c>
      <c r="M288" s="59" t="n">
        <v>29</v>
      </c>
      <c r="N288" s="59" t="n">
        <v>282</v>
      </c>
      <c r="O288" s="7"/>
    </row>
    <row r="289" s="1" customFormat="true" ht="14.25" hidden="false" customHeight="false" outlineLevel="0" collapsed="false">
      <c r="A289" s="59" t="n">
        <v>45</v>
      </c>
      <c r="B289" s="59" t="s">
        <v>113</v>
      </c>
      <c r="C289" s="59" t="s">
        <v>86</v>
      </c>
      <c r="D289" s="59" t="n">
        <v>93202</v>
      </c>
      <c r="E289" s="60" t="n">
        <v>200025888730</v>
      </c>
      <c r="F289" s="61" t="s">
        <v>118</v>
      </c>
      <c r="G289" s="60" t="n">
        <v>230134</v>
      </c>
      <c r="H289" s="84" t="n">
        <v>45435.8999537037</v>
      </c>
      <c r="I289" s="59" t="n">
        <v>29</v>
      </c>
      <c r="J289" s="59" t="n">
        <v>1</v>
      </c>
      <c r="K289" s="59" t="n">
        <v>3</v>
      </c>
      <c r="L289" s="61" t="s">
        <v>118</v>
      </c>
      <c r="M289" s="59" t="n">
        <v>29</v>
      </c>
      <c r="N289" s="59" t="n">
        <v>286</v>
      </c>
      <c r="O289" s="7"/>
    </row>
    <row r="290" s="1" customFormat="true" ht="14.25" hidden="false" customHeight="false" outlineLevel="0" collapsed="false">
      <c r="A290" s="59" t="n">
        <v>51</v>
      </c>
      <c r="B290" s="59" t="s">
        <v>113</v>
      </c>
      <c r="C290" s="59" t="s">
        <v>86</v>
      </c>
      <c r="D290" s="59" t="n">
        <v>93202</v>
      </c>
      <c r="E290" s="60" t="n">
        <v>200025888730</v>
      </c>
      <c r="F290" s="61" t="s">
        <v>118</v>
      </c>
      <c r="G290" s="60" t="n">
        <v>230134</v>
      </c>
      <c r="H290" s="84" t="n">
        <v>45435.9410532407</v>
      </c>
      <c r="I290" s="59" t="n">
        <v>29</v>
      </c>
      <c r="J290" s="59" t="n">
        <v>1</v>
      </c>
      <c r="K290" s="59" t="n">
        <v>4</v>
      </c>
      <c r="L290" s="61" t="s">
        <v>118</v>
      </c>
      <c r="M290" s="59" t="n">
        <v>29</v>
      </c>
      <c r="N290" s="59" t="n">
        <v>292</v>
      </c>
      <c r="O290" s="7"/>
    </row>
    <row r="291" s="1" customFormat="true" ht="14.25" hidden="false" customHeight="false" outlineLevel="0" collapsed="false">
      <c r="A291" s="59" t="n">
        <v>52</v>
      </c>
      <c r="B291" s="59" t="s">
        <v>113</v>
      </c>
      <c r="C291" s="59" t="s">
        <v>86</v>
      </c>
      <c r="D291" s="59" t="n">
        <v>93202</v>
      </c>
      <c r="E291" s="60" t="n">
        <v>200025888730</v>
      </c>
      <c r="F291" s="61" t="s">
        <v>118</v>
      </c>
      <c r="G291" s="60" t="n">
        <v>230134</v>
      </c>
      <c r="H291" s="84" t="n">
        <v>45435.9415972222</v>
      </c>
      <c r="I291" s="59" t="n">
        <v>29</v>
      </c>
      <c r="J291" s="59" t="n">
        <v>1</v>
      </c>
      <c r="K291" s="59" t="n">
        <v>5</v>
      </c>
      <c r="L291" s="61" t="s">
        <v>118</v>
      </c>
      <c r="M291" s="59" t="n">
        <v>29</v>
      </c>
      <c r="N291" s="59" t="n">
        <v>293</v>
      </c>
      <c r="O291" s="7"/>
    </row>
    <row r="292" s="1" customFormat="true" ht="14.25" hidden="false" customHeight="false" outlineLevel="0" collapsed="false">
      <c r="A292" s="59" t="n">
        <v>53</v>
      </c>
      <c r="B292" s="59" t="s">
        <v>113</v>
      </c>
      <c r="C292" s="59" t="s">
        <v>86</v>
      </c>
      <c r="D292" s="59" t="n">
        <v>93202</v>
      </c>
      <c r="E292" s="60" t="n">
        <v>200025888730</v>
      </c>
      <c r="F292" s="61" t="s">
        <v>118</v>
      </c>
      <c r="G292" s="60" t="n">
        <v>230134</v>
      </c>
      <c r="H292" s="84" t="n">
        <v>45435.9417592593</v>
      </c>
      <c r="I292" s="59" t="n">
        <v>29</v>
      </c>
      <c r="J292" s="59" t="n">
        <v>0</v>
      </c>
      <c r="K292" s="59" t="n">
        <v>6</v>
      </c>
      <c r="L292" s="61" t="s">
        <v>118</v>
      </c>
      <c r="M292" s="59" t="n">
        <v>29</v>
      </c>
      <c r="N292" s="59" t="n">
        <v>294</v>
      </c>
      <c r="O292" s="7"/>
    </row>
    <row r="293" s="1" customFormat="true" ht="14.25" hidden="false" customHeight="false" outlineLevel="0" collapsed="false">
      <c r="A293" s="59" t="n">
        <v>54</v>
      </c>
      <c r="B293" s="59" t="s">
        <v>113</v>
      </c>
      <c r="C293" s="59" t="s">
        <v>86</v>
      </c>
      <c r="D293" s="59" t="n">
        <v>93202</v>
      </c>
      <c r="E293" s="60" t="n">
        <v>200025888730</v>
      </c>
      <c r="F293" s="61" t="s">
        <v>118</v>
      </c>
      <c r="G293" s="60" t="n">
        <v>230134</v>
      </c>
      <c r="H293" s="84" t="n">
        <v>45435.9417708333</v>
      </c>
      <c r="I293" s="59" t="n">
        <v>29</v>
      </c>
      <c r="J293" s="59" t="n">
        <v>0</v>
      </c>
      <c r="K293" s="59" t="n">
        <v>7</v>
      </c>
      <c r="L293" s="61" t="s">
        <v>118</v>
      </c>
      <c r="M293" s="59" t="n">
        <v>29</v>
      </c>
      <c r="N293" s="59" t="n">
        <v>295</v>
      </c>
      <c r="O293" s="7"/>
    </row>
    <row r="294" s="1" customFormat="true" ht="14.25" hidden="false" customHeight="false" outlineLevel="0" collapsed="false">
      <c r="A294" s="59" t="n">
        <v>55</v>
      </c>
      <c r="B294" s="59" t="s">
        <v>113</v>
      </c>
      <c r="C294" s="59" t="s">
        <v>86</v>
      </c>
      <c r="D294" s="59" t="n">
        <v>93202</v>
      </c>
      <c r="E294" s="60" t="n">
        <v>200025888730</v>
      </c>
      <c r="F294" s="61" t="s">
        <v>118</v>
      </c>
      <c r="G294" s="60" t="n">
        <v>230134</v>
      </c>
      <c r="H294" s="84" t="n">
        <v>45435.9450694444</v>
      </c>
      <c r="I294" s="59" t="n">
        <v>29</v>
      </c>
      <c r="J294" s="59" t="n">
        <v>0</v>
      </c>
      <c r="K294" s="59" t="n">
        <v>8</v>
      </c>
      <c r="L294" s="61" t="s">
        <v>118</v>
      </c>
      <c r="M294" s="59" t="n">
        <v>29</v>
      </c>
      <c r="N294" s="59" t="n">
        <v>296</v>
      </c>
      <c r="O294" s="7"/>
    </row>
    <row r="295" s="1" customFormat="true" ht="14.25" hidden="false" customHeight="false" outlineLevel="0" collapsed="false">
      <c r="A295" s="59" t="n">
        <v>56</v>
      </c>
      <c r="B295" s="59" t="s">
        <v>113</v>
      </c>
      <c r="C295" s="59" t="s">
        <v>86</v>
      </c>
      <c r="D295" s="59" t="n">
        <v>93202</v>
      </c>
      <c r="E295" s="60" t="n">
        <v>200025888730</v>
      </c>
      <c r="F295" s="61" t="s">
        <v>118</v>
      </c>
      <c r="G295" s="60" t="n">
        <v>230134</v>
      </c>
      <c r="H295" s="84" t="n">
        <v>45436.0546990741</v>
      </c>
      <c r="I295" s="59" t="n">
        <v>29</v>
      </c>
      <c r="J295" s="59" t="n">
        <v>0</v>
      </c>
      <c r="K295" s="59" t="n">
        <v>9</v>
      </c>
      <c r="L295" s="61" t="s">
        <v>118</v>
      </c>
      <c r="M295" s="59" t="n">
        <v>29</v>
      </c>
      <c r="N295" s="59" t="n">
        <v>297</v>
      </c>
      <c r="O295" s="7"/>
    </row>
    <row r="296" s="1" customFormat="true" ht="14.25" hidden="false" customHeight="false" outlineLevel="0" collapsed="false">
      <c r="A296" s="59" t="n">
        <v>57</v>
      </c>
      <c r="B296" s="59" t="s">
        <v>113</v>
      </c>
      <c r="C296" s="59" t="s">
        <v>86</v>
      </c>
      <c r="D296" s="59" t="n">
        <v>93202</v>
      </c>
      <c r="E296" s="60" t="n">
        <v>200025888730</v>
      </c>
      <c r="F296" s="61" t="s">
        <v>118</v>
      </c>
      <c r="G296" s="60" t="n">
        <v>230134</v>
      </c>
      <c r="H296" s="84" t="n">
        <v>45436.0548958333</v>
      </c>
      <c r="I296" s="59" t="n">
        <v>29</v>
      </c>
      <c r="J296" s="59" t="n">
        <v>2</v>
      </c>
      <c r="K296" s="59" t="n">
        <v>10</v>
      </c>
      <c r="L296" s="61" t="s">
        <v>118</v>
      </c>
      <c r="M296" s="59" t="n">
        <v>29</v>
      </c>
      <c r="N296" s="59" t="n">
        <v>298</v>
      </c>
      <c r="O296" s="7"/>
    </row>
    <row r="297" s="1" customFormat="true" ht="14.25" hidden="false" customHeight="false" outlineLevel="0" collapsed="false">
      <c r="A297" s="59" t="n">
        <v>58</v>
      </c>
      <c r="B297" s="59" t="s">
        <v>113</v>
      </c>
      <c r="C297" s="59" t="s">
        <v>86</v>
      </c>
      <c r="D297" s="59" t="n">
        <v>93202</v>
      </c>
      <c r="E297" s="60" t="n">
        <v>200025888730</v>
      </c>
      <c r="F297" s="61" t="s">
        <v>118</v>
      </c>
      <c r="G297" s="60" t="n">
        <v>230134</v>
      </c>
      <c r="H297" s="84" t="n">
        <v>45436.0565972222</v>
      </c>
      <c r="I297" s="59" t="n">
        <v>29</v>
      </c>
      <c r="J297" s="59" t="n">
        <v>0</v>
      </c>
      <c r="K297" s="59" t="n">
        <v>11</v>
      </c>
      <c r="L297" s="61" t="s">
        <v>118</v>
      </c>
      <c r="M297" s="59" t="n">
        <v>29</v>
      </c>
      <c r="N297" s="59" t="n">
        <v>299</v>
      </c>
      <c r="O297" s="7"/>
    </row>
    <row r="298" s="1" customFormat="true" ht="14.25" hidden="false" customHeight="false" outlineLevel="0" collapsed="false">
      <c r="A298" s="59" t="n">
        <v>59</v>
      </c>
      <c r="B298" s="59" t="s">
        <v>113</v>
      </c>
      <c r="C298" s="59" t="s">
        <v>86</v>
      </c>
      <c r="D298" s="59" t="n">
        <v>93202</v>
      </c>
      <c r="E298" s="60" t="n">
        <v>200025888730</v>
      </c>
      <c r="F298" s="61" t="s">
        <v>118</v>
      </c>
      <c r="G298" s="60" t="n">
        <v>230134</v>
      </c>
      <c r="H298" s="84" t="n">
        <v>45436.0571064815</v>
      </c>
      <c r="I298" s="59" t="n">
        <v>29</v>
      </c>
      <c r="J298" s="59" t="n">
        <v>1</v>
      </c>
      <c r="K298" s="59" t="n">
        <v>12</v>
      </c>
      <c r="L298" s="61" t="s">
        <v>118</v>
      </c>
      <c r="M298" s="59" t="n">
        <v>29</v>
      </c>
      <c r="N298" s="59" t="n">
        <v>300</v>
      </c>
      <c r="O298" s="7"/>
    </row>
    <row r="299" s="1" customFormat="true" ht="14.25" hidden="false" customHeight="false" outlineLevel="0" collapsed="false">
      <c r="A299" s="59" t="n">
        <v>60</v>
      </c>
      <c r="B299" s="59" t="s">
        <v>113</v>
      </c>
      <c r="C299" s="59" t="s">
        <v>86</v>
      </c>
      <c r="D299" s="59" t="n">
        <v>93202</v>
      </c>
      <c r="E299" s="60" t="n">
        <v>200025888730</v>
      </c>
      <c r="F299" s="61" t="s">
        <v>118</v>
      </c>
      <c r="G299" s="60" t="n">
        <v>230134</v>
      </c>
      <c r="H299" s="84" t="n">
        <v>45436.0572337963</v>
      </c>
      <c r="I299" s="59" t="n">
        <v>29</v>
      </c>
      <c r="J299" s="59" t="n">
        <v>0</v>
      </c>
      <c r="K299" s="59" t="n">
        <v>13</v>
      </c>
      <c r="L299" s="61" t="s">
        <v>118</v>
      </c>
      <c r="M299" s="59" t="n">
        <v>29</v>
      </c>
      <c r="N299" s="59" t="n">
        <v>301</v>
      </c>
      <c r="O299" s="7"/>
    </row>
    <row r="300" s="1" customFormat="true" ht="14.25" hidden="false" customHeight="false" outlineLevel="0" collapsed="false">
      <c r="A300" s="59" t="n">
        <v>61</v>
      </c>
      <c r="B300" s="59" t="s">
        <v>113</v>
      </c>
      <c r="C300" s="59" t="s">
        <v>86</v>
      </c>
      <c r="D300" s="59" t="n">
        <v>93202</v>
      </c>
      <c r="E300" s="60" t="n">
        <v>200025888730</v>
      </c>
      <c r="F300" s="61" t="s">
        <v>118</v>
      </c>
      <c r="G300" s="60" t="n">
        <v>230134</v>
      </c>
      <c r="H300" s="84" t="n">
        <v>45436.0574074074</v>
      </c>
      <c r="I300" s="59" t="n">
        <v>29</v>
      </c>
      <c r="J300" s="59" t="n">
        <v>1</v>
      </c>
      <c r="K300" s="59" t="n">
        <v>14</v>
      </c>
      <c r="L300" s="61" t="s">
        <v>118</v>
      </c>
      <c r="M300" s="59" t="n">
        <v>29</v>
      </c>
      <c r="N300" s="59" t="n">
        <v>302</v>
      </c>
      <c r="O300" s="7"/>
    </row>
    <row r="301" s="1" customFormat="true" ht="14.25" hidden="false" customHeight="false" outlineLevel="0" collapsed="false">
      <c r="A301" s="59" t="n">
        <v>62</v>
      </c>
      <c r="B301" s="59" t="s">
        <v>113</v>
      </c>
      <c r="C301" s="59" t="s">
        <v>86</v>
      </c>
      <c r="D301" s="59" t="n">
        <v>93202</v>
      </c>
      <c r="E301" s="60" t="n">
        <v>200025888730</v>
      </c>
      <c r="F301" s="61" t="s">
        <v>118</v>
      </c>
      <c r="G301" s="60" t="n">
        <v>230134</v>
      </c>
      <c r="H301" s="84" t="n">
        <v>45436.0578587963</v>
      </c>
      <c r="I301" s="59" t="n">
        <v>29</v>
      </c>
      <c r="J301" s="59" t="n">
        <v>2</v>
      </c>
      <c r="K301" s="59" t="n">
        <v>15</v>
      </c>
      <c r="L301" s="61" t="s">
        <v>118</v>
      </c>
      <c r="M301" s="59" t="n">
        <v>29</v>
      </c>
      <c r="N301" s="59" t="n">
        <v>303</v>
      </c>
      <c r="O301" s="7"/>
    </row>
    <row r="302" s="1" customFormat="true" ht="14.25" hidden="false" customHeight="false" outlineLevel="0" collapsed="false">
      <c r="A302" s="59" t="n">
        <v>63</v>
      </c>
      <c r="B302" s="59" t="s">
        <v>113</v>
      </c>
      <c r="C302" s="59" t="s">
        <v>86</v>
      </c>
      <c r="D302" s="59" t="n">
        <v>93202</v>
      </c>
      <c r="E302" s="60" t="n">
        <v>200025888730</v>
      </c>
      <c r="F302" s="61" t="s">
        <v>118</v>
      </c>
      <c r="G302" s="60" t="n">
        <v>230134</v>
      </c>
      <c r="H302" s="84" t="n">
        <v>45436.0615393518</v>
      </c>
      <c r="I302" s="59" t="n">
        <v>29</v>
      </c>
      <c r="J302" s="59" t="n">
        <v>1</v>
      </c>
      <c r="K302" s="59" t="n">
        <v>16</v>
      </c>
      <c r="L302" s="61" t="s">
        <v>118</v>
      </c>
      <c r="M302" s="59" t="n">
        <v>29</v>
      </c>
      <c r="N302" s="59" t="n">
        <v>304</v>
      </c>
      <c r="O302" s="7"/>
    </row>
    <row r="303" s="1" customFormat="true" ht="14.25" hidden="false" customHeight="false" outlineLevel="0" collapsed="false">
      <c r="A303" s="59" t="n">
        <v>44</v>
      </c>
      <c r="B303" s="59" t="s">
        <v>113</v>
      </c>
      <c r="C303" s="59" t="s">
        <v>86</v>
      </c>
      <c r="D303" s="59" t="n">
        <v>93202</v>
      </c>
      <c r="E303" s="60" t="n">
        <v>200025889030</v>
      </c>
      <c r="F303" s="61" t="s">
        <v>119</v>
      </c>
      <c r="G303" s="60" t="n">
        <v>220220</v>
      </c>
      <c r="H303" s="84" t="n">
        <v>45435.8943055556</v>
      </c>
      <c r="I303" s="59" t="n">
        <v>30</v>
      </c>
      <c r="J303" s="59" t="n">
        <v>454</v>
      </c>
      <c r="K303" s="59" t="n">
        <v>1</v>
      </c>
      <c r="L303" s="61" t="s">
        <v>119</v>
      </c>
      <c r="M303" s="59" t="n">
        <v>30</v>
      </c>
      <c r="N303" s="59" t="n">
        <v>285</v>
      </c>
      <c r="O303" s="7"/>
    </row>
    <row r="304" s="1" customFormat="true" ht="14.25" hidden="false" customHeight="false" outlineLevel="0" collapsed="false">
      <c r="A304" s="59" t="n">
        <v>46</v>
      </c>
      <c r="B304" s="59" t="s">
        <v>113</v>
      </c>
      <c r="C304" s="59" t="s">
        <v>86</v>
      </c>
      <c r="D304" s="59" t="n">
        <v>93202</v>
      </c>
      <c r="E304" s="60" t="n">
        <v>200025889448</v>
      </c>
      <c r="F304" s="61" t="s">
        <v>120</v>
      </c>
      <c r="G304" s="60" t="n">
        <v>230135</v>
      </c>
      <c r="H304" s="84" t="n">
        <v>45435.9189583333</v>
      </c>
      <c r="I304" s="59" t="n">
        <v>31</v>
      </c>
      <c r="J304" s="59" t="n">
        <v>0</v>
      </c>
      <c r="K304" s="59" t="n">
        <v>1</v>
      </c>
      <c r="L304" s="61" t="s">
        <v>120</v>
      </c>
      <c r="M304" s="59" t="n">
        <v>31</v>
      </c>
      <c r="N304" s="59" t="n">
        <v>287</v>
      </c>
      <c r="O304" s="7"/>
    </row>
    <row r="305" s="1" customFormat="true" ht="14.25" hidden="false" customHeight="false" outlineLevel="0" collapsed="false">
      <c r="A305" s="59" t="n">
        <v>47</v>
      </c>
      <c r="B305" s="59" t="s">
        <v>113</v>
      </c>
      <c r="C305" s="59" t="s">
        <v>86</v>
      </c>
      <c r="D305" s="59" t="n">
        <v>93202</v>
      </c>
      <c r="E305" s="60" t="n">
        <v>200025889448</v>
      </c>
      <c r="F305" s="61" t="s">
        <v>120</v>
      </c>
      <c r="G305" s="60" t="n">
        <v>230135</v>
      </c>
      <c r="H305" s="84" t="n">
        <v>45435.9189583333</v>
      </c>
      <c r="I305" s="59" t="n">
        <v>31</v>
      </c>
      <c r="J305" s="59" t="n">
        <v>1</v>
      </c>
      <c r="K305" s="59" t="n">
        <v>2</v>
      </c>
      <c r="L305" s="61" t="s">
        <v>120</v>
      </c>
      <c r="M305" s="59" t="n">
        <v>31</v>
      </c>
      <c r="N305" s="59" t="n">
        <v>288</v>
      </c>
      <c r="O305" s="7"/>
    </row>
    <row r="306" s="1" customFormat="true" ht="14.25" hidden="false" customHeight="false" outlineLevel="0" collapsed="false">
      <c r="A306" s="59" t="n">
        <v>48</v>
      </c>
      <c r="B306" s="59" t="s">
        <v>113</v>
      </c>
      <c r="C306" s="59" t="s">
        <v>86</v>
      </c>
      <c r="D306" s="59" t="n">
        <v>93202</v>
      </c>
      <c r="E306" s="60" t="n">
        <v>200025889448</v>
      </c>
      <c r="F306" s="61" t="s">
        <v>120</v>
      </c>
      <c r="G306" s="60" t="n">
        <v>230135</v>
      </c>
      <c r="H306" s="84" t="n">
        <v>45435.9194791667</v>
      </c>
      <c r="I306" s="59" t="n">
        <v>31</v>
      </c>
      <c r="J306" s="59" t="n">
        <v>2</v>
      </c>
      <c r="K306" s="59" t="n">
        <v>3</v>
      </c>
      <c r="L306" s="61" t="s">
        <v>120</v>
      </c>
      <c r="M306" s="59" t="n">
        <v>31</v>
      </c>
      <c r="N306" s="59" t="n">
        <v>289</v>
      </c>
      <c r="O306" s="7"/>
    </row>
    <row r="307" s="1" customFormat="true" ht="14.25" hidden="false" customHeight="false" outlineLevel="0" collapsed="false">
      <c r="A307" s="59" t="n">
        <v>49</v>
      </c>
      <c r="B307" s="59" t="s">
        <v>113</v>
      </c>
      <c r="C307" s="59" t="s">
        <v>86</v>
      </c>
      <c r="D307" s="59" t="n">
        <v>93202</v>
      </c>
      <c r="E307" s="60" t="n">
        <v>200025889448</v>
      </c>
      <c r="F307" s="61" t="s">
        <v>120</v>
      </c>
      <c r="G307" s="60" t="n">
        <v>230135</v>
      </c>
      <c r="H307" s="84" t="n">
        <v>45435.9196527778</v>
      </c>
      <c r="I307" s="59" t="n">
        <v>31</v>
      </c>
      <c r="J307" s="59" t="n">
        <v>1</v>
      </c>
      <c r="K307" s="59" t="n">
        <v>4</v>
      </c>
      <c r="L307" s="61" t="s">
        <v>120</v>
      </c>
      <c r="M307" s="59" t="n">
        <v>31</v>
      </c>
      <c r="N307" s="59" t="n">
        <v>290</v>
      </c>
      <c r="O307" s="7"/>
    </row>
    <row r="308" s="1" customFormat="true" ht="14.25" hidden="false" customHeight="false" outlineLevel="0" collapsed="false">
      <c r="A308" s="59" t="n">
        <v>50</v>
      </c>
      <c r="B308" s="59" t="s">
        <v>113</v>
      </c>
      <c r="C308" s="59" t="s">
        <v>86</v>
      </c>
      <c r="D308" s="59" t="n">
        <v>93202</v>
      </c>
      <c r="E308" s="60" t="n">
        <v>200025889448</v>
      </c>
      <c r="F308" s="61" t="s">
        <v>120</v>
      </c>
      <c r="G308" s="60" t="n">
        <v>230135</v>
      </c>
      <c r="H308" s="84" t="n">
        <v>45435.9196643519</v>
      </c>
      <c r="I308" s="59" t="n">
        <v>31</v>
      </c>
      <c r="J308" s="59" t="n">
        <v>1830</v>
      </c>
      <c r="K308" s="59" t="n">
        <v>5</v>
      </c>
      <c r="L308" s="61" t="s">
        <v>120</v>
      </c>
      <c r="M308" s="59" t="n">
        <v>31</v>
      </c>
      <c r="N308" s="59" t="n">
        <v>291</v>
      </c>
      <c r="O308" s="7"/>
    </row>
    <row r="309" s="1" customFormat="true" ht="14.25" hidden="false" customHeight="false" outlineLevel="0" collapsed="false">
      <c r="A309" s="59" t="n">
        <v>64</v>
      </c>
      <c r="B309" s="59" t="s">
        <v>113</v>
      </c>
      <c r="C309" s="59" t="s">
        <v>86</v>
      </c>
      <c r="D309" s="59" t="n">
        <v>93202</v>
      </c>
      <c r="E309" s="60" t="n">
        <v>200025889448</v>
      </c>
      <c r="F309" s="61" t="s">
        <v>120</v>
      </c>
      <c r="G309" s="60" t="n">
        <v>230135</v>
      </c>
      <c r="H309" s="84" t="n">
        <v>45436.0827083333</v>
      </c>
      <c r="I309" s="59" t="n">
        <v>31</v>
      </c>
      <c r="J309" s="59" t="n">
        <v>0</v>
      </c>
      <c r="K309" s="59" t="n">
        <v>6</v>
      </c>
      <c r="L309" s="61" t="s">
        <v>120</v>
      </c>
      <c r="M309" s="59" t="n">
        <v>31</v>
      </c>
      <c r="N309" s="59" t="n">
        <v>305</v>
      </c>
      <c r="O309" s="7"/>
    </row>
    <row r="310" s="1" customFormat="true" ht="14.25" hidden="false" customHeight="false" outlineLevel="0" collapsed="false">
      <c r="A310" s="59" t="n">
        <v>65</v>
      </c>
      <c r="B310" s="59" t="s">
        <v>113</v>
      </c>
      <c r="C310" s="59" t="s">
        <v>86</v>
      </c>
      <c r="D310" s="59" t="n">
        <v>93202</v>
      </c>
      <c r="E310" s="60" t="n">
        <v>200025889448</v>
      </c>
      <c r="F310" s="61" t="s">
        <v>120</v>
      </c>
      <c r="G310" s="60" t="n">
        <v>230135</v>
      </c>
      <c r="H310" s="84" t="n">
        <v>45436.0828819444</v>
      </c>
      <c r="I310" s="59" t="n">
        <v>31</v>
      </c>
      <c r="J310" s="59" t="n">
        <v>10</v>
      </c>
      <c r="K310" s="59" t="n">
        <v>7</v>
      </c>
      <c r="L310" s="61" t="s">
        <v>120</v>
      </c>
      <c r="M310" s="59" t="n">
        <v>31</v>
      </c>
      <c r="N310" s="59" t="n">
        <v>306</v>
      </c>
      <c r="O310" s="7"/>
    </row>
    <row r="311" s="1" customFormat="true" ht="14.25" hidden="false" customHeight="false" outlineLevel="0" collapsed="false">
      <c r="A311" s="59" t="n">
        <v>66</v>
      </c>
      <c r="B311" s="59" t="s">
        <v>113</v>
      </c>
      <c r="C311" s="59" t="s">
        <v>86</v>
      </c>
      <c r="D311" s="59" t="n">
        <v>93202</v>
      </c>
      <c r="E311" s="60" t="n">
        <v>200025889448</v>
      </c>
      <c r="F311" s="61" t="s">
        <v>120</v>
      </c>
      <c r="G311" s="60" t="n">
        <v>230135</v>
      </c>
      <c r="H311" s="84" t="n">
        <v>45436.0829976852</v>
      </c>
      <c r="I311" s="59" t="n">
        <v>31</v>
      </c>
      <c r="J311" s="59" t="n">
        <v>1</v>
      </c>
      <c r="K311" s="59" t="n">
        <v>8</v>
      </c>
      <c r="L311" s="61" t="s">
        <v>120</v>
      </c>
      <c r="M311" s="59" t="n">
        <v>31</v>
      </c>
      <c r="N311" s="59" t="n">
        <v>307</v>
      </c>
      <c r="O311" s="7"/>
    </row>
    <row r="312" s="1" customFormat="true" ht="14.25" hidden="false" customHeight="false" outlineLevel="0" collapsed="false">
      <c r="A312" s="59" t="n">
        <v>67</v>
      </c>
      <c r="B312" s="59" t="s">
        <v>113</v>
      </c>
      <c r="C312" s="59" t="s">
        <v>86</v>
      </c>
      <c r="D312" s="59" t="n">
        <v>93202</v>
      </c>
      <c r="E312" s="60" t="n">
        <v>200025889448</v>
      </c>
      <c r="F312" s="61" t="s">
        <v>120</v>
      </c>
      <c r="G312" s="60" t="n">
        <v>230135</v>
      </c>
      <c r="H312" s="84" t="n">
        <v>45436.0852199074</v>
      </c>
      <c r="I312" s="59" t="n">
        <v>31</v>
      </c>
      <c r="J312" s="59" t="n">
        <v>0</v>
      </c>
      <c r="K312" s="59" t="n">
        <v>9</v>
      </c>
      <c r="L312" s="61" t="s">
        <v>120</v>
      </c>
      <c r="M312" s="59" t="n">
        <v>31</v>
      </c>
      <c r="N312" s="59" t="n">
        <v>308</v>
      </c>
      <c r="O312" s="7"/>
    </row>
    <row r="313" s="1" customFormat="true" ht="14.25" hidden="false" customHeight="false" outlineLevel="0" collapsed="false">
      <c r="A313" s="59" t="n">
        <v>68</v>
      </c>
      <c r="B313" s="59" t="s">
        <v>113</v>
      </c>
      <c r="C313" s="59" t="s">
        <v>86</v>
      </c>
      <c r="D313" s="59" t="n">
        <v>93202</v>
      </c>
      <c r="E313" s="60" t="n">
        <v>200025889448</v>
      </c>
      <c r="F313" s="61" t="s">
        <v>120</v>
      </c>
      <c r="G313" s="60" t="n">
        <v>230135</v>
      </c>
      <c r="H313" s="84" t="n">
        <v>45436.0852314815</v>
      </c>
      <c r="I313" s="59" t="n">
        <v>31</v>
      </c>
      <c r="J313" s="59" t="n">
        <v>1291</v>
      </c>
      <c r="K313" s="59" t="n">
        <v>10</v>
      </c>
      <c r="L313" s="61" t="s">
        <v>120</v>
      </c>
      <c r="M313" s="59" t="n">
        <v>31</v>
      </c>
      <c r="N313" s="59" t="n">
        <v>309</v>
      </c>
      <c r="O313" s="7"/>
    </row>
    <row r="314" s="1" customFormat="true" ht="14.25" hidden="false" customHeight="false" outlineLevel="0" collapsed="false">
      <c r="E314" s="55"/>
      <c r="F314" s="56"/>
      <c r="G314" s="55"/>
      <c r="L314" s="56"/>
    </row>
    <row r="315" s="1" customFormat="true" ht="14.25" hidden="false" customHeight="false" outlineLevel="0" collapsed="false">
      <c r="E315" s="55"/>
      <c r="F315" s="56"/>
      <c r="G315" s="55"/>
      <c r="L315" s="56"/>
    </row>
    <row r="316" s="1" customFormat="true" ht="14.25" hidden="false" customHeight="false" outlineLevel="0" collapsed="false">
      <c r="E316" s="55"/>
      <c r="F316" s="56"/>
      <c r="G316" s="55"/>
      <c r="L316" s="56"/>
    </row>
    <row r="317" s="1" customFormat="true" ht="14.25" hidden="false" customHeight="false" outlineLevel="0" collapsed="false">
      <c r="E317" s="55"/>
      <c r="F317" s="56"/>
      <c r="G317" s="55"/>
      <c r="L317" s="56"/>
    </row>
    <row r="318" s="1" customFormat="true" ht="14.25" hidden="false" customHeight="false" outlineLevel="0" collapsed="false">
      <c r="E318" s="55"/>
      <c r="F318" s="56"/>
      <c r="G318" s="55"/>
      <c r="L318" s="56"/>
    </row>
    <row r="319" s="1" customFormat="true" ht="14.25" hidden="false" customHeight="false" outlineLevel="0" collapsed="false">
      <c r="E319" s="55"/>
      <c r="F319" s="56"/>
      <c r="G319" s="55"/>
      <c r="L319" s="56"/>
    </row>
    <row r="320" s="1" customFormat="true" ht="14.25" hidden="false" customHeight="false" outlineLevel="0" collapsed="false">
      <c r="E320" s="55"/>
      <c r="F320" s="56"/>
      <c r="G320" s="55"/>
      <c r="L320" s="56"/>
    </row>
    <row r="321" s="1" customFormat="true" ht="14.25" hidden="false" customHeight="false" outlineLevel="0" collapsed="false">
      <c r="E321" s="55"/>
      <c r="F321" s="56"/>
      <c r="G321" s="55"/>
      <c r="L321" s="56"/>
    </row>
    <row r="322" s="1" customFormat="true" ht="14.25" hidden="false" customHeight="false" outlineLevel="0" collapsed="false">
      <c r="E322" s="55"/>
      <c r="F322" s="56"/>
      <c r="G322" s="55"/>
      <c r="L322" s="56"/>
    </row>
    <row r="323" s="1" customFormat="true" ht="14.25" hidden="false" customHeight="false" outlineLevel="0" collapsed="false">
      <c r="E323" s="55"/>
      <c r="F323" s="56"/>
      <c r="G323" s="55"/>
      <c r="L323" s="56"/>
    </row>
    <row r="324" s="1" customFormat="true" ht="14.25" hidden="false" customHeight="false" outlineLevel="0" collapsed="false">
      <c r="E324" s="55"/>
      <c r="F324" s="56"/>
      <c r="G324" s="55"/>
      <c r="L324" s="56"/>
    </row>
    <row r="325" s="1" customFormat="true" ht="14.25" hidden="false" customHeight="false" outlineLevel="0" collapsed="false">
      <c r="E325" s="55"/>
      <c r="F325" s="56"/>
      <c r="G325" s="55"/>
      <c r="L325" s="56"/>
    </row>
    <row r="326" s="1" customFormat="true" ht="14.25" hidden="false" customHeight="false" outlineLevel="0" collapsed="false">
      <c r="E326" s="55"/>
      <c r="F326" s="56"/>
      <c r="G326" s="55"/>
      <c r="L326" s="56"/>
    </row>
    <row r="327" s="1" customFormat="true" ht="14.25" hidden="false" customHeight="false" outlineLevel="0" collapsed="false">
      <c r="E327" s="55"/>
      <c r="F327" s="56"/>
      <c r="G327" s="55"/>
      <c r="L327" s="56"/>
    </row>
    <row r="328" s="1" customFormat="true" ht="14.25" hidden="false" customHeight="false" outlineLevel="0" collapsed="false">
      <c r="E328" s="55"/>
      <c r="F328" s="56"/>
      <c r="G328" s="55"/>
      <c r="L328" s="56"/>
    </row>
    <row r="329" s="1" customFormat="true" ht="14.25" hidden="false" customHeight="false" outlineLevel="0" collapsed="false">
      <c r="E329" s="55"/>
      <c r="F329" s="56"/>
      <c r="G329" s="55"/>
      <c r="L329" s="56"/>
    </row>
    <row r="330" s="1" customFormat="true" ht="14.25" hidden="false" customHeight="false" outlineLevel="0" collapsed="false">
      <c r="E330" s="55"/>
      <c r="F330" s="56"/>
      <c r="G330" s="55"/>
      <c r="L330" s="56"/>
    </row>
    <row r="331" s="1" customFormat="true" ht="14.25" hidden="false" customHeight="false" outlineLevel="0" collapsed="false">
      <c r="E331" s="55"/>
      <c r="F331" s="56"/>
      <c r="G331" s="55"/>
      <c r="L331" s="56"/>
    </row>
    <row r="332" s="1" customFormat="true" ht="14.25" hidden="false" customHeight="false" outlineLevel="0" collapsed="false">
      <c r="E332" s="55"/>
      <c r="F332" s="56"/>
      <c r="G332" s="55"/>
      <c r="L332" s="56"/>
    </row>
    <row r="333" s="1" customFormat="true" ht="14.25" hidden="false" customHeight="false" outlineLevel="0" collapsed="false">
      <c r="E333" s="55"/>
      <c r="F333" s="56"/>
      <c r="G333" s="55"/>
      <c r="L333" s="56"/>
    </row>
    <row r="334" s="1" customFormat="true" ht="14.25" hidden="false" customHeight="false" outlineLevel="0" collapsed="false">
      <c r="E334" s="55"/>
      <c r="F334" s="56"/>
      <c r="G334" s="55"/>
      <c r="L334" s="56"/>
    </row>
    <row r="335" s="1" customFormat="true" ht="14.25" hidden="false" customHeight="false" outlineLevel="0" collapsed="false">
      <c r="E335" s="55"/>
      <c r="F335" s="56"/>
      <c r="G335" s="55"/>
      <c r="L335" s="56"/>
    </row>
    <row r="336" s="1" customFormat="true" ht="14.25" hidden="false" customHeight="false" outlineLevel="0" collapsed="false">
      <c r="E336" s="55"/>
      <c r="F336" s="56"/>
      <c r="G336" s="55"/>
      <c r="L336" s="56"/>
    </row>
    <row r="337" s="1" customFormat="true" ht="14.25" hidden="false" customHeight="false" outlineLevel="0" collapsed="false">
      <c r="E337" s="55"/>
      <c r="F337" s="56"/>
      <c r="G337" s="55"/>
      <c r="L337" s="56"/>
    </row>
    <row r="338" s="1" customFormat="true" ht="14.25" hidden="false" customHeight="false" outlineLevel="0" collapsed="false">
      <c r="E338" s="55"/>
      <c r="F338" s="56"/>
      <c r="G338" s="55"/>
      <c r="L338" s="56"/>
    </row>
    <row r="339" s="1" customFormat="true" ht="14.25" hidden="false" customHeight="false" outlineLevel="0" collapsed="false">
      <c r="E339" s="55"/>
      <c r="F339" s="56"/>
      <c r="G339" s="55"/>
      <c r="L339" s="56"/>
    </row>
    <row r="340" s="1" customFormat="true" ht="14.25" hidden="false" customHeight="false" outlineLevel="0" collapsed="false">
      <c r="E340" s="55"/>
      <c r="F340" s="56"/>
      <c r="G340" s="55"/>
      <c r="L340" s="56"/>
    </row>
    <row r="341" s="1" customFormat="true" ht="14.25" hidden="false" customHeight="false" outlineLevel="0" collapsed="false">
      <c r="E341" s="55"/>
      <c r="F341" s="56"/>
      <c r="G341" s="55"/>
      <c r="L341" s="56"/>
    </row>
    <row r="342" s="1" customFormat="true" ht="14.25" hidden="false" customHeight="false" outlineLevel="0" collapsed="false">
      <c r="E342" s="55"/>
      <c r="F342" s="56"/>
      <c r="G342" s="55"/>
      <c r="L342" s="56"/>
    </row>
    <row r="343" s="1" customFormat="true" ht="14.25" hidden="false" customHeight="false" outlineLevel="0" collapsed="false">
      <c r="E343" s="55"/>
      <c r="F343" s="56"/>
      <c r="G343" s="55"/>
      <c r="L343" s="56"/>
    </row>
    <row r="344" s="1" customFormat="true" ht="14.25" hidden="false" customHeight="false" outlineLevel="0" collapsed="false">
      <c r="E344" s="55"/>
      <c r="F344" s="56"/>
      <c r="G344" s="55"/>
      <c r="L344" s="56"/>
    </row>
    <row r="345" s="1" customFormat="true" ht="14.25" hidden="false" customHeight="false" outlineLevel="0" collapsed="false">
      <c r="E345" s="55"/>
      <c r="F345" s="56"/>
      <c r="G345" s="55"/>
      <c r="L345" s="56"/>
    </row>
    <row r="346" s="1" customFormat="true" ht="14.25" hidden="false" customHeight="false" outlineLevel="0" collapsed="false">
      <c r="E346" s="55"/>
      <c r="F346" s="56"/>
      <c r="G346" s="55"/>
      <c r="L346" s="56"/>
    </row>
    <row r="347" s="1" customFormat="true" ht="14.25" hidden="false" customHeight="false" outlineLevel="0" collapsed="false">
      <c r="E347" s="55"/>
      <c r="F347" s="56"/>
      <c r="G347" s="55"/>
      <c r="L347" s="56"/>
    </row>
    <row r="348" s="1" customFormat="true" ht="14.25" hidden="false" customHeight="false" outlineLevel="0" collapsed="false">
      <c r="E348" s="55"/>
      <c r="F348" s="56"/>
      <c r="G348" s="55"/>
      <c r="L348" s="56"/>
    </row>
    <row r="349" s="1" customFormat="true" ht="14.25" hidden="false" customHeight="false" outlineLevel="0" collapsed="false">
      <c r="E349" s="55"/>
      <c r="F349" s="56"/>
      <c r="G349" s="55"/>
      <c r="L349" s="56"/>
    </row>
    <row r="350" s="1" customFormat="true" ht="14.25" hidden="false" customHeight="false" outlineLevel="0" collapsed="false">
      <c r="E350" s="55"/>
      <c r="F350" s="56"/>
      <c r="G350" s="55"/>
      <c r="L350" s="56"/>
    </row>
    <row r="351" s="1" customFormat="true" ht="14.25" hidden="false" customHeight="false" outlineLevel="0" collapsed="false">
      <c r="E351" s="55"/>
      <c r="F351" s="56"/>
      <c r="G351" s="55"/>
      <c r="L351" s="56"/>
    </row>
    <row r="352" s="1" customFormat="true" ht="14.25" hidden="false" customHeight="false" outlineLevel="0" collapsed="false">
      <c r="E352" s="55"/>
      <c r="F352" s="56"/>
      <c r="G352" s="55"/>
      <c r="L352" s="56"/>
    </row>
    <row r="353" s="1" customFormat="true" ht="14.25" hidden="false" customHeight="false" outlineLevel="0" collapsed="false">
      <c r="E353" s="55"/>
      <c r="F353" s="56"/>
      <c r="G353" s="55"/>
      <c r="L353" s="56"/>
    </row>
    <row r="354" s="1" customFormat="true" ht="14.25" hidden="false" customHeight="false" outlineLevel="0" collapsed="false">
      <c r="E354" s="55"/>
      <c r="F354" s="56"/>
      <c r="G354" s="55"/>
      <c r="L354" s="56"/>
    </row>
    <row r="355" s="1" customFormat="true" ht="14.25" hidden="false" customHeight="false" outlineLevel="0" collapsed="false">
      <c r="E355" s="55"/>
      <c r="F355" s="56"/>
      <c r="G355" s="55"/>
      <c r="L355" s="56"/>
    </row>
    <row r="356" s="1" customFormat="true" ht="14.25" hidden="false" customHeight="false" outlineLevel="0" collapsed="false">
      <c r="E356" s="55"/>
      <c r="F356" s="56"/>
      <c r="G356" s="55"/>
      <c r="L356" s="56"/>
    </row>
    <row r="357" s="1" customFormat="true" ht="14.25" hidden="false" customHeight="false" outlineLevel="0" collapsed="false">
      <c r="E357" s="55"/>
      <c r="F357" s="56"/>
      <c r="G357" s="55"/>
      <c r="L357" s="56"/>
    </row>
    <row r="358" s="1" customFormat="true" ht="14.25" hidden="false" customHeight="false" outlineLevel="0" collapsed="false">
      <c r="E358" s="55"/>
      <c r="F358" s="56"/>
      <c r="G358" s="55"/>
      <c r="L358" s="56"/>
    </row>
    <row r="359" s="1" customFormat="true" ht="14.25" hidden="false" customHeight="false" outlineLevel="0" collapsed="false">
      <c r="E359" s="55"/>
      <c r="F359" s="56"/>
      <c r="G359" s="55"/>
      <c r="L359" s="56"/>
    </row>
    <row r="360" s="1" customFormat="true" ht="14.25" hidden="false" customHeight="false" outlineLevel="0" collapsed="false">
      <c r="E360" s="55"/>
      <c r="F360" s="56"/>
      <c r="G360" s="55"/>
      <c r="L360" s="56"/>
    </row>
    <row r="361" s="1" customFormat="true" ht="14.25" hidden="false" customHeight="false" outlineLevel="0" collapsed="false">
      <c r="E361" s="55"/>
      <c r="F361" s="56"/>
      <c r="G361" s="55"/>
      <c r="L361" s="56"/>
    </row>
    <row r="362" s="1" customFormat="true" ht="14.25" hidden="false" customHeight="false" outlineLevel="0" collapsed="false">
      <c r="E362" s="55"/>
      <c r="F362" s="56"/>
      <c r="G362" s="55"/>
      <c r="L362" s="56"/>
    </row>
    <row r="363" s="1" customFormat="true" ht="14.25" hidden="false" customHeight="false" outlineLevel="0" collapsed="false">
      <c r="E363" s="55"/>
      <c r="F363" s="56"/>
      <c r="G363" s="55"/>
      <c r="L363" s="56"/>
    </row>
    <row r="364" s="1" customFormat="true" ht="14.25" hidden="false" customHeight="false" outlineLevel="0" collapsed="false">
      <c r="E364" s="55"/>
      <c r="F364" s="56"/>
      <c r="G364" s="55"/>
      <c r="L364" s="56"/>
    </row>
    <row r="365" s="1" customFormat="true" ht="14.25" hidden="false" customHeight="false" outlineLevel="0" collapsed="false">
      <c r="E365" s="55"/>
      <c r="F365" s="56"/>
      <c r="G365" s="55"/>
      <c r="L365" s="56"/>
    </row>
    <row r="366" s="1" customFormat="true" ht="14.25" hidden="false" customHeight="false" outlineLevel="0" collapsed="false">
      <c r="E366" s="55"/>
      <c r="F366" s="56"/>
      <c r="G366" s="55"/>
      <c r="L366" s="56"/>
    </row>
    <row r="367" s="1" customFormat="true" ht="14.25" hidden="false" customHeight="false" outlineLevel="0" collapsed="false">
      <c r="E367" s="55"/>
      <c r="F367" s="56"/>
      <c r="G367" s="55"/>
      <c r="L367" s="56"/>
    </row>
    <row r="368" s="1" customFormat="true" ht="14.25" hidden="false" customHeight="false" outlineLevel="0" collapsed="false">
      <c r="E368" s="55"/>
      <c r="F368" s="56"/>
      <c r="G368" s="55"/>
      <c r="L368" s="56"/>
    </row>
    <row r="369" s="1" customFormat="true" ht="14.25" hidden="false" customHeight="false" outlineLevel="0" collapsed="false">
      <c r="E369" s="55"/>
      <c r="F369" s="56"/>
      <c r="G369" s="55"/>
      <c r="L369" s="56"/>
    </row>
    <row r="370" s="1" customFormat="true" ht="14.25" hidden="false" customHeight="false" outlineLevel="0" collapsed="false">
      <c r="E370" s="55"/>
      <c r="F370" s="56"/>
      <c r="G370" s="55"/>
      <c r="L370" s="56"/>
    </row>
    <row r="371" s="1" customFormat="true" ht="14.25" hidden="false" customHeight="false" outlineLevel="0" collapsed="false">
      <c r="E371" s="55"/>
      <c r="F371" s="56"/>
      <c r="G371" s="55"/>
      <c r="L371" s="56"/>
    </row>
    <row r="372" s="1" customFormat="true" ht="14.25" hidden="false" customHeight="false" outlineLevel="0" collapsed="false">
      <c r="E372" s="55"/>
      <c r="F372" s="56"/>
      <c r="G372" s="55"/>
      <c r="L372" s="56"/>
    </row>
    <row r="373" s="1" customFormat="true" ht="14.25" hidden="false" customHeight="false" outlineLevel="0" collapsed="false">
      <c r="E373" s="55"/>
      <c r="F373" s="56"/>
      <c r="G373" s="55"/>
      <c r="L373" s="56"/>
    </row>
    <row r="374" s="1" customFormat="true" ht="14.25" hidden="false" customHeight="false" outlineLevel="0" collapsed="false">
      <c r="E374" s="55"/>
      <c r="F374" s="56"/>
      <c r="G374" s="55"/>
      <c r="L374" s="56"/>
    </row>
    <row r="375" s="1" customFormat="true" ht="14.25" hidden="false" customHeight="false" outlineLevel="0" collapsed="false">
      <c r="E375" s="55"/>
      <c r="F375" s="56"/>
      <c r="G375" s="55"/>
      <c r="L375" s="56"/>
    </row>
    <row r="376" s="1" customFormat="true" ht="14.25" hidden="false" customHeight="false" outlineLevel="0" collapsed="false">
      <c r="E376" s="55"/>
      <c r="F376" s="56"/>
      <c r="G376" s="55"/>
      <c r="L376" s="56"/>
    </row>
    <row r="377" s="1" customFormat="true" ht="14.25" hidden="false" customHeight="false" outlineLevel="0" collapsed="false">
      <c r="E377" s="55"/>
      <c r="F377" s="56"/>
      <c r="G377" s="55"/>
      <c r="L377" s="56"/>
    </row>
    <row r="378" s="1" customFormat="true" ht="14.25" hidden="false" customHeight="false" outlineLevel="0" collapsed="false">
      <c r="E378" s="55"/>
      <c r="F378" s="56"/>
      <c r="G378" s="55"/>
      <c r="L378" s="56"/>
    </row>
    <row r="379" s="1" customFormat="true" ht="14.25" hidden="false" customHeight="false" outlineLevel="0" collapsed="false">
      <c r="E379" s="55"/>
      <c r="F379" s="56"/>
      <c r="G379" s="55"/>
      <c r="L379" s="56"/>
    </row>
    <row r="380" s="1" customFormat="true" ht="14.25" hidden="false" customHeight="false" outlineLevel="0" collapsed="false">
      <c r="E380" s="55"/>
      <c r="F380" s="56"/>
      <c r="G380" s="55"/>
      <c r="L380" s="56"/>
    </row>
    <row r="381" s="1" customFormat="true" ht="14.25" hidden="false" customHeight="false" outlineLevel="0" collapsed="false">
      <c r="E381" s="55"/>
      <c r="F381" s="56"/>
      <c r="G381" s="55"/>
      <c r="L381" s="56"/>
    </row>
    <row r="382" s="1" customFormat="true" ht="14.25" hidden="false" customHeight="false" outlineLevel="0" collapsed="false">
      <c r="E382" s="55"/>
      <c r="F382" s="56"/>
      <c r="G382" s="55"/>
      <c r="L382" s="56"/>
    </row>
    <row r="383" s="1" customFormat="true" ht="14.25" hidden="false" customHeight="false" outlineLevel="0" collapsed="false">
      <c r="E383" s="55"/>
      <c r="F383" s="56"/>
      <c r="G383" s="55"/>
      <c r="L383" s="56"/>
    </row>
    <row r="384" s="1" customFormat="true" ht="14.25" hidden="false" customHeight="false" outlineLevel="0" collapsed="false">
      <c r="E384" s="55"/>
      <c r="F384" s="56"/>
      <c r="G384" s="55"/>
      <c r="L384" s="56"/>
    </row>
    <row r="385" s="1" customFormat="true" ht="14.25" hidden="false" customHeight="false" outlineLevel="0" collapsed="false">
      <c r="E385" s="55"/>
      <c r="F385" s="56"/>
      <c r="G385" s="55"/>
      <c r="L385" s="56"/>
    </row>
    <row r="386" s="1" customFormat="true" ht="14.25" hidden="false" customHeight="false" outlineLevel="0" collapsed="false">
      <c r="E386" s="55"/>
      <c r="F386" s="56"/>
      <c r="G386" s="55"/>
      <c r="L386" s="56"/>
    </row>
    <row r="387" s="1" customFormat="true" ht="14.25" hidden="false" customHeight="false" outlineLevel="0" collapsed="false">
      <c r="E387" s="55"/>
      <c r="F387" s="56"/>
      <c r="G387" s="55"/>
      <c r="L387" s="56"/>
    </row>
    <row r="388" s="1" customFormat="true" ht="14.25" hidden="false" customHeight="false" outlineLevel="0" collapsed="false">
      <c r="E388" s="55"/>
      <c r="F388" s="56"/>
      <c r="G388" s="55"/>
      <c r="L388" s="56"/>
    </row>
    <row r="389" s="1" customFormat="true" ht="14.25" hidden="false" customHeight="false" outlineLevel="0" collapsed="false">
      <c r="E389" s="55"/>
      <c r="F389" s="56"/>
      <c r="G389" s="55"/>
      <c r="L389" s="56"/>
    </row>
    <row r="390" s="1" customFormat="true" ht="14.25" hidden="false" customHeight="false" outlineLevel="0" collapsed="false">
      <c r="E390" s="55"/>
      <c r="F390" s="56"/>
      <c r="G390" s="55"/>
      <c r="L390" s="56"/>
    </row>
    <row r="391" s="1" customFormat="true" ht="14.25" hidden="false" customHeight="false" outlineLevel="0" collapsed="false">
      <c r="E391" s="55"/>
      <c r="F391" s="56"/>
      <c r="G391" s="55"/>
      <c r="L391" s="56"/>
    </row>
    <row r="392" s="1" customFormat="true" ht="14.25" hidden="false" customHeight="false" outlineLevel="0" collapsed="false">
      <c r="E392" s="55"/>
      <c r="F392" s="56"/>
      <c r="G392" s="55"/>
      <c r="L392" s="56"/>
    </row>
    <row r="393" s="1" customFormat="true" ht="14.25" hidden="false" customHeight="false" outlineLevel="0" collapsed="false">
      <c r="E393" s="55"/>
      <c r="F393" s="56"/>
      <c r="G393" s="55"/>
      <c r="L393" s="56"/>
    </row>
    <row r="394" s="1" customFormat="true" ht="14.25" hidden="false" customHeight="false" outlineLevel="0" collapsed="false">
      <c r="E394" s="55"/>
      <c r="F394" s="56"/>
      <c r="G394" s="55"/>
      <c r="L394" s="56"/>
    </row>
    <row r="395" s="1" customFormat="true" ht="14.25" hidden="false" customHeight="false" outlineLevel="0" collapsed="false">
      <c r="E395" s="55"/>
      <c r="F395" s="56"/>
      <c r="G395" s="55"/>
      <c r="L395" s="56"/>
    </row>
    <row r="396" s="1" customFormat="true" ht="14.25" hidden="false" customHeight="false" outlineLevel="0" collapsed="false">
      <c r="E396" s="55"/>
      <c r="F396" s="56"/>
      <c r="G396" s="55"/>
      <c r="L396" s="56"/>
    </row>
    <row r="397" s="1" customFormat="true" ht="14.25" hidden="false" customHeight="false" outlineLevel="0" collapsed="false">
      <c r="E397" s="55"/>
      <c r="F397" s="56"/>
      <c r="G397" s="55"/>
      <c r="L397" s="56"/>
    </row>
    <row r="398" s="1" customFormat="true" ht="14.25" hidden="false" customHeight="false" outlineLevel="0" collapsed="false">
      <c r="E398" s="55"/>
      <c r="F398" s="56"/>
      <c r="G398" s="55"/>
      <c r="L398" s="56"/>
    </row>
    <row r="399" s="1" customFormat="true" ht="14.25" hidden="false" customHeight="false" outlineLevel="0" collapsed="false">
      <c r="E399" s="55"/>
      <c r="F399" s="56"/>
      <c r="G399" s="55"/>
      <c r="L399" s="56"/>
    </row>
    <row r="400" s="1" customFormat="true" ht="14.25" hidden="false" customHeight="false" outlineLevel="0" collapsed="false">
      <c r="E400" s="55"/>
      <c r="F400" s="56"/>
      <c r="G400" s="55"/>
      <c r="L400" s="56"/>
    </row>
    <row r="401" s="1" customFormat="true" ht="14.25" hidden="false" customHeight="false" outlineLevel="0" collapsed="false">
      <c r="E401" s="55"/>
      <c r="F401" s="56"/>
      <c r="G401" s="55"/>
      <c r="L401" s="56"/>
    </row>
    <row r="402" s="1" customFormat="true" ht="14.25" hidden="false" customHeight="false" outlineLevel="0" collapsed="false">
      <c r="E402" s="55"/>
      <c r="F402" s="56"/>
      <c r="G402" s="55"/>
      <c r="L402" s="56"/>
    </row>
    <row r="403" s="1" customFormat="true" ht="14.25" hidden="false" customHeight="false" outlineLevel="0" collapsed="false">
      <c r="E403" s="55"/>
      <c r="F403" s="56"/>
      <c r="G403" s="55"/>
      <c r="L403" s="56"/>
    </row>
    <row r="404" s="1" customFormat="true" ht="14.25" hidden="false" customHeight="false" outlineLevel="0" collapsed="false">
      <c r="E404" s="55"/>
      <c r="F404" s="56"/>
      <c r="G404" s="55"/>
      <c r="L404" s="56"/>
    </row>
    <row r="405" s="1" customFormat="true" ht="14.25" hidden="false" customHeight="false" outlineLevel="0" collapsed="false">
      <c r="E405" s="55"/>
      <c r="F405" s="56"/>
      <c r="G405" s="55"/>
      <c r="L405" s="56"/>
    </row>
    <row r="406" s="1" customFormat="true" ht="14.25" hidden="false" customHeight="false" outlineLevel="0" collapsed="false">
      <c r="E406" s="55"/>
      <c r="F406" s="56"/>
      <c r="G406" s="55"/>
      <c r="L406" s="56"/>
    </row>
    <row r="407" s="1" customFormat="true" ht="14.25" hidden="false" customHeight="false" outlineLevel="0" collapsed="false">
      <c r="E407" s="55"/>
      <c r="F407" s="56"/>
      <c r="G407" s="55"/>
      <c r="L407" s="56"/>
    </row>
    <row r="408" s="1" customFormat="true" ht="14.25" hidden="false" customHeight="false" outlineLevel="0" collapsed="false">
      <c r="E408" s="55"/>
      <c r="F408" s="56"/>
      <c r="G408" s="55"/>
      <c r="L408" s="56"/>
    </row>
    <row r="409" s="1" customFormat="true" ht="14.25" hidden="false" customHeight="false" outlineLevel="0" collapsed="false">
      <c r="E409" s="55"/>
      <c r="F409" s="56"/>
      <c r="G409" s="55"/>
      <c r="L409" s="56"/>
    </row>
    <row r="410" s="1" customFormat="true" ht="14.25" hidden="false" customHeight="false" outlineLevel="0" collapsed="false">
      <c r="E410" s="55"/>
      <c r="F410" s="56"/>
      <c r="G410" s="55"/>
      <c r="L410" s="56"/>
    </row>
    <row r="411" s="1" customFormat="true" ht="14.25" hidden="false" customHeight="false" outlineLevel="0" collapsed="false">
      <c r="E411" s="55"/>
      <c r="F411" s="56"/>
      <c r="G411" s="55"/>
      <c r="L411" s="56"/>
    </row>
    <row r="412" s="1" customFormat="true" ht="14.25" hidden="false" customHeight="false" outlineLevel="0" collapsed="false">
      <c r="E412" s="55"/>
      <c r="F412" s="56"/>
      <c r="G412" s="55"/>
      <c r="L412" s="56"/>
    </row>
    <row r="413" s="1" customFormat="true" ht="14.25" hidden="false" customHeight="false" outlineLevel="0" collapsed="false">
      <c r="E413" s="55"/>
      <c r="F413" s="56"/>
      <c r="G413" s="55"/>
      <c r="L413" s="56"/>
    </row>
    <row r="414" s="1" customFormat="true" ht="14.25" hidden="false" customHeight="false" outlineLevel="0" collapsed="false">
      <c r="E414" s="55"/>
      <c r="F414" s="56"/>
      <c r="G414" s="55"/>
      <c r="L414" s="56"/>
    </row>
    <row r="415" s="1" customFormat="true" ht="14.25" hidden="false" customHeight="false" outlineLevel="0" collapsed="false">
      <c r="E415" s="55"/>
      <c r="F415" s="56"/>
      <c r="G415" s="55"/>
      <c r="L415" s="56"/>
    </row>
    <row r="416" s="1" customFormat="true" ht="14.25" hidden="false" customHeight="false" outlineLevel="0" collapsed="false">
      <c r="E416" s="55"/>
      <c r="F416" s="56"/>
      <c r="G416" s="55"/>
      <c r="L416" s="56"/>
    </row>
    <row r="417" s="1" customFormat="true" ht="14.25" hidden="false" customHeight="false" outlineLevel="0" collapsed="false">
      <c r="E417" s="55"/>
      <c r="F417" s="56"/>
      <c r="G417" s="55"/>
      <c r="L417" s="56"/>
    </row>
    <row r="418" s="1" customFormat="true" ht="14.25" hidden="false" customHeight="false" outlineLevel="0" collapsed="false">
      <c r="E418" s="55"/>
      <c r="F418" s="56"/>
      <c r="G418" s="55"/>
      <c r="L418" s="56"/>
    </row>
    <row r="419" s="1" customFormat="true" ht="14.25" hidden="false" customHeight="false" outlineLevel="0" collapsed="false">
      <c r="E419" s="55"/>
      <c r="F419" s="56"/>
      <c r="G419" s="55"/>
      <c r="L419" s="56"/>
    </row>
    <row r="420" s="1" customFormat="true" ht="14.25" hidden="false" customHeight="false" outlineLevel="0" collapsed="false">
      <c r="E420" s="55"/>
      <c r="F420" s="56"/>
      <c r="G420" s="55"/>
      <c r="L420" s="56"/>
    </row>
    <row r="421" s="1" customFormat="true" ht="14.25" hidden="false" customHeight="false" outlineLevel="0" collapsed="false">
      <c r="E421" s="55"/>
      <c r="F421" s="56"/>
      <c r="G421" s="55"/>
      <c r="L421" s="56"/>
    </row>
    <row r="422" s="1" customFormat="true" ht="14.25" hidden="false" customHeight="false" outlineLevel="0" collapsed="false">
      <c r="E422" s="55"/>
      <c r="F422" s="56"/>
      <c r="G422" s="55"/>
      <c r="L422" s="56"/>
    </row>
    <row r="423" s="1" customFormat="true" ht="14.25" hidden="false" customHeight="false" outlineLevel="0" collapsed="false">
      <c r="E423" s="55"/>
      <c r="F423" s="56"/>
      <c r="G423" s="55"/>
      <c r="L423" s="56"/>
    </row>
    <row r="424" s="1" customFormat="true" ht="14.25" hidden="false" customHeight="false" outlineLevel="0" collapsed="false">
      <c r="E424" s="55"/>
      <c r="F424" s="56"/>
      <c r="G424" s="55"/>
      <c r="L424" s="56"/>
    </row>
    <row r="425" s="1" customFormat="true" ht="14.25" hidden="false" customHeight="false" outlineLevel="0" collapsed="false">
      <c r="E425" s="55"/>
      <c r="F425" s="56"/>
      <c r="G425" s="55"/>
      <c r="L425" s="56"/>
    </row>
    <row r="426" s="1" customFormat="true" ht="14.25" hidden="false" customHeight="false" outlineLevel="0" collapsed="false">
      <c r="E426" s="55"/>
      <c r="F426" s="56"/>
      <c r="G426" s="55"/>
      <c r="L426" s="56"/>
    </row>
    <row r="427" s="1" customFormat="true" ht="14.25" hidden="false" customHeight="false" outlineLevel="0" collapsed="false">
      <c r="E427" s="55"/>
      <c r="F427" s="56"/>
      <c r="G427" s="55"/>
      <c r="L427" s="56"/>
    </row>
    <row r="428" s="1" customFormat="true" ht="14.25" hidden="false" customHeight="false" outlineLevel="0" collapsed="false">
      <c r="E428" s="55"/>
      <c r="F428" s="56"/>
      <c r="G428" s="55"/>
      <c r="L428" s="56"/>
    </row>
    <row r="429" s="1" customFormat="true" ht="14.25" hidden="false" customHeight="false" outlineLevel="0" collapsed="false">
      <c r="E429" s="55"/>
      <c r="F429" s="56"/>
      <c r="G429" s="55"/>
      <c r="L429" s="56"/>
    </row>
    <row r="430" customFormat="false" ht="14.25" hidden="false" customHeight="false" outlineLevel="0" collapsed="false">
      <c r="O430" s="1"/>
    </row>
    <row r="431" customFormat="false" ht="14.25" hidden="false" customHeight="false" outlineLevel="0" collapsed="false">
      <c r="O431" s="1"/>
    </row>
    <row r="432" customFormat="false" ht="14.25" hidden="false" customHeight="false" outlineLevel="0" collapsed="false">
      <c r="O432" s="1"/>
    </row>
    <row r="433" customFormat="false" ht="14.25" hidden="false" customHeight="false" outlineLevel="0" collapsed="false">
      <c r="O433" s="1"/>
    </row>
    <row r="434" customFormat="false" ht="14.25" hidden="false" customHeight="false" outlineLevel="0" collapsed="false">
      <c r="O434" s="1"/>
    </row>
  </sheetData>
  <autoFilter ref="A1:O93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27"/>
  <sheetViews>
    <sheetView showFormulas="false" showGridLines="true" showRowColHeaders="true" showZeros="true" rightToLeft="false" tabSelected="false" showOutlineSymbols="true" defaultGridColor="true" view="normal" topLeftCell="AH1" colorId="64" zoomScale="100" zoomScaleNormal="100" zoomScalePageLayoutView="100" workbookViewId="0">
      <pane xSplit="0" ySplit="4" topLeftCell="A5" activePane="bottomLeft" state="frozen"/>
      <selection pane="topLeft" activeCell="AH1" activeCellId="0" sqref="AH1"/>
      <selection pane="bottomLeft" activeCell="AL26" activeCellId="0" sqref="AL26"/>
    </sheetView>
  </sheetViews>
  <sheetFormatPr defaultColWidth="10.679687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3" min="3" style="1" width="6.67"/>
    <col collapsed="false" customWidth="true" hidden="false" outlineLevel="0" max="4" min="4" style="1" width="10.33"/>
    <col collapsed="false" customWidth="true" hidden="false" outlineLevel="0" max="6" min="6" style="12" width="7.88"/>
    <col collapsed="false" customWidth="true" hidden="false" outlineLevel="0" max="9" min="8" style="1" width="8.11"/>
    <col collapsed="false" customWidth="true" hidden="false" outlineLevel="0" max="11" min="11" style="1" width="7.33"/>
    <col collapsed="false" customWidth="true" hidden="false" outlineLevel="0" max="13" min="12" style="1" width="6.88"/>
    <col collapsed="false" customWidth="true" hidden="false" outlineLevel="0" max="14" min="14" style="1" width="7.11"/>
    <col collapsed="false" customWidth="true" hidden="false" outlineLevel="0" max="15" min="15" style="1" width="6.67"/>
    <col collapsed="false" customWidth="true" hidden="false" outlineLevel="0" max="16" min="16" style="1" width="7.11"/>
    <col collapsed="false" customWidth="true" hidden="false" outlineLevel="0" max="17" min="17" style="1" width="9"/>
    <col collapsed="false" customWidth="true" hidden="false" outlineLevel="0" max="18" min="18" style="1" width="7.44"/>
    <col collapsed="false" customWidth="true" hidden="false" outlineLevel="0" max="19" min="19" style="1" width="8"/>
    <col collapsed="false" customWidth="true" hidden="false" outlineLevel="0" max="21" min="20" style="1" width="7.88"/>
    <col collapsed="false" customWidth="true" hidden="false" outlineLevel="0" max="23" min="22" style="1" width="7.67"/>
    <col collapsed="false" customWidth="true" hidden="false" outlineLevel="0" max="24" min="24" style="1" width="7.44"/>
    <col collapsed="false" customWidth="true" hidden="false" outlineLevel="0" max="25" min="25" style="1" width="8.56"/>
    <col collapsed="false" customWidth="true" hidden="false" outlineLevel="0" max="28" min="27" style="1" width="16.67"/>
    <col collapsed="false" customWidth="true" hidden="false" outlineLevel="0" max="29" min="29" style="1" width="13.88"/>
    <col collapsed="false" customWidth="true" hidden="false" outlineLevel="0" max="31" min="31" style="1" width="7.56"/>
    <col collapsed="false" customWidth="true" hidden="false" outlineLevel="0" max="33" min="33" style="1" width="9"/>
    <col collapsed="false" customWidth="true" hidden="false" outlineLevel="0" max="35" min="35" style="7" width="17.44"/>
    <col collapsed="false" customWidth="true" hidden="false" outlineLevel="0" max="36" min="36" style="7" width="7.67"/>
    <col collapsed="false" customWidth="true" hidden="false" outlineLevel="0" max="37" min="37" style="7" width="13.11"/>
    <col collapsed="false" customWidth="true" hidden="false" outlineLevel="0" max="38" min="38" style="7" width="11.56"/>
    <col collapsed="false" customWidth="true" hidden="false" outlineLevel="0" max="40" min="40" style="1" width="11.11"/>
    <col collapsed="false" customWidth="true" hidden="false" outlineLevel="0" max="43" min="43" style="1" width="7.44"/>
    <col collapsed="false" customWidth="true" hidden="false" outlineLevel="0" max="44" min="44" style="85" width="11.56"/>
    <col collapsed="false" customWidth="true" hidden="false" outlineLevel="0" max="45" min="45" style="85" width="8.34"/>
    <col collapsed="false" customWidth="true" hidden="false" outlineLevel="0" max="48" min="48" style="1" width="12.44"/>
    <col collapsed="false" customWidth="true" hidden="false" outlineLevel="0" max="49" min="49" style="12" width="7.67"/>
    <col collapsed="false" customWidth="true" hidden="false" outlineLevel="0" max="50" min="50" style="1" width="13.34"/>
    <col collapsed="false" customWidth="true" hidden="false" outlineLevel="0" max="51" min="51" style="1" width="8.88"/>
  </cols>
  <sheetData>
    <row r="1" customFormat="false" ht="15" hidden="false" customHeight="false" outlineLevel="0" collapsed="false">
      <c r="A1" s="2" t="s">
        <v>0</v>
      </c>
      <c r="B1" s="2"/>
      <c r="AC1" s="86" t="n">
        <v>45433.3125</v>
      </c>
      <c r="AY1" s="2"/>
      <c r="AZ1" s="2"/>
    </row>
    <row r="2" customFormat="false" ht="14.25" hidden="false" customHeight="false" outlineLevel="0" collapsed="false">
      <c r="A2" s="1" t="s">
        <v>121</v>
      </c>
      <c r="S2" s="87" t="n">
        <v>45275</v>
      </c>
      <c r="T2" s="87" t="n">
        <v>45306</v>
      </c>
      <c r="U2" s="87" t="n">
        <v>45337</v>
      </c>
      <c r="V2" s="87" t="n">
        <v>45365</v>
      </c>
      <c r="W2" s="87" t="n">
        <v>45397</v>
      </c>
      <c r="X2" s="87" t="n">
        <v>45429</v>
      </c>
      <c r="Y2" s="87" t="n">
        <v>45457</v>
      </c>
      <c r="AA2" s="88" t="n">
        <f aca="false">SUBTOTAL(3,AA5:AA55)</f>
        <v>31</v>
      </c>
      <c r="AC2" s="86" t="n">
        <v>45433.2930555556</v>
      </c>
      <c r="AD2" s="88" t="n">
        <f aca="false">SUBTOTAL(3,AD5:AD55)</f>
        <v>31</v>
      </c>
      <c r="AM2" s="3" t="n">
        <v>45484</v>
      </c>
      <c r="AN2" s="88" t="n">
        <f aca="false">SUBTOTAL(3,AN5:AN55)</f>
        <v>50</v>
      </c>
      <c r="AO2" s="7"/>
      <c r="AP2" s="7"/>
      <c r="AR2" s="88" t="n">
        <f aca="false">SUBTOTAL(3,AR5:AR55)</f>
        <v>49</v>
      </c>
    </row>
    <row r="3" customFormat="false" ht="15" hidden="false" customHeight="true" outlineLevel="0" collapsed="false">
      <c r="E3" s="89"/>
      <c r="F3" s="89"/>
      <c r="G3" s="90"/>
      <c r="H3" s="90"/>
      <c r="I3" s="90"/>
      <c r="J3" s="90" t="n">
        <v>45433</v>
      </c>
      <c r="K3" s="90"/>
      <c r="L3" s="90"/>
      <c r="M3" s="90"/>
      <c r="N3" s="90"/>
      <c r="O3" s="47" t="s">
        <v>122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91" t="s">
        <v>123</v>
      </c>
      <c r="AA3" s="91"/>
      <c r="AB3" s="91"/>
      <c r="AC3" s="91"/>
      <c r="AD3" s="91"/>
      <c r="AE3" s="91"/>
      <c r="AF3" s="91"/>
      <c r="AG3" s="91"/>
      <c r="AH3" s="92" t="s">
        <v>12</v>
      </c>
      <c r="AI3" s="92"/>
      <c r="AJ3" s="92"/>
      <c r="AK3" s="92"/>
      <c r="AL3" s="92"/>
      <c r="AM3" s="93" t="s">
        <v>124</v>
      </c>
      <c r="AN3" s="93"/>
      <c r="AO3" s="93"/>
      <c r="AP3" s="93"/>
    </row>
    <row r="4" customFormat="false" ht="38.25" hidden="false" customHeight="true" outlineLevel="0" collapsed="false">
      <c r="A4" s="47" t="s">
        <v>67</v>
      </c>
      <c r="B4" s="47" t="s">
        <v>68</v>
      </c>
      <c r="C4" s="47" t="s">
        <v>66</v>
      </c>
      <c r="D4" s="47" t="s">
        <v>69</v>
      </c>
      <c r="E4" s="47" t="s">
        <v>125</v>
      </c>
      <c r="F4" s="47" t="s">
        <v>126</v>
      </c>
      <c r="G4" s="47" t="s">
        <v>127</v>
      </c>
      <c r="H4" s="47" t="s">
        <v>128</v>
      </c>
      <c r="I4" s="47" t="s">
        <v>129</v>
      </c>
      <c r="J4" s="47" t="s">
        <v>130</v>
      </c>
      <c r="K4" s="94" t="s">
        <v>131</v>
      </c>
      <c r="L4" s="94" t="s">
        <v>132</v>
      </c>
      <c r="M4" s="94" t="s">
        <v>133</v>
      </c>
      <c r="N4" s="94" t="s">
        <v>134</v>
      </c>
      <c r="O4" s="47" t="s">
        <v>135</v>
      </c>
      <c r="P4" s="47" t="s">
        <v>136</v>
      </c>
      <c r="Q4" s="47" t="s">
        <v>137</v>
      </c>
      <c r="R4" s="47" t="s">
        <v>138</v>
      </c>
      <c r="S4" s="47" t="s">
        <v>139</v>
      </c>
      <c r="T4" s="47" t="s">
        <v>140</v>
      </c>
      <c r="U4" s="47" t="s">
        <v>141</v>
      </c>
      <c r="V4" s="47" t="s">
        <v>142</v>
      </c>
      <c r="W4" s="47" t="s">
        <v>143</v>
      </c>
      <c r="X4" s="47" t="s">
        <v>144</v>
      </c>
      <c r="Y4" s="47" t="s">
        <v>145</v>
      </c>
      <c r="Z4" s="47" t="s">
        <v>146</v>
      </c>
      <c r="AA4" s="47" t="s">
        <v>147</v>
      </c>
      <c r="AB4" s="47" t="s">
        <v>148</v>
      </c>
      <c r="AC4" s="47" t="s">
        <v>149</v>
      </c>
      <c r="AD4" s="47" t="s">
        <v>150</v>
      </c>
      <c r="AE4" s="47" t="s">
        <v>151</v>
      </c>
      <c r="AF4" s="47" t="s">
        <v>152</v>
      </c>
      <c r="AG4" s="47" t="s">
        <v>153</v>
      </c>
      <c r="AH4" s="95" t="s">
        <v>154</v>
      </c>
      <c r="AI4" s="95" t="s">
        <v>155</v>
      </c>
      <c r="AJ4" s="93" t="s">
        <v>156</v>
      </c>
      <c r="AK4" s="93" t="s">
        <v>157</v>
      </c>
      <c r="AL4" s="93" t="s">
        <v>158</v>
      </c>
      <c r="AM4" s="93" t="s">
        <v>159</v>
      </c>
      <c r="AN4" s="93" t="s">
        <v>160</v>
      </c>
      <c r="AO4" s="93" t="s">
        <v>161</v>
      </c>
      <c r="AP4" s="93" t="s">
        <v>162</v>
      </c>
      <c r="AQ4" s="47" t="s">
        <v>163</v>
      </c>
      <c r="AR4" s="96" t="s">
        <v>164</v>
      </c>
      <c r="AS4" s="96" t="s">
        <v>165</v>
      </c>
      <c r="AT4" s="47" t="s">
        <v>166</v>
      </c>
      <c r="AU4" s="47" t="s">
        <v>167</v>
      </c>
      <c r="AV4" s="47" t="s">
        <v>168</v>
      </c>
      <c r="AW4" s="47" t="s">
        <v>169</v>
      </c>
      <c r="AX4" s="95" t="s">
        <v>170</v>
      </c>
      <c r="AY4" s="47" t="s">
        <v>67</v>
      </c>
      <c r="AZ4" s="47" t="s">
        <v>68</v>
      </c>
    </row>
    <row r="5" customFormat="false" ht="14.25" hidden="false" customHeight="false" outlineLevel="0" collapsed="false">
      <c r="A5" s="97" t="n">
        <v>52</v>
      </c>
      <c r="B5" s="97" t="n">
        <v>230138</v>
      </c>
      <c r="C5" s="98" t="s">
        <v>70</v>
      </c>
      <c r="D5" s="99" t="n">
        <v>88303</v>
      </c>
      <c r="E5" s="100" t="n">
        <v>44864</v>
      </c>
      <c r="F5" s="101" t="n">
        <v>1</v>
      </c>
      <c r="G5" s="102" t="n">
        <v>45277</v>
      </c>
      <c r="H5" s="103" t="n">
        <v>2</v>
      </c>
      <c r="I5" s="104" t="n">
        <v>158</v>
      </c>
      <c r="J5" s="105" t="n">
        <f aca="false">J$3-G5</f>
        <v>156</v>
      </c>
      <c r="K5" s="106" t="n">
        <v>2.75</v>
      </c>
      <c r="L5" s="106" t="n">
        <v>2.75</v>
      </c>
      <c r="M5" s="106" t="n">
        <v>2.25</v>
      </c>
      <c r="N5" s="106" t="n">
        <v>2.5</v>
      </c>
      <c r="O5" s="107"/>
      <c r="P5" s="108" t="n">
        <v>-110</v>
      </c>
      <c r="Q5" s="107"/>
      <c r="R5" s="107"/>
      <c r="S5" s="107"/>
      <c r="T5" s="107"/>
      <c r="U5" s="107"/>
      <c r="V5" s="108" t="n">
        <v>480</v>
      </c>
      <c r="W5" s="108" t="n">
        <v>760</v>
      </c>
      <c r="X5" s="109" t="n">
        <v>700</v>
      </c>
      <c r="Y5" s="109" t="n">
        <v>580</v>
      </c>
      <c r="Z5" s="103" t="n">
        <v>3</v>
      </c>
      <c r="AA5" s="110" t="n">
        <v>45433.8617939815</v>
      </c>
      <c r="AB5" s="110" t="n">
        <v>45433.9273148148</v>
      </c>
      <c r="AC5" s="111" t="n">
        <f aca="false">(AA5-$AC$2)*24</f>
        <v>13.6497222215983</v>
      </c>
      <c r="AD5" s="111" t="n">
        <f aca="false">AC5+35</f>
        <v>48.6497222215983</v>
      </c>
      <c r="AE5" s="112" t="n">
        <v>1.57250000000931</v>
      </c>
      <c r="AF5" s="112" t="n">
        <v>1.57250000000931</v>
      </c>
      <c r="AG5" s="103" t="n">
        <v>7</v>
      </c>
      <c r="AH5" s="113" t="n">
        <v>45435</v>
      </c>
      <c r="AI5" s="114" t="n">
        <v>45435.6701388889</v>
      </c>
      <c r="AJ5" s="115" t="s">
        <v>171</v>
      </c>
      <c r="AK5" s="99" t="s">
        <v>172</v>
      </c>
      <c r="AL5" s="111" t="n">
        <f aca="false">(AI5-AA5)*24</f>
        <v>43.4002777777778</v>
      </c>
      <c r="AM5" s="111" t="n">
        <f aca="false">AM$2-AH5</f>
        <v>49</v>
      </c>
      <c r="AN5" s="99" t="n">
        <v>30</v>
      </c>
      <c r="AO5" s="99" t="s">
        <v>173</v>
      </c>
      <c r="AP5" s="99"/>
      <c r="AQ5" s="103" t="n">
        <v>1</v>
      </c>
      <c r="AR5" s="116" t="n">
        <v>45600</v>
      </c>
      <c r="AS5" s="113"/>
      <c r="AT5" s="113" t="n">
        <f aca="false">AH5+145</f>
        <v>45580</v>
      </c>
      <c r="AU5" s="117" t="s">
        <v>173</v>
      </c>
      <c r="AV5" s="99" t="n">
        <f aca="false">AR5-AH5</f>
        <v>165</v>
      </c>
      <c r="AW5" s="103"/>
      <c r="AX5" s="99"/>
      <c r="AY5" s="99"/>
      <c r="AZ5" s="97" t="n">
        <v>230138</v>
      </c>
    </row>
    <row r="6" customFormat="false" ht="14.25" hidden="false" customHeight="false" outlineLevel="0" collapsed="false">
      <c r="A6" s="97" t="n">
        <v>51</v>
      </c>
      <c r="B6" s="97" t="n">
        <v>230135</v>
      </c>
      <c r="C6" s="98" t="s">
        <v>70</v>
      </c>
      <c r="D6" s="99" t="n">
        <v>89445</v>
      </c>
      <c r="E6" s="100" t="n">
        <v>44864</v>
      </c>
      <c r="F6" s="101" t="n">
        <v>1</v>
      </c>
      <c r="G6" s="102" t="n">
        <v>45273</v>
      </c>
      <c r="H6" s="103" t="n">
        <v>1</v>
      </c>
      <c r="I6" s="104" t="n">
        <v>162</v>
      </c>
      <c r="J6" s="105" t="n">
        <f aca="false">J$3-G6</f>
        <v>160</v>
      </c>
      <c r="K6" s="106" t="n">
        <v>2.5</v>
      </c>
      <c r="L6" s="106" t="n">
        <v>2.5</v>
      </c>
      <c r="M6" s="106" t="n">
        <v>2</v>
      </c>
      <c r="N6" s="106" t="n">
        <v>2.5</v>
      </c>
      <c r="O6" s="108" t="n">
        <v>-85</v>
      </c>
      <c r="P6" s="108" t="n">
        <v>-92</v>
      </c>
      <c r="Q6" s="107"/>
      <c r="R6" s="107"/>
      <c r="S6" s="107"/>
      <c r="T6" s="107"/>
      <c r="U6" s="108" t="n">
        <v>620</v>
      </c>
      <c r="V6" s="108" t="n">
        <v>460</v>
      </c>
      <c r="W6" s="108" t="n">
        <v>500</v>
      </c>
      <c r="X6" s="109" t="n">
        <v>680</v>
      </c>
      <c r="Y6" s="109" t="n">
        <v>520</v>
      </c>
      <c r="Z6" s="103" t="n">
        <v>31</v>
      </c>
      <c r="AA6" s="110" t="n">
        <v>45435.9189583333</v>
      </c>
      <c r="AB6" s="110" t="n">
        <v>45436.0852314815</v>
      </c>
      <c r="AC6" s="111" t="n">
        <f aca="false">(AA6-$AC$2)*24</f>
        <v>63.0216666647464</v>
      </c>
      <c r="AD6" s="111" t="n">
        <f aca="false">AC6+35</f>
        <v>98.0216666647464</v>
      </c>
      <c r="AE6" s="112" t="n">
        <v>3.99055555555969</v>
      </c>
      <c r="AF6" s="112" t="n">
        <v>3.99055555555969</v>
      </c>
      <c r="AG6" s="103" t="n">
        <v>10</v>
      </c>
      <c r="AH6" s="113" t="n">
        <v>45435</v>
      </c>
      <c r="AI6" s="114" t="n">
        <v>45435.66875</v>
      </c>
      <c r="AJ6" s="115" t="s">
        <v>174</v>
      </c>
      <c r="AK6" s="99" t="s">
        <v>175</v>
      </c>
      <c r="AL6" s="111" t="n">
        <f aca="false">(AI6-AA6)*24</f>
        <v>-6.00499999924806</v>
      </c>
      <c r="AM6" s="111" t="n">
        <f aca="false">AM$2-AH6</f>
        <v>49</v>
      </c>
      <c r="AN6" s="99" t="n">
        <v>30</v>
      </c>
      <c r="AO6" s="99" t="s">
        <v>173</v>
      </c>
      <c r="AP6" s="99"/>
      <c r="AQ6" s="103" t="n">
        <v>1</v>
      </c>
      <c r="AR6" s="116" t="n">
        <v>45596</v>
      </c>
      <c r="AS6" s="109"/>
      <c r="AT6" s="113" t="n">
        <f aca="false">AH6+145</f>
        <v>45580</v>
      </c>
      <c r="AU6" s="117" t="s">
        <v>173</v>
      </c>
      <c r="AV6" s="99" t="n">
        <f aca="false">AR6-AH6</f>
        <v>161</v>
      </c>
      <c r="AW6" s="103"/>
      <c r="AX6" s="99"/>
      <c r="AY6" s="97" t="n">
        <v>51</v>
      </c>
      <c r="AZ6" s="97" t="n">
        <v>230135</v>
      </c>
    </row>
    <row r="7" customFormat="false" ht="14.25" hidden="false" customHeight="false" outlineLevel="0" collapsed="false">
      <c r="A7" s="97" t="n">
        <v>50</v>
      </c>
      <c r="B7" s="97" t="n">
        <v>230134</v>
      </c>
      <c r="C7" s="98" t="s">
        <v>70</v>
      </c>
      <c r="D7" s="99" t="n">
        <v>88730</v>
      </c>
      <c r="E7" s="100" t="n">
        <v>44850</v>
      </c>
      <c r="F7" s="101" t="n">
        <v>1</v>
      </c>
      <c r="G7" s="102" t="n">
        <v>45294</v>
      </c>
      <c r="H7" s="103" t="n">
        <v>1</v>
      </c>
      <c r="I7" s="104" t="n">
        <v>141</v>
      </c>
      <c r="J7" s="105" t="n">
        <f aca="false">J$3-G7</f>
        <v>139</v>
      </c>
      <c r="K7" s="106" t="n">
        <v>2.5</v>
      </c>
      <c r="L7" s="106" t="n">
        <v>2.5</v>
      </c>
      <c r="M7" s="106" t="n">
        <v>2</v>
      </c>
      <c r="N7" s="106" t="n">
        <v>2.25</v>
      </c>
      <c r="O7" s="107"/>
      <c r="P7" s="108" t="n">
        <v>53</v>
      </c>
      <c r="Q7" s="107"/>
      <c r="R7" s="107"/>
      <c r="S7" s="107"/>
      <c r="T7" s="107"/>
      <c r="U7" s="107"/>
      <c r="V7" s="108" t="n">
        <v>760</v>
      </c>
      <c r="W7" s="108" t="n">
        <v>600</v>
      </c>
      <c r="X7" s="109" t="n">
        <v>1300</v>
      </c>
      <c r="Y7" s="109" t="n">
        <v>740</v>
      </c>
      <c r="Z7" s="103" t="n">
        <v>29</v>
      </c>
      <c r="AA7" s="110" t="n">
        <v>45435.8294212963</v>
      </c>
      <c r="AB7" s="110" t="n">
        <v>45436.0615393518</v>
      </c>
      <c r="AC7" s="111" t="n">
        <f aca="false">(AA7-$AC$2)*24</f>
        <v>60.8727777767925</v>
      </c>
      <c r="AD7" s="111" t="n">
        <f aca="false">AC7+35</f>
        <v>95.8727777767925</v>
      </c>
      <c r="AE7" s="112" t="n">
        <v>5.57083333341871</v>
      </c>
      <c r="AF7" s="112" t="n">
        <v>5.57083333341871</v>
      </c>
      <c r="AG7" s="103" t="n">
        <v>16</v>
      </c>
      <c r="AH7" s="113" t="n">
        <v>45435</v>
      </c>
      <c r="AI7" s="114" t="n">
        <v>45435.6784722222</v>
      </c>
      <c r="AJ7" s="115" t="s">
        <v>176</v>
      </c>
      <c r="AK7" s="99" t="s">
        <v>177</v>
      </c>
      <c r="AL7" s="111" t="n">
        <f aca="false">(AI7-AA7)*24</f>
        <v>-3.6227777784225</v>
      </c>
      <c r="AM7" s="111" t="n">
        <f aca="false">AM$2-AH7</f>
        <v>49</v>
      </c>
      <c r="AN7" s="99" t="n">
        <v>30</v>
      </c>
      <c r="AO7" s="99" t="s">
        <v>173</v>
      </c>
      <c r="AP7" s="99"/>
      <c r="AQ7" s="103" t="n">
        <v>1</v>
      </c>
      <c r="AR7" s="116" t="n">
        <v>45600</v>
      </c>
      <c r="AS7" s="109"/>
      <c r="AT7" s="113" t="n">
        <f aca="false">AH7+145</f>
        <v>45580</v>
      </c>
      <c r="AU7" s="117" t="s">
        <v>173</v>
      </c>
      <c r="AV7" s="99" t="n">
        <f aca="false">AR7-AH7</f>
        <v>165</v>
      </c>
      <c r="AW7" s="103"/>
      <c r="AX7" s="99"/>
      <c r="AY7" s="97" t="n">
        <v>50</v>
      </c>
      <c r="AZ7" s="97" t="n">
        <v>230134</v>
      </c>
    </row>
    <row r="8" customFormat="false" ht="14.25" hidden="false" customHeight="false" outlineLevel="0" collapsed="false">
      <c r="A8" s="97" t="n">
        <v>49</v>
      </c>
      <c r="B8" s="97" t="n">
        <v>230126</v>
      </c>
      <c r="C8" s="98" t="s">
        <v>70</v>
      </c>
      <c r="D8" s="99" t="n">
        <v>89201</v>
      </c>
      <c r="E8" s="100" t="n">
        <v>44847</v>
      </c>
      <c r="F8" s="101" t="n">
        <v>1</v>
      </c>
      <c r="G8" s="102"/>
      <c r="H8" s="103"/>
      <c r="I8" s="104"/>
      <c r="J8" s="105"/>
      <c r="K8" s="106" t="n">
        <v>2.5</v>
      </c>
      <c r="L8" s="106" t="n">
        <v>2.5</v>
      </c>
      <c r="M8" s="106" t="n">
        <v>2.5</v>
      </c>
      <c r="N8" s="106" t="n">
        <v>2.75</v>
      </c>
      <c r="O8" s="107"/>
      <c r="P8" s="107"/>
      <c r="Q8" s="107"/>
      <c r="R8" s="107"/>
      <c r="S8" s="107"/>
      <c r="T8" s="107"/>
      <c r="U8" s="107"/>
      <c r="V8" s="107"/>
      <c r="W8" s="107"/>
      <c r="X8" s="109"/>
      <c r="Y8" s="109"/>
      <c r="Z8" s="103" t="n">
        <v>11</v>
      </c>
      <c r="AA8" s="110" t="n">
        <v>45434.7287152778</v>
      </c>
      <c r="AB8" s="110" t="n">
        <v>45434.8531365741</v>
      </c>
      <c r="AC8" s="111" t="n">
        <f aca="false">(AA8-$AC$2)*24</f>
        <v>34.4558333327875</v>
      </c>
      <c r="AD8" s="111" t="n">
        <f aca="false">AC8+35</f>
        <v>69.4558333327875</v>
      </c>
      <c r="AE8" s="112" t="n">
        <v>2.98611111100763</v>
      </c>
      <c r="AF8" s="112" t="n">
        <v>2.98611111100763</v>
      </c>
      <c r="AG8" s="103" t="n">
        <v>10</v>
      </c>
      <c r="AH8" s="113" t="n">
        <v>45435</v>
      </c>
      <c r="AI8" s="114" t="n">
        <v>45435.6645833333</v>
      </c>
      <c r="AJ8" s="115" t="s">
        <v>171</v>
      </c>
      <c r="AK8" s="99" t="s">
        <v>172</v>
      </c>
      <c r="AL8" s="111" t="n">
        <f aca="false">(AI8-AA8)*24</f>
        <v>22.4608333320356</v>
      </c>
      <c r="AM8" s="111" t="n">
        <f aca="false">AM$2-AH8</f>
        <v>49</v>
      </c>
      <c r="AN8" s="99" t="n">
        <v>50</v>
      </c>
      <c r="AO8" s="99" t="s">
        <v>12</v>
      </c>
      <c r="AP8" s="99"/>
      <c r="AQ8" s="103" t="n">
        <v>1</v>
      </c>
      <c r="AR8" s="116" t="n">
        <v>45584</v>
      </c>
      <c r="AS8" s="109"/>
      <c r="AT8" s="113" t="n">
        <f aca="false">AH8+145</f>
        <v>45580</v>
      </c>
      <c r="AU8" s="99" t="s">
        <v>178</v>
      </c>
      <c r="AV8" s="99" t="n">
        <f aca="false">AR8-AH8</f>
        <v>149</v>
      </c>
      <c r="AW8" s="103"/>
      <c r="AX8" s="99"/>
      <c r="AY8" s="97" t="n">
        <v>49</v>
      </c>
      <c r="AZ8" s="97" t="n">
        <v>230126</v>
      </c>
    </row>
    <row r="9" customFormat="false" ht="14.25" hidden="false" customHeight="false" outlineLevel="0" collapsed="false">
      <c r="A9" s="97" t="n">
        <v>48</v>
      </c>
      <c r="B9" s="97" t="n">
        <v>230125</v>
      </c>
      <c r="C9" s="98" t="s">
        <v>70</v>
      </c>
      <c r="D9" s="99" t="n">
        <v>88917</v>
      </c>
      <c r="E9" s="100" t="n">
        <v>44848</v>
      </c>
      <c r="F9" s="101" t="n">
        <v>1</v>
      </c>
      <c r="G9" s="102" t="n">
        <v>45271</v>
      </c>
      <c r="H9" s="103" t="n">
        <v>1</v>
      </c>
      <c r="I9" s="104" t="n">
        <v>164</v>
      </c>
      <c r="J9" s="105" t="n">
        <f aca="false">J$3-G9</f>
        <v>162</v>
      </c>
      <c r="K9" s="106" t="n">
        <v>2.75</v>
      </c>
      <c r="L9" s="106" t="n">
        <v>2.75</v>
      </c>
      <c r="M9" s="106" t="n">
        <v>2.25</v>
      </c>
      <c r="N9" s="106" t="n">
        <v>2.5</v>
      </c>
      <c r="O9" s="108" t="n">
        <v>38</v>
      </c>
      <c r="P9" s="108" t="n">
        <v>21</v>
      </c>
      <c r="Q9" s="107"/>
      <c r="R9" s="107"/>
      <c r="S9" s="107"/>
      <c r="T9" s="107"/>
      <c r="U9" s="108" t="n">
        <v>640</v>
      </c>
      <c r="V9" s="108" t="n">
        <v>700</v>
      </c>
      <c r="W9" s="108" t="n">
        <v>900</v>
      </c>
      <c r="X9" s="109" t="n">
        <v>640</v>
      </c>
      <c r="Y9" s="109" t="n">
        <v>600</v>
      </c>
      <c r="Z9" s="103" t="n">
        <v>21</v>
      </c>
      <c r="AA9" s="110" t="n">
        <v>45434.9620023148</v>
      </c>
      <c r="AB9" s="110" t="n">
        <v>45434.9620023148</v>
      </c>
      <c r="AC9" s="111" t="n">
        <f aca="false">(AA9-$AC$2)*24</f>
        <v>40.0547222208114</v>
      </c>
      <c r="AD9" s="111" t="n">
        <f aca="false">AC9+35</f>
        <v>75.0547222208114</v>
      </c>
      <c r="AE9" s="112" t="n">
        <v>0</v>
      </c>
      <c r="AF9" s="112" t="n">
        <v>1</v>
      </c>
      <c r="AG9" s="103" t="n">
        <v>1</v>
      </c>
      <c r="AH9" s="113" t="n">
        <v>45435</v>
      </c>
      <c r="AI9" s="114" t="n">
        <v>45435.6770833333</v>
      </c>
      <c r="AJ9" s="115" t="s">
        <v>174</v>
      </c>
      <c r="AK9" s="99" t="s">
        <v>175</v>
      </c>
      <c r="AL9" s="111" t="n">
        <f aca="false">(AI9-AA9)*24</f>
        <v>17.1619444439419</v>
      </c>
      <c r="AM9" s="111" t="n">
        <f aca="false">AM$2-AH9</f>
        <v>49</v>
      </c>
      <c r="AN9" s="99" t="n">
        <v>30</v>
      </c>
      <c r="AO9" s="99" t="s">
        <v>173</v>
      </c>
      <c r="AP9" s="99"/>
      <c r="AQ9" s="103" t="n">
        <v>1</v>
      </c>
      <c r="AR9" s="116" t="n">
        <v>45593</v>
      </c>
      <c r="AS9" s="109"/>
      <c r="AT9" s="113" t="n">
        <f aca="false">AH9+145</f>
        <v>45580</v>
      </c>
      <c r="AU9" s="99" t="s">
        <v>178</v>
      </c>
      <c r="AV9" s="99" t="n">
        <f aca="false">AR9-AH9</f>
        <v>158</v>
      </c>
      <c r="AW9" s="103"/>
      <c r="AX9" s="99"/>
      <c r="AY9" s="97" t="n">
        <v>48</v>
      </c>
      <c r="AZ9" s="97" t="n">
        <v>230125</v>
      </c>
    </row>
    <row r="10" customFormat="false" ht="14.25" hidden="false" customHeight="false" outlineLevel="0" collapsed="false">
      <c r="A10" s="97" t="n">
        <v>47</v>
      </c>
      <c r="B10" s="97" t="n">
        <v>230122</v>
      </c>
      <c r="C10" s="98" t="s">
        <v>70</v>
      </c>
      <c r="D10" s="99" t="n">
        <v>89254</v>
      </c>
      <c r="E10" s="100" t="n">
        <v>44848</v>
      </c>
      <c r="F10" s="101" t="n">
        <v>1</v>
      </c>
      <c r="G10" s="102" t="n">
        <v>45276</v>
      </c>
      <c r="H10" s="103" t="n">
        <v>1</v>
      </c>
      <c r="I10" s="104" t="n">
        <v>159</v>
      </c>
      <c r="J10" s="105" t="n">
        <f aca="false">J$3-G10</f>
        <v>157</v>
      </c>
      <c r="K10" s="106" t="n">
        <v>2.5</v>
      </c>
      <c r="L10" s="106" t="n">
        <v>2.5</v>
      </c>
      <c r="M10" s="106" t="n">
        <v>2.25</v>
      </c>
      <c r="N10" s="106" t="n">
        <v>2.25</v>
      </c>
      <c r="O10" s="107"/>
      <c r="P10" s="108" t="n">
        <v>10</v>
      </c>
      <c r="Q10" s="107"/>
      <c r="R10" s="107"/>
      <c r="S10" s="107"/>
      <c r="T10" s="107"/>
      <c r="U10" s="107"/>
      <c r="V10" s="108" t="n">
        <v>640</v>
      </c>
      <c r="W10" s="108" t="n">
        <v>660</v>
      </c>
      <c r="X10" s="109" t="n">
        <v>840</v>
      </c>
      <c r="Y10" s="109" t="n">
        <v>640</v>
      </c>
      <c r="Z10" s="103" t="n">
        <v>5</v>
      </c>
      <c r="AA10" s="110" t="n">
        <v>45434.4708217593</v>
      </c>
      <c r="AB10" s="110" t="n">
        <v>45434.8216666667</v>
      </c>
      <c r="AC10" s="111" t="n">
        <f aca="false">(AA10-$AC$2)*24</f>
        <v>28.2663888888889</v>
      </c>
      <c r="AD10" s="111" t="n">
        <f aca="false">AC10+35</f>
        <v>63.2663888888889</v>
      </c>
      <c r="AE10" s="112" t="n">
        <v>8.42027777776821</v>
      </c>
      <c r="AF10" s="112" t="n">
        <v>8.42027777776821</v>
      </c>
      <c r="AG10" s="103" t="n">
        <v>31</v>
      </c>
      <c r="AH10" s="113" t="n">
        <v>45435</v>
      </c>
      <c r="AI10" s="114" t="n">
        <v>45435.6791666667</v>
      </c>
      <c r="AJ10" s="115" t="s">
        <v>179</v>
      </c>
      <c r="AK10" s="99" t="s">
        <v>180</v>
      </c>
      <c r="AL10" s="111" t="n">
        <f aca="false">(AI10-AA10)*24</f>
        <v>29.0002777777778</v>
      </c>
      <c r="AM10" s="111" t="n">
        <f aca="false">AM$2-AH10</f>
        <v>49</v>
      </c>
      <c r="AN10" s="99" t="n">
        <v>50</v>
      </c>
      <c r="AO10" s="99" t="s">
        <v>12</v>
      </c>
      <c r="AP10" s="99"/>
      <c r="AQ10" s="103" t="n">
        <v>1</v>
      </c>
      <c r="AR10" s="116" t="n">
        <v>45583</v>
      </c>
      <c r="AS10" s="109"/>
      <c r="AT10" s="113" t="n">
        <f aca="false">AH10+145</f>
        <v>45580</v>
      </c>
      <c r="AU10" s="99" t="s">
        <v>178</v>
      </c>
      <c r="AV10" s="99" t="n">
        <f aca="false">AR10-AH10</f>
        <v>148</v>
      </c>
      <c r="AW10" s="103"/>
      <c r="AX10" s="99"/>
      <c r="AY10" s="97" t="n">
        <v>47</v>
      </c>
      <c r="AZ10" s="97" t="n">
        <v>230122</v>
      </c>
    </row>
    <row r="11" customFormat="false" ht="14.25" hidden="false" customHeight="false" outlineLevel="0" collapsed="false">
      <c r="A11" s="97" t="n">
        <v>46</v>
      </c>
      <c r="B11" s="97" t="n">
        <v>230120</v>
      </c>
      <c r="C11" s="98" t="s">
        <v>70</v>
      </c>
      <c r="D11" s="99" t="n">
        <v>88249</v>
      </c>
      <c r="E11" s="100" t="n">
        <v>44848</v>
      </c>
      <c r="F11" s="101" t="n">
        <v>1</v>
      </c>
      <c r="G11" s="102" t="n">
        <v>45275</v>
      </c>
      <c r="H11" s="103" t="n">
        <v>2</v>
      </c>
      <c r="I11" s="104" t="n">
        <v>160</v>
      </c>
      <c r="J11" s="105" t="n">
        <f aca="false">J$3-G11</f>
        <v>158</v>
      </c>
      <c r="K11" s="106" t="n">
        <v>2.5</v>
      </c>
      <c r="L11" s="106" t="n">
        <v>2.5</v>
      </c>
      <c r="M11" s="106" t="n">
        <v>2.25</v>
      </c>
      <c r="N11" s="106" t="n">
        <v>2</v>
      </c>
      <c r="O11" s="107"/>
      <c r="P11" s="108" t="n">
        <v>-42</v>
      </c>
      <c r="Q11" s="107"/>
      <c r="R11" s="107"/>
      <c r="S11" s="107"/>
      <c r="T11" s="107"/>
      <c r="U11" s="107"/>
      <c r="V11" s="108" t="n">
        <v>380</v>
      </c>
      <c r="W11" s="108" t="n">
        <v>840</v>
      </c>
      <c r="X11" s="109" t="n">
        <v>700</v>
      </c>
      <c r="Y11" s="109" t="n">
        <v>400</v>
      </c>
      <c r="Z11" s="103"/>
      <c r="AA11" s="110"/>
      <c r="AB11" s="110"/>
      <c r="AC11" s="111"/>
      <c r="AD11" s="111"/>
      <c r="AE11" s="112"/>
      <c r="AF11" s="112"/>
      <c r="AG11" s="103"/>
      <c r="AH11" s="113" t="n">
        <v>45435</v>
      </c>
      <c r="AI11" s="114" t="n">
        <v>45435.6708333333</v>
      </c>
      <c r="AJ11" s="115" t="s">
        <v>179</v>
      </c>
      <c r="AK11" s="99" t="s">
        <v>180</v>
      </c>
      <c r="AL11" s="111"/>
      <c r="AM11" s="111" t="n">
        <f aca="false">AM$2-AH11</f>
        <v>49</v>
      </c>
      <c r="AN11" s="99" t="n">
        <v>50</v>
      </c>
      <c r="AO11" s="99" t="s">
        <v>12</v>
      </c>
      <c r="AP11" s="99"/>
      <c r="AQ11" s="103" t="n">
        <v>1</v>
      </c>
      <c r="AR11" s="116" t="n">
        <v>45583</v>
      </c>
      <c r="AS11" s="109"/>
      <c r="AT11" s="113" t="n">
        <f aca="false">AH11+145</f>
        <v>45580</v>
      </c>
      <c r="AU11" s="99" t="s">
        <v>178</v>
      </c>
      <c r="AV11" s="99" t="n">
        <f aca="false">AR11-AH11</f>
        <v>148</v>
      </c>
      <c r="AW11" s="103" t="s">
        <v>181</v>
      </c>
      <c r="AX11" s="99"/>
      <c r="AY11" s="97" t="n">
        <v>46</v>
      </c>
      <c r="AZ11" s="97" t="n">
        <v>230120</v>
      </c>
    </row>
    <row r="12" customFormat="false" ht="14.25" hidden="false" customHeight="false" outlineLevel="0" collapsed="false">
      <c r="A12" s="97" t="n">
        <v>45</v>
      </c>
      <c r="B12" s="97" t="n">
        <v>230116</v>
      </c>
      <c r="C12" s="98" t="s">
        <v>70</v>
      </c>
      <c r="D12" s="99" t="n">
        <v>89124</v>
      </c>
      <c r="E12" s="100" t="n">
        <v>44847</v>
      </c>
      <c r="F12" s="101" t="n">
        <v>1</v>
      </c>
      <c r="G12" s="102" t="n">
        <v>45275</v>
      </c>
      <c r="H12" s="103" t="n">
        <v>2</v>
      </c>
      <c r="I12" s="104" t="n">
        <v>160</v>
      </c>
      <c r="J12" s="105" t="n">
        <f aca="false">J$3-G12</f>
        <v>158</v>
      </c>
      <c r="K12" s="106" t="n">
        <v>2.5</v>
      </c>
      <c r="L12" s="106" t="n">
        <v>2.5</v>
      </c>
      <c r="M12" s="106" t="n">
        <v>2.5</v>
      </c>
      <c r="N12" s="106" t="n">
        <v>2.5</v>
      </c>
      <c r="O12" s="107"/>
      <c r="P12" s="108" t="n">
        <v>46</v>
      </c>
      <c r="Q12" s="107"/>
      <c r="R12" s="107"/>
      <c r="S12" s="107"/>
      <c r="T12" s="107"/>
      <c r="U12" s="107"/>
      <c r="V12" s="108" t="n">
        <v>640</v>
      </c>
      <c r="W12" s="108" t="n">
        <v>1000</v>
      </c>
      <c r="X12" s="109" t="n">
        <v>800</v>
      </c>
      <c r="Y12" s="109" t="n">
        <v>600</v>
      </c>
      <c r="Z12" s="103"/>
      <c r="AA12" s="110"/>
      <c r="AB12" s="110"/>
      <c r="AC12" s="111"/>
      <c r="AD12" s="111"/>
      <c r="AE12" s="112"/>
      <c r="AF12" s="112"/>
      <c r="AG12" s="103"/>
      <c r="AH12" s="113" t="n">
        <v>45435</v>
      </c>
      <c r="AI12" s="114" t="n">
        <v>45435.6638888889</v>
      </c>
      <c r="AJ12" s="115" t="s">
        <v>182</v>
      </c>
      <c r="AK12" s="99" t="s">
        <v>183</v>
      </c>
      <c r="AL12" s="111"/>
      <c r="AM12" s="111" t="n">
        <f aca="false">AM$2-AH12</f>
        <v>49</v>
      </c>
      <c r="AN12" s="99" t="n">
        <v>0</v>
      </c>
      <c r="AO12" s="99" t="s">
        <v>184</v>
      </c>
      <c r="AP12" s="99"/>
      <c r="AQ12" s="103" t="n">
        <v>1</v>
      </c>
      <c r="AR12" s="116" t="n">
        <v>45615</v>
      </c>
      <c r="AS12" s="109"/>
      <c r="AT12" s="113" t="n">
        <f aca="false">AH12+145</f>
        <v>45580</v>
      </c>
      <c r="AU12" s="99" t="s">
        <v>185</v>
      </c>
      <c r="AV12" s="99" t="n">
        <f aca="false">AR12-AH12</f>
        <v>180</v>
      </c>
      <c r="AW12" s="118" t="s">
        <v>186</v>
      </c>
      <c r="AX12" s="99"/>
      <c r="AY12" s="97" t="n">
        <v>45</v>
      </c>
      <c r="AZ12" s="97" t="n">
        <v>230116</v>
      </c>
    </row>
    <row r="13" customFormat="false" ht="14.25" hidden="false" customHeight="false" outlineLevel="0" collapsed="false">
      <c r="A13" s="97" t="n">
        <v>44</v>
      </c>
      <c r="B13" s="97" t="n">
        <v>230111</v>
      </c>
      <c r="C13" s="98" t="s">
        <v>70</v>
      </c>
      <c r="D13" s="99" t="n">
        <v>88841</v>
      </c>
      <c r="E13" s="100" t="n">
        <v>44847</v>
      </c>
      <c r="F13" s="101" t="n">
        <v>1</v>
      </c>
      <c r="G13" s="102" t="n">
        <v>45277</v>
      </c>
      <c r="H13" s="103" t="n">
        <v>1</v>
      </c>
      <c r="I13" s="104" t="n">
        <v>158</v>
      </c>
      <c r="J13" s="105" t="n">
        <f aca="false">J$3-G13</f>
        <v>156</v>
      </c>
      <c r="K13" s="106" t="n">
        <v>2.5</v>
      </c>
      <c r="L13" s="106" t="n">
        <v>2.75</v>
      </c>
      <c r="M13" s="106" t="n">
        <v>2.25</v>
      </c>
      <c r="N13" s="106" t="n">
        <v>2.25</v>
      </c>
      <c r="O13" s="108" t="n">
        <v>61</v>
      </c>
      <c r="P13" s="108" t="n">
        <v>103</v>
      </c>
      <c r="Q13" s="107"/>
      <c r="R13" s="107"/>
      <c r="S13" s="107"/>
      <c r="T13" s="107"/>
      <c r="U13" s="108" t="n">
        <v>660</v>
      </c>
      <c r="V13" s="108" t="n">
        <v>1000</v>
      </c>
      <c r="W13" s="108" t="n">
        <v>1040</v>
      </c>
      <c r="X13" s="109" t="n">
        <v>1100</v>
      </c>
      <c r="Y13" s="109" t="n">
        <v>620</v>
      </c>
      <c r="Z13" s="103" t="n">
        <v>1</v>
      </c>
      <c r="AA13" s="110" t="n">
        <v>45433.7543171296</v>
      </c>
      <c r="AB13" s="110" t="n">
        <v>45434.7141782408</v>
      </c>
      <c r="AC13" s="111" t="n">
        <f aca="false">(AA13-$AC$2)*24</f>
        <v>11.0702777759286</v>
      </c>
      <c r="AD13" s="111" t="n">
        <f aca="false">AC13+35</f>
        <v>46.0702777759286</v>
      </c>
      <c r="AE13" s="112" t="n">
        <v>23.0366666667396</v>
      </c>
      <c r="AF13" s="112" t="n">
        <v>23.0366666667396</v>
      </c>
      <c r="AG13" s="103" t="n">
        <v>17</v>
      </c>
      <c r="AH13" s="113" t="n">
        <v>45435</v>
      </c>
      <c r="AI13" s="114" t="n">
        <v>45435.6715277778</v>
      </c>
      <c r="AJ13" s="115" t="s">
        <v>174</v>
      </c>
      <c r="AK13" s="99" t="s">
        <v>175</v>
      </c>
      <c r="AL13" s="111" t="n">
        <f aca="false">(AI13-AA13)*24</f>
        <v>46.0130555568028</v>
      </c>
      <c r="AM13" s="111" t="n">
        <f aca="false">AM$2-AH13</f>
        <v>49</v>
      </c>
      <c r="AN13" s="99" t="n">
        <v>50</v>
      </c>
      <c r="AO13" s="99" t="s">
        <v>12</v>
      </c>
      <c r="AP13" s="99"/>
      <c r="AQ13" s="103" t="n">
        <v>1</v>
      </c>
      <c r="AR13" s="116" t="n">
        <v>45583</v>
      </c>
      <c r="AS13" s="109"/>
      <c r="AT13" s="113" t="n">
        <f aca="false">AH13+145</f>
        <v>45580</v>
      </c>
      <c r="AU13" s="99" t="s">
        <v>178</v>
      </c>
      <c r="AV13" s="99" t="n">
        <f aca="false">AR13-AH13</f>
        <v>148</v>
      </c>
      <c r="AW13" s="103"/>
      <c r="AX13" s="99"/>
      <c r="AY13" s="97" t="n">
        <v>44</v>
      </c>
      <c r="AZ13" s="97" t="n">
        <v>230111</v>
      </c>
    </row>
    <row r="14" customFormat="false" ht="14.25" hidden="false" customHeight="false" outlineLevel="0" collapsed="false">
      <c r="A14" s="97" t="n">
        <v>43</v>
      </c>
      <c r="B14" s="97" t="n">
        <v>230110</v>
      </c>
      <c r="C14" s="98" t="s">
        <v>70</v>
      </c>
      <c r="D14" s="99" t="n">
        <v>88802</v>
      </c>
      <c r="E14" s="100" t="n">
        <v>44850</v>
      </c>
      <c r="F14" s="101" t="n">
        <v>1</v>
      </c>
      <c r="G14" s="102"/>
      <c r="H14" s="103"/>
      <c r="I14" s="104"/>
      <c r="J14" s="105"/>
      <c r="K14" s="106" t="n">
        <v>2.25</v>
      </c>
      <c r="L14" s="106" t="n">
        <v>2.5</v>
      </c>
      <c r="M14" s="106" t="n">
        <v>2.5</v>
      </c>
      <c r="N14" s="106" t="n">
        <v>2.75</v>
      </c>
      <c r="O14" s="107"/>
      <c r="P14" s="107"/>
      <c r="Q14" s="107"/>
      <c r="R14" s="107"/>
      <c r="S14" s="107"/>
      <c r="T14" s="107"/>
      <c r="U14" s="107"/>
      <c r="V14" s="107"/>
      <c r="W14" s="107"/>
      <c r="X14" s="109"/>
      <c r="Y14" s="109"/>
      <c r="Z14" s="103" t="n">
        <v>24</v>
      </c>
      <c r="AA14" s="110" t="n">
        <v>45434.9915046296</v>
      </c>
      <c r="AB14" s="110" t="n">
        <v>45435.670150463</v>
      </c>
      <c r="AC14" s="111" t="n">
        <f aca="false">(AA14-$AC$2)*24</f>
        <v>40.7627777759917</v>
      </c>
      <c r="AD14" s="111" t="n">
        <f aca="false">AC14+35</f>
        <v>75.7627777759917</v>
      </c>
      <c r="AE14" s="112" t="n">
        <v>16.2874999999185</v>
      </c>
      <c r="AF14" s="112" t="n">
        <v>16.2874999999185</v>
      </c>
      <c r="AG14" s="103" t="n">
        <v>17</v>
      </c>
      <c r="AH14" s="113" t="n">
        <v>45435</v>
      </c>
      <c r="AI14" s="114" t="n">
        <v>45435.6611111111</v>
      </c>
      <c r="AJ14" s="115" t="s">
        <v>187</v>
      </c>
      <c r="AK14" s="99" t="s">
        <v>188</v>
      </c>
      <c r="AL14" s="111" t="n">
        <f aca="false">(AI14-AA14)*24</f>
        <v>16.070555555925</v>
      </c>
      <c r="AM14" s="111" t="n">
        <f aca="false">AM$2-AH14</f>
        <v>49</v>
      </c>
      <c r="AN14" s="99" t="n">
        <v>30</v>
      </c>
      <c r="AO14" s="99" t="s">
        <v>173</v>
      </c>
      <c r="AP14" s="99"/>
      <c r="AQ14" s="103" t="n">
        <v>1</v>
      </c>
      <c r="AR14" s="116" t="n">
        <v>45584</v>
      </c>
      <c r="AS14" s="109"/>
      <c r="AT14" s="113" t="n">
        <f aca="false">AH14+145</f>
        <v>45580</v>
      </c>
      <c r="AU14" s="99" t="s">
        <v>178</v>
      </c>
      <c r="AV14" s="99" t="n">
        <f aca="false">AR14-AH14</f>
        <v>149</v>
      </c>
      <c r="AW14" s="103"/>
      <c r="AX14" s="99"/>
      <c r="AY14" s="97" t="n">
        <v>43</v>
      </c>
      <c r="AZ14" s="97" t="n">
        <v>230110</v>
      </c>
    </row>
    <row r="15" customFormat="false" ht="14.25" hidden="false" customHeight="false" outlineLevel="0" collapsed="false">
      <c r="A15" s="97" t="n">
        <v>42</v>
      </c>
      <c r="B15" s="97" t="n">
        <v>230103</v>
      </c>
      <c r="C15" s="98" t="s">
        <v>70</v>
      </c>
      <c r="D15" s="99" t="n">
        <v>89071</v>
      </c>
      <c r="E15" s="100" t="n">
        <v>44853</v>
      </c>
      <c r="F15" s="101" t="n">
        <v>1</v>
      </c>
      <c r="G15" s="102" t="n">
        <v>45276</v>
      </c>
      <c r="H15" s="103" t="n">
        <v>2</v>
      </c>
      <c r="I15" s="104" t="n">
        <v>159</v>
      </c>
      <c r="J15" s="105" t="n">
        <f aca="false">J$3-G15</f>
        <v>157</v>
      </c>
      <c r="K15" s="106" t="n">
        <v>2.75</v>
      </c>
      <c r="L15" s="106" t="n">
        <v>2.5</v>
      </c>
      <c r="M15" s="106" t="n">
        <v>2.25</v>
      </c>
      <c r="N15" s="106" t="n">
        <v>2.5</v>
      </c>
      <c r="O15" s="107"/>
      <c r="P15" s="108" t="n">
        <v>-92</v>
      </c>
      <c r="Q15" s="107"/>
      <c r="R15" s="107"/>
      <c r="S15" s="107"/>
      <c r="T15" s="107"/>
      <c r="U15" s="107"/>
      <c r="V15" s="108" t="n">
        <v>320</v>
      </c>
      <c r="W15" s="108" t="n">
        <v>740</v>
      </c>
      <c r="X15" s="109" t="n">
        <v>620</v>
      </c>
      <c r="Y15" s="109" t="n">
        <v>540</v>
      </c>
      <c r="Z15" s="103"/>
      <c r="AA15" s="110"/>
      <c r="AB15" s="110"/>
      <c r="AC15" s="111"/>
      <c r="AD15" s="111"/>
      <c r="AE15" s="112"/>
      <c r="AF15" s="112"/>
      <c r="AG15" s="103"/>
      <c r="AH15" s="113" t="n">
        <v>45435</v>
      </c>
      <c r="AI15" s="114" t="n">
        <v>45435.6736111111</v>
      </c>
      <c r="AJ15" s="115" t="s">
        <v>189</v>
      </c>
      <c r="AK15" s="99" t="s">
        <v>190</v>
      </c>
      <c r="AL15" s="111"/>
      <c r="AM15" s="111" t="n">
        <f aca="false">AM$2-AH15</f>
        <v>49</v>
      </c>
      <c r="AN15" s="99" t="n">
        <v>50</v>
      </c>
      <c r="AO15" s="99" t="s">
        <v>12</v>
      </c>
      <c r="AP15" s="99"/>
      <c r="AQ15" s="103" t="n">
        <v>2</v>
      </c>
      <c r="AR15" s="116" t="n">
        <v>45582</v>
      </c>
      <c r="AS15" s="109"/>
      <c r="AT15" s="113" t="n">
        <f aca="false">AH15+145</f>
        <v>45580</v>
      </c>
      <c r="AU15" s="99" t="s">
        <v>178</v>
      </c>
      <c r="AV15" s="99" t="n">
        <f aca="false">AR15-AH15</f>
        <v>147</v>
      </c>
      <c r="AW15" s="103" t="s">
        <v>181</v>
      </c>
      <c r="AX15" s="99"/>
      <c r="AY15" s="97" t="n">
        <v>42</v>
      </c>
      <c r="AZ15" s="97" t="n">
        <v>230103</v>
      </c>
    </row>
    <row r="16" customFormat="false" ht="14.25" hidden="false" customHeight="false" outlineLevel="0" collapsed="false">
      <c r="A16" s="97" t="n">
        <v>41</v>
      </c>
      <c r="B16" s="97" t="n">
        <v>230102</v>
      </c>
      <c r="C16" s="98" t="s">
        <v>70</v>
      </c>
      <c r="D16" s="99" t="n">
        <v>89417</v>
      </c>
      <c r="E16" s="100" t="n">
        <v>44850</v>
      </c>
      <c r="F16" s="101" t="n">
        <v>1</v>
      </c>
      <c r="G16" s="102" t="n">
        <v>45276</v>
      </c>
      <c r="H16" s="103" t="n">
        <v>1</v>
      </c>
      <c r="I16" s="104" t="n">
        <v>159</v>
      </c>
      <c r="J16" s="105" t="n">
        <f aca="false">J$3-G16</f>
        <v>157</v>
      </c>
      <c r="K16" s="106" t="n">
        <v>2.5</v>
      </c>
      <c r="L16" s="106" t="n">
        <v>2.75</v>
      </c>
      <c r="M16" s="106" t="n">
        <v>2</v>
      </c>
      <c r="N16" s="106" t="n">
        <v>2.25</v>
      </c>
      <c r="O16" s="107"/>
      <c r="P16" s="108" t="n">
        <v>60</v>
      </c>
      <c r="Q16" s="107"/>
      <c r="R16" s="107"/>
      <c r="S16" s="107"/>
      <c r="T16" s="107"/>
      <c r="U16" s="107"/>
      <c r="V16" s="108" t="n">
        <v>840</v>
      </c>
      <c r="W16" s="108" t="n">
        <v>1160</v>
      </c>
      <c r="X16" s="109" t="n">
        <v>960</v>
      </c>
      <c r="Y16" s="109" t="n">
        <v>820</v>
      </c>
      <c r="Z16" s="103" t="n">
        <v>27</v>
      </c>
      <c r="AA16" s="110" t="n">
        <v>45435.7239467593</v>
      </c>
      <c r="AB16" s="110" t="n">
        <v>45436.1841666667</v>
      </c>
      <c r="AC16" s="111" t="n">
        <f aca="false">(AA16-$AC$2)*24</f>
        <v>58.3413888888889</v>
      </c>
      <c r="AD16" s="111" t="n">
        <f aca="false">AC16+35</f>
        <v>93.3413888888889</v>
      </c>
      <c r="AE16" s="112" t="n">
        <v>11.0452777777682</v>
      </c>
      <c r="AF16" s="112" t="n">
        <v>11.0452777777682</v>
      </c>
      <c r="AG16" s="103" t="n">
        <v>13</v>
      </c>
      <c r="AH16" s="113" t="n">
        <v>45435</v>
      </c>
      <c r="AI16" s="114" t="n">
        <v>45435.6701388889</v>
      </c>
      <c r="AJ16" s="115" t="s">
        <v>182</v>
      </c>
      <c r="AK16" s="99" t="s">
        <v>183</v>
      </c>
      <c r="AL16" s="111" t="n">
        <f aca="false">(AI16-AA16)*24</f>
        <v>-1.29138888971667</v>
      </c>
      <c r="AM16" s="111" t="n">
        <f aca="false">AM$2-AH16</f>
        <v>49</v>
      </c>
      <c r="AN16" s="99" t="n">
        <v>30</v>
      </c>
      <c r="AO16" s="99" t="s">
        <v>173</v>
      </c>
      <c r="AP16" s="99"/>
      <c r="AQ16" s="103" t="n">
        <v>1</v>
      </c>
      <c r="AR16" s="116" t="n">
        <v>45601</v>
      </c>
      <c r="AS16" s="109"/>
      <c r="AT16" s="113" t="n">
        <f aca="false">AH16+145</f>
        <v>45580</v>
      </c>
      <c r="AU16" s="117" t="s">
        <v>173</v>
      </c>
      <c r="AV16" s="99" t="n">
        <f aca="false">AR16-AH16</f>
        <v>166</v>
      </c>
      <c r="AW16" s="103"/>
      <c r="AX16" s="99"/>
      <c r="AY16" s="97" t="n">
        <v>41</v>
      </c>
      <c r="AZ16" s="97" t="n">
        <v>230102</v>
      </c>
    </row>
    <row r="17" customFormat="false" ht="14.25" hidden="false" customHeight="false" outlineLevel="0" collapsed="false">
      <c r="A17" s="97" t="n">
        <v>40</v>
      </c>
      <c r="B17" s="97" t="n">
        <v>220244</v>
      </c>
      <c r="C17" s="98" t="s">
        <v>70</v>
      </c>
      <c r="D17" s="99" t="n">
        <v>88284</v>
      </c>
      <c r="E17" s="100" t="n">
        <v>44485</v>
      </c>
      <c r="F17" s="101" t="n">
        <v>2</v>
      </c>
      <c r="G17" s="102" t="n">
        <v>45235</v>
      </c>
      <c r="H17" s="103" t="n">
        <v>1</v>
      </c>
      <c r="I17" s="104" t="n">
        <v>200</v>
      </c>
      <c r="J17" s="105" t="n">
        <f aca="false">J$3-G17</f>
        <v>198</v>
      </c>
      <c r="K17" s="106" t="n">
        <v>2.5</v>
      </c>
      <c r="L17" s="106" t="n">
        <v>2.5</v>
      </c>
      <c r="M17" s="106" t="n">
        <v>2.25</v>
      </c>
      <c r="N17" s="106" t="n">
        <v>2.25</v>
      </c>
      <c r="O17" s="108" t="n">
        <v>-58</v>
      </c>
      <c r="P17" s="108" t="n">
        <v>113</v>
      </c>
      <c r="Q17" s="108" t="n">
        <v>79.4</v>
      </c>
      <c r="R17" s="108" t="n">
        <v>85</v>
      </c>
      <c r="S17" s="108" t="n">
        <v>1400</v>
      </c>
      <c r="T17" s="108" t="n">
        <v>1460</v>
      </c>
      <c r="U17" s="108" t="n">
        <v>1360</v>
      </c>
      <c r="V17" s="108" t="n">
        <v>1500</v>
      </c>
      <c r="W17" s="108" t="n">
        <v>1500</v>
      </c>
      <c r="X17" s="109" t="n">
        <v>1500</v>
      </c>
      <c r="Y17" s="109" t="n">
        <v>1300</v>
      </c>
      <c r="Z17" s="103" t="n">
        <v>7</v>
      </c>
      <c r="AA17" s="110" t="n">
        <v>45434.519212963</v>
      </c>
      <c r="AB17" s="110" t="n">
        <v>45434.9551736111</v>
      </c>
      <c r="AC17" s="111" t="n">
        <f aca="false">(AA17-$AC$2)*24</f>
        <v>29.4277777777778</v>
      </c>
      <c r="AD17" s="111" t="n">
        <f aca="false">AC17+35</f>
        <v>64.4277777777778</v>
      </c>
      <c r="AE17" s="112" t="n">
        <v>10.4630555554759</v>
      </c>
      <c r="AF17" s="112" t="n">
        <v>10.4630555554759</v>
      </c>
      <c r="AG17" s="103" t="n">
        <v>25</v>
      </c>
      <c r="AH17" s="113" t="n">
        <v>45435</v>
      </c>
      <c r="AI17" s="114" t="n">
        <v>45435.6625</v>
      </c>
      <c r="AJ17" s="115" t="s">
        <v>174</v>
      </c>
      <c r="AK17" s="99" t="s">
        <v>175</v>
      </c>
      <c r="AL17" s="111" t="n">
        <f aca="false">(AI17-AA17)*24</f>
        <v>27.4388888879328</v>
      </c>
      <c r="AM17" s="111" t="n">
        <f aca="false">AM$2-AH17</f>
        <v>49</v>
      </c>
      <c r="AN17" s="99" t="n">
        <v>50</v>
      </c>
      <c r="AO17" s="99" t="s">
        <v>12</v>
      </c>
      <c r="AP17" s="99"/>
      <c r="AQ17" s="103" t="n">
        <v>1</v>
      </c>
      <c r="AR17" s="116" t="n">
        <v>45582</v>
      </c>
      <c r="AS17" s="109"/>
      <c r="AT17" s="113" t="n">
        <f aca="false">AH17+145</f>
        <v>45580</v>
      </c>
      <c r="AU17" s="99" t="s">
        <v>178</v>
      </c>
      <c r="AV17" s="99" t="n">
        <f aca="false">AR17-AH17</f>
        <v>147</v>
      </c>
      <c r="AW17" s="103"/>
      <c r="AX17" s="99"/>
      <c r="AY17" s="97" t="n">
        <v>40</v>
      </c>
      <c r="AZ17" s="97" t="n">
        <v>220244</v>
      </c>
    </row>
    <row r="18" customFormat="false" ht="14.25" hidden="false" customHeight="false" outlineLevel="0" collapsed="false">
      <c r="A18" s="97" t="n">
        <v>39</v>
      </c>
      <c r="B18" s="97" t="n">
        <v>220243</v>
      </c>
      <c r="C18" s="98" t="s">
        <v>70</v>
      </c>
      <c r="D18" s="99" t="n">
        <v>88826</v>
      </c>
      <c r="E18" s="100" t="n">
        <v>44485</v>
      </c>
      <c r="F18" s="101" t="n">
        <v>2</v>
      </c>
      <c r="G18" s="102" t="n">
        <v>45269</v>
      </c>
      <c r="H18" s="103" t="n">
        <v>1</v>
      </c>
      <c r="I18" s="104" t="n">
        <v>166</v>
      </c>
      <c r="J18" s="105" t="n">
        <f aca="false">J$3-G18</f>
        <v>164</v>
      </c>
      <c r="K18" s="106" t="n">
        <v>2.5</v>
      </c>
      <c r="L18" s="106" t="n">
        <v>2.5</v>
      </c>
      <c r="M18" s="106" t="n">
        <v>2.25</v>
      </c>
      <c r="N18" s="106" t="n">
        <v>2.5</v>
      </c>
      <c r="O18" s="108" t="n">
        <v>111</v>
      </c>
      <c r="P18" s="108" t="n">
        <v>204</v>
      </c>
      <c r="Q18" s="108" t="n">
        <v>134.7</v>
      </c>
      <c r="R18" s="108" t="n">
        <v>135</v>
      </c>
      <c r="S18" s="108" t="n">
        <v>1600</v>
      </c>
      <c r="T18" s="108" t="n">
        <v>1520</v>
      </c>
      <c r="U18" s="108" t="n">
        <v>1500</v>
      </c>
      <c r="V18" s="108" t="n">
        <v>1500</v>
      </c>
      <c r="W18" s="108" t="n">
        <v>1700</v>
      </c>
      <c r="X18" s="109" t="n">
        <v>1500</v>
      </c>
      <c r="Y18" s="109" t="n">
        <v>1200</v>
      </c>
      <c r="Z18" s="103"/>
      <c r="AA18" s="110"/>
      <c r="AB18" s="110"/>
      <c r="AC18" s="111"/>
      <c r="AD18" s="111"/>
      <c r="AE18" s="112"/>
      <c r="AF18" s="112"/>
      <c r="AG18" s="103"/>
      <c r="AH18" s="113" t="n">
        <v>45435</v>
      </c>
      <c r="AI18" s="114" t="n">
        <v>45435.6722222222</v>
      </c>
      <c r="AJ18" s="115" t="s">
        <v>191</v>
      </c>
      <c r="AK18" s="99" t="s">
        <v>192</v>
      </c>
      <c r="AL18" s="111"/>
      <c r="AM18" s="111" t="n">
        <f aca="false">AM$2-AH18</f>
        <v>49</v>
      </c>
      <c r="AN18" s="99" t="n">
        <v>0</v>
      </c>
      <c r="AO18" s="99" t="s">
        <v>184</v>
      </c>
      <c r="AP18" s="99"/>
      <c r="AQ18" s="103" t="n">
        <v>1</v>
      </c>
      <c r="AR18" s="116" t="n">
        <v>45600</v>
      </c>
      <c r="AS18" s="109"/>
      <c r="AT18" s="113" t="n">
        <f aca="false">AH18+145</f>
        <v>45580</v>
      </c>
      <c r="AU18" s="117" t="s">
        <v>173</v>
      </c>
      <c r="AV18" s="99" t="n">
        <f aca="false">AR18-AH18</f>
        <v>165</v>
      </c>
      <c r="AW18" s="118" t="s">
        <v>186</v>
      </c>
      <c r="AX18" s="99"/>
      <c r="AY18" s="97" t="n">
        <v>39</v>
      </c>
      <c r="AZ18" s="97" t="n">
        <v>220243</v>
      </c>
    </row>
    <row r="19" customFormat="false" ht="14.25" hidden="false" customHeight="false" outlineLevel="0" collapsed="false">
      <c r="A19" s="97" t="n">
        <v>38</v>
      </c>
      <c r="B19" s="97" t="n">
        <v>220242</v>
      </c>
      <c r="C19" s="98" t="s">
        <v>70</v>
      </c>
      <c r="D19" s="99" t="n">
        <v>88831</v>
      </c>
      <c r="E19" s="100" t="n">
        <v>44485</v>
      </c>
      <c r="F19" s="101" t="n">
        <v>2</v>
      </c>
      <c r="G19" s="102" t="n">
        <v>45253</v>
      </c>
      <c r="H19" s="103" t="n">
        <v>1</v>
      </c>
      <c r="I19" s="104" t="n">
        <v>182</v>
      </c>
      <c r="J19" s="105" t="n">
        <f aca="false">J$3-G19</f>
        <v>180</v>
      </c>
      <c r="K19" s="106" t="n">
        <v>2.5</v>
      </c>
      <c r="L19" s="106" t="n">
        <v>2.75</v>
      </c>
      <c r="M19" s="106" t="n">
        <v>2.25</v>
      </c>
      <c r="N19" s="106" t="n">
        <v>2.25</v>
      </c>
      <c r="O19" s="108" t="n">
        <v>-40</v>
      </c>
      <c r="P19" s="108" t="n">
        <v>-79</v>
      </c>
      <c r="Q19" s="108" t="n">
        <v>84.9</v>
      </c>
      <c r="R19" s="108" t="n">
        <v>149</v>
      </c>
      <c r="S19" s="107"/>
      <c r="T19" s="108" t="n">
        <v>220</v>
      </c>
      <c r="U19" s="108" t="n">
        <v>660</v>
      </c>
      <c r="V19" s="108" t="n">
        <v>660</v>
      </c>
      <c r="W19" s="108" t="n">
        <v>1100</v>
      </c>
      <c r="X19" s="109" t="n">
        <v>1200</v>
      </c>
      <c r="Y19" s="109" t="n">
        <v>700</v>
      </c>
      <c r="Z19" s="103" t="n">
        <v>6</v>
      </c>
      <c r="AA19" s="110" t="n">
        <v>45434.4776273148</v>
      </c>
      <c r="AB19" s="110" t="n">
        <v>45434.4778472222</v>
      </c>
      <c r="AC19" s="111" t="n">
        <f aca="false">(AA19-$AC$2)*24</f>
        <v>28.4297222208114</v>
      </c>
      <c r="AD19" s="111" t="n">
        <f aca="false">AC19+35</f>
        <v>63.4297222208114</v>
      </c>
      <c r="AE19" s="112" t="n">
        <v>0.00527777778916061</v>
      </c>
      <c r="AF19" s="112" t="n">
        <v>1</v>
      </c>
      <c r="AG19" s="103" t="n">
        <v>4</v>
      </c>
      <c r="AH19" s="113" t="n">
        <v>45435</v>
      </c>
      <c r="AI19" s="114" t="n">
        <v>45435.675</v>
      </c>
      <c r="AJ19" s="115" t="s">
        <v>171</v>
      </c>
      <c r="AK19" s="99" t="s">
        <v>172</v>
      </c>
      <c r="AL19" s="111" t="n">
        <f aca="false">(AI19-AA19)*24</f>
        <v>28.7369444448267</v>
      </c>
      <c r="AM19" s="111" t="n">
        <f aca="false">AM$2-AH19</f>
        <v>49</v>
      </c>
      <c r="AN19" s="99" t="n">
        <v>50</v>
      </c>
      <c r="AO19" s="99" t="s">
        <v>12</v>
      </c>
      <c r="AP19" s="99"/>
      <c r="AQ19" s="103" t="n">
        <v>1</v>
      </c>
      <c r="AR19" s="116" t="n">
        <v>45583</v>
      </c>
      <c r="AS19" s="109"/>
      <c r="AT19" s="113" t="n">
        <f aca="false">AH19+145</f>
        <v>45580</v>
      </c>
      <c r="AU19" s="99" t="s">
        <v>178</v>
      </c>
      <c r="AV19" s="99" t="n">
        <f aca="false">AR19-AH19</f>
        <v>148</v>
      </c>
      <c r="AW19" s="103"/>
      <c r="AX19" s="99"/>
      <c r="AY19" s="97" t="n">
        <v>38</v>
      </c>
      <c r="AZ19" s="97" t="n">
        <v>220242</v>
      </c>
    </row>
    <row r="20" customFormat="false" ht="14.25" hidden="false" customHeight="false" outlineLevel="0" collapsed="false">
      <c r="A20" s="97" t="n">
        <v>37</v>
      </c>
      <c r="B20" s="97" t="n">
        <v>220239</v>
      </c>
      <c r="C20" s="98" t="s">
        <v>70</v>
      </c>
      <c r="D20" s="99" t="n">
        <v>88940</v>
      </c>
      <c r="E20" s="100" t="n">
        <v>44486</v>
      </c>
      <c r="F20" s="101" t="n">
        <v>2</v>
      </c>
      <c r="G20" s="102" t="n">
        <v>45240</v>
      </c>
      <c r="H20" s="103" t="n">
        <v>1</v>
      </c>
      <c r="I20" s="104" t="n">
        <v>195</v>
      </c>
      <c r="J20" s="105" t="n">
        <f aca="false">J$3-G20</f>
        <v>193</v>
      </c>
      <c r="K20" s="106" t="n">
        <v>2.5</v>
      </c>
      <c r="L20" s="106" t="n">
        <v>2.25</v>
      </c>
      <c r="M20" s="106" t="n">
        <v>2</v>
      </c>
      <c r="N20" s="106" t="n">
        <v>2.25</v>
      </c>
      <c r="O20" s="108" t="n">
        <v>30</v>
      </c>
      <c r="P20" s="108" t="n">
        <v>114</v>
      </c>
      <c r="Q20" s="108" t="n">
        <v>82.9</v>
      </c>
      <c r="R20" s="108" t="n">
        <v>83</v>
      </c>
      <c r="S20" s="108" t="n">
        <v>1500</v>
      </c>
      <c r="T20" s="108" t="n">
        <v>1340</v>
      </c>
      <c r="U20" s="108" t="n">
        <v>920</v>
      </c>
      <c r="V20" s="108" t="n">
        <v>900</v>
      </c>
      <c r="W20" s="108" t="n">
        <v>1300</v>
      </c>
      <c r="X20" s="109" t="n">
        <v>940</v>
      </c>
      <c r="Y20" s="109" t="n">
        <v>700</v>
      </c>
      <c r="Z20" s="103" t="n">
        <v>28</v>
      </c>
      <c r="AA20" s="110" t="n">
        <v>45435.7447916667</v>
      </c>
      <c r="AB20" s="110" t="n">
        <v>45435.7447916667</v>
      </c>
      <c r="AC20" s="111" t="n">
        <f aca="false">(AA20-$AC$2)*24</f>
        <v>58.8416666663833</v>
      </c>
      <c r="AD20" s="111" t="n">
        <f aca="false">AC20+35</f>
        <v>93.8416666663833</v>
      </c>
      <c r="AE20" s="112" t="n">
        <v>0</v>
      </c>
      <c r="AF20" s="112" t="n">
        <v>1</v>
      </c>
      <c r="AG20" s="103" t="n">
        <v>1</v>
      </c>
      <c r="AH20" s="113" t="n">
        <v>45435</v>
      </c>
      <c r="AI20" s="114" t="n">
        <v>45435.6604166667</v>
      </c>
      <c r="AJ20" s="115" t="s">
        <v>187</v>
      </c>
      <c r="AK20" s="99" t="s">
        <v>188</v>
      </c>
      <c r="AL20" s="111" t="n">
        <f aca="false">(AI20-AA20)*24</f>
        <v>-2.025</v>
      </c>
      <c r="AM20" s="111" t="n">
        <f aca="false">AM$2-AH20</f>
        <v>49</v>
      </c>
      <c r="AN20" s="99" t="n">
        <v>50</v>
      </c>
      <c r="AO20" s="99" t="s">
        <v>12</v>
      </c>
      <c r="AP20" s="99"/>
      <c r="AQ20" s="103" t="n">
        <v>1</v>
      </c>
      <c r="AR20" s="116" t="n">
        <v>45583</v>
      </c>
      <c r="AS20" s="109"/>
      <c r="AT20" s="113" t="n">
        <f aca="false">AH20+145</f>
        <v>45580</v>
      </c>
      <c r="AU20" s="99" t="s">
        <v>178</v>
      </c>
      <c r="AV20" s="99" t="n">
        <f aca="false">AR20-AH20</f>
        <v>148</v>
      </c>
      <c r="AW20" s="103"/>
      <c r="AX20" s="99"/>
      <c r="AY20" s="97" t="n">
        <v>37</v>
      </c>
      <c r="AZ20" s="97" t="n">
        <v>220239</v>
      </c>
    </row>
    <row r="21" customFormat="false" ht="14.25" hidden="false" customHeight="false" outlineLevel="0" collapsed="false">
      <c r="A21" s="97" t="n">
        <v>36</v>
      </c>
      <c r="B21" s="97" t="n">
        <v>220235</v>
      </c>
      <c r="C21" s="98" t="s">
        <v>70</v>
      </c>
      <c r="D21" s="99" t="n">
        <v>89008</v>
      </c>
      <c r="E21" s="100" t="n">
        <v>44485</v>
      </c>
      <c r="F21" s="101" t="n">
        <v>2</v>
      </c>
      <c r="G21" s="102" t="n">
        <v>45217</v>
      </c>
      <c r="H21" s="103" t="n">
        <v>1</v>
      </c>
      <c r="I21" s="104" t="n">
        <v>218</v>
      </c>
      <c r="J21" s="105" t="n">
        <f aca="false">J$3-G21</f>
        <v>216</v>
      </c>
      <c r="K21" s="106" t="n">
        <v>2.5</v>
      </c>
      <c r="L21" s="106" t="n">
        <v>2.5</v>
      </c>
      <c r="M21" s="106" t="n">
        <v>2.25</v>
      </c>
      <c r="N21" s="106" t="n">
        <v>2.5</v>
      </c>
      <c r="O21" s="108" t="n">
        <v>50</v>
      </c>
      <c r="P21" s="108" t="n">
        <v>174</v>
      </c>
      <c r="Q21" s="108" t="n">
        <v>121.3</v>
      </c>
      <c r="R21" s="108" t="n">
        <v>152</v>
      </c>
      <c r="S21" s="108" t="n">
        <v>1900</v>
      </c>
      <c r="T21" s="108" t="n">
        <v>1900</v>
      </c>
      <c r="U21" s="108" t="n">
        <v>1300</v>
      </c>
      <c r="V21" s="108" t="n">
        <v>1100</v>
      </c>
      <c r="W21" s="108" t="n">
        <v>1400</v>
      </c>
      <c r="X21" s="109" t="n">
        <v>1300</v>
      </c>
      <c r="Y21" s="109" t="n">
        <v>900</v>
      </c>
      <c r="Z21" s="103" t="n">
        <v>13</v>
      </c>
      <c r="AA21" s="110" t="n">
        <v>45434.7554398148</v>
      </c>
      <c r="AB21" s="110" t="n">
        <v>45434.9328703704</v>
      </c>
      <c r="AC21" s="111" t="n">
        <f aca="false">(AA21-$AC$2)*24</f>
        <v>35.0972222207344</v>
      </c>
      <c r="AD21" s="111" t="n">
        <f aca="false">AC21+35</f>
        <v>70.0972222207344</v>
      </c>
      <c r="AE21" s="112" t="n">
        <v>4.25833333341871</v>
      </c>
      <c r="AF21" s="112" t="n">
        <v>4.25833333341871</v>
      </c>
      <c r="AG21" s="103" t="n">
        <v>19</v>
      </c>
      <c r="AH21" s="113" t="n">
        <v>45435</v>
      </c>
      <c r="AI21" s="114" t="n">
        <v>45435.6715277778</v>
      </c>
      <c r="AJ21" s="115" t="s">
        <v>187</v>
      </c>
      <c r="AK21" s="99" t="s">
        <v>188</v>
      </c>
      <c r="AL21" s="111" t="n">
        <f aca="false">(AI21-AA21)*24</f>
        <v>21.9861111119969</v>
      </c>
      <c r="AM21" s="111" t="n">
        <f aca="false">AM$2-AH21</f>
        <v>49</v>
      </c>
      <c r="AN21" s="99" t="n">
        <v>50</v>
      </c>
      <c r="AO21" s="99" t="s">
        <v>12</v>
      </c>
      <c r="AP21" s="99"/>
      <c r="AQ21" s="103" t="n">
        <v>1</v>
      </c>
      <c r="AR21" s="116" t="n">
        <v>45583</v>
      </c>
      <c r="AS21" s="109"/>
      <c r="AT21" s="113" t="n">
        <f aca="false">AH21+145</f>
        <v>45580</v>
      </c>
      <c r="AU21" s="99" t="s">
        <v>178</v>
      </c>
      <c r="AV21" s="99" t="n">
        <f aca="false">AR21-AH21</f>
        <v>148</v>
      </c>
      <c r="AW21" s="103"/>
      <c r="AX21" s="99"/>
      <c r="AY21" s="97" t="n">
        <v>36</v>
      </c>
      <c r="AZ21" s="97" t="n">
        <v>220235</v>
      </c>
    </row>
    <row r="22" customFormat="false" ht="14.25" hidden="false" customHeight="false" outlineLevel="0" collapsed="false">
      <c r="A22" s="97" t="n">
        <v>35</v>
      </c>
      <c r="B22" s="97" t="n">
        <v>220234</v>
      </c>
      <c r="C22" s="98" t="s">
        <v>70</v>
      </c>
      <c r="D22" s="99" t="n">
        <v>88767</v>
      </c>
      <c r="E22" s="100" t="n">
        <v>44486</v>
      </c>
      <c r="F22" s="101" t="n">
        <v>2</v>
      </c>
      <c r="G22" s="102" t="n">
        <v>45238</v>
      </c>
      <c r="H22" s="103" t="n">
        <v>1</v>
      </c>
      <c r="I22" s="104" t="n">
        <v>197</v>
      </c>
      <c r="J22" s="105" t="n">
        <f aca="false">J$3-G22</f>
        <v>195</v>
      </c>
      <c r="K22" s="106" t="n">
        <v>2.5</v>
      </c>
      <c r="L22" s="106" t="n">
        <v>2.5</v>
      </c>
      <c r="M22" s="106" t="n">
        <v>2.25</v>
      </c>
      <c r="N22" s="106" t="n">
        <v>2.25</v>
      </c>
      <c r="O22" s="108" t="n">
        <v>97</v>
      </c>
      <c r="P22" s="108" t="n">
        <v>88</v>
      </c>
      <c r="Q22" s="108" t="n">
        <v>64.8</v>
      </c>
      <c r="R22" s="108" t="n">
        <v>85</v>
      </c>
      <c r="S22" s="108" t="n">
        <v>1440</v>
      </c>
      <c r="T22" s="108" t="n">
        <v>1200</v>
      </c>
      <c r="U22" s="108" t="n">
        <v>860</v>
      </c>
      <c r="V22" s="108" t="n">
        <v>900</v>
      </c>
      <c r="W22" s="108" t="n">
        <v>780</v>
      </c>
      <c r="X22" s="109" t="n">
        <v>740</v>
      </c>
      <c r="Y22" s="109" t="n">
        <v>520</v>
      </c>
      <c r="Z22" s="103" t="n">
        <v>23</v>
      </c>
      <c r="AA22" s="110" t="n">
        <v>45434.969537037</v>
      </c>
      <c r="AB22" s="110" t="n">
        <v>45435.0578935185</v>
      </c>
      <c r="AC22" s="111" t="n">
        <f aca="false">(AA22-$AC$2)*24</f>
        <v>40.2355555536342</v>
      </c>
      <c r="AD22" s="111" t="n">
        <f aca="false">AC22+35</f>
        <v>75.2355555536342</v>
      </c>
      <c r="AE22" s="112" t="n">
        <v>2.12055555550614</v>
      </c>
      <c r="AF22" s="112" t="n">
        <v>2.12055555550614</v>
      </c>
      <c r="AG22" s="103" t="n">
        <v>13</v>
      </c>
      <c r="AH22" s="113" t="n">
        <v>45435</v>
      </c>
      <c r="AI22" s="114" t="n">
        <v>45435.6791666667</v>
      </c>
      <c r="AJ22" s="115" t="s">
        <v>174</v>
      </c>
      <c r="AK22" s="99" t="s">
        <v>175</v>
      </c>
      <c r="AL22" s="111" t="n">
        <f aca="false">(AI22-AA22)*24</f>
        <v>17.0311111126792</v>
      </c>
      <c r="AM22" s="111" t="n">
        <f aca="false">AM$2-AH22</f>
        <v>49</v>
      </c>
      <c r="AN22" s="99" t="n">
        <v>50</v>
      </c>
      <c r="AO22" s="99" t="s">
        <v>12</v>
      </c>
      <c r="AP22" s="99"/>
      <c r="AQ22" s="103" t="n">
        <v>2</v>
      </c>
      <c r="AR22" s="116" t="n">
        <v>45587</v>
      </c>
      <c r="AS22" s="109"/>
      <c r="AT22" s="113" t="n">
        <f aca="false">AH22+145</f>
        <v>45580</v>
      </c>
      <c r="AU22" s="99" t="s">
        <v>178</v>
      </c>
      <c r="AV22" s="99" t="n">
        <f aca="false">AR22-AH22</f>
        <v>152</v>
      </c>
      <c r="AW22" s="103"/>
      <c r="AX22" s="99"/>
      <c r="AY22" s="97" t="n">
        <v>35</v>
      </c>
      <c r="AZ22" s="97" t="n">
        <v>220234</v>
      </c>
    </row>
    <row r="23" customFormat="false" ht="14.25" hidden="false" customHeight="false" outlineLevel="0" collapsed="false">
      <c r="A23" s="97" t="n">
        <v>34</v>
      </c>
      <c r="B23" s="97" t="n">
        <v>220231</v>
      </c>
      <c r="C23" s="98" t="s">
        <v>70</v>
      </c>
      <c r="D23" s="99" t="n">
        <v>89277</v>
      </c>
      <c r="E23" s="100" t="n">
        <v>44488</v>
      </c>
      <c r="F23" s="101" t="n">
        <v>2</v>
      </c>
      <c r="G23" s="102" t="n">
        <v>45238</v>
      </c>
      <c r="H23" s="103" t="n">
        <v>1</v>
      </c>
      <c r="I23" s="104" t="n">
        <v>197</v>
      </c>
      <c r="J23" s="105" t="n">
        <f aca="false">J$3-G23</f>
        <v>195</v>
      </c>
      <c r="K23" s="106" t="n">
        <v>2.25</v>
      </c>
      <c r="L23" s="106" t="n">
        <v>2.5</v>
      </c>
      <c r="M23" s="106" t="n">
        <v>2</v>
      </c>
      <c r="N23" s="106" t="n">
        <v>2.5</v>
      </c>
      <c r="O23" s="108" t="n">
        <v>-109</v>
      </c>
      <c r="P23" s="108" t="n">
        <v>37</v>
      </c>
      <c r="Q23" s="108" t="n">
        <v>69.1</v>
      </c>
      <c r="R23" s="108" t="n">
        <v>116</v>
      </c>
      <c r="S23" s="108" t="n">
        <v>1040</v>
      </c>
      <c r="T23" s="108" t="n">
        <v>1000</v>
      </c>
      <c r="U23" s="108" t="n">
        <v>940</v>
      </c>
      <c r="V23" s="108" t="n">
        <v>860</v>
      </c>
      <c r="W23" s="108" t="n">
        <v>840</v>
      </c>
      <c r="X23" s="109" t="n">
        <v>1000</v>
      </c>
      <c r="Y23" s="109" t="n">
        <v>700</v>
      </c>
      <c r="Z23" s="103" t="n">
        <v>22</v>
      </c>
      <c r="AA23" s="110" t="n">
        <v>45434.9658796296</v>
      </c>
      <c r="AB23" s="110" t="n">
        <v>45435.0354282407</v>
      </c>
      <c r="AC23" s="111" t="n">
        <f aca="false">(AA23-$AC$2)*24</f>
        <v>40.1477777759428</v>
      </c>
      <c r="AD23" s="111" t="n">
        <f aca="false">AC23+35</f>
        <v>75.1477777759428</v>
      </c>
      <c r="AE23" s="112" t="n">
        <v>1.66916666674661</v>
      </c>
      <c r="AF23" s="112" t="n">
        <v>1.66916666674661</v>
      </c>
      <c r="AG23" s="103" t="n">
        <v>7</v>
      </c>
      <c r="AH23" s="113" t="n">
        <v>45435</v>
      </c>
      <c r="AI23" s="114" t="n">
        <v>45435.6736111111</v>
      </c>
      <c r="AJ23" s="115" t="s">
        <v>179</v>
      </c>
      <c r="AK23" s="99" t="s">
        <v>180</v>
      </c>
      <c r="AL23" s="111" t="n">
        <f aca="false">(AI23-AA23)*24</f>
        <v>16.9855555560789</v>
      </c>
      <c r="AM23" s="111" t="n">
        <f aca="false">AM$2-AH23</f>
        <v>49</v>
      </c>
      <c r="AN23" s="99" t="n">
        <v>50</v>
      </c>
      <c r="AO23" s="99" t="s">
        <v>12</v>
      </c>
      <c r="AP23" s="99"/>
      <c r="AQ23" s="103" t="n">
        <v>2</v>
      </c>
      <c r="AR23" s="116" t="n">
        <v>45585</v>
      </c>
      <c r="AS23" s="109"/>
      <c r="AT23" s="113" t="n">
        <f aca="false">AH23+145</f>
        <v>45580</v>
      </c>
      <c r="AU23" s="99" t="s">
        <v>178</v>
      </c>
      <c r="AV23" s="99" t="n">
        <f aca="false">AR23-AH23</f>
        <v>150</v>
      </c>
      <c r="AW23" s="103"/>
      <c r="AX23" s="99"/>
      <c r="AY23" s="97" t="n">
        <v>34</v>
      </c>
      <c r="AZ23" s="97" t="n">
        <v>220231</v>
      </c>
    </row>
    <row r="24" customFormat="false" ht="14.25" hidden="false" customHeight="false" outlineLevel="0" collapsed="false">
      <c r="A24" s="97" t="n">
        <v>33</v>
      </c>
      <c r="B24" s="97" t="n">
        <v>220229</v>
      </c>
      <c r="C24" s="98" t="s">
        <v>70</v>
      </c>
      <c r="D24" s="99" t="n">
        <v>88592</v>
      </c>
      <c r="E24" s="100" t="n">
        <v>44483</v>
      </c>
      <c r="F24" s="101" t="n">
        <v>2</v>
      </c>
      <c r="G24" s="102" t="n">
        <v>45219</v>
      </c>
      <c r="H24" s="103" t="n">
        <v>1</v>
      </c>
      <c r="I24" s="104" t="n">
        <v>216</v>
      </c>
      <c r="J24" s="105" t="n">
        <f aca="false">J$3-G24</f>
        <v>214</v>
      </c>
      <c r="K24" s="106" t="n">
        <v>2.5</v>
      </c>
      <c r="L24" s="106" t="n">
        <v>2.5</v>
      </c>
      <c r="M24" s="106" t="n">
        <v>2.5</v>
      </c>
      <c r="N24" s="106" t="n">
        <v>2.5</v>
      </c>
      <c r="O24" s="107"/>
      <c r="P24" s="108" t="n">
        <v>25</v>
      </c>
      <c r="Q24" s="107"/>
      <c r="R24" s="107"/>
      <c r="S24" s="108" t="n">
        <v>800</v>
      </c>
      <c r="T24" s="108" t="n">
        <v>1000</v>
      </c>
      <c r="U24" s="108" t="n">
        <v>920</v>
      </c>
      <c r="V24" s="108" t="n">
        <v>900</v>
      </c>
      <c r="W24" s="108" t="n">
        <v>800</v>
      </c>
      <c r="X24" s="109" t="n">
        <v>800</v>
      </c>
      <c r="Y24" s="109" t="n">
        <v>700</v>
      </c>
      <c r="Z24" s="103" t="n">
        <v>20</v>
      </c>
      <c r="AA24" s="110" t="n">
        <v>45434.9254282407</v>
      </c>
      <c r="AB24" s="110" t="n">
        <v>45434.9254513889</v>
      </c>
      <c r="AC24" s="111" t="n">
        <f aca="false">(AA24-$AC$2)*24</f>
        <v>39.1769444423261</v>
      </c>
      <c r="AD24" s="111" t="n">
        <f aca="false">AC24+35</f>
        <v>74.1769444423261</v>
      </c>
      <c r="AE24" s="112" t="n">
        <v>0.000555555510800332</v>
      </c>
      <c r="AF24" s="112" t="n">
        <v>1</v>
      </c>
      <c r="AG24" s="103" t="n">
        <v>3</v>
      </c>
      <c r="AH24" s="113" t="n">
        <v>45435</v>
      </c>
      <c r="AI24" s="114" t="n">
        <v>45435.6604166667</v>
      </c>
      <c r="AJ24" s="115" t="s">
        <v>189</v>
      </c>
      <c r="AK24" s="99" t="s">
        <v>190</v>
      </c>
      <c r="AL24" s="111" t="n">
        <f aca="false">(AI24-AA24)*24</f>
        <v>17.6397222240919</v>
      </c>
      <c r="AM24" s="111" t="n">
        <f aca="false">AM$2-AH24</f>
        <v>49</v>
      </c>
      <c r="AN24" s="99" t="n">
        <v>50</v>
      </c>
      <c r="AO24" s="99" t="s">
        <v>12</v>
      </c>
      <c r="AP24" s="99"/>
      <c r="AQ24" s="103" t="n">
        <v>2</v>
      </c>
      <c r="AR24" s="116" t="n">
        <v>45582</v>
      </c>
      <c r="AS24" s="109"/>
      <c r="AT24" s="113" t="n">
        <f aca="false">AH24+145</f>
        <v>45580</v>
      </c>
      <c r="AU24" s="99" t="s">
        <v>178</v>
      </c>
      <c r="AV24" s="99" t="n">
        <f aca="false">AR24-AH24</f>
        <v>147</v>
      </c>
      <c r="AW24" s="103"/>
      <c r="AX24" s="99"/>
      <c r="AY24" s="97" t="n">
        <v>33</v>
      </c>
      <c r="AZ24" s="97" t="n">
        <v>220229</v>
      </c>
    </row>
    <row r="25" customFormat="false" ht="14.25" hidden="false" customHeight="false" outlineLevel="0" collapsed="false">
      <c r="A25" s="119" t="n">
        <v>32</v>
      </c>
      <c r="B25" s="119" t="n">
        <v>220228</v>
      </c>
      <c r="C25" s="120" t="s">
        <v>70</v>
      </c>
      <c r="D25" s="121"/>
      <c r="E25" s="100"/>
      <c r="F25" s="122" t="n">
        <v>2</v>
      </c>
      <c r="G25" s="123" t="n">
        <v>45236</v>
      </c>
      <c r="H25" s="103"/>
      <c r="I25" s="124" t="n">
        <v>199</v>
      </c>
      <c r="J25" s="125" t="n">
        <f aca="false">J$3-G25</f>
        <v>197</v>
      </c>
      <c r="K25" s="126"/>
      <c r="L25" s="126"/>
      <c r="M25" s="126"/>
      <c r="N25" s="126"/>
      <c r="O25" s="127" t="n">
        <v>182</v>
      </c>
      <c r="P25" s="127" t="n">
        <v>288</v>
      </c>
      <c r="Q25" s="127" t="n">
        <v>181.2</v>
      </c>
      <c r="R25" s="127" t="n">
        <v>120</v>
      </c>
      <c r="S25" s="127" t="n">
        <v>1900</v>
      </c>
      <c r="T25" s="127" t="n">
        <v>1500</v>
      </c>
      <c r="U25" s="127" t="n">
        <v>1560</v>
      </c>
      <c r="V25" s="127"/>
      <c r="W25" s="127"/>
      <c r="X25" s="128"/>
      <c r="Y25" s="128"/>
      <c r="Z25" s="129"/>
      <c r="AA25" s="130"/>
      <c r="AB25" s="130"/>
      <c r="AC25" s="130"/>
      <c r="AD25" s="130"/>
      <c r="AE25" s="131"/>
      <c r="AF25" s="131"/>
      <c r="AG25" s="129"/>
      <c r="AH25" s="132"/>
      <c r="AI25" s="132"/>
      <c r="AJ25" s="132"/>
      <c r="AK25" s="132"/>
      <c r="AL25" s="133"/>
      <c r="AM25" s="133"/>
      <c r="AN25" s="121"/>
      <c r="AO25" s="121"/>
      <c r="AP25" s="121"/>
      <c r="AQ25" s="128"/>
      <c r="AR25" s="134"/>
      <c r="AS25" s="128"/>
      <c r="AT25" s="128"/>
      <c r="AU25" s="128"/>
      <c r="AV25" s="128"/>
      <c r="AW25" s="128"/>
      <c r="AX25" s="121"/>
      <c r="AY25" s="119" t="n">
        <v>32</v>
      </c>
      <c r="AZ25" s="119" t="n">
        <v>220228</v>
      </c>
    </row>
    <row r="26" customFormat="false" ht="14.25" hidden="false" customHeight="false" outlineLevel="0" collapsed="false">
      <c r="A26" s="97" t="n">
        <v>31</v>
      </c>
      <c r="B26" s="97" t="n">
        <v>220222</v>
      </c>
      <c r="C26" s="98" t="s">
        <v>70</v>
      </c>
      <c r="D26" s="99" t="n">
        <v>89786</v>
      </c>
      <c r="E26" s="100" t="n">
        <v>44485</v>
      </c>
      <c r="F26" s="101" t="n">
        <v>2</v>
      </c>
      <c r="G26" s="102" t="n">
        <v>45218</v>
      </c>
      <c r="H26" s="103" t="n">
        <v>1</v>
      </c>
      <c r="I26" s="104" t="n">
        <v>217</v>
      </c>
      <c r="J26" s="105" t="n">
        <f aca="false">J$3-G26</f>
        <v>215</v>
      </c>
      <c r="K26" s="106" t="n">
        <v>2.5</v>
      </c>
      <c r="L26" s="106" t="n">
        <v>2.5</v>
      </c>
      <c r="M26" s="106" t="n">
        <v>2.25</v>
      </c>
      <c r="N26" s="106" t="n">
        <v>2.5</v>
      </c>
      <c r="O26" s="108" t="n">
        <v>-50</v>
      </c>
      <c r="P26" s="108" t="n">
        <v>-54</v>
      </c>
      <c r="Q26" s="108" t="n">
        <v>40</v>
      </c>
      <c r="R26" s="108" t="n">
        <v>85</v>
      </c>
      <c r="S26" s="108" t="n">
        <v>900</v>
      </c>
      <c r="T26" s="108" t="n">
        <v>1000</v>
      </c>
      <c r="U26" s="108" t="n">
        <v>1000</v>
      </c>
      <c r="V26" s="108" t="n">
        <v>800</v>
      </c>
      <c r="W26" s="108" t="n">
        <v>1000</v>
      </c>
      <c r="X26" s="109" t="n">
        <v>1000</v>
      </c>
      <c r="Y26" s="109" t="n">
        <v>900</v>
      </c>
      <c r="Z26" s="103"/>
      <c r="AA26" s="110"/>
      <c r="AB26" s="110"/>
      <c r="AC26" s="111"/>
      <c r="AD26" s="111"/>
      <c r="AE26" s="112"/>
      <c r="AF26" s="112"/>
      <c r="AG26" s="103"/>
      <c r="AH26" s="113" t="n">
        <v>45435</v>
      </c>
      <c r="AI26" s="114" t="n">
        <v>45435.6631944444</v>
      </c>
      <c r="AJ26" s="115" t="s">
        <v>193</v>
      </c>
      <c r="AK26" s="99" t="s">
        <v>194</v>
      </c>
      <c r="AL26" s="111"/>
      <c r="AM26" s="111" t="n">
        <f aca="false">AM$2-AH26</f>
        <v>49</v>
      </c>
      <c r="AN26" s="99" t="n">
        <v>30</v>
      </c>
      <c r="AO26" s="99" t="s">
        <v>173</v>
      </c>
      <c r="AP26" s="99"/>
      <c r="AQ26" s="103" t="n">
        <v>1</v>
      </c>
      <c r="AR26" s="116" t="n">
        <v>45600</v>
      </c>
      <c r="AS26" s="109"/>
      <c r="AT26" s="113" t="n">
        <f aca="false">AH26+145</f>
        <v>45580</v>
      </c>
      <c r="AU26" s="117" t="s">
        <v>173</v>
      </c>
      <c r="AV26" s="99" t="n">
        <f aca="false">AR26-AH26</f>
        <v>165</v>
      </c>
      <c r="AW26" s="118" t="s">
        <v>186</v>
      </c>
      <c r="AX26" s="99"/>
      <c r="AY26" s="97" t="n">
        <v>31</v>
      </c>
      <c r="AZ26" s="97" t="n">
        <v>220222</v>
      </c>
    </row>
    <row r="27" customFormat="false" ht="14.25" hidden="false" customHeight="false" outlineLevel="0" collapsed="false">
      <c r="A27" s="97" t="n">
        <v>30</v>
      </c>
      <c r="B27" s="97" t="n">
        <v>220220</v>
      </c>
      <c r="C27" s="98" t="s">
        <v>70</v>
      </c>
      <c r="D27" s="99" t="n">
        <v>89030</v>
      </c>
      <c r="E27" s="100" t="n">
        <v>44481</v>
      </c>
      <c r="F27" s="101" t="n">
        <v>2</v>
      </c>
      <c r="G27" s="102" t="n">
        <v>45218</v>
      </c>
      <c r="H27" s="103" t="n">
        <v>1</v>
      </c>
      <c r="I27" s="104" t="n">
        <v>217</v>
      </c>
      <c r="J27" s="105" t="n">
        <f aca="false">J$3-G27</f>
        <v>215</v>
      </c>
      <c r="K27" s="106" t="n">
        <v>2.25</v>
      </c>
      <c r="L27" s="106" t="n">
        <v>2.5</v>
      </c>
      <c r="M27" s="106" t="n">
        <v>2.25</v>
      </c>
      <c r="N27" s="106" t="n">
        <v>2.5</v>
      </c>
      <c r="O27" s="108" t="n">
        <v>-4</v>
      </c>
      <c r="P27" s="108" t="n">
        <v>32</v>
      </c>
      <c r="Q27" s="108" t="n">
        <v>84.2</v>
      </c>
      <c r="R27" s="108" t="n">
        <v>131</v>
      </c>
      <c r="S27" s="108" t="n">
        <v>1080</v>
      </c>
      <c r="T27" s="108" t="n">
        <v>1100</v>
      </c>
      <c r="U27" s="108" t="n">
        <v>600</v>
      </c>
      <c r="V27" s="108" t="n">
        <v>900</v>
      </c>
      <c r="W27" s="108" t="n">
        <v>900</v>
      </c>
      <c r="X27" s="109" t="n">
        <v>640</v>
      </c>
      <c r="Y27" s="109" t="n">
        <v>500</v>
      </c>
      <c r="Z27" s="103" t="n">
        <v>30</v>
      </c>
      <c r="AA27" s="110" t="n">
        <v>45435.8943055556</v>
      </c>
      <c r="AB27" s="110" t="n">
        <v>45435.8943055556</v>
      </c>
      <c r="AC27" s="111" t="n">
        <f aca="false">(AA27-$AC$2)*24</f>
        <v>62.43</v>
      </c>
      <c r="AD27" s="111" t="n">
        <f aca="false">AC27+35</f>
        <v>97.43</v>
      </c>
      <c r="AE27" s="112" t="n">
        <v>0</v>
      </c>
      <c r="AF27" s="112" t="n">
        <v>1</v>
      </c>
      <c r="AG27" s="103" t="n">
        <v>1</v>
      </c>
      <c r="AH27" s="113" t="n">
        <v>45435</v>
      </c>
      <c r="AI27" s="114" t="n">
        <v>45435.6652777778</v>
      </c>
      <c r="AJ27" s="115" t="s">
        <v>193</v>
      </c>
      <c r="AK27" s="99" t="s">
        <v>194</v>
      </c>
      <c r="AL27" s="111" t="n">
        <f aca="false">(AI27-AA27)*24</f>
        <v>-5.49666666722639</v>
      </c>
      <c r="AM27" s="111" t="n">
        <f aca="false">AM$2-AH27</f>
        <v>49</v>
      </c>
      <c r="AN27" s="99" t="n">
        <v>50</v>
      </c>
      <c r="AO27" s="99" t="s">
        <v>12</v>
      </c>
      <c r="AP27" s="99"/>
      <c r="AQ27" s="103" t="n">
        <v>1</v>
      </c>
      <c r="AR27" s="116" t="n">
        <v>45583</v>
      </c>
      <c r="AS27" s="109"/>
      <c r="AT27" s="113" t="n">
        <f aca="false">AH27+145</f>
        <v>45580</v>
      </c>
      <c r="AU27" s="99" t="s">
        <v>178</v>
      </c>
      <c r="AV27" s="99" t="n">
        <f aca="false">AR27-AH27</f>
        <v>148</v>
      </c>
      <c r="AW27" s="103"/>
      <c r="AX27" s="99"/>
      <c r="AY27" s="97" t="n">
        <v>30</v>
      </c>
      <c r="AZ27" s="97" t="n">
        <v>220220</v>
      </c>
    </row>
    <row r="28" customFormat="false" ht="14.25" hidden="false" customHeight="false" outlineLevel="0" collapsed="false">
      <c r="A28" s="97" t="n">
        <v>29</v>
      </c>
      <c r="B28" s="97" t="n">
        <v>220219</v>
      </c>
      <c r="C28" s="98" t="s">
        <v>70</v>
      </c>
      <c r="D28" s="99" t="n">
        <v>88913</v>
      </c>
      <c r="E28" s="100" t="n">
        <v>44485</v>
      </c>
      <c r="F28" s="101" t="n">
        <v>2</v>
      </c>
      <c r="G28" s="102" t="n">
        <v>45237</v>
      </c>
      <c r="H28" s="103" t="n">
        <v>1</v>
      </c>
      <c r="I28" s="104" t="n">
        <v>198</v>
      </c>
      <c r="J28" s="105" t="n">
        <f aca="false">J$3-G28</f>
        <v>196</v>
      </c>
      <c r="K28" s="106" t="n">
        <v>2.5</v>
      </c>
      <c r="L28" s="106" t="n">
        <v>2.25</v>
      </c>
      <c r="M28" s="106" t="n">
        <v>2.25</v>
      </c>
      <c r="N28" s="106" t="n">
        <v>2.25</v>
      </c>
      <c r="O28" s="108" t="n">
        <v>-128</v>
      </c>
      <c r="P28" s="108" t="n">
        <v>36</v>
      </c>
      <c r="Q28" s="108" t="n">
        <v>122</v>
      </c>
      <c r="R28" s="108" t="n">
        <v>149</v>
      </c>
      <c r="S28" s="108" t="n">
        <v>1060</v>
      </c>
      <c r="T28" s="108" t="n">
        <v>1160</v>
      </c>
      <c r="U28" s="108" t="n">
        <v>1060</v>
      </c>
      <c r="V28" s="108" t="n">
        <v>960</v>
      </c>
      <c r="W28" s="108" t="n">
        <v>1100</v>
      </c>
      <c r="X28" s="109" t="n">
        <v>900</v>
      </c>
      <c r="Y28" s="109" t="n">
        <v>800</v>
      </c>
      <c r="Z28" s="103"/>
      <c r="AA28" s="110"/>
      <c r="AB28" s="110"/>
      <c r="AC28" s="111"/>
      <c r="AD28" s="111"/>
      <c r="AE28" s="112"/>
      <c r="AF28" s="112"/>
      <c r="AG28" s="103"/>
      <c r="AH28" s="113" t="n">
        <v>45435</v>
      </c>
      <c r="AI28" s="114" t="n">
        <v>45435.6625</v>
      </c>
      <c r="AJ28" s="115" t="s">
        <v>189</v>
      </c>
      <c r="AK28" s="99" t="s">
        <v>190</v>
      </c>
      <c r="AL28" s="111"/>
      <c r="AM28" s="111" t="n">
        <f aca="false">AM$2-AH28</f>
        <v>49</v>
      </c>
      <c r="AN28" s="99" t="n">
        <v>50</v>
      </c>
      <c r="AO28" s="99" t="s">
        <v>12</v>
      </c>
      <c r="AP28" s="99"/>
      <c r="AQ28" s="103" t="n">
        <v>2</v>
      </c>
      <c r="AR28" s="116" t="n">
        <v>45582</v>
      </c>
      <c r="AS28" s="109"/>
      <c r="AT28" s="113" t="n">
        <f aca="false">AH28+145</f>
        <v>45580</v>
      </c>
      <c r="AU28" s="99" t="s">
        <v>178</v>
      </c>
      <c r="AV28" s="99" t="n">
        <f aca="false">AR28-AH28</f>
        <v>147</v>
      </c>
      <c r="AW28" s="103" t="s">
        <v>181</v>
      </c>
      <c r="AX28" s="99"/>
      <c r="AY28" s="97" t="n">
        <v>29</v>
      </c>
      <c r="AZ28" s="97" t="n">
        <v>220219</v>
      </c>
    </row>
    <row r="29" customFormat="false" ht="14.25" hidden="false" customHeight="false" outlineLevel="0" collapsed="false">
      <c r="A29" s="97" t="n">
        <v>28</v>
      </c>
      <c r="B29" s="97" t="n">
        <v>220215</v>
      </c>
      <c r="C29" s="98" t="s">
        <v>70</v>
      </c>
      <c r="D29" s="99" t="n">
        <v>88866</v>
      </c>
      <c r="E29" s="100" t="n">
        <v>44485</v>
      </c>
      <c r="F29" s="101" t="n">
        <v>2</v>
      </c>
      <c r="G29" s="102" t="n">
        <v>45222</v>
      </c>
      <c r="H29" s="103" t="n">
        <v>2</v>
      </c>
      <c r="I29" s="104" t="n">
        <v>213</v>
      </c>
      <c r="J29" s="105" t="n">
        <f aca="false">J$3-G29</f>
        <v>211</v>
      </c>
      <c r="K29" s="106" t="n">
        <v>2.5</v>
      </c>
      <c r="L29" s="106" t="n">
        <v>2.25</v>
      </c>
      <c r="M29" s="106" t="n">
        <v>2</v>
      </c>
      <c r="N29" s="106" t="n">
        <v>2.5</v>
      </c>
      <c r="O29" s="108" t="n">
        <v>42</v>
      </c>
      <c r="P29" s="108" t="n">
        <v>73</v>
      </c>
      <c r="Q29" s="107"/>
      <c r="R29" s="107"/>
      <c r="S29" s="108" t="n">
        <v>1300</v>
      </c>
      <c r="T29" s="108" t="n">
        <v>1160</v>
      </c>
      <c r="U29" s="108" t="n">
        <v>940</v>
      </c>
      <c r="V29" s="108" t="n">
        <v>680</v>
      </c>
      <c r="W29" s="108" t="n">
        <v>960</v>
      </c>
      <c r="X29" s="109" t="n">
        <v>1040</v>
      </c>
      <c r="Y29" s="109" t="n">
        <v>600</v>
      </c>
      <c r="Z29" s="103"/>
      <c r="AA29" s="110"/>
      <c r="AB29" s="110"/>
      <c r="AC29" s="111"/>
      <c r="AD29" s="111"/>
      <c r="AE29" s="112"/>
      <c r="AF29" s="112"/>
      <c r="AG29" s="103"/>
      <c r="AH29" s="113" t="n">
        <v>45435</v>
      </c>
      <c r="AI29" s="114" t="n">
        <v>45435.6729166667</v>
      </c>
      <c r="AJ29" s="115" t="s">
        <v>179</v>
      </c>
      <c r="AK29" s="99" t="s">
        <v>180</v>
      </c>
      <c r="AL29" s="111"/>
      <c r="AM29" s="111" t="n">
        <f aca="false">AM$2-AH29</f>
        <v>49</v>
      </c>
      <c r="AN29" s="99" t="n">
        <v>50</v>
      </c>
      <c r="AO29" s="99" t="s">
        <v>12</v>
      </c>
      <c r="AP29" s="99"/>
      <c r="AQ29" s="103" t="n">
        <v>1</v>
      </c>
      <c r="AR29" s="116" t="n">
        <v>45593</v>
      </c>
      <c r="AS29" s="109"/>
      <c r="AT29" s="113" t="n">
        <f aca="false">AH29+145</f>
        <v>45580</v>
      </c>
      <c r="AU29" s="99" t="s">
        <v>178</v>
      </c>
      <c r="AV29" s="99" t="n">
        <f aca="false">AR29-AH29</f>
        <v>158</v>
      </c>
      <c r="AW29" s="103" t="s">
        <v>181</v>
      </c>
      <c r="AX29" s="99"/>
      <c r="AY29" s="97" t="n">
        <v>28</v>
      </c>
      <c r="AZ29" s="97" t="n">
        <v>220215</v>
      </c>
    </row>
    <row r="30" customFormat="false" ht="14.25" hidden="false" customHeight="false" outlineLevel="0" collapsed="false">
      <c r="A30" s="97" t="n">
        <v>27</v>
      </c>
      <c r="B30" s="97" t="n">
        <v>220214</v>
      </c>
      <c r="C30" s="98" t="s">
        <v>70</v>
      </c>
      <c r="D30" s="99" t="n">
        <v>88685</v>
      </c>
      <c r="E30" s="100" t="n">
        <v>44485</v>
      </c>
      <c r="F30" s="101" t="n">
        <v>2</v>
      </c>
      <c r="G30" s="102" t="n">
        <v>45237</v>
      </c>
      <c r="H30" s="103" t="n">
        <v>2</v>
      </c>
      <c r="I30" s="104" t="n">
        <v>198</v>
      </c>
      <c r="J30" s="105" t="n">
        <f aca="false">J$3-G30</f>
        <v>196</v>
      </c>
      <c r="K30" s="106" t="n">
        <v>2.25</v>
      </c>
      <c r="L30" s="106" t="n">
        <v>2.25</v>
      </c>
      <c r="M30" s="106" t="n">
        <v>2.5</v>
      </c>
      <c r="N30" s="106" t="n">
        <v>2.25</v>
      </c>
      <c r="O30" s="108" t="n">
        <v>-131</v>
      </c>
      <c r="P30" s="108" t="n">
        <v>40</v>
      </c>
      <c r="Q30" s="108" t="n">
        <v>113.4</v>
      </c>
      <c r="R30" s="108" t="n">
        <v>132</v>
      </c>
      <c r="S30" s="108" t="n">
        <v>1300</v>
      </c>
      <c r="T30" s="108" t="n">
        <v>1300</v>
      </c>
      <c r="U30" s="108" t="n">
        <v>700</v>
      </c>
      <c r="V30" s="108" t="n">
        <v>700</v>
      </c>
      <c r="W30" s="108" t="n">
        <v>1200</v>
      </c>
      <c r="X30" s="109" t="n">
        <v>1140</v>
      </c>
      <c r="Y30" s="109" t="n">
        <v>900</v>
      </c>
      <c r="Z30" s="103"/>
      <c r="AA30" s="110"/>
      <c r="AB30" s="110"/>
      <c r="AC30" s="111"/>
      <c r="AD30" s="111"/>
      <c r="AE30" s="112"/>
      <c r="AF30" s="112"/>
      <c r="AG30" s="103"/>
      <c r="AH30" s="113" t="n">
        <v>45435</v>
      </c>
      <c r="AI30" s="114" t="n">
        <v>45435.6652777778</v>
      </c>
      <c r="AJ30" s="115" t="s">
        <v>189</v>
      </c>
      <c r="AK30" s="99" t="s">
        <v>190</v>
      </c>
      <c r="AL30" s="111"/>
      <c r="AM30" s="111" t="n">
        <f aca="false">AM$2-AH30</f>
        <v>49</v>
      </c>
      <c r="AN30" s="99" t="n">
        <v>30</v>
      </c>
      <c r="AO30" s="99" t="s">
        <v>173</v>
      </c>
      <c r="AP30" s="99"/>
      <c r="AQ30" s="103" t="n">
        <v>1</v>
      </c>
      <c r="AR30" s="116" t="n">
        <v>45600</v>
      </c>
      <c r="AS30" s="109"/>
      <c r="AT30" s="113" t="n">
        <f aca="false">AH30+145</f>
        <v>45580</v>
      </c>
      <c r="AU30" s="117" t="s">
        <v>173</v>
      </c>
      <c r="AV30" s="99" t="n">
        <f aca="false">AR30-AH30</f>
        <v>165</v>
      </c>
      <c r="AW30" s="118" t="s">
        <v>186</v>
      </c>
      <c r="AX30" s="99"/>
      <c r="AY30" s="97" t="n">
        <v>27</v>
      </c>
      <c r="AZ30" s="97" t="n">
        <v>220214</v>
      </c>
    </row>
    <row r="31" customFormat="false" ht="14.25" hidden="false" customHeight="false" outlineLevel="0" collapsed="false">
      <c r="A31" s="97" t="n">
        <v>26</v>
      </c>
      <c r="B31" s="97" t="n">
        <v>220210</v>
      </c>
      <c r="C31" s="98" t="s">
        <v>70</v>
      </c>
      <c r="D31" s="99" t="n">
        <v>88900</v>
      </c>
      <c r="E31" s="100" t="n">
        <v>44483</v>
      </c>
      <c r="F31" s="101" t="n">
        <v>2</v>
      </c>
      <c r="G31" s="102" t="n">
        <v>45234</v>
      </c>
      <c r="H31" s="103" t="n">
        <v>1</v>
      </c>
      <c r="I31" s="104" t="n">
        <v>201</v>
      </c>
      <c r="J31" s="105" t="n">
        <f aca="false">J$3-G31</f>
        <v>199</v>
      </c>
      <c r="K31" s="106" t="n">
        <v>2.25</v>
      </c>
      <c r="L31" s="106" t="n">
        <v>2.25</v>
      </c>
      <c r="M31" s="106" t="n">
        <v>2.25</v>
      </c>
      <c r="N31" s="106" t="n">
        <v>2.25</v>
      </c>
      <c r="O31" s="108" t="n">
        <v>-7</v>
      </c>
      <c r="P31" s="108" t="n">
        <v>175</v>
      </c>
      <c r="Q31" s="108" t="n">
        <v>133.6</v>
      </c>
      <c r="R31" s="108" t="n">
        <v>148</v>
      </c>
      <c r="S31" s="108" t="n">
        <v>1200</v>
      </c>
      <c r="T31" s="108" t="n">
        <v>1020</v>
      </c>
      <c r="U31" s="108" t="n">
        <v>1100</v>
      </c>
      <c r="V31" s="108" t="n">
        <v>1000</v>
      </c>
      <c r="W31" s="108" t="n">
        <v>1400</v>
      </c>
      <c r="X31" s="109" t="n">
        <v>1500</v>
      </c>
      <c r="Y31" s="109" t="n">
        <v>1300</v>
      </c>
      <c r="Z31" s="103" t="n">
        <v>19</v>
      </c>
      <c r="AA31" s="110" t="n">
        <v>45434.8732407407</v>
      </c>
      <c r="AB31" s="110" t="n">
        <v>45434.873275463</v>
      </c>
      <c r="AC31" s="111" t="n">
        <f aca="false">(AA31-$AC$2)*24</f>
        <v>37.9244444423819</v>
      </c>
      <c r="AD31" s="111" t="n">
        <f aca="false">AC31+35</f>
        <v>72.9244444423819</v>
      </c>
      <c r="AE31" s="112" t="n">
        <v>0.000833333178889006</v>
      </c>
      <c r="AF31" s="112" t="n">
        <v>1</v>
      </c>
      <c r="AG31" s="103" t="n">
        <v>2</v>
      </c>
      <c r="AH31" s="113" t="n">
        <v>45435</v>
      </c>
      <c r="AI31" s="114" t="n">
        <v>45435.6597222222</v>
      </c>
      <c r="AJ31" s="115" t="s">
        <v>187</v>
      </c>
      <c r="AK31" s="99" t="s">
        <v>188</v>
      </c>
      <c r="AL31" s="111" t="n">
        <f aca="false">(AI31-AA31)*24</f>
        <v>18.8755555559181</v>
      </c>
      <c r="AM31" s="111" t="n">
        <f aca="false">AM$2-AH31</f>
        <v>49</v>
      </c>
      <c r="AN31" s="99" t="n">
        <v>50</v>
      </c>
      <c r="AO31" s="99" t="s">
        <v>12</v>
      </c>
      <c r="AP31" s="99"/>
      <c r="AQ31" s="103" t="n">
        <v>2</v>
      </c>
      <c r="AR31" s="116" t="n">
        <v>45583</v>
      </c>
      <c r="AS31" s="109"/>
      <c r="AT31" s="113" t="n">
        <f aca="false">AH31+145</f>
        <v>45580</v>
      </c>
      <c r="AU31" s="99" t="s">
        <v>178</v>
      </c>
      <c r="AV31" s="99" t="n">
        <f aca="false">AR31-AH31</f>
        <v>148</v>
      </c>
      <c r="AW31" s="103"/>
      <c r="AX31" s="99"/>
      <c r="AY31" s="97" t="n">
        <v>26</v>
      </c>
      <c r="AZ31" s="97" t="n">
        <v>220210</v>
      </c>
    </row>
    <row r="32" customFormat="false" ht="14.25" hidden="false" customHeight="false" outlineLevel="0" collapsed="false">
      <c r="A32" s="97" t="n">
        <v>25</v>
      </c>
      <c r="B32" s="97" t="n">
        <v>220208</v>
      </c>
      <c r="C32" s="98" t="s">
        <v>70</v>
      </c>
      <c r="D32" s="99" t="n">
        <v>89164</v>
      </c>
      <c r="E32" s="100" t="n">
        <v>44483</v>
      </c>
      <c r="F32" s="101" t="n">
        <v>2</v>
      </c>
      <c r="G32" s="102" t="n">
        <v>45237</v>
      </c>
      <c r="H32" s="103" t="n">
        <v>1</v>
      </c>
      <c r="I32" s="104" t="n">
        <v>198</v>
      </c>
      <c r="J32" s="105" t="n">
        <f aca="false">J$3-G32</f>
        <v>196</v>
      </c>
      <c r="K32" s="106" t="n">
        <v>2.25</v>
      </c>
      <c r="L32" s="106" t="n">
        <v>2.25</v>
      </c>
      <c r="M32" s="106" t="n">
        <v>2</v>
      </c>
      <c r="N32" s="106" t="n">
        <v>2.25</v>
      </c>
      <c r="O32" s="108" t="n">
        <v>92</v>
      </c>
      <c r="P32" s="108" t="n">
        <v>29</v>
      </c>
      <c r="Q32" s="108" t="n">
        <v>69.8</v>
      </c>
      <c r="R32" s="108" t="n">
        <v>144</v>
      </c>
      <c r="S32" s="108" t="n">
        <v>1300</v>
      </c>
      <c r="T32" s="108" t="n">
        <v>1560</v>
      </c>
      <c r="U32" s="108" t="n">
        <v>700</v>
      </c>
      <c r="V32" s="108" t="n">
        <v>1000</v>
      </c>
      <c r="W32" s="108" t="n">
        <v>900</v>
      </c>
      <c r="X32" s="109" t="n">
        <v>540</v>
      </c>
      <c r="Y32" s="109" t="n">
        <v>400</v>
      </c>
      <c r="Z32" s="103"/>
      <c r="AA32" s="110"/>
      <c r="AB32" s="110"/>
      <c r="AC32" s="111"/>
      <c r="AD32" s="111"/>
      <c r="AE32" s="112"/>
      <c r="AF32" s="112"/>
      <c r="AG32" s="103"/>
      <c r="AH32" s="113" t="n">
        <v>45435</v>
      </c>
      <c r="AI32" s="114" t="n">
        <v>45435.66875</v>
      </c>
      <c r="AJ32" s="115" t="s">
        <v>193</v>
      </c>
      <c r="AK32" s="99" t="s">
        <v>194</v>
      </c>
      <c r="AL32" s="111"/>
      <c r="AM32" s="111" t="n">
        <f aca="false">AM$2-AH32</f>
        <v>49</v>
      </c>
      <c r="AN32" s="99" t="n">
        <v>30</v>
      </c>
      <c r="AO32" s="99" t="s">
        <v>173</v>
      </c>
      <c r="AP32" s="99"/>
      <c r="AQ32" s="103" t="n">
        <v>1</v>
      </c>
      <c r="AR32" s="116" t="n">
        <v>45600</v>
      </c>
      <c r="AS32" s="109"/>
      <c r="AT32" s="113" t="n">
        <f aca="false">AH32+145</f>
        <v>45580</v>
      </c>
      <c r="AU32" s="117" t="s">
        <v>173</v>
      </c>
      <c r="AV32" s="99" t="n">
        <f aca="false">AR32-AH32</f>
        <v>165</v>
      </c>
      <c r="AW32" s="118" t="s">
        <v>186</v>
      </c>
      <c r="AX32" s="99"/>
      <c r="AY32" s="97" t="n">
        <v>25</v>
      </c>
      <c r="AZ32" s="97" t="n">
        <v>220208</v>
      </c>
    </row>
    <row r="33" customFormat="false" ht="14.25" hidden="false" customHeight="false" outlineLevel="0" collapsed="false">
      <c r="A33" s="97" t="n">
        <v>24</v>
      </c>
      <c r="B33" s="97" t="n">
        <v>220207</v>
      </c>
      <c r="C33" s="98" t="s">
        <v>70</v>
      </c>
      <c r="D33" s="99" t="n">
        <v>88776</v>
      </c>
      <c r="E33" s="100" t="n">
        <v>44484</v>
      </c>
      <c r="F33" s="101" t="n">
        <v>2</v>
      </c>
      <c r="G33" s="102" t="n">
        <v>45219</v>
      </c>
      <c r="H33" s="103" t="n">
        <v>1</v>
      </c>
      <c r="I33" s="104" t="n">
        <v>216</v>
      </c>
      <c r="J33" s="105" t="n">
        <f aca="false">J$3-G33</f>
        <v>214</v>
      </c>
      <c r="K33" s="106" t="n">
        <v>2.5</v>
      </c>
      <c r="L33" s="106" t="n">
        <v>2.5</v>
      </c>
      <c r="M33" s="106" t="n">
        <v>2.25</v>
      </c>
      <c r="N33" s="106" t="n">
        <v>2.25</v>
      </c>
      <c r="O33" s="108" t="n">
        <v>96</v>
      </c>
      <c r="P33" s="108" t="n">
        <v>255</v>
      </c>
      <c r="Q33" s="107"/>
      <c r="R33" s="107"/>
      <c r="S33" s="108" t="n">
        <v>1240</v>
      </c>
      <c r="T33" s="108" t="n">
        <v>1400</v>
      </c>
      <c r="U33" s="108" t="n">
        <v>1400</v>
      </c>
      <c r="V33" s="108" t="n">
        <v>1260</v>
      </c>
      <c r="W33" s="108" t="n">
        <v>1300</v>
      </c>
      <c r="X33" s="109" t="n">
        <v>1440</v>
      </c>
      <c r="Y33" s="109" t="n">
        <v>1100</v>
      </c>
      <c r="Z33" s="103"/>
      <c r="AA33" s="110"/>
      <c r="AB33" s="110"/>
      <c r="AC33" s="111"/>
      <c r="AD33" s="111"/>
      <c r="AE33" s="112"/>
      <c r="AF33" s="112"/>
      <c r="AG33" s="103"/>
      <c r="AH33" s="113" t="n">
        <v>45435</v>
      </c>
      <c r="AI33" s="114" t="n">
        <v>45435.6625</v>
      </c>
      <c r="AJ33" s="115" t="s">
        <v>174</v>
      </c>
      <c r="AK33" s="99" t="s">
        <v>175</v>
      </c>
      <c r="AL33" s="111"/>
      <c r="AM33" s="111" t="n">
        <f aca="false">AM$2-AH33</f>
        <v>49</v>
      </c>
      <c r="AN33" s="99" t="n">
        <v>0</v>
      </c>
      <c r="AO33" s="99" t="s">
        <v>184</v>
      </c>
      <c r="AP33" s="99"/>
      <c r="AQ33" s="103"/>
      <c r="AR33" s="116"/>
      <c r="AS33" s="109"/>
      <c r="AT33" s="113" t="n">
        <f aca="false">AH33+145</f>
        <v>45580</v>
      </c>
      <c r="AU33" s="99"/>
      <c r="AV33" s="99"/>
      <c r="AW33" s="103" t="s">
        <v>181</v>
      </c>
      <c r="AX33" s="99"/>
      <c r="AY33" s="97" t="n">
        <v>24</v>
      </c>
      <c r="AZ33" s="97" t="n">
        <v>220207</v>
      </c>
    </row>
    <row r="34" customFormat="false" ht="14.25" hidden="false" customHeight="false" outlineLevel="0" collapsed="false">
      <c r="A34" s="97" t="n">
        <v>23</v>
      </c>
      <c r="B34" s="97" t="n">
        <v>220203</v>
      </c>
      <c r="C34" s="98" t="s">
        <v>70</v>
      </c>
      <c r="D34" s="99" t="n">
        <v>88994</v>
      </c>
      <c r="E34" s="100" t="n">
        <v>44484</v>
      </c>
      <c r="F34" s="101" t="n">
        <v>2</v>
      </c>
      <c r="G34" s="102" t="n">
        <v>45221</v>
      </c>
      <c r="H34" s="103" t="n">
        <v>1</v>
      </c>
      <c r="I34" s="104" t="n">
        <v>214</v>
      </c>
      <c r="J34" s="105" t="n">
        <f aca="false">J$3-G34</f>
        <v>212</v>
      </c>
      <c r="K34" s="106" t="n">
        <v>2.25</v>
      </c>
      <c r="L34" s="106" t="n">
        <v>2.5</v>
      </c>
      <c r="M34" s="106" t="n">
        <v>2.5</v>
      </c>
      <c r="N34" s="106" t="n">
        <v>2.25</v>
      </c>
      <c r="O34" s="108" t="n">
        <v>67</v>
      </c>
      <c r="P34" s="108" t="n">
        <v>47</v>
      </c>
      <c r="Q34" s="108" t="n">
        <v>96.2</v>
      </c>
      <c r="R34" s="108" t="n">
        <v>117</v>
      </c>
      <c r="S34" s="108" t="n">
        <v>1160</v>
      </c>
      <c r="T34" s="108" t="n">
        <v>1400</v>
      </c>
      <c r="U34" s="108" t="n">
        <v>1200</v>
      </c>
      <c r="V34" s="108" t="n">
        <v>1100</v>
      </c>
      <c r="W34" s="108" t="n">
        <v>900</v>
      </c>
      <c r="X34" s="109" t="n">
        <v>980</v>
      </c>
      <c r="Y34" s="109" t="n">
        <v>520</v>
      </c>
      <c r="Z34" s="103" t="n">
        <v>14</v>
      </c>
      <c r="AA34" s="110" t="n">
        <v>45434.7694560185</v>
      </c>
      <c r="AB34" s="110" t="n">
        <v>45434.9544560185</v>
      </c>
      <c r="AC34" s="111" t="n">
        <f aca="false">(AA34-$AC$2)*24</f>
        <v>35.4336111095033</v>
      </c>
      <c r="AD34" s="111" t="n">
        <f aca="false">AC34+35</f>
        <v>70.4336111095033</v>
      </c>
      <c r="AE34" s="112" t="n">
        <v>4.43999999994412</v>
      </c>
      <c r="AF34" s="112" t="n">
        <v>4.43999999994412</v>
      </c>
      <c r="AG34" s="103" t="n">
        <v>23</v>
      </c>
      <c r="AH34" s="113" t="n">
        <v>45435</v>
      </c>
      <c r="AI34" s="114" t="n">
        <v>45435.6604166667</v>
      </c>
      <c r="AJ34" s="115" t="s">
        <v>171</v>
      </c>
      <c r="AK34" s="99" t="s">
        <v>172</v>
      </c>
      <c r="AL34" s="111" t="n">
        <f aca="false">(AI34-AA34)*24</f>
        <v>21.3830555569147</v>
      </c>
      <c r="AM34" s="111" t="n">
        <f aca="false">AM$2-AH34</f>
        <v>49</v>
      </c>
      <c r="AN34" s="99" t="n">
        <v>50</v>
      </c>
      <c r="AO34" s="99" t="s">
        <v>12</v>
      </c>
      <c r="AP34" s="99"/>
      <c r="AQ34" s="103" t="n">
        <v>2</v>
      </c>
      <c r="AR34" s="116" t="n">
        <v>45582</v>
      </c>
      <c r="AS34" s="109"/>
      <c r="AT34" s="113" t="n">
        <f aca="false">AH34+145</f>
        <v>45580</v>
      </c>
      <c r="AU34" s="99" t="s">
        <v>178</v>
      </c>
      <c r="AV34" s="99" t="n">
        <f aca="false">AR34-AH34</f>
        <v>147</v>
      </c>
      <c r="AW34" s="103"/>
      <c r="AX34" s="99"/>
      <c r="AY34" s="97" t="n">
        <v>23</v>
      </c>
      <c r="AZ34" s="97" t="n">
        <v>220203</v>
      </c>
    </row>
    <row r="35" customFormat="false" ht="14.25" hidden="false" customHeight="false" outlineLevel="0" collapsed="false">
      <c r="A35" s="97" t="n">
        <v>22</v>
      </c>
      <c r="B35" s="97" t="n">
        <v>220201</v>
      </c>
      <c r="C35" s="98" t="s">
        <v>70</v>
      </c>
      <c r="D35" s="99" t="n">
        <v>88320</v>
      </c>
      <c r="E35" s="100" t="n">
        <v>44485</v>
      </c>
      <c r="F35" s="101" t="n">
        <v>2</v>
      </c>
      <c r="G35" s="102" t="n">
        <v>45252</v>
      </c>
      <c r="H35" s="103" t="n">
        <v>1</v>
      </c>
      <c r="I35" s="104" t="n">
        <v>183</v>
      </c>
      <c r="J35" s="105" t="n">
        <f aca="false">J$3-G35</f>
        <v>181</v>
      </c>
      <c r="K35" s="106" t="n">
        <v>2.25</v>
      </c>
      <c r="L35" s="106" t="n">
        <v>2.5</v>
      </c>
      <c r="M35" s="106" t="n">
        <v>2</v>
      </c>
      <c r="N35" s="106" t="n">
        <v>2.25</v>
      </c>
      <c r="O35" s="108" t="n">
        <v>-24</v>
      </c>
      <c r="P35" s="108" t="n">
        <v>0</v>
      </c>
      <c r="Q35" s="108" t="n">
        <v>67.9</v>
      </c>
      <c r="R35" s="108" t="n">
        <v>85</v>
      </c>
      <c r="S35" s="108" t="n">
        <v>1620</v>
      </c>
      <c r="T35" s="108" t="n">
        <v>1520</v>
      </c>
      <c r="U35" s="108" t="n">
        <v>1200</v>
      </c>
      <c r="V35" s="108" t="n">
        <v>700</v>
      </c>
      <c r="W35" s="108" t="n">
        <v>1100</v>
      </c>
      <c r="X35" s="109" t="n">
        <v>1240</v>
      </c>
      <c r="Y35" s="109" t="n">
        <v>820</v>
      </c>
      <c r="Z35" s="103" t="n">
        <v>17</v>
      </c>
      <c r="AA35" s="110" t="n">
        <v>45434.8521759259</v>
      </c>
      <c r="AB35" s="110" t="n">
        <v>45434.8521759259</v>
      </c>
      <c r="AC35" s="111" t="n">
        <f aca="false">(AA35-$AC$2)*24</f>
        <v>37.4188888872158</v>
      </c>
      <c r="AD35" s="111" t="n">
        <f aca="false">AC35+35</f>
        <v>72.4188888872158</v>
      </c>
      <c r="AE35" s="112" t="n">
        <v>0</v>
      </c>
      <c r="AF35" s="112" t="n">
        <v>1</v>
      </c>
      <c r="AG35" s="103" t="n">
        <v>1</v>
      </c>
      <c r="AH35" s="113" t="n">
        <v>45435</v>
      </c>
      <c r="AI35" s="114" t="n">
        <v>45435.6694444444</v>
      </c>
      <c r="AJ35" s="115" t="s">
        <v>179</v>
      </c>
      <c r="AK35" s="99" t="s">
        <v>180</v>
      </c>
      <c r="AL35" s="111" t="n">
        <f aca="false">(AI35-AA35)*24</f>
        <v>19.6144444439558</v>
      </c>
      <c r="AM35" s="111" t="n">
        <f aca="false">AM$2-AH35</f>
        <v>49</v>
      </c>
      <c r="AN35" s="99" t="n">
        <v>50</v>
      </c>
      <c r="AO35" s="99" t="s">
        <v>12</v>
      </c>
      <c r="AP35" s="99"/>
      <c r="AQ35" s="103" t="n">
        <v>1</v>
      </c>
      <c r="AR35" s="116" t="n">
        <v>45585</v>
      </c>
      <c r="AS35" s="109"/>
      <c r="AT35" s="113" t="n">
        <f aca="false">AH35+145</f>
        <v>45580</v>
      </c>
      <c r="AU35" s="99" t="s">
        <v>178</v>
      </c>
      <c r="AV35" s="99" t="n">
        <f aca="false">AR35-AH35</f>
        <v>150</v>
      </c>
      <c r="AW35" s="103"/>
      <c r="AX35" s="99"/>
      <c r="AY35" s="97" t="n">
        <v>22</v>
      </c>
      <c r="AZ35" s="97" t="n">
        <v>220201</v>
      </c>
    </row>
    <row r="36" customFormat="false" ht="14.25" hidden="false" customHeight="false" outlineLevel="0" collapsed="false">
      <c r="A36" s="97" t="n">
        <v>21</v>
      </c>
      <c r="B36" s="97" t="n">
        <v>210284</v>
      </c>
      <c r="C36" s="98" t="s">
        <v>70</v>
      </c>
      <c r="D36" s="99" t="n">
        <v>88557</v>
      </c>
      <c r="E36" s="100" t="n">
        <v>44121</v>
      </c>
      <c r="F36" s="101" t="n">
        <v>3</v>
      </c>
      <c r="G36" s="102" t="n">
        <v>45221</v>
      </c>
      <c r="H36" s="103" t="n">
        <v>2</v>
      </c>
      <c r="I36" s="104" t="n">
        <v>214</v>
      </c>
      <c r="J36" s="105" t="n">
        <f aca="false">J$3-G36</f>
        <v>212</v>
      </c>
      <c r="K36" s="106" t="n">
        <v>2.5</v>
      </c>
      <c r="L36" s="106" t="n">
        <v>2.25</v>
      </c>
      <c r="M36" s="106" t="n">
        <v>2.25</v>
      </c>
      <c r="N36" s="106" t="n">
        <v>2.25</v>
      </c>
      <c r="O36" s="108" t="n">
        <v>79</v>
      </c>
      <c r="P36" s="108" t="n">
        <v>16</v>
      </c>
      <c r="Q36" s="108" t="n">
        <v>188</v>
      </c>
      <c r="R36" s="108" t="n">
        <v>221</v>
      </c>
      <c r="S36" s="108" t="n">
        <v>1100</v>
      </c>
      <c r="T36" s="108" t="n">
        <v>1560</v>
      </c>
      <c r="U36" s="108" t="n">
        <v>1100</v>
      </c>
      <c r="V36" s="108" t="n">
        <v>1100</v>
      </c>
      <c r="W36" s="108" t="n">
        <v>1200</v>
      </c>
      <c r="X36" s="109" t="n">
        <v>1140</v>
      </c>
      <c r="Y36" s="109" t="n">
        <v>800</v>
      </c>
      <c r="Z36" s="103" t="n">
        <v>26</v>
      </c>
      <c r="AA36" s="110" t="n">
        <v>45435.6540277778</v>
      </c>
      <c r="AB36" s="110" t="n">
        <v>45435.8379166667</v>
      </c>
      <c r="AC36" s="111" t="n">
        <f aca="false">(AA36-$AC$2)*24</f>
        <v>56.6633333326897</v>
      </c>
      <c r="AD36" s="111" t="n">
        <f aca="false">AC36+35</f>
        <v>91.6633333326897</v>
      </c>
      <c r="AE36" s="112" t="n">
        <v>4.41333333333023</v>
      </c>
      <c r="AF36" s="112" t="n">
        <v>4.41333333333023</v>
      </c>
      <c r="AG36" s="103" t="n">
        <v>2</v>
      </c>
      <c r="AH36" s="113" t="n">
        <v>45435</v>
      </c>
      <c r="AI36" s="114" t="n">
        <v>45435.6631944444</v>
      </c>
      <c r="AJ36" s="115" t="s">
        <v>176</v>
      </c>
      <c r="AK36" s="99" t="s">
        <v>177</v>
      </c>
      <c r="AL36" s="111" t="n">
        <f aca="false">(AI36-AA36)*24</f>
        <v>0.219999998516667</v>
      </c>
      <c r="AM36" s="111" t="n">
        <f aca="false">AM$2-AH36</f>
        <v>49</v>
      </c>
      <c r="AN36" s="99" t="n">
        <v>30</v>
      </c>
      <c r="AO36" s="99" t="s">
        <v>173</v>
      </c>
      <c r="AP36" s="99"/>
      <c r="AQ36" s="103" t="n">
        <v>1</v>
      </c>
      <c r="AR36" s="116" t="n">
        <v>45603</v>
      </c>
      <c r="AS36" s="109"/>
      <c r="AT36" s="113" t="n">
        <f aca="false">AH36+145</f>
        <v>45580</v>
      </c>
      <c r="AU36" s="117" t="s">
        <v>173</v>
      </c>
      <c r="AV36" s="99" t="n">
        <f aca="false">AR36-AH36</f>
        <v>168</v>
      </c>
      <c r="AW36" s="103"/>
      <c r="AX36" s="99"/>
      <c r="AY36" s="97" t="n">
        <v>21</v>
      </c>
      <c r="AZ36" s="97" t="n">
        <v>210284</v>
      </c>
    </row>
    <row r="37" customFormat="false" ht="14.25" hidden="false" customHeight="false" outlineLevel="0" collapsed="false">
      <c r="A37" s="97" t="n">
        <v>20</v>
      </c>
      <c r="B37" s="97" t="n">
        <v>210281</v>
      </c>
      <c r="C37" s="98" t="s">
        <v>70</v>
      </c>
      <c r="D37" s="99" t="n">
        <v>89150</v>
      </c>
      <c r="E37" s="100" t="n">
        <v>44120</v>
      </c>
      <c r="F37" s="101" t="n">
        <v>3</v>
      </c>
      <c r="G37" s="102"/>
      <c r="H37" s="103"/>
      <c r="I37" s="104"/>
      <c r="J37" s="105"/>
      <c r="K37" s="106" t="n">
        <v>2.5</v>
      </c>
      <c r="L37" s="106" t="n">
        <v>2.75</v>
      </c>
      <c r="M37" s="106" t="n">
        <v>2.5</v>
      </c>
      <c r="N37" s="106" t="n">
        <v>2.75</v>
      </c>
      <c r="O37" s="108" t="n">
        <v>-19</v>
      </c>
      <c r="P37" s="108" t="n">
        <v>-23</v>
      </c>
      <c r="Q37" s="108" t="n">
        <v>143.8</v>
      </c>
      <c r="R37" s="108" t="n">
        <v>185</v>
      </c>
      <c r="S37" s="107"/>
      <c r="T37" s="107"/>
      <c r="U37" s="107"/>
      <c r="V37" s="107"/>
      <c r="W37" s="107"/>
      <c r="X37" s="109"/>
      <c r="Y37" s="109"/>
      <c r="Z37" s="103" t="n">
        <v>18</v>
      </c>
      <c r="AA37" s="110" t="n">
        <v>45434.8525462963</v>
      </c>
      <c r="AB37" s="110" t="n">
        <v>45434.8525462963</v>
      </c>
      <c r="AC37" s="111" t="n">
        <f aca="false">(AA37-$AC$2)*24</f>
        <v>37.4277777767856</v>
      </c>
      <c r="AD37" s="111" t="n">
        <f aca="false">AC37+35</f>
        <v>72.4277777767856</v>
      </c>
      <c r="AE37" s="112" t="n">
        <v>0</v>
      </c>
      <c r="AF37" s="112" t="n">
        <v>1</v>
      </c>
      <c r="AG37" s="103" t="n">
        <v>1</v>
      </c>
      <c r="AH37" s="113" t="n">
        <v>45435</v>
      </c>
      <c r="AI37" s="114" t="n">
        <v>45435.6770833333</v>
      </c>
      <c r="AJ37" s="115" t="s">
        <v>182</v>
      </c>
      <c r="AK37" s="99" t="s">
        <v>183</v>
      </c>
      <c r="AL37" s="111" t="n">
        <f aca="false">(AI37-AA37)*24</f>
        <v>19.7888888879678</v>
      </c>
      <c r="AM37" s="111" t="n">
        <f aca="false">AM$2-AH37</f>
        <v>49</v>
      </c>
      <c r="AN37" s="99" t="n">
        <v>30</v>
      </c>
      <c r="AO37" s="99" t="s">
        <v>173</v>
      </c>
      <c r="AP37" s="99"/>
      <c r="AQ37" s="103" t="n">
        <v>1</v>
      </c>
      <c r="AR37" s="116" t="n">
        <v>45601</v>
      </c>
      <c r="AS37" s="109"/>
      <c r="AT37" s="113" t="n">
        <f aca="false">AH37+145</f>
        <v>45580</v>
      </c>
      <c r="AU37" s="117" t="s">
        <v>173</v>
      </c>
      <c r="AV37" s="99" t="n">
        <f aca="false">AR37-AH37</f>
        <v>166</v>
      </c>
      <c r="AW37" s="103"/>
      <c r="AX37" s="99"/>
      <c r="AY37" s="97" t="n">
        <v>20</v>
      </c>
      <c r="AZ37" s="97" t="n">
        <v>210281</v>
      </c>
    </row>
    <row r="38" customFormat="false" ht="14.25" hidden="false" customHeight="false" outlineLevel="0" collapsed="false">
      <c r="A38" s="97" t="n">
        <v>19</v>
      </c>
      <c r="B38" s="97" t="n">
        <v>210277</v>
      </c>
      <c r="C38" s="98" t="s">
        <v>70</v>
      </c>
      <c r="D38" s="99" t="n">
        <v>89445</v>
      </c>
      <c r="E38" s="100" t="n">
        <v>44120</v>
      </c>
      <c r="F38" s="101" t="n">
        <v>3</v>
      </c>
      <c r="G38" s="102" t="n">
        <v>45237</v>
      </c>
      <c r="H38" s="103" t="n">
        <v>1</v>
      </c>
      <c r="I38" s="104" t="n">
        <v>198</v>
      </c>
      <c r="J38" s="105" t="n">
        <f aca="false">J$3-G38</f>
        <v>196</v>
      </c>
      <c r="K38" s="106" t="n">
        <v>2.5</v>
      </c>
      <c r="L38" s="106" t="n">
        <v>2.5</v>
      </c>
      <c r="M38" s="106" t="n">
        <v>2.25</v>
      </c>
      <c r="N38" s="106" t="n">
        <v>2.25</v>
      </c>
      <c r="O38" s="108" t="n">
        <v>-25</v>
      </c>
      <c r="P38" s="108" t="n">
        <v>-16</v>
      </c>
      <c r="Q38" s="108" t="n">
        <v>134.1</v>
      </c>
      <c r="R38" s="108" t="n">
        <v>176</v>
      </c>
      <c r="S38" s="107"/>
      <c r="T38" s="108" t="n">
        <v>220</v>
      </c>
      <c r="U38" s="108" t="n">
        <v>1000</v>
      </c>
      <c r="V38" s="108" t="n">
        <v>1100</v>
      </c>
      <c r="W38" s="108" t="n">
        <v>1160</v>
      </c>
      <c r="X38" s="109" t="n">
        <v>1300</v>
      </c>
      <c r="Y38" s="109" t="n">
        <v>800</v>
      </c>
      <c r="Z38" s="103"/>
      <c r="AA38" s="110"/>
      <c r="AB38" s="110"/>
      <c r="AC38" s="111"/>
      <c r="AD38" s="111"/>
      <c r="AE38" s="112"/>
      <c r="AF38" s="112"/>
      <c r="AG38" s="103"/>
      <c r="AH38" s="113" t="n">
        <v>45435</v>
      </c>
      <c r="AI38" s="114" t="n">
        <v>45435.6729166667</v>
      </c>
      <c r="AJ38" s="115" t="s">
        <v>176</v>
      </c>
      <c r="AK38" s="99" t="s">
        <v>177</v>
      </c>
      <c r="AL38" s="111"/>
      <c r="AM38" s="111" t="n">
        <f aca="false">AM$2-AH38</f>
        <v>49</v>
      </c>
      <c r="AN38" s="99" t="n">
        <v>50</v>
      </c>
      <c r="AO38" s="99" t="s">
        <v>12</v>
      </c>
      <c r="AP38" s="99"/>
      <c r="AQ38" s="103" t="n">
        <v>1</v>
      </c>
      <c r="AR38" s="116" t="n">
        <v>45583</v>
      </c>
      <c r="AS38" s="109"/>
      <c r="AT38" s="113" t="n">
        <f aca="false">AH38+145</f>
        <v>45580</v>
      </c>
      <c r="AU38" s="99" t="s">
        <v>178</v>
      </c>
      <c r="AV38" s="99" t="n">
        <f aca="false">AR38-AH38</f>
        <v>148</v>
      </c>
      <c r="AW38" s="103" t="s">
        <v>181</v>
      </c>
      <c r="AX38" s="99"/>
      <c r="AY38" s="97" t="n">
        <v>19</v>
      </c>
      <c r="AZ38" s="97" t="n">
        <v>210277</v>
      </c>
    </row>
    <row r="39" customFormat="false" ht="14.25" hidden="false" customHeight="false" outlineLevel="0" collapsed="false">
      <c r="A39" s="97" t="n">
        <v>18</v>
      </c>
      <c r="B39" s="97" t="n">
        <v>210276</v>
      </c>
      <c r="C39" s="98" t="s">
        <v>70</v>
      </c>
      <c r="D39" s="99" t="n">
        <v>89271</v>
      </c>
      <c r="E39" s="100" t="n">
        <v>44122</v>
      </c>
      <c r="F39" s="101" t="n">
        <v>3</v>
      </c>
      <c r="G39" s="102" t="n">
        <v>45220</v>
      </c>
      <c r="H39" s="103" t="n">
        <v>1</v>
      </c>
      <c r="I39" s="104" t="n">
        <v>215</v>
      </c>
      <c r="J39" s="105" t="n">
        <f aca="false">J$3-G39</f>
        <v>213</v>
      </c>
      <c r="K39" s="106" t="n">
        <v>2.5</v>
      </c>
      <c r="L39" s="106" t="n">
        <v>2.25</v>
      </c>
      <c r="M39" s="106" t="n">
        <v>2.25</v>
      </c>
      <c r="N39" s="106" t="n">
        <v>2.25</v>
      </c>
      <c r="O39" s="108" t="n">
        <v>121</v>
      </c>
      <c r="P39" s="108" t="n">
        <v>295</v>
      </c>
      <c r="Q39" s="108" t="n">
        <v>191.4</v>
      </c>
      <c r="R39" s="108" t="n">
        <v>174</v>
      </c>
      <c r="S39" s="108" t="n">
        <v>1640</v>
      </c>
      <c r="T39" s="108" t="n">
        <v>1660</v>
      </c>
      <c r="U39" s="108" t="n">
        <v>1180</v>
      </c>
      <c r="V39" s="108" t="n">
        <v>1260</v>
      </c>
      <c r="W39" s="108" t="n">
        <v>700</v>
      </c>
      <c r="X39" s="109" t="n">
        <v>1300</v>
      </c>
      <c r="Y39" s="109" t="n">
        <v>840</v>
      </c>
      <c r="Z39" s="103" t="n">
        <v>15</v>
      </c>
      <c r="AA39" s="110" t="n">
        <v>45434.8310763889</v>
      </c>
      <c r="AB39" s="110" t="n">
        <v>45434.831087963</v>
      </c>
      <c r="AC39" s="111" t="n">
        <f aca="false">(AA39-$AC$2)*24</f>
        <v>36.91249999922</v>
      </c>
      <c r="AD39" s="111" t="n">
        <f aca="false">AC39+35</f>
        <v>71.91249999922</v>
      </c>
      <c r="AE39" s="112" t="n">
        <v>0.000277777842711657</v>
      </c>
      <c r="AF39" s="112" t="n">
        <v>1</v>
      </c>
      <c r="AG39" s="103" t="n">
        <v>2</v>
      </c>
      <c r="AH39" s="113" t="n">
        <v>45435</v>
      </c>
      <c r="AI39" s="114" t="n">
        <v>45435.6777777778</v>
      </c>
      <c r="AJ39" s="115" t="s">
        <v>187</v>
      </c>
      <c r="AK39" s="99" t="s">
        <v>188</v>
      </c>
      <c r="AL39" s="111" t="n">
        <f aca="false">(AI39-AA39)*24</f>
        <v>20.3208333333333</v>
      </c>
      <c r="AM39" s="111" t="n">
        <f aca="false">AM$2-AH39</f>
        <v>49</v>
      </c>
      <c r="AN39" s="99" t="n">
        <v>30</v>
      </c>
      <c r="AO39" s="99" t="s">
        <v>173</v>
      </c>
      <c r="AP39" s="99"/>
      <c r="AQ39" s="103" t="n">
        <v>1</v>
      </c>
      <c r="AR39" s="116" t="n">
        <v>45600</v>
      </c>
      <c r="AS39" s="109"/>
      <c r="AT39" s="113" t="n">
        <f aca="false">AH39+145</f>
        <v>45580</v>
      </c>
      <c r="AU39" s="117" t="s">
        <v>173</v>
      </c>
      <c r="AV39" s="99" t="n">
        <f aca="false">AR39-AH39</f>
        <v>165</v>
      </c>
      <c r="AW39" s="103"/>
      <c r="AX39" s="99"/>
      <c r="AY39" s="97" t="n">
        <v>18</v>
      </c>
      <c r="AZ39" s="97" t="n">
        <v>210276</v>
      </c>
    </row>
    <row r="40" customFormat="false" ht="14.25" hidden="false" customHeight="false" outlineLevel="0" collapsed="false">
      <c r="A40" s="97" t="n">
        <v>17</v>
      </c>
      <c r="B40" s="97" t="n">
        <v>210262</v>
      </c>
      <c r="C40" s="98" t="s">
        <v>70</v>
      </c>
      <c r="D40" s="99" t="n">
        <v>89312</v>
      </c>
      <c r="E40" s="100" t="n">
        <v>44121</v>
      </c>
      <c r="F40" s="101" t="n">
        <v>3</v>
      </c>
      <c r="G40" s="102" t="n">
        <v>45218</v>
      </c>
      <c r="H40" s="103" t="n">
        <v>1</v>
      </c>
      <c r="I40" s="104" t="n">
        <v>217</v>
      </c>
      <c r="J40" s="105" t="n">
        <f aca="false">J$3-G40</f>
        <v>215</v>
      </c>
      <c r="K40" s="106" t="n">
        <v>2.75</v>
      </c>
      <c r="L40" s="106" t="n">
        <v>2.5</v>
      </c>
      <c r="M40" s="106" t="n">
        <v>2.5</v>
      </c>
      <c r="N40" s="106" t="n">
        <v>2.5</v>
      </c>
      <c r="O40" s="107"/>
      <c r="P40" s="108" t="n">
        <v>47</v>
      </c>
      <c r="Q40" s="108" t="n">
        <v>213.4</v>
      </c>
      <c r="R40" s="108" t="n">
        <v>220</v>
      </c>
      <c r="S40" s="108" t="n">
        <v>1940</v>
      </c>
      <c r="T40" s="108" t="n">
        <v>1320</v>
      </c>
      <c r="U40" s="108" t="n">
        <v>1000</v>
      </c>
      <c r="V40" s="108" t="n">
        <v>920</v>
      </c>
      <c r="W40" s="108" t="n">
        <v>900</v>
      </c>
      <c r="X40" s="109" t="n">
        <v>1100</v>
      </c>
      <c r="Y40" s="109" t="n">
        <v>900</v>
      </c>
      <c r="Z40" s="103" t="n">
        <v>4</v>
      </c>
      <c r="AA40" s="110" t="n">
        <v>45434.2063425926</v>
      </c>
      <c r="AB40" s="110" t="n">
        <v>45434.4987152778</v>
      </c>
      <c r="AC40" s="111" t="n">
        <f aca="false">(AA40-$AC$2)*24</f>
        <v>21.9188888880306</v>
      </c>
      <c r="AD40" s="111" t="n">
        <f aca="false">AC40+35</f>
        <v>56.9188888880306</v>
      </c>
      <c r="AE40" s="112" t="n">
        <v>7.01694444433088</v>
      </c>
      <c r="AF40" s="112" t="n">
        <v>7.01694444433088</v>
      </c>
      <c r="AG40" s="103" t="n">
        <v>33</v>
      </c>
      <c r="AH40" s="113" t="n">
        <v>45435</v>
      </c>
      <c r="AI40" s="114" t="n">
        <v>45435.6777777778</v>
      </c>
      <c r="AJ40" s="115" t="s">
        <v>182</v>
      </c>
      <c r="AK40" s="99" t="s">
        <v>183</v>
      </c>
      <c r="AL40" s="111" t="n">
        <f aca="false">(AI40-AA40)*24</f>
        <v>35.3144444444445</v>
      </c>
      <c r="AM40" s="111" t="n">
        <f aca="false">AM$2-AH40</f>
        <v>49</v>
      </c>
      <c r="AN40" s="99" t="n">
        <v>50</v>
      </c>
      <c r="AO40" s="99" t="s">
        <v>12</v>
      </c>
      <c r="AP40" s="99"/>
      <c r="AQ40" s="103" t="n">
        <v>1</v>
      </c>
      <c r="AR40" s="116" t="n">
        <v>45584</v>
      </c>
      <c r="AS40" s="109"/>
      <c r="AT40" s="113" t="n">
        <f aca="false">AH40+145</f>
        <v>45580</v>
      </c>
      <c r="AU40" s="99" t="s">
        <v>178</v>
      </c>
      <c r="AV40" s="99" t="n">
        <f aca="false">AR40-AH40</f>
        <v>149</v>
      </c>
      <c r="AW40" s="103"/>
      <c r="AX40" s="99"/>
      <c r="AY40" s="97" t="n">
        <v>17</v>
      </c>
      <c r="AZ40" s="97" t="n">
        <v>210262</v>
      </c>
    </row>
    <row r="41" customFormat="false" ht="14.25" hidden="false" customHeight="false" outlineLevel="0" collapsed="false">
      <c r="A41" s="97" t="n">
        <v>16</v>
      </c>
      <c r="B41" s="97" t="n">
        <v>210260</v>
      </c>
      <c r="C41" s="98" t="s">
        <v>70</v>
      </c>
      <c r="D41" s="99" t="n">
        <v>89787</v>
      </c>
      <c r="E41" s="100" t="n">
        <v>44122</v>
      </c>
      <c r="F41" s="101" t="n">
        <v>3</v>
      </c>
      <c r="G41" s="102" t="n">
        <v>45221</v>
      </c>
      <c r="H41" s="103" t="n">
        <v>1</v>
      </c>
      <c r="I41" s="104" t="n">
        <v>214</v>
      </c>
      <c r="J41" s="105" t="n">
        <f aca="false">J$3-G41</f>
        <v>212</v>
      </c>
      <c r="K41" s="106" t="n">
        <v>2</v>
      </c>
      <c r="L41" s="106" t="n">
        <v>2.25</v>
      </c>
      <c r="M41" s="106" t="n">
        <v>2.25</v>
      </c>
      <c r="N41" s="106" t="n">
        <v>2.25</v>
      </c>
      <c r="O41" s="108" t="n">
        <v>96</v>
      </c>
      <c r="P41" s="108" t="n">
        <v>81</v>
      </c>
      <c r="Q41" s="108" t="n">
        <v>114.5</v>
      </c>
      <c r="R41" s="108" t="n">
        <v>130</v>
      </c>
      <c r="S41" s="108" t="n">
        <v>1340</v>
      </c>
      <c r="T41" s="108" t="n">
        <v>900</v>
      </c>
      <c r="U41" s="108" t="n">
        <v>800</v>
      </c>
      <c r="V41" s="108" t="n">
        <v>760</v>
      </c>
      <c r="W41" s="108" t="n">
        <v>960</v>
      </c>
      <c r="X41" s="109" t="n">
        <v>680</v>
      </c>
      <c r="Y41" s="109" t="n">
        <v>700</v>
      </c>
      <c r="Z41" s="103" t="n">
        <v>10</v>
      </c>
      <c r="AA41" s="110" t="n">
        <v>45434.6339930556</v>
      </c>
      <c r="AB41" s="110" t="n">
        <v>45434.6407407407</v>
      </c>
      <c r="AC41" s="111" t="n">
        <f aca="false">(AA41-$AC$2)*24</f>
        <v>32.1825</v>
      </c>
      <c r="AD41" s="111" t="n">
        <f aca="false">AC41+35</f>
        <v>67.1825</v>
      </c>
      <c r="AE41" s="112" t="n">
        <v>0.161944444407709</v>
      </c>
      <c r="AF41" s="112" t="n">
        <v>1</v>
      </c>
      <c r="AG41" s="103" t="n">
        <v>4</v>
      </c>
      <c r="AH41" s="113" t="n">
        <v>45435</v>
      </c>
      <c r="AI41" s="114" t="n">
        <v>45435.6618055556</v>
      </c>
      <c r="AJ41" s="115" t="s">
        <v>191</v>
      </c>
      <c r="AK41" s="99" t="s">
        <v>192</v>
      </c>
      <c r="AL41" s="111" t="n">
        <f aca="false">(AI41-AA41)*24</f>
        <v>24.6675</v>
      </c>
      <c r="AM41" s="111" t="n">
        <f aca="false">AM$2-AH41</f>
        <v>49</v>
      </c>
      <c r="AN41" s="99" t="n">
        <v>50</v>
      </c>
      <c r="AO41" s="99" t="s">
        <v>12</v>
      </c>
      <c r="AP41" s="99"/>
      <c r="AQ41" s="103" t="n">
        <v>2</v>
      </c>
      <c r="AR41" s="116" t="n">
        <v>45587</v>
      </c>
      <c r="AS41" s="109"/>
      <c r="AT41" s="113" t="n">
        <f aca="false">AH41+145</f>
        <v>45580</v>
      </c>
      <c r="AU41" s="99" t="s">
        <v>178</v>
      </c>
      <c r="AV41" s="99" t="n">
        <f aca="false">AR41-AH41</f>
        <v>152</v>
      </c>
      <c r="AW41" s="103"/>
      <c r="AX41" s="99"/>
      <c r="AY41" s="97" t="n">
        <v>16</v>
      </c>
      <c r="AZ41" s="97" t="n">
        <v>210260</v>
      </c>
    </row>
    <row r="42" customFormat="false" ht="14.25" hidden="false" customHeight="false" outlineLevel="0" collapsed="false">
      <c r="A42" s="97" t="n">
        <v>15</v>
      </c>
      <c r="B42" s="97" t="n">
        <v>210257</v>
      </c>
      <c r="C42" s="98" t="s">
        <v>70</v>
      </c>
      <c r="D42" s="99" t="n">
        <v>89800</v>
      </c>
      <c r="E42" s="100" t="n">
        <v>44120</v>
      </c>
      <c r="F42" s="101" t="n">
        <v>3</v>
      </c>
      <c r="G42" s="102" t="n">
        <v>45227</v>
      </c>
      <c r="H42" s="103" t="n">
        <v>1</v>
      </c>
      <c r="I42" s="104" t="n">
        <v>208</v>
      </c>
      <c r="J42" s="105" t="n">
        <f aca="false">J$3-G42</f>
        <v>206</v>
      </c>
      <c r="K42" s="106" t="n">
        <v>2.25</v>
      </c>
      <c r="L42" s="106" t="n">
        <v>2.5</v>
      </c>
      <c r="M42" s="106" t="n">
        <v>2.5</v>
      </c>
      <c r="N42" s="106" t="n">
        <v>2.75</v>
      </c>
      <c r="O42" s="108" t="n">
        <v>132</v>
      </c>
      <c r="P42" s="108" t="n">
        <v>30</v>
      </c>
      <c r="Q42" s="108" t="n">
        <v>143.8</v>
      </c>
      <c r="R42" s="108" t="n">
        <v>167</v>
      </c>
      <c r="S42" s="108" t="n">
        <v>860</v>
      </c>
      <c r="T42" s="108" t="n">
        <v>620</v>
      </c>
      <c r="U42" s="108" t="n">
        <v>340</v>
      </c>
      <c r="V42" s="108" t="n">
        <v>440</v>
      </c>
      <c r="W42" s="108" t="n">
        <v>700</v>
      </c>
      <c r="X42" s="109" t="n">
        <v>820</v>
      </c>
      <c r="Y42" s="109" t="n">
        <v>620</v>
      </c>
      <c r="Z42" s="103" t="n">
        <v>9</v>
      </c>
      <c r="AA42" s="110" t="n">
        <v>45434.6040972222</v>
      </c>
      <c r="AB42" s="110" t="n">
        <v>45434.756400463</v>
      </c>
      <c r="AC42" s="111" t="n">
        <f aca="false">(AA42-$AC$2)*24</f>
        <v>31.4649999984539</v>
      </c>
      <c r="AD42" s="111" t="n">
        <f aca="false">AC42+35</f>
        <v>66.4649999984539</v>
      </c>
      <c r="AE42" s="112" t="n">
        <v>3.65527777763782</v>
      </c>
      <c r="AF42" s="112" t="n">
        <v>3.65527777763782</v>
      </c>
      <c r="AG42" s="103" t="n">
        <v>18</v>
      </c>
      <c r="AH42" s="113" t="n">
        <v>45435</v>
      </c>
      <c r="AI42" s="114" t="n">
        <v>45435.6722222222</v>
      </c>
      <c r="AJ42" s="115" t="s">
        <v>193</v>
      </c>
      <c r="AK42" s="99" t="s">
        <v>194</v>
      </c>
      <c r="AL42" s="111" t="n">
        <f aca="false">(AI42-AA42)*24</f>
        <v>25.635</v>
      </c>
      <c r="AM42" s="111" t="n">
        <f aca="false">AM$2-AH42</f>
        <v>49</v>
      </c>
      <c r="AN42" s="99" t="n">
        <v>50</v>
      </c>
      <c r="AO42" s="99" t="s">
        <v>12</v>
      </c>
      <c r="AP42" s="99"/>
      <c r="AQ42" s="103" t="n">
        <v>2</v>
      </c>
      <c r="AR42" s="116" t="n">
        <v>45585</v>
      </c>
      <c r="AS42" s="109"/>
      <c r="AT42" s="113" t="n">
        <f aca="false">AH42+145</f>
        <v>45580</v>
      </c>
      <c r="AU42" s="99" t="s">
        <v>178</v>
      </c>
      <c r="AV42" s="99" t="n">
        <f aca="false">AR42-AH42</f>
        <v>150</v>
      </c>
      <c r="AW42" s="103"/>
      <c r="AX42" s="99"/>
      <c r="AY42" s="97" t="n">
        <v>15</v>
      </c>
      <c r="AZ42" s="97" t="n">
        <v>210257</v>
      </c>
    </row>
    <row r="43" customFormat="false" ht="14.25" hidden="false" customHeight="false" outlineLevel="0" collapsed="false">
      <c r="A43" s="97" t="n">
        <v>14</v>
      </c>
      <c r="B43" s="97" t="n">
        <v>200983</v>
      </c>
      <c r="C43" s="98" t="s">
        <v>70</v>
      </c>
      <c r="D43" s="99" t="n">
        <v>89067</v>
      </c>
      <c r="E43" s="100" t="n">
        <v>43762</v>
      </c>
      <c r="F43" s="101" t="n">
        <v>4</v>
      </c>
      <c r="G43" s="102" t="n">
        <v>45218</v>
      </c>
      <c r="H43" s="103" t="n">
        <v>2</v>
      </c>
      <c r="I43" s="104" t="n">
        <v>217</v>
      </c>
      <c r="J43" s="105" t="n">
        <f aca="false">J$3-G43</f>
        <v>215</v>
      </c>
      <c r="K43" s="106" t="n">
        <v>2.75</v>
      </c>
      <c r="L43" s="106" t="n">
        <v>2.5</v>
      </c>
      <c r="M43" s="106" t="n">
        <v>2</v>
      </c>
      <c r="N43" s="106" t="n">
        <v>2.5</v>
      </c>
      <c r="O43" s="108" t="n">
        <v>-33</v>
      </c>
      <c r="P43" s="108" t="n">
        <v>5</v>
      </c>
      <c r="Q43" s="108" t="n">
        <v>137.2</v>
      </c>
      <c r="R43" s="108" t="n">
        <v>190</v>
      </c>
      <c r="S43" s="108" t="n">
        <v>1700</v>
      </c>
      <c r="T43" s="108" t="n">
        <v>1500</v>
      </c>
      <c r="U43" s="108" t="n">
        <v>1200</v>
      </c>
      <c r="V43" s="108" t="n">
        <v>1200</v>
      </c>
      <c r="W43" s="108" t="n">
        <v>1900</v>
      </c>
      <c r="X43" s="109" t="n">
        <v>1200</v>
      </c>
      <c r="Y43" s="109" t="n">
        <v>660</v>
      </c>
      <c r="Z43" s="103" t="n">
        <v>12</v>
      </c>
      <c r="AA43" s="110" t="n">
        <v>45434.7421064815</v>
      </c>
      <c r="AB43" s="110" t="n">
        <v>45434.9680439815</v>
      </c>
      <c r="AC43" s="111" t="n">
        <f aca="false">(AA43-$AC$2)*24</f>
        <v>34.7772222215425</v>
      </c>
      <c r="AD43" s="111" t="n">
        <f aca="false">AC43+35</f>
        <v>69.7772222215425</v>
      </c>
      <c r="AE43" s="112" t="n">
        <v>5.42249999998603</v>
      </c>
      <c r="AF43" s="112" t="n">
        <v>5.42249999998603</v>
      </c>
      <c r="AG43" s="103" t="n">
        <v>14</v>
      </c>
      <c r="AH43" s="113" t="n">
        <v>45435</v>
      </c>
      <c r="AI43" s="114" t="n">
        <v>45435.6784722222</v>
      </c>
      <c r="AJ43" s="115" t="s">
        <v>176</v>
      </c>
      <c r="AK43" s="99" t="s">
        <v>177</v>
      </c>
      <c r="AL43" s="111" t="n">
        <f aca="false">(AI43-AA43)*24</f>
        <v>22.4727777768275</v>
      </c>
      <c r="AM43" s="111" t="n">
        <f aca="false">AM$2-AH43</f>
        <v>49</v>
      </c>
      <c r="AN43" s="99" t="n">
        <v>30</v>
      </c>
      <c r="AO43" s="99" t="s">
        <v>173</v>
      </c>
      <c r="AP43" s="99"/>
      <c r="AQ43" s="103" t="n">
        <v>1</v>
      </c>
      <c r="AR43" s="116" t="n">
        <v>45600</v>
      </c>
      <c r="AS43" s="109"/>
      <c r="AT43" s="113" t="n">
        <f aca="false">AH43+145</f>
        <v>45580</v>
      </c>
      <c r="AU43" s="117" t="s">
        <v>173</v>
      </c>
      <c r="AV43" s="99" t="n">
        <f aca="false">AR43-AH43</f>
        <v>165</v>
      </c>
      <c r="AW43" s="103"/>
      <c r="AX43" s="99"/>
      <c r="AY43" s="97" t="n">
        <v>14</v>
      </c>
      <c r="AZ43" s="97" t="n">
        <v>200983</v>
      </c>
    </row>
    <row r="44" customFormat="false" ht="14.25" hidden="false" customHeight="false" outlineLevel="0" collapsed="false">
      <c r="A44" s="97" t="n">
        <v>13</v>
      </c>
      <c r="B44" s="97" t="n">
        <v>200970</v>
      </c>
      <c r="C44" s="98" t="s">
        <v>70</v>
      </c>
      <c r="D44" s="99" t="n">
        <v>89230</v>
      </c>
      <c r="E44" s="100" t="n">
        <v>43762</v>
      </c>
      <c r="F44" s="101" t="n">
        <v>4</v>
      </c>
      <c r="G44" s="102" t="n">
        <v>45218</v>
      </c>
      <c r="H44" s="103" t="n">
        <v>1</v>
      </c>
      <c r="I44" s="104" t="n">
        <v>217</v>
      </c>
      <c r="J44" s="105" t="n">
        <f aca="false">J$3-G44</f>
        <v>215</v>
      </c>
      <c r="K44" s="106" t="n">
        <v>2.25</v>
      </c>
      <c r="L44" s="106" t="n">
        <v>2.25</v>
      </c>
      <c r="M44" s="106" t="n">
        <v>2</v>
      </c>
      <c r="N44" s="106" t="n">
        <v>2.25</v>
      </c>
      <c r="O44" s="108" t="n">
        <v>30</v>
      </c>
      <c r="P44" s="108" t="n">
        <v>58</v>
      </c>
      <c r="Q44" s="108" t="n">
        <v>133.3</v>
      </c>
      <c r="R44" s="108" t="n">
        <v>178</v>
      </c>
      <c r="S44" s="108" t="n">
        <v>1500</v>
      </c>
      <c r="T44" s="108" t="n">
        <v>900</v>
      </c>
      <c r="U44" s="108" t="n">
        <v>1060</v>
      </c>
      <c r="V44" s="108" t="n">
        <v>1040</v>
      </c>
      <c r="W44" s="108" t="n">
        <v>1160</v>
      </c>
      <c r="X44" s="109" t="n">
        <v>1000</v>
      </c>
      <c r="Y44" s="109" t="n">
        <v>800</v>
      </c>
      <c r="Z44" s="103" t="n">
        <v>25</v>
      </c>
      <c r="AA44" s="110" t="n">
        <v>45435.0172222222</v>
      </c>
      <c r="AB44" s="110" t="n">
        <v>45435.0476736111</v>
      </c>
      <c r="AC44" s="111" t="n">
        <f aca="false">(AA44-$AC$2)*24</f>
        <v>41.3799999984328</v>
      </c>
      <c r="AD44" s="111" t="n">
        <f aca="false">AC44+35</f>
        <v>76.3799999984328</v>
      </c>
      <c r="AE44" s="112" t="n">
        <v>0.73083333321847</v>
      </c>
      <c r="AF44" s="112" t="n">
        <v>1</v>
      </c>
      <c r="AG44" s="103" t="n">
        <v>6</v>
      </c>
      <c r="AH44" s="113" t="n">
        <v>45435</v>
      </c>
      <c r="AI44" s="114" t="n">
        <v>45435.6729166667</v>
      </c>
      <c r="AJ44" s="115" t="s">
        <v>193</v>
      </c>
      <c r="AK44" s="99" t="s">
        <v>194</v>
      </c>
      <c r="AL44" s="111" t="n">
        <f aca="false">(AI44-AA44)*24</f>
        <v>15.7366666679153</v>
      </c>
      <c r="AM44" s="111" t="n">
        <f aca="false">AM$2-AH44</f>
        <v>49</v>
      </c>
      <c r="AN44" s="99" t="n">
        <v>50</v>
      </c>
      <c r="AO44" s="99" t="s">
        <v>12</v>
      </c>
      <c r="AP44" s="99"/>
      <c r="AQ44" s="103" t="n">
        <v>1</v>
      </c>
      <c r="AR44" s="116" t="n">
        <v>45585</v>
      </c>
      <c r="AS44" s="109"/>
      <c r="AT44" s="113" t="n">
        <f aca="false">AH44+145</f>
        <v>45580</v>
      </c>
      <c r="AU44" s="99" t="s">
        <v>178</v>
      </c>
      <c r="AV44" s="99" t="n">
        <f aca="false">AR44-AH44</f>
        <v>150</v>
      </c>
      <c r="AW44" s="103"/>
      <c r="AX44" s="99"/>
      <c r="AY44" s="97" t="n">
        <v>13</v>
      </c>
      <c r="AZ44" s="97" t="n">
        <v>200970</v>
      </c>
    </row>
    <row r="45" customFormat="false" ht="14.25" hidden="false" customHeight="false" outlineLevel="0" collapsed="false">
      <c r="A45" s="97" t="n">
        <v>12</v>
      </c>
      <c r="B45" s="97" t="n">
        <v>200967</v>
      </c>
      <c r="C45" s="98" t="s">
        <v>70</v>
      </c>
      <c r="D45" s="99" t="n">
        <v>89320</v>
      </c>
      <c r="E45" s="100" t="n">
        <v>43761</v>
      </c>
      <c r="F45" s="101" t="n">
        <v>4</v>
      </c>
      <c r="G45" s="102" t="n">
        <v>45237</v>
      </c>
      <c r="H45" s="103" t="n">
        <v>1</v>
      </c>
      <c r="I45" s="104" t="n">
        <v>198</v>
      </c>
      <c r="J45" s="105" t="n">
        <f aca="false">J$3-G45</f>
        <v>196</v>
      </c>
      <c r="K45" s="106" t="n">
        <v>2.5</v>
      </c>
      <c r="L45" s="106" t="n">
        <v>2.5</v>
      </c>
      <c r="M45" s="106" t="n">
        <v>2.25</v>
      </c>
      <c r="N45" s="106" t="n">
        <v>2.5</v>
      </c>
      <c r="O45" s="108" t="n">
        <v>138</v>
      </c>
      <c r="P45" s="108" t="n">
        <v>163</v>
      </c>
      <c r="Q45" s="108" t="n">
        <v>188.9</v>
      </c>
      <c r="R45" s="108" t="n">
        <v>220</v>
      </c>
      <c r="S45" s="108" t="n">
        <v>1860</v>
      </c>
      <c r="T45" s="108" t="n">
        <v>1600</v>
      </c>
      <c r="U45" s="108" t="n">
        <v>1400</v>
      </c>
      <c r="V45" s="108" t="n">
        <v>1260</v>
      </c>
      <c r="W45" s="108" t="n">
        <v>1240</v>
      </c>
      <c r="X45" s="109" t="n">
        <v>1300</v>
      </c>
      <c r="Y45" s="109" t="n">
        <v>720</v>
      </c>
      <c r="Z45" s="103"/>
      <c r="AA45" s="110"/>
      <c r="AB45" s="110"/>
      <c r="AC45" s="111"/>
      <c r="AD45" s="111"/>
      <c r="AE45" s="112"/>
      <c r="AF45" s="112"/>
      <c r="AG45" s="103"/>
      <c r="AH45" s="113" t="n">
        <v>45435</v>
      </c>
      <c r="AI45" s="114" t="n">
        <v>45435.6770833333</v>
      </c>
      <c r="AJ45" s="115" t="s">
        <v>191</v>
      </c>
      <c r="AK45" s="99" t="s">
        <v>192</v>
      </c>
      <c r="AL45" s="111"/>
      <c r="AM45" s="111" t="n">
        <f aca="false">AM$2-AH45</f>
        <v>49</v>
      </c>
      <c r="AN45" s="99" t="n">
        <v>50</v>
      </c>
      <c r="AO45" s="99" t="s">
        <v>12</v>
      </c>
      <c r="AP45" s="99"/>
      <c r="AQ45" s="103" t="n">
        <v>2</v>
      </c>
      <c r="AR45" s="116" t="n">
        <v>45583</v>
      </c>
      <c r="AS45" s="109"/>
      <c r="AT45" s="113" t="n">
        <f aca="false">AH45+145</f>
        <v>45580</v>
      </c>
      <c r="AU45" s="99" t="s">
        <v>178</v>
      </c>
      <c r="AV45" s="99" t="n">
        <f aca="false">AR45-AH45</f>
        <v>148</v>
      </c>
      <c r="AW45" s="103" t="s">
        <v>181</v>
      </c>
      <c r="AX45" s="99"/>
      <c r="AY45" s="97" t="n">
        <v>12</v>
      </c>
      <c r="AZ45" s="97" t="n">
        <v>200967</v>
      </c>
    </row>
    <row r="46" customFormat="false" ht="14.25" hidden="false" customHeight="false" outlineLevel="0" collapsed="false">
      <c r="A46" s="97" t="n">
        <v>11</v>
      </c>
      <c r="B46" s="97" t="n">
        <v>200952</v>
      </c>
      <c r="C46" s="98" t="s">
        <v>70</v>
      </c>
      <c r="D46" s="99" t="n">
        <v>88167</v>
      </c>
      <c r="E46" s="100" t="n">
        <v>43765</v>
      </c>
      <c r="F46" s="101" t="n">
        <v>4</v>
      </c>
      <c r="G46" s="102" t="n">
        <v>45239</v>
      </c>
      <c r="H46" s="103" t="n">
        <v>1</v>
      </c>
      <c r="I46" s="104" t="n">
        <v>196</v>
      </c>
      <c r="J46" s="105" t="n">
        <f aca="false">J$3-G46</f>
        <v>194</v>
      </c>
      <c r="K46" s="106" t="n">
        <v>2.5</v>
      </c>
      <c r="L46" s="106" t="n">
        <v>2.5</v>
      </c>
      <c r="M46" s="106" t="n">
        <v>2.25</v>
      </c>
      <c r="N46" s="106" t="n">
        <v>2.25</v>
      </c>
      <c r="O46" s="108" t="n">
        <v>133</v>
      </c>
      <c r="P46" s="108" t="n">
        <v>79</v>
      </c>
      <c r="Q46" s="108" t="n">
        <v>157.9</v>
      </c>
      <c r="R46" s="108" t="n">
        <v>189</v>
      </c>
      <c r="S46" s="108" t="n">
        <v>0</v>
      </c>
      <c r="T46" s="108" t="n">
        <v>1500</v>
      </c>
      <c r="U46" s="108" t="n">
        <v>1500</v>
      </c>
      <c r="V46" s="108" t="n">
        <v>1060</v>
      </c>
      <c r="W46" s="108" t="n">
        <v>1400</v>
      </c>
      <c r="X46" s="109" t="n">
        <v>1300</v>
      </c>
      <c r="Y46" s="109" t="n">
        <v>900</v>
      </c>
      <c r="Z46" s="103"/>
      <c r="AA46" s="110"/>
      <c r="AB46" s="110"/>
      <c r="AC46" s="111"/>
      <c r="AD46" s="111"/>
      <c r="AE46" s="112"/>
      <c r="AF46" s="112"/>
      <c r="AG46" s="103"/>
      <c r="AH46" s="113" t="n">
        <v>45435</v>
      </c>
      <c r="AI46" s="114" t="n">
        <v>45435.6597222222</v>
      </c>
      <c r="AJ46" s="115" t="s">
        <v>191</v>
      </c>
      <c r="AK46" s="99" t="s">
        <v>192</v>
      </c>
      <c r="AL46" s="111"/>
      <c r="AM46" s="111" t="n">
        <f aca="false">AM$2-AH46</f>
        <v>49</v>
      </c>
      <c r="AN46" s="99" t="n">
        <v>50</v>
      </c>
      <c r="AO46" s="99" t="s">
        <v>12</v>
      </c>
      <c r="AP46" s="99"/>
      <c r="AQ46" s="103" t="n">
        <v>1</v>
      </c>
      <c r="AR46" s="116" t="n">
        <v>45585</v>
      </c>
      <c r="AS46" s="109"/>
      <c r="AT46" s="113" t="n">
        <f aca="false">AH46+145</f>
        <v>45580</v>
      </c>
      <c r="AU46" s="99" t="s">
        <v>178</v>
      </c>
      <c r="AV46" s="99" t="n">
        <f aca="false">AR46-AH46</f>
        <v>150</v>
      </c>
      <c r="AW46" s="103" t="s">
        <v>181</v>
      </c>
      <c r="AX46" s="99"/>
      <c r="AY46" s="97" t="n">
        <v>11</v>
      </c>
      <c r="AZ46" s="97" t="n">
        <v>200952</v>
      </c>
    </row>
    <row r="47" customFormat="false" ht="14.25" hidden="false" customHeight="false" outlineLevel="0" collapsed="false">
      <c r="A47" s="97" t="n">
        <v>10</v>
      </c>
      <c r="B47" s="97" t="n">
        <v>190087</v>
      </c>
      <c r="C47" s="98" t="s">
        <v>70</v>
      </c>
      <c r="D47" s="99" t="n">
        <v>88241</v>
      </c>
      <c r="E47" s="100" t="n">
        <v>43398</v>
      </c>
      <c r="F47" s="101" t="n">
        <v>5</v>
      </c>
      <c r="G47" s="102" t="n">
        <v>45220</v>
      </c>
      <c r="H47" s="103" t="n">
        <v>1</v>
      </c>
      <c r="I47" s="104" t="n">
        <v>215</v>
      </c>
      <c r="J47" s="105" t="n">
        <f aca="false">J$3-G47</f>
        <v>213</v>
      </c>
      <c r="K47" s="106" t="n">
        <v>2.5</v>
      </c>
      <c r="L47" s="106" t="n">
        <v>2.25</v>
      </c>
      <c r="M47" s="106" t="n">
        <v>1.75</v>
      </c>
      <c r="N47" s="106" t="n">
        <v>2.5</v>
      </c>
      <c r="O47" s="107"/>
      <c r="P47" s="108" t="n">
        <v>34</v>
      </c>
      <c r="Q47" s="108" t="n">
        <v>171.2</v>
      </c>
      <c r="R47" s="108" t="n">
        <v>223</v>
      </c>
      <c r="S47" s="108" t="n">
        <v>1160</v>
      </c>
      <c r="T47" s="108" t="n">
        <v>1020</v>
      </c>
      <c r="U47" s="108" t="n">
        <v>1040</v>
      </c>
      <c r="V47" s="108" t="n">
        <v>1200</v>
      </c>
      <c r="W47" s="108" t="n">
        <v>980</v>
      </c>
      <c r="X47" s="109" t="n">
        <v>1100</v>
      </c>
      <c r="Y47" s="109" t="n">
        <v>420</v>
      </c>
      <c r="Z47" s="103"/>
      <c r="AA47" s="110"/>
      <c r="AB47" s="110"/>
      <c r="AC47" s="111"/>
      <c r="AD47" s="111"/>
      <c r="AE47" s="112"/>
      <c r="AF47" s="112"/>
      <c r="AG47" s="103"/>
      <c r="AH47" s="113" t="n">
        <v>45435</v>
      </c>
      <c r="AI47" s="114" t="n">
        <v>45435.6694444444</v>
      </c>
      <c r="AJ47" s="115" t="s">
        <v>189</v>
      </c>
      <c r="AK47" s="99" t="s">
        <v>190</v>
      </c>
      <c r="AL47" s="111"/>
      <c r="AM47" s="111" t="n">
        <f aca="false">AM$2-AH47</f>
        <v>49</v>
      </c>
      <c r="AN47" s="99" t="n">
        <v>50</v>
      </c>
      <c r="AO47" s="99" t="s">
        <v>12</v>
      </c>
      <c r="AP47" s="99"/>
      <c r="AQ47" s="103" t="n">
        <v>1</v>
      </c>
      <c r="AR47" s="116" t="n">
        <v>45581</v>
      </c>
      <c r="AS47" s="109"/>
      <c r="AT47" s="113" t="n">
        <f aca="false">AH47+145</f>
        <v>45580</v>
      </c>
      <c r="AU47" s="99" t="s">
        <v>178</v>
      </c>
      <c r="AV47" s="99" t="n">
        <f aca="false">AR47-AH47</f>
        <v>146</v>
      </c>
      <c r="AW47" s="103" t="s">
        <v>181</v>
      </c>
      <c r="AX47" s="99"/>
      <c r="AY47" s="97" t="n">
        <v>10</v>
      </c>
      <c r="AZ47" s="97" t="n">
        <v>190087</v>
      </c>
    </row>
    <row r="48" customFormat="false" ht="14.25" hidden="false" customHeight="false" outlineLevel="0" collapsed="false">
      <c r="A48" s="97" t="n">
        <v>9</v>
      </c>
      <c r="B48" s="97" t="n">
        <v>190085</v>
      </c>
      <c r="C48" s="98" t="s">
        <v>70</v>
      </c>
      <c r="D48" s="99" t="n">
        <v>88471</v>
      </c>
      <c r="E48" s="100" t="n">
        <v>43416</v>
      </c>
      <c r="F48" s="101" t="n">
        <v>5</v>
      </c>
      <c r="G48" s="102" t="n">
        <v>45222</v>
      </c>
      <c r="H48" s="103" t="n">
        <v>2</v>
      </c>
      <c r="I48" s="104" t="n">
        <v>213</v>
      </c>
      <c r="J48" s="105" t="n">
        <f aca="false">J$3-G48</f>
        <v>211</v>
      </c>
      <c r="K48" s="106" t="n">
        <v>2.5</v>
      </c>
      <c r="L48" s="106" t="n">
        <v>2.5</v>
      </c>
      <c r="M48" s="106" t="n">
        <v>2.25</v>
      </c>
      <c r="N48" s="106" t="n">
        <v>2.25</v>
      </c>
      <c r="O48" s="108" t="n">
        <v>-15</v>
      </c>
      <c r="P48" s="108" t="n">
        <v>-21</v>
      </c>
      <c r="Q48" s="108" t="n">
        <v>154.1</v>
      </c>
      <c r="R48" s="108" t="n">
        <v>207</v>
      </c>
      <c r="S48" s="108" t="n">
        <v>1500</v>
      </c>
      <c r="T48" s="108" t="n">
        <v>1500</v>
      </c>
      <c r="U48" s="108" t="n">
        <v>860</v>
      </c>
      <c r="V48" s="108" t="n">
        <v>1100</v>
      </c>
      <c r="W48" s="108" t="n">
        <v>1300</v>
      </c>
      <c r="X48" s="109" t="n">
        <v>1020</v>
      </c>
      <c r="Y48" s="109" t="n">
        <v>820</v>
      </c>
      <c r="Z48" s="103"/>
      <c r="AA48" s="110"/>
      <c r="AB48" s="110"/>
      <c r="AC48" s="111"/>
      <c r="AD48" s="111"/>
      <c r="AE48" s="112"/>
      <c r="AF48" s="112"/>
      <c r="AG48" s="103"/>
      <c r="AH48" s="113" t="n">
        <v>45435</v>
      </c>
      <c r="AI48" s="114" t="n">
        <v>45435.6680555556</v>
      </c>
      <c r="AJ48" s="115" t="s">
        <v>193</v>
      </c>
      <c r="AK48" s="99" t="s">
        <v>194</v>
      </c>
      <c r="AL48" s="111"/>
      <c r="AM48" s="111" t="n">
        <f aca="false">AM$2-AH48</f>
        <v>49</v>
      </c>
      <c r="AN48" s="99" t="n">
        <v>50</v>
      </c>
      <c r="AO48" s="99" t="s">
        <v>12</v>
      </c>
      <c r="AP48" s="99"/>
      <c r="AQ48" s="103" t="n">
        <v>1</v>
      </c>
      <c r="AR48" s="116" t="n">
        <v>45585</v>
      </c>
      <c r="AS48" s="109"/>
      <c r="AT48" s="113" t="n">
        <f aca="false">AH48+145</f>
        <v>45580</v>
      </c>
      <c r="AU48" s="99" t="s">
        <v>178</v>
      </c>
      <c r="AV48" s="99" t="n">
        <f aca="false">AR48-AH48</f>
        <v>150</v>
      </c>
      <c r="AW48" s="103" t="s">
        <v>181</v>
      </c>
      <c r="AX48" s="99"/>
      <c r="AY48" s="97" t="n">
        <v>9</v>
      </c>
      <c r="AZ48" s="97" t="n">
        <v>190085</v>
      </c>
    </row>
    <row r="49" customFormat="false" ht="14.25" hidden="false" customHeight="false" outlineLevel="0" collapsed="false">
      <c r="A49" s="97" t="n">
        <v>8</v>
      </c>
      <c r="B49" s="97" t="n">
        <v>190077</v>
      </c>
      <c r="C49" s="98" t="s">
        <v>70</v>
      </c>
      <c r="D49" s="99" t="n">
        <v>88596</v>
      </c>
      <c r="E49" s="100" t="n">
        <v>43399</v>
      </c>
      <c r="F49" s="101" t="n">
        <v>5</v>
      </c>
      <c r="G49" s="102" t="n">
        <v>45221</v>
      </c>
      <c r="H49" s="103" t="n">
        <v>1</v>
      </c>
      <c r="I49" s="104" t="n">
        <v>214</v>
      </c>
      <c r="J49" s="105" t="n">
        <f aca="false">J$3-G49</f>
        <v>212</v>
      </c>
      <c r="K49" s="106" t="n">
        <v>2.25</v>
      </c>
      <c r="L49" s="106" t="n">
        <v>2.25</v>
      </c>
      <c r="M49" s="106" t="n">
        <v>2</v>
      </c>
      <c r="N49" s="106" t="n">
        <v>2.25</v>
      </c>
      <c r="O49" s="108" t="n">
        <v>-15</v>
      </c>
      <c r="P49" s="108" t="n">
        <v>183</v>
      </c>
      <c r="Q49" s="108" t="n">
        <v>189.9</v>
      </c>
      <c r="R49" s="108" t="n">
        <v>199</v>
      </c>
      <c r="S49" s="108" t="n">
        <v>1660</v>
      </c>
      <c r="T49" s="108" t="n">
        <v>1900</v>
      </c>
      <c r="U49" s="108" t="n">
        <v>1340</v>
      </c>
      <c r="V49" s="108" t="n">
        <v>1260</v>
      </c>
      <c r="W49" s="108" t="n">
        <v>1100</v>
      </c>
      <c r="X49" s="109" t="n">
        <v>1000</v>
      </c>
      <c r="Y49" s="109" t="n">
        <v>500</v>
      </c>
      <c r="Z49" s="103" t="n">
        <v>16</v>
      </c>
      <c r="AA49" s="110" t="n">
        <v>45434.8379398148</v>
      </c>
      <c r="AB49" s="110" t="n">
        <v>45434.8563888889</v>
      </c>
      <c r="AC49" s="111" t="n">
        <f aca="false">(AA49-$AC$2)*24</f>
        <v>37.0772222208322</v>
      </c>
      <c r="AD49" s="111" t="n">
        <f aca="false">AC49+35</f>
        <v>72.0772222208322</v>
      </c>
      <c r="AE49" s="112" t="n">
        <v>0.442777777730953</v>
      </c>
      <c r="AF49" s="112" t="n">
        <v>1</v>
      </c>
      <c r="AG49" s="103" t="n">
        <v>5</v>
      </c>
      <c r="AH49" s="113" t="n">
        <v>45435</v>
      </c>
      <c r="AI49" s="114" t="n">
        <v>45435.6763888889</v>
      </c>
      <c r="AJ49" s="115" t="s">
        <v>174</v>
      </c>
      <c r="AK49" s="99" t="s">
        <v>175</v>
      </c>
      <c r="AL49" s="111" t="n">
        <f aca="false">(AI49-AA49)*24</f>
        <v>20.1227777784222</v>
      </c>
      <c r="AM49" s="111" t="n">
        <f aca="false">AM$2-AH49</f>
        <v>49</v>
      </c>
      <c r="AN49" s="99" t="n">
        <v>50</v>
      </c>
      <c r="AO49" s="99" t="s">
        <v>12</v>
      </c>
      <c r="AP49" s="99"/>
      <c r="AQ49" s="103" t="n">
        <v>2</v>
      </c>
      <c r="AR49" s="116" t="n">
        <v>45583</v>
      </c>
      <c r="AS49" s="109"/>
      <c r="AT49" s="113" t="n">
        <f aca="false">AH49+145</f>
        <v>45580</v>
      </c>
      <c r="AU49" s="99" t="s">
        <v>178</v>
      </c>
      <c r="AV49" s="99" t="n">
        <f aca="false">AR49-AH49</f>
        <v>148</v>
      </c>
      <c r="AW49" s="103"/>
      <c r="AX49" s="99"/>
      <c r="AY49" s="97" t="n">
        <v>8</v>
      </c>
      <c r="AZ49" s="97" t="n">
        <v>190077</v>
      </c>
    </row>
    <row r="50" customFormat="false" ht="14.25" hidden="false" customHeight="false" outlineLevel="0" collapsed="false">
      <c r="A50" s="97" t="n">
        <v>7</v>
      </c>
      <c r="B50" s="97" t="n">
        <v>190062</v>
      </c>
      <c r="C50" s="98" t="s">
        <v>70</v>
      </c>
      <c r="D50" s="99" t="n">
        <v>88794</v>
      </c>
      <c r="E50" s="100" t="n">
        <v>43415</v>
      </c>
      <c r="F50" s="101" t="n">
        <v>5</v>
      </c>
      <c r="G50" s="102"/>
      <c r="H50" s="103"/>
      <c r="I50" s="104"/>
      <c r="J50" s="105"/>
      <c r="K50" s="106" t="n">
        <v>2.5</v>
      </c>
      <c r="L50" s="106" t="n">
        <v>2.75</v>
      </c>
      <c r="M50" s="106" t="n">
        <v>2.5</v>
      </c>
      <c r="N50" s="106" t="n">
        <v>2.75</v>
      </c>
      <c r="O50" s="108" t="n">
        <v>130</v>
      </c>
      <c r="P50" s="108" t="n">
        <v>131</v>
      </c>
      <c r="Q50" s="108" t="n">
        <v>181</v>
      </c>
      <c r="R50" s="108" t="n">
        <v>221</v>
      </c>
      <c r="S50" s="107"/>
      <c r="T50" s="107"/>
      <c r="U50" s="107"/>
      <c r="V50" s="107"/>
      <c r="W50" s="107"/>
      <c r="X50" s="109"/>
      <c r="Y50" s="109"/>
      <c r="Z50" s="103"/>
      <c r="AA50" s="110"/>
      <c r="AB50" s="110"/>
      <c r="AC50" s="111"/>
      <c r="AD50" s="111"/>
      <c r="AE50" s="112"/>
      <c r="AF50" s="112"/>
      <c r="AG50" s="103"/>
      <c r="AH50" s="113" t="n">
        <v>45435</v>
      </c>
      <c r="AI50" s="114" t="n">
        <v>45435.6638888889</v>
      </c>
      <c r="AJ50" s="115" t="s">
        <v>191</v>
      </c>
      <c r="AK50" s="99" t="s">
        <v>192</v>
      </c>
      <c r="AL50" s="111"/>
      <c r="AM50" s="111" t="n">
        <f aca="false">AM$2-AH50</f>
        <v>49</v>
      </c>
      <c r="AN50" s="99" t="n">
        <v>50</v>
      </c>
      <c r="AO50" s="99" t="s">
        <v>12</v>
      </c>
      <c r="AP50" s="99"/>
      <c r="AQ50" s="103" t="n">
        <v>1</v>
      </c>
      <c r="AR50" s="116" t="n">
        <v>45586</v>
      </c>
      <c r="AS50" s="109"/>
      <c r="AT50" s="113" t="n">
        <f aca="false">AH50+145</f>
        <v>45580</v>
      </c>
      <c r="AU50" s="99" t="s">
        <v>178</v>
      </c>
      <c r="AV50" s="99" t="n">
        <f aca="false">AR50-AH50</f>
        <v>151</v>
      </c>
      <c r="AW50" s="103" t="s">
        <v>181</v>
      </c>
      <c r="AX50" s="99"/>
      <c r="AY50" s="97" t="n">
        <v>7</v>
      </c>
      <c r="AZ50" s="97" t="n">
        <v>190062</v>
      </c>
    </row>
    <row r="51" customFormat="false" ht="14.25" hidden="false" customHeight="false" outlineLevel="0" collapsed="false">
      <c r="A51" s="97" t="n">
        <v>6</v>
      </c>
      <c r="B51" s="97" t="n">
        <v>190055</v>
      </c>
      <c r="C51" s="98" t="s">
        <v>70</v>
      </c>
      <c r="D51" s="99" t="n">
        <v>89192</v>
      </c>
      <c r="E51" s="100" t="n">
        <v>43417</v>
      </c>
      <c r="F51" s="101" t="n">
        <v>5</v>
      </c>
      <c r="G51" s="102" t="n">
        <v>45238</v>
      </c>
      <c r="H51" s="103" t="n">
        <v>1</v>
      </c>
      <c r="I51" s="104" t="n">
        <v>197</v>
      </c>
      <c r="J51" s="105" t="n">
        <f aca="false">J$3-G51</f>
        <v>195</v>
      </c>
      <c r="K51" s="106" t="n">
        <v>2.75</v>
      </c>
      <c r="L51" s="106" t="n">
        <v>2.5</v>
      </c>
      <c r="M51" s="106" t="n">
        <v>2.5</v>
      </c>
      <c r="N51" s="106" t="n">
        <v>2.25</v>
      </c>
      <c r="O51" s="108" t="n">
        <v>-41</v>
      </c>
      <c r="P51" s="108" t="n">
        <v>46</v>
      </c>
      <c r="Q51" s="108" t="n">
        <v>200.8</v>
      </c>
      <c r="R51" s="108" t="n">
        <v>220</v>
      </c>
      <c r="S51" s="108" t="n">
        <v>1800</v>
      </c>
      <c r="T51" s="108" t="n">
        <v>1500</v>
      </c>
      <c r="U51" s="108" t="n">
        <v>1140</v>
      </c>
      <c r="V51" s="108" t="n">
        <v>940</v>
      </c>
      <c r="W51" s="108" t="n">
        <v>1140</v>
      </c>
      <c r="X51" s="109" t="n">
        <v>1200</v>
      </c>
      <c r="Y51" s="109" t="n">
        <v>1000</v>
      </c>
      <c r="Z51" s="103"/>
      <c r="AA51" s="110"/>
      <c r="AB51" s="110"/>
      <c r="AC51" s="111"/>
      <c r="AD51" s="111"/>
      <c r="AE51" s="112"/>
      <c r="AF51" s="112"/>
      <c r="AG51" s="103"/>
      <c r="AH51" s="113" t="n">
        <v>45435</v>
      </c>
      <c r="AI51" s="114" t="n">
        <v>45435.6618055556</v>
      </c>
      <c r="AJ51" s="115" t="s">
        <v>176</v>
      </c>
      <c r="AK51" s="99" t="s">
        <v>177</v>
      </c>
      <c r="AL51" s="111"/>
      <c r="AM51" s="111" t="n">
        <f aca="false">AM$2-AH51</f>
        <v>49</v>
      </c>
      <c r="AN51" s="99" t="n">
        <v>30</v>
      </c>
      <c r="AO51" s="99" t="s">
        <v>173</v>
      </c>
      <c r="AP51" s="99"/>
      <c r="AQ51" s="103" t="n">
        <v>2</v>
      </c>
      <c r="AR51" s="116" t="n">
        <v>45600</v>
      </c>
      <c r="AS51" s="109"/>
      <c r="AT51" s="113" t="n">
        <f aca="false">AH51+145</f>
        <v>45580</v>
      </c>
      <c r="AU51" s="117" t="s">
        <v>173</v>
      </c>
      <c r="AV51" s="99" t="n">
        <f aca="false">AR51-AH51</f>
        <v>165</v>
      </c>
      <c r="AW51" s="118" t="s">
        <v>186</v>
      </c>
      <c r="AX51" s="99"/>
      <c r="AY51" s="97" t="n">
        <v>6</v>
      </c>
      <c r="AZ51" s="97" t="n">
        <v>190055</v>
      </c>
    </row>
    <row r="52" customFormat="false" ht="14.25" hidden="false" customHeight="false" outlineLevel="0" collapsed="false">
      <c r="A52" s="97" t="n">
        <v>5</v>
      </c>
      <c r="B52" s="97" t="n">
        <v>180120</v>
      </c>
      <c r="C52" s="98" t="s">
        <v>70</v>
      </c>
      <c r="D52" s="99" t="n">
        <v>89142</v>
      </c>
      <c r="E52" s="100" t="n">
        <v>43033</v>
      </c>
      <c r="F52" s="101" t="n">
        <v>6</v>
      </c>
      <c r="G52" s="102" t="n">
        <v>45222</v>
      </c>
      <c r="H52" s="103" t="n">
        <v>1</v>
      </c>
      <c r="I52" s="104" t="n">
        <v>213</v>
      </c>
      <c r="J52" s="105" t="n">
        <f aca="false">J$3-G52</f>
        <v>211</v>
      </c>
      <c r="K52" s="106" t="n">
        <v>2.75</v>
      </c>
      <c r="L52" s="106" t="n">
        <v>2.25</v>
      </c>
      <c r="M52" s="106" t="n">
        <v>2.25</v>
      </c>
      <c r="N52" s="106" t="n">
        <v>2.5</v>
      </c>
      <c r="O52" s="108" t="n">
        <v>-59</v>
      </c>
      <c r="P52" s="108" t="n">
        <v>-93</v>
      </c>
      <c r="Q52" s="108" t="n">
        <v>110.3</v>
      </c>
      <c r="R52" s="108" t="n">
        <v>178</v>
      </c>
      <c r="S52" s="108" t="n">
        <v>1040</v>
      </c>
      <c r="T52" s="108" t="n">
        <v>900</v>
      </c>
      <c r="U52" s="108" t="n">
        <v>700</v>
      </c>
      <c r="V52" s="108" t="n">
        <v>560</v>
      </c>
      <c r="W52" s="108" t="n">
        <v>800</v>
      </c>
      <c r="X52" s="109" t="n">
        <v>520</v>
      </c>
      <c r="Y52" s="109" t="n">
        <v>300</v>
      </c>
      <c r="Z52" s="103"/>
      <c r="AA52" s="110"/>
      <c r="AB52" s="110"/>
      <c r="AC52" s="111"/>
      <c r="AD52" s="111"/>
      <c r="AE52" s="112"/>
      <c r="AF52" s="112"/>
      <c r="AG52" s="103"/>
      <c r="AH52" s="113" t="n">
        <v>45435</v>
      </c>
      <c r="AI52" s="114" t="n">
        <v>45435.6611111111</v>
      </c>
      <c r="AJ52" s="115" t="s">
        <v>171</v>
      </c>
      <c r="AK52" s="99" t="s">
        <v>172</v>
      </c>
      <c r="AL52" s="111"/>
      <c r="AM52" s="111" t="n">
        <f aca="false">AM$2-AH52</f>
        <v>49</v>
      </c>
      <c r="AN52" s="99" t="n">
        <v>50</v>
      </c>
      <c r="AO52" s="99" t="s">
        <v>12</v>
      </c>
      <c r="AP52" s="99"/>
      <c r="AQ52" s="103" t="n">
        <v>1</v>
      </c>
      <c r="AR52" s="116" t="n">
        <v>45584</v>
      </c>
      <c r="AS52" s="109"/>
      <c r="AT52" s="113" t="n">
        <f aca="false">AH52+145</f>
        <v>45580</v>
      </c>
      <c r="AU52" s="99" t="s">
        <v>178</v>
      </c>
      <c r="AV52" s="99" t="n">
        <f aca="false">AR52-AH52</f>
        <v>149</v>
      </c>
      <c r="AW52" s="103" t="s">
        <v>181</v>
      </c>
      <c r="AX52" s="99"/>
      <c r="AY52" s="97" t="n">
        <v>5</v>
      </c>
      <c r="AZ52" s="97" t="n">
        <v>180120</v>
      </c>
    </row>
    <row r="53" s="7" customFormat="true" ht="14.25" hidden="false" customHeight="false" outlineLevel="0" collapsed="false">
      <c r="A53" s="97" t="n">
        <v>4</v>
      </c>
      <c r="B53" s="97" t="n">
        <v>180103</v>
      </c>
      <c r="C53" s="98" t="s">
        <v>70</v>
      </c>
      <c r="D53" s="99" t="n">
        <v>88308</v>
      </c>
      <c r="E53" s="100" t="n">
        <v>43053</v>
      </c>
      <c r="F53" s="101" t="n">
        <v>6</v>
      </c>
      <c r="G53" s="102" t="n">
        <v>45222</v>
      </c>
      <c r="H53" s="103" t="n">
        <v>1</v>
      </c>
      <c r="I53" s="104" t="n">
        <v>213</v>
      </c>
      <c r="J53" s="105" t="n">
        <f aca="false">J$3-G53</f>
        <v>211</v>
      </c>
      <c r="K53" s="106" t="n">
        <v>2.5</v>
      </c>
      <c r="L53" s="106" t="n">
        <v>2.5</v>
      </c>
      <c r="M53" s="106" t="n">
        <v>2.25</v>
      </c>
      <c r="N53" s="106" t="n">
        <v>2.5</v>
      </c>
      <c r="O53" s="108" t="n">
        <v>102</v>
      </c>
      <c r="P53" s="108" t="n">
        <v>-24</v>
      </c>
      <c r="Q53" s="108" t="n">
        <v>137.7</v>
      </c>
      <c r="R53" s="108" t="n">
        <v>197</v>
      </c>
      <c r="S53" s="108" t="n">
        <v>1220</v>
      </c>
      <c r="T53" s="108" t="n">
        <v>1000</v>
      </c>
      <c r="U53" s="108" t="n">
        <v>780</v>
      </c>
      <c r="V53" s="108" t="n">
        <v>840</v>
      </c>
      <c r="W53" s="108" t="n">
        <v>800</v>
      </c>
      <c r="X53" s="109" t="n">
        <v>700</v>
      </c>
      <c r="Y53" s="109" t="n">
        <v>320</v>
      </c>
      <c r="Z53" s="103"/>
      <c r="AA53" s="110"/>
      <c r="AB53" s="110"/>
      <c r="AC53" s="111"/>
      <c r="AD53" s="111"/>
      <c r="AE53" s="112"/>
      <c r="AF53" s="112"/>
      <c r="AG53" s="103"/>
      <c r="AH53" s="113" t="n">
        <v>45435</v>
      </c>
      <c r="AI53" s="114" t="n">
        <v>45435.6652777778</v>
      </c>
      <c r="AJ53" s="115" t="s">
        <v>174</v>
      </c>
      <c r="AK53" s="99" t="s">
        <v>175</v>
      </c>
      <c r="AL53" s="111"/>
      <c r="AM53" s="111" t="n">
        <f aca="false">AM$2-AH53</f>
        <v>49</v>
      </c>
      <c r="AN53" s="99" t="n">
        <v>30</v>
      </c>
      <c r="AO53" s="99" t="s">
        <v>173</v>
      </c>
      <c r="AP53" s="99"/>
      <c r="AQ53" s="103" t="n">
        <v>1</v>
      </c>
      <c r="AR53" s="116" t="n">
        <v>45600</v>
      </c>
      <c r="AS53" s="109"/>
      <c r="AT53" s="113" t="n">
        <f aca="false">AH53+145</f>
        <v>45580</v>
      </c>
      <c r="AU53" s="117" t="s">
        <v>173</v>
      </c>
      <c r="AV53" s="99" t="n">
        <f aca="false">AR53-AH53</f>
        <v>165</v>
      </c>
      <c r="AW53" s="118" t="s">
        <v>186</v>
      </c>
      <c r="AX53" s="99"/>
      <c r="AY53" s="97" t="n">
        <v>4</v>
      </c>
      <c r="AZ53" s="97" t="n">
        <v>180103</v>
      </c>
      <c r="BA53" s="0"/>
    </row>
    <row r="54" s="7" customFormat="true" ht="14.25" hidden="false" customHeight="false" outlineLevel="0" collapsed="false">
      <c r="A54" s="97" t="n">
        <v>3</v>
      </c>
      <c r="B54" s="97" t="n">
        <v>180085</v>
      </c>
      <c r="C54" s="98" t="s">
        <v>70</v>
      </c>
      <c r="D54" s="99" t="n">
        <v>88898</v>
      </c>
      <c r="E54" s="100" t="n">
        <v>43034</v>
      </c>
      <c r="F54" s="101" t="n">
        <v>6</v>
      </c>
      <c r="G54" s="102" t="n">
        <v>45220</v>
      </c>
      <c r="H54" s="103" t="n">
        <v>2</v>
      </c>
      <c r="I54" s="104" t="n">
        <v>215</v>
      </c>
      <c r="J54" s="105" t="n">
        <f aca="false">J$3-G54</f>
        <v>213</v>
      </c>
      <c r="K54" s="106" t="n">
        <v>2.5</v>
      </c>
      <c r="L54" s="106" t="n">
        <v>2.5</v>
      </c>
      <c r="M54" s="106" t="n">
        <v>2.25</v>
      </c>
      <c r="N54" s="106" t="n">
        <v>2.5</v>
      </c>
      <c r="O54" s="108" t="n">
        <v>-32</v>
      </c>
      <c r="P54" s="108" t="n">
        <v>45</v>
      </c>
      <c r="Q54" s="108" t="n">
        <v>140.4</v>
      </c>
      <c r="R54" s="108" t="n">
        <v>195</v>
      </c>
      <c r="S54" s="108" t="n">
        <v>1160</v>
      </c>
      <c r="T54" s="108" t="n">
        <v>1040</v>
      </c>
      <c r="U54" s="108" t="n">
        <v>920</v>
      </c>
      <c r="V54" s="108" t="n">
        <v>800</v>
      </c>
      <c r="W54" s="108" t="n">
        <v>1000</v>
      </c>
      <c r="X54" s="109" t="n">
        <v>900</v>
      </c>
      <c r="Y54" s="109" t="n">
        <v>720</v>
      </c>
      <c r="Z54" s="103" t="n">
        <v>8</v>
      </c>
      <c r="AA54" s="110" t="n">
        <v>45434.5774652778</v>
      </c>
      <c r="AB54" s="110" t="n">
        <v>45434.7833680556</v>
      </c>
      <c r="AC54" s="111" t="n">
        <f aca="false">(AA54-$AC$2)*24</f>
        <v>30.8258333327247</v>
      </c>
      <c r="AD54" s="111" t="n">
        <f aca="false">AC54+35</f>
        <v>65.8258333327247</v>
      </c>
      <c r="AE54" s="112" t="n">
        <v>4.94166666670935</v>
      </c>
      <c r="AF54" s="112" t="n">
        <v>4.94166666670935</v>
      </c>
      <c r="AG54" s="103" t="n">
        <v>5</v>
      </c>
      <c r="AH54" s="113" t="n">
        <v>45435</v>
      </c>
      <c r="AI54" s="114" t="n">
        <v>45435.6680555556</v>
      </c>
      <c r="AJ54" s="115" t="s">
        <v>182</v>
      </c>
      <c r="AK54" s="99" t="s">
        <v>183</v>
      </c>
      <c r="AL54" s="111" t="n">
        <f aca="false">(AI54-AA54)*24</f>
        <v>26.174166667275</v>
      </c>
      <c r="AM54" s="111" t="n">
        <f aca="false">AM$2-AH54</f>
        <v>49</v>
      </c>
      <c r="AN54" s="99" t="n">
        <v>50</v>
      </c>
      <c r="AO54" s="99" t="s">
        <v>12</v>
      </c>
      <c r="AP54" s="99"/>
      <c r="AQ54" s="103" t="n">
        <v>1</v>
      </c>
      <c r="AR54" s="116" t="n">
        <v>45583</v>
      </c>
      <c r="AS54" s="109"/>
      <c r="AT54" s="113" t="n">
        <f aca="false">AH54+145</f>
        <v>45580</v>
      </c>
      <c r="AU54" s="99" t="s">
        <v>178</v>
      </c>
      <c r="AV54" s="99" t="n">
        <f aca="false">AR54-AH54</f>
        <v>148</v>
      </c>
      <c r="AW54" s="103"/>
      <c r="AX54" s="99"/>
      <c r="AY54" s="97" t="n">
        <v>3</v>
      </c>
      <c r="AZ54" s="97" t="n">
        <v>180085</v>
      </c>
      <c r="BA54" s="0"/>
    </row>
    <row r="55" s="7" customFormat="true" ht="14.25" hidden="false" customHeight="false" outlineLevel="0" collapsed="false">
      <c r="A55" s="97" t="n">
        <v>2</v>
      </c>
      <c r="B55" s="97" t="n">
        <v>180063</v>
      </c>
      <c r="C55" s="98" t="s">
        <v>70</v>
      </c>
      <c r="D55" s="99" t="n">
        <v>89202</v>
      </c>
      <c r="E55" s="100" t="n">
        <v>43053</v>
      </c>
      <c r="F55" s="101" t="n">
        <v>6</v>
      </c>
      <c r="G55" s="102" t="n">
        <v>45220</v>
      </c>
      <c r="H55" s="103" t="n">
        <v>1</v>
      </c>
      <c r="I55" s="104" t="n">
        <v>215</v>
      </c>
      <c r="J55" s="105" t="n">
        <f aca="false">J$3-G55</f>
        <v>213</v>
      </c>
      <c r="K55" s="106" t="n">
        <v>2.5</v>
      </c>
      <c r="L55" s="106" t="n">
        <v>2.25</v>
      </c>
      <c r="M55" s="106" t="n">
        <v>2.5</v>
      </c>
      <c r="N55" s="106" t="n">
        <v>2.25</v>
      </c>
      <c r="O55" s="108" t="n">
        <v>265</v>
      </c>
      <c r="P55" s="108" t="n">
        <v>221</v>
      </c>
      <c r="Q55" s="108" t="n">
        <v>195.9</v>
      </c>
      <c r="R55" s="108" t="n">
        <v>208</v>
      </c>
      <c r="S55" s="108" t="n">
        <v>1720</v>
      </c>
      <c r="T55" s="108" t="n">
        <v>1180</v>
      </c>
      <c r="U55" s="108" t="n">
        <v>1060</v>
      </c>
      <c r="V55" s="108" t="n">
        <v>1100</v>
      </c>
      <c r="W55" s="108" t="n">
        <v>1160</v>
      </c>
      <c r="X55" s="109" t="n">
        <v>1200</v>
      </c>
      <c r="Y55" s="109" t="n">
        <v>960</v>
      </c>
      <c r="Z55" s="103" t="n">
        <v>2</v>
      </c>
      <c r="AA55" s="110" t="n">
        <v>45433.8171180556</v>
      </c>
      <c r="AB55" s="110" t="n">
        <v>45433.8171180556</v>
      </c>
      <c r="AC55" s="111" t="n">
        <f aca="false">(AA55-$AC$2)*24</f>
        <v>12.5775</v>
      </c>
      <c r="AD55" s="111" t="n">
        <f aca="false">AC55+35</f>
        <v>47.5775</v>
      </c>
      <c r="AE55" s="112" t="n">
        <v>0</v>
      </c>
      <c r="AF55" s="112" t="n">
        <v>1</v>
      </c>
      <c r="AG55" s="103" t="n">
        <v>1</v>
      </c>
      <c r="AH55" s="113" t="n">
        <v>45435</v>
      </c>
      <c r="AI55" s="114" t="n">
        <v>45435.6708333333</v>
      </c>
      <c r="AJ55" s="115" t="s">
        <v>174</v>
      </c>
      <c r="AK55" s="99" t="s">
        <v>175</v>
      </c>
      <c r="AL55" s="111" t="n">
        <f aca="false">(AI55-AA55)*24</f>
        <v>44.4891666647744</v>
      </c>
      <c r="AM55" s="111" t="n">
        <f aca="false">AM$2-AH55</f>
        <v>49</v>
      </c>
      <c r="AN55" s="99" t="n">
        <v>30</v>
      </c>
      <c r="AO55" s="99" t="s">
        <v>173</v>
      </c>
      <c r="AP55" s="99"/>
      <c r="AQ55" s="103" t="n">
        <v>1</v>
      </c>
      <c r="AR55" s="116" t="n">
        <v>45600</v>
      </c>
      <c r="AS55" s="109"/>
      <c r="AT55" s="113" t="n">
        <f aca="false">AH55+145</f>
        <v>45580</v>
      </c>
      <c r="AU55" s="117" t="s">
        <v>173</v>
      </c>
      <c r="AV55" s="99" t="n">
        <f aca="false">AR55-AH55</f>
        <v>165</v>
      </c>
      <c r="AW55" s="103"/>
      <c r="AX55" s="99" t="s">
        <v>195</v>
      </c>
      <c r="AY55" s="97" t="n">
        <v>2</v>
      </c>
      <c r="AZ55" s="97" t="n">
        <v>180063</v>
      </c>
      <c r="BA55" s="0"/>
    </row>
    <row r="56" s="7" customFormat="true" ht="6" hidden="false" customHeight="true" outlineLevel="0" collapsed="false">
      <c r="A56" s="135" t="n">
        <v>1</v>
      </c>
      <c r="B56" s="135" t="n">
        <v>180060</v>
      </c>
      <c r="C56" s="136" t="s">
        <v>70</v>
      </c>
      <c r="D56" s="117" t="n">
        <v>88675</v>
      </c>
      <c r="E56" s="137" t="n">
        <v>43035</v>
      </c>
      <c r="F56" s="138" t="n">
        <v>6</v>
      </c>
      <c r="G56" s="139" t="n">
        <v>45221</v>
      </c>
      <c r="H56" s="118" t="n">
        <v>1</v>
      </c>
      <c r="I56" s="140" t="n">
        <v>214</v>
      </c>
      <c r="J56" s="141" t="n">
        <f aca="false">J$3-G56</f>
        <v>212</v>
      </c>
      <c r="K56" s="142" t="n">
        <v>2.5</v>
      </c>
      <c r="L56" s="142" t="n">
        <v>2.5</v>
      </c>
      <c r="M56" s="142" t="n">
        <v>2.25</v>
      </c>
      <c r="N56" s="142" t="n">
        <v>2.25</v>
      </c>
      <c r="O56" s="143" t="n">
        <v>61</v>
      </c>
      <c r="P56" s="143" t="n">
        <v>146</v>
      </c>
      <c r="Q56" s="143" t="n">
        <v>147.2</v>
      </c>
      <c r="R56" s="143" t="n">
        <v>169</v>
      </c>
      <c r="S56" s="143" t="n">
        <v>1540</v>
      </c>
      <c r="T56" s="143" t="n">
        <v>1300</v>
      </c>
      <c r="U56" s="143" t="n">
        <v>1460</v>
      </c>
      <c r="V56" s="143" t="n">
        <v>1000</v>
      </c>
      <c r="W56" s="143" t="n">
        <v>1340</v>
      </c>
      <c r="X56" s="144" t="n">
        <v>1200</v>
      </c>
      <c r="Y56" s="144" t="n">
        <v>860</v>
      </c>
      <c r="Z56" s="118"/>
      <c r="AA56" s="145"/>
      <c r="AB56" s="145"/>
      <c r="AC56" s="146"/>
      <c r="AD56" s="146"/>
      <c r="AE56" s="147"/>
      <c r="AF56" s="147"/>
      <c r="AG56" s="118"/>
      <c r="AH56" s="148" t="n">
        <v>45435</v>
      </c>
      <c r="AI56" s="149" t="n">
        <v>45435.6798611111</v>
      </c>
      <c r="AJ56" s="150" t="s">
        <v>191</v>
      </c>
      <c r="AK56" s="117" t="s">
        <v>192</v>
      </c>
      <c r="AL56" s="146"/>
      <c r="AM56" s="146" t="n">
        <f aca="false">AM$2-AH56</f>
        <v>49</v>
      </c>
      <c r="AN56" s="117" t="n">
        <v>30</v>
      </c>
      <c r="AO56" s="117" t="s">
        <v>173</v>
      </c>
      <c r="AP56" s="117"/>
      <c r="AQ56" s="118" t="n">
        <v>1</v>
      </c>
      <c r="AR56" s="151" t="n">
        <v>45601</v>
      </c>
      <c r="AS56" s="144"/>
      <c r="AT56" s="148" t="n">
        <f aca="false">AH56+145</f>
        <v>45580</v>
      </c>
      <c r="AU56" s="117" t="s">
        <v>173</v>
      </c>
      <c r="AV56" s="117" t="n">
        <f aca="false">AR56-AH56</f>
        <v>166</v>
      </c>
      <c r="AW56" s="118" t="s">
        <v>186</v>
      </c>
      <c r="AX56" s="117"/>
      <c r="AY56" s="135" t="n">
        <v>1</v>
      </c>
      <c r="AZ56" s="135" t="n">
        <v>180060</v>
      </c>
      <c r="BA56" s="0"/>
    </row>
    <row r="57" s="7" customFormat="true" ht="14.25" hidden="false" customHeight="false" outlineLevel="0" collapsed="false">
      <c r="A57" s="97"/>
      <c r="B57" s="97"/>
      <c r="C57" s="98"/>
      <c r="D57" s="99"/>
      <c r="E57" s="100"/>
      <c r="F57" s="101"/>
      <c r="G57" s="102"/>
      <c r="H57" s="103"/>
      <c r="I57" s="104"/>
      <c r="J57" s="105"/>
      <c r="K57" s="106"/>
      <c r="L57" s="106"/>
      <c r="M57" s="106"/>
      <c r="N57" s="106"/>
      <c r="O57" s="107"/>
      <c r="P57" s="108"/>
      <c r="Q57" s="107"/>
      <c r="R57" s="107"/>
      <c r="S57" s="107"/>
      <c r="T57" s="107"/>
      <c r="U57" s="107"/>
      <c r="V57" s="108"/>
      <c r="W57" s="108"/>
      <c r="X57" s="109"/>
      <c r="Y57" s="109"/>
      <c r="Z57" s="103"/>
      <c r="AA57" s="110"/>
      <c r="AB57" s="110"/>
      <c r="AC57" s="111"/>
      <c r="AD57" s="111"/>
      <c r="AE57" s="112"/>
      <c r="AF57" s="112"/>
      <c r="AG57" s="103"/>
      <c r="AH57" s="113"/>
      <c r="AI57" s="114"/>
      <c r="AJ57" s="115"/>
      <c r="AK57" s="99"/>
      <c r="AL57" s="111"/>
      <c r="AM57" s="111"/>
      <c r="AN57" s="99"/>
      <c r="AO57" s="99"/>
      <c r="AP57" s="99"/>
      <c r="AQ57" s="103"/>
      <c r="AR57" s="116"/>
      <c r="AS57" s="113"/>
      <c r="AT57" s="113"/>
      <c r="AU57" s="117"/>
      <c r="AV57" s="99"/>
      <c r="AW57" s="103"/>
      <c r="AX57" s="99"/>
      <c r="AY57" s="99"/>
      <c r="AZ57" s="97"/>
      <c r="BA57" s="0"/>
    </row>
    <row r="58" s="7" customFormat="true" ht="14.25" hidden="false" customHeight="false" outlineLevel="0" collapsed="false">
      <c r="F58" s="12"/>
      <c r="AA58" s="152"/>
      <c r="AB58" s="152"/>
      <c r="AC58" s="153"/>
      <c r="AD58" s="153"/>
      <c r="AE58" s="154"/>
      <c r="AF58" s="154"/>
      <c r="AG58" s="155"/>
      <c r="AQ58" s="4"/>
      <c r="AR58" s="85"/>
      <c r="AS58" s="85"/>
      <c r="AW58" s="12"/>
    </row>
    <row r="59" s="7" customFormat="true" ht="14.25" hidden="false" customHeight="true" outlineLevel="0" collapsed="false">
      <c r="E59" s="156" t="n">
        <f aca="false">SUBTOTAL(1,E5:E55)</f>
        <v>44241.06</v>
      </c>
      <c r="F59" s="157" t="n">
        <f aca="false">SUBTOTAL(1,F5:F55)</f>
        <v>2.66666666666667</v>
      </c>
      <c r="G59" s="156" t="n">
        <f aca="false">SUBTOTAL(1,G5:G55)</f>
        <v>45239.3829787234</v>
      </c>
      <c r="H59" s="157" t="n">
        <f aca="false">SUBTOTAL(1,H5:H55)</f>
        <v>1.21739130434783</v>
      </c>
      <c r="I59" s="157" t="n">
        <f aca="false">SUBTOTAL(1,I5:I55)</f>
        <v>195.617021276596</v>
      </c>
      <c r="J59" s="157" t="n">
        <f aca="false">SUBTOTAL(1,J5:J55)</f>
        <v>193.617021276596</v>
      </c>
      <c r="K59" s="157" t="n">
        <f aca="false">SUBTOTAL(1,K5:K55)</f>
        <v>2.47</v>
      </c>
      <c r="L59" s="157" t="n">
        <f aca="false">SUBTOTAL(1,L5:L55)</f>
        <v>2.465</v>
      </c>
      <c r="M59" s="157" t="n">
        <f aca="false">SUBTOTAL(1,M5:M55)</f>
        <v>2.245</v>
      </c>
      <c r="N59" s="157" t="n">
        <f aca="false">SUBTOTAL(1,N5:N55)</f>
        <v>2.39</v>
      </c>
      <c r="O59" s="157" t="n">
        <f aca="false">SUBTOTAL(1,O5:O55)</f>
        <v>31.2051282051282</v>
      </c>
      <c r="P59" s="157" t="n">
        <f aca="false">SUBTOTAL(1,P5:P55)</f>
        <v>57.3673469387755</v>
      </c>
      <c r="Q59" s="157" t="n">
        <f aca="false">SUBTOTAL(1,Q5:Q55)</f>
        <v>132.583333333333</v>
      </c>
      <c r="R59" s="157" t="n">
        <f aca="false">SUBTOTAL(1,R5:R55)</f>
        <v>161.5</v>
      </c>
      <c r="S59" s="157" t="n">
        <f aca="false">SUBTOTAL(1,S5:S55)</f>
        <v>1341.14285714286</v>
      </c>
      <c r="T59" s="157" t="n">
        <f aca="false">SUBTOTAL(1,T5:T55)</f>
        <v>1231.89189189189</v>
      </c>
      <c r="U59" s="157" t="n">
        <f aca="false">SUBTOTAL(1,U5:U55)</f>
        <v>1006.5</v>
      </c>
      <c r="V59" s="157" t="n">
        <f aca="false">SUBTOTAL(1,V5:V55)</f>
        <v>903.913043478261</v>
      </c>
      <c r="W59" s="157" t="n">
        <f aca="false">SUBTOTAL(1,W5:W55)</f>
        <v>1043.04347826087</v>
      </c>
      <c r="X59" s="157" t="n">
        <f aca="false">SUBTOTAL(1,X5:X55)</f>
        <v>1011.30434782609</v>
      </c>
      <c r="Y59" s="157" t="n">
        <f aca="false">SUBTOTAL(1,Y5:Y55)</f>
        <v>726.086956521739</v>
      </c>
      <c r="Z59" s="157" t="n">
        <f aca="false">SUBTOTAL(1,Z5:Z55)</f>
        <v>16</v>
      </c>
      <c r="AA59" s="158" t="n">
        <f aca="false">SUBTOTAL(1,AA5:AA55)</f>
        <v>45434.863306825</v>
      </c>
      <c r="AB59" s="158" t="n">
        <f aca="false">SUBTOTAL(1,AB5:AB55)</f>
        <v>45435.0281630825</v>
      </c>
      <c r="AC59" s="157" t="n">
        <f aca="false">SUBTOTAL(1,AC5:AC55)</f>
        <v>37.6860304648986</v>
      </c>
      <c r="AD59" s="157" t="n">
        <f aca="false">SUBTOTAL(1,AD5:AD55)</f>
        <v>72.6860304648986</v>
      </c>
      <c r="AE59" s="157" t="n">
        <f aca="false">SUBTOTAL(1,AE5:AE55)</f>
        <v>3.95655017919208</v>
      </c>
      <c r="AF59" s="157" t="n">
        <f aca="false">SUBTOTAL(1,AF5:AF55)</f>
        <v>4.33259856629922</v>
      </c>
      <c r="AG59" s="157" t="n">
        <f aca="false">SUBTOTAL(1,AG5:AG55)</f>
        <v>10.0645161290323</v>
      </c>
      <c r="AH59" s="156" t="n">
        <f aca="false">SUBTOTAL(1,AH5:AH55)</f>
        <v>45435</v>
      </c>
      <c r="AI59" s="158" t="n">
        <f aca="false">SUBTOTAL(1,AI5:AI55)</f>
        <v>45435.669</v>
      </c>
      <c r="AL59" s="157" t="n">
        <f aca="false">SUBTOTAL(1,AL5:AL55)</f>
        <v>19.3645071685006</v>
      </c>
      <c r="AQ59" s="157" t="n">
        <f aca="false">SUBTOTAL(1,AQ5:AQ55)</f>
        <v>1.24489795918367</v>
      </c>
      <c r="AR59" s="156" t="n">
        <f aca="false">SUBTOTAL(1,AR5:AR55)</f>
        <v>45589.693877551</v>
      </c>
      <c r="AS59" s="85"/>
      <c r="AT59" s="156" t="n">
        <f aca="false">SUBTOTAL(1,AT5:AT55)</f>
        <v>45580</v>
      </c>
      <c r="AV59" s="157" t="n">
        <f aca="false">SUBTOTAL(1,AV5:AV55)</f>
        <v>154.69387755102</v>
      </c>
      <c r="AW59" s="12"/>
    </row>
    <row r="60" s="7" customFormat="true" ht="14.25" hidden="false" customHeight="false" outlineLevel="0" collapsed="false">
      <c r="E60" s="157" t="n">
        <f aca="false">SUBTOTAL(7,E5:E55)</f>
        <v>567.054092010018</v>
      </c>
      <c r="F60" s="157" t="n">
        <f aca="false">SUBTOTAL(7,F5:F55)</f>
        <v>1.55777619273972</v>
      </c>
      <c r="G60" s="157" t="n">
        <f aca="false">SUBTOTAL(7,G5:G55)</f>
        <v>22.6759336047574</v>
      </c>
      <c r="H60" s="157" t="n">
        <f aca="false">SUBTOTAL(7,H5:H55)</f>
        <v>0.417028828114149</v>
      </c>
      <c r="I60" s="157" t="n">
        <f aca="false">SUBTOTAL(7,I5:I55)</f>
        <v>22.6759336047573</v>
      </c>
      <c r="J60" s="157" t="n">
        <f aca="false">SUBTOTAL(7,J5:J55)</f>
        <v>22.6759336047573</v>
      </c>
      <c r="K60" s="157" t="n">
        <f aca="false">SUBTOTAL(7,K5:K55)</f>
        <v>0.164750894209583</v>
      </c>
      <c r="L60" s="157" t="n">
        <f aca="false">SUBTOTAL(7,L5:L55)</f>
        <v>0.159798980865694</v>
      </c>
      <c r="M60" s="157" t="n">
        <f aca="false">SUBTOTAL(7,M5:M55)</f>
        <v>0.185508127331722</v>
      </c>
      <c r="N60" s="157" t="n">
        <f aca="false">SUBTOTAL(7,N5:N55)</f>
        <v>0.176126114370542</v>
      </c>
      <c r="O60" s="157" t="n">
        <f aca="false">SUBTOTAL(7,O5:O55)</f>
        <v>89.0780791414799</v>
      </c>
      <c r="P60" s="157" t="n">
        <f aca="false">SUBTOTAL(7,P5:P55)</f>
        <v>96.2896441899714</v>
      </c>
      <c r="Q60" s="157" t="n">
        <f aca="false">SUBTOTAL(7,Q5:Q55)</f>
        <v>45.9318470282719</v>
      </c>
      <c r="R60" s="157" t="n">
        <f aca="false">SUBTOTAL(7,R5:R55)</f>
        <v>45.3377798939724</v>
      </c>
      <c r="S60" s="157" t="n">
        <f aca="false">SUBTOTAL(7,S5:S55)</f>
        <v>391.556257159822</v>
      </c>
      <c r="T60" s="157" t="n">
        <f aca="false">SUBTOTAL(7,T5:T55)</f>
        <v>380.451762439792</v>
      </c>
      <c r="U60" s="157" t="n">
        <f aca="false">SUBTOTAL(7,U5:U55)</f>
        <v>286.280747984678</v>
      </c>
      <c r="V60" s="157" t="n">
        <f aca="false">SUBTOTAL(7,V5:V55)</f>
        <v>277.75671417723</v>
      </c>
      <c r="W60" s="157" t="n">
        <f aca="false">SUBTOTAL(7,W5:W55)</f>
        <v>283.626276522997</v>
      </c>
      <c r="X60" s="157" t="n">
        <f aca="false">SUBTOTAL(7,X5:X55)</f>
        <v>271.543806129588</v>
      </c>
      <c r="Y60" s="157" t="n">
        <f aca="false">SUBTOTAL(7,Y5:Y55)</f>
        <v>230.434162791984</v>
      </c>
      <c r="Z60" s="157" t="n">
        <f aca="false">SUBTOTAL(7,Z5:Z55)</f>
        <v>9.0921211313239</v>
      </c>
      <c r="AA60" s="157" t="n">
        <f aca="false">SUBTOTAL(7,AA5:AA55)</f>
        <v>0.570560059550087</v>
      </c>
      <c r="AB60" s="157" t="n">
        <f aca="false">SUBTOTAL(7,AB5:AB55)</f>
        <v>0.570510191583965</v>
      </c>
      <c r="AC60" s="157" t="n">
        <f aca="false">SUBTOTAL(7,AC5:AC55)</f>
        <v>13.6934414291989</v>
      </c>
      <c r="AD60" s="157" t="n">
        <f aca="false">SUBTOTAL(7,AD5:AD55)</f>
        <v>13.6934414291989</v>
      </c>
      <c r="AE60" s="157" t="n">
        <f aca="false">SUBTOTAL(7,AE5:AE55)</f>
        <v>5.33290650818299</v>
      </c>
      <c r="AF60" s="157" t="n">
        <f aca="false">SUBTOTAL(7,AF5:AF55)</f>
        <v>5.06231033813526</v>
      </c>
      <c r="AG60" s="157" t="n">
        <f aca="false">SUBTOTAL(7,AG5:AG55)</f>
        <v>9.23737150157254</v>
      </c>
      <c r="AH60" s="157" t="n">
        <f aca="false">SUBTOTAL(7,AH5:AH55)</f>
        <v>0</v>
      </c>
      <c r="AI60" s="157" t="n">
        <f aca="false">SUBTOTAL(7,AI5:AI55)</f>
        <v>0.00620933482535834</v>
      </c>
      <c r="AL60" s="157" t="n">
        <f aca="false">SUBTOTAL(7,AL5:AL55)</f>
        <v>13.7223832810398</v>
      </c>
      <c r="AQ60" s="157" t="n">
        <f aca="false">SUBTOTAL(7,AQ5:AQ55)</f>
        <v>0.434483037878444</v>
      </c>
      <c r="AR60" s="157" t="n">
        <f aca="false">SUBTOTAL(7,AR5:AR55)</f>
        <v>8.54206279154478</v>
      </c>
      <c r="AS60" s="85"/>
      <c r="AT60" s="157" t="n">
        <f aca="false">SUBTOTAL(7,AT5:AT55)</f>
        <v>0</v>
      </c>
      <c r="AV60" s="157" t="n">
        <f aca="false">SUBTOTAL(7,AV5:AV55)</f>
        <v>8.54206279154479</v>
      </c>
      <c r="AW60" s="12"/>
    </row>
    <row r="61" s="7" customFormat="true" ht="14.25" hidden="false" customHeight="true" outlineLevel="0" collapsed="false">
      <c r="E61" s="157" t="n">
        <f aca="false">SUBTOTAL(3,E5:E55)</f>
        <v>50</v>
      </c>
      <c r="F61" s="157" t="n">
        <f aca="false">SUBTOTAL(3,F5:F55)</f>
        <v>51</v>
      </c>
      <c r="G61" s="157" t="n">
        <f aca="false">SUBTOTAL(3,G5:G55)</f>
        <v>47</v>
      </c>
      <c r="H61" s="157" t="n">
        <f aca="false">SUBTOTAL(3,H5:H55)</f>
        <v>46</v>
      </c>
      <c r="I61" s="157" t="n">
        <f aca="false">SUBTOTAL(3,I5:I55)</f>
        <v>47</v>
      </c>
      <c r="J61" s="157" t="n">
        <f aca="false">SUBTOTAL(3,J5:J55)</f>
        <v>47</v>
      </c>
      <c r="K61" s="157" t="n">
        <f aca="false">SUBTOTAL(3,K5:K55)</f>
        <v>50</v>
      </c>
      <c r="L61" s="157" t="n">
        <f aca="false">SUBTOTAL(3,L5:L55)</f>
        <v>50</v>
      </c>
      <c r="M61" s="157" t="n">
        <f aca="false">SUBTOTAL(3,M5:M55)</f>
        <v>50</v>
      </c>
      <c r="N61" s="157" t="n">
        <f aca="false">SUBTOTAL(3,N5:N55)</f>
        <v>50</v>
      </c>
      <c r="O61" s="157" t="n">
        <f aca="false">SUBTOTAL(3,O5:O55)</f>
        <v>39</v>
      </c>
      <c r="P61" s="157" t="n">
        <f aca="false">SUBTOTAL(3,P5:P55)</f>
        <v>49</v>
      </c>
      <c r="Q61" s="157" t="n">
        <f aca="false">SUBTOTAL(3,Q5:Q55)</f>
        <v>36</v>
      </c>
      <c r="R61" s="157" t="n">
        <f aca="false">SUBTOTAL(3,R5:R55)</f>
        <v>36</v>
      </c>
      <c r="S61" s="157" t="n">
        <f aca="false">SUBTOTAL(3,S5:S55)</f>
        <v>35</v>
      </c>
      <c r="T61" s="157" t="n">
        <f aca="false">SUBTOTAL(3,T5:T55)</f>
        <v>37</v>
      </c>
      <c r="U61" s="157" t="n">
        <f aca="false">SUBTOTAL(3,U5:U55)</f>
        <v>40</v>
      </c>
      <c r="V61" s="157" t="n">
        <f aca="false">SUBTOTAL(3,V5:V55)</f>
        <v>46</v>
      </c>
      <c r="W61" s="157" t="n">
        <f aca="false">SUBTOTAL(3,W5:W55)</f>
        <v>46</v>
      </c>
      <c r="X61" s="157" t="n">
        <f aca="false">SUBTOTAL(3,X5:X55)</f>
        <v>46</v>
      </c>
      <c r="Y61" s="157" t="n">
        <f aca="false">SUBTOTAL(3,Y5:Y55)</f>
        <v>46</v>
      </c>
      <c r="Z61" s="157" t="n">
        <f aca="false">SUBTOTAL(3,Z5:Z55)</f>
        <v>31</v>
      </c>
      <c r="AA61" s="157" t="n">
        <f aca="false">SUBTOTAL(3,AA5:AA55)</f>
        <v>31</v>
      </c>
      <c r="AB61" s="157" t="n">
        <f aca="false">SUBTOTAL(3,AB5:AB55)</f>
        <v>31</v>
      </c>
      <c r="AC61" s="157" t="n">
        <f aca="false">SUBTOTAL(3,AC5:AC55)</f>
        <v>31</v>
      </c>
      <c r="AD61" s="157" t="n">
        <f aca="false">SUBTOTAL(3,AD5:AD55)</f>
        <v>31</v>
      </c>
      <c r="AE61" s="157" t="n">
        <f aca="false">SUBTOTAL(3,AE5:AE55)</f>
        <v>31</v>
      </c>
      <c r="AF61" s="157" t="n">
        <f aca="false">SUBTOTAL(3,AF5:AF55)</f>
        <v>31</v>
      </c>
      <c r="AG61" s="157" t="n">
        <f aca="false">SUBTOTAL(3,AG5:AG55)</f>
        <v>31</v>
      </c>
      <c r="AH61" s="157" t="n">
        <f aca="false">SUBTOTAL(3,AH5:AH55)</f>
        <v>50</v>
      </c>
      <c r="AI61" s="157" t="n">
        <f aca="false">SUBTOTAL(3,AI5:AI55)</f>
        <v>50</v>
      </c>
      <c r="AL61" s="157" t="n">
        <f aca="false">SUBTOTAL(3,AL5:AL55)</f>
        <v>31</v>
      </c>
      <c r="AQ61" s="157" t="n">
        <f aca="false">SUBTOTAL(3,AQ5:AQ55)</f>
        <v>49</v>
      </c>
      <c r="AR61" s="157" t="n">
        <f aca="false">SUBTOTAL(3,AR5:AR55)</f>
        <v>49</v>
      </c>
      <c r="AS61" s="85"/>
      <c r="AT61" s="157" t="n">
        <f aca="false">SUBTOTAL(3,AT5:AT55)</f>
        <v>50</v>
      </c>
      <c r="AV61" s="157" t="n">
        <f aca="false">SUBTOTAL(3,AV5:AV55)</f>
        <v>49</v>
      </c>
      <c r="AW61" s="12"/>
    </row>
    <row r="62" s="7" customFormat="true" ht="14.25" hidden="false" customHeight="false" outlineLevel="0" collapsed="false">
      <c r="F62" s="12"/>
      <c r="J62" s="157"/>
      <c r="K62" s="157"/>
      <c r="L62" s="159"/>
      <c r="M62" s="159"/>
      <c r="N62" s="159"/>
      <c r="AA62" s="152"/>
      <c r="AB62" s="152"/>
      <c r="AC62" s="153"/>
      <c r="AD62" s="153"/>
      <c r="AE62" s="154"/>
      <c r="AF62" s="154"/>
      <c r="AG62" s="155"/>
      <c r="AQ62" s="4"/>
      <c r="AR62" s="85"/>
      <c r="AS62" s="85"/>
      <c r="AW62" s="12"/>
    </row>
    <row r="63" s="7" customFormat="true" ht="14.25" hidden="false" customHeight="true" outlineLevel="0" collapsed="false">
      <c r="D63" s="7" t="s">
        <v>196</v>
      </c>
      <c r="E63" s="160" t="n">
        <v>44217.4117647059</v>
      </c>
      <c r="F63" s="159" t="n">
        <v>2.74509803921569</v>
      </c>
      <c r="G63" s="160" t="n">
        <v>45239.0638297873</v>
      </c>
      <c r="H63" s="159" t="n">
        <v>1.21276595744681</v>
      </c>
      <c r="I63" s="159" t="n">
        <v>195.936170212766</v>
      </c>
      <c r="J63" s="159" t="n">
        <v>193.936170212766</v>
      </c>
      <c r="K63" s="159" t="n">
        <v>2.47058823529412</v>
      </c>
      <c r="L63" s="159" t="n">
        <v>2.4656862745098</v>
      </c>
      <c r="M63" s="159" t="n">
        <v>2.24509803921569</v>
      </c>
      <c r="N63" s="159" t="n">
        <v>2.38725490196078</v>
      </c>
      <c r="O63" s="159" t="n">
        <v>28.1025641025641</v>
      </c>
      <c r="P63" s="159" t="n">
        <v>54.469387755102</v>
      </c>
      <c r="Q63" s="159" t="n">
        <v>131.638888888889</v>
      </c>
      <c r="R63" s="159" t="n">
        <v>162.861111111111</v>
      </c>
      <c r="S63" s="159" t="n">
        <v>1330.85714285714</v>
      </c>
      <c r="T63" s="159" t="n">
        <v>1226.48648648649</v>
      </c>
      <c r="U63" s="159" t="n">
        <v>1004</v>
      </c>
      <c r="V63" s="159" t="n">
        <v>905.957446808511</v>
      </c>
      <c r="W63" s="159" t="n">
        <v>1049.36170212766</v>
      </c>
      <c r="X63" s="159" t="n">
        <v>1015.31914893617</v>
      </c>
      <c r="Y63" s="159" t="n">
        <v>728.936170212766</v>
      </c>
      <c r="Z63" s="159" t="n">
        <v>16</v>
      </c>
      <c r="AA63" s="161" t="n">
        <v>45434.863306825</v>
      </c>
      <c r="AB63" s="161" t="n">
        <v>45435.0281630824</v>
      </c>
      <c r="AC63" s="159" t="n">
        <v>37.6860304659049</v>
      </c>
      <c r="AD63" s="159" t="n">
        <v>72.6860304659049</v>
      </c>
      <c r="AE63" s="159" t="n">
        <v>3.95655017919208</v>
      </c>
      <c r="AF63" s="159" t="n">
        <v>4.33259856629922</v>
      </c>
      <c r="AG63" s="159" t="n">
        <v>10.0645161290323</v>
      </c>
      <c r="AH63" s="160" t="n">
        <v>45435</v>
      </c>
      <c r="AI63" s="161" t="n">
        <v>45435.669212963</v>
      </c>
      <c r="AL63" s="159" t="n">
        <v>19.3645071684544</v>
      </c>
      <c r="AQ63" s="159" t="n">
        <v>1.24</v>
      </c>
      <c r="AR63" s="160" t="n">
        <v>45589.92</v>
      </c>
      <c r="AS63" s="85"/>
      <c r="AT63" s="160" t="n">
        <v>45580</v>
      </c>
      <c r="AV63" s="159" t="n">
        <v>154.92</v>
      </c>
      <c r="AW63" s="12"/>
    </row>
    <row r="64" s="7" customFormat="true" ht="14.25" hidden="false" customHeight="true" outlineLevel="0" collapsed="false">
      <c r="E64" s="159" t="n">
        <v>586.208603705902</v>
      </c>
      <c r="F64" s="159" t="n">
        <v>1.62287568537953</v>
      </c>
      <c r="G64" s="159" t="n">
        <v>22.8296186862966</v>
      </c>
      <c r="H64" s="159" t="n">
        <v>0.4136880894317</v>
      </c>
      <c r="I64" s="159" t="n">
        <v>22.8296186862966</v>
      </c>
      <c r="J64" s="159" t="n">
        <v>22.8296186862966</v>
      </c>
      <c r="K64" s="159" t="n">
        <v>0.163149155863043</v>
      </c>
      <c r="L64" s="159" t="n">
        <v>0.158268820706553</v>
      </c>
      <c r="M64" s="159" t="n">
        <v>0.183645011356362</v>
      </c>
      <c r="N64" s="159" t="n">
        <v>0.175454591634104</v>
      </c>
      <c r="O64" s="159" t="n">
        <v>85.7320780325467</v>
      </c>
      <c r="P64" s="159" t="n">
        <v>91.2065197872426</v>
      </c>
      <c r="Q64" s="159" t="n">
        <v>45.2480987937002</v>
      </c>
      <c r="R64" s="159" t="n">
        <v>44.7884888130726</v>
      </c>
      <c r="S64" s="159" t="n">
        <v>381.030888269082</v>
      </c>
      <c r="T64" s="159" t="n">
        <v>377.949263322004</v>
      </c>
      <c r="U64" s="159" t="n">
        <v>281.723632534094</v>
      </c>
      <c r="V64" s="159" t="n">
        <v>275.078325402753</v>
      </c>
      <c r="W64" s="159" t="n">
        <v>283.850881360643</v>
      </c>
      <c r="X64" s="159" t="n">
        <v>269.982697221988</v>
      </c>
      <c r="Y64" s="159" t="n">
        <v>228.751184768167</v>
      </c>
      <c r="Z64" s="159" t="n">
        <v>9.0921211313239</v>
      </c>
      <c r="AA64" s="159" t="n">
        <v>0.570560059549718</v>
      </c>
      <c r="AB64" s="159" t="n">
        <v>0.570510191582062</v>
      </c>
      <c r="AC64" s="159" t="n">
        <v>13.6934414291932</v>
      </c>
      <c r="AD64" s="159" t="n">
        <v>13.6934414291932</v>
      </c>
      <c r="AE64" s="159" t="n">
        <v>5.332906508183</v>
      </c>
      <c r="AF64" s="159" t="n">
        <v>5.06231033813526</v>
      </c>
      <c r="AG64" s="159" t="n">
        <v>9.23737150157254</v>
      </c>
      <c r="AH64" s="159" t="n">
        <v>0</v>
      </c>
      <c r="AI64" s="159" t="n">
        <v>0.00633227736502023</v>
      </c>
      <c r="AL64" s="159" t="n">
        <v>13.7223832809706</v>
      </c>
      <c r="AQ64" s="159" t="n">
        <v>0.4314191105869</v>
      </c>
      <c r="AR64" s="159" t="n">
        <v>8.60431785293208</v>
      </c>
      <c r="AS64" s="85"/>
      <c r="AT64" s="159" t="n">
        <v>0</v>
      </c>
      <c r="AV64" s="159" t="n">
        <v>8.60431785293208</v>
      </c>
      <c r="AW64" s="12"/>
    </row>
    <row r="65" s="7" customFormat="true" ht="14.25" hidden="false" customHeight="true" outlineLevel="0" collapsed="false">
      <c r="E65" s="159" t="n">
        <v>51</v>
      </c>
      <c r="F65" s="159" t="n">
        <v>51</v>
      </c>
      <c r="G65" s="159" t="n">
        <v>47</v>
      </c>
      <c r="H65" s="159" t="n">
        <v>47</v>
      </c>
      <c r="I65" s="159" t="n">
        <v>47</v>
      </c>
      <c r="J65" s="159" t="n">
        <v>47</v>
      </c>
      <c r="K65" s="159" t="n">
        <v>51</v>
      </c>
      <c r="L65" s="159" t="n">
        <v>51</v>
      </c>
      <c r="M65" s="159" t="n">
        <v>51</v>
      </c>
      <c r="N65" s="159" t="n">
        <v>51</v>
      </c>
      <c r="O65" s="159" t="n">
        <v>39</v>
      </c>
      <c r="P65" s="159" t="n">
        <v>49</v>
      </c>
      <c r="Q65" s="159" t="n">
        <v>36</v>
      </c>
      <c r="R65" s="159" t="n">
        <v>36</v>
      </c>
      <c r="S65" s="159" t="n">
        <v>35</v>
      </c>
      <c r="T65" s="159" t="n">
        <v>37</v>
      </c>
      <c r="U65" s="159" t="n">
        <v>40</v>
      </c>
      <c r="V65" s="159" t="n">
        <v>47</v>
      </c>
      <c r="W65" s="159" t="n">
        <v>47</v>
      </c>
      <c r="X65" s="159" t="n">
        <v>47</v>
      </c>
      <c r="Y65" s="159" t="n">
        <v>47</v>
      </c>
      <c r="Z65" s="159" t="n">
        <v>31</v>
      </c>
      <c r="AA65" s="159" t="n">
        <v>31</v>
      </c>
      <c r="AB65" s="159" t="n">
        <v>31</v>
      </c>
      <c r="AC65" s="159" t="n">
        <v>31</v>
      </c>
      <c r="AD65" s="159" t="n">
        <v>31</v>
      </c>
      <c r="AE65" s="159" t="n">
        <v>31</v>
      </c>
      <c r="AF65" s="159" t="n">
        <v>31</v>
      </c>
      <c r="AG65" s="159" t="n">
        <v>31</v>
      </c>
      <c r="AH65" s="159" t="n">
        <v>51</v>
      </c>
      <c r="AI65" s="159" t="n">
        <v>51</v>
      </c>
      <c r="AL65" s="159" t="n">
        <v>31</v>
      </c>
      <c r="AQ65" s="159" t="n">
        <v>50</v>
      </c>
      <c r="AR65" s="159" t="n">
        <v>50</v>
      </c>
      <c r="AS65" s="85"/>
      <c r="AT65" s="159" t="n">
        <v>51</v>
      </c>
      <c r="AV65" s="159" t="n">
        <v>50</v>
      </c>
      <c r="AW65" s="12"/>
    </row>
    <row r="66" s="7" customFormat="true" ht="14.25" hidden="false" customHeight="true" outlineLevel="0" collapsed="false">
      <c r="E66" s="159" t="n">
        <f aca="false">E64/(SQRT(E65))</f>
        <v>82.0856232855243</v>
      </c>
      <c r="F66" s="159" t="n">
        <f aca="false">F64/(SQRT(F65))</f>
        <v>0.227248050109026</v>
      </c>
      <c r="G66" s="159" t="n">
        <f aca="false">G64/(SQRT(G65))</f>
        <v>3.33004213557683</v>
      </c>
      <c r="H66" s="159" t="n">
        <f aca="false">H64/(SQRT(H65))</f>
        <v>0.0603426096477352</v>
      </c>
      <c r="I66" s="159" t="n">
        <f aca="false">I64/(SQRT(I65))</f>
        <v>3.33004213557683</v>
      </c>
      <c r="J66" s="159" t="n">
        <f aca="false">J64/(SQRT(J65))</f>
        <v>3.33004213557683</v>
      </c>
      <c r="K66" s="159" t="n">
        <f aca="false">K64/(SQRT(K65))</f>
        <v>0.0228454513681001</v>
      </c>
      <c r="L66" s="159" t="n">
        <f aca="false">L64/(SQRT(L65))</f>
        <v>0.0221620677557986</v>
      </c>
      <c r="M66" s="159" t="n">
        <f aca="false">M64/(SQRT(M65))</f>
        <v>0.0257154451933411</v>
      </c>
      <c r="N66" s="159" t="n">
        <f aca="false">N64/(SQRT(N65))</f>
        <v>0.0245685570316503</v>
      </c>
      <c r="O66" s="159" t="n">
        <f aca="false">O64/(SQRT(O65))</f>
        <v>13.7281193772254</v>
      </c>
      <c r="P66" s="159" t="n">
        <f aca="false">P64/(SQRT(P65))</f>
        <v>13.0295028267489</v>
      </c>
      <c r="Q66" s="159" t="n">
        <f aca="false">Q64/(SQRT(Q65))</f>
        <v>7.54134979895003</v>
      </c>
      <c r="R66" s="159" t="n">
        <f aca="false">R64/(SQRT(R65))</f>
        <v>7.4647481355121</v>
      </c>
      <c r="S66" s="159" t="n">
        <f aca="false">S64/(SQRT(S65))</f>
        <v>64.4059752807201</v>
      </c>
      <c r="T66" s="159" t="n">
        <f aca="false">T64/(SQRT(T65))</f>
        <v>62.1344761429433</v>
      </c>
      <c r="U66" s="159" t="n">
        <f aca="false">U64/(SQRT(U65))</f>
        <v>44.5444174752026</v>
      </c>
      <c r="V66" s="159" t="n">
        <f aca="false">V64/(SQRT(V65))</f>
        <v>40.1242975961276</v>
      </c>
      <c r="W66" s="159" t="n">
        <f aca="false">W64/(SQRT(W65))</f>
        <v>41.4039063963401</v>
      </c>
      <c r="X66" s="159" t="n">
        <f aca="false">X64/(SQRT(X65))</f>
        <v>39.3810238348639</v>
      </c>
      <c r="Y66" s="159" t="n">
        <f aca="false">Y64/(SQRT(Y65))</f>
        <v>33.366789621342</v>
      </c>
      <c r="Z66" s="159" t="n">
        <f aca="false">Z64/(SQRT(Z65))</f>
        <v>1.63299316185545</v>
      </c>
      <c r="AA66" s="159" t="n">
        <f aca="false">AA64/(SQRT(AA65))</f>
        <v>0.102475611819842</v>
      </c>
      <c r="AB66" s="159" t="n">
        <f aca="false">AB64/(SQRT(AB65))</f>
        <v>0.102466655268449</v>
      </c>
      <c r="AC66" s="159" t="n">
        <f aca="false">AC64/(SQRT(AC65))</f>
        <v>2.4594146836762</v>
      </c>
      <c r="AD66" s="159" t="n">
        <f aca="false">AD64/(SQRT(AD65))</f>
        <v>2.4594146836762</v>
      </c>
      <c r="AE66" s="159" t="n">
        <f aca="false">AE64/(SQRT(AE65))</f>
        <v>0.957818284082761</v>
      </c>
      <c r="AF66" s="159" t="n">
        <f aca="false">AF64/(SQRT(AF65))</f>
        <v>0.909217777234049</v>
      </c>
      <c r="AG66" s="159" t="n">
        <f aca="false">AG64/(SQRT(AG65))</f>
        <v>1.65908089847346</v>
      </c>
      <c r="AH66" s="159" t="n">
        <f aca="false">AH64/(SQRT(AH65))</f>
        <v>0</v>
      </c>
      <c r="AI66" s="159" t="n">
        <f aca="false">AI64/(SQRT(AI65))</f>
        <v>0.000886696188077919</v>
      </c>
      <c r="AL66" s="159" t="n">
        <f aca="false">AL64/(SQRT(AL65))</f>
        <v>2.46461279370589</v>
      </c>
      <c r="AQ66" s="159" t="n">
        <f aca="false">AQ64/(SQRT(AQ65))</f>
        <v>0.0610118757258932</v>
      </c>
      <c r="AR66" s="159" t="n">
        <f aca="false">AR64/(SQRT(AR65))</f>
        <v>1.21683430025855</v>
      </c>
      <c r="AS66" s="85"/>
      <c r="AT66" s="159" t="n">
        <f aca="false">AT64/(SQRT(AT65))</f>
        <v>0</v>
      </c>
      <c r="AV66" s="159" t="n">
        <f aca="false">AV64/(SQRT(AV65))</f>
        <v>1.21683430025855</v>
      </c>
      <c r="AW66" s="12"/>
    </row>
    <row r="67" s="7" customFormat="true" ht="14.25" hidden="false" customHeight="true" outlineLevel="0" collapsed="false">
      <c r="E67" s="162"/>
      <c r="F67" s="162"/>
      <c r="G67" s="162"/>
      <c r="H67" s="162"/>
      <c r="I67" s="162"/>
      <c r="J67" s="162"/>
      <c r="K67" s="159"/>
      <c r="L67" s="159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L67" s="162"/>
      <c r="AQ67" s="162"/>
      <c r="AR67" s="162"/>
      <c r="AS67" s="85"/>
      <c r="AT67" s="162"/>
      <c r="AV67" s="162"/>
      <c r="AW67" s="12"/>
    </row>
    <row r="68" s="7" customFormat="true" ht="14.25" hidden="false" customHeight="true" outlineLevel="0" collapsed="false">
      <c r="D68" s="7" t="s">
        <v>197</v>
      </c>
      <c r="E68" s="160" t="n">
        <v>44157.976744186</v>
      </c>
      <c r="F68" s="159" t="n">
        <v>2.90697674418605</v>
      </c>
      <c r="G68" s="160" t="n">
        <v>45234.8974358975</v>
      </c>
      <c r="H68" s="159" t="n">
        <v>1.23076923076923</v>
      </c>
      <c r="I68" s="159" t="n">
        <v>200.102564102564</v>
      </c>
      <c r="J68" s="159" t="n">
        <v>198.102564102564</v>
      </c>
      <c r="K68" s="159" t="n">
        <v>2.46511627906977</v>
      </c>
      <c r="L68" s="159" t="n">
        <v>2.45348837209302</v>
      </c>
      <c r="M68" s="159" t="n">
        <v>2.26162790697674</v>
      </c>
      <c r="N68" s="159" t="n">
        <v>2.3953488372093</v>
      </c>
      <c r="O68" s="159" t="n">
        <v>24.3823529411765</v>
      </c>
      <c r="P68" s="159" t="n">
        <v>55.8048780487805</v>
      </c>
      <c r="Q68" s="159" t="n">
        <v>132.606060606061</v>
      </c>
      <c r="R68" s="159" t="n">
        <v>164.878787878788</v>
      </c>
      <c r="S68" s="159" t="n">
        <v>1321.25</v>
      </c>
      <c r="T68" s="159" t="n">
        <v>1228.23529411765</v>
      </c>
      <c r="U68" s="159" t="n">
        <v>1037.14285714286</v>
      </c>
      <c r="V68" s="159" t="n">
        <v>926.666666666667</v>
      </c>
      <c r="W68" s="159" t="n">
        <v>1074.35897435897</v>
      </c>
      <c r="X68" s="159" t="n">
        <v>1030.76923076923</v>
      </c>
      <c r="Y68" s="159" t="n">
        <v>738.974358974359</v>
      </c>
      <c r="Z68" s="159" t="n">
        <v>15</v>
      </c>
      <c r="AA68" s="161" t="n">
        <v>45434.7920808172</v>
      </c>
      <c r="AB68" s="161" t="n">
        <v>45434.93236564</v>
      </c>
      <c r="AC68" s="159" t="n">
        <v>35.9766062801532</v>
      </c>
      <c r="AD68" s="159" t="n">
        <v>70.9766062801532</v>
      </c>
      <c r="AE68" s="159" t="n">
        <v>3.36683574875908</v>
      </c>
      <c r="AF68" s="159" t="n">
        <v>3.74324879225131</v>
      </c>
      <c r="AG68" s="159" t="n">
        <v>10.695652173913</v>
      </c>
      <c r="AH68" s="160" t="n">
        <v>45435</v>
      </c>
      <c r="AI68" s="161" t="n">
        <v>45435.6691698966</v>
      </c>
      <c r="AL68" s="159" t="n">
        <v>21.0799154589337</v>
      </c>
      <c r="AQ68" s="159" t="n">
        <v>1.28571428571429</v>
      </c>
      <c r="AR68" s="159" t="n">
        <v>45589.2857142857</v>
      </c>
      <c r="AS68" s="85"/>
      <c r="AT68" s="160" t="n">
        <v>45580</v>
      </c>
      <c r="AV68" s="159" t="n">
        <v>154.285714285714</v>
      </c>
      <c r="AW68" s="12"/>
    </row>
    <row r="69" s="7" customFormat="true" ht="14.25" hidden="false" customHeight="true" outlineLevel="0" collapsed="false">
      <c r="E69" s="159" t="n">
        <v>566.942194431886</v>
      </c>
      <c r="F69" s="159" t="n">
        <v>1.57077405074502</v>
      </c>
      <c r="G69" s="159" t="n">
        <v>19.2474125011442</v>
      </c>
      <c r="H69" s="159" t="n">
        <v>0.426832794918354</v>
      </c>
      <c r="I69" s="159" t="n">
        <v>19.2474125011442</v>
      </c>
      <c r="J69" s="159" t="n">
        <v>19.2474125011442</v>
      </c>
      <c r="K69" s="159" t="n">
        <v>0.168866981929047</v>
      </c>
      <c r="L69" s="159" t="n">
        <v>0.14695129936609</v>
      </c>
      <c r="M69" s="159" t="n">
        <v>0.180553780835757</v>
      </c>
      <c r="N69" s="159" t="n">
        <v>0.182839362715307</v>
      </c>
      <c r="O69" s="159" t="n">
        <v>79.3534535369148</v>
      </c>
      <c r="P69" s="159" t="n">
        <v>88.9590409998318</v>
      </c>
      <c r="Q69" s="159" t="n">
        <v>44.3256340859464</v>
      </c>
      <c r="R69" s="159" t="n">
        <v>43.5335772534816</v>
      </c>
      <c r="S69" s="159" t="n">
        <v>388.97508005427</v>
      </c>
      <c r="T69" s="159" t="n">
        <v>393.557747395169</v>
      </c>
      <c r="U69" s="159" t="n">
        <v>277.47359629099</v>
      </c>
      <c r="V69" s="159" t="n">
        <v>281.512207207818</v>
      </c>
      <c r="W69" s="159" t="n">
        <v>280.261108252502</v>
      </c>
      <c r="X69" s="159" t="n">
        <v>274.335413369</v>
      </c>
      <c r="Y69" s="159" t="n">
        <v>241.1790650751</v>
      </c>
      <c r="Z69" s="159" t="n">
        <v>6.78232998312527</v>
      </c>
      <c r="AA69" s="159" t="n">
        <v>0.277458578831857</v>
      </c>
      <c r="AB69" s="159" t="n">
        <v>0.300827249805136</v>
      </c>
      <c r="AC69" s="159" t="n">
        <v>6.65900589196459</v>
      </c>
      <c r="AD69" s="159" t="n">
        <v>6.65900589196457</v>
      </c>
      <c r="AE69" s="159" t="n">
        <v>4.13215588349977</v>
      </c>
      <c r="AF69" s="159" t="n">
        <v>3.83365294598781</v>
      </c>
      <c r="AG69" s="159" t="n">
        <v>10.0065196138622</v>
      </c>
      <c r="AH69" s="159" t="n">
        <v>0</v>
      </c>
      <c r="AI69" s="159" t="n">
        <v>0.0065761106355384</v>
      </c>
      <c r="AL69" s="159" t="n">
        <v>6.70155883199076</v>
      </c>
      <c r="AQ69" s="159" t="n">
        <v>0.457229956859212</v>
      </c>
      <c r="AR69" s="159" t="n">
        <v>8.55765443783236</v>
      </c>
      <c r="AS69" s="85"/>
      <c r="AT69" s="159" t="n">
        <v>0</v>
      </c>
      <c r="AV69" s="159" t="n">
        <v>8.55765443783236</v>
      </c>
      <c r="AW69" s="12"/>
    </row>
    <row r="70" s="7" customFormat="true" ht="14.25" hidden="false" customHeight="true" outlineLevel="0" collapsed="false">
      <c r="E70" s="159" t="n">
        <v>43</v>
      </c>
      <c r="F70" s="159" t="n">
        <v>43</v>
      </c>
      <c r="G70" s="159" t="n">
        <v>39</v>
      </c>
      <c r="H70" s="159" t="n">
        <v>39</v>
      </c>
      <c r="I70" s="159" t="n">
        <v>39</v>
      </c>
      <c r="J70" s="159" t="n">
        <v>39</v>
      </c>
      <c r="K70" s="159" t="n">
        <v>43</v>
      </c>
      <c r="L70" s="159" t="n">
        <v>43</v>
      </c>
      <c r="M70" s="159" t="n">
        <v>43</v>
      </c>
      <c r="N70" s="159" t="n">
        <v>43</v>
      </c>
      <c r="O70" s="159" t="n">
        <v>34</v>
      </c>
      <c r="P70" s="159" t="n">
        <v>41</v>
      </c>
      <c r="Q70" s="159" t="n">
        <v>33</v>
      </c>
      <c r="R70" s="159" t="n">
        <v>33</v>
      </c>
      <c r="S70" s="159" t="n">
        <v>32</v>
      </c>
      <c r="T70" s="159" t="n">
        <v>34</v>
      </c>
      <c r="U70" s="159" t="n">
        <v>35</v>
      </c>
      <c r="V70" s="159" t="n">
        <v>39</v>
      </c>
      <c r="W70" s="159" t="n">
        <v>39</v>
      </c>
      <c r="X70" s="159" t="n">
        <v>39</v>
      </c>
      <c r="Y70" s="159" t="n">
        <v>39</v>
      </c>
      <c r="Z70" s="159" t="n">
        <v>23</v>
      </c>
      <c r="AA70" s="159" t="n">
        <v>23</v>
      </c>
      <c r="AB70" s="159" t="n">
        <v>23</v>
      </c>
      <c r="AC70" s="159" t="n">
        <v>23</v>
      </c>
      <c r="AD70" s="159" t="n">
        <v>23</v>
      </c>
      <c r="AE70" s="159" t="n">
        <v>23</v>
      </c>
      <c r="AF70" s="159" t="n">
        <v>23</v>
      </c>
      <c r="AG70" s="159" t="n">
        <v>23</v>
      </c>
      <c r="AH70" s="159" t="n">
        <v>43</v>
      </c>
      <c r="AI70" s="159" t="n">
        <v>43</v>
      </c>
      <c r="AL70" s="159" t="n">
        <v>23</v>
      </c>
      <c r="AQ70" s="159" t="n">
        <v>42</v>
      </c>
      <c r="AR70" s="159" t="n">
        <v>42</v>
      </c>
      <c r="AS70" s="85"/>
      <c r="AT70" s="159" t="n">
        <v>43</v>
      </c>
      <c r="AV70" s="159" t="n">
        <v>42</v>
      </c>
      <c r="AW70" s="12"/>
    </row>
    <row r="71" s="7" customFormat="true" ht="14.25" hidden="false" customHeight="true" outlineLevel="0" collapsed="false">
      <c r="E71" s="159" t="n">
        <f aca="false">E69/(SQRT(E70))</f>
        <v>86.4578741120922</v>
      </c>
      <c r="F71" s="159" t="n">
        <f aca="false">F69/(SQRT(F70))</f>
        <v>0.23954079705417</v>
      </c>
      <c r="G71" s="159" t="n">
        <f aca="false">G69/(SQRT(G70))</f>
        <v>3.08205262933318</v>
      </c>
      <c r="H71" s="159" t="n">
        <f aca="false">H69/(SQRT(H70))</f>
        <v>0.0683479474337414</v>
      </c>
      <c r="I71" s="159" t="n">
        <f aca="false">I69/(SQRT(I70))</f>
        <v>3.08205262933318</v>
      </c>
      <c r="J71" s="159" t="n">
        <f aca="false">J69/(SQRT(J70))</f>
        <v>3.08205262933318</v>
      </c>
      <c r="K71" s="159" t="n">
        <f aca="false">K69/(SQRT(K70))</f>
        <v>0.0257519733205615</v>
      </c>
      <c r="L71" s="159" t="n">
        <f aca="false">L69/(SQRT(L70))</f>
        <v>0.0224098630618473</v>
      </c>
      <c r="M71" s="159" t="n">
        <f aca="false">M69/(SQRT(M70))</f>
        <v>0.0275341934455994</v>
      </c>
      <c r="N71" s="159" t="n">
        <f aca="false">N69/(SQRT(N70))</f>
        <v>0.0278827414146089</v>
      </c>
      <c r="O71" s="159" t="n">
        <f aca="false">O69/(SQRT(O70))</f>
        <v>13.6090050077527</v>
      </c>
      <c r="P71" s="159" t="n">
        <f aca="false">P69/(SQRT(P70))</f>
        <v>13.8930680869465</v>
      </c>
      <c r="Q71" s="159" t="n">
        <f aca="false">Q69/(SQRT(Q70))</f>
        <v>7.71610248043153</v>
      </c>
      <c r="R71" s="159" t="n">
        <f aca="false">R69/(SQRT(R70))</f>
        <v>7.57822308365236</v>
      </c>
      <c r="S71" s="159" t="n">
        <f aca="false">S69/(SQRT(S70))</f>
        <v>68.7617292047386</v>
      </c>
      <c r="T71" s="159" t="n">
        <f aca="false">T69/(SQRT(T70))</f>
        <v>67.4945968501444</v>
      </c>
      <c r="U71" s="159" t="n">
        <f aca="false">U69/(SQRT(U70))</f>
        <v>46.9015980960306</v>
      </c>
      <c r="V71" s="159" t="n">
        <f aca="false">V69/(SQRT(V70))</f>
        <v>45.078030013783</v>
      </c>
      <c r="W71" s="159" t="n">
        <f aca="false">W69/(SQRT(W70))</f>
        <v>44.8776938478408</v>
      </c>
      <c r="X71" s="159" t="n">
        <f aca="false">X69/(SQRT(X70))</f>
        <v>43.9288232661334</v>
      </c>
      <c r="Y71" s="159" t="n">
        <f aca="false">Y69/(SQRT(Y70))</f>
        <v>38.6195584269127</v>
      </c>
      <c r="Z71" s="159" t="n">
        <f aca="false">Z69/(SQRT(Z70))</f>
        <v>1.4142135623731</v>
      </c>
      <c r="AA71" s="159" t="n">
        <f aca="false">AA69/(SQRT(AA70))</f>
        <v>0.0578541129902334</v>
      </c>
      <c r="AB71" s="159" t="n">
        <f aca="false">AB69/(SQRT(AB70))</f>
        <v>0.0627268177255192</v>
      </c>
      <c r="AC71" s="159" t="n">
        <f aca="false">AC69/(SQRT(AC70))</f>
        <v>1.38849871176561</v>
      </c>
      <c r="AD71" s="159" t="n">
        <f aca="false">AD69/(SQRT(AD70))</f>
        <v>1.3884987117656</v>
      </c>
      <c r="AE71" s="159" t="n">
        <f aca="false">AE69/(SQRT(AE70))</f>
        <v>0.861614062840449</v>
      </c>
      <c r="AF71" s="159" t="n">
        <f aca="false">AF69/(SQRT(AF70))</f>
        <v>0.799371897730827</v>
      </c>
      <c r="AG71" s="159" t="n">
        <f aca="false">AG69/(SQRT(AG70))</f>
        <v>2.0865035740351</v>
      </c>
      <c r="AH71" s="159" t="n">
        <f aca="false">AH69/(SQRT(AH70))</f>
        <v>0</v>
      </c>
      <c r="AI71" s="159" t="n">
        <f aca="false">AI69/(SQRT(AI70))</f>
        <v>0.00100284747026864</v>
      </c>
      <c r="AL71" s="159" t="n">
        <f aca="false">AL69/(SQRT(AL70))</f>
        <v>1.39737161312157</v>
      </c>
      <c r="AQ71" s="159" t="n">
        <f aca="false">AQ69/(SQRT(AQ70))</f>
        <v>0.0705521140463992</v>
      </c>
      <c r="AR71" s="159" t="n">
        <f aca="false">AR69/(SQRT(AR70))</f>
        <v>1.3204747475755</v>
      </c>
      <c r="AS71" s="85"/>
      <c r="AT71" s="159" t="n">
        <f aca="false">AT69/(SQRT(AT70))</f>
        <v>0</v>
      </c>
      <c r="AV71" s="159" t="n">
        <f aca="false">AV69/(SQRT(AV70))</f>
        <v>1.3204747475755</v>
      </c>
      <c r="AW71" s="12"/>
    </row>
    <row r="72" s="7" customFormat="true" ht="14.25" hidden="false" customHeight="true" outlineLevel="0" collapsed="false">
      <c r="E72" s="162"/>
      <c r="F72" s="162"/>
      <c r="G72" s="162"/>
      <c r="H72" s="162"/>
      <c r="I72" s="162"/>
      <c r="J72" s="162"/>
      <c r="K72" s="162"/>
      <c r="L72" s="159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L72" s="162"/>
      <c r="AQ72" s="162"/>
      <c r="AR72" s="162"/>
      <c r="AS72" s="85"/>
      <c r="AT72" s="162"/>
      <c r="AV72" s="162"/>
      <c r="AW72" s="12"/>
    </row>
    <row r="73" s="7" customFormat="true" ht="14.25" hidden="false" customHeight="true" outlineLevel="0" collapsed="false">
      <c r="D73" s="7" t="s">
        <v>198</v>
      </c>
      <c r="E73" s="160" t="n">
        <v>44166</v>
      </c>
      <c r="F73" s="159" t="n">
        <v>2.89285714285714</v>
      </c>
      <c r="G73" s="160" t="n">
        <v>45244.3703703704</v>
      </c>
      <c r="H73" s="159" t="n">
        <v>1.25925925925926</v>
      </c>
      <c r="I73" s="159" t="n">
        <v>190.62962962963</v>
      </c>
      <c r="J73" s="159" t="n">
        <v>188.62962962963</v>
      </c>
      <c r="K73" s="159" t="n">
        <v>2.50892857142857</v>
      </c>
      <c r="L73" s="159" t="n">
        <v>2.46428571428571</v>
      </c>
      <c r="M73" s="159" t="n">
        <v>2.22321428571429</v>
      </c>
      <c r="N73" s="159" t="n">
        <v>2.36607142857143</v>
      </c>
      <c r="O73" s="159" t="n">
        <v>34.4285714285714</v>
      </c>
      <c r="P73" s="159" t="n">
        <v>47.1785714285714</v>
      </c>
      <c r="Q73" s="159" t="n">
        <v>134.783333333333</v>
      </c>
      <c r="R73" s="159" t="n">
        <v>170.388888888889</v>
      </c>
      <c r="S73" s="159" t="n">
        <v>1284.44444444444</v>
      </c>
      <c r="T73" s="159" t="n">
        <v>1224.21052631579</v>
      </c>
      <c r="U73" s="159" t="n">
        <v>1001.90476190476</v>
      </c>
      <c r="V73" s="159" t="n">
        <v>879.259259259259</v>
      </c>
      <c r="W73" s="159" t="n">
        <v>1048.88888888889</v>
      </c>
      <c r="X73" s="159" t="n">
        <v>994.074074074074</v>
      </c>
      <c r="Y73" s="159" t="n">
        <v>704.444444444445</v>
      </c>
      <c r="Z73" s="159" t="n">
        <v>18.875</v>
      </c>
      <c r="AA73" s="161" t="n">
        <v>45435.0680815972</v>
      </c>
      <c r="AB73" s="161" t="n">
        <v>45435.3035807292</v>
      </c>
      <c r="AC73" s="159" t="n">
        <v>42.6006249999409</v>
      </c>
      <c r="AD73" s="159" t="n">
        <v>77.6006249999409</v>
      </c>
      <c r="AE73" s="159" t="n">
        <v>5.65197916668694</v>
      </c>
      <c r="AF73" s="159" t="n">
        <v>6.02697916668694</v>
      </c>
      <c r="AG73" s="159" t="n">
        <v>8.25</v>
      </c>
      <c r="AH73" s="160" t="n">
        <v>45435</v>
      </c>
      <c r="AI73" s="161" t="n">
        <v>45435.6682291667</v>
      </c>
      <c r="AL73" s="159" t="n">
        <v>14.4327083333264</v>
      </c>
      <c r="AQ73" s="159" t="n">
        <v>1.14814814814815</v>
      </c>
      <c r="AR73" s="159" t="n">
        <v>45592.1851851852</v>
      </c>
      <c r="AS73" s="85"/>
      <c r="AT73" s="160" t="n">
        <v>45580</v>
      </c>
      <c r="AV73" s="159" t="n">
        <v>157.185185185185</v>
      </c>
      <c r="AW73" s="12"/>
    </row>
    <row r="74" s="7" customFormat="true" ht="14.25" hidden="false" customHeight="true" outlineLevel="0" collapsed="false">
      <c r="D74" s="7" t="s">
        <v>199</v>
      </c>
      <c r="E74" s="159" t="n">
        <v>675.810459949961</v>
      </c>
      <c r="F74" s="159" t="n">
        <v>1.8725954599469</v>
      </c>
      <c r="G74" s="159" t="n">
        <v>24.827323887121</v>
      </c>
      <c r="H74" s="159" t="n">
        <v>0.446576084704722</v>
      </c>
      <c r="I74" s="159" t="n">
        <v>24.827323887121</v>
      </c>
      <c r="J74" s="159" t="n">
        <v>24.827323887121</v>
      </c>
      <c r="K74" s="159" t="n">
        <v>0.126968625045842</v>
      </c>
      <c r="L74" s="159" t="n">
        <v>0.162650012158089</v>
      </c>
      <c r="M74" s="159" t="n">
        <v>0.184331697228596</v>
      </c>
      <c r="N74" s="159" t="n">
        <v>0.159311929890046</v>
      </c>
      <c r="O74" s="159" t="n">
        <v>99.6933154371804</v>
      </c>
      <c r="P74" s="159" t="n">
        <v>96.9092945782879</v>
      </c>
      <c r="Q74" s="159" t="n">
        <v>45.5245538143978</v>
      </c>
      <c r="R74" s="159" t="n">
        <v>45.0570081888279</v>
      </c>
      <c r="S74" s="159" t="n">
        <v>421.233793156166</v>
      </c>
      <c r="T74" s="159" t="n">
        <v>325.479403503913</v>
      </c>
      <c r="U74" s="159" t="n">
        <v>302.318028698572</v>
      </c>
      <c r="V74" s="159" t="n">
        <v>288.469781458674</v>
      </c>
      <c r="W74" s="159" t="n">
        <v>265.986311581476</v>
      </c>
      <c r="X74" s="159" t="n">
        <v>284.730091615244</v>
      </c>
      <c r="Y74" s="159" t="n">
        <v>237.378848991897</v>
      </c>
      <c r="Z74" s="159" t="n">
        <v>14.035032698827</v>
      </c>
      <c r="AA74" s="159" t="n">
        <v>1.04337280602088</v>
      </c>
      <c r="AB74" s="159" t="n">
        <v>0.996824108134696</v>
      </c>
      <c r="AC74" s="159" t="n">
        <v>25.0409473445012</v>
      </c>
      <c r="AD74" s="159" t="n">
        <v>25.0409473445012</v>
      </c>
      <c r="AE74" s="159" t="n">
        <v>7.98712086708519</v>
      </c>
      <c r="AF74" s="159" t="n">
        <v>7.69528448576392</v>
      </c>
      <c r="AG74" s="159" t="n">
        <v>6.77706215321738</v>
      </c>
      <c r="AH74" s="159" t="n">
        <v>0</v>
      </c>
      <c r="AI74" s="159" t="n">
        <v>0.00551562618384571</v>
      </c>
      <c r="AL74" s="159" t="n">
        <v>25.0679447653046</v>
      </c>
      <c r="AQ74" s="159" t="n">
        <v>0.362013992898246</v>
      </c>
      <c r="AR74" s="159" t="n">
        <v>9.3809833707799</v>
      </c>
      <c r="AS74" s="85"/>
      <c r="AT74" s="159" t="n">
        <v>0</v>
      </c>
      <c r="AV74" s="159" t="n">
        <v>9.3809833707799</v>
      </c>
      <c r="AW74" s="12"/>
    </row>
    <row r="75" s="7" customFormat="true" ht="14.25" hidden="false" customHeight="true" outlineLevel="0" collapsed="false">
      <c r="E75" s="159" t="n">
        <v>28</v>
      </c>
      <c r="F75" s="159" t="n">
        <v>28</v>
      </c>
      <c r="G75" s="159" t="n">
        <v>27</v>
      </c>
      <c r="H75" s="159" t="n">
        <v>27</v>
      </c>
      <c r="I75" s="159" t="n">
        <v>27</v>
      </c>
      <c r="J75" s="159" t="n">
        <v>27</v>
      </c>
      <c r="K75" s="159" t="n">
        <v>28</v>
      </c>
      <c r="L75" s="159" t="n">
        <v>28</v>
      </c>
      <c r="M75" s="159" t="n">
        <v>28</v>
      </c>
      <c r="N75" s="159" t="n">
        <v>28</v>
      </c>
      <c r="O75" s="159" t="n">
        <v>21</v>
      </c>
      <c r="P75" s="159" t="n">
        <v>28</v>
      </c>
      <c r="Q75" s="159" t="n">
        <v>18</v>
      </c>
      <c r="R75" s="159" t="n">
        <v>18</v>
      </c>
      <c r="S75" s="159" t="n">
        <v>18</v>
      </c>
      <c r="T75" s="159" t="n">
        <v>19</v>
      </c>
      <c r="U75" s="159" t="n">
        <v>21</v>
      </c>
      <c r="V75" s="159" t="n">
        <v>27</v>
      </c>
      <c r="W75" s="159" t="n">
        <v>27</v>
      </c>
      <c r="X75" s="159" t="n">
        <v>27</v>
      </c>
      <c r="Y75" s="159" t="n">
        <v>27</v>
      </c>
      <c r="Z75" s="159" t="n">
        <v>8</v>
      </c>
      <c r="AA75" s="159" t="n">
        <v>8</v>
      </c>
      <c r="AB75" s="159" t="n">
        <v>8</v>
      </c>
      <c r="AC75" s="159" t="n">
        <v>8</v>
      </c>
      <c r="AD75" s="159" t="n">
        <v>8</v>
      </c>
      <c r="AE75" s="159" t="n">
        <v>8</v>
      </c>
      <c r="AF75" s="159" t="n">
        <v>8</v>
      </c>
      <c r="AG75" s="159" t="n">
        <v>8</v>
      </c>
      <c r="AH75" s="159" t="n">
        <v>28</v>
      </c>
      <c r="AI75" s="159" t="n">
        <v>28</v>
      </c>
      <c r="AL75" s="159" t="n">
        <v>8</v>
      </c>
      <c r="AQ75" s="159" t="n">
        <v>27</v>
      </c>
      <c r="AR75" s="159" t="n">
        <v>27</v>
      </c>
      <c r="AS75" s="85"/>
      <c r="AT75" s="159" t="n">
        <v>28</v>
      </c>
      <c r="AV75" s="159" t="n">
        <v>27</v>
      </c>
      <c r="AW75" s="12"/>
    </row>
    <row r="76" s="7" customFormat="true" ht="14.25" hidden="false" customHeight="true" outlineLevel="0" collapsed="false">
      <c r="E76" s="159" t="n">
        <f aca="false">E74/(SQRT(E75))</f>
        <v>127.716172174555</v>
      </c>
      <c r="F76" s="159" t="n">
        <f aca="false">F74/(SQRT(F75))</f>
        <v>0.353887278089151</v>
      </c>
      <c r="G76" s="159" t="n">
        <f aca="false">G74/(SQRT(G75))</f>
        <v>4.77802070982911</v>
      </c>
      <c r="H76" s="159" t="n">
        <f aca="false">H74/(SQRT(H75))</f>
        <v>0.0859436075726401</v>
      </c>
      <c r="I76" s="159" t="n">
        <f aca="false">I74/(SQRT(I75))</f>
        <v>4.77802070982911</v>
      </c>
      <c r="J76" s="159" t="n">
        <f aca="false">J74/(SQRT(J75))</f>
        <v>4.77802070982911</v>
      </c>
      <c r="K76" s="159" t="n">
        <f aca="false">K74/(SQRT(K75))</f>
        <v>0.0239948147270789</v>
      </c>
      <c r="L76" s="159" t="n">
        <f aca="false">L74/(SQRT(L75))</f>
        <v>0.0307379630651383</v>
      </c>
      <c r="M76" s="159" t="n">
        <f aca="false">M74/(SQRT(M75))</f>
        <v>0.0348354164009514</v>
      </c>
      <c r="N76" s="159" t="n">
        <f aca="false">N74/(SQRT(N75))</f>
        <v>0.0301071248124871</v>
      </c>
      <c r="O76" s="159" t="n">
        <f aca="false">O74/(SQRT(O75))</f>
        <v>21.7548649653328</v>
      </c>
      <c r="P76" s="159" t="n">
        <f aca="false">P74/(SQRT(P75))</f>
        <v>18.3141352274893</v>
      </c>
      <c r="Q76" s="159" t="n">
        <f aca="false">Q74/(SQRT(Q75))</f>
        <v>10.7302402375509</v>
      </c>
      <c r="R76" s="159" t="n">
        <f aca="false">R74/(SQRT(R75))</f>
        <v>10.620038676766</v>
      </c>
      <c r="S76" s="159" t="n">
        <f aca="false">S74/(SQRT(S75))</f>
        <v>99.2857572018855</v>
      </c>
      <c r="T76" s="159" t="n">
        <f aca="false">T74/(SQRT(T75))</f>
        <v>74.6700962146029</v>
      </c>
      <c r="U76" s="159" t="n">
        <f aca="false">U74/(SQRT(U75))</f>
        <v>65.9712024029066</v>
      </c>
      <c r="V76" s="159" t="n">
        <f aca="false">V74/(SQRT(V75))</f>
        <v>55.5160353260793</v>
      </c>
      <c r="W76" s="159" t="n">
        <f aca="false">W74/(SQRT(W75))</f>
        <v>51.1890895307736</v>
      </c>
      <c r="X76" s="159" t="n">
        <f aca="false">X74/(SQRT(X75))</f>
        <v>54.7963316801493</v>
      </c>
      <c r="Y76" s="159" t="n">
        <f aca="false">Y74/(SQRT(Y75))</f>
        <v>45.6835807884651</v>
      </c>
      <c r="Z76" s="159" t="n">
        <f aca="false">Z74/(SQRT(Z75))</f>
        <v>4.96213339775775</v>
      </c>
      <c r="AA76" s="159" t="n">
        <f aca="false">AA74/(SQRT(AA75))</f>
        <v>0.3688879932215</v>
      </c>
      <c r="AB76" s="159" t="n">
        <f aca="false">AB74/(SQRT(AB75))</f>
        <v>0.352430543256138</v>
      </c>
      <c r="AC76" s="159" t="n">
        <f aca="false">AC74/(SQRT(AC75))</f>
        <v>8.85331183731603</v>
      </c>
      <c r="AD76" s="159" t="n">
        <f aca="false">AD74/(SQRT(AD75))</f>
        <v>8.85331183731603</v>
      </c>
      <c r="AE76" s="159" t="n">
        <f aca="false">AE74/(SQRT(AE75))</f>
        <v>2.82387366363626</v>
      </c>
      <c r="AF76" s="159" t="n">
        <f aca="false">AF74/(SQRT(AF75))</f>
        <v>2.72069392152165</v>
      </c>
      <c r="AG76" s="159" t="n">
        <f aca="false">AG74/(SQRT(AG75))</f>
        <v>2.39605330253136</v>
      </c>
      <c r="AH76" s="159" t="n">
        <f aca="false">AH74/(SQRT(AH75))</f>
        <v>0</v>
      </c>
      <c r="AI76" s="159" t="n">
        <f aca="false">AI74/(SQRT(AI75))</f>
        <v>0.00104235537194657</v>
      </c>
      <c r="AL76" s="159" t="n">
        <f aca="false">AL74/(SQRT(AL75))</f>
        <v>8.86285686697835</v>
      </c>
      <c r="AQ76" s="159" t="n">
        <f aca="false">AQ74/(SQRT(AQ75))</f>
        <v>0.0696696254167379</v>
      </c>
      <c r="AR76" s="159" t="n">
        <f aca="false">AR74/(SQRT(AR75))</f>
        <v>1.80537109146106</v>
      </c>
      <c r="AS76" s="85"/>
      <c r="AT76" s="159" t="n">
        <f aca="false">AT74/(SQRT(AT75))</f>
        <v>0</v>
      </c>
      <c r="AV76" s="159" t="n">
        <f aca="false">AV74/(SQRT(AV75))</f>
        <v>1.80537109146106</v>
      </c>
      <c r="AW76" s="12"/>
    </row>
    <row r="77" s="7" customFormat="true" ht="14.25" hidden="false" customHeight="true" outlineLevel="0" collapsed="false">
      <c r="E77" s="162"/>
      <c r="F77" s="162"/>
      <c r="G77" s="162"/>
      <c r="H77" s="162"/>
      <c r="I77" s="162"/>
      <c r="J77" s="162"/>
      <c r="K77" s="162"/>
      <c r="L77" s="159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L77" s="162"/>
      <c r="AQ77" s="162"/>
      <c r="AR77" s="162"/>
      <c r="AS77" s="85"/>
      <c r="AT77" s="162"/>
      <c r="AV77" s="162"/>
      <c r="AW77" s="12"/>
    </row>
    <row r="78" s="7" customFormat="true" ht="14.25" hidden="false" customHeight="true" outlineLevel="0" collapsed="false">
      <c r="C78" s="7" t="s">
        <v>161</v>
      </c>
      <c r="D78" s="7" t="s">
        <v>200</v>
      </c>
      <c r="E78" s="160" t="n">
        <v>44193.8709677419</v>
      </c>
      <c r="F78" s="159" t="n">
        <v>2.80645161290323</v>
      </c>
      <c r="G78" s="160" t="n">
        <v>45235.5172413793</v>
      </c>
      <c r="H78" s="159" t="n">
        <v>1.17241379310345</v>
      </c>
      <c r="I78" s="159" t="n">
        <v>199.48275862069</v>
      </c>
      <c r="J78" s="159" t="n">
        <v>197.48275862069</v>
      </c>
      <c r="K78" s="159" t="n">
        <v>2.44354838709677</v>
      </c>
      <c r="L78" s="159" t="n">
        <v>2.45161290322581</v>
      </c>
      <c r="M78" s="159" t="n">
        <v>2.23387096774194</v>
      </c>
      <c r="N78" s="159" t="n">
        <v>2.37903225806452</v>
      </c>
      <c r="O78" s="159" t="n">
        <v>20.4166666666667</v>
      </c>
      <c r="P78" s="159" t="n">
        <v>51.1666666666667</v>
      </c>
      <c r="Q78" s="159" t="n">
        <v>126.629166666667</v>
      </c>
      <c r="R78" s="159" t="n">
        <v>158.458333333333</v>
      </c>
      <c r="S78" s="159" t="n">
        <v>1283.47826086957</v>
      </c>
      <c r="T78" s="159" t="n">
        <v>1156</v>
      </c>
      <c r="U78" s="159" t="n">
        <v>987.692307692308</v>
      </c>
      <c r="V78" s="159" t="n">
        <v>896.551724137931</v>
      </c>
      <c r="W78" s="159" t="n">
        <v>1036.55172413793</v>
      </c>
      <c r="X78" s="159" t="n">
        <v>1002.75862068966</v>
      </c>
      <c r="Y78" s="159" t="n">
        <v>705.51724137931</v>
      </c>
      <c r="Z78" s="159" t="n">
        <v>14.4</v>
      </c>
      <c r="AA78" s="161" t="n">
        <v>45434.778900463</v>
      </c>
      <c r="AB78" s="161" t="n">
        <v>45434.933796875</v>
      </c>
      <c r="AC78" s="159" t="n">
        <v>35.6602777777385</v>
      </c>
      <c r="AD78" s="159" t="n">
        <v>70.6602777777385</v>
      </c>
      <c r="AE78" s="159" t="n">
        <v>3.71751388885605</v>
      </c>
      <c r="AF78" s="159" t="n">
        <v>4.10040277776425</v>
      </c>
      <c r="AG78" s="159" t="n">
        <v>11.4</v>
      </c>
      <c r="AH78" s="160" t="n">
        <v>45435</v>
      </c>
      <c r="AI78" s="161" t="n">
        <v>45435.6688396058</v>
      </c>
      <c r="AL78" s="159" t="n">
        <v>21.364722222212</v>
      </c>
      <c r="AQ78" s="159" t="n">
        <v>1.35483870967742</v>
      </c>
      <c r="AR78" s="159" t="n">
        <v>45583.935483871</v>
      </c>
      <c r="AS78" s="85"/>
      <c r="AT78" s="160" t="n">
        <v>45580</v>
      </c>
      <c r="AV78" s="159" t="n">
        <v>148.935483870968</v>
      </c>
      <c r="AW78" s="12"/>
    </row>
    <row r="79" s="7" customFormat="true" ht="14.25" hidden="false" customHeight="true" outlineLevel="0" collapsed="false">
      <c r="E79" s="159" t="n">
        <v>547.47899453985</v>
      </c>
      <c r="F79" s="159" t="n">
        <v>1.51480152360432</v>
      </c>
      <c r="G79" s="159" t="n">
        <v>19.3272950765328</v>
      </c>
      <c r="H79" s="159" t="n">
        <v>0.384425872219245</v>
      </c>
      <c r="I79" s="159" t="n">
        <v>19.3272950765328</v>
      </c>
      <c r="J79" s="159" t="n">
        <v>19.3272950765328</v>
      </c>
      <c r="K79" s="159" t="n">
        <v>0.167203436709034</v>
      </c>
      <c r="L79" s="159" t="n">
        <v>0.150268576759382</v>
      </c>
      <c r="M79" s="159" t="n">
        <v>0.18183650934021</v>
      </c>
      <c r="N79" s="159" t="n">
        <v>0.181095828015808</v>
      </c>
      <c r="O79" s="159" t="n">
        <v>76.1582543795807</v>
      </c>
      <c r="P79" s="159" t="n">
        <v>75.1825747113644</v>
      </c>
      <c r="Q79" s="159" t="n">
        <v>42.9226552034021</v>
      </c>
      <c r="R79" s="159" t="n">
        <v>46.7937000280897</v>
      </c>
      <c r="S79" s="159" t="n">
        <v>421.238527717019</v>
      </c>
      <c r="T79" s="159" t="n">
        <v>419.642705167146</v>
      </c>
      <c r="U79" s="159" t="n">
        <v>272.944063021092</v>
      </c>
      <c r="V79" s="159" t="n">
        <v>274.958124890591</v>
      </c>
      <c r="W79" s="159" t="n">
        <v>232.075662878494</v>
      </c>
      <c r="X79" s="159" t="n">
        <v>258.828356689527</v>
      </c>
      <c r="Y79" s="159" t="n">
        <v>225.508729747028</v>
      </c>
      <c r="Z79" s="159" t="n">
        <v>8.39423360973096</v>
      </c>
      <c r="AA79" s="159" t="n">
        <v>0.462851474423296</v>
      </c>
      <c r="AB79" s="159" t="n">
        <v>0.343414380389004</v>
      </c>
      <c r="AC79" s="159" t="n">
        <v>11.1084353861591</v>
      </c>
      <c r="AD79" s="159" t="n">
        <v>11.1084353861591</v>
      </c>
      <c r="AE79" s="159" t="n">
        <v>5.50831058546997</v>
      </c>
      <c r="AF79" s="159" t="n">
        <v>5.25589359276218</v>
      </c>
      <c r="AG79" s="159" t="n">
        <v>10.3384820223433</v>
      </c>
      <c r="AH79" s="159" t="n">
        <v>0</v>
      </c>
      <c r="AI79" s="159" t="n">
        <v>0.00634379703288198</v>
      </c>
      <c r="AL79" s="159" t="n">
        <v>11.1649529968743</v>
      </c>
      <c r="AQ79" s="159" t="n">
        <v>0.48637345711392</v>
      </c>
      <c r="AR79" s="159" t="n">
        <v>2.23510602091516</v>
      </c>
      <c r="AS79" s="85"/>
      <c r="AT79" s="159" t="n">
        <v>0</v>
      </c>
      <c r="AV79" s="159" t="n">
        <v>2.23510602091516</v>
      </c>
      <c r="AW79" s="12"/>
    </row>
    <row r="80" s="7" customFormat="true" ht="14.25" hidden="false" customHeight="true" outlineLevel="0" collapsed="false">
      <c r="E80" s="159" t="n">
        <v>31</v>
      </c>
      <c r="F80" s="159" t="n">
        <v>31</v>
      </c>
      <c r="G80" s="159" t="n">
        <v>29</v>
      </c>
      <c r="H80" s="159" t="n">
        <v>29</v>
      </c>
      <c r="I80" s="159" t="n">
        <v>29</v>
      </c>
      <c r="J80" s="159" t="n">
        <v>29</v>
      </c>
      <c r="K80" s="159" t="n">
        <v>31</v>
      </c>
      <c r="L80" s="159" t="n">
        <v>31</v>
      </c>
      <c r="M80" s="159" t="n">
        <v>31</v>
      </c>
      <c r="N80" s="159" t="n">
        <v>31</v>
      </c>
      <c r="O80" s="159" t="n">
        <v>24</v>
      </c>
      <c r="P80" s="159" t="n">
        <v>30</v>
      </c>
      <c r="Q80" s="159" t="n">
        <v>24</v>
      </c>
      <c r="R80" s="159" t="n">
        <v>24</v>
      </c>
      <c r="S80" s="159" t="n">
        <v>23</v>
      </c>
      <c r="T80" s="159" t="n">
        <v>25</v>
      </c>
      <c r="U80" s="159" t="n">
        <v>26</v>
      </c>
      <c r="V80" s="159" t="n">
        <v>29</v>
      </c>
      <c r="W80" s="159" t="n">
        <v>29</v>
      </c>
      <c r="X80" s="159" t="n">
        <v>29</v>
      </c>
      <c r="Y80" s="159" t="n">
        <v>29</v>
      </c>
      <c r="Z80" s="159" t="n">
        <v>20</v>
      </c>
      <c r="AA80" s="159" t="n">
        <v>20</v>
      </c>
      <c r="AB80" s="159" t="n">
        <v>20</v>
      </c>
      <c r="AC80" s="159" t="n">
        <v>20</v>
      </c>
      <c r="AD80" s="159" t="n">
        <v>20</v>
      </c>
      <c r="AE80" s="159" t="n">
        <v>20</v>
      </c>
      <c r="AF80" s="159" t="n">
        <v>20</v>
      </c>
      <c r="AG80" s="159" t="n">
        <v>20</v>
      </c>
      <c r="AH80" s="159" t="n">
        <v>31</v>
      </c>
      <c r="AI80" s="159" t="n">
        <v>31</v>
      </c>
      <c r="AL80" s="159" t="n">
        <v>20</v>
      </c>
      <c r="AQ80" s="159" t="n">
        <v>31</v>
      </c>
      <c r="AR80" s="159" t="n">
        <v>31</v>
      </c>
      <c r="AS80" s="85"/>
      <c r="AT80" s="159" t="n">
        <v>31</v>
      </c>
      <c r="AV80" s="159" t="n">
        <v>31</v>
      </c>
      <c r="AW80" s="12"/>
    </row>
    <row r="81" s="7" customFormat="true" ht="14.25" hidden="false" customHeight="true" outlineLevel="0" collapsed="false">
      <c r="E81" s="159" t="n">
        <f aca="false">E79/(SQRT(E80))</f>
        <v>98.3301301676448</v>
      </c>
      <c r="F81" s="159" t="n">
        <f aca="false">F79/(SQRT(F80))</f>
        <v>0.272066385157573</v>
      </c>
      <c r="G81" s="159" t="n">
        <f aca="false">G79/(SQRT(G80))</f>
        <v>3.58898859528443</v>
      </c>
      <c r="H81" s="159" t="n">
        <f aca="false">H79/(SQRT(H80))</f>
        <v>0.0713860923457608</v>
      </c>
      <c r="I81" s="159" t="n">
        <f aca="false">I79/(SQRT(I80))</f>
        <v>3.58898859528443</v>
      </c>
      <c r="J81" s="159" t="n">
        <f aca="false">J79/(SQRT(J80))</f>
        <v>3.58898859528443</v>
      </c>
      <c r="K81" s="159" t="n">
        <f aca="false">K79/(SQRT(K80))</f>
        <v>0.0300306237500408</v>
      </c>
      <c r="L81" s="159" t="n">
        <f aca="false">L79/(SQRT(L80))</f>
        <v>0.0269890331140024</v>
      </c>
      <c r="M81" s="159" t="n">
        <f aca="false">M79/(SQRT(M80))</f>
        <v>0.0326588011795429</v>
      </c>
      <c r="N81" s="159" t="n">
        <f aca="false">N79/(SQRT(N80))</f>
        <v>0.0325257708865681</v>
      </c>
      <c r="O81" s="159" t="n">
        <f aca="false">O79/(SQRT(O80))</f>
        <v>15.5457385775879</v>
      </c>
      <c r="P81" s="159" t="n">
        <f aca="false">P79/(SQRT(P80))</f>
        <v>13.7263973669106</v>
      </c>
      <c r="Q81" s="159" t="n">
        <f aca="false">Q79/(SQRT(Q80))</f>
        <v>8.76155030447937</v>
      </c>
      <c r="R81" s="159" t="n">
        <f aca="false">R79/(SQRT(R80))</f>
        <v>9.55172402047322</v>
      </c>
      <c r="S81" s="159" t="n">
        <f aca="false">S79/(SQRT(S80))</f>
        <v>87.8343047851791</v>
      </c>
      <c r="T81" s="159" t="n">
        <f aca="false">T79/(SQRT(T80))</f>
        <v>83.9285410334292</v>
      </c>
      <c r="U81" s="159" t="n">
        <f aca="false">U79/(SQRT(U80))</f>
        <v>53.5287347486095</v>
      </c>
      <c r="V81" s="159" t="n">
        <f aca="false">V79/(SQRT(V80))</f>
        <v>51.0584419860864</v>
      </c>
      <c r="W81" s="159" t="n">
        <f aca="false">W79/(SQRT(W80))</f>
        <v>43.0953687008854</v>
      </c>
      <c r="X81" s="159" t="n">
        <f aca="false">X79/(SQRT(X80))</f>
        <v>48.0632192252723</v>
      </c>
      <c r="Y81" s="159" t="n">
        <f aca="false">Y79/(SQRT(Y80))</f>
        <v>41.8759198322518</v>
      </c>
      <c r="Z81" s="159" t="n">
        <f aca="false">Z79/(SQRT(Z80))</f>
        <v>1.87700769703719</v>
      </c>
      <c r="AA81" s="159" t="n">
        <f aca="false">AA79/(SQRT(AA80))</f>
        <v>0.10349673602965</v>
      </c>
      <c r="AB81" s="159" t="n">
        <f aca="false">AB79/(SQRT(AB80))</f>
        <v>0.0767897899000784</v>
      </c>
      <c r="AC81" s="159" t="n">
        <f aca="false">AC79/(SQRT(AC80))</f>
        <v>2.48392166471159</v>
      </c>
      <c r="AD81" s="159" t="n">
        <f aca="false">AD79/(SQRT(AD80))</f>
        <v>2.48392166471159</v>
      </c>
      <c r="AE81" s="159" t="n">
        <f aca="false">AE79/(SQRT(AE80))</f>
        <v>1.23169569102925</v>
      </c>
      <c r="AF81" s="159" t="n">
        <f aca="false">AF79/(SQRT(AF80))</f>
        <v>1.17525353559218</v>
      </c>
      <c r="AG81" s="159" t="n">
        <f aca="false">AG79/(SQRT(AG80))</f>
        <v>2.31175485861191</v>
      </c>
      <c r="AH81" s="159" t="n">
        <f aca="false">AH79/(SQRT(AH80))</f>
        <v>0</v>
      </c>
      <c r="AI81" s="159" t="n">
        <f aca="false">AI79/(SQRT(AI80))</f>
        <v>0.00113937958208733</v>
      </c>
      <c r="AL81" s="159" t="n">
        <f aca="false">AL79/(SQRT(AL80))</f>
        <v>2.49655938666009</v>
      </c>
      <c r="AQ81" s="159" t="n">
        <f aca="false">AQ79/(SQRT(AQ80))</f>
        <v>0.0873552516627523</v>
      </c>
      <c r="AR81" s="159" t="n">
        <f aca="false">AR79/(SQRT(AR80))</f>
        <v>0.40143689194833</v>
      </c>
      <c r="AS81" s="85"/>
      <c r="AT81" s="159" t="n">
        <f aca="false">AT79/(SQRT(AT80))</f>
        <v>0</v>
      </c>
      <c r="AV81" s="159" t="n">
        <f aca="false">AV79/(SQRT(AV80))</f>
        <v>0.40143689194833</v>
      </c>
      <c r="AW81" s="12"/>
    </row>
    <row r="82" s="7" customFormat="true" ht="14.25" hidden="false" customHeight="true" outlineLevel="0" collapsed="false">
      <c r="E82" s="162"/>
      <c r="F82" s="162"/>
      <c r="G82" s="162"/>
      <c r="H82" s="162"/>
      <c r="I82" s="162"/>
      <c r="J82" s="162"/>
      <c r="K82" s="162"/>
      <c r="L82" s="159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L82" s="162"/>
      <c r="AQ82" s="162"/>
      <c r="AR82" s="162"/>
      <c r="AS82" s="85"/>
      <c r="AT82" s="162"/>
      <c r="AV82" s="162"/>
      <c r="AW82" s="12"/>
    </row>
    <row r="83" s="7" customFormat="true" ht="14.25" hidden="false" customHeight="true" outlineLevel="0" collapsed="false">
      <c r="D83" s="7" t="s">
        <v>201</v>
      </c>
      <c r="E83" s="160" t="n">
        <v>44191.8823529412</v>
      </c>
      <c r="F83" s="159" t="n">
        <v>2.82352941176471</v>
      </c>
      <c r="G83" s="160" t="n">
        <v>45242.8666666667</v>
      </c>
      <c r="H83" s="159" t="n">
        <v>1.26666666666667</v>
      </c>
      <c r="I83" s="159" t="n">
        <v>192.133333333333</v>
      </c>
      <c r="J83" s="159" t="n">
        <v>190.133333333333</v>
      </c>
      <c r="K83" s="159" t="n">
        <v>2.51470588235294</v>
      </c>
      <c r="L83" s="159" t="n">
        <v>2.48529411764706</v>
      </c>
      <c r="M83" s="159" t="n">
        <v>2.25</v>
      </c>
      <c r="N83" s="159" t="n">
        <v>2.39705882352941</v>
      </c>
      <c r="O83" s="159" t="n">
        <v>30.6923076923077</v>
      </c>
      <c r="P83" s="159" t="n">
        <v>39.3125</v>
      </c>
      <c r="Q83" s="159" t="n">
        <v>142.290909090909</v>
      </c>
      <c r="R83" s="159" t="n">
        <v>175</v>
      </c>
      <c r="S83" s="159" t="n">
        <v>1422</v>
      </c>
      <c r="T83" s="159" t="n">
        <v>1356</v>
      </c>
      <c r="U83" s="159" t="n">
        <v>965</v>
      </c>
      <c r="V83" s="159" t="n">
        <v>878.666666666667</v>
      </c>
      <c r="W83" s="159" t="n">
        <v>1017.33333333333</v>
      </c>
      <c r="X83" s="159" t="n">
        <v>993.333333333333</v>
      </c>
      <c r="Y83" s="159" t="n">
        <v>726.666666666667</v>
      </c>
      <c r="Z83" s="159" t="n">
        <v>18.9090909090909</v>
      </c>
      <c r="AA83" s="161" t="n">
        <v>45435.0167729377</v>
      </c>
      <c r="AB83" s="161" t="n">
        <v>45435.1997380051</v>
      </c>
      <c r="AC83" s="159" t="n">
        <v>41.3692171716618</v>
      </c>
      <c r="AD83" s="159" t="n">
        <v>76.3692171716618</v>
      </c>
      <c r="AE83" s="159" t="n">
        <v>4.39116161616667</v>
      </c>
      <c r="AF83" s="159" t="n">
        <v>4.75477272727188</v>
      </c>
      <c r="AG83" s="159" t="n">
        <v>7.63636363636364</v>
      </c>
      <c r="AH83" s="160" t="n">
        <v>45435</v>
      </c>
      <c r="AI83" s="161" t="n">
        <v>45435.6704248366</v>
      </c>
      <c r="AL83" s="159" t="n">
        <v>15.7277525252589</v>
      </c>
      <c r="AQ83" s="159" t="n">
        <v>1.05882352941176</v>
      </c>
      <c r="AR83" s="159" t="n">
        <v>45598.7647058824</v>
      </c>
      <c r="AS83" s="85"/>
      <c r="AT83" s="160" t="n">
        <v>45580</v>
      </c>
      <c r="AV83" s="159" t="n">
        <v>163.764705882353</v>
      </c>
      <c r="AW83" s="12"/>
    </row>
    <row r="84" s="7" customFormat="true" ht="14.25" hidden="false" customHeight="true" outlineLevel="0" collapsed="false">
      <c r="E84" s="159" t="n">
        <v>690.231653355682</v>
      </c>
      <c r="F84" s="159" t="n">
        <v>1.9116515803634</v>
      </c>
      <c r="G84" s="159" t="n">
        <v>27.1815763935445</v>
      </c>
      <c r="H84" s="159" t="n">
        <v>0.457737708217063</v>
      </c>
      <c r="I84" s="159" t="n">
        <v>27.1815763935444</v>
      </c>
      <c r="J84" s="159" t="n">
        <v>27.1815763935444</v>
      </c>
      <c r="K84" s="159" t="n">
        <v>0.164663203504108</v>
      </c>
      <c r="L84" s="159" t="n">
        <v>0.1868862503991</v>
      </c>
      <c r="M84" s="159" t="n">
        <v>0.197642353760524</v>
      </c>
      <c r="N84" s="159" t="n">
        <v>0.178071779975181</v>
      </c>
      <c r="O84" s="159" t="n">
        <v>105.242089659496</v>
      </c>
      <c r="P84" s="159" t="n">
        <v>106.058926231286</v>
      </c>
      <c r="Q84" s="159" t="n">
        <v>52.3685870450111</v>
      </c>
      <c r="R84" s="159" t="n">
        <v>41.2140752656177</v>
      </c>
      <c r="S84" s="159" t="n">
        <v>301.323008672679</v>
      </c>
      <c r="T84" s="159" t="n">
        <v>237.542978567388</v>
      </c>
      <c r="U84" s="159" t="n">
        <v>270.504579023586</v>
      </c>
      <c r="V84" s="159" t="n">
        <v>239.220957833269</v>
      </c>
      <c r="W84" s="159" t="n">
        <v>347.387528904098</v>
      </c>
      <c r="X84" s="159" t="n">
        <v>267.75966480267</v>
      </c>
      <c r="Y84" s="159" t="n">
        <v>205.449565123715</v>
      </c>
      <c r="Z84" s="159" t="n">
        <v>9.98453349390492</v>
      </c>
      <c r="AA84" s="159" t="n">
        <v>0.727612959076562</v>
      </c>
      <c r="AB84" s="159" t="n">
        <v>0.837962048518685</v>
      </c>
      <c r="AC84" s="159" t="n">
        <v>17.4627110178375</v>
      </c>
      <c r="AD84" s="159" t="n">
        <v>17.4627110178375</v>
      </c>
      <c r="AE84" s="159" t="n">
        <v>5.22960806430094</v>
      </c>
      <c r="AF84" s="159" t="n">
        <v>4.90822583169327</v>
      </c>
      <c r="AG84" s="159" t="n">
        <v>6.54633832417371</v>
      </c>
      <c r="AH84" s="159" t="n">
        <v>0</v>
      </c>
      <c r="AI84" s="159" t="n">
        <v>0.00654704429687407</v>
      </c>
      <c r="AL84" s="159" t="n">
        <v>17.4789694243156</v>
      </c>
      <c r="AQ84" s="159" t="n">
        <v>0.242535625036333</v>
      </c>
      <c r="AR84" s="159" t="n">
        <v>4.38077350140226</v>
      </c>
      <c r="AS84" s="85"/>
      <c r="AT84" s="159" t="n">
        <v>0</v>
      </c>
      <c r="AV84" s="159" t="n">
        <v>4.38077350140226</v>
      </c>
      <c r="AW84" s="12"/>
    </row>
    <row r="85" s="7" customFormat="true" ht="14.25" hidden="false" customHeight="true" outlineLevel="0" collapsed="false">
      <c r="E85" s="159" t="n">
        <v>17</v>
      </c>
      <c r="F85" s="159" t="n">
        <v>17</v>
      </c>
      <c r="G85" s="159" t="n">
        <v>15</v>
      </c>
      <c r="H85" s="159" t="n">
        <v>15</v>
      </c>
      <c r="I85" s="159" t="n">
        <v>15</v>
      </c>
      <c r="J85" s="159" t="n">
        <v>15</v>
      </c>
      <c r="K85" s="159" t="n">
        <v>17</v>
      </c>
      <c r="L85" s="159" t="n">
        <v>17</v>
      </c>
      <c r="M85" s="159" t="n">
        <v>17</v>
      </c>
      <c r="N85" s="159" t="n">
        <v>17</v>
      </c>
      <c r="O85" s="159" t="n">
        <v>13</v>
      </c>
      <c r="P85" s="159" t="n">
        <v>16</v>
      </c>
      <c r="Q85" s="159" t="n">
        <v>11</v>
      </c>
      <c r="R85" s="159" t="n">
        <v>11</v>
      </c>
      <c r="S85" s="159" t="n">
        <v>10</v>
      </c>
      <c r="T85" s="159" t="n">
        <v>10</v>
      </c>
      <c r="U85" s="159" t="n">
        <v>12</v>
      </c>
      <c r="V85" s="159" t="n">
        <v>15</v>
      </c>
      <c r="W85" s="159" t="n">
        <v>15</v>
      </c>
      <c r="X85" s="159" t="n">
        <v>15</v>
      </c>
      <c r="Y85" s="159" t="n">
        <v>15</v>
      </c>
      <c r="Z85" s="159" t="n">
        <v>11</v>
      </c>
      <c r="AA85" s="159" t="n">
        <v>11</v>
      </c>
      <c r="AB85" s="159" t="n">
        <v>11</v>
      </c>
      <c r="AC85" s="159" t="n">
        <v>11</v>
      </c>
      <c r="AD85" s="159" t="n">
        <v>11</v>
      </c>
      <c r="AE85" s="159" t="n">
        <v>11</v>
      </c>
      <c r="AF85" s="159" t="n">
        <v>11</v>
      </c>
      <c r="AG85" s="159" t="n">
        <v>11</v>
      </c>
      <c r="AH85" s="159" t="n">
        <v>17</v>
      </c>
      <c r="AI85" s="159" t="n">
        <v>17</v>
      </c>
      <c r="AL85" s="159" t="n">
        <v>11</v>
      </c>
      <c r="AQ85" s="159" t="n">
        <v>17</v>
      </c>
      <c r="AR85" s="159" t="n">
        <v>17</v>
      </c>
      <c r="AS85" s="85"/>
      <c r="AT85" s="159" t="n">
        <v>17</v>
      </c>
      <c r="AV85" s="159" t="n">
        <v>17</v>
      </c>
      <c r="AW85" s="12"/>
    </row>
    <row r="86" s="7" customFormat="true" ht="14.25" hidden="false" customHeight="true" outlineLevel="0" collapsed="false">
      <c r="E86" s="159" t="n">
        <f aca="false">E84/(SQRT(E85))</f>
        <v>167.405765466482</v>
      </c>
      <c r="F86" s="159" t="n">
        <f aca="false">F84/(SQRT(F85))</f>
        <v>0.463643610895131</v>
      </c>
      <c r="G86" s="159" t="n">
        <f aca="false">G84/(SQRT(G85))</f>
        <v>7.01825284639083</v>
      </c>
      <c r="H86" s="159" t="n">
        <f aca="false">H84/(SQRT(H85))</f>
        <v>0.118187368057056</v>
      </c>
      <c r="I86" s="159" t="n">
        <f aca="false">I84/(SQRT(I85))</f>
        <v>7.01825284639081</v>
      </c>
      <c r="J86" s="159" t="n">
        <f aca="false">J84/(SQRT(J85))</f>
        <v>7.01825284639081</v>
      </c>
      <c r="K86" s="159" t="n">
        <f aca="false">K84/(SQRT(K85))</f>
        <v>0.0399366929823537</v>
      </c>
      <c r="L86" s="159" t="n">
        <f aca="false">L84/(SQRT(L85))</f>
        <v>0.0453265735512424</v>
      </c>
      <c r="M86" s="159" t="n">
        <f aca="false">M84/(SQRT(M85))</f>
        <v>0.0479353118029607</v>
      </c>
      <c r="N86" s="159" t="n">
        <f aca="false">N84/(SQRT(N85))</f>
        <v>0.0431887504576129</v>
      </c>
      <c r="O86" s="159" t="n">
        <f aca="false">O84/(SQRT(O85))</f>
        <v>29.1889038926378</v>
      </c>
      <c r="P86" s="159" t="n">
        <f aca="false">P84/(SQRT(P85))</f>
        <v>26.5147315578215</v>
      </c>
      <c r="Q86" s="159" t="n">
        <f aca="false">Q84/(SQRT(Q85))</f>
        <v>15.789723093579</v>
      </c>
      <c r="R86" s="159" t="n">
        <f aca="false">R84/(SQRT(R85))</f>
        <v>12.4265112488655</v>
      </c>
      <c r="S86" s="159" t="n">
        <f aca="false">S84/(SQRT(S85))</f>
        <v>95.2867018820336</v>
      </c>
      <c r="T86" s="159" t="n">
        <f aca="false">T84/(SQRT(T85))</f>
        <v>75.1176854453507</v>
      </c>
      <c r="U86" s="159" t="n">
        <f aca="false">U84/(SQRT(U85))</f>
        <v>78.0879457581469</v>
      </c>
      <c r="V86" s="159" t="n">
        <f aca="false">V84/(SQRT(V85))</f>
        <v>61.7665857168025</v>
      </c>
      <c r="W86" s="159" t="n">
        <f aca="false">W84/(SQRT(W85))</f>
        <v>89.6950742750479</v>
      </c>
      <c r="X86" s="159" t="n">
        <f aca="false">X84/(SQRT(X85))</f>
        <v>69.1352481711214</v>
      </c>
      <c r="Y86" s="159" t="n">
        <f aca="false">Y84/(SQRT(Y85))</f>
        <v>53.0468496139803</v>
      </c>
      <c r="Z86" s="159" t="n">
        <f aca="false">Z84/(SQRT(Z85))</f>
        <v>3.01045011872899</v>
      </c>
      <c r="AA86" s="159" t="n">
        <f aca="false">AA84/(SQRT(AA85))</f>
        <v>0.21938356162338</v>
      </c>
      <c r="AB86" s="159" t="n">
        <f aca="false">AB84/(SQRT(AB85))</f>
        <v>0.252655063954006</v>
      </c>
      <c r="AC86" s="159" t="n">
        <f aca="false">AC84/(SQRT(AC85))</f>
        <v>5.26520547896111</v>
      </c>
      <c r="AD86" s="159" t="n">
        <f aca="false">AD84/(SQRT(AD85))</f>
        <v>5.26520547896111</v>
      </c>
      <c r="AE86" s="159" t="n">
        <f aca="false">AE84/(SQRT(AE85))</f>
        <v>1.57678615908209</v>
      </c>
      <c r="AF86" s="159" t="n">
        <f aca="false">AF84/(SQRT(AF85))</f>
        <v>1.47988577000515</v>
      </c>
      <c r="AG86" s="159" t="n">
        <f aca="false">AG84/(SQRT(AG85))</f>
        <v>1.97379527018256</v>
      </c>
      <c r="AH86" s="159" t="n">
        <f aca="false">AH84/(SQRT(AH85))</f>
        <v>0</v>
      </c>
      <c r="AI86" s="159" t="n">
        <f aca="false">AI84/(SQRT(AI85))</f>
        <v>0.00158789148068291</v>
      </c>
      <c r="AL86" s="159" t="n">
        <f aca="false">AL84/(SQRT(AL85))</f>
        <v>5.27010757295902</v>
      </c>
      <c r="AQ86" s="159" t="n">
        <f aca="false">AQ84/(SQRT(AQ85))</f>
        <v>0.0588235294117647</v>
      </c>
      <c r="AR86" s="159" t="n">
        <f aca="false">AR84/(SQRT(AR85))</f>
        <v>1.0624936393052</v>
      </c>
      <c r="AS86" s="85"/>
      <c r="AT86" s="159" t="n">
        <f aca="false">AT84/(SQRT(AT85))</f>
        <v>0</v>
      </c>
      <c r="AV86" s="159" t="n">
        <f aca="false">AV84/(SQRT(AV85))</f>
        <v>1.0624936393052</v>
      </c>
      <c r="AW86" s="12"/>
    </row>
    <row r="87" s="7" customFormat="true" ht="14.25" hidden="false" customHeight="true" outlineLevel="0" collapsed="false">
      <c r="AS87" s="85"/>
      <c r="AW87" s="12"/>
    </row>
    <row r="88" s="7" customFormat="true" ht="14.25" hidden="false" customHeight="true" outlineLevel="0" collapsed="false">
      <c r="D88" s="7" t="s">
        <v>202</v>
      </c>
      <c r="E88" s="160" t="n">
        <v>44605.3333333333</v>
      </c>
      <c r="F88" s="159" t="n">
        <v>1.66666666666667</v>
      </c>
      <c r="G88" s="160" t="n">
        <v>45254.3333333333</v>
      </c>
      <c r="H88" s="159" t="n">
        <v>1.33333333333333</v>
      </c>
      <c r="I88" s="159" t="n">
        <v>180.666666666667</v>
      </c>
      <c r="J88" s="159" t="n">
        <v>178.666666666667</v>
      </c>
      <c r="K88" s="159" t="n">
        <v>2.5</v>
      </c>
      <c r="L88" s="159" t="n">
        <v>2.5</v>
      </c>
      <c r="M88" s="159" t="n">
        <v>2.33333333333333</v>
      </c>
      <c r="N88" s="159" t="n">
        <v>2.41666666666667</v>
      </c>
      <c r="O88" s="159" t="n">
        <v>103.5</v>
      </c>
      <c r="P88" s="159" t="n">
        <v>168.333333333333</v>
      </c>
      <c r="Q88" s="159" t="n">
        <v>134.7</v>
      </c>
      <c r="R88" s="159" t="n">
        <v>135</v>
      </c>
      <c r="S88" s="159" t="n">
        <v>1420</v>
      </c>
      <c r="T88" s="159" t="n">
        <v>1460</v>
      </c>
      <c r="U88" s="159" t="n">
        <v>1450</v>
      </c>
      <c r="V88" s="159" t="n">
        <v>1133.33333333333</v>
      </c>
      <c r="W88" s="159" t="n">
        <v>1333.33333333333</v>
      </c>
      <c r="X88" s="159" t="n">
        <v>1246.66666666667</v>
      </c>
      <c r="Y88" s="159" t="n">
        <v>966.666666666667</v>
      </c>
      <c r="Z88" s="159" t="e">
        <f aca="false">#DIV/0!</f>
        <v>#DIV/0!</v>
      </c>
      <c r="AA88" s="161" t="e">
        <f aca="false">#DIV/0!</f>
        <v>#DIV/0!</v>
      </c>
      <c r="AB88" s="161" t="e">
        <f aca="false">#DIV/0!</f>
        <v>#DIV/0!</v>
      </c>
      <c r="AC88" s="159" t="e">
        <f aca="false">#DIV/0!</f>
        <v>#DIV/0!</v>
      </c>
      <c r="AD88" s="159" t="e">
        <f aca="false">#DIV/0!</f>
        <v>#DIV/0!</v>
      </c>
      <c r="AE88" s="159" t="e">
        <f aca="false">#DIV/0!</f>
        <v>#DIV/0!</v>
      </c>
      <c r="AF88" s="159" t="e">
        <f aca="false">#DIV/0!</f>
        <v>#DIV/0!</v>
      </c>
      <c r="AG88" s="159" t="e">
        <f aca="false">#DIV/0!</f>
        <v>#DIV/0!</v>
      </c>
      <c r="AH88" s="160" t="n">
        <v>45435</v>
      </c>
      <c r="AI88" s="161" t="n">
        <v>45435.6662037037</v>
      </c>
      <c r="AL88" s="159" t="e">
        <f aca="false">#DIV/0!</f>
        <v>#DIV/0!</v>
      </c>
      <c r="AQ88" s="159" t="n">
        <v>1</v>
      </c>
      <c r="AR88" s="159" t="n">
        <v>45607.5</v>
      </c>
      <c r="AS88" s="85"/>
      <c r="AT88" s="160" t="n">
        <v>45580</v>
      </c>
      <c r="AV88" s="159" t="n">
        <v>172.5</v>
      </c>
      <c r="AW88" s="12"/>
    </row>
    <row r="89" s="7" customFormat="true" ht="14.25" hidden="false" customHeight="true" outlineLevel="0" collapsed="false">
      <c r="E89" s="159" t="n">
        <v>209.290069839286</v>
      </c>
      <c r="F89" s="159" t="n">
        <v>0.577350269189626</v>
      </c>
      <c r="G89" s="159" t="n">
        <v>30.7462734869339</v>
      </c>
      <c r="H89" s="159" t="n">
        <v>0.577350269189626</v>
      </c>
      <c r="I89" s="159" t="n">
        <v>30.7462734869339</v>
      </c>
      <c r="J89" s="159" t="n">
        <v>30.7462734869339</v>
      </c>
      <c r="K89" s="159" t="n">
        <v>0</v>
      </c>
      <c r="L89" s="159" t="n">
        <v>0</v>
      </c>
      <c r="M89" s="159" t="n">
        <v>0.144337567297406</v>
      </c>
      <c r="N89" s="159" t="n">
        <v>0.144337567297406</v>
      </c>
      <c r="O89" s="159" t="n">
        <v>10.6066017177982</v>
      </c>
      <c r="P89" s="159" t="n">
        <v>108.969414669132</v>
      </c>
      <c r="Q89" s="159" t="e">
        <f aca="false">#DIV/0!</f>
        <v>#DIV/0!</v>
      </c>
      <c r="R89" s="159" t="e">
        <f aca="false">#DIV/0!</f>
        <v>#DIV/0!</v>
      </c>
      <c r="S89" s="159" t="n">
        <v>254.558441227157</v>
      </c>
      <c r="T89" s="159" t="n">
        <v>84.8528137423857</v>
      </c>
      <c r="U89" s="159" t="n">
        <v>70.7106781186548</v>
      </c>
      <c r="V89" s="159" t="n">
        <v>443.771713083803</v>
      </c>
      <c r="W89" s="159" t="n">
        <v>351.188458428425</v>
      </c>
      <c r="X89" s="159" t="n">
        <v>387.986254052039</v>
      </c>
      <c r="Y89" s="159" t="n">
        <v>321.455025366432</v>
      </c>
      <c r="Z89" s="159" t="e">
        <f aca="false">#DIV/0!</f>
        <v>#DIV/0!</v>
      </c>
      <c r="AA89" s="159" t="e">
        <f aca="false">#DIV/0!</f>
        <v>#DIV/0!</v>
      </c>
      <c r="AB89" s="159" t="e">
        <f aca="false">#DIV/0!</f>
        <v>#DIV/0!</v>
      </c>
      <c r="AC89" s="159" t="e">
        <f aca="false">#DIV/0!</f>
        <v>#DIV/0!</v>
      </c>
      <c r="AD89" s="159" t="e">
        <f aca="false">#DIV/0!</f>
        <v>#DIV/0!</v>
      </c>
      <c r="AE89" s="159" t="e">
        <f aca="false">#DIV/0!</f>
        <v>#DIV/0!</v>
      </c>
      <c r="AF89" s="159" t="e">
        <f aca="false">#DIV/0!</f>
        <v>#DIV/0!</v>
      </c>
      <c r="AG89" s="159" t="e">
        <f aca="false">#DIV/0!</f>
        <v>#DIV/0!</v>
      </c>
      <c r="AH89" s="159" t="n">
        <v>0</v>
      </c>
      <c r="AI89" s="159" t="n">
        <v>0.00525824846881761</v>
      </c>
      <c r="AL89" s="159" t="e">
        <f aca="false">#DIV/0!</f>
        <v>#DIV/0!</v>
      </c>
      <c r="AQ89" s="159" t="n">
        <v>0</v>
      </c>
      <c r="AR89" s="159" t="n">
        <v>10.6066017177982</v>
      </c>
      <c r="AS89" s="85"/>
      <c r="AT89" s="159" t="n">
        <v>0</v>
      </c>
      <c r="AV89" s="159" t="n">
        <v>10.6066017177982</v>
      </c>
      <c r="AW89" s="12"/>
    </row>
    <row r="90" customFormat="false" ht="14.25" hidden="false" customHeight="true" outlineLevel="0" collapsed="false">
      <c r="A90" s="7"/>
      <c r="B90" s="7"/>
      <c r="C90" s="7"/>
      <c r="D90" s="7"/>
      <c r="E90" s="159" t="n">
        <v>3</v>
      </c>
      <c r="F90" s="159" t="n">
        <v>3</v>
      </c>
      <c r="G90" s="159" t="n">
        <v>3</v>
      </c>
      <c r="H90" s="159" t="n">
        <v>3</v>
      </c>
      <c r="I90" s="159" t="n">
        <v>3</v>
      </c>
      <c r="J90" s="159" t="n">
        <v>3</v>
      </c>
      <c r="K90" s="159" t="n">
        <v>3</v>
      </c>
      <c r="L90" s="159" t="n">
        <v>3</v>
      </c>
      <c r="M90" s="159" t="n">
        <v>3</v>
      </c>
      <c r="N90" s="159" t="n">
        <v>3</v>
      </c>
      <c r="O90" s="159" t="n">
        <v>2</v>
      </c>
      <c r="P90" s="159" t="n">
        <v>3</v>
      </c>
      <c r="Q90" s="159" t="n">
        <v>1</v>
      </c>
      <c r="R90" s="159" t="n">
        <v>1</v>
      </c>
      <c r="S90" s="159" t="n">
        <v>2</v>
      </c>
      <c r="T90" s="159" t="n">
        <v>2</v>
      </c>
      <c r="U90" s="159" t="n">
        <v>2</v>
      </c>
      <c r="V90" s="159" t="n">
        <v>3</v>
      </c>
      <c r="W90" s="159" t="n">
        <v>3</v>
      </c>
      <c r="X90" s="159" t="n">
        <v>3</v>
      </c>
      <c r="Y90" s="159" t="n">
        <v>3</v>
      </c>
      <c r="Z90" s="159" t="n">
        <v>0</v>
      </c>
      <c r="AA90" s="159" t="n">
        <v>0</v>
      </c>
      <c r="AB90" s="159" t="n">
        <v>0</v>
      </c>
      <c r="AC90" s="159" t="n">
        <v>0</v>
      </c>
      <c r="AD90" s="159" t="n">
        <v>0</v>
      </c>
      <c r="AE90" s="159" t="n">
        <v>0</v>
      </c>
      <c r="AF90" s="159" t="n">
        <v>0</v>
      </c>
      <c r="AG90" s="159" t="n">
        <v>0</v>
      </c>
      <c r="AH90" s="159" t="n">
        <v>3</v>
      </c>
      <c r="AI90" s="159" t="n">
        <v>3</v>
      </c>
      <c r="AL90" s="159" t="n">
        <v>0</v>
      </c>
      <c r="AM90" s="7"/>
      <c r="AN90" s="7"/>
      <c r="AO90" s="7"/>
      <c r="AP90" s="7"/>
      <c r="AQ90" s="159" t="n">
        <v>2</v>
      </c>
      <c r="AR90" s="159" t="n">
        <v>2</v>
      </c>
      <c r="AT90" s="159" t="n">
        <v>3</v>
      </c>
      <c r="AU90" s="7"/>
      <c r="AV90" s="159" t="n">
        <v>2</v>
      </c>
      <c r="AX90" s="7"/>
      <c r="AY90" s="7"/>
      <c r="AZ90" s="7"/>
      <c r="BA90" s="7"/>
    </row>
    <row r="91" customFormat="false" ht="14.25" hidden="false" customHeight="true" outlineLevel="0" collapsed="false">
      <c r="A91" s="7"/>
      <c r="B91" s="7"/>
      <c r="C91" s="7"/>
      <c r="D91" s="7"/>
      <c r="E91" s="159" t="n">
        <f aca="false">E89/(SQRT(E90))</f>
        <v>120.833678160427</v>
      </c>
      <c r="F91" s="159" t="n">
        <f aca="false">F89/(SQRT(F90))</f>
        <v>0.333333333333334</v>
      </c>
      <c r="G91" s="159" t="n">
        <f aca="false">G89/(SQRT(G90))</f>
        <v>17.7513692742591</v>
      </c>
      <c r="H91" s="159" t="n">
        <f aca="false">H89/(SQRT(H90))</f>
        <v>0.333333333333334</v>
      </c>
      <c r="I91" s="159" t="n">
        <f aca="false">I89/(SQRT(I90))</f>
        <v>17.7513692742591</v>
      </c>
      <c r="J91" s="159" t="n">
        <f aca="false">J89/(SQRT(J90))</f>
        <v>17.7513692742591</v>
      </c>
      <c r="K91" s="159" t="n">
        <f aca="false">K89/(SQRT(K90))</f>
        <v>0</v>
      </c>
      <c r="L91" s="159" t="n">
        <f aca="false">L89/(SQRT(L90))</f>
        <v>0</v>
      </c>
      <c r="M91" s="159" t="n">
        <f aca="false">M89/(SQRT(M90))</f>
        <v>0.0833333333333331</v>
      </c>
      <c r="N91" s="159" t="n">
        <f aca="false">N89/(SQRT(N90))</f>
        <v>0.0833333333333331</v>
      </c>
      <c r="O91" s="159" t="n">
        <f aca="false">O89/(SQRT(O90))</f>
        <v>7.49999999999999</v>
      </c>
      <c r="P91" s="159" t="n">
        <f aca="false">P89/(SQRT(P90))</f>
        <v>62.9135208926593</v>
      </c>
      <c r="Q91" s="159" t="e">
        <f aca="false">Q89/(SQRT(Q90))</f>
        <v>#DIV/0!</v>
      </c>
      <c r="R91" s="159" t="e">
        <f aca="false">R89/(SQRT(R90))</f>
        <v>#DIV/0!</v>
      </c>
      <c r="S91" s="159" t="n">
        <f aca="false">S89/(SQRT(S90))</f>
        <v>180</v>
      </c>
      <c r="T91" s="159" t="n">
        <f aca="false">T89/(SQRT(T90))</f>
        <v>60</v>
      </c>
      <c r="U91" s="159" t="n">
        <f aca="false">U89/(SQRT(U90))</f>
        <v>50</v>
      </c>
      <c r="V91" s="159" t="n">
        <f aca="false">V89/(SQRT(V90))</f>
        <v>256.211718007675</v>
      </c>
      <c r="W91" s="159" t="n">
        <f aca="false">W89/(SQRT(W90))</f>
        <v>202.758751009941</v>
      </c>
      <c r="X91" s="159" t="n">
        <f aca="false">X89/(SQRT(X90))</f>
        <v>224.003968218819</v>
      </c>
      <c r="Y91" s="159" t="n">
        <f aca="false">Y89/(SQRT(Y90))</f>
        <v>185.592145427668</v>
      </c>
      <c r="Z91" s="159" t="e">
        <f aca="false">Z89/(SQRT(Z90))</f>
        <v>#DIV/0!</v>
      </c>
      <c r="AA91" s="159" t="e">
        <f aca="false">AA89/(SQRT(AA90))</f>
        <v>#DIV/0!</v>
      </c>
      <c r="AB91" s="159" t="e">
        <f aca="false">AB89/(SQRT(AB90))</f>
        <v>#DIV/0!</v>
      </c>
      <c r="AC91" s="159" t="e">
        <f aca="false">AC89/(SQRT(AC90))</f>
        <v>#DIV/0!</v>
      </c>
      <c r="AD91" s="159" t="e">
        <f aca="false">AD89/(SQRT(AD90))</f>
        <v>#DIV/0!</v>
      </c>
      <c r="AE91" s="159" t="e">
        <f aca="false">AE89/(SQRT(AE90))</f>
        <v>#DIV/0!</v>
      </c>
      <c r="AF91" s="159" t="e">
        <f aca="false">AF89/(SQRT(AF90))</f>
        <v>#DIV/0!</v>
      </c>
      <c r="AG91" s="159" t="e">
        <f aca="false">AG89/(SQRT(AG90))</f>
        <v>#DIV/0!</v>
      </c>
      <c r="AH91" s="159" t="n">
        <f aca="false">AH89/(SQRT(AH90))</f>
        <v>0</v>
      </c>
      <c r="AI91" s="159" t="n">
        <f aca="false">AI89/(SQRT(AI90))</f>
        <v>0.00303585116893778</v>
      </c>
      <c r="AL91" s="159" t="e">
        <f aca="false">AL89/(SQRT(AL90))</f>
        <v>#DIV/0!</v>
      </c>
      <c r="AM91" s="7"/>
      <c r="AN91" s="7"/>
      <c r="AO91" s="7"/>
      <c r="AP91" s="7"/>
      <c r="AQ91" s="159" t="n">
        <f aca="false">AQ89/(SQRT(AQ90))</f>
        <v>0</v>
      </c>
      <c r="AR91" s="159" t="n">
        <f aca="false">AR89/(SQRT(AR90))</f>
        <v>7.49999999999999</v>
      </c>
      <c r="AT91" s="159" t="n">
        <f aca="false">AT89/(SQRT(AT90))</f>
        <v>0</v>
      </c>
      <c r="AU91" s="7"/>
      <c r="AV91" s="159" t="n">
        <f aca="false">AV89/(SQRT(AV90))</f>
        <v>7.49999999999999</v>
      </c>
      <c r="AX91" s="7"/>
      <c r="AY91" s="7"/>
      <c r="AZ91" s="7"/>
      <c r="BA91" s="7"/>
    </row>
    <row r="92" customFormat="false" ht="14.25" hidden="false" customHeight="true" outlineLevel="0" collapsed="false">
      <c r="A92" s="7"/>
      <c r="B92" s="7"/>
      <c r="C92" s="7"/>
      <c r="D92" s="7"/>
      <c r="E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152"/>
      <c r="AB92" s="152"/>
      <c r="AC92" s="153"/>
      <c r="AD92" s="153"/>
      <c r="AE92" s="154"/>
      <c r="AF92" s="154"/>
      <c r="AG92" s="155"/>
      <c r="AH92" s="7"/>
      <c r="AM92" s="7"/>
      <c r="AN92" s="7"/>
      <c r="AO92" s="7"/>
      <c r="AP92" s="7"/>
      <c r="AQ92" s="4"/>
      <c r="AT92" s="7"/>
      <c r="AU92" s="7"/>
      <c r="AV92" s="7"/>
      <c r="AX92" s="7"/>
      <c r="AY92" s="7"/>
      <c r="AZ92" s="7"/>
      <c r="BA92" s="7"/>
    </row>
    <row r="93" customFormat="false" ht="14.25" hidden="false" customHeight="true" outlineLevel="0" collapsed="false">
      <c r="A93" s="7"/>
      <c r="B93" s="7"/>
      <c r="C93" s="7"/>
      <c r="D93" s="7"/>
      <c r="E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152"/>
      <c r="AB93" s="152"/>
      <c r="AC93" s="153"/>
      <c r="AD93" s="153"/>
      <c r="AE93" s="154"/>
      <c r="AF93" s="154"/>
      <c r="AG93" s="155"/>
      <c r="AH93" s="7"/>
      <c r="AM93" s="7"/>
      <c r="AN93" s="7"/>
      <c r="AO93" s="7"/>
      <c r="AP93" s="7"/>
      <c r="AQ93" s="4"/>
      <c r="AT93" s="7"/>
      <c r="AU93" s="7"/>
      <c r="AV93" s="7"/>
      <c r="AX93" s="7"/>
      <c r="AY93" s="7"/>
      <c r="AZ93" s="7"/>
      <c r="BA93" s="7"/>
    </row>
    <row r="94" customFormat="false" ht="14.25" hidden="false" customHeight="true" outlineLevel="0" collapsed="false">
      <c r="A94" s="7"/>
      <c r="B94" s="7"/>
      <c r="C94" s="7"/>
      <c r="D94" s="7"/>
      <c r="E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152"/>
      <c r="AB94" s="152"/>
      <c r="AC94" s="153"/>
      <c r="AD94" s="153"/>
      <c r="AE94" s="154"/>
      <c r="AF94" s="154"/>
      <c r="AG94" s="155"/>
      <c r="AH94" s="7"/>
      <c r="AM94" s="7"/>
      <c r="AN94" s="7"/>
      <c r="AO94" s="7"/>
      <c r="AP94" s="7"/>
      <c r="AQ94" s="4"/>
      <c r="AT94" s="7"/>
      <c r="AU94" s="7"/>
      <c r="AV94" s="7"/>
      <c r="AX94" s="7"/>
      <c r="AY94" s="7"/>
      <c r="AZ94" s="7"/>
      <c r="BA94" s="7"/>
    </row>
    <row r="95" customFormat="false" ht="14.25" hidden="false" customHeight="true" outlineLevel="0" collapsed="false">
      <c r="AA95" s="163" t="s">
        <v>203</v>
      </c>
      <c r="AB95" s="163"/>
      <c r="AC95" s="163"/>
      <c r="AD95" s="7"/>
      <c r="AE95" s="163"/>
      <c r="AF95" s="7"/>
      <c r="AG95" s="7"/>
      <c r="AH95" s="7"/>
      <c r="AM95" s="163" t="s">
        <v>204</v>
      </c>
      <c r="AN95" s="7"/>
      <c r="AO95" s="163"/>
      <c r="AP95" s="7"/>
      <c r="AQ95" s="157"/>
      <c r="AT95" s="163" t="s">
        <v>205</v>
      </c>
      <c r="AU95" s="7"/>
      <c r="AV95" s="7"/>
      <c r="AX95" s="7"/>
      <c r="AY95" s="7"/>
      <c r="AZ95" s="7"/>
    </row>
    <row r="96" customFormat="false" ht="14.25" hidden="false" customHeight="true" outlineLevel="0" collapsed="false">
      <c r="AA96" s="7" t="s">
        <v>206</v>
      </c>
      <c r="AB96" s="57"/>
      <c r="AC96" s="57"/>
      <c r="AD96" s="57"/>
      <c r="AE96" s="7"/>
      <c r="AF96" s="57"/>
      <c r="AG96" s="7"/>
      <c r="AH96" s="7"/>
      <c r="AM96" s="164" t="s">
        <v>207</v>
      </c>
      <c r="AN96" s="164"/>
      <c r="AO96" s="164"/>
      <c r="AP96" s="164"/>
      <c r="AQ96" s="164"/>
      <c r="AR96" s="164"/>
      <c r="AT96" s="7" t="s">
        <v>208</v>
      </c>
      <c r="AU96" s="7"/>
      <c r="AV96" s="7"/>
      <c r="AX96" s="7"/>
      <c r="AY96" s="7"/>
      <c r="AZ96" s="7"/>
    </row>
    <row r="97" customFormat="false" ht="14.25" hidden="false" customHeight="true" outlineLevel="0" collapsed="false">
      <c r="AA97" s="7" t="s">
        <v>209</v>
      </c>
      <c r="AB97" s="7"/>
      <c r="AC97" s="7"/>
      <c r="AD97" s="7"/>
      <c r="AE97" s="7"/>
      <c r="AF97" s="7"/>
      <c r="AG97" s="7"/>
      <c r="AH97" s="7"/>
      <c r="AM97" s="165" t="s">
        <v>210</v>
      </c>
      <c r="AN97" s="165"/>
      <c r="AO97" s="165"/>
      <c r="AP97" s="165"/>
      <c r="AQ97" s="165"/>
      <c r="AR97" s="165"/>
      <c r="AT97" s="7" t="s">
        <v>211</v>
      </c>
      <c r="AU97" s="7"/>
      <c r="AV97" s="7"/>
      <c r="AX97" s="7"/>
      <c r="AY97" s="7"/>
      <c r="AZ97" s="7"/>
    </row>
    <row r="98" customFormat="false" ht="14.25" hidden="false" customHeight="true" outlineLevel="0" collapsed="false">
      <c r="AA98" s="7" t="s">
        <v>212</v>
      </c>
      <c r="AB98" s="7" t="s">
        <v>213</v>
      </c>
      <c r="AC98" s="7"/>
      <c r="AD98" s="7"/>
      <c r="AE98" s="7"/>
      <c r="AF98" s="7"/>
      <c r="AG98" s="7"/>
      <c r="AH98" s="7"/>
      <c r="AM98" s="164" t="s">
        <v>214</v>
      </c>
      <c r="AN98" s="164"/>
      <c r="AO98" s="164"/>
      <c r="AP98" s="164"/>
      <c r="AQ98" s="164"/>
      <c r="AR98" s="164"/>
      <c r="AT98" s="7" t="s">
        <v>215</v>
      </c>
      <c r="AU98" s="7"/>
      <c r="AV98" s="7"/>
      <c r="AX98" s="7"/>
      <c r="AY98" s="7"/>
      <c r="AZ98" s="7"/>
    </row>
    <row r="99" customFormat="false" ht="14.25" hidden="false" customHeight="true" outlineLevel="0" collapsed="false">
      <c r="AA99" s="7" t="s">
        <v>216</v>
      </c>
      <c r="AB99" s="7"/>
      <c r="AC99" s="7"/>
      <c r="AD99" s="7"/>
      <c r="AE99" s="7"/>
      <c r="AF99" s="7"/>
      <c r="AG99" s="7"/>
      <c r="AH99" s="7"/>
      <c r="AM99" s="165" t="s">
        <v>217</v>
      </c>
      <c r="AN99" s="165"/>
      <c r="AO99" s="165"/>
      <c r="AP99" s="165"/>
      <c r="AQ99" s="165"/>
      <c r="AR99" s="165"/>
      <c r="AT99" s="7" t="s">
        <v>218</v>
      </c>
      <c r="AU99" s="7"/>
      <c r="AV99" s="7"/>
      <c r="AX99" s="7"/>
      <c r="AY99" s="7"/>
      <c r="AZ99" s="7"/>
    </row>
    <row r="100" customFormat="false" ht="14.25" hidden="false" customHeight="true" outlineLevel="0" collapsed="false">
      <c r="AA100" s="7"/>
      <c r="AB100" s="7"/>
      <c r="AC100" s="7"/>
      <c r="AD100" s="7"/>
      <c r="AE100" s="7"/>
      <c r="AF100" s="7"/>
      <c r="AG100" s="7"/>
      <c r="AH100" s="7"/>
      <c r="AM100" s="164" t="s">
        <v>219</v>
      </c>
      <c r="AN100" s="164"/>
      <c r="AO100" s="164"/>
      <c r="AP100" s="164"/>
      <c r="AQ100" s="164"/>
      <c r="AR100" s="164"/>
      <c r="AT100" s="7" t="s">
        <v>220</v>
      </c>
      <c r="AU100" s="7"/>
      <c r="AV100" s="7"/>
      <c r="AX100" s="7"/>
      <c r="AY100" s="7"/>
      <c r="AZ100" s="7"/>
    </row>
    <row r="101" customFormat="false" ht="14.25" hidden="false" customHeight="true" outlineLevel="0" collapsed="false">
      <c r="AA101" s="163" t="s">
        <v>221</v>
      </c>
      <c r="AB101" s="7"/>
      <c r="AC101" s="7"/>
      <c r="AD101" s="7"/>
      <c r="AE101" s="7"/>
      <c r="AF101" s="7"/>
      <c r="AG101" s="7"/>
      <c r="AH101" s="7"/>
      <c r="AM101" s="7"/>
      <c r="AN101" s="7"/>
      <c r="AO101" s="7"/>
      <c r="AP101" s="7"/>
      <c r="AQ101" s="7"/>
      <c r="AT101" s="7"/>
      <c r="AU101" s="7"/>
      <c r="AV101" s="7"/>
      <c r="AX101" s="7"/>
      <c r="AY101" s="7"/>
      <c r="AZ101" s="7"/>
    </row>
    <row r="102" customFormat="false" ht="14.25" hidden="false" customHeight="false" outlineLevel="0" collapsed="false">
      <c r="AA102" s="7" t="s">
        <v>222</v>
      </c>
      <c r="AB102" s="7"/>
      <c r="AC102" s="7"/>
      <c r="AD102" s="7"/>
      <c r="AE102" s="7"/>
      <c r="AF102" s="7"/>
      <c r="AG102" s="7"/>
      <c r="AH102" s="7"/>
      <c r="AM102" s="7"/>
      <c r="AN102" s="7"/>
      <c r="AO102" s="7"/>
      <c r="AP102" s="7"/>
      <c r="AQ102" s="7"/>
      <c r="AT102" s="7"/>
      <c r="AU102" s="7"/>
      <c r="AV102" s="7"/>
      <c r="AX102" s="7"/>
      <c r="AY102" s="7"/>
      <c r="AZ102" s="7"/>
      <c r="BA102" s="7"/>
    </row>
    <row r="103" customFormat="false" ht="14.25" hidden="false" customHeight="false" outlineLevel="0" collapsed="false">
      <c r="AA103" s="7" t="s">
        <v>209</v>
      </c>
      <c r="AB103" s="7"/>
      <c r="AC103" s="7"/>
      <c r="AD103" s="7"/>
      <c r="AE103" s="7"/>
      <c r="AF103" s="7"/>
      <c r="AG103" s="7"/>
      <c r="AH103" s="7"/>
      <c r="AM103" s="7"/>
      <c r="AN103" s="7"/>
      <c r="AO103" s="7"/>
      <c r="AP103" s="7"/>
      <c r="AQ103" s="7"/>
      <c r="AT103" s="7"/>
      <c r="AU103" s="7"/>
      <c r="AV103" s="7"/>
      <c r="AX103" s="7"/>
      <c r="AY103" s="7"/>
      <c r="AZ103" s="7"/>
      <c r="BA103" s="7"/>
    </row>
    <row r="104" customFormat="false" ht="14.25" hidden="false" customHeight="false" outlineLevel="0" collapsed="false">
      <c r="AA104" s="7" t="s">
        <v>212</v>
      </c>
      <c r="AB104" s="7" t="s">
        <v>213</v>
      </c>
      <c r="AC104" s="7"/>
      <c r="AD104" s="7"/>
      <c r="AE104" s="7"/>
      <c r="AF104" s="7"/>
      <c r="AG104" s="7"/>
      <c r="AH104" s="7"/>
      <c r="AM104" s="7"/>
      <c r="AN104" s="7"/>
      <c r="AO104" s="7"/>
      <c r="AP104" s="7"/>
      <c r="AQ104" s="7"/>
      <c r="AT104" s="7"/>
      <c r="AU104" s="7"/>
      <c r="AV104" s="7"/>
      <c r="AX104" s="7"/>
      <c r="AY104" s="7"/>
      <c r="AZ104" s="7"/>
      <c r="BA104" s="7"/>
    </row>
    <row r="105" customFormat="false" ht="14.25" hidden="false" customHeight="false" outlineLevel="0" collapsed="false">
      <c r="AA105" s="7" t="s">
        <v>223</v>
      </c>
      <c r="AB105" s="7"/>
      <c r="AC105" s="7"/>
      <c r="AD105" s="7"/>
      <c r="AE105" s="7"/>
      <c r="AF105" s="7"/>
      <c r="AG105" s="7"/>
      <c r="AH105" s="7"/>
    </row>
    <row r="106" customFormat="false" ht="14.25" hidden="false" customHeight="false" outlineLevel="0" collapsed="false">
      <c r="AA106" s="7"/>
      <c r="AB106" s="7"/>
      <c r="AC106" s="7"/>
      <c r="AD106" s="7"/>
      <c r="AE106" s="7"/>
      <c r="AF106" s="7"/>
      <c r="AG106" s="7"/>
      <c r="AH106" s="7"/>
    </row>
    <row r="107" customFormat="false" ht="17.35" hidden="false" customHeight="false" outlineLevel="0" collapsed="false">
      <c r="AA107" s="163" t="s">
        <v>224</v>
      </c>
      <c r="AB107" s="7"/>
      <c r="AC107" s="7"/>
      <c r="AD107" s="7"/>
      <c r="AE107" s="7"/>
      <c r="AF107" s="7"/>
      <c r="AG107" s="7"/>
      <c r="AH107" s="7"/>
    </row>
    <row r="108" customFormat="false" ht="14.25" hidden="false" customHeight="false" outlineLevel="0" collapsed="false">
      <c r="AA108" s="7" t="s">
        <v>225</v>
      </c>
      <c r="AB108" s="7"/>
      <c r="AC108" s="7"/>
      <c r="AD108" s="7"/>
      <c r="AE108" s="7"/>
      <c r="AF108" s="7"/>
      <c r="AG108" s="7"/>
      <c r="AH108" s="7"/>
    </row>
    <row r="109" customFormat="false" ht="14.25" hidden="false" customHeight="false" outlineLevel="0" collapsed="false">
      <c r="AA109" s="7" t="s">
        <v>209</v>
      </c>
      <c r="AB109" s="7"/>
      <c r="AC109" s="7"/>
      <c r="AD109" s="7"/>
      <c r="AE109" s="7"/>
      <c r="AF109" s="7"/>
      <c r="AG109" s="7"/>
      <c r="AH109" s="7"/>
    </row>
    <row r="110" customFormat="false" ht="14.25" hidden="false" customHeight="false" outlineLevel="0" collapsed="false">
      <c r="AA110" s="7" t="s">
        <v>226</v>
      </c>
      <c r="AB110" s="7" t="s">
        <v>227</v>
      </c>
      <c r="AC110" s="7"/>
      <c r="AD110" s="7"/>
      <c r="AE110" s="7"/>
      <c r="AF110" s="7"/>
      <c r="AG110" s="7"/>
      <c r="AH110" s="7"/>
    </row>
    <row r="111" customFormat="false" ht="14.25" hidden="false" customHeight="false" outlineLevel="0" collapsed="false">
      <c r="AA111" s="7" t="s">
        <v>228</v>
      </c>
      <c r="AB111" s="7"/>
      <c r="AC111" s="7"/>
      <c r="AD111" s="7"/>
      <c r="AE111" s="7"/>
      <c r="AF111" s="7"/>
      <c r="AG111" s="7"/>
      <c r="AH111" s="7"/>
    </row>
    <row r="112" customFormat="false" ht="14.25" hidden="false" customHeight="false" outlineLevel="0" collapsed="false">
      <c r="AA112" s="7"/>
      <c r="AB112" s="7"/>
      <c r="AC112" s="7"/>
      <c r="AD112" s="7"/>
      <c r="AE112" s="7"/>
      <c r="AF112" s="7"/>
      <c r="AG112" s="7"/>
      <c r="AH112" s="7"/>
    </row>
    <row r="113" customFormat="false" ht="17.35" hidden="false" customHeight="false" outlineLevel="0" collapsed="false">
      <c r="AA113" s="163" t="s">
        <v>229</v>
      </c>
      <c r="AB113" s="7"/>
      <c r="AC113" s="7"/>
      <c r="AD113" s="7"/>
      <c r="AE113" s="7"/>
      <c r="AF113" s="7"/>
      <c r="AG113" s="7"/>
      <c r="AH113" s="7"/>
    </row>
    <row r="114" customFormat="false" ht="14.25" hidden="false" customHeight="false" outlineLevel="0" collapsed="false">
      <c r="AA114" s="7" t="s">
        <v>230</v>
      </c>
      <c r="AB114" s="7"/>
      <c r="AC114" s="7"/>
      <c r="AD114" s="7"/>
      <c r="AE114" s="7"/>
      <c r="AF114" s="7"/>
      <c r="AG114" s="7"/>
      <c r="AH114" s="7"/>
    </row>
    <row r="115" customFormat="false" ht="14.25" hidden="false" customHeight="false" outlineLevel="0" collapsed="false">
      <c r="AA115" s="7" t="s">
        <v>231</v>
      </c>
      <c r="AB115" s="7"/>
      <c r="AC115" s="7"/>
      <c r="AD115" s="7"/>
      <c r="AE115" s="7"/>
      <c r="AF115" s="7"/>
      <c r="AG115" s="7"/>
      <c r="AH115" s="7"/>
    </row>
    <row r="116" customFormat="false" ht="14.25" hidden="false" customHeight="false" outlineLevel="0" collapsed="false">
      <c r="AA116" s="7" t="s">
        <v>212</v>
      </c>
      <c r="AB116" s="7" t="s">
        <v>232</v>
      </c>
      <c r="AC116" s="7"/>
      <c r="AD116" s="7"/>
      <c r="AE116" s="7"/>
      <c r="AF116" s="7"/>
      <c r="AG116" s="7"/>
      <c r="AH116" s="7"/>
    </row>
    <row r="117" customFormat="false" ht="14.25" hidden="false" customHeight="false" outlineLevel="0" collapsed="false">
      <c r="AA117" s="7" t="s">
        <v>233</v>
      </c>
      <c r="AB117" s="7"/>
      <c r="AC117" s="7"/>
      <c r="AD117" s="7"/>
      <c r="AE117" s="7"/>
      <c r="AF117" s="7"/>
      <c r="AG117" s="7"/>
      <c r="AH117" s="7"/>
    </row>
    <row r="118" customFormat="false" ht="14.25" hidden="false" customHeight="false" outlineLevel="0" collapsed="false">
      <c r="AA118" s="7"/>
      <c r="AB118" s="7"/>
      <c r="AC118" s="7"/>
      <c r="AD118" s="7"/>
      <c r="AE118" s="7"/>
      <c r="AF118" s="7"/>
      <c r="AG118" s="7"/>
      <c r="AH118" s="7"/>
    </row>
    <row r="119" customFormat="false" ht="14.25" hidden="false" customHeight="false" outlineLevel="0" collapsed="false">
      <c r="AA119" s="7"/>
      <c r="AB119" s="7"/>
      <c r="AC119" s="7"/>
      <c r="AD119" s="7"/>
      <c r="AE119" s="7"/>
      <c r="AF119" s="7"/>
      <c r="AG119" s="7"/>
      <c r="AH119" s="7"/>
    </row>
    <row r="120" customFormat="false" ht="18" hidden="false" customHeight="true" outlineLevel="0" collapsed="false">
      <c r="AA120" s="166" t="s">
        <v>234</v>
      </c>
      <c r="AB120" s="166"/>
      <c r="AC120" s="166"/>
      <c r="AD120" s="166"/>
      <c r="AE120" s="166"/>
      <c r="AF120" s="166"/>
      <c r="AG120" s="166"/>
      <c r="AH120" s="7"/>
    </row>
    <row r="121" customFormat="false" ht="16.5" hidden="false" customHeight="true" outlineLevel="0" collapsed="false">
      <c r="AA121" s="167" t="s">
        <v>235</v>
      </c>
      <c r="AB121" s="167"/>
      <c r="AC121" s="167"/>
      <c r="AD121" s="167"/>
      <c r="AE121" s="167"/>
      <c r="AF121" s="167"/>
      <c r="AG121" s="167"/>
      <c r="AH121" s="7"/>
    </row>
    <row r="122" customFormat="false" ht="17.35" hidden="false" customHeight="false" outlineLevel="0" collapsed="false">
      <c r="AA122" s="163" t="s">
        <v>236</v>
      </c>
      <c r="AB122" s="7"/>
      <c r="AC122" s="7"/>
      <c r="AD122" s="7"/>
      <c r="AE122" s="7"/>
      <c r="AF122" s="7"/>
      <c r="AG122" s="7"/>
      <c r="AH122" s="7"/>
    </row>
    <row r="123" customFormat="false" ht="14.25" hidden="false" customHeight="false" outlineLevel="0" collapsed="false">
      <c r="AA123" s="7" t="s">
        <v>237</v>
      </c>
      <c r="AB123" s="7"/>
      <c r="AC123" s="7"/>
      <c r="AD123" s="7"/>
      <c r="AE123" s="7"/>
      <c r="AF123" s="7"/>
      <c r="AG123" s="7"/>
      <c r="AH123" s="7"/>
    </row>
    <row r="124" customFormat="false" ht="13.8" hidden="false" customHeight="false" outlineLevel="0" collapsed="false">
      <c r="AA124" s="7"/>
      <c r="AB124" s="7"/>
      <c r="AC124" s="7"/>
      <c r="AD124" s="7"/>
      <c r="AE124" s="7"/>
      <c r="AF124" s="7"/>
      <c r="AG124" s="7"/>
      <c r="AH124" s="7"/>
    </row>
    <row r="125" customFormat="false" ht="13.8" hidden="false" customHeight="false" outlineLevel="0" collapsed="false">
      <c r="AA125" s="7"/>
      <c r="AB125" s="7"/>
      <c r="AC125" s="7"/>
      <c r="AD125" s="7"/>
      <c r="AE125" s="7"/>
      <c r="AF125" s="7"/>
      <c r="AG125" s="7"/>
      <c r="AH125" s="7"/>
    </row>
    <row r="126" customFormat="false" ht="13.8" hidden="false" customHeight="false" outlineLevel="0" collapsed="false">
      <c r="AA126" s="7"/>
      <c r="AB126" s="7"/>
      <c r="AC126" s="7"/>
      <c r="AD126" s="7"/>
      <c r="AE126" s="7"/>
      <c r="AF126" s="7"/>
      <c r="AG126" s="7"/>
      <c r="AH126" s="7"/>
    </row>
    <row r="127" customFormat="false" ht="13.8" hidden="false" customHeight="false" outlineLevel="0" collapsed="false">
      <c r="AA127" s="7"/>
      <c r="AB127" s="7"/>
      <c r="AC127" s="7"/>
      <c r="AD127" s="7"/>
      <c r="AE127" s="7"/>
      <c r="AF127" s="7"/>
      <c r="AG127" s="7"/>
      <c r="AH127" s="7"/>
    </row>
  </sheetData>
  <autoFilter ref="A4:AZ57"/>
  <mergeCells count="11">
    <mergeCell ref="O3:Y3"/>
    <mergeCell ref="Z3:AG3"/>
    <mergeCell ref="AH3:AL3"/>
    <mergeCell ref="AM3:AP3"/>
    <mergeCell ref="AM96:AR96"/>
    <mergeCell ref="AM97:AR97"/>
    <mergeCell ref="AM98:AR98"/>
    <mergeCell ref="AM99:AR99"/>
    <mergeCell ref="AM100:AR100"/>
    <mergeCell ref="AA120:AG120"/>
    <mergeCell ref="AA121:AG121"/>
  </mergeCells>
  <conditionalFormatting sqref="V57:W57">
    <cfRule type="colorScale" priority="2">
      <colorScale>
        <cfvo type="min" val="0"/>
        <cfvo type="max" val="0"/>
        <color rgb="FFFFEF9C"/>
        <color rgb="FF63BE7B"/>
      </colorScale>
    </cfRule>
  </conditionalFormatting>
  <conditionalFormatting sqref="Q57">
    <cfRule type="colorScale" priority="3">
      <colorScale>
        <cfvo type="min" val="0"/>
        <cfvo type="max" val="0"/>
        <color rgb="FFFFEF9C"/>
        <color rgb="FF63BE7B"/>
      </colorScale>
    </cfRule>
  </conditionalFormatting>
  <conditionalFormatting sqref="I57">
    <cfRule type="colorScale" priority="4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I5:I56">
    <cfRule type="colorScale" priority="5">
      <colorScale>
        <cfvo type="min" val="0"/>
        <cfvo type="percentile" val="50"/>
        <cfvo type="max" val="0"/>
        <color rgb="FFF8696B"/>
        <color rgb="FFFCFCFF"/>
        <color rgb="FF5A8AC6"/>
      </colorScale>
    </cfRule>
  </conditionalFormatting>
  <conditionalFormatting sqref="Q5:Q56">
    <cfRule type="colorScale" priority="6">
      <colorScale>
        <cfvo type="min" val="0"/>
        <cfvo type="max" val="0"/>
        <color rgb="FFFFEF9C"/>
        <color rgb="FF63BE7B"/>
      </colorScale>
    </cfRule>
  </conditionalFormatting>
  <conditionalFormatting sqref="V5:W56">
    <cfRule type="colorScale" priority="7">
      <colorScale>
        <cfvo type="min" val="0"/>
        <cfvo type="max" val="0"/>
        <color rgb="FFFFEF9C"/>
        <color rgb="FF63BE7B"/>
      </colorScale>
    </cfRule>
  </conditionalFormatting>
  <printOptions headings="false" gridLines="false" gridLinesSet="true" horizontalCentered="false" verticalCentered="false"/>
  <pageMargins left="0.236111111111111" right="0.236111111111111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3" activeCellId="0" sqref="A5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7" width="17.44"/>
    <col collapsed="false" customWidth="true" hidden="false" outlineLevel="0" max="3" min="3" style="0" width="10.67"/>
    <col collapsed="false" customWidth="true" hidden="false" outlineLevel="0" max="4" min="4" style="1" width="16.67"/>
    <col collapsed="false" customWidth="true" hidden="false" outlineLevel="0" max="5" min="5" style="0" width="16.67"/>
  </cols>
  <sheetData>
    <row r="1" customFormat="false" ht="13.8" hidden="false" customHeight="false" outlineLevel="0" collapsed="false">
      <c r="A1" s="97" t="n">
        <v>230138</v>
      </c>
      <c r="B1" s="114" t="n">
        <v>45435.6701388889</v>
      </c>
      <c r="C1" s="99" t="n">
        <v>-1</v>
      </c>
      <c r="D1" s="110" t="n">
        <v>45433.8617939815</v>
      </c>
    </row>
    <row r="2" customFormat="false" ht="13.8" hidden="false" customHeight="false" outlineLevel="0" collapsed="false">
      <c r="A2" s="97" t="n">
        <v>230135</v>
      </c>
      <c r="B2" s="114" t="n">
        <v>45435.66875</v>
      </c>
      <c r="C2" s="99" t="n">
        <v>-1</v>
      </c>
      <c r="D2" s="110" t="n">
        <v>45435.9189583333</v>
      </c>
    </row>
    <row r="3" customFormat="false" ht="13.8" hidden="false" customHeight="false" outlineLevel="0" collapsed="false">
      <c r="A3" s="97" t="n">
        <v>230134</v>
      </c>
      <c r="B3" s="114" t="n">
        <v>45435.6784722222</v>
      </c>
      <c r="C3" s="99" t="n">
        <v>-1</v>
      </c>
      <c r="D3" s="110" t="n">
        <v>45435.8294212963</v>
      </c>
    </row>
    <row r="4" customFormat="false" ht="13.8" hidden="false" customHeight="false" outlineLevel="0" collapsed="false">
      <c r="A4" s="97" t="n">
        <v>230126</v>
      </c>
      <c r="B4" s="114" t="n">
        <v>45435.6645833333</v>
      </c>
      <c r="C4" s="99" t="n">
        <v>1</v>
      </c>
      <c r="D4" s="110" t="n">
        <v>45434.7287152778</v>
      </c>
    </row>
    <row r="5" customFormat="false" ht="13.8" hidden="false" customHeight="false" outlineLevel="0" collapsed="false">
      <c r="A5" s="97" t="n">
        <v>230125</v>
      </c>
      <c r="B5" s="114" t="n">
        <v>45435.6770833333</v>
      </c>
      <c r="C5" s="99" t="n">
        <v>-1</v>
      </c>
      <c r="D5" s="110" t="n">
        <v>45434.9620023148</v>
      </c>
    </row>
    <row r="6" customFormat="false" ht="13.8" hidden="false" customHeight="false" outlineLevel="0" collapsed="false">
      <c r="A6" s="97" t="n">
        <v>230122</v>
      </c>
      <c r="B6" s="114" t="n">
        <v>45435.6791666667</v>
      </c>
      <c r="C6" s="99" t="n">
        <v>1</v>
      </c>
      <c r="D6" s="110" t="n">
        <v>45434.4708217593</v>
      </c>
    </row>
    <row r="7" customFormat="false" ht="13.8" hidden="false" customHeight="false" outlineLevel="0" collapsed="false">
      <c r="A7" s="97" t="n">
        <v>230120</v>
      </c>
      <c r="B7" s="114" t="n">
        <v>45435.6708333333</v>
      </c>
      <c r="C7" s="99" t="n">
        <v>1</v>
      </c>
      <c r="D7" s="110"/>
    </row>
    <row r="8" customFormat="false" ht="13.8" hidden="false" customHeight="false" outlineLevel="0" collapsed="false">
      <c r="A8" s="97" t="n">
        <v>230116</v>
      </c>
      <c r="B8" s="114" t="n">
        <v>45435.6638888889</v>
      </c>
      <c r="C8" s="99" t="n">
        <v>-1</v>
      </c>
      <c r="D8" s="110"/>
    </row>
    <row r="9" customFormat="false" ht="13.8" hidden="false" customHeight="false" outlineLevel="0" collapsed="false">
      <c r="A9" s="97" t="n">
        <v>230111</v>
      </c>
      <c r="B9" s="114" t="n">
        <v>45435.6715277778</v>
      </c>
      <c r="C9" s="99" t="n">
        <v>1</v>
      </c>
      <c r="D9" s="110" t="n">
        <v>45433.7543171296</v>
      </c>
    </row>
    <row r="10" customFormat="false" ht="13.8" hidden="false" customHeight="false" outlineLevel="0" collapsed="false">
      <c r="A10" s="97" t="n">
        <v>230110</v>
      </c>
      <c r="B10" s="114" t="n">
        <v>45435.6611111111</v>
      </c>
      <c r="C10" s="99" t="n">
        <v>-1</v>
      </c>
      <c r="D10" s="110" t="n">
        <v>45434.9915046296</v>
      </c>
    </row>
    <row r="11" customFormat="false" ht="13.8" hidden="false" customHeight="false" outlineLevel="0" collapsed="false">
      <c r="A11" s="97" t="n">
        <v>230103</v>
      </c>
      <c r="B11" s="114" t="n">
        <v>45435.6736111111</v>
      </c>
      <c r="C11" s="99" t="n">
        <v>1</v>
      </c>
      <c r="D11" s="110"/>
    </row>
    <row r="12" customFormat="false" ht="13.8" hidden="false" customHeight="false" outlineLevel="0" collapsed="false">
      <c r="A12" s="97" t="n">
        <v>230102</v>
      </c>
      <c r="B12" s="114" t="n">
        <v>45435.6701388889</v>
      </c>
      <c r="C12" s="99" t="n">
        <v>-1</v>
      </c>
      <c r="D12" s="110" t="n">
        <v>45435.7239467593</v>
      </c>
    </row>
    <row r="13" customFormat="false" ht="13.8" hidden="false" customHeight="false" outlineLevel="0" collapsed="false">
      <c r="A13" s="97" t="n">
        <v>220244</v>
      </c>
      <c r="B13" s="114" t="n">
        <v>45435.6625</v>
      </c>
      <c r="C13" s="99" t="n">
        <v>1</v>
      </c>
      <c r="D13" s="110" t="n">
        <v>45434.519212963</v>
      </c>
    </row>
    <row r="14" customFormat="false" ht="13.8" hidden="false" customHeight="false" outlineLevel="0" collapsed="false">
      <c r="A14" s="97" t="n">
        <v>220243</v>
      </c>
      <c r="B14" s="114" t="n">
        <v>45435.6722222222</v>
      </c>
      <c r="C14" s="99" t="n">
        <v>-1</v>
      </c>
      <c r="D14" s="110"/>
    </row>
    <row r="15" customFormat="false" ht="13.8" hidden="false" customHeight="false" outlineLevel="0" collapsed="false">
      <c r="A15" s="97" t="n">
        <v>220242</v>
      </c>
      <c r="B15" s="114" t="n">
        <v>45435.675</v>
      </c>
      <c r="C15" s="99" t="n">
        <v>1</v>
      </c>
      <c r="D15" s="110" t="n">
        <v>45434.4776273148</v>
      </c>
    </row>
    <row r="16" customFormat="false" ht="13.8" hidden="false" customHeight="false" outlineLevel="0" collapsed="false">
      <c r="A16" s="97" t="n">
        <v>220239</v>
      </c>
      <c r="B16" s="114" t="n">
        <v>45435.6604166667</v>
      </c>
      <c r="C16" s="99" t="n">
        <v>1</v>
      </c>
      <c r="D16" s="110" t="n">
        <v>45435.7447916667</v>
      </c>
    </row>
    <row r="17" customFormat="false" ht="13.8" hidden="false" customHeight="false" outlineLevel="0" collapsed="false">
      <c r="A17" s="97" t="n">
        <v>220235</v>
      </c>
      <c r="B17" s="114" t="n">
        <v>45435.6715277778</v>
      </c>
      <c r="C17" s="99" t="n">
        <v>1</v>
      </c>
      <c r="D17" s="110" t="n">
        <v>45434.7554398148</v>
      </c>
    </row>
    <row r="18" customFormat="false" ht="13.8" hidden="false" customHeight="false" outlineLevel="0" collapsed="false">
      <c r="A18" s="97" t="n">
        <v>220234</v>
      </c>
      <c r="B18" s="114" t="n">
        <v>45435.6791666667</v>
      </c>
      <c r="C18" s="99" t="n">
        <v>1</v>
      </c>
      <c r="D18" s="110" t="n">
        <v>45434.969537037</v>
      </c>
    </row>
    <row r="19" customFormat="false" ht="13.8" hidden="false" customHeight="false" outlineLevel="0" collapsed="false">
      <c r="A19" s="97" t="n">
        <v>220231</v>
      </c>
      <c r="B19" s="114" t="n">
        <v>45435.6736111111</v>
      </c>
      <c r="C19" s="99" t="n">
        <v>1</v>
      </c>
      <c r="D19" s="110" t="n">
        <v>45434.9658796296</v>
      </c>
    </row>
    <row r="20" customFormat="false" ht="13.8" hidden="false" customHeight="false" outlineLevel="0" collapsed="false">
      <c r="A20" s="97" t="n">
        <v>220229</v>
      </c>
      <c r="B20" s="114" t="n">
        <v>45435.6604166667</v>
      </c>
      <c r="C20" s="99" t="n">
        <v>1</v>
      </c>
      <c r="D20" s="110" t="n">
        <v>45434.9254282407</v>
      </c>
    </row>
    <row r="21" customFormat="false" ht="13.8" hidden="false" customHeight="false" outlineLevel="0" collapsed="false">
      <c r="A21" s="119" t="n">
        <v>220228</v>
      </c>
      <c r="B21" s="132"/>
      <c r="C21" s="121"/>
      <c r="D21" s="130"/>
    </row>
    <row r="22" customFormat="false" ht="13.8" hidden="false" customHeight="false" outlineLevel="0" collapsed="false">
      <c r="A22" s="97" t="n">
        <v>220222</v>
      </c>
      <c r="B22" s="114" t="n">
        <v>45435.6631944444</v>
      </c>
      <c r="C22" s="99" t="n">
        <v>-1</v>
      </c>
      <c r="D22" s="110"/>
    </row>
    <row r="23" customFormat="false" ht="13.8" hidden="false" customHeight="false" outlineLevel="0" collapsed="false">
      <c r="A23" s="97" t="n">
        <v>220220</v>
      </c>
      <c r="B23" s="114" t="n">
        <v>45435.6652777778</v>
      </c>
      <c r="C23" s="99" t="n">
        <v>1</v>
      </c>
      <c r="D23" s="110" t="n">
        <v>45435.8943055556</v>
      </c>
    </row>
    <row r="24" customFormat="false" ht="13.8" hidden="false" customHeight="false" outlineLevel="0" collapsed="false">
      <c r="A24" s="97" t="n">
        <v>220219</v>
      </c>
      <c r="B24" s="114" t="n">
        <v>45435.6625</v>
      </c>
      <c r="C24" s="99" t="n">
        <v>1</v>
      </c>
      <c r="D24" s="110"/>
    </row>
    <row r="25" customFormat="false" ht="13.8" hidden="false" customHeight="false" outlineLevel="0" collapsed="false">
      <c r="A25" s="97" t="n">
        <v>220215</v>
      </c>
      <c r="B25" s="114" t="n">
        <v>45435.6729166667</v>
      </c>
      <c r="C25" s="99" t="n">
        <v>1</v>
      </c>
      <c r="D25" s="110"/>
    </row>
    <row r="26" customFormat="false" ht="13.8" hidden="false" customHeight="false" outlineLevel="0" collapsed="false">
      <c r="A26" s="97" t="n">
        <v>220214</v>
      </c>
      <c r="B26" s="114" t="n">
        <v>45435.6652777778</v>
      </c>
      <c r="C26" s="99" t="n">
        <v>-1</v>
      </c>
      <c r="D26" s="110"/>
    </row>
    <row r="27" customFormat="false" ht="13.8" hidden="false" customHeight="false" outlineLevel="0" collapsed="false">
      <c r="A27" s="97" t="n">
        <v>220210</v>
      </c>
      <c r="B27" s="114" t="n">
        <v>45435.6597222222</v>
      </c>
      <c r="C27" s="99" t="n">
        <v>1</v>
      </c>
      <c r="D27" s="110" t="n">
        <v>45434.8732407407</v>
      </c>
    </row>
    <row r="28" customFormat="false" ht="13.8" hidden="false" customHeight="false" outlineLevel="0" collapsed="false">
      <c r="A28" s="97" t="n">
        <v>220208</v>
      </c>
      <c r="B28" s="114" t="n">
        <v>45435.66875</v>
      </c>
      <c r="C28" s="99" t="n">
        <v>-1</v>
      </c>
      <c r="D28" s="110"/>
    </row>
    <row r="29" customFormat="false" ht="13.8" hidden="false" customHeight="false" outlineLevel="0" collapsed="false">
      <c r="A29" s="97" t="n">
        <v>220207</v>
      </c>
      <c r="B29" s="114" t="n">
        <v>45435.6625</v>
      </c>
      <c r="C29" s="99" t="n">
        <v>-1</v>
      </c>
      <c r="D29" s="110"/>
    </row>
    <row r="30" customFormat="false" ht="13.8" hidden="false" customHeight="false" outlineLevel="0" collapsed="false">
      <c r="A30" s="97" t="n">
        <v>220203</v>
      </c>
      <c r="B30" s="114" t="n">
        <v>45435.6604166667</v>
      </c>
      <c r="C30" s="99" t="n">
        <v>1</v>
      </c>
      <c r="D30" s="110" t="n">
        <v>45434.7694560185</v>
      </c>
    </row>
    <row r="31" customFormat="false" ht="13.8" hidden="false" customHeight="false" outlineLevel="0" collapsed="false">
      <c r="A31" s="97" t="n">
        <v>220201</v>
      </c>
      <c r="B31" s="114" t="n">
        <v>45435.6694444444</v>
      </c>
      <c r="C31" s="99" t="n">
        <v>1</v>
      </c>
      <c r="D31" s="110" t="n">
        <v>45434.8521759259</v>
      </c>
    </row>
    <row r="32" customFormat="false" ht="13.8" hidden="false" customHeight="false" outlineLevel="0" collapsed="false">
      <c r="A32" s="97" t="n">
        <v>210284</v>
      </c>
      <c r="B32" s="114" t="n">
        <v>45435.6631944444</v>
      </c>
      <c r="C32" s="99" t="n">
        <v>-1</v>
      </c>
      <c r="D32" s="110" t="n">
        <v>45435.6540277778</v>
      </c>
    </row>
    <row r="33" customFormat="false" ht="13.8" hidden="false" customHeight="false" outlineLevel="0" collapsed="false">
      <c r="A33" s="97" t="n">
        <v>210281</v>
      </c>
      <c r="B33" s="114" t="n">
        <v>45435.6770833333</v>
      </c>
      <c r="C33" s="99" t="n">
        <v>-1</v>
      </c>
      <c r="D33" s="110" t="n">
        <v>45434.8525462963</v>
      </c>
    </row>
    <row r="34" customFormat="false" ht="13.8" hidden="false" customHeight="false" outlineLevel="0" collapsed="false">
      <c r="A34" s="97" t="n">
        <v>210277</v>
      </c>
      <c r="B34" s="114" t="n">
        <v>45435.6729166667</v>
      </c>
      <c r="C34" s="99" t="n">
        <v>1</v>
      </c>
      <c r="D34" s="110"/>
    </row>
    <row r="35" customFormat="false" ht="13.8" hidden="false" customHeight="false" outlineLevel="0" collapsed="false">
      <c r="A35" s="97" t="n">
        <v>210276</v>
      </c>
      <c r="B35" s="114" t="n">
        <v>45435.6777777778</v>
      </c>
      <c r="C35" s="99" t="n">
        <v>-1</v>
      </c>
      <c r="D35" s="110" t="n">
        <v>45434.8310763889</v>
      </c>
    </row>
    <row r="36" customFormat="false" ht="13.8" hidden="false" customHeight="false" outlineLevel="0" collapsed="false">
      <c r="A36" s="97" t="n">
        <v>210262</v>
      </c>
      <c r="B36" s="114" t="n">
        <v>45435.6777777778</v>
      </c>
      <c r="C36" s="99" t="n">
        <v>1</v>
      </c>
      <c r="D36" s="110" t="n">
        <v>45434.2063425926</v>
      </c>
    </row>
    <row r="37" customFormat="false" ht="13.8" hidden="false" customHeight="false" outlineLevel="0" collapsed="false">
      <c r="A37" s="97" t="n">
        <v>210260</v>
      </c>
      <c r="B37" s="114" t="n">
        <v>45435.6618055556</v>
      </c>
      <c r="C37" s="99" t="n">
        <v>1</v>
      </c>
      <c r="D37" s="110" t="n">
        <v>45434.6339930556</v>
      </c>
    </row>
    <row r="38" customFormat="false" ht="13.8" hidden="false" customHeight="false" outlineLevel="0" collapsed="false">
      <c r="A38" s="97" t="n">
        <v>210257</v>
      </c>
      <c r="B38" s="114" t="n">
        <v>45435.6722222222</v>
      </c>
      <c r="C38" s="99" t="n">
        <v>1</v>
      </c>
      <c r="D38" s="110" t="n">
        <v>45434.6040972222</v>
      </c>
    </row>
    <row r="39" customFormat="false" ht="13.8" hidden="false" customHeight="false" outlineLevel="0" collapsed="false">
      <c r="A39" s="97" t="n">
        <v>200983</v>
      </c>
      <c r="B39" s="114" t="n">
        <v>45435.6784722222</v>
      </c>
      <c r="C39" s="99" t="n">
        <v>-1</v>
      </c>
      <c r="D39" s="110" t="n">
        <v>45434.7421064815</v>
      </c>
    </row>
    <row r="40" customFormat="false" ht="13.8" hidden="false" customHeight="false" outlineLevel="0" collapsed="false">
      <c r="A40" s="97" t="n">
        <v>200970</v>
      </c>
      <c r="B40" s="114" t="n">
        <v>45435.6729166667</v>
      </c>
      <c r="C40" s="99" t="n">
        <v>1</v>
      </c>
      <c r="D40" s="110" t="n">
        <v>45435.0172222222</v>
      </c>
    </row>
    <row r="41" customFormat="false" ht="13.8" hidden="false" customHeight="false" outlineLevel="0" collapsed="false">
      <c r="A41" s="97" t="n">
        <v>200967</v>
      </c>
      <c r="B41" s="114" t="n">
        <v>45435.6770833333</v>
      </c>
      <c r="C41" s="99" t="n">
        <v>1</v>
      </c>
      <c r="D41" s="110"/>
    </row>
    <row r="42" customFormat="false" ht="13.8" hidden="false" customHeight="false" outlineLevel="0" collapsed="false">
      <c r="A42" s="97" t="n">
        <v>200952</v>
      </c>
      <c r="B42" s="114" t="n">
        <v>45435.6597222222</v>
      </c>
      <c r="C42" s="99" t="n">
        <v>1</v>
      </c>
      <c r="D42" s="110"/>
    </row>
    <row r="43" customFormat="false" ht="13.8" hidden="false" customHeight="false" outlineLevel="0" collapsed="false">
      <c r="A43" s="97" t="n">
        <v>190087</v>
      </c>
      <c r="B43" s="114" t="n">
        <v>45435.6694444444</v>
      </c>
      <c r="C43" s="99" t="n">
        <v>1</v>
      </c>
      <c r="D43" s="110"/>
    </row>
    <row r="44" customFormat="false" ht="13.8" hidden="false" customHeight="false" outlineLevel="0" collapsed="false">
      <c r="A44" s="97" t="n">
        <v>190085</v>
      </c>
      <c r="B44" s="114" t="n">
        <v>45435.6680555556</v>
      </c>
      <c r="C44" s="99" t="n">
        <v>1</v>
      </c>
      <c r="D44" s="110"/>
    </row>
    <row r="45" customFormat="false" ht="13.8" hidden="false" customHeight="false" outlineLevel="0" collapsed="false">
      <c r="A45" s="97" t="n">
        <v>190077</v>
      </c>
      <c r="B45" s="114" t="n">
        <v>45435.6763888889</v>
      </c>
      <c r="C45" s="99" t="n">
        <v>1</v>
      </c>
      <c r="D45" s="110" t="n">
        <v>45434.8379398148</v>
      </c>
    </row>
    <row r="46" customFormat="false" ht="13.8" hidden="false" customHeight="false" outlineLevel="0" collapsed="false">
      <c r="A46" s="97" t="n">
        <v>190062</v>
      </c>
      <c r="B46" s="114" t="n">
        <v>45435.6638888889</v>
      </c>
      <c r="C46" s="99" t="n">
        <v>1</v>
      </c>
      <c r="D46" s="110"/>
    </row>
    <row r="47" customFormat="false" ht="13.8" hidden="false" customHeight="false" outlineLevel="0" collapsed="false">
      <c r="A47" s="97" t="n">
        <v>190055</v>
      </c>
      <c r="B47" s="114" t="n">
        <v>45435.6618055556</v>
      </c>
      <c r="C47" s="99" t="n">
        <v>-1</v>
      </c>
      <c r="D47" s="110"/>
    </row>
    <row r="48" customFormat="false" ht="13.8" hidden="false" customHeight="false" outlineLevel="0" collapsed="false">
      <c r="A48" s="97" t="n">
        <v>180120</v>
      </c>
      <c r="B48" s="114" t="n">
        <v>45435.6611111111</v>
      </c>
      <c r="C48" s="99" t="n">
        <v>1</v>
      </c>
      <c r="D48" s="110"/>
    </row>
    <row r="49" customFormat="false" ht="13.8" hidden="false" customHeight="false" outlineLevel="0" collapsed="false">
      <c r="A49" s="97" t="n">
        <v>180103</v>
      </c>
      <c r="B49" s="114" t="n">
        <v>45435.6652777778</v>
      </c>
      <c r="C49" s="99" t="n">
        <v>-1</v>
      </c>
      <c r="D49" s="110"/>
    </row>
    <row r="50" customFormat="false" ht="13.8" hidden="false" customHeight="false" outlineLevel="0" collapsed="false">
      <c r="A50" s="97" t="n">
        <v>180085</v>
      </c>
      <c r="B50" s="114" t="n">
        <v>45435.6680555556</v>
      </c>
      <c r="C50" s="99" t="n">
        <v>1</v>
      </c>
      <c r="D50" s="110" t="n">
        <v>45434.5774652778</v>
      </c>
    </row>
    <row r="51" customFormat="false" ht="13.8" hidden="false" customHeight="false" outlineLevel="0" collapsed="false">
      <c r="A51" s="97" t="n">
        <v>180063</v>
      </c>
      <c r="B51" s="114" t="n">
        <v>45435.6708333333</v>
      </c>
      <c r="C51" s="99" t="n">
        <v>-1</v>
      </c>
      <c r="D51" s="110" t="n">
        <v>45433.8171180556</v>
      </c>
    </row>
    <row r="52" customFormat="false" ht="13.8" hidden="false" customHeight="false" outlineLevel="0" collapsed="false">
      <c r="A52" s="135" t="n">
        <v>180060</v>
      </c>
      <c r="B52" s="149" t="n">
        <v>45435.6798611111</v>
      </c>
      <c r="C52" s="117" t="n">
        <v>-1</v>
      </c>
      <c r="D52" s="145"/>
    </row>
    <row r="53" customFormat="false" ht="13.8" hidden="false" customHeight="false" outlineLevel="0" collapsed="false">
      <c r="A53" s="7"/>
      <c r="C53" s="7"/>
      <c r="D53" s="152"/>
    </row>
    <row r="54" customFormat="false" ht="13.8" hidden="false" customHeight="false" outlineLevel="0" collapsed="false">
      <c r="A54" s="7"/>
      <c r="B54" s="158"/>
      <c r="C54" s="7"/>
      <c r="D54" s="158"/>
    </row>
    <row r="55" customFormat="false" ht="13.8" hidden="false" customHeight="false" outlineLevel="0" collapsed="false">
      <c r="A55" s="7"/>
      <c r="B55" s="157"/>
      <c r="C55" s="7"/>
      <c r="D55" s="157"/>
    </row>
    <row r="56" customFormat="false" ht="13.8" hidden="false" customHeight="false" outlineLevel="0" collapsed="false">
      <c r="A56" s="7"/>
      <c r="B56" s="157"/>
      <c r="C56" s="7"/>
      <c r="D56" s="157"/>
    </row>
    <row r="57" customFormat="false" ht="13.8" hidden="false" customHeight="false" outlineLevel="0" collapsed="false">
      <c r="A57" s="7"/>
      <c r="C57" s="7"/>
      <c r="D57" s="152"/>
    </row>
    <row r="58" customFormat="false" ht="13.8" hidden="false" customHeight="false" outlineLevel="0" collapsed="false">
      <c r="A58" s="7"/>
      <c r="B58" s="161"/>
      <c r="C58" s="7"/>
      <c r="D58" s="161"/>
    </row>
    <row r="59" customFormat="false" ht="13.8" hidden="false" customHeight="false" outlineLevel="0" collapsed="false">
      <c r="A59" s="7"/>
      <c r="B59" s="159"/>
      <c r="C59" s="7"/>
      <c r="D59" s="159"/>
    </row>
    <row r="60" customFormat="false" ht="13.8" hidden="false" customHeight="false" outlineLevel="0" collapsed="false">
      <c r="A60" s="7"/>
      <c r="B60" s="159"/>
      <c r="C60" s="7"/>
      <c r="D60" s="159"/>
    </row>
    <row r="61" customFormat="false" ht="13.8" hidden="false" customHeight="false" outlineLevel="0" collapsed="false">
      <c r="A61" s="7"/>
      <c r="B61" s="159"/>
      <c r="C61" s="7"/>
      <c r="D61" s="159"/>
    </row>
    <row r="62" customFormat="false" ht="13.8" hidden="false" customHeight="false" outlineLevel="0" collapsed="false">
      <c r="A62" s="7"/>
      <c r="B62" s="162"/>
      <c r="C62" s="7"/>
      <c r="D62" s="162"/>
    </row>
    <row r="63" customFormat="false" ht="13.8" hidden="false" customHeight="false" outlineLevel="0" collapsed="false">
      <c r="A63" s="7"/>
      <c r="B63" s="161"/>
      <c r="C63" s="7"/>
      <c r="D63" s="161"/>
    </row>
    <row r="64" customFormat="false" ht="13.8" hidden="false" customHeight="false" outlineLevel="0" collapsed="false">
      <c r="A64" s="7"/>
      <c r="B64" s="159"/>
      <c r="C64" s="7"/>
      <c r="D64" s="159"/>
    </row>
    <row r="65" customFormat="false" ht="13.8" hidden="false" customHeight="false" outlineLevel="0" collapsed="false">
      <c r="A65" s="7"/>
      <c r="B65" s="159"/>
      <c r="C65" s="7"/>
      <c r="D65" s="159"/>
    </row>
    <row r="66" customFormat="false" ht="13.8" hidden="false" customHeight="false" outlineLevel="0" collapsed="false">
      <c r="A66" s="7"/>
      <c r="B66" s="159"/>
      <c r="C66" s="7"/>
      <c r="D66" s="159"/>
    </row>
    <row r="67" customFormat="false" ht="13.8" hidden="false" customHeight="false" outlineLevel="0" collapsed="false">
      <c r="A67" s="7"/>
      <c r="B67" s="162"/>
      <c r="C67" s="7"/>
      <c r="D67" s="162"/>
    </row>
    <row r="68" customFormat="false" ht="13.8" hidden="false" customHeight="false" outlineLevel="0" collapsed="false">
      <c r="A68" s="7"/>
      <c r="B68" s="161"/>
      <c r="C68" s="7"/>
      <c r="D68" s="161"/>
    </row>
    <row r="69" customFormat="false" ht="13.8" hidden="false" customHeight="false" outlineLevel="0" collapsed="false">
      <c r="A69" s="7"/>
      <c r="B69" s="159"/>
      <c r="C69" s="7"/>
      <c r="D69" s="159"/>
    </row>
    <row r="70" customFormat="false" ht="13.8" hidden="false" customHeight="false" outlineLevel="0" collapsed="false">
      <c r="A70" s="7"/>
      <c r="B70" s="159"/>
      <c r="C70" s="7"/>
      <c r="D70" s="159"/>
    </row>
    <row r="71" customFormat="false" ht="13.8" hidden="false" customHeight="false" outlineLevel="0" collapsed="false">
      <c r="A71" s="7"/>
      <c r="B71" s="159"/>
      <c r="C71" s="7"/>
      <c r="D71" s="159"/>
    </row>
    <row r="72" customFormat="false" ht="13.8" hidden="false" customHeight="false" outlineLevel="0" collapsed="false">
      <c r="A72" s="7"/>
      <c r="B72" s="162"/>
      <c r="C72" s="7"/>
      <c r="D72" s="162"/>
    </row>
    <row r="73" customFormat="false" ht="13.8" hidden="false" customHeight="false" outlineLevel="0" collapsed="false">
      <c r="A73" s="7"/>
      <c r="B73" s="161"/>
      <c r="C73" s="7"/>
      <c r="D73" s="161"/>
    </row>
    <row r="74" customFormat="false" ht="13.8" hidden="false" customHeight="false" outlineLevel="0" collapsed="false">
      <c r="A74" s="7"/>
      <c r="B74" s="159"/>
      <c r="C74" s="7"/>
      <c r="D74" s="159"/>
    </row>
    <row r="75" customFormat="false" ht="13.8" hidden="false" customHeight="false" outlineLevel="0" collapsed="false">
      <c r="A75" s="7"/>
      <c r="B75" s="159"/>
      <c r="C75" s="7"/>
      <c r="D75" s="159"/>
    </row>
    <row r="76" customFormat="false" ht="13.8" hidden="false" customHeight="false" outlineLevel="0" collapsed="false">
      <c r="A76" s="7"/>
      <c r="B76" s="159"/>
      <c r="C76" s="7"/>
      <c r="D76" s="159"/>
    </row>
    <row r="77" customFormat="false" ht="13.8" hidden="false" customHeight="false" outlineLevel="0" collapsed="false">
      <c r="A77" s="7"/>
      <c r="B77" s="162"/>
      <c r="C77" s="7"/>
      <c r="D77" s="162"/>
    </row>
    <row r="78" customFormat="false" ht="13.8" hidden="false" customHeight="false" outlineLevel="0" collapsed="false">
      <c r="A78" s="7"/>
      <c r="B78" s="161"/>
      <c r="C78" s="7"/>
      <c r="D78" s="161"/>
    </row>
    <row r="79" customFormat="false" ht="13.8" hidden="false" customHeight="false" outlineLevel="0" collapsed="false">
      <c r="A79" s="7"/>
      <c r="B79" s="159"/>
      <c r="C79" s="7"/>
      <c r="D79" s="159"/>
    </row>
    <row r="80" customFormat="false" ht="13.8" hidden="false" customHeight="false" outlineLevel="0" collapsed="false">
      <c r="A80" s="7"/>
      <c r="B80" s="159"/>
      <c r="C80" s="7"/>
      <c r="D80" s="159"/>
    </row>
    <row r="81" customFormat="false" ht="13.8" hidden="false" customHeight="false" outlineLevel="0" collapsed="false">
      <c r="A81" s="7"/>
      <c r="B81" s="159"/>
      <c r="C81" s="7"/>
      <c r="D81" s="159"/>
    </row>
    <row r="82" customFormat="false" ht="13.8" hidden="false" customHeight="false" outlineLevel="0" collapsed="false">
      <c r="A82" s="7"/>
      <c r="C82" s="7"/>
      <c r="D82" s="7"/>
    </row>
    <row r="83" customFormat="false" ht="13.8" hidden="false" customHeight="false" outlineLevel="0" collapsed="false">
      <c r="A83" s="7"/>
      <c r="B83" s="161"/>
      <c r="C83" s="7"/>
      <c r="D83" s="161"/>
    </row>
    <row r="84" customFormat="false" ht="13.8" hidden="false" customHeight="false" outlineLevel="0" collapsed="false">
      <c r="A84" s="7"/>
      <c r="B84" s="159"/>
      <c r="C84" s="7"/>
      <c r="D84" s="159"/>
    </row>
    <row r="85" customFormat="false" ht="13.8" hidden="false" customHeight="false" outlineLevel="0" collapsed="false">
      <c r="A85" s="7"/>
      <c r="B85" s="159"/>
      <c r="C85" s="7"/>
      <c r="D85" s="159"/>
    </row>
    <row r="86" customFormat="false" ht="13.8" hidden="false" customHeight="false" outlineLevel="0" collapsed="false">
      <c r="A86" s="7"/>
      <c r="B86" s="159"/>
      <c r="C86" s="7"/>
      <c r="D86" s="159"/>
    </row>
    <row r="87" customFormat="false" ht="13.8" hidden="false" customHeight="false" outlineLevel="0" collapsed="false">
      <c r="A87" s="7"/>
      <c r="C87" s="7"/>
      <c r="D87" s="152"/>
    </row>
    <row r="88" customFormat="false" ht="13.8" hidden="false" customHeight="false" outlineLevel="0" collapsed="false">
      <c r="A88" s="7"/>
      <c r="C88" s="7"/>
      <c r="D88" s="152"/>
    </row>
    <row r="89" customFormat="false" ht="13.8" hidden="false" customHeight="false" outlineLevel="0" collapsed="false">
      <c r="A89" s="7"/>
      <c r="C89" s="7"/>
      <c r="D89" s="152"/>
    </row>
    <row r="90" customFormat="false" ht="17.35" hidden="false" customHeight="false" outlineLevel="0" collapsed="false">
      <c r="C90" s="163"/>
      <c r="D90" s="163"/>
    </row>
    <row r="91" customFormat="false" ht="13.8" hidden="false" customHeight="false" outlineLevel="0" collapsed="false">
      <c r="C91" s="164"/>
      <c r="D91" s="7"/>
    </row>
    <row r="92" customFormat="false" ht="13.8" hidden="false" customHeight="false" outlineLevel="0" collapsed="false">
      <c r="C92" s="165"/>
      <c r="D92" s="7"/>
    </row>
    <row r="93" customFormat="false" ht="13.8" hidden="false" customHeight="false" outlineLevel="0" collapsed="false">
      <c r="C93" s="164"/>
      <c r="D93" s="7"/>
    </row>
    <row r="94" customFormat="false" ht="13.8" hidden="false" customHeight="false" outlineLevel="0" collapsed="false">
      <c r="C94" s="165"/>
      <c r="D94" s="7"/>
    </row>
    <row r="95" customFormat="false" ht="13.8" hidden="false" customHeight="false" outlineLevel="0" collapsed="false">
      <c r="C95" s="164"/>
      <c r="D95" s="7"/>
    </row>
    <row r="96" customFormat="false" ht="17.35" hidden="false" customHeight="false" outlineLevel="0" collapsed="false">
      <c r="C96" s="7"/>
      <c r="D96" s="163"/>
    </row>
    <row r="97" customFormat="false" ht="13.8" hidden="false" customHeight="false" outlineLevel="0" collapsed="false">
      <c r="C97" s="7"/>
      <c r="D97" s="7"/>
    </row>
    <row r="98" customFormat="false" ht="13.8" hidden="false" customHeight="false" outlineLevel="0" collapsed="false">
      <c r="C98" s="7"/>
      <c r="D98" s="7"/>
    </row>
    <row r="99" customFormat="false" ht="13.8" hidden="false" customHeight="false" outlineLevel="0" collapsed="false">
      <c r="C99" s="7"/>
      <c r="D99" s="7"/>
    </row>
    <row r="100" customFormat="false" ht="13.8" hidden="false" customHeight="false" outlineLevel="0" collapsed="false">
      <c r="D100" s="7"/>
    </row>
    <row r="101" customFormat="false" ht="13.8" hidden="false" customHeight="false" outlineLevel="0" collapsed="false">
      <c r="D101" s="7"/>
    </row>
    <row r="102" customFormat="false" ht="17.35" hidden="false" customHeight="false" outlineLevel="0" collapsed="false">
      <c r="D102" s="163"/>
    </row>
    <row r="103" customFormat="false" ht="13.8" hidden="false" customHeight="false" outlineLevel="0" collapsed="false">
      <c r="D103" s="7"/>
    </row>
    <row r="104" customFormat="false" ht="13.8" hidden="false" customHeight="false" outlineLevel="0" collapsed="false">
      <c r="D104" s="7"/>
    </row>
    <row r="105" customFormat="false" ht="13.8" hidden="false" customHeight="false" outlineLevel="0" collapsed="false">
      <c r="D105" s="7"/>
    </row>
    <row r="106" customFormat="false" ht="13.8" hidden="false" customHeight="false" outlineLevel="0" collapsed="false">
      <c r="D106" s="7"/>
    </row>
    <row r="107" customFormat="false" ht="13.8" hidden="false" customHeight="false" outlineLevel="0" collapsed="false">
      <c r="D107" s="7"/>
    </row>
    <row r="108" customFormat="false" ht="17.35" hidden="false" customHeight="false" outlineLevel="0" collapsed="false">
      <c r="D108" s="163"/>
    </row>
    <row r="109" customFormat="false" ht="13.8" hidden="false" customHeight="false" outlineLevel="0" collapsed="false">
      <c r="D109" s="7"/>
    </row>
    <row r="110" customFormat="false" ht="13.8" hidden="false" customHeight="false" outlineLevel="0" collapsed="false">
      <c r="D110" s="7"/>
    </row>
    <row r="111" customFormat="false" ht="13.8" hidden="false" customHeight="false" outlineLevel="0" collapsed="false">
      <c r="D111" s="7"/>
    </row>
    <row r="112" customFormat="false" ht="13.8" hidden="false" customHeight="false" outlineLevel="0" collapsed="false">
      <c r="D112" s="7"/>
    </row>
    <row r="113" customFormat="false" ht="13.8" hidden="false" customHeight="false" outlineLevel="0" collapsed="false">
      <c r="D113" s="7"/>
    </row>
    <row r="114" customFormat="false" ht="13.8" hidden="false" customHeight="false" outlineLevel="0" collapsed="false">
      <c r="D114" s="7"/>
    </row>
    <row r="115" customFormat="false" ht="17.35" hidden="false" customHeight="false" outlineLevel="0" collapsed="false">
      <c r="D115" s="166"/>
      <c r="E115" s="166"/>
      <c r="F115" s="166"/>
      <c r="G115" s="166"/>
      <c r="H115" s="166"/>
      <c r="I115" s="166"/>
      <c r="J115" s="166"/>
    </row>
    <row r="116" customFormat="false" ht="17.35" hidden="false" customHeight="false" outlineLevel="0" collapsed="false">
      <c r="D116" s="167"/>
      <c r="E116" s="167"/>
      <c r="F116" s="167"/>
      <c r="G116" s="167"/>
      <c r="H116" s="167"/>
      <c r="I116" s="167"/>
      <c r="J116" s="167"/>
    </row>
    <row r="117" customFormat="false" ht="17.35" hidden="false" customHeight="false" outlineLevel="0" collapsed="false">
      <c r="D117" s="163"/>
    </row>
    <row r="118" customFormat="false" ht="13.8" hidden="false" customHeight="false" outlineLevel="0" collapsed="false">
      <c r="D118" s="7"/>
    </row>
    <row r="119" customFormat="false" ht="13.8" hidden="false" customHeight="false" outlineLevel="0" collapsed="false">
      <c r="D119" s="7"/>
    </row>
    <row r="120" customFormat="false" ht="13.8" hidden="false" customHeight="false" outlineLevel="0" collapsed="false">
      <c r="D120" s="7"/>
    </row>
    <row r="121" customFormat="false" ht="13.8" hidden="false" customHeight="false" outlineLevel="0" collapsed="false">
      <c r="D121" s="7"/>
    </row>
    <row r="122" customFormat="false" ht="13.8" hidden="false" customHeight="false" outlineLevel="0" collapsed="false">
      <c r="D122" s="7"/>
    </row>
    <row r="1048576" customFormat="false" ht="12.8" hidden="false" customHeight="false" outlineLevel="0" collapsed="false"/>
  </sheetData>
  <mergeCells count="2">
    <mergeCell ref="D115:J115"/>
    <mergeCell ref="D116:J1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2022-03-24T18:29:19Z</dcterms:created>
  <dc:creator>Nathalie</dc:creator>
  <dc:description/>
  <dc:language>fr-FR</dc:language>
  <cp:lastModifiedBy/>
  <cp:lastPrinted>2022-03-24T19:24:57Z</cp:lastPrinted>
  <dcterms:modified xsi:type="dcterms:W3CDTF">2026-07-13T15:36:13Z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