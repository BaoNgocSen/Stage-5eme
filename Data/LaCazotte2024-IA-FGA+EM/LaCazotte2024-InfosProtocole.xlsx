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harts/_rels/chart8.xml.rels" ContentType="application/vnd.openxmlformats-package.relationships+xml"/>
  <Override PartName="/xl/charts/_rels/chart7.xml.rels" ContentType="application/vnd.openxmlformats-package.relationships+xml"/>
  <Override PartName="/xl/charts/_rels/chart4.xml.rels" ContentType="application/vnd.openxmlformats-package.relationships+xml"/>
  <Override PartName="/xl/charts/_rels/chart2.xml.rels" ContentType="application/vnd.openxmlformats-package.relationships+xml"/>
  <Override PartName="/xl/charts/_rels/chart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9.xml" ContentType="application/vnd.openxmlformats-officedocument.drawingml.chartshapes+xml"/>
  <Override PartName="/xl/drawings/drawing8.xml" ContentType="application/vnd.openxmlformats-officedocument.drawing+xml"/>
  <Override PartName="/xl/drawings/drawing7.xml" ContentType="application/vnd.openxmlformats-officedocument.drawingml.chartshapes+xml"/>
  <Override PartName="/xl/drawings/drawing1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ml.chartshapes+xml"/>
  <Override PartName="/xl/drawings/vmlDrawing4.vml" ContentType="application/vnd.openxmlformats-officedocument.vmlDrawing"/>
  <Override PartName="/xl/drawings/drawing5.xml" ContentType="application/vnd.openxmlformats-officedocument.drawingml.chartshape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6.xml.rels" ContentType="application/vnd.openxmlformats-package.relationships+xml"/>
  <Override PartName="/xl/drawings/_rels/drawing1.xml.rels" ContentType="application/vnd.openxmlformats-package.relationships+xml"/>
  <Override PartName="/xl/drawings/_rels/drawing8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5.vml" ContentType="application/vnd.openxmlformats-officedocument.vmlDrawing"/>
  <Override PartName="/xl/drawings/drawing6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ml.chartshapes+xml"/>
  <Override PartName="/xl/media/image1.png" ContentType="image/png"/>
  <Override PartName="/xl/media/image2.png" ContentType="image/png"/>
  <Override PartName="/xl/media/image3.png" ContentType="image/p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Infos Protocole" sheetId="1" state="visible" r:id="rId3"/>
    <sheet name="Planning" sheetId="2" state="visible" r:id="rId4"/>
    <sheet name="Harnais Béliers" sheetId="3" state="visible" r:id="rId5"/>
    <sheet name="Correspondance Tags" sheetId="4" state="visible" r:id="rId6"/>
    <sheet name="Data Béliers" sheetId="5" state="visible" r:id="rId7"/>
    <sheet name="Data lots" sheetId="6" state="visible" r:id="rId8"/>
    <sheet name="Data détecteurs All" sheetId="7" state="visible" r:id="rId9"/>
    <sheet name="AllData" sheetId="8" state="visible" r:id="rId10"/>
    <sheet name="IA" sheetId="9" state="visible" r:id="rId11"/>
  </sheets>
  <externalReferences>
    <externalReference r:id="rId12"/>
    <externalReference r:id="rId13"/>
    <externalReference r:id="rId14"/>
  </externalReferences>
  <definedNames>
    <definedName function="false" hidden="true" localSheetId="7" name="_xlnm._FilterDatabase" vbProcedure="false">AllData!$A$9:$DI$132</definedName>
    <definedName function="false" hidden="true" name="_xlchart.v1.0" vbProcedure="false">#REF!</definedName>
    <definedName function="false" hidden="true" name="_xlchart.v1.1" vbProcedure="false">#REF!</definedName>
    <definedName function="false" hidden="true" name="_xlchart.v1.10" vbProcedure="false">#REF!</definedName>
    <definedName function="false" hidden="true" name="_xlchart.v1.11" vbProcedure="false">#REF!</definedName>
    <definedName function="false" hidden="true" name="_xlchart.v1.12" vbProcedure="false">#REF!</definedName>
    <definedName function="false" hidden="true" name="_xlchart.v1.13" vbProcedure="false">#REF!</definedName>
    <definedName function="false" hidden="true" name="_xlchart.v1.14" vbProcedure="false">#REF!</definedName>
    <definedName function="false" hidden="true" name="_xlchart.v1.15" vbProcedure="false">#REF!</definedName>
    <definedName function="false" hidden="true" name="_xlchart.v1.16" vbProcedure="false">#REF!</definedName>
    <definedName function="false" hidden="true" name="_xlchart.v1.17" vbProcedure="false">#REF!</definedName>
    <definedName function="false" hidden="true" name="_xlchart.v1.18" vbProcedure="false">#REF!</definedName>
    <definedName function="false" hidden="true" name="_xlchart.v1.19" vbProcedure="false">#REF!</definedName>
    <definedName function="false" hidden="true" name="_xlchart.v1.2" vbProcedure="false">#REF!</definedName>
    <definedName function="false" hidden="true" name="_xlchart.v1.20" vbProcedure="false">#REF!</definedName>
    <definedName function="false" hidden="true" name="_xlchart.v1.21" vbProcedure="false">#REF!</definedName>
    <definedName function="false" hidden="true" name="_xlchart.v1.22" vbProcedure="false">#REF!</definedName>
    <definedName function="false" hidden="true" name="_xlchart.v1.23" vbProcedure="false">#REF!</definedName>
    <definedName function="false" hidden="true" name="_xlchart.v1.24" vbProcedure="false">#REF!</definedName>
    <definedName function="false" hidden="true" name="_xlchart.v1.25" vbProcedure="false">#REF!</definedName>
    <definedName function="false" hidden="true" name="_xlchart.v1.26" vbProcedure="false">#REF!</definedName>
    <definedName function="false" hidden="true" name="_xlchart.v1.27" vbProcedure="false">#REF!</definedName>
    <definedName function="false" hidden="true" name="_xlchart.v1.28" vbProcedure="false">#REF!</definedName>
    <definedName function="false" hidden="true" name="_xlchart.v1.29" vbProcedure="false">#REF!</definedName>
    <definedName function="false" hidden="true" name="_xlchart.v1.3" vbProcedure="false">#REF!</definedName>
    <definedName function="false" hidden="true" name="_xlchart.v1.4" vbProcedure="false">#REF!</definedName>
    <definedName function="false" hidden="true" name="_xlchart.v1.5" vbProcedure="false">#REF!</definedName>
    <definedName function="false" hidden="true" name="_xlchart.v1.6" vbProcedure="false">#REF!</definedName>
    <definedName function="false" hidden="true" name="_xlchart.v1.7" vbProcedure="false">#REF!</definedName>
    <definedName function="false" hidden="true" name="_xlchart.v1.8" vbProcedure="false">#REF!</definedName>
    <definedName function="false" hidden="true" name="_xlchart.v1.9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Déplaçables de quelques jours en fonction des contraintes de travail de La Cazotte.</t>
        </r>
      </text>
    </comment>
    <comment ref="F47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Déplaçables de quelques jours en fonction des contraintes de travail de La Cazotte. A faire avant le retrait des éponges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97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129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129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1300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130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1302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1303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M1297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M129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M129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M1300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M130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M1302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M1303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61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1620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162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1622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1623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1624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162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962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964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1417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141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141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164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  <comment ref="D1642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Erreur de numéro de harnais dans le suivi: 2 béliers possibles 21296 et 11197. Au vue de la dynalmique de chevauchement je pense que c'est le 11197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Eponge présente à l'IA</t>
        </r>
      </text>
    </comment>
    <comment ref="B4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Remplace la brebis 31536 le 27/05/27</t>
        </r>
      </text>
    </comment>
    <comment ref="B70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Remplace la brebis 91600 le 27/05/27</t>
        </r>
      </text>
    </comment>
    <comment ref="B12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Eponge présente à l'IA</t>
        </r>
      </text>
    </comment>
    <comment ref="B13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Remplacée par la brebis 31334 le 27/05/27</t>
        </r>
      </text>
    </comment>
    <comment ref="B132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Remplacée par la brebis 91178 le 27/05/27</t>
        </r>
      </text>
    </comment>
    <comment ref="AB4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Eponge présente à l'IA</t>
        </r>
      </text>
    </comment>
    <comment ref="AB4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Remplace la brebis 31536 le 27/05/27</t>
        </r>
      </text>
    </comment>
    <comment ref="AB70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Remplace la brebis 91600 le 27/05/27</t>
        </r>
      </text>
    </comment>
    <comment ref="AB12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Eponge présente à l'IA</t>
        </r>
      </text>
    </comment>
    <comment ref="AB13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Remplacée par la brebis 31334 le 27/05/27</t>
        </r>
      </text>
    </comment>
    <comment ref="AB132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Remplacée par la brebis 91178 le 27/05/27</t>
        </r>
      </text>
    </comment>
    <comment ref="AU10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16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17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1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20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2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24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26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27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2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3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32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3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53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57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5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60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62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66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6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6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7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73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74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7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76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77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8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8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86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8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94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104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10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106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10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116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11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U120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DA4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Eponge présente à l'IA</t>
        </r>
      </text>
    </comment>
    <comment ref="DA4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Remplace la brebis 31536 le 27/05/27</t>
        </r>
      </text>
    </comment>
    <comment ref="DA70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Remplace la brebis 91600 le 27/05/27</t>
        </r>
      </text>
    </comment>
    <comment ref="DA12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Eponge présente à l'IA</t>
        </r>
      </text>
    </comment>
    <comment ref="DA13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Remplacée par la brebis 31334 le 27/05/27</t>
        </r>
      </text>
    </comment>
    <comment ref="DA132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Remplacée par la brebis 91178 le 27/05/27</t>
        </r>
      </text>
    </comment>
  </commentList>
</comments>
</file>

<file path=xl/sharedStrings.xml><?xml version="1.0" encoding="utf-8"?>
<sst xmlns="http://schemas.openxmlformats.org/spreadsheetml/2006/main" count="37710" uniqueCount="939">
  <si>
    <t xml:space="preserve">Manip 24-02: Effet mâle et prétraitement à la progestérone - La Cazotte 2024</t>
  </si>
  <si>
    <t xml:space="preserve">Pesée, NEC</t>
  </si>
  <si>
    <t xml:space="preserve">Prélèvement lait 1</t>
  </si>
  <si>
    <t xml:space="preserve">P4-PL1</t>
  </si>
  <si>
    <t xml:space="preserve">Prélèvement lait 2</t>
  </si>
  <si>
    <t xml:space="preserve">P4-PL2</t>
  </si>
  <si>
    <t xml:space="preserve">Prélèvement lait 3</t>
  </si>
  <si>
    <t xml:space="preserve">P4-PL3</t>
  </si>
  <si>
    <t xml:space="preserve">LH-PL1 et LH-PL2</t>
  </si>
  <si>
    <t xml:space="preserve">Prélèvement lait 4</t>
  </si>
  <si>
    <t xml:space="preserve">P4-PL4</t>
  </si>
  <si>
    <t xml:space="preserve">LH-PL3 et LH-PL4</t>
  </si>
  <si>
    <t xml:space="preserve">Prélèvement lait 5</t>
  </si>
  <si>
    <t xml:space="preserve">P4-PL5</t>
  </si>
  <si>
    <t xml:space="preserve">LH-PL5 et LH-PL6</t>
  </si>
  <si>
    <t xml:space="preserve">Prélèvement lait 6</t>
  </si>
  <si>
    <t xml:space="preserve">P4-PL6</t>
  </si>
  <si>
    <t xml:space="preserve">LH-PL7 et LH-PL8</t>
  </si>
  <si>
    <t xml:space="preserve">Prélèvement lait 7</t>
  </si>
  <si>
    <t xml:space="preserve">P4-PL7</t>
  </si>
  <si>
    <t xml:space="preserve">LH-PL9 et LH-PL10</t>
  </si>
  <si>
    <t xml:space="preserve">Prélèvement lait 8</t>
  </si>
  <si>
    <t xml:space="preserve">P4-PL8</t>
  </si>
  <si>
    <t xml:space="preserve">LH-PL11 et LH-PL12</t>
  </si>
  <si>
    <t xml:space="preserve">Prélèvement lait 9</t>
  </si>
  <si>
    <t xml:space="preserve">P4-PL9</t>
  </si>
  <si>
    <t xml:space="preserve">Prélèvement lait 10</t>
  </si>
  <si>
    <t xml:space="preserve">P4-PL10</t>
  </si>
  <si>
    <t xml:space="preserve">Prélèvement lait 11</t>
  </si>
  <si>
    <t xml:space="preserve">P4-PL11</t>
  </si>
  <si>
    <t xml:space="preserve">Pose éponges</t>
  </si>
  <si>
    <t xml:space="preserve">Retrait éponges</t>
  </si>
  <si>
    <t xml:space="preserve">à 7h30</t>
  </si>
  <si>
    <t xml:space="preserve">Intro béliers vasecto</t>
  </si>
  <si>
    <t xml:space="preserve">à 8h57</t>
  </si>
  <si>
    <t xml:space="preserve">IA</t>
  </si>
  <si>
    <t xml:space="preserve">à 15h00</t>
  </si>
  <si>
    <t xml:space="preserve">Fin effet mâle</t>
  </si>
  <si>
    <t xml:space="preserve">à 9h30</t>
  </si>
  <si>
    <t xml:space="preserve">Intro Bélier lutte</t>
  </si>
  <si>
    <t xml:space="preserve">Fin lutte</t>
  </si>
  <si>
    <t xml:space="preserve">Echographie</t>
  </si>
  <si>
    <t xml:space="preserve">Montés le:</t>
  </si>
  <si>
    <t xml:space="preserve">cf onglet Harnais béliers</t>
  </si>
  <si>
    <t xml:space="preserve">N°Belier</t>
  </si>
  <si>
    <t xml:space="preserve">Type</t>
  </si>
  <si>
    <t xml:space="preserve">lettre</t>
  </si>
  <si>
    <t xml:space="preserve">Date</t>
  </si>
  <si>
    <t xml:space="preserve">harnais</t>
  </si>
  <si>
    <t xml:space="preserve">02644</t>
  </si>
  <si>
    <t xml:space="preserve">Entiers</t>
  </si>
  <si>
    <t xml:space="preserve">A</t>
  </si>
  <si>
    <t xml:space="preserve">0514</t>
  </si>
  <si>
    <t xml:space="preserve">B</t>
  </si>
  <si>
    <t xml:space="preserve">0125</t>
  </si>
  <si>
    <t xml:space="preserve">C</t>
  </si>
  <si>
    <t xml:space="preserve">7004</t>
  </si>
  <si>
    <t xml:space="preserve">D</t>
  </si>
  <si>
    <t xml:space="preserve">3405</t>
  </si>
  <si>
    <t xml:space="preserve">02568</t>
  </si>
  <si>
    <t xml:space="preserve">9555</t>
  </si>
  <si>
    <t xml:space="preserve">7241</t>
  </si>
  <si>
    <r>
      <rPr>
        <sz val="11"/>
        <color theme="1"/>
        <rFont val="Calibri"/>
        <family val="2"/>
        <charset val="1"/>
      </rPr>
      <t xml:space="preserve">Retrait éponges le 21/05/24 à</t>
    </r>
    <r>
      <rPr>
        <sz val="11"/>
        <rFont val="Calibri"/>
        <family val="2"/>
        <charset val="1"/>
      </rPr>
      <t xml:space="preserve"> 7h30</t>
    </r>
  </si>
  <si>
    <t xml:space="preserve">Intro des béliers vasecto le 21/05/24 à 8h57</t>
  </si>
  <si>
    <t xml:space="preserve">Si IA à 53h début chaleurs entre entre 1h30 le 22/05/24 et 12h30 le 23/05/24</t>
  </si>
  <si>
    <t xml:space="preserve">Si IA à 55h début chaleurs entre 3h30 le 22/05/24 et 14h30 le 23/05/24</t>
  </si>
  <si>
    <t xml:space="preserve">Si IA à 60h début chaleurs entre  8h30 le 22/05/24 et 19h30 le 23/05/24</t>
  </si>
  <si>
    <t xml:space="preserve">Age (en années); Lact_tot =Production laitière totale(L) ; MB_EM= Intervalle mise bas/effet mâle(jours); Ctl3= Contrôle laitier3 (en ml) </t>
  </si>
  <si>
    <t xml:space="preserve">Planning manips printemps 2024</t>
  </si>
  <si>
    <t xml:space="preserve">Manip NDe24-02</t>
  </si>
  <si>
    <t xml:space="preserve">100 brebis</t>
  </si>
  <si>
    <t xml:space="preserve">FGA et Effet mâle</t>
  </si>
  <si>
    <t xml:space="preserve">Cazotte validé</t>
  </si>
  <si>
    <t xml:space="preserve">Autres interventions</t>
  </si>
  <si>
    <t xml:space="preserve">Prélèvements lait</t>
  </si>
  <si>
    <t xml:space="preserve">P4 matin</t>
  </si>
  <si>
    <t xml:space="preserve">LH matin et soir</t>
  </si>
  <si>
    <t xml:space="preserve">Vacances Pâques Montpellier/Toulouse</t>
  </si>
  <si>
    <t xml:space="preserve">S</t>
  </si>
  <si>
    <t xml:space="preserve">L</t>
  </si>
  <si>
    <t xml:space="preserve">M</t>
  </si>
  <si>
    <t xml:space="preserve">J</t>
  </si>
  <si>
    <t xml:space="preserve">V</t>
  </si>
  <si>
    <t xml:space="preserve">Tunisie</t>
  </si>
  <si>
    <t xml:space="preserve">Tri brebis, Pesée, NEC</t>
  </si>
  <si>
    <t xml:space="preserve">Pose tags</t>
  </si>
  <si>
    <t xml:space="preserve">Retrait éponge+intro 2 vasectos/lot avec détecteur</t>
  </si>
  <si>
    <t xml:space="preserve">Suivi chaleurs</t>
  </si>
  <si>
    <r>
      <rPr>
        <b val="true"/>
        <sz val="11"/>
        <color rgb="FF000000"/>
        <rFont val="Calibri"/>
        <family val="2"/>
        <charset val="1"/>
      </rPr>
      <t xml:space="preserve">Suivi chaleurs + </t>
    </r>
    <r>
      <rPr>
        <b val="true"/>
        <sz val="11"/>
        <color rgb="FFFF0000"/>
        <rFont val="Calibri"/>
        <family val="2"/>
        <charset val="1"/>
      </rPr>
      <t xml:space="preserve">IA à 55h </t>
    </r>
    <r>
      <rPr>
        <b val="true"/>
        <sz val="11"/>
        <rFont val="Calibri"/>
        <family val="2"/>
        <charset val="1"/>
      </rPr>
      <t xml:space="preserve">+ NEC</t>
    </r>
  </si>
  <si>
    <t xml:space="preserve"> début "Retour" 2 Béliers entiers/lot avec détecteur</t>
  </si>
  <si>
    <t xml:space="preserve">Echographies avec stade + NEC</t>
  </si>
  <si>
    <t xml:space="preserve">Enregistrement</t>
  </si>
  <si>
    <t xml:space="preserve">Réf : 24-02</t>
  </si>
  <si>
    <t xml:space="preserve">Version: 1</t>
  </si>
  <si>
    <t xml:space="preserve">UMR 868 Systèmes d’élevages méditerranéens et tropicaux 2 place Viala 34000 Montpellier</t>
  </si>
  <si>
    <r>
      <rPr>
        <sz val="10"/>
        <rFont val="Arial"/>
        <family val="2"/>
        <charset val="1"/>
      </rPr>
      <t xml:space="preserve">Manip 24-02: Respol: Éponge FGA et effet mâle - effet du sex-ratio
   -  </t>
    </r>
    <r>
      <rPr>
        <b val="true"/>
        <sz val="11"/>
        <rFont val="Arial"/>
        <family val="2"/>
        <charset val="1"/>
      </rPr>
      <t xml:space="preserve"> Rotation Béliers</t>
    </r>
  </si>
  <si>
    <t xml:space="preserve">date: 15/05/24</t>
  </si>
  <si>
    <t xml:space="preserve">page 1/1</t>
  </si>
  <si>
    <t xml:space="preserve">Changement des béliers au moment de la traite du matin</t>
  </si>
  <si>
    <t xml:space="preserve">IA à 55h</t>
  </si>
  <si>
    <t xml:space="preserve">Lot 1/20</t>
  </si>
  <si>
    <t xml:space="preserve">lot 1/40</t>
  </si>
  <si>
    <t xml:space="preserve">Numéros des béliers:</t>
  </si>
  <si>
    <t xml:space="preserve">Dos</t>
  </si>
  <si>
    <t xml:space="preserve">Oreille</t>
  </si>
  <si>
    <t xml:space="preserve">Changement :</t>
  </si>
  <si>
    <t xml:space="preserve">Retour</t>
  </si>
  <si>
    <t xml:space="preserve">Changement de harnais</t>
  </si>
  <si>
    <t xml:space="preserve">Respol 2024</t>
  </si>
  <si>
    <t xml:space="preserve">Harnais :</t>
  </si>
  <si>
    <t xml:space="preserve">test puce 101</t>
  </si>
  <si>
    <t xml:space="preserve">Bélier </t>
  </si>
  <si>
    <t xml:space="preserve">ChangementS :</t>
  </si>
  <si>
    <t xml:space="preserve">19 mai, 13h30</t>
  </si>
  <si>
    <t xml:space="preserve">ok </t>
  </si>
  <si>
    <t xml:space="preserve">pas de lecture de puce</t>
  </si>
  <si>
    <t xml:space="preserve">ok</t>
  </si>
  <si>
    <t xml:space="preserve">Date :</t>
  </si>
  <si>
    <t xml:space="preserve">Numéro harnais :</t>
  </si>
  <si>
    <t xml:space="preserve">N° bélier </t>
  </si>
  <si>
    <t xml:space="preserve">Lot : </t>
  </si>
  <si>
    <t xml:space="preserve">Remarques : </t>
  </si>
  <si>
    <t xml:space="preserve">B 11197</t>
  </si>
  <si>
    <t xml:space="preserve">1/20</t>
  </si>
  <si>
    <t xml:space="preserve">Mise en lot à 8h57, animaux agités jusqu’à 11h;  Remplacement 2 puces</t>
  </si>
  <si>
    <t xml:space="preserve">A 02644</t>
  </si>
  <si>
    <t xml:space="preserve">C 11171</t>
  </si>
  <si>
    <t xml:space="preserve">1/40</t>
  </si>
  <si>
    <t xml:space="preserve">D21261</t>
  </si>
  <si>
    <t xml:space="preserve">Harnais 35, aucune donnée test Puce OK à 15h21, Récupération données OK </t>
  </si>
  <si>
    <t xml:space="preserve">D 21261</t>
  </si>
  <si>
    <t xml:space="preserve">A 2644</t>
  </si>
  <si>
    <t xml:space="preserve">3442</t>
  </si>
  <si>
    <r>
      <rPr>
        <sz val="11"/>
        <color rgb="FFFF0000"/>
        <rFont val="Calibri"/>
        <family val="2"/>
        <charset val="1"/>
      </rPr>
      <t xml:space="preserve">Changement bélier A (2644) pour boiterie par le 02568</t>
    </r>
    <r>
      <rPr>
        <sz val="11"/>
        <color theme="1"/>
        <rFont val="Calibri"/>
        <family val="2"/>
        <charset val="1"/>
      </rPr>
      <t xml:space="preserve">.  Recupération donées : impossible 7241, les 3 autres OK</t>
    </r>
  </si>
  <si>
    <t xml:space="preserve">A 02568</t>
  </si>
  <si>
    <t xml:space="preserve">Récupération donnée 7241 OK,                     Remplacement harnais 36 sur bélier A par harnais 33 pour chargement.                                                                           À 17h30 Mise en charge harnais 35 (bélier B) à 17h30 remplacé par le 36.                                                              Récupération données du jour OK</t>
  </si>
  <si>
    <t xml:space="preserve">Changement harnais bélier C (31) pour chargement remplacé par 35 (9h)                                                               Changement harnais 32 pour chargement bélier D à 17H30 remplacé par 31                                                                 Récupération donées OK, pas de données pour le 25 sur harnais 32 batterie ? </t>
  </si>
  <si>
    <t xml:space="preserve">Récupération données 7241 impossible, 3 autres OK pas de données Normal au vu du cycle ?  </t>
  </si>
  <si>
    <t xml:space="preserve">mise en charge harnais 33 belier A remplacé par harnais 32 (9h30)                                                         Passage puce 101 à 16h28 harnais 35 beug meme heure meme date :  factory reset puis clear eprom puis passage puce test à 16h39 OK                              test puce 101 harnais 31 16H46 OK                                           test puce 101 harnais 32 16H59 OK                                           test puce 101 harnais 36  17H07 OK</t>
  </si>
  <si>
    <t xml:space="preserve">Mise en charge harnais 36 bélier B remplace par le 33.                                                                                           Beug harnais 32 mauvaise date et heure :                       Reset Factiry puis clear eprom.                                        passage puce 101 remontée donnée impossible "Bip" à chaque clique sur get all jump. mise en charge à voir ?                                                                                     remontée donnée bélier B harnais  33 ok pas de donnée bélier coincé au cornadis sur la journée                                                                             </t>
  </si>
  <si>
    <t xml:space="preserve">Beug données sur tous les harnais, retiré à 9h30 pour test :                                                                                        3442 : Reset factory, test 101 à 12H34 ok Fichier différent du 28 avec toute les données.                          0125 :  passage puce à 12H56 OK                                    7241 : passage puce à 13H00 OK                                     Remise en place 3 harnais                    </t>
  </si>
  <si>
    <t xml:space="preserve"> D 21261</t>
  </si>
  <si>
    <t xml:space="preserve">Changement 1 harnais à 9h30 belier A remplacé par 3.  Retrait de tout les harnais à 16H30                            Changement harnais :                                                         N° 6 sur belier A                                                                    N° 17 sur belier B </t>
  </si>
  <si>
    <t xml:space="preserve">A 02268</t>
  </si>
  <si>
    <t xml:space="preserve">0125 </t>
  </si>
  <si>
    <r>
      <rPr>
        <sz val="11"/>
        <color theme="1"/>
        <rFont val="Calibri"/>
        <family val="2"/>
        <charset val="1"/>
      </rPr>
      <t xml:space="preserve">4 harnais chargés remis en place.                                    </t>
    </r>
    <r>
      <rPr>
        <b val="true"/>
        <sz val="11"/>
        <color rgb="FFFF0000"/>
        <rFont val="Calibri"/>
        <family val="2"/>
        <charset val="1"/>
      </rPr>
      <t xml:space="preserve">                                                                                      </t>
    </r>
    <r>
      <rPr>
        <b val="true"/>
        <sz val="11"/>
        <rFont val="Calibri"/>
        <family val="2"/>
        <charset val="1"/>
      </rPr>
      <t xml:space="preserve">Remontés des données OK !</t>
    </r>
  </si>
  <si>
    <t xml:space="preserve">2777</t>
  </si>
  <si>
    <t xml:space="preserve">8968</t>
  </si>
  <si>
    <t xml:space="preserve">Remontés données OK </t>
  </si>
  <si>
    <t xml:space="preserve">Relontés données ok changement harnais 6 par 17 à 13H30 pour recharge </t>
  </si>
  <si>
    <t xml:space="preserve"> </t>
  </si>
  <si>
    <r>
      <rPr>
        <sz val="11"/>
        <color rgb="FFFF0000"/>
        <rFont val="Calibri"/>
        <family val="2"/>
        <charset val="1"/>
      </rPr>
      <t xml:space="preserve">Changement bélier D (21261) par belier 21296, inflamation pénis. </t>
    </r>
    <r>
      <rPr>
        <sz val="11"/>
        <color theme="1"/>
        <rFont val="Calibri"/>
        <family val="2"/>
        <charset val="1"/>
      </rPr>
      <t xml:space="preserve">                                                              Changement harnais 28 par le 6 pour recharge                                                           Données OK</t>
    </r>
  </si>
  <si>
    <t xml:space="preserve">D 21296</t>
  </si>
  <si>
    <r>
      <rPr>
        <sz val="11"/>
        <color theme="1"/>
        <rFont val="Calibri"/>
        <family val="2"/>
        <charset val="1"/>
      </rPr>
      <t xml:space="preserve">Changement harnais 12 par le 28 pour chanrgement   Retrait harnais                                                                  </t>
    </r>
    <r>
      <rPr>
        <sz val="11"/>
        <color rgb="FFFF0000"/>
        <rFont val="Calibri"/>
        <family val="2"/>
        <charset val="1"/>
      </rPr>
      <t xml:space="preserve">Attention invertion rotation bélier par rapport au planning</t>
    </r>
    <r>
      <rPr>
        <sz val="11"/>
        <color theme="1"/>
        <rFont val="Calibri"/>
        <family val="2"/>
        <charset val="1"/>
      </rPr>
      <t xml:space="preserve">                                                                               Remontée données 2 sur 4 </t>
    </r>
  </si>
  <si>
    <t xml:space="preserve">remplacement harnais 31 par le 12 sur belier D        Remplacement harnais 6 par 31 sur B  retrait harnais 9233 pour charge à 10h</t>
  </si>
  <si>
    <t xml:space="preserve">9233</t>
  </si>
  <si>
    <t xml:space="preserve">Pas de remontée données mise en charge 4 nouveau harnais </t>
  </si>
  <si>
    <t xml:space="preserve">changement Tout les harnais à 15H30</t>
  </si>
  <si>
    <r>
      <rPr>
        <sz val="11"/>
        <color theme="1"/>
        <rFont val="Calibri"/>
        <family val="2"/>
        <charset val="1"/>
      </rPr>
      <t xml:space="preserve">Données OK pas de données dans le lot 1/20 </t>
    </r>
    <r>
      <rPr>
        <sz val="11"/>
        <color rgb="FFFF0000"/>
        <rFont val="Calibri"/>
        <family val="2"/>
        <charset val="1"/>
      </rPr>
      <t xml:space="preserve">pas de rotation de bélier (oubli)</t>
    </r>
  </si>
  <si>
    <t xml:space="preserve">RAS </t>
  </si>
  <si>
    <t xml:space="preserve">Changement 2 harnais pour recharge à 15h             Harnais 36 bélier C remplacé par 31                              Harnais 8 bélier D remplacé par 12</t>
  </si>
  <si>
    <t xml:space="preserve">5992</t>
  </si>
  <si>
    <t xml:space="preserve">RAS  pour harnais et béliers / brebis 9685 du lot 1/40 traitée pour des problèmes respiratoire</t>
  </si>
  <si>
    <t xml:space="preserve">récupération donées harnais 36 et 8 ( en charge OK)          Changement harnais 34 bélier B par 8                Changement harnais 32 bélier A  par le 36  à 11h22 recup données OK sauf harnais 31 </t>
  </si>
  <si>
    <t xml:space="preserve">Harnais 31 HS aucune récaction poire, cavalier après recharge, posible donnée dessus Test harnais 17 pour remplacement, test puce 101 à 8h11 mauvaise date, Reset factory reste à la mauvaise date. Test harnais 28 puce à 8h24 OK                                                                       Harnais 28 mis sur bélier C à 10H13                                  Données OK</t>
  </si>
  <si>
    <t xml:space="preserve">Données ok, Changement Harnais 34 sur B                Harnais 32 sur D</t>
  </si>
  <si>
    <t xml:space="preserve">Rotation bélier RAS</t>
  </si>
  <si>
    <t xml:space="preserve">34 ou 36: je n'ai pas de données sur le 34 mais j'en ai sur le 36 ?</t>
  </si>
  <si>
    <t xml:space="preserve">Au vue de la cinétique de chevauchement des béliers je pense que c'est le bélier B11197 qui a le harnais 36</t>
  </si>
  <si>
    <t xml:space="preserve">32 ou 36: je n'ai pas de données sur le 32 mais j'en ai sur le 36 ?</t>
  </si>
  <si>
    <t xml:space="preserve">Rotation Bélier RAS</t>
  </si>
  <si>
    <r>
      <rPr>
        <sz val="11"/>
        <color theme="1"/>
        <rFont val="Calibri"/>
        <family val="2"/>
        <charset val="1"/>
      </rPr>
      <t xml:space="preserve">Données OK sauf Harnais 5992 sur bélier A, mise en charge à 9h, récup données à 16h OK remis en place sur bélier A à 17h.                                                                      </t>
    </r>
    <r>
      <rPr>
        <sz val="11"/>
        <color rgb="FFFF0000"/>
        <rFont val="Calibri"/>
        <family val="2"/>
        <charset val="1"/>
      </rPr>
      <t xml:space="preserve">Changement bélier D 21296 (fievre 41,2°) par 11358 à 17h</t>
    </r>
    <r>
      <rPr>
        <sz val="11"/>
        <rFont val="Calibri"/>
        <family val="2"/>
        <charset val="1"/>
      </rPr>
      <t xml:space="preserve">  harnais 32 remplacé par 12 sur belier D pour recharge  </t>
    </r>
    <r>
      <rPr>
        <sz val="11"/>
        <color rgb="FFFF0000"/>
        <rFont val="Calibri"/>
        <family val="2"/>
        <charset val="1"/>
      </rPr>
      <t xml:space="preserve">                                           </t>
    </r>
    <r>
      <rPr>
        <sz val="11"/>
        <color theme="1"/>
        <rFont val="Calibri"/>
        <family val="2"/>
        <charset val="1"/>
      </rPr>
      <t xml:space="preserve">                                                         </t>
    </r>
  </si>
  <si>
    <t xml:space="preserve">34 remplacé par 32   28 remplace par 36                           Test harnais 12 puce 101 a 8h41 Ok                                   Test harnais 8 puce 101 à 8h47 Ne marche pas remplacé par 28 </t>
  </si>
  <si>
    <t xml:space="preserve">D 11358</t>
  </si>
  <si>
    <t xml:space="preserve">Données OK </t>
  </si>
  <si>
    <t xml:space="preserve">éponge présente à l'IA </t>
  </si>
  <si>
    <t xml:space="preserve">Brebis remplacé par :</t>
  </si>
  <si>
    <t xml:space="preserve">Lot</t>
  </si>
  <si>
    <t xml:space="preserve">N° travail</t>
  </si>
  <si>
    <t xml:space="preserve">Numéro officiel</t>
  </si>
  <si>
    <t xml:space="preserve">N° Off tronqué</t>
  </si>
  <si>
    <t xml:space="preserve">N. 6 chiffres</t>
  </si>
  <si>
    <t xml:space="preserve">Plaquette</t>
  </si>
  <si>
    <t xml:space="preserve">Numéro Puce </t>
  </si>
  <si>
    <t xml:space="preserve">Remplacement puce </t>
  </si>
  <si>
    <t xml:space="preserve">SR 1/20</t>
  </si>
  <si>
    <t xml:space="preserve">71451</t>
  </si>
  <si>
    <t xml:space="preserve">170014</t>
  </si>
  <si>
    <t xml:space="preserve">714   </t>
  </si>
  <si>
    <t xml:space="preserve">11141</t>
  </si>
  <si>
    <t xml:space="preserve">210141</t>
  </si>
  <si>
    <t xml:space="preserve">1141  </t>
  </si>
  <si>
    <t xml:space="preserve">SR 1/40</t>
  </si>
  <si>
    <t xml:space="preserve">91497</t>
  </si>
  <si>
    <t xml:space="preserve">190497</t>
  </si>
  <si>
    <t xml:space="preserve">9497  </t>
  </si>
  <si>
    <t xml:space="preserve">24/05 88158</t>
  </si>
  <si>
    <t xml:space="preserve">81157</t>
  </si>
  <si>
    <t xml:space="preserve">180157</t>
  </si>
  <si>
    <t xml:space="preserve">8157  </t>
  </si>
  <si>
    <t xml:space="preserve">71111</t>
  </si>
  <si>
    <t xml:space="preserve">170041</t>
  </si>
  <si>
    <t xml:space="preserve">741   </t>
  </si>
  <si>
    <t xml:space="preserve">02159</t>
  </si>
  <si>
    <t xml:space="preserve">200159</t>
  </si>
  <si>
    <t xml:space="preserve">0159  </t>
  </si>
  <si>
    <t xml:space="preserve">81165</t>
  </si>
  <si>
    <t xml:space="preserve">180165</t>
  </si>
  <si>
    <t xml:space="preserve">8165  </t>
  </si>
  <si>
    <t xml:space="preserve">91276</t>
  </si>
  <si>
    <t xml:space="preserve">190276</t>
  </si>
  <si>
    <t xml:space="preserve">9276  </t>
  </si>
  <si>
    <t xml:space="preserve">81239</t>
  </si>
  <si>
    <t xml:space="preserve">180239</t>
  </si>
  <si>
    <t xml:space="preserve">8239  </t>
  </si>
  <si>
    <t xml:space="preserve">31518</t>
  </si>
  <si>
    <t xml:space="preserve">230518</t>
  </si>
  <si>
    <t xml:space="preserve">3518  </t>
  </si>
  <si>
    <t xml:space="preserve">81521</t>
  </si>
  <si>
    <t xml:space="preserve">180521</t>
  </si>
  <si>
    <t xml:space="preserve">8521  </t>
  </si>
  <si>
    <t xml:space="preserve">91379</t>
  </si>
  <si>
    <t xml:space="preserve">190379</t>
  </si>
  <si>
    <t xml:space="preserve">9379  </t>
  </si>
  <si>
    <t xml:space="preserve">91251</t>
  </si>
  <si>
    <t xml:space="preserve">190251</t>
  </si>
  <si>
    <t xml:space="preserve">9251  </t>
  </si>
  <si>
    <t xml:space="preserve">81268</t>
  </si>
  <si>
    <t xml:space="preserve">180268</t>
  </si>
  <si>
    <t xml:space="preserve">8268  </t>
  </si>
  <si>
    <t xml:space="preserve">91567</t>
  </si>
  <si>
    <t xml:space="preserve">190567</t>
  </si>
  <si>
    <t xml:space="preserve">9567  </t>
  </si>
  <si>
    <t xml:space="preserve">91256</t>
  </si>
  <si>
    <t xml:space="preserve">190256</t>
  </si>
  <si>
    <t xml:space="preserve">9256  </t>
  </si>
  <si>
    <t xml:space="preserve">81300</t>
  </si>
  <si>
    <t xml:space="preserve">180300</t>
  </si>
  <si>
    <t xml:space="preserve">8300  </t>
  </si>
  <si>
    <t xml:space="preserve">21361</t>
  </si>
  <si>
    <t xml:space="preserve">220361</t>
  </si>
  <si>
    <t xml:space="preserve">2361  </t>
  </si>
  <si>
    <t xml:space="preserve">91323</t>
  </si>
  <si>
    <t xml:space="preserve">190323</t>
  </si>
  <si>
    <t xml:space="preserve">9323  </t>
  </si>
  <si>
    <t xml:space="preserve">81332</t>
  </si>
  <si>
    <t xml:space="preserve">180332</t>
  </si>
  <si>
    <t xml:space="preserve">8332  </t>
  </si>
  <si>
    <t xml:space="preserve">02463</t>
  </si>
  <si>
    <t xml:space="preserve">200463</t>
  </si>
  <si>
    <t xml:space="preserve">0463  </t>
  </si>
  <si>
    <t xml:space="preserve">91336</t>
  </si>
  <si>
    <t xml:space="preserve">190336</t>
  </si>
  <si>
    <t xml:space="preserve">9336  </t>
  </si>
  <si>
    <t xml:space="preserve">81420</t>
  </si>
  <si>
    <t xml:space="preserve">180420</t>
  </si>
  <si>
    <t xml:space="preserve">8420  </t>
  </si>
  <si>
    <t xml:space="preserve">91685</t>
  </si>
  <si>
    <t xml:space="preserve">190685</t>
  </si>
  <si>
    <t xml:space="preserve">9685  </t>
  </si>
  <si>
    <t xml:space="preserve">91428</t>
  </si>
  <si>
    <t xml:space="preserve">190428</t>
  </si>
  <si>
    <t xml:space="preserve">9428  </t>
  </si>
  <si>
    <t xml:space="preserve">81489</t>
  </si>
  <si>
    <t xml:space="preserve">180489</t>
  </si>
  <si>
    <t xml:space="preserve">8489  </t>
  </si>
  <si>
    <t xml:space="preserve">02125</t>
  </si>
  <si>
    <t xml:space="preserve">200125</t>
  </si>
  <si>
    <t xml:space="preserve">0125  </t>
  </si>
  <si>
    <t xml:space="preserve">91446</t>
  </si>
  <si>
    <t xml:space="preserve">190446</t>
  </si>
  <si>
    <t xml:space="preserve">9446  </t>
  </si>
  <si>
    <t xml:space="preserve">11627</t>
  </si>
  <si>
    <t xml:space="preserve">210627</t>
  </si>
  <si>
    <t xml:space="preserve">1627  </t>
  </si>
  <si>
    <t xml:space="preserve">24/05 88217</t>
  </si>
  <si>
    <t xml:space="preserve">91501</t>
  </si>
  <si>
    <t xml:space="preserve">190501</t>
  </si>
  <si>
    <t xml:space="preserve">9501  </t>
  </si>
  <si>
    <t xml:space="preserve">81594</t>
  </si>
  <si>
    <t xml:space="preserve">180594</t>
  </si>
  <si>
    <t xml:space="preserve">8594  </t>
  </si>
  <si>
    <t xml:space="preserve">31360</t>
  </si>
  <si>
    <t xml:space="preserve">230360</t>
  </si>
  <si>
    <t xml:space="preserve">3360  </t>
  </si>
  <si>
    <t xml:space="preserve">91553</t>
  </si>
  <si>
    <t xml:space="preserve">190553</t>
  </si>
  <si>
    <t xml:space="preserve">9553  </t>
  </si>
  <si>
    <t xml:space="preserve">81607</t>
  </si>
  <si>
    <t xml:space="preserve">180607</t>
  </si>
  <si>
    <t xml:space="preserve">8607  </t>
  </si>
  <si>
    <t xml:space="preserve">11232</t>
  </si>
  <si>
    <t xml:space="preserve">210232</t>
  </si>
  <si>
    <t xml:space="preserve">1232  </t>
  </si>
  <si>
    <t xml:space="preserve">91631</t>
  </si>
  <si>
    <t xml:space="preserve">190631</t>
  </si>
  <si>
    <t xml:space="preserve">9631  </t>
  </si>
  <si>
    <t xml:space="preserve">91214</t>
  </si>
  <si>
    <t xml:space="preserve">190214</t>
  </si>
  <si>
    <t xml:space="preserve">9214  </t>
  </si>
  <si>
    <t xml:space="preserve">02485</t>
  </si>
  <si>
    <t xml:space="preserve">200485</t>
  </si>
  <si>
    <t xml:space="preserve">0485  </t>
  </si>
  <si>
    <t xml:space="preserve">91253</t>
  </si>
  <si>
    <t xml:space="preserve">190253</t>
  </si>
  <si>
    <t xml:space="preserve">9253  </t>
  </si>
  <si>
    <t xml:space="preserve">31194</t>
  </si>
  <si>
    <t xml:space="preserve">230194</t>
  </si>
  <si>
    <t xml:space="preserve">3194  </t>
  </si>
  <si>
    <t xml:space="preserve">02169</t>
  </si>
  <si>
    <t xml:space="preserve">200169</t>
  </si>
  <si>
    <t xml:space="preserve">0169  </t>
  </si>
  <si>
    <t xml:space="preserve">02128</t>
  </si>
  <si>
    <t xml:space="preserve">200128</t>
  </si>
  <si>
    <t xml:space="preserve">0128  </t>
  </si>
  <si>
    <t xml:space="preserve">02221</t>
  </si>
  <si>
    <t xml:space="preserve">200221</t>
  </si>
  <si>
    <t xml:space="preserve">0221  </t>
  </si>
  <si>
    <t xml:space="preserve">31492</t>
  </si>
  <si>
    <t xml:space="preserve">230492</t>
  </si>
  <si>
    <t xml:space="preserve">3492  </t>
  </si>
  <si>
    <t xml:space="preserve">02484</t>
  </si>
  <si>
    <t xml:space="preserve">200484</t>
  </si>
  <si>
    <t xml:space="preserve">0484  </t>
  </si>
  <si>
    <t xml:space="preserve">91324</t>
  </si>
  <si>
    <t xml:space="preserve">190324</t>
  </si>
  <si>
    <t xml:space="preserve">9324  </t>
  </si>
  <si>
    <t xml:space="preserve">31114</t>
  </si>
  <si>
    <t xml:space="preserve">230114</t>
  </si>
  <si>
    <t xml:space="preserve">3114  </t>
  </si>
  <si>
    <t xml:space="preserve">02516</t>
  </si>
  <si>
    <t xml:space="preserve">200516</t>
  </si>
  <si>
    <t xml:space="preserve">0516  </t>
  </si>
  <si>
    <t xml:space="preserve">91333</t>
  </si>
  <si>
    <t xml:space="preserve">190333</t>
  </si>
  <si>
    <t xml:space="preserve">9333  </t>
  </si>
  <si>
    <t xml:space="preserve">11163</t>
  </si>
  <si>
    <t xml:space="preserve">210163</t>
  </si>
  <si>
    <t xml:space="preserve">1163  </t>
  </si>
  <si>
    <t xml:space="preserve">21536</t>
  </si>
  <si>
    <t xml:space="preserve">220536</t>
  </si>
  <si>
    <t xml:space="preserve">2536  </t>
  </si>
  <si>
    <t xml:space="preserve">91413</t>
  </si>
  <si>
    <t xml:space="preserve">190413</t>
  </si>
  <si>
    <t xml:space="preserve">9413  </t>
  </si>
  <si>
    <t xml:space="preserve">31584</t>
  </si>
  <si>
    <t xml:space="preserve">230584</t>
  </si>
  <si>
    <t xml:space="preserve">3584  </t>
  </si>
  <si>
    <t xml:space="preserve">11281</t>
  </si>
  <si>
    <t xml:space="preserve">210281</t>
  </si>
  <si>
    <t xml:space="preserve">1281  </t>
  </si>
  <si>
    <t xml:space="preserve">11282</t>
  </si>
  <si>
    <t xml:space="preserve">210282</t>
  </si>
  <si>
    <t xml:space="preserve">1282  </t>
  </si>
  <si>
    <t xml:space="preserve">11299</t>
  </si>
  <si>
    <t xml:space="preserve">210299</t>
  </si>
  <si>
    <t xml:space="preserve">1299  </t>
  </si>
  <si>
    <t xml:space="preserve">91662</t>
  </si>
  <si>
    <t xml:space="preserve">190662</t>
  </si>
  <si>
    <t xml:space="preserve">9662  </t>
  </si>
  <si>
    <t xml:space="preserve">11376</t>
  </si>
  <si>
    <t xml:space="preserve">210376</t>
  </si>
  <si>
    <t xml:space="preserve">1376  </t>
  </si>
  <si>
    <t xml:space="preserve">91478</t>
  </si>
  <si>
    <t xml:space="preserve">190478</t>
  </si>
  <si>
    <t xml:space="preserve">9478  </t>
  </si>
  <si>
    <t xml:space="preserve">91489</t>
  </si>
  <si>
    <t xml:space="preserve">190489</t>
  </si>
  <si>
    <t xml:space="preserve">9489  </t>
  </si>
  <si>
    <t xml:space="preserve">11401</t>
  </si>
  <si>
    <t xml:space="preserve">210401</t>
  </si>
  <si>
    <t xml:space="preserve">1401  </t>
  </si>
  <si>
    <t xml:space="preserve">91671</t>
  </si>
  <si>
    <t xml:space="preserve">190671</t>
  </si>
  <si>
    <t xml:space="preserve">9671  </t>
  </si>
  <si>
    <t xml:space="preserve">21406</t>
  </si>
  <si>
    <t xml:space="preserve">220406</t>
  </si>
  <si>
    <t xml:space="preserve">2406  </t>
  </si>
  <si>
    <t xml:space="preserve">91495</t>
  </si>
  <si>
    <t xml:space="preserve">190495</t>
  </si>
  <si>
    <t xml:space="preserve">9495  </t>
  </si>
  <si>
    <t xml:space="preserve">02154</t>
  </si>
  <si>
    <t xml:space="preserve">200154</t>
  </si>
  <si>
    <t xml:space="preserve">0154  </t>
  </si>
  <si>
    <t xml:space="preserve">11131</t>
  </si>
  <si>
    <t xml:space="preserve">210131</t>
  </si>
  <si>
    <t xml:space="preserve">1131  </t>
  </si>
  <si>
    <t xml:space="preserve">31280</t>
  </si>
  <si>
    <t xml:space="preserve">230280</t>
  </si>
  <si>
    <t xml:space="preserve">3280  </t>
  </si>
  <si>
    <t xml:space="preserve">31173</t>
  </si>
  <si>
    <t xml:space="preserve">230173</t>
  </si>
  <si>
    <t xml:space="preserve">3173  </t>
  </si>
  <si>
    <t xml:space="preserve">11697</t>
  </si>
  <si>
    <t xml:space="preserve">210697</t>
  </si>
  <si>
    <t xml:space="preserve">1697  </t>
  </si>
  <si>
    <t xml:space="preserve">31303</t>
  </si>
  <si>
    <t xml:space="preserve">230303</t>
  </si>
  <si>
    <t xml:space="preserve">3303  </t>
  </si>
  <si>
    <t xml:space="preserve">91743</t>
  </si>
  <si>
    <t xml:space="preserve">190743</t>
  </si>
  <si>
    <t xml:space="preserve">9743  </t>
  </si>
  <si>
    <t xml:space="preserve">31348</t>
  </si>
  <si>
    <t xml:space="preserve">230348</t>
  </si>
  <si>
    <t xml:space="preserve">3348  </t>
  </si>
  <si>
    <t xml:space="preserve">91605</t>
  </si>
  <si>
    <t xml:space="preserve">190605</t>
  </si>
  <si>
    <t xml:space="preserve">9605  </t>
  </si>
  <si>
    <t xml:space="preserve">11172</t>
  </si>
  <si>
    <t xml:space="preserve">210172</t>
  </si>
  <si>
    <t xml:space="preserve">1172  </t>
  </si>
  <si>
    <t xml:space="preserve">24/05 89438 </t>
  </si>
  <si>
    <t xml:space="preserve">31357</t>
  </si>
  <si>
    <t xml:space="preserve">230357</t>
  </si>
  <si>
    <t xml:space="preserve">3357  </t>
  </si>
  <si>
    <t xml:space="preserve">11420</t>
  </si>
  <si>
    <t xml:space="preserve">210420</t>
  </si>
  <si>
    <t xml:space="preserve">1420  </t>
  </si>
  <si>
    <t xml:space="preserve">31373</t>
  </si>
  <si>
    <t xml:space="preserve">230373</t>
  </si>
  <si>
    <t xml:space="preserve">3373  </t>
  </si>
  <si>
    <t xml:space="preserve">91702</t>
  </si>
  <si>
    <t xml:space="preserve">190702</t>
  </si>
  <si>
    <t xml:space="preserve">9702  </t>
  </si>
  <si>
    <t xml:space="preserve">31355</t>
  </si>
  <si>
    <t xml:space="preserve">230355</t>
  </si>
  <si>
    <t xml:space="preserve">3355  </t>
  </si>
  <si>
    <t xml:space="preserve">02206</t>
  </si>
  <si>
    <t xml:space="preserve">200206</t>
  </si>
  <si>
    <t xml:space="preserve">0206  </t>
  </si>
  <si>
    <t xml:space="preserve">21103</t>
  </si>
  <si>
    <t xml:space="preserve">220103</t>
  </si>
  <si>
    <t xml:space="preserve">2103  </t>
  </si>
  <si>
    <t xml:space="preserve">02162</t>
  </si>
  <si>
    <t xml:space="preserve">200162</t>
  </si>
  <si>
    <t xml:space="preserve">0162  </t>
  </si>
  <si>
    <t xml:space="preserve">02502</t>
  </si>
  <si>
    <t xml:space="preserve">200502</t>
  </si>
  <si>
    <t xml:space="preserve">0502  </t>
  </si>
  <si>
    <t xml:space="preserve">11207</t>
  </si>
  <si>
    <t xml:space="preserve">210207</t>
  </si>
  <si>
    <t xml:space="preserve">1207  </t>
  </si>
  <si>
    <t xml:space="preserve">31541</t>
  </si>
  <si>
    <t xml:space="preserve">230541</t>
  </si>
  <si>
    <t xml:space="preserve">3541  </t>
  </si>
  <si>
    <t xml:space="preserve">02242</t>
  </si>
  <si>
    <t xml:space="preserve">200242</t>
  </si>
  <si>
    <t xml:space="preserve">0242  </t>
  </si>
  <si>
    <t xml:space="preserve">02264</t>
  </si>
  <si>
    <t xml:space="preserve">200264</t>
  </si>
  <si>
    <t xml:space="preserve">0264  </t>
  </si>
  <si>
    <t xml:space="preserve">21/05 89059</t>
  </si>
  <si>
    <t xml:space="preserve">02313</t>
  </si>
  <si>
    <t xml:space="preserve">200313</t>
  </si>
  <si>
    <t xml:space="preserve">0313  </t>
  </si>
  <si>
    <t xml:space="preserve">21/05 89410</t>
  </si>
  <si>
    <t xml:space="preserve">31488</t>
  </si>
  <si>
    <t xml:space="preserve">230488</t>
  </si>
  <si>
    <t xml:space="preserve">3488  </t>
  </si>
  <si>
    <t xml:space="preserve">02371</t>
  </si>
  <si>
    <t xml:space="preserve">200371</t>
  </si>
  <si>
    <t xml:space="preserve">0371  </t>
  </si>
  <si>
    <t xml:space="preserve">31196</t>
  </si>
  <si>
    <t xml:space="preserve">230196</t>
  </si>
  <si>
    <t xml:space="preserve">3196  </t>
  </si>
  <si>
    <t xml:space="preserve">02413</t>
  </si>
  <si>
    <t xml:space="preserve">200413</t>
  </si>
  <si>
    <t xml:space="preserve">0413  </t>
  </si>
  <si>
    <t xml:space="preserve">11526</t>
  </si>
  <si>
    <t xml:space="preserve">210526</t>
  </si>
  <si>
    <t xml:space="preserve">1526  </t>
  </si>
  <si>
    <t xml:space="preserve">02490</t>
  </si>
  <si>
    <t xml:space="preserve">200490</t>
  </si>
  <si>
    <t xml:space="preserve">0490  </t>
  </si>
  <si>
    <t xml:space="preserve">21150</t>
  </si>
  <si>
    <t xml:space="preserve">220150</t>
  </si>
  <si>
    <t xml:space="preserve">2150  </t>
  </si>
  <si>
    <t xml:space="preserve">02531</t>
  </si>
  <si>
    <t xml:space="preserve">200531</t>
  </si>
  <si>
    <t xml:space="preserve">0531  </t>
  </si>
  <si>
    <t xml:space="preserve">31383</t>
  </si>
  <si>
    <t xml:space="preserve">230383</t>
  </si>
  <si>
    <t xml:space="preserve">3383  </t>
  </si>
  <si>
    <t xml:space="preserve">11227</t>
  </si>
  <si>
    <t xml:space="preserve">210227</t>
  </si>
  <si>
    <t xml:space="preserve">1227  </t>
  </si>
  <si>
    <t xml:space="preserve">11260</t>
  </si>
  <si>
    <t xml:space="preserve">210260</t>
  </si>
  <si>
    <t xml:space="preserve">1260  </t>
  </si>
  <si>
    <t xml:space="preserve">11633</t>
  </si>
  <si>
    <t xml:space="preserve">210633</t>
  </si>
  <si>
    <t xml:space="preserve">1633  </t>
  </si>
  <si>
    <t xml:space="preserve">11421</t>
  </si>
  <si>
    <t xml:space="preserve">210421</t>
  </si>
  <si>
    <t xml:space="preserve">1421  </t>
  </si>
  <si>
    <t xml:space="preserve">31299</t>
  </si>
  <si>
    <t xml:space="preserve">230299</t>
  </si>
  <si>
    <t xml:space="preserve">3299  </t>
  </si>
  <si>
    <t xml:space="preserve">11489</t>
  </si>
  <si>
    <t xml:space="preserve">210489</t>
  </si>
  <si>
    <t xml:space="preserve">1489  </t>
  </si>
  <si>
    <t xml:space="preserve">11439</t>
  </si>
  <si>
    <t xml:space="preserve">210439</t>
  </si>
  <si>
    <t xml:space="preserve">1439  </t>
  </si>
  <si>
    <t xml:space="preserve">21258</t>
  </si>
  <si>
    <t xml:space="preserve">220258</t>
  </si>
  <si>
    <t xml:space="preserve">2258  </t>
  </si>
  <si>
    <t xml:space="preserve">21136</t>
  </si>
  <si>
    <t xml:space="preserve">220136</t>
  </si>
  <si>
    <t xml:space="preserve">2136  </t>
  </si>
  <si>
    <t xml:space="preserve">11577</t>
  </si>
  <si>
    <t xml:space="preserve">210577</t>
  </si>
  <si>
    <t xml:space="preserve">1577  </t>
  </si>
  <si>
    <t xml:space="preserve">31428</t>
  </si>
  <si>
    <t xml:space="preserve">230428</t>
  </si>
  <si>
    <t xml:space="preserve">3428  </t>
  </si>
  <si>
    <t xml:space="preserve">11786</t>
  </si>
  <si>
    <t xml:space="preserve">210786</t>
  </si>
  <si>
    <t xml:space="preserve">1786  </t>
  </si>
  <si>
    <t xml:space="preserve">31446</t>
  </si>
  <si>
    <t xml:space="preserve">230446</t>
  </si>
  <si>
    <t xml:space="preserve">3446  </t>
  </si>
  <si>
    <t xml:space="preserve">31371</t>
  </si>
  <si>
    <t xml:space="preserve">230371</t>
  </si>
  <si>
    <t xml:space="preserve">3371  </t>
  </si>
  <si>
    <t xml:space="preserve">31362</t>
  </si>
  <si>
    <t xml:space="preserve">230362</t>
  </si>
  <si>
    <t xml:space="preserve">3362  </t>
  </si>
  <si>
    <t xml:space="preserve">21462</t>
  </si>
  <si>
    <t xml:space="preserve">220462</t>
  </si>
  <si>
    <t xml:space="preserve">2462  </t>
  </si>
  <si>
    <t xml:space="preserve">31190</t>
  </si>
  <si>
    <t xml:space="preserve">230190</t>
  </si>
  <si>
    <t xml:space="preserve">3190  </t>
  </si>
  <si>
    <t xml:space="preserve">31206</t>
  </si>
  <si>
    <t xml:space="preserve">230206</t>
  </si>
  <si>
    <t xml:space="preserve">3206  </t>
  </si>
  <si>
    <t xml:space="preserve">31277</t>
  </si>
  <si>
    <t xml:space="preserve">230277</t>
  </si>
  <si>
    <t xml:space="preserve">3277  </t>
  </si>
  <si>
    <t xml:space="preserve">31597</t>
  </si>
  <si>
    <t xml:space="preserve">230597</t>
  </si>
  <si>
    <t xml:space="preserve">3597  </t>
  </si>
  <si>
    <t xml:space="preserve">31606</t>
  </si>
  <si>
    <t xml:space="preserve">230606</t>
  </si>
  <si>
    <t xml:space="preserve">3606  </t>
  </si>
  <si>
    <t xml:space="preserve">31536</t>
  </si>
  <si>
    <t xml:space="preserve">230536</t>
  </si>
  <si>
    <t xml:space="preserve">3536  </t>
  </si>
  <si>
    <t xml:space="preserve">91600</t>
  </si>
  <si>
    <t xml:space="preserve">190600</t>
  </si>
  <si>
    <t xml:space="preserve">9600  </t>
  </si>
  <si>
    <t xml:space="preserve">N</t>
  </si>
  <si>
    <t xml:space="preserve"> ID</t>
  </si>
  <si>
    <t xml:space="preserve">Alpha</t>
  </si>
  <si>
    <t xml:space="preserve">Bélier</t>
  </si>
  <si>
    <t xml:space="preserve">Lettre bélier</t>
  </si>
  <si>
    <t xml:space="preserve"> TAG</t>
  </si>
  <si>
    <t xml:space="preserve">N° Tag tronqué</t>
  </si>
  <si>
    <t xml:space="preserve">N° Brebis</t>
  </si>
  <si>
    <t xml:space="preserve">N° W brebis</t>
  </si>
  <si>
    <t xml:space="preserve">Lot brebis</t>
  </si>
  <si>
    <t xml:space="preserve"> DATE (dd_mm_yyyy)</t>
  </si>
  <si>
    <t xml:space="preserve"> TIME</t>
  </si>
  <si>
    <t xml:space="preserve">Nb chev béliers cumulés</t>
  </si>
  <si>
    <t xml:space="preserve">ID-1317755739475487241</t>
  </si>
  <si>
    <t xml:space="preserve">Alpha 36</t>
  </si>
  <si>
    <t xml:space="preserve">200025888609</t>
  </si>
  <si>
    <t xml:space="preserve">88609</t>
  </si>
  <si>
    <t xml:space="preserve">200025889281</t>
  </si>
  <si>
    <t xml:space="preserve">89281</t>
  </si>
  <si>
    <t xml:space="preserve">200025888176</t>
  </si>
  <si>
    <t xml:space="preserve">88176</t>
  </si>
  <si>
    <t xml:space="preserve">200025889276</t>
  </si>
  <si>
    <t xml:space="preserve">89276</t>
  </si>
  <si>
    <t xml:space="preserve">200025888606</t>
  </si>
  <si>
    <t xml:space="preserve">88606</t>
  </si>
  <si>
    <t xml:space="preserve">200025888712</t>
  </si>
  <si>
    <t xml:space="preserve">88712</t>
  </si>
  <si>
    <t xml:space="preserve">200025889407</t>
  </si>
  <si>
    <t xml:space="preserve">89407</t>
  </si>
  <si>
    <t xml:space="preserve">200025889350</t>
  </si>
  <si>
    <t xml:space="preserve">89350</t>
  </si>
  <si>
    <t xml:space="preserve">200025888980</t>
  </si>
  <si>
    <t xml:space="preserve">88980</t>
  </si>
  <si>
    <t xml:space="preserve">200025888614</t>
  </si>
  <si>
    <t xml:space="preserve">88614</t>
  </si>
  <si>
    <t xml:space="preserve">200025888790</t>
  </si>
  <si>
    <t xml:space="preserve">88790</t>
  </si>
  <si>
    <t xml:space="preserve">200025888864</t>
  </si>
  <si>
    <t xml:space="preserve">88864</t>
  </si>
  <si>
    <t xml:space="preserve">200025888664</t>
  </si>
  <si>
    <t xml:space="preserve">88664</t>
  </si>
  <si>
    <t xml:space="preserve">200025889007</t>
  </si>
  <si>
    <t xml:space="preserve">89007</t>
  </si>
  <si>
    <t xml:space="preserve">200025889427</t>
  </si>
  <si>
    <t xml:space="preserve">89427</t>
  </si>
  <si>
    <t xml:space="preserve">200025888632</t>
  </si>
  <si>
    <t xml:space="preserve">88632</t>
  </si>
  <si>
    <t xml:space="preserve">200025889101</t>
  </si>
  <si>
    <t xml:space="preserve">89101</t>
  </si>
  <si>
    <t xml:space="preserve">200025888944</t>
  </si>
  <si>
    <t xml:space="preserve">88944</t>
  </si>
  <si>
    <t xml:space="preserve">200025888999</t>
  </si>
  <si>
    <t xml:space="preserve">88999</t>
  </si>
  <si>
    <t xml:space="preserve">200025888828</t>
  </si>
  <si>
    <t xml:space="preserve">88828</t>
  </si>
  <si>
    <t xml:space="preserve">200025889792</t>
  </si>
  <si>
    <t xml:space="preserve">89792</t>
  </si>
  <si>
    <t xml:space="preserve">200025889226</t>
  </si>
  <si>
    <t xml:space="preserve">89226</t>
  </si>
  <si>
    <t xml:space="preserve">200025889163</t>
  </si>
  <si>
    <t xml:space="preserve">89163</t>
  </si>
  <si>
    <t xml:space="preserve">200025888617</t>
  </si>
  <si>
    <t xml:space="preserve">88617</t>
  </si>
  <si>
    <t xml:space="preserve">ID-1317755739475487004</t>
  </si>
  <si>
    <t xml:space="preserve">Alpha 33</t>
  </si>
  <si>
    <t xml:space="preserve">200025888293</t>
  </si>
  <si>
    <t xml:space="preserve">88293</t>
  </si>
  <si>
    <t xml:space="preserve">89213</t>
  </si>
  <si>
    <t xml:space="preserve">200025889213</t>
  </si>
  <si>
    <t xml:space="preserve">ID-590380891636443442</t>
  </si>
  <si>
    <t xml:space="preserve">Alpha 31</t>
  </si>
  <si>
    <t xml:space="preserve">89375</t>
  </si>
  <si>
    <t xml:space="preserve">ID-374208109522660125</t>
  </si>
  <si>
    <t xml:space="preserve">Alpha 32</t>
  </si>
  <si>
    <t xml:space="preserve">88748</t>
  </si>
  <si>
    <t xml:space="preserve">89232</t>
  </si>
  <si>
    <t xml:space="preserve">88995</t>
  </si>
  <si>
    <t xml:space="preserve">88299</t>
  </si>
  <si>
    <t xml:space="preserve">88158</t>
  </si>
  <si>
    <t xml:space="preserve">88181</t>
  </si>
  <si>
    <t xml:space="preserve">89314</t>
  </si>
  <si>
    <t xml:space="preserve">89051</t>
  </si>
  <si>
    <t xml:space="preserve">88485</t>
  </si>
  <si>
    <t xml:space="preserve">88910</t>
  </si>
  <si>
    <t xml:space="preserve">89446</t>
  </si>
  <si>
    <t xml:space="preserve">ID-1317755739475485992</t>
  </si>
  <si>
    <t xml:space="preserve">Alpha 8</t>
  </si>
  <si>
    <t xml:space="preserve">89159</t>
  </si>
  <si>
    <t xml:space="preserve">88479</t>
  </si>
  <si>
    <t xml:space="preserve">89154</t>
  </si>
  <si>
    <t xml:space="preserve">89770</t>
  </si>
  <si>
    <t xml:space="preserve">ID-884151479245148968</t>
  </si>
  <si>
    <t xml:space="preserve">Alpha 28</t>
  </si>
  <si>
    <t xml:space="preserve">88809</t>
  </si>
  <si>
    <t xml:space="preserve">88716</t>
  </si>
  <si>
    <t xml:space="preserve">200025889180</t>
  </si>
  <si>
    <t xml:space="preserve">89180</t>
  </si>
  <si>
    <t xml:space="preserve">200025888264</t>
  </si>
  <si>
    <t xml:space="preserve">88264</t>
  </si>
  <si>
    <t xml:space="preserve">200025889333</t>
  </si>
  <si>
    <t xml:space="preserve">89333</t>
  </si>
  <si>
    <t xml:space="preserve">200025889356</t>
  </si>
  <si>
    <t xml:space="preserve">89356</t>
  </si>
  <si>
    <t xml:space="preserve">200025888224</t>
  </si>
  <si>
    <t xml:space="preserve">88224</t>
  </si>
  <si>
    <t xml:space="preserve">200025889232</t>
  </si>
  <si>
    <t xml:space="preserve">200025889126</t>
  </si>
  <si>
    <t xml:space="preserve">89126</t>
  </si>
  <si>
    <t xml:space="preserve">200025888890</t>
  </si>
  <si>
    <t xml:space="preserve">88890</t>
  </si>
  <si>
    <t xml:space="preserve">89394</t>
  </si>
  <si>
    <t xml:space="preserve">88221</t>
  </si>
  <si>
    <t xml:space="preserve">88469</t>
  </si>
  <si>
    <t xml:space="preserve">88527</t>
  </si>
  <si>
    <t xml:space="preserve">88916</t>
  </si>
  <si>
    <t xml:space="preserve">88665</t>
  </si>
  <si>
    <t xml:space="preserve">88256</t>
  </si>
  <si>
    <t xml:space="preserve">88637</t>
  </si>
  <si>
    <t xml:space="preserve">88173</t>
  </si>
  <si>
    <t xml:space="preserve">88677</t>
  </si>
  <si>
    <t xml:space="preserve">88955</t>
  </si>
  <si>
    <t xml:space="preserve">89289</t>
  </si>
  <si>
    <t xml:space="preserve">88860</t>
  </si>
  <si>
    <t xml:space="preserve">89392</t>
  </si>
  <si>
    <t xml:space="preserve">88174</t>
  </si>
  <si>
    <t xml:space="preserve">89262</t>
  </si>
  <si>
    <t xml:space="preserve">89217</t>
  </si>
  <si>
    <t xml:space="preserve">88490</t>
  </si>
  <si>
    <t xml:space="preserve">88228</t>
  </si>
  <si>
    <t xml:space="preserve">ID-590380891636439555</t>
  </si>
  <si>
    <t xml:space="preserve">Alpha 35</t>
  </si>
  <si>
    <t xml:space="preserve">89212</t>
  </si>
  <si>
    <t xml:space="preserve">ID-1460541931523872777</t>
  </si>
  <si>
    <t xml:space="preserve">Alpha 12</t>
  </si>
  <si>
    <t xml:space="preserve">88708</t>
  </si>
  <si>
    <t xml:space="preserve">89149</t>
  </si>
  <si>
    <t xml:space="preserve">89791</t>
  </si>
  <si>
    <t xml:space="preserve">89098</t>
  </si>
  <si>
    <t xml:space="preserve">88839</t>
  </si>
  <si>
    <t xml:space="preserve">89248</t>
  </si>
  <si>
    <t xml:space="preserve">89127</t>
  </si>
  <si>
    <t xml:space="preserve">89246</t>
  </si>
  <si>
    <t xml:space="preserve">89267</t>
  </si>
  <si>
    <t xml:space="preserve">88729</t>
  </si>
  <si>
    <t xml:space="preserve">88856</t>
  </si>
  <si>
    <t xml:space="preserve">89372</t>
  </si>
  <si>
    <t xml:space="preserve">89244</t>
  </si>
  <si>
    <t xml:space="preserve">89440</t>
  </si>
  <si>
    <t xml:space="preserve">89299</t>
  </si>
  <si>
    <t xml:space="preserve">88194</t>
  </si>
  <si>
    <t xml:space="preserve">ID-590380891636443405</t>
  </si>
  <si>
    <t xml:space="preserve">Alpha 34</t>
  </si>
  <si>
    <t xml:space="preserve">88529</t>
  </si>
  <si>
    <t xml:space="preserve">88808</t>
  </si>
  <si>
    <t xml:space="preserve">89003</t>
  </si>
  <si>
    <t xml:space="preserve">88655</t>
  </si>
  <si>
    <t xml:space="preserve">88608</t>
  </si>
  <si>
    <t xml:space="preserve">88830</t>
  </si>
  <si>
    <t xml:space="preserve">89447</t>
  </si>
  <si>
    <t xml:space="preserve">88272</t>
  </si>
  <si>
    <t xml:space="preserve">88763</t>
  </si>
  <si>
    <t xml:space="preserve">88777</t>
  </si>
  <si>
    <t xml:space="preserve">88837</t>
  </si>
  <si>
    <t xml:space="preserve">Nb chev lot cumulés</t>
  </si>
  <si>
    <t xml:space="preserve">N° Ordre brebis</t>
  </si>
  <si>
    <t xml:space="preserve">Nb chev brebis cumulés</t>
  </si>
  <si>
    <t xml:space="preserve">Dans le lot 1/20, 33 brebis /40 soit 83% vues sur l'ensemble du suivi et 64/80 soit 80% dans le lot 1/40</t>
  </si>
  <si>
    <t xml:space="preserve">De 1 à 126 chev/brebis sur une periode de 29j  pour le lot 1/20</t>
  </si>
  <si>
    <t xml:space="preserve">De 1 à 107 chev/brebis sur une periode de 29j pour le lot 1/40 </t>
  </si>
  <si>
    <t xml:space="preserve">Début CN</t>
  </si>
  <si>
    <t xml:space="preserve">redosage</t>
  </si>
  <si>
    <t xml:space="preserve">21 mai début effet male</t>
  </si>
  <si>
    <t xml:space="preserve">ovulation 2: 3 au 11 juin</t>
  </si>
  <si>
    <t xml:space="preserve">3 juin  fin effet male debut lutte</t>
  </si>
  <si>
    <t xml:space="preserve">ovulation 3: 8 au 16 juin</t>
  </si>
  <si>
    <t xml:space="preserve">agnelage lie 1er cycle groupe entre le 21/10 et le 13/11</t>
  </si>
  <si>
    <t xml:space="preserve">FINAL</t>
  </si>
  <si>
    <t xml:space="preserve">Effet mâle</t>
  </si>
  <si>
    <t xml:space="preserve">Au seuil des 1,5ng/ml</t>
  </si>
  <si>
    <t xml:space="preserve">Au seuil des 1 ng/ml</t>
  </si>
  <si>
    <t xml:space="preserve">avec seuil  des 1 ng/ml + cas particuliers</t>
  </si>
  <si>
    <t xml:space="preserve">Pic LH</t>
  </si>
  <si>
    <t xml:space="preserve">Utiliser les resultats avec seuil moy+2ET ou 2moy</t>
  </si>
  <si>
    <t xml:space="preserve">N° Off</t>
  </si>
  <si>
    <t xml:space="preserve">N) 6 chiffres</t>
  </si>
  <si>
    <t xml:space="preserve">Plq</t>
  </si>
  <si>
    <t xml:space="preserve">Transpondeur Initial</t>
  </si>
  <si>
    <t xml:space="preserve">Transpondeur remplacement</t>
  </si>
  <si>
    <t xml:space="preserve">Date naissance</t>
  </si>
  <si>
    <t xml:space="preserve">Age (années)</t>
  </si>
  <si>
    <t xml:space="preserve">Mise bas </t>
  </si>
  <si>
    <t xml:space="preserve">Pesée 11/04/24</t>
  </si>
  <si>
    <t xml:space="preserve">NEC 11/04/24</t>
  </si>
  <si>
    <t xml:space="preserve">NEC 23/05:24</t>
  </si>
  <si>
    <t xml:space="preserve">Interv MB-EM (jours)</t>
  </si>
  <si>
    <t xml:space="preserve">Lactation moyenne (toutes connues)</t>
  </si>
  <si>
    <t xml:space="preserve">Ctrl 1</t>
  </si>
  <si>
    <t xml:space="preserve">Ctrl 2</t>
  </si>
  <si>
    <t xml:space="preserve">Ctrl 3</t>
  </si>
  <si>
    <t xml:space="preserve">Ctrl 4</t>
  </si>
  <si>
    <t xml:space="preserve">Ctrl 5</t>
  </si>
  <si>
    <t xml:space="preserve">Ctrl 6</t>
  </si>
  <si>
    <t xml:space="preserve">ISOL</t>
  </si>
  <si>
    <t xml:space="preserve">Proba Cyc</t>
  </si>
  <si>
    <t xml:space="preserve">Proba rep EM</t>
  </si>
  <si>
    <t xml:space="preserve">N° ordre brebis</t>
  </si>
  <si>
    <t xml:space="preserve">Jour + Heure début</t>
  </si>
  <si>
    <t xml:space="preserve">Jour + Heure fin</t>
  </si>
  <si>
    <t xml:space="preserve">Durée chaleur (h)</t>
  </si>
  <si>
    <t xml:space="preserve">Jour + Heure début corrigée</t>
  </si>
  <si>
    <t xml:space="preserve">Jour + Heure fin corrigée</t>
  </si>
  <si>
    <t xml:space="preserve">Durée chaleur corrigée (h)</t>
  </si>
  <si>
    <t xml:space="preserve">Jour + Heure début cycle court</t>
  </si>
  <si>
    <t xml:space="preserve">Jour + Heure fin cycle court</t>
  </si>
  <si>
    <t xml:space="preserve">Début chaleur/retrait éponges (h)</t>
  </si>
  <si>
    <t xml:space="preserve">Début chaleur + 35h (en h)</t>
  </si>
  <si>
    <t xml:space="preserve">Nb Chev cumules</t>
  </si>
  <si>
    <t xml:space="preserve">Nb béliers</t>
  </si>
  <si>
    <t xml:space="preserve">Cible</t>
  </si>
  <si>
    <t xml:space="preserve">Date/Heure IA</t>
  </si>
  <si>
    <t xml:space="preserve">Jour + Heure début retour</t>
  </si>
  <si>
    <t xml:space="preserve">Jour + Heure fin retour</t>
  </si>
  <si>
    <t xml:space="preserve">Echo 23/07/24</t>
  </si>
  <si>
    <t xml:space="preserve">Nbre Agneaux</t>
  </si>
  <si>
    <t xml:space="preserve">Echo global</t>
  </si>
  <si>
    <t xml:space="preserve">Données détecteur en accord avec echo</t>
  </si>
  <si>
    <t xml:space="preserve">Nb Agneaux Vivants MB 2024</t>
  </si>
  <si>
    <t xml:space="preserve">Date agnelage</t>
  </si>
  <si>
    <t xml:space="preserve">Date theorique agnelage</t>
  </si>
  <si>
    <t xml:space="preserve">Durée gesta</t>
  </si>
  <si>
    <t xml:space="preserve">Agnelage IA-Retour</t>
  </si>
  <si>
    <t xml:space="preserve">Données détecteur en accord avec agnelage</t>
  </si>
  <si>
    <t xml:space="preserve">PL1</t>
  </si>
  <si>
    <t xml:space="preserve">PL2</t>
  </si>
  <si>
    <t xml:space="preserve">PL3</t>
  </si>
  <si>
    <t xml:space="preserve">PL4</t>
  </si>
  <si>
    <t xml:space="preserve">PL5</t>
  </si>
  <si>
    <t xml:space="preserve">PL6</t>
  </si>
  <si>
    <t xml:space="preserve">PL7</t>
  </si>
  <si>
    <t xml:space="preserve">PL8</t>
  </si>
  <si>
    <t xml:space="preserve">PL9</t>
  </si>
  <si>
    <t xml:space="preserve">PL10</t>
  </si>
  <si>
    <t xml:space="preserve">PL11</t>
  </si>
  <si>
    <t xml:space="preserve">C/NC</t>
  </si>
  <si>
    <t xml:space="preserve">Rep Effet mâle</t>
  </si>
  <si>
    <t xml:space="preserve">moy base P4</t>
  </si>
  <si>
    <t xml:space="preserve">ET base P4</t>
  </si>
  <si>
    <t xml:space="preserve">seuil P4 moy+2ET</t>
  </si>
  <si>
    <t xml:space="preserve">Type de cycle</t>
  </si>
  <si>
    <t xml:space="preserve">Phase lutéale à J1</t>
  </si>
  <si>
    <t xml:space="preserve">Début P4 (j)</t>
  </si>
  <si>
    <t xml:space="preserve">Heure pic LH</t>
  </si>
  <si>
    <t xml:space="preserve">Date pic LH</t>
  </si>
  <si>
    <t xml:space="preserve">Durée pic LH</t>
  </si>
  <si>
    <t xml:space="preserve">Max pic LH</t>
  </si>
  <si>
    <t xml:space="preserve">Intervalle début oestrus/pic LH (h)</t>
  </si>
  <si>
    <t xml:space="preserve">Données détecteur en accord avec pic LH</t>
  </si>
  <si>
    <t xml:space="preserve">Intervalle pic LH / IA</t>
  </si>
  <si>
    <t xml:space="preserve">Non</t>
  </si>
  <si>
    <t xml:space="preserve">9999</t>
  </si>
  <si>
    <t xml:space="preserve">Pleine IA</t>
  </si>
  <si>
    <t xml:space="preserve">Pas vue</t>
  </si>
  <si>
    <t xml:space="preserve">NC</t>
  </si>
  <si>
    <t xml:space="preserve">Oui</t>
  </si>
  <si>
    <t xml:space="preserve">CN</t>
  </si>
  <si>
    <t xml:space="preserve">Final SR 1/25</t>
  </si>
  <si>
    <t xml:space="preserve">R085</t>
  </si>
  <si>
    <t xml:space="preserve">OK</t>
  </si>
  <si>
    <t xml:space="preserve">oui</t>
  </si>
  <si>
    <t xml:space="preserve">S069</t>
  </si>
  <si>
    <t xml:space="preserve">CC</t>
  </si>
  <si>
    <t xml:space="preserve">nd</t>
  </si>
  <si>
    <t xml:space="preserve">U008</t>
  </si>
  <si>
    <t xml:space="preserve">non</t>
  </si>
  <si>
    <t xml:space="preserve">R</t>
  </si>
  <si>
    <t xml:space="preserve">Vue retour</t>
  </si>
  <si>
    <t xml:space="preserve">NO</t>
  </si>
  <si>
    <t xml:space="preserve">Vide</t>
  </si>
  <si>
    <t xml:space="preserve">Repasse</t>
  </si>
  <si>
    <t xml:space="preserve">%C</t>
  </si>
  <si>
    <t xml:space="preserve">%CC</t>
  </si>
  <si>
    <t xml:space="preserve">Reponse effet bélier</t>
  </si>
  <si>
    <t xml:space="preserve">Cyc + repondantes</t>
  </si>
  <si>
    <t xml:space="preserve">% synchronisées</t>
  </si>
  <si>
    <t xml:space="preserve">Vue</t>
  </si>
  <si>
    <t xml:space="preserve">Final SR 1/10</t>
  </si>
  <si>
    <t xml:space="preserve">R003</t>
  </si>
  <si>
    <t xml:space="preserve">Vue après IA mais juste quelques heures après</t>
  </si>
  <si>
    <t xml:space="preserve">Vue après IA mais &lt;3ch</t>
  </si>
  <si>
    <t xml:space="preserve">  </t>
  </si>
  <si>
    <t xml:space="preserve">Pas de pic</t>
  </si>
  <si>
    <t xml:space="preserve">vide </t>
  </si>
  <si>
    <t xml:space="preserve">Trop tard</t>
  </si>
  <si>
    <t xml:space="preserve">autre</t>
  </si>
  <si>
    <t xml:space="preserve">Moy</t>
  </si>
  <si>
    <t xml:space="preserve">ET</t>
  </si>
  <si>
    <t xml:space="preserve">SEM</t>
  </si>
  <si>
    <t xml:space="preserve">Nb</t>
  </si>
  <si>
    <t xml:space="preserve">Min </t>
  </si>
  <si>
    <t xml:space="preserve">Max</t>
  </si>
  <si>
    <t xml:space="preserve">Dispersion</t>
  </si>
  <si>
    <t xml:space="preserve">Toutes</t>
  </si>
  <si>
    <t xml:space="preserve">Retour + Vides</t>
  </si>
  <si>
    <t xml:space="preserve">Dans la cible</t>
  </si>
  <si>
    <t xml:space="preserve">Non vues ou hors cible</t>
  </si>
  <si>
    <t xml:space="preserve">Résultats Echo</t>
  </si>
  <si>
    <t xml:space="preserve">Echo</t>
  </si>
  <si>
    <t xml:space="preserve">Agnelage</t>
  </si>
  <si>
    <t xml:space="preserve">≥3ch</t>
  </si>
  <si>
    <t xml:space="preserve">Tous les chev</t>
  </si>
  <si>
    <t xml:space="preserve">Données 2024</t>
  </si>
  <si>
    <t xml:space="preserve">Pleines IA 1/20</t>
  </si>
  <si>
    <t xml:space="preserve">Agnelage IA 1/20</t>
  </si>
  <si>
    <t xml:space="preserve">Heure pic de LH</t>
  </si>
  <si>
    <t xml:space="preserve">48 [48 , 60]</t>
  </si>
  <si>
    <t xml:space="preserve">60 [48 , 66]</t>
  </si>
  <si>
    <t xml:space="preserve">Kruskal-Wallis</t>
  </si>
  <si>
    <t xml:space="preserve">Lot SR1/20 - IA 53h: 18 (13+5) brebis + 0 rattrapable</t>
  </si>
  <si>
    <t xml:space="preserve">Lot SR1/20: Début des chaleurs entre 22,77h et 95,55h après retrait éponges</t>
  </si>
  <si>
    <t xml:space="preserve">Les résultats de comportements sont conformes aux résultats de l'écho pour 69 brebis sur 120 soit 57,5%</t>
  </si>
  <si>
    <t xml:space="preserve">Retour 1/20</t>
  </si>
  <si>
    <t xml:space="preserve">Durée pic de LH</t>
  </si>
  <si>
    <t xml:space="preserve">1.5 [1.25 , 2)</t>
  </si>
  <si>
    <t xml:space="preserve">1.5 [1 , 2)</t>
  </si>
  <si>
    <t xml:space="preserve">NS</t>
  </si>
  <si>
    <t xml:space="preserve">Lot SR1/20 - IA 55h: 19 (14+5) brebis + 0 rattrapable</t>
  </si>
  <si>
    <t xml:space="preserve">Lot SR1/20: Début des chaleurs +35h entre 57,77h et 130,55h après retrait éponges </t>
  </si>
  <si>
    <t xml:space="preserve">69= 65 (46 pleines/83, 15 retours/17, 4 vides/20) + 4 vues juste après l'IA</t>
  </si>
  <si>
    <t xml:space="preserve">Vides 1/20</t>
  </si>
  <si>
    <t xml:space="preserve">Vides ou mortes 1/20</t>
  </si>
  <si>
    <t xml:space="preserve">Max pic de LH</t>
  </si>
  <si>
    <t xml:space="preserve">0.4 [0.2 , 0.5)</t>
  </si>
  <si>
    <t xml:space="preserve">0.4 [0.3 , 0.5)</t>
  </si>
  <si>
    <t xml:space="preserve">Lot SR1/20 - IA 60h: 23 (13+10) brebis plus 2 rattrapables de la veille</t>
  </si>
  <si>
    <t xml:space="preserve">Un peu plus tardif qu'en 2023 et 2022 pour le lot SR 1/25 </t>
  </si>
  <si>
    <t xml:space="preserve">33 (22+11 vues après IA mais &lt;3ch) brebis pleines de l'IA (20+11) ou du retour (2) n'ont pas été vues soit 33%</t>
  </si>
  <si>
    <t xml:space="preserve">Total 1/20</t>
  </si>
  <si>
    <t xml:space="preserve">Lot SR1/20: 28/40 brebis vues en chaleur</t>
  </si>
  <si>
    <t xml:space="preserve">Lot SR1/40: Début des chaleurs entre 3,88h et 102,55h après retrait éponges sauf 2 brebis sur 80 à plus de 240h mais moins de 3 chev</t>
  </si>
  <si>
    <t xml:space="preserve">2 sont pleines de l'IA alors qu'elles ont été vues sur retour</t>
  </si>
  <si>
    <t xml:space="preserve">Fertilité IA 1/20</t>
  </si>
  <si>
    <t xml:space="preserve">Lot SR1/40: Début des chaleurs +35h entre 38,88h et 137,55h après retrait éponges auf 2 brebis sur 80 à plus de 270h mais moins de 3 chev</t>
  </si>
  <si>
    <t xml:space="preserve">3 ont été vues au moment de l'IA et 13 au moment du retour mais sont vides</t>
  </si>
  <si>
    <t xml:space="preserve">Fertilité totale 1/20</t>
  </si>
  <si>
    <t xml:space="preserve">Lot SR1/40 - IA 53h: 29 (22+7) brebis + 5 rattrapables</t>
  </si>
  <si>
    <t xml:space="preserve">Prolif 1/20</t>
  </si>
  <si>
    <t xml:space="preserve">p=0,10813 Test Kruskal Wallis</t>
  </si>
  <si>
    <t xml:space="preserve">p=0,54749 Test Kruskal Wallis</t>
  </si>
  <si>
    <t xml:space="preserve">Lot SR1/40 - IA 55h: 31 (23+8) brebis + 5 rattrapables</t>
  </si>
  <si>
    <t xml:space="preserve">Résultats pour le lot SR1/20 intermédiaires entre les résultats de 2023 et 2022 pour le lot SR 1/25</t>
  </si>
  <si>
    <t xml:space="preserve">Lot SR1/40 - IA 60h: 42 (27+15) brebis plus 6 rattrapables de la veille</t>
  </si>
  <si>
    <t xml:space="preserve">Légèrement plus de brebis dans la cible pour une IA à 60h </t>
  </si>
  <si>
    <t xml:space="preserve">Les résultats de comportements sont conformes aux résultats de l'écho pour 21 brebis sur 40 soit 52,5%</t>
  </si>
  <si>
    <t xml:space="preserve">Pleines IA 1/40</t>
  </si>
  <si>
    <t xml:space="preserve">Agnelage IA 1/40</t>
  </si>
  <si>
    <t xml:space="preserve">Lot SR1/40: 55/80 brebis vues en chaleur</t>
  </si>
  <si>
    <t xml:space="preserve">21= 20 (16 pleines/30, 4 retours/5, 0 vides/5) + 1 vues juste après l'IA</t>
  </si>
  <si>
    <t xml:space="preserve">Retour 1/40</t>
  </si>
  <si>
    <t xml:space="preserve">Le lot SR1/40 a des chaleurs plus dispersées que le lot SR1/20</t>
  </si>
  <si>
    <t xml:space="preserve">14 (9+5 vues après IA mais &lt;3ch) brebis pleines de l'IA (8+5) ou du retour (1) n'ont pas été vues soit 40%</t>
  </si>
  <si>
    <t xml:space="preserve">Vides 1/40</t>
  </si>
  <si>
    <t xml:space="preserve">Vides ou mortes 1/40</t>
  </si>
  <si>
    <t xml:space="preserve">Diminuer le sex ratio ne dégrade pas les résultats de comportement</t>
  </si>
  <si>
    <t xml:space="preserve">0 sont pleines de l'IA alors qu'elles ont été vues sur retour</t>
  </si>
  <si>
    <t xml:space="preserve">Total 1/40</t>
  </si>
  <si>
    <t xml:space="preserve">Données 2023</t>
  </si>
  <si>
    <t xml:space="preserve">2 a été vues au moment de l'IA et 3 au moment du retour mais sont vides</t>
  </si>
  <si>
    <t xml:space="preserve">Fertilité IA 1/40</t>
  </si>
  <si>
    <t xml:space="preserve">Lot SR1/25 - IA 53h: 20 (18+2) brebis +4 rattrapables</t>
  </si>
  <si>
    <t xml:space="preserve">Fertilité totale 1/40</t>
  </si>
  <si>
    <t xml:space="preserve">Lot SR1/25 - IA 55h: 19 (17+2) brebis +5 rattrapables</t>
  </si>
  <si>
    <t xml:space="preserve">Prolif 1/40</t>
  </si>
  <si>
    <t xml:space="preserve">Lot SR1/25 - IA 60h: 22 (17+5) brebis plus 6 rattrapables de la veille</t>
  </si>
  <si>
    <t xml:space="preserve">Les résultats de comportements sont conformes aux résultats de l'écho pour 48 brebis sur 80 soit 40%</t>
  </si>
  <si>
    <t xml:space="preserve">Lot SR1/25: 33 brebis vues en chaleur</t>
  </si>
  <si>
    <t xml:space="preserve">48= 45 (30 pleines/53, 11 retours/12, 4 vides/15) + 3 vues juste après l'IA</t>
  </si>
  <si>
    <t xml:space="preserve">19 (13+6 vues après IA mais &lt;3ch) brebis pleines de l'IA (12+6) ou du retour (1) n'ont pas été vues soit 29,2%</t>
  </si>
  <si>
    <t xml:space="preserve">Lot SR1/10 - IA 53h: 14 (11+3) brebis +15 rattrapables</t>
  </si>
  <si>
    <t xml:space="preserve">Lot SR1/10 - IA 55h: 15 (12+3) brebis +15 rattrapables</t>
  </si>
  <si>
    <t xml:space="preserve">1 ont été vues au moment de l'IA et 10 au moment du retour mais sont vides</t>
  </si>
  <si>
    <t xml:space="preserve">Lot SR1/10 - IA 60h: 20 (17+3) brebis plus 17 rattrapables de la veille</t>
  </si>
  <si>
    <t xml:space="preserve">Lot SR1/10: 43 brebis vues en chaleur</t>
  </si>
  <si>
    <t xml:space="preserve">Données 2022</t>
  </si>
  <si>
    <t xml:space="preserve">Lot FGA- IA 53h: 27 (26+1) brebis +1 rattrapable</t>
  </si>
  <si>
    <t xml:space="preserve">Lot FGA- IA 55h: 29 (28+1) brebis +1 rattrapable</t>
  </si>
  <si>
    <t xml:space="preserve">Lot FGA- IA 60h: 34 (30+4) brebis plus 3 rattrapables de la veille</t>
  </si>
  <si>
    <t xml:space="preserve">Lot FGA: 43 brebis vues en chaleur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</si>
</sst>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_-* #,##0.00_-;\-* #,##0.00_-;_-* \-??_-;_-@_-"/>
    <numFmt numFmtId="166" formatCode="dd/mm/yy"/>
    <numFmt numFmtId="167" formatCode="dd/mm/yyyy\ hh:mm"/>
    <numFmt numFmtId="168" formatCode="@"/>
    <numFmt numFmtId="169" formatCode="dd/mm/yyyy"/>
    <numFmt numFmtId="170" formatCode="dd/mm/yy;@"/>
    <numFmt numFmtId="171" formatCode="hh:mm"/>
    <numFmt numFmtId="172" formatCode="dd\-mmm"/>
    <numFmt numFmtId="173" formatCode="0"/>
    <numFmt numFmtId="174" formatCode="####0"/>
    <numFmt numFmtId="175" formatCode="0.00"/>
    <numFmt numFmtId="176" formatCode="00000"/>
    <numFmt numFmtId="177" formatCode="dd/mm/yyyy\ hh:mm:ss"/>
    <numFmt numFmtId="178" formatCode="d/m;@"/>
    <numFmt numFmtId="179" formatCode="#,##0"/>
    <numFmt numFmtId="180" formatCode="dd/mm/yy\ hh:mm"/>
    <numFmt numFmtId="181" formatCode="General"/>
    <numFmt numFmtId="182" formatCode="0.0"/>
    <numFmt numFmtId="183" formatCode="0\ %"/>
    <numFmt numFmtId="184" formatCode="0.0%"/>
    <numFmt numFmtId="185" formatCode="0.00000"/>
  </numFmts>
  <fonts count="8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Calibri"/>
      <family val="2"/>
      <charset val="1"/>
    </font>
    <font>
      <sz val="11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5"/>
      <color theme="1"/>
      <name val="Calibri"/>
      <family val="0"/>
    </font>
    <font>
      <b val="true"/>
      <sz val="15"/>
      <color theme="1"/>
      <name val="Cambria Math"/>
      <family val="0"/>
    </font>
    <font>
      <sz val="15"/>
      <color theme="1"/>
      <name val="Cambria Math"/>
      <family val="0"/>
    </font>
    <font>
      <b val="true"/>
      <sz val="15"/>
      <color theme="1"/>
      <name val="DejaVu Sans"/>
      <family val="2"/>
    </font>
    <font>
      <sz val="15"/>
      <color rgb="FF000000"/>
      <name val="Times New Roman"/>
      <family val="0"/>
    </font>
    <font>
      <b val="true"/>
      <sz val="14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9"/>
      <color theme="6" tint="-0.25"/>
      <name val="Arial"/>
      <family val="2"/>
      <charset val="1"/>
    </font>
    <font>
      <sz val="9"/>
      <name val="Arial"/>
      <family val="2"/>
      <charset val="1"/>
    </font>
    <font>
      <sz val="7"/>
      <color theme="6" tint="-0.25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9"/>
      <color rgb="FF000000"/>
      <name val="Microsoft Sans Serif"/>
      <family val="2"/>
      <charset val="1"/>
    </font>
    <font>
      <sz val="8"/>
      <color rgb="FF000000"/>
      <name val="Microsoft Sans Serif"/>
      <family val="2"/>
      <charset val="1"/>
    </font>
    <font>
      <sz val="8"/>
      <color rgb="FF000000"/>
      <name val="Arial"/>
      <family val="2"/>
      <charset val="1"/>
    </font>
    <font>
      <sz val="11"/>
      <color theme="0"/>
      <name val="Calibri"/>
      <family val="0"/>
    </font>
    <font>
      <b val="true"/>
      <sz val="11"/>
      <color rgb="FF0070C0"/>
      <name val="Calibri"/>
      <family val="0"/>
    </font>
    <font>
      <sz val="24"/>
      <color rgb="FF000000"/>
      <name val="Calibri"/>
      <family val="2"/>
    </font>
    <font>
      <sz val="16"/>
      <color rgb="FF000000"/>
      <name val="Calibri"/>
      <family val="2"/>
    </font>
    <font>
      <sz val="18"/>
      <color rgb="FF000000"/>
      <name val="Calibri"/>
      <family val="2"/>
    </font>
    <font>
      <sz val="14"/>
      <color rgb="FF000000"/>
      <name val="Calibri"/>
      <family val="2"/>
    </font>
    <font>
      <sz val="20"/>
      <color rgb="FF000000"/>
      <name val="Calibr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000000"/>
      <name val="Calibri"/>
      <family val="2"/>
    </font>
    <font>
      <b val="true"/>
      <sz val="11"/>
      <color theme="1"/>
      <name val="Calibri"/>
      <family val="0"/>
    </font>
    <font>
      <b val="true"/>
      <sz val="12"/>
      <color theme="1"/>
      <name val="Calibri"/>
      <family val="2"/>
      <charset val="1"/>
    </font>
    <font>
      <sz val="8"/>
      <name val="Arial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sz val="9"/>
      <name val="Calibri"/>
      <family val="2"/>
      <charset val="1"/>
    </font>
    <font>
      <b val="true"/>
      <sz val="9"/>
      <color rgb="FFFF0000"/>
      <name val="Calibri"/>
      <family val="2"/>
      <charset val="1"/>
    </font>
    <font>
      <b val="true"/>
      <sz val="8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9"/>
      <name val="Arial"/>
      <family val="2"/>
      <charset val="1"/>
    </font>
    <font>
      <b val="true"/>
      <sz val="9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000000"/>
      <name val="Arial"/>
      <family val="2"/>
      <charset val="1"/>
    </font>
    <font>
      <b val="true"/>
      <sz val="8"/>
      <name val="Arial"/>
      <family val="2"/>
      <charset val="1"/>
    </font>
    <font>
      <sz val="8"/>
      <color theme="1"/>
      <name val="Calibri"/>
      <family val="2"/>
      <charset val="1"/>
    </font>
    <font>
      <b val="true"/>
      <sz val="11"/>
      <color rgb="FF92D050"/>
      <name val="Calibri"/>
      <family val="2"/>
      <charset val="1"/>
    </font>
    <font>
      <b val="true"/>
      <sz val="11"/>
      <color rgb="FFFFC000"/>
      <name val="Calibri"/>
      <family val="2"/>
      <charset val="1"/>
    </font>
    <font>
      <b val="true"/>
      <sz val="9"/>
      <color rgb="FFFFC000"/>
      <name val="Calibri"/>
      <family val="2"/>
      <charset val="1"/>
    </font>
    <font>
      <b val="true"/>
      <sz val="9"/>
      <color rgb="FF92D050"/>
      <name val="Calibri"/>
      <family val="2"/>
      <charset val="1"/>
    </font>
    <font>
      <sz val="8"/>
      <color rgb="FFFF0000"/>
      <name val="Calibri"/>
      <family val="2"/>
      <charset val="1"/>
    </font>
    <font>
      <sz val="10"/>
      <color rgb="FFFF0000"/>
      <name val="Arial"/>
      <family val="2"/>
      <charset val="1"/>
    </font>
    <font>
      <b val="true"/>
      <sz val="9"/>
      <color theme="9"/>
      <name val="Calibri"/>
      <family val="2"/>
      <charset val="1"/>
    </font>
    <font>
      <sz val="8"/>
      <color theme="1"/>
      <name val="Arial"/>
      <family val="2"/>
      <charset val="1"/>
    </font>
    <font>
      <b val="true"/>
      <sz val="9"/>
      <color theme="1"/>
      <name val="Calibri"/>
      <family val="2"/>
      <charset val="1"/>
    </font>
    <font>
      <sz val="9"/>
      <color rgb="FF4472C4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9"/>
      <color theme="4" tint="-0.25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C000"/>
      </patternFill>
    </fill>
    <fill>
      <patternFill patternType="solid">
        <fgColor rgb="FF92D050"/>
        <bgColor rgb="FFA9D18E"/>
      </patternFill>
    </fill>
    <fill>
      <patternFill patternType="solid">
        <fgColor rgb="FFFFC000"/>
        <bgColor rgb="FFFFFF00"/>
      </patternFill>
    </fill>
    <fill>
      <patternFill patternType="solid">
        <fgColor theme="0" tint="-0.5"/>
        <bgColor rgb="FF7C7C7C"/>
      </patternFill>
    </fill>
    <fill>
      <patternFill patternType="solid">
        <fgColor rgb="FFFF0000"/>
        <bgColor rgb="FF800000"/>
      </patternFill>
    </fill>
    <fill>
      <patternFill patternType="solid">
        <fgColor theme="0" tint="-0.25"/>
        <bgColor rgb="FFADB9CA"/>
      </patternFill>
    </fill>
    <fill>
      <patternFill patternType="solid">
        <fgColor theme="9"/>
        <bgColor rgb="FF92D050"/>
      </patternFill>
    </fill>
    <fill>
      <patternFill patternType="solid">
        <fgColor theme="0" tint="-0.35"/>
        <bgColor rgb="FFA5A5A5"/>
      </patternFill>
    </fill>
    <fill>
      <patternFill patternType="solid">
        <fgColor theme="6" tint="0.5999"/>
        <bgColor rgb="FFD9D9D9"/>
      </patternFill>
    </fill>
    <fill>
      <patternFill patternType="solid">
        <fgColor theme="9" tint="0.3999"/>
        <bgColor rgb="FFC5E0B4"/>
      </patternFill>
    </fill>
    <fill>
      <patternFill patternType="solid">
        <fgColor theme="3" tint="0.5999"/>
        <bgColor rgb="FFBFBFBF"/>
      </patternFill>
    </fill>
    <fill>
      <patternFill patternType="solid">
        <fgColor rgb="FFFCE4D6"/>
        <bgColor rgb="FFEDE8CF"/>
      </patternFill>
    </fill>
    <fill>
      <patternFill patternType="solid">
        <fgColor theme="0"/>
        <bgColor rgb="FFEBE6FE"/>
      </patternFill>
    </fill>
    <fill>
      <patternFill patternType="solid">
        <fgColor rgb="FF00B050"/>
        <bgColor rgb="FF008000"/>
      </patternFill>
    </fill>
    <fill>
      <patternFill patternType="solid">
        <fgColor rgb="FF00B0F0"/>
        <bgColor rgb="FF0070C0"/>
      </patternFill>
    </fill>
    <fill>
      <patternFill patternType="solid">
        <fgColor theme="5"/>
        <bgColor rgb="FFC55A11"/>
      </patternFill>
    </fill>
    <fill>
      <patternFill patternType="solid">
        <fgColor theme="4"/>
        <bgColor rgb="FF4472C4"/>
      </patternFill>
    </fill>
    <fill>
      <patternFill patternType="solid">
        <fgColor theme="8" tint="0.5999"/>
        <bgColor rgb="FFADB9CA"/>
      </patternFill>
    </fill>
    <fill>
      <patternFill patternType="solid">
        <fgColor rgb="FF9954CC"/>
        <bgColor rgb="FFAC75D5"/>
      </patternFill>
    </fill>
    <fill>
      <patternFill patternType="solid">
        <fgColor theme="9" tint="0.5999"/>
        <bgColor rgb="FFB7E1CD"/>
      </patternFill>
    </fill>
    <fill>
      <patternFill patternType="solid">
        <fgColor theme="0" tint="-0.15"/>
        <bgColor rgb="FFDBDBDB"/>
      </patternFill>
    </fill>
    <fill>
      <patternFill patternType="solid">
        <fgColor rgb="FFE3DCB7"/>
        <bgColor rgb="FFDBDBDB"/>
      </patternFill>
    </fill>
    <fill>
      <patternFill patternType="solid">
        <fgColor rgb="FFEDE8CF"/>
        <bgColor rgb="FFFCE4D6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>
        <color theme="0" tint="-0.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thin">
        <color theme="0" tint="-0.5"/>
      </bottom>
      <diagonal/>
    </border>
    <border diagonalUp="false" diagonalDown="false">
      <left style="medium"/>
      <right style="medium"/>
      <top style="thin">
        <color theme="0" tint="-0.5"/>
      </top>
      <bottom style="thin">
        <color theme="0" tint="-0.5"/>
      </bottom>
      <diagonal/>
    </border>
    <border diagonalUp="false" diagonalDown="false">
      <left style="medium"/>
      <right/>
      <top style="thin">
        <color theme="0" tint="-0.5"/>
      </top>
      <bottom style="thin">
        <color theme="0" tint="-0.5"/>
      </bottom>
      <diagonal/>
    </border>
    <border diagonalUp="false" diagonalDown="false">
      <left style="medium"/>
      <right style="medium"/>
      <top style="thin">
        <color theme="0" tint="-0.5"/>
      </top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3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8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 readingOrder="1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2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6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0" fillId="6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7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22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2" fillId="5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5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7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6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5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9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3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13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3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2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4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2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1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2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2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14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4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4" borderId="3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36" fillId="0" borderId="1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0" fillId="6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14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14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3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1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6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4" fillId="0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4" fillId="0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2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4" fillId="0" borderId="2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6" borderId="2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4" fillId="14" borderId="2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4" fillId="14" borderId="2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4" borderId="2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8" borderId="2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4" fillId="8" borderId="2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8" borderId="2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4" borderId="2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4" fillId="4" borderId="2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2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37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3" fontId="38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3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6" borderId="2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4" fillId="6" borderId="2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6" borderId="2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5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3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7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6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77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5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5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5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1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0" fontId="5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73" fontId="5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5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9" fillId="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9" fillId="19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5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8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9" fillId="15" borderId="3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0" fillId="1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61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2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58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5" fontId="58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61" fillId="0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8" fillId="0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8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8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8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8" fillId="0" borderId="3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5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62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61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5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0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77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80" fontId="5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4" fillId="0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3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3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3" fillId="1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62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63" fillId="0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5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61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5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6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5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62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5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75" fontId="61" fillId="0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2" fillId="0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2" fillId="0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2" fillId="0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2" fillId="0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3" fillId="2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3" fillId="21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3" fillId="2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2" fillId="0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6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4" fillId="2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2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6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2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2" fillId="0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2" fillId="0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65" fillId="0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62" fillId="5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63" fillId="5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7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5" fontId="5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6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7" fontId="0" fillId="0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5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5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68" fillId="0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2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69" fillId="0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3" fillId="2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3" fillId="2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2" borderId="2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0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7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4" fillId="8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2" fillId="5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2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6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72" fillId="0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6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5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7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6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2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6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6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5" fillId="23" borderId="44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75" fillId="23" borderId="45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76" fillId="24" borderId="4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77" fillId="24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6" fillId="24" borderId="4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3" fontId="62" fillId="0" borderId="3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76" fillId="24" borderId="4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56" fillId="24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3" fontId="62" fillId="0" borderId="4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6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3" fontId="62" fillId="0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4" fontId="7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61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3" fontId="62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2" fillId="0" borderId="4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2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3" fontId="62" fillId="0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4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4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iers 2" xfId="20"/>
    <cellStyle name="Normal 2" xfId="21"/>
    <cellStyle name="Normal 2 2" xfId="22"/>
    <cellStyle name="Normal 3" xfId="23"/>
    <cellStyle name="Normal 4" xfId="24"/>
    <cellStyle name="Excel Built-in RowLevel_0" xfId="25"/>
  </cellStyles>
  <dxfs count="202"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AC75D5"/>
          <bgColor rgb="FF000000"/>
        </patternFill>
      </fill>
    </dxf>
    <dxf>
      <fill>
        <patternFill patternType="solid">
          <fgColor rgb="FFDFC9E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954CC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AC75D5"/>
        </patternFill>
      </fill>
    </dxf>
    <dxf>
      <fill>
        <patternFill>
          <bgColor rgb="FFDFC9EF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EBE6FE"/>
        </patternFill>
      </fill>
    </dxf>
    <dxf>
      <fill>
        <patternFill>
          <bgColor rgb="FFC198E0"/>
        </patternFill>
      </fill>
    </dxf>
    <dxf>
      <fill>
        <patternFill>
          <bgColor theme="5" tint="-0.25"/>
        </patternFill>
      </fill>
    </dxf>
    <dxf>
      <fill>
        <patternFill>
          <bgColor rgb="FFEBE6FE"/>
        </patternFill>
      </fill>
    </dxf>
    <dxf>
      <fill>
        <patternFill>
          <bgColor rgb="FFC198E0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</dxfs>
  <colors>
    <indexedColors>
      <rgbColor rgb="FF000000"/>
      <rgbColor rgb="FFFFFFFF"/>
      <rgbColor rgb="FFFF0000"/>
      <rgbColor rgb="FFDBDBDB"/>
      <rgbColor rgb="FF0000FF"/>
      <rgbColor rgb="FFFFFF00"/>
      <rgbColor rgb="FFFF00FF"/>
      <rgbColor rgb="FFA9D18E"/>
      <rgbColor rgb="FF800000"/>
      <rgbColor rgb="FF008000"/>
      <rgbColor rgb="FF000080"/>
      <rgbColor rgb="FF70AD47"/>
      <rgbColor rgb="FF800080"/>
      <rgbColor rgb="FF2E75B6"/>
      <rgbColor rgb="FFBFBFBF"/>
      <rgbColor rgb="FF808080"/>
      <rgbColor rgb="FFA5A5A5"/>
      <rgbColor rgb="FF9954CC"/>
      <rgbColor rgb="FFEDE8CF"/>
      <rgbColor rgb="FFEBE6FE"/>
      <rgbColor rgb="FF660066"/>
      <rgbColor rgb="FFAC75D5"/>
      <rgbColor rgb="FF0070C0"/>
      <rgbColor rgb="FFDFC9EF"/>
      <rgbColor rgb="FF000080"/>
      <rgbColor rgb="FFFF00FF"/>
      <rgbColor rgb="FFFCE4D6"/>
      <rgbColor rgb="FFB4C7E7"/>
      <rgbColor rgb="FF800080"/>
      <rgbColor rgb="FF800000"/>
      <rgbColor rgb="FFD9D9D9"/>
      <rgbColor rgb="FF0000FF"/>
      <rgbColor rgb="FF00B0F0"/>
      <rgbColor rgb="FFB7E1CD"/>
      <rgbColor rgb="FFC5E0B4"/>
      <rgbColor rgb="FFFFEB9C"/>
      <rgbColor rgb="FF99CCFF"/>
      <rgbColor rgb="FFADB9CA"/>
      <rgbColor rgb="FFC198E0"/>
      <rgbColor rgb="FFE3DCB7"/>
      <rgbColor rgb="FF4472C4"/>
      <rgbColor rgb="FF5B9BD5"/>
      <rgbColor rgb="FF92D050"/>
      <rgbColor rgb="FFFFC000"/>
      <rgbColor rgb="FFA6A6A6"/>
      <rgbColor rgb="FFED7D31"/>
      <rgbColor rgb="FF7C7C7C"/>
      <rgbColor rgb="FF8B8B8B"/>
      <rgbColor rgb="FF003366"/>
      <rgbColor rgb="FF00B050"/>
      <rgbColor rgb="FF003300"/>
      <rgbColor rgb="FF333300"/>
      <rgbColor rgb="FF9C5700"/>
      <rgbColor rgb="FFC55A11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externalLink" Target="externalLinks/externalLink1.xml"/><Relationship Id="rId13" Type="http://schemas.openxmlformats.org/officeDocument/2006/relationships/externalLink" Target="externalLinks/externalLink2.xml"/><Relationship Id="rId14" Type="http://schemas.openxmlformats.org/officeDocument/2006/relationships/externalLink" Target="externalLinks/externalLink3.xml"/><Relationship Id="rId1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openxmlformats.org/officeDocument/2006/relationships/chartUserShapes" Target="../drawings/drawing4.xml"/>
</Relationships>
</file>

<file path=xl/charts/_rels/chart2.xml.rels><?xml version="1.0" encoding="UTF-8"?>
<Relationships xmlns="http://schemas.openxmlformats.org/package/2006/relationships"><Relationship Id="rId1" Type="http://schemas.openxmlformats.org/officeDocument/2006/relationships/chartUserShapes" Target="../drawings/drawing5.xml"/>
</Relationships>
</file>

<file path=xl/charts/_rels/chart4.xml.rels><?xml version="1.0" encoding="UTF-8"?>
<Relationships xmlns="http://schemas.openxmlformats.org/package/2006/relationships"><Relationship Id="rId1" Type="http://schemas.openxmlformats.org/officeDocument/2006/relationships/chartUserShapes" Target="../drawings/drawing7.xml"/>
</Relationships>
</file>

<file path=xl/charts/_rels/chart7.xml.rels><?xml version="1.0" encoding="UTF-8"?>
<Relationships xmlns="http://schemas.openxmlformats.org/package/2006/relationships"><Relationship Id="rId1" Type="http://schemas.openxmlformats.org/officeDocument/2006/relationships/chartUserShapes" Target="../drawings/drawing9.xml"/>
</Relationships>
</file>

<file path=xl/charts/_rels/chart8.xml.rels><?xml version="1.0" encoding="UTF-8"?>
<Relationships xmlns="http://schemas.openxmlformats.org/package/2006/relationships"><Relationship Id="rId1" Type="http://schemas.openxmlformats.org/officeDocument/2006/relationships/chartUserShapes" Target="../drawings/drawing10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24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fr-FR" sz="2400" spc="-1" strike="noStrike">
                <a:solidFill>
                  <a:srgbClr val="000000"/>
                </a:solidFill>
                <a:latin typeface="Calibri"/>
              </a:rPr>
              <a:t>Activité des béliers (La Cazotte 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689486552567"/>
          <c:y val="0.119653692467071"/>
          <c:w val="0.866787601545863"/>
          <c:h val="0.7902915495042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'[1]Activité Béliers'!$D$2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'[1]Activité Béliers'!$K$2:$K$242</c:f>
              <c:numCache>
                <c:formatCode>General</c:formatCode>
                <c:ptCount val="241"/>
              </c:numCache>
            </c:numRef>
          </c:xVal>
          <c:yVal>
            <c:numRef>
              <c:f>'[1]Activité Béliers'!$N$2:$N$242</c:f>
              <c:numCache>
                <c:formatCode>General</c:formatCode>
                <c:ptCount val="241"/>
              </c:numCache>
            </c:numRef>
          </c:yVal>
          <c:smooth val="0"/>
        </c:ser>
        <c:ser>
          <c:idx val="1"/>
          <c:order val="1"/>
          <c:tx>
            <c:strRef>
              <c:f>'[1]Activité Béliers'!$D$243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'[1]Activité Béliers'!$K$243:$K$280</c:f>
              <c:numCache>
                <c:formatCode>General</c:formatCode>
                <c:ptCount val="38"/>
              </c:numCache>
            </c:numRef>
          </c:xVal>
          <c:yVal>
            <c:numRef>
              <c:f>'[1]Activité Béliers'!$N$243:$N$280</c:f>
              <c:numCache>
                <c:formatCode>General</c:formatCode>
                <c:ptCount val="38"/>
              </c:numCache>
            </c:numRef>
          </c:yVal>
          <c:smooth val="0"/>
        </c:ser>
        <c:ser>
          <c:idx val="2"/>
          <c:order val="2"/>
          <c:tx>
            <c:strRef>
              <c:f>'[1]Activité Béliers'!$D$281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'[1]Activité Béliers'!$K$281:$K$832</c:f>
              <c:numCache>
                <c:formatCode>General</c:formatCode>
                <c:ptCount val="552"/>
              </c:numCache>
            </c:numRef>
          </c:xVal>
          <c:yVal>
            <c:numRef>
              <c:f>'[1]Activité Béliers'!$N$281:$N$832</c:f>
              <c:numCache>
                <c:formatCode>General</c:formatCode>
                <c:ptCount val="552"/>
              </c:numCache>
            </c:numRef>
          </c:yVal>
          <c:smooth val="0"/>
        </c:ser>
        <c:ser>
          <c:idx val="3"/>
          <c:order val="3"/>
          <c:tx>
            <c:strRef>
              <c:f>'[1]Activité Béliers'!$D$833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c000"/>
            </a:solidFill>
            <a:ln w="19080">
              <a:solidFill>
                <a:srgbClr val="ffc000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'[1]Activité Béliers'!$K$833:$K$1320</c:f>
              <c:numCache>
                <c:formatCode>General</c:formatCode>
                <c:ptCount val="488"/>
              </c:numCache>
            </c:numRef>
          </c:xVal>
          <c:yVal>
            <c:numRef>
              <c:f>'[1]Activité Béliers'!$N$833:$N$1320</c:f>
              <c:numCache>
                <c:formatCode>General</c:formatCode>
                <c:ptCount val="488"/>
              </c:numCache>
            </c:numRef>
          </c:yVal>
          <c:smooth val="0"/>
        </c:ser>
        <c:ser>
          <c:idx val="4"/>
          <c:order val="4"/>
          <c:tx>
            <c:strRef>
              <c:f>'[1]Activité Béliers'!$D$1321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'[1]Activité Béliers'!$K$1321:$K$1475</c:f>
              <c:numCache>
                <c:formatCode>General</c:formatCode>
                <c:ptCount val="155"/>
              </c:numCache>
            </c:numRef>
          </c:xVal>
          <c:yVal>
            <c:numRef>
              <c:f>'[1]Activité Béliers'!$N$1321:$N$1475</c:f>
              <c:numCache>
                <c:formatCode>General</c:formatCode>
                <c:ptCount val="155"/>
              </c:numCache>
            </c:numRef>
          </c:yVal>
          <c:smooth val="0"/>
        </c:ser>
        <c:ser>
          <c:idx val="5"/>
          <c:order val="5"/>
          <c:tx>
            <c:strRef>
              <c:f>'[1]Activité Béliers'!$D$1476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70ad47"/>
            </a:solidFill>
            <a:ln w="19080">
              <a:solidFill>
                <a:srgbClr val="70ad47"/>
              </a:solidFill>
              <a:round/>
            </a:ln>
          </c:spPr>
          <c:dPt>
            <c:idx val="121"/>
          </c:dPt>
          <c:dLbls>
            <c:dLbl>
              <c:idx val="12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'[1]Activité Béliers'!$K$1476:$K$1643</c:f>
              <c:numCache>
                <c:formatCode>General</c:formatCode>
                <c:ptCount val="168"/>
              </c:numCache>
            </c:numRef>
          </c:xVal>
          <c:yVal>
            <c:numRef>
              <c:f>'[1]Activité Béliers'!$N$1476:$N$1643</c:f>
              <c:numCache>
                <c:formatCode>General</c:formatCode>
                <c:ptCount val="168"/>
              </c:numCache>
            </c:numRef>
          </c:yVal>
          <c:smooth val="0"/>
        </c:ser>
        <c:axId val="974469"/>
        <c:axId val="46397777"/>
      </c:scatterChart>
      <c:valAx>
        <c:axId val="974469"/>
        <c:scaling>
          <c:orientation val="minMax"/>
          <c:max val="45463"/>
          <c:min val="45433"/>
        </c:scaling>
        <c:delete val="0"/>
        <c:axPos val="b"/>
        <c:numFmt formatCode="d/m;@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6397777"/>
        <c:crosses val="autoZero"/>
        <c:crossBetween val="midCat"/>
      </c:valAx>
      <c:valAx>
        <c:axId val="4639777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18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lang="fr-FR" sz="1800" spc="-1" strike="noStrike">
                    <a:solidFill>
                      <a:srgbClr val="000000"/>
                    </a:solidFill>
                    <a:latin typeface="Calibri"/>
                  </a:rPr>
                  <a:t>Nb lectures cumulées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469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2501947119389"/>
          <c:y val="0.634629392256201"/>
          <c:w val="0.0935894752006771"/>
          <c:h val="0.262309711286089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20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fr-FR" sz="2000" spc="-1" strike="noStrike">
                <a:solidFill>
                  <a:srgbClr val="000000"/>
                </a:solidFill>
                <a:latin typeface="Calibri"/>
              </a:rPr>
              <a:t>Activité des béliers pendant l'effet mâle (La Cazotte 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689486552567"/>
          <c:y val="0.119662547176793"/>
          <c:w val="0.866787601545863"/>
          <c:h val="0.7902760304891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'[2]EM Béliers'!$D$2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Béliers'!$K$2:$K$157</c:f>
              <c:numCache>
                <c:formatCode>General</c:formatCode>
                <c:ptCount val="156"/>
              </c:numCache>
            </c:numRef>
          </c:xVal>
          <c:yVal>
            <c:numRef>
              <c:f>'[2]EM Béliers'!$N$2:$N$157</c:f>
              <c:numCache>
                <c:formatCode>General</c:formatCode>
                <c:ptCount val="156"/>
              </c:numCache>
            </c:numRef>
          </c:yVal>
          <c:smooth val="0"/>
        </c:ser>
        <c:ser>
          <c:idx val="1"/>
          <c:order val="1"/>
          <c:tx>
            <c:strRef>
              <c:f>'[2]EM Béliers'!$D$158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Béliers'!$K$158:$K$195</c:f>
              <c:numCache>
                <c:formatCode>General</c:formatCode>
                <c:ptCount val="38"/>
              </c:numCache>
            </c:numRef>
          </c:xVal>
          <c:yVal>
            <c:numRef>
              <c:f>'[2]EM Béliers'!$N$158:$N$195</c:f>
              <c:numCache>
                <c:formatCode>General</c:formatCode>
                <c:ptCount val="38"/>
              </c:numCache>
            </c:numRef>
          </c:yVal>
          <c:smooth val="0"/>
        </c:ser>
        <c:ser>
          <c:idx val="2"/>
          <c:order val="2"/>
          <c:tx>
            <c:strRef>
              <c:f>'[2]EM Béliers'!$D$196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Béliers'!$K$196:$K$414</c:f>
              <c:numCache>
                <c:formatCode>General</c:formatCode>
                <c:ptCount val="219"/>
              </c:numCache>
            </c:numRef>
          </c:xVal>
          <c:yVal>
            <c:numRef>
              <c:f>'[2]EM Béliers'!$N$196:$N$414</c:f>
              <c:numCache>
                <c:formatCode>General</c:formatCode>
                <c:ptCount val="219"/>
              </c:numCache>
            </c:numRef>
          </c:yVal>
          <c:smooth val="0"/>
        </c:ser>
        <c:ser>
          <c:idx val="3"/>
          <c:order val="3"/>
          <c:tx>
            <c:strRef>
              <c:f>'[2]EM Béliers'!$D$415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c000"/>
            </a:solidFill>
            <a:ln w="19080">
              <a:solidFill>
                <a:srgbClr val="ffc000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Béliers'!$K$415:$K$521</c:f>
              <c:numCache>
                <c:formatCode>General</c:formatCode>
                <c:ptCount val="107"/>
              </c:numCache>
            </c:numRef>
          </c:xVal>
          <c:yVal>
            <c:numRef>
              <c:f>'[2]EM Béliers'!$N$415:$N$521</c:f>
              <c:numCache>
                <c:formatCode>General</c:formatCode>
                <c:ptCount val="107"/>
              </c:numCache>
            </c:numRef>
          </c:yVal>
          <c:smooth val="0"/>
        </c:ser>
        <c:ser>
          <c:idx val="4"/>
          <c:order val="4"/>
          <c:tx>
            <c:strRef>
              <c:f>'[2]EM Béliers'!$D$522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Béliers'!$K$522:$K$676</c:f>
              <c:numCache>
                <c:formatCode>General</c:formatCode>
                <c:ptCount val="155"/>
              </c:numCache>
            </c:numRef>
          </c:xVal>
          <c:yVal>
            <c:numRef>
              <c:f>'[2]EM Béliers'!$N$522:$N$676</c:f>
              <c:numCache>
                <c:formatCode>General</c:formatCode>
                <c:ptCount val="155"/>
              </c:numCache>
            </c:numRef>
          </c:yVal>
          <c:smooth val="0"/>
        </c:ser>
        <c:axId val="22840719"/>
        <c:axId val="30473134"/>
      </c:scatterChart>
      <c:valAx>
        <c:axId val="22840719"/>
        <c:scaling>
          <c:orientation val="minMax"/>
          <c:max val="45447"/>
          <c:min val="45433"/>
        </c:scaling>
        <c:delete val="0"/>
        <c:axPos val="b"/>
        <c:numFmt formatCode="d/m;@" sourceLinked="0"/>
        <c:majorTickMark val="in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0473134"/>
        <c:crosses val="autoZero"/>
        <c:crossBetween val="midCat"/>
        <c:majorUnit val="1"/>
        <c:minorUnit val="0.25"/>
      </c:valAx>
      <c:valAx>
        <c:axId val="3047313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18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lang="fr-FR" sz="1800" spc="-1" strike="noStrike">
                    <a:solidFill>
                      <a:srgbClr val="000000"/>
                    </a:solidFill>
                    <a:latin typeface="Calibri"/>
                  </a:rPr>
                  <a:t>Nb lectures cumulées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40719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2501947119389"/>
          <c:y val="0.634629392256201"/>
          <c:w val="0.0935894752006771"/>
          <c:h val="0.262309711286089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24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fr-FR" sz="2400" spc="-1" strike="noStrike">
                <a:solidFill>
                  <a:srgbClr val="000000"/>
                </a:solidFill>
                <a:latin typeface="Calibri"/>
              </a:rPr>
              <a:t>Activité des béliers pendant le retour (La Cazotte 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689486552567"/>
          <c:y val="0.119662547176793"/>
          <c:w val="0.866787601545863"/>
          <c:h val="0.7902760304891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'[3]Retour Béliers'!$D$2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'[3]Retour Béliers'!$K$2:$K$86</c:f>
              <c:numCache>
                <c:formatCode>General</c:formatCode>
                <c:ptCount val="85"/>
              </c:numCache>
            </c:numRef>
          </c:xVal>
          <c:yVal>
            <c:numRef>
              <c:f>'[3]Retour Béliers'!$N$2:$N$86</c:f>
              <c:numCache>
                <c:formatCode>General</c:formatCode>
                <c:ptCount val="85"/>
              </c:numCache>
            </c:numRef>
          </c:yVal>
          <c:smooth val="0"/>
        </c:ser>
        <c:ser>
          <c:idx val="1"/>
          <c:order val="1"/>
          <c:tx>
            <c:strRef>
              <c:f>'[3]Retour Béliers'!$D$87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'[3]Retour Béliers'!$K$87:$K$419</c:f>
              <c:numCache>
                <c:formatCode>General</c:formatCode>
                <c:ptCount val="333"/>
              </c:numCache>
            </c:numRef>
          </c:xVal>
          <c:yVal>
            <c:numRef>
              <c:f>'[3]Retour Béliers'!$N$87:$N$419</c:f>
              <c:numCache>
                <c:formatCode>General</c:formatCode>
                <c:ptCount val="333"/>
              </c:numCache>
            </c:numRef>
          </c:yVal>
          <c:smooth val="0"/>
        </c:ser>
        <c:ser>
          <c:idx val="2"/>
          <c:order val="2"/>
          <c:tx>
            <c:strRef>
              <c:f>'[3]Retour Béliers'!$D$420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c000"/>
            </a:solidFill>
            <a:ln w="19080">
              <a:solidFill>
                <a:srgbClr val="ffc000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'[3]Retour Béliers'!$K$420:$K$800</c:f>
              <c:numCache>
                <c:formatCode>General</c:formatCode>
                <c:ptCount val="381"/>
              </c:numCache>
            </c:numRef>
          </c:xVal>
          <c:yVal>
            <c:numRef>
              <c:f>'[3]Retour Béliers'!$N$420:$N$800</c:f>
              <c:numCache>
                <c:formatCode>General</c:formatCode>
                <c:ptCount val="381"/>
              </c:numCache>
            </c:numRef>
          </c:yVal>
          <c:smooth val="0"/>
        </c:ser>
        <c:ser>
          <c:idx val="3"/>
          <c:order val="3"/>
          <c:tx>
            <c:strRef>
              <c:f>'[3]Retour Béliers'!$D$801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70ad47"/>
            </a:solidFill>
            <a:ln w="19080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'[3]Retour Béliers'!$K$801:$K$968</c:f>
              <c:numCache>
                <c:formatCode>General</c:formatCode>
                <c:ptCount val="168"/>
              </c:numCache>
            </c:numRef>
          </c:xVal>
          <c:yVal>
            <c:numRef>
              <c:f>'[3]Retour Béliers'!$N$801:$N$968</c:f>
              <c:numCache>
                <c:formatCode>General</c:formatCode>
                <c:ptCount val="168"/>
              </c:numCache>
            </c:numRef>
          </c:yVal>
          <c:smooth val="0"/>
        </c:ser>
        <c:axId val="51082942"/>
        <c:axId val="52636939"/>
      </c:scatterChart>
      <c:valAx>
        <c:axId val="51082942"/>
        <c:scaling>
          <c:orientation val="minMax"/>
          <c:max val="45463"/>
          <c:min val="45446"/>
        </c:scaling>
        <c:delete val="0"/>
        <c:axPos val="b"/>
        <c:numFmt formatCode="d/m;@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2636939"/>
        <c:crosses val="autoZero"/>
        <c:crossBetween val="midCat"/>
      </c:valAx>
      <c:valAx>
        <c:axId val="5263693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18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lang="fr-FR" sz="1800" spc="-1" strike="noStrike">
                    <a:solidFill>
                      <a:srgbClr val="000000"/>
                    </a:solidFill>
                    <a:latin typeface="Calibri"/>
                  </a:rPr>
                  <a:t>Nb lectures cumulées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82942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117784965987313"/>
          <c:y val="0.138505361248449"/>
          <c:w val="0.0935894752006771"/>
          <c:h val="0.262309711286089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20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fr-FR" sz="2000" spc="-1" strike="noStrike">
                <a:solidFill>
                  <a:srgbClr val="000000"/>
                </a:solidFill>
                <a:latin typeface="Calibri"/>
              </a:rPr>
              <a:t>Activité des béliers par lot (La Cazotte 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58346807588"/>
          <c:y val="0.119662547176793"/>
          <c:w val="0.866821784911464"/>
          <c:h val="0.7902760304891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'[1]Activité par Lots'!$J$2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'[1]Activité par Lots'!$K$2:$K$488</c:f>
              <c:numCache>
                <c:formatCode>General</c:formatCode>
                <c:ptCount val="487"/>
              </c:numCache>
            </c:numRef>
          </c:xVal>
          <c:yVal>
            <c:numRef>
              <c:f>'[1]Activité par Lots'!$N$2:$N$488</c:f>
              <c:numCache>
                <c:formatCode>General</c:formatCode>
                <c:ptCount val="487"/>
              </c:numCache>
            </c:numRef>
          </c:yVal>
          <c:smooth val="0"/>
        </c:ser>
        <c:ser>
          <c:idx val="1"/>
          <c:order val="1"/>
          <c:tx>
            <c:strRef>
              <c:f>'[1]Activité par Lots'!$J$489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'[1]Activité par Lots'!$K$489:$K$1643</c:f>
              <c:numCache>
                <c:formatCode>General</c:formatCode>
                <c:ptCount val="1155"/>
              </c:numCache>
            </c:numRef>
          </c:xVal>
          <c:yVal>
            <c:numRef>
              <c:f>'[1]Activité par Lots'!$N$489:$N$1643</c:f>
              <c:numCache>
                <c:formatCode>General</c:formatCode>
                <c:ptCount val="1155"/>
              </c:numCache>
            </c:numRef>
          </c:yVal>
          <c:smooth val="0"/>
        </c:ser>
        <c:axId val="46873551"/>
        <c:axId val="55675880"/>
      </c:scatterChart>
      <c:valAx>
        <c:axId val="46873551"/>
        <c:scaling>
          <c:orientation val="minMax"/>
          <c:max val="45463"/>
          <c:min val="45433"/>
        </c:scaling>
        <c:delete val="0"/>
        <c:axPos val="b"/>
        <c:numFmt formatCode="d/m;@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5675880"/>
        <c:crosses val="autoZero"/>
        <c:crossBetween val="midCat"/>
      </c:valAx>
      <c:valAx>
        <c:axId val="5567588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18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lang="fr-FR" sz="1800" spc="-1" strike="noStrike">
                    <a:solidFill>
                      <a:srgbClr val="000000"/>
                    </a:solidFill>
                    <a:latin typeface="Calibri"/>
                  </a:rPr>
                  <a:t>Nb lectures cumulées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73551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58208064900978"/>
          <c:y val="0.761244379336304"/>
          <c:w val="0.105617833362596"/>
          <c:h val="0.118444322366681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20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fr-FR" sz="2000" spc="-1" strike="noStrike">
                <a:solidFill>
                  <a:srgbClr val="000000"/>
                </a:solidFill>
                <a:latin typeface="Calibri"/>
              </a:rPr>
              <a:t>Activité des béliers pendant l'effet mâle par lot (La Cazotte 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58346807588"/>
          <c:y val="0.119662547176793"/>
          <c:w val="0.866821784911464"/>
          <c:h val="0.7902760304891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'[2]EM par Lots'!$J$2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par Lots'!$K$2:$K$213</c:f>
              <c:numCache>
                <c:formatCode>General</c:formatCode>
                <c:ptCount val="212"/>
              </c:numCache>
            </c:numRef>
          </c:xVal>
          <c:yVal>
            <c:numRef>
              <c:f>'[2]EM par Lots'!$N$2:$N$213</c:f>
              <c:numCache>
                <c:formatCode>General</c:formatCode>
                <c:ptCount val="212"/>
              </c:numCache>
            </c:numRef>
          </c:yVal>
          <c:smooth val="0"/>
        </c:ser>
        <c:ser>
          <c:idx val="1"/>
          <c:order val="1"/>
          <c:tx>
            <c:strRef>
              <c:f>'[2]EM par Lots'!$J$214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par Lots'!$K$214:$K$676</c:f>
              <c:numCache>
                <c:formatCode>General</c:formatCode>
                <c:ptCount val="463"/>
              </c:numCache>
            </c:numRef>
          </c:xVal>
          <c:yVal>
            <c:numRef>
              <c:f>'[2]EM par Lots'!$N$214:$N$676</c:f>
              <c:numCache>
                <c:formatCode>General</c:formatCode>
                <c:ptCount val="463"/>
              </c:numCache>
            </c:numRef>
          </c:yVal>
          <c:smooth val="0"/>
        </c:ser>
        <c:axId val="16989543"/>
        <c:axId val="87770634"/>
      </c:scatterChart>
      <c:valAx>
        <c:axId val="16989543"/>
        <c:scaling>
          <c:orientation val="minMax"/>
          <c:max val="45447"/>
          <c:min val="45433"/>
        </c:scaling>
        <c:delete val="0"/>
        <c:axPos val="b"/>
        <c:numFmt formatCode="d/m;@" sourceLinked="0"/>
        <c:majorTickMark val="in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7770634"/>
        <c:crosses val="autoZero"/>
        <c:crossBetween val="midCat"/>
        <c:majorUnit val="1"/>
        <c:minorUnit val="0.25"/>
      </c:valAx>
      <c:valAx>
        <c:axId val="8777063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18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lang="fr-FR" sz="1800" spc="-1" strike="noStrike">
                    <a:solidFill>
                      <a:srgbClr val="000000"/>
                    </a:solidFill>
                    <a:latin typeface="Calibri"/>
                  </a:rPr>
                  <a:t>Nb lectures cumulées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89543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58208064900978"/>
          <c:y val="0.761244379336304"/>
          <c:w val="0.105617833362596"/>
          <c:h val="0.118444322366681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20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fr-FR" sz="2000" spc="-1" strike="noStrike">
                <a:solidFill>
                  <a:srgbClr val="000000"/>
                </a:solidFill>
                <a:latin typeface="Calibri"/>
              </a:rPr>
              <a:t>Activité des béliers pendant le retour par lot (La Cazotte 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58346807588"/>
          <c:y val="0.119662547176793"/>
          <c:w val="0.866821784911464"/>
          <c:h val="0.7902760304891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'[3]Retour Lots'!$J$3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'[3]Retour Lots'!$K$2:$K$276</c:f>
              <c:numCache>
                <c:formatCode>General</c:formatCode>
                <c:ptCount val="275"/>
              </c:numCache>
            </c:numRef>
          </c:xVal>
          <c:yVal>
            <c:numRef>
              <c:f>'[3]Retour Lots'!$N$2:$N$276</c:f>
              <c:numCache>
                <c:formatCode>General</c:formatCode>
                <c:ptCount val="275"/>
              </c:numCache>
            </c:numRef>
          </c:yVal>
          <c:smooth val="0"/>
        </c:ser>
        <c:ser>
          <c:idx val="1"/>
          <c:order val="1"/>
          <c:tx>
            <c:strRef>
              <c:f>'[3]Retour Lots'!$J$277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'[3]Retour Lots'!$K$277:$K$968</c:f>
              <c:numCache>
                <c:formatCode>General</c:formatCode>
                <c:ptCount val="692"/>
              </c:numCache>
            </c:numRef>
          </c:xVal>
          <c:yVal>
            <c:numRef>
              <c:f>'[3]Retour Lots'!$N$277:$N$968</c:f>
              <c:numCache>
                <c:formatCode>General</c:formatCode>
                <c:ptCount val="692"/>
              </c:numCache>
            </c:numRef>
          </c:yVal>
          <c:smooth val="0"/>
        </c:ser>
        <c:axId val="30793198"/>
        <c:axId val="78129337"/>
      </c:scatterChart>
      <c:valAx>
        <c:axId val="30793198"/>
        <c:scaling>
          <c:orientation val="minMax"/>
          <c:max val="45463"/>
          <c:min val="45446"/>
        </c:scaling>
        <c:delete val="0"/>
        <c:axPos val="b"/>
        <c:numFmt formatCode="d/m;@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8129337"/>
        <c:crosses val="autoZero"/>
        <c:crossBetween val="midCat"/>
      </c:valAx>
      <c:valAx>
        <c:axId val="7812933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18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lang="fr-FR" sz="1800" spc="-1" strike="noStrike">
                    <a:solidFill>
                      <a:srgbClr val="000000"/>
                    </a:solidFill>
                    <a:latin typeface="Calibri"/>
                  </a:rPr>
                  <a:t>Nb lectures cumulées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93198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123502518874678"/>
          <c:y val="0.154009237217441"/>
          <c:w val="0.105617833362596"/>
          <c:h val="0.118444322366681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fr-FR" sz="1800" spc="-1" strike="noStrike">
                <a:solidFill>
                  <a:srgbClr val="000000"/>
                </a:solidFill>
                <a:latin typeface="Calibri"/>
              </a:rPr>
              <a:t>Brebis chevauchées: lot SR 1/20 (La Cazotte 2024) </a:t>
            </a:r>
          </a:p>
        </c:rich>
      </c:tx>
      <c:layout>
        <c:manualLayout>
          <c:xMode val="edge"/>
          <c:yMode val="edge"/>
          <c:x val="0.234712900820283"/>
          <c:y val="0.0089514066496163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49341287596321"/>
          <c:y val="0.106074168797954"/>
          <c:w val="0.902529207059408"/>
          <c:h val="0.848976982097187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'[1]Chaleurs Brebis  Points rouges'!$H$2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1908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rouges'!$K$2:$K$6</c:f>
              <c:numCache>
                <c:formatCode>General</c:formatCode>
                <c:ptCount val="5"/>
              </c:numCache>
            </c:numRef>
          </c:xVal>
          <c:yVal>
            <c:numRef>
              <c:f>'[1]Chaleurs Brebis  Points rouges'!$L$2:$L$6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1"/>
          <c:order val="1"/>
          <c:tx>
            <c:strRef>
              <c:f>'[1]Chaleurs Brebis  Points rouges'!$H$7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rouges'!$K$7:$K$14</c:f>
              <c:numCache>
                <c:formatCode>General</c:formatCode>
                <c:ptCount val="8"/>
              </c:numCache>
            </c:numRef>
          </c:xVal>
          <c:yVal>
            <c:numRef>
              <c:f>'[1]Chaleurs Brebis  Points rouges'!$L$7:$L$14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2"/>
          <c:order val="2"/>
          <c:tx>
            <c:strRef>
              <c:f>'[1]Chaleurs Brebis  Points rouges'!$H$15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rouges'!$K$15:$K$18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rouges'!$L$15:$L$18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3"/>
          <c:order val="3"/>
          <c:tx>
            <c:strRef>
              <c:f>'[1]Chaleurs Brebis  Points rouges'!$H$19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rouges'!$K$19:$K$21</c:f>
              <c:numCache>
                <c:formatCode>General</c:formatCode>
                <c:ptCount val="3"/>
              </c:numCache>
            </c:numRef>
          </c:xVal>
          <c:yVal>
            <c:numRef>
              <c:f>'[1]Chaleurs Brebis  Points rouges'!$L$19:$L$21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4"/>
          <c:order val="4"/>
          <c:tx>
            <c:strRef>
              <c:f>'[1]Chaleurs Brebis  Points rouges'!$H$22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rouges'!$K$22:$K$30</c:f>
              <c:numCache>
                <c:formatCode>General</c:formatCode>
                <c:ptCount val="9"/>
              </c:numCache>
            </c:numRef>
          </c:xVal>
          <c:yVal>
            <c:numRef>
              <c:f>'[1]Chaleurs Brebis  Points rouges'!$L$22:$L$30</c:f>
              <c:numCache>
                <c:formatCode>General</c:formatCode>
                <c:ptCount val="9"/>
              </c:numCache>
            </c:numRef>
          </c:yVal>
          <c:smooth val="0"/>
        </c:ser>
        <c:ser>
          <c:idx val="5"/>
          <c:order val="5"/>
          <c:tx>
            <c:strRef>
              <c:f>'[1]Chaleurs Brebis  Points rouges'!$H$31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rouges'!$K$31:$K$53</c:f>
              <c:numCache>
                <c:formatCode>General</c:formatCode>
                <c:ptCount val="23"/>
              </c:numCache>
            </c:numRef>
          </c:xVal>
          <c:yVal>
            <c:numRef>
              <c:f>'[1]Chaleurs Brebis  Points rouges'!$L$31:$L$53</c:f>
              <c:numCache>
                <c:formatCode>General</c:formatCode>
                <c:ptCount val="23"/>
              </c:numCache>
            </c:numRef>
          </c:yVal>
          <c:smooth val="0"/>
        </c:ser>
        <c:ser>
          <c:idx val="6"/>
          <c:order val="6"/>
          <c:tx>
            <c:strRef>
              <c:f>'[1]Chaleurs Brebis  Points rouges'!$H$54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rouges'!$K$54:$K$93</c:f>
              <c:numCache>
                <c:formatCode>General</c:formatCode>
                <c:ptCount val="40"/>
              </c:numCache>
            </c:numRef>
          </c:xVal>
          <c:yVal>
            <c:numRef>
              <c:f>'[1]Chaleurs Brebis  Points rouges'!$L$54:$L$93</c:f>
              <c:numCache>
                <c:formatCode>General</c:formatCode>
                <c:ptCount val="40"/>
              </c:numCache>
            </c:numRef>
          </c:yVal>
          <c:smooth val="0"/>
        </c:ser>
        <c:ser>
          <c:idx val="7"/>
          <c:order val="7"/>
          <c:tx>
            <c:strRef>
              <c:f>'[1]Chaleurs Brebis  Points rouges'!$H$94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rouges'!$K$94:$K$97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rouges'!$L$94:$L$97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8"/>
          <c:order val="8"/>
          <c:tx>
            <c:strRef>
              <c:f>'[1]Chaleurs Brebis  Points rouges'!$H$98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rouges'!$K$98:$K$117</c:f>
              <c:numCache>
                <c:formatCode>General</c:formatCode>
                <c:ptCount val="20"/>
              </c:numCache>
            </c:numRef>
          </c:xVal>
          <c:yVal>
            <c:numRef>
              <c:f>'[1]Chaleurs Brebis  Points rouges'!$L$98:$L$117</c:f>
              <c:numCache>
                <c:formatCode>General</c:formatCode>
                <c:ptCount val="20"/>
              </c:numCache>
            </c:numRef>
          </c:yVal>
          <c:smooth val="0"/>
        </c:ser>
        <c:ser>
          <c:idx val="9"/>
          <c:order val="9"/>
          <c:tx>
            <c:strRef>
              <c:f>'[1]Chaleurs Brebis  Points rouges'!$H$118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rouges'!$K$118:$K$119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rouges'!$L$118:$L$119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10"/>
          <c:order val="10"/>
          <c:tx>
            <c:strRef>
              <c:f>'[1]Chaleurs Brebis  Points rouges'!$H$120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rouges'!$K$120:$K$157</c:f>
              <c:numCache>
                <c:formatCode>General</c:formatCode>
                <c:ptCount val="38"/>
              </c:numCache>
            </c:numRef>
          </c:xVal>
          <c:yVal>
            <c:numRef>
              <c:f>'[1]Chaleurs Brebis  Points rouges'!$L$120:$L$157</c:f>
              <c:numCache>
                <c:formatCode>General</c:formatCode>
                <c:ptCount val="38"/>
              </c:numCache>
            </c:numRef>
          </c:yVal>
          <c:smooth val="0"/>
        </c:ser>
        <c:ser>
          <c:idx val="11"/>
          <c:order val="11"/>
          <c:tx>
            <c:strRef>
              <c:f>'[1]Chaleurs Brebis  Points rouges'!$H$158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rouges'!$K$158:$K$174</c:f>
              <c:numCache>
                <c:formatCode>General</c:formatCode>
                <c:ptCount val="17"/>
              </c:numCache>
            </c:numRef>
          </c:xVal>
          <c:yVal>
            <c:numRef>
              <c:f>'[1]Chaleurs Brebis  Points rouges'!$L$158:$L$174</c:f>
              <c:numCache>
                <c:formatCode>General</c:formatCode>
                <c:ptCount val="17"/>
              </c:numCache>
            </c:numRef>
          </c:yVal>
          <c:smooth val="0"/>
        </c:ser>
        <c:ser>
          <c:idx val="12"/>
          <c:order val="12"/>
          <c:tx>
            <c:strRef>
              <c:f>'[1]Chaleurs Brebis  Points rouges'!$H$175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rouges'!$K$175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rouges'!$L$175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13"/>
          <c:order val="13"/>
          <c:tx>
            <c:strRef>
              <c:f>'[1]Chaleurs Brebis  Points rouges'!$H$176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rouges'!$K$176:$K$177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rouges'!$L$176:$L$177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14"/>
          <c:order val="14"/>
          <c:tx>
            <c:strRef>
              <c:f>'[1]Chaleurs Brebis  Points rouges'!$H$178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rouges'!$K$178:$K$182</c:f>
              <c:numCache>
                <c:formatCode>General</c:formatCode>
                <c:ptCount val="5"/>
              </c:numCache>
            </c:numRef>
          </c:xVal>
          <c:yVal>
            <c:numRef>
              <c:f>'[1]Chaleurs Brebis  Points rouges'!$L$178:$L$182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15"/>
          <c:order val="15"/>
          <c:tx>
            <c:strRef>
              <c:f>'[1]Chaleurs Brebis  Points rouges'!$H$183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rouges'!$K$183:$K$187</c:f>
              <c:numCache>
                <c:formatCode>General</c:formatCode>
                <c:ptCount val="5"/>
              </c:numCache>
            </c:numRef>
          </c:xVal>
          <c:yVal>
            <c:numRef>
              <c:f>'[1]Chaleurs Brebis  Points rouges'!$L$183:$L$187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16"/>
          <c:order val="16"/>
          <c:tx>
            <c:strRef>
              <c:f>'[1]Chaleurs Brebis  Points rouges'!$H$188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rouges'!$K$188:$K$189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rouges'!$L$188:$L$189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17"/>
          <c:order val="17"/>
          <c:tx>
            <c:strRef>
              <c:f>'[1]Chaleurs Brebis  Points rouges'!$H$190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rouges'!$K$190:$K$191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rouges'!$L$190:$L$191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18"/>
          <c:order val="18"/>
          <c:tx>
            <c:strRef>
              <c:f>'[1]Chaleurs Brebis  Points rouges'!$H$192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rouges'!$K$192:$K$195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rouges'!$L$192:$L$195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19"/>
          <c:order val="19"/>
          <c:tx>
            <c:strRef>
              <c:f>'[1]Chaleurs Brebis  Points rouges'!$H$196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rouges'!$K$196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rouges'!$L$196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0"/>
          <c:order val="20"/>
          <c:tx>
            <c:strRef>
              <c:f>'[1]Chaleurs Brebis  Points rouges'!$H$197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rouges'!$K$197:$K$208</c:f>
              <c:numCache>
                <c:formatCode>General</c:formatCode>
                <c:ptCount val="12"/>
              </c:numCache>
            </c:numRef>
          </c:xVal>
          <c:yVal>
            <c:numRef>
              <c:f>'[1]Chaleurs Brebis  Points rouges'!$L$197:$L$208</c:f>
              <c:numCache>
                <c:formatCode>General</c:formatCode>
                <c:ptCount val="12"/>
              </c:numCache>
            </c:numRef>
          </c:yVal>
          <c:smooth val="0"/>
        </c:ser>
        <c:ser>
          <c:idx val="21"/>
          <c:order val="21"/>
          <c:tx>
            <c:strRef>
              <c:f>'[1]Chaleurs Brebis  Points rouges'!$H$209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rouges'!$K$209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rouges'!$L$209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2"/>
          <c:order val="22"/>
          <c:tx>
            <c:strRef>
              <c:f>'[1]Chaleurs Brebis  Points rouges'!$H$210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rouges'!$K$210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rouges'!$L$210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3"/>
          <c:order val="23"/>
          <c:tx>
            <c:strRef>
              <c:f>'[1]Chaleurs Brebis  Points rouges'!$H$211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rouges'!$K$211:$K$270</c:f>
              <c:numCache>
                <c:formatCode>General</c:formatCode>
                <c:ptCount val="60"/>
              </c:numCache>
            </c:numRef>
          </c:xVal>
          <c:yVal>
            <c:numRef>
              <c:f>'[1]Chaleurs Brebis  Points rouges'!$L$209:$L$270</c:f>
              <c:numCache>
                <c:formatCode>General</c:formatCode>
                <c:ptCount val="62"/>
              </c:numCache>
            </c:numRef>
          </c:yVal>
          <c:smooth val="0"/>
        </c:ser>
        <c:ser>
          <c:idx val="24"/>
          <c:order val="24"/>
          <c:tx>
            <c:strRef>
              <c:f>'[1]Chaleurs Brebis  Points rouges'!$H$271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rouges'!$K$271:$K$272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rouges'!$L$271:$L$272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25"/>
          <c:order val="25"/>
          <c:tx>
            <c:strRef>
              <c:f>'[1]Chaleurs Brebis  Points rouges'!$H$273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rouges'!$K$273:$K$305</c:f>
              <c:numCache>
                <c:formatCode>General</c:formatCode>
                <c:ptCount val="33"/>
              </c:numCache>
            </c:numRef>
          </c:xVal>
          <c:yVal>
            <c:numRef>
              <c:f>'[1]Chaleurs Brebis  Points rouges'!$L$273:$L$305</c:f>
              <c:numCache>
                <c:formatCode>General</c:formatCode>
                <c:ptCount val="33"/>
              </c:numCache>
            </c:numRef>
          </c:yVal>
          <c:smooth val="0"/>
        </c:ser>
        <c:ser>
          <c:idx val="26"/>
          <c:order val="26"/>
          <c:tx>
            <c:strRef>
              <c:f>'[1]Chaleurs Brebis  Points rouges'!$H$306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rouges'!$K$306:$K$308</c:f>
              <c:numCache>
                <c:formatCode>General</c:formatCode>
                <c:ptCount val="3"/>
              </c:numCache>
            </c:numRef>
          </c:xVal>
          <c:yVal>
            <c:numRef>
              <c:f>'[1]Chaleurs Brebis  Points rouges'!$L$306:$L$308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27"/>
          <c:order val="27"/>
          <c:tx>
            <c:strRef>
              <c:f>'[1]Chaleurs Brebis  Points rouges'!$H$309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rouges'!$K$309:$K$341</c:f>
              <c:numCache>
                <c:formatCode>General</c:formatCode>
                <c:ptCount val="33"/>
              </c:numCache>
            </c:numRef>
          </c:xVal>
          <c:yVal>
            <c:numRef>
              <c:f>'[1]Chaleurs Brebis  Points rouges'!$L$309:$L$341</c:f>
              <c:numCache>
                <c:formatCode>General</c:formatCode>
                <c:ptCount val="33"/>
              </c:numCache>
            </c:numRef>
          </c:yVal>
          <c:smooth val="0"/>
        </c:ser>
        <c:ser>
          <c:idx val="28"/>
          <c:order val="28"/>
          <c:tx>
            <c:strRef>
              <c:f>'[1]Chaleurs Brebis  Points rouges'!$H$342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rouges'!$K$342:$K$343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rouges'!$L$342:$L$343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29"/>
          <c:order val="29"/>
          <c:tx>
            <c:strRef>
              <c:f>'[1]Chaleurs Brebis  Points rouges'!$H$344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rouges'!$K$344:$K$469</c:f>
              <c:numCache>
                <c:formatCode>General</c:formatCode>
                <c:ptCount val="126"/>
              </c:numCache>
            </c:numRef>
          </c:xVal>
          <c:yVal>
            <c:numRef>
              <c:f>'[1]Chaleurs Brebis  Points rouges'!$L$344:$L$469</c:f>
              <c:numCache>
                <c:formatCode>General</c:formatCode>
                <c:ptCount val="126"/>
              </c:numCache>
            </c:numRef>
          </c:yVal>
          <c:smooth val="0"/>
        </c:ser>
        <c:ser>
          <c:idx val="30"/>
          <c:order val="30"/>
          <c:tx>
            <c:strRef>
              <c:f>'[1]Chaleurs Brebis  Points rouges'!$H$470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rouges'!$K$470:$K$473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rouges'!$L$470:$L$473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31"/>
          <c:order val="31"/>
          <c:tx>
            <c:strRef>
              <c:f>'[1]Chaleurs Brebis  Points rouges'!$H$474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rouges'!$K$474:$K$487</c:f>
              <c:numCache>
                <c:formatCode>General</c:formatCode>
                <c:ptCount val="14"/>
              </c:numCache>
            </c:numRef>
          </c:xVal>
          <c:yVal>
            <c:numRef>
              <c:f>'[1]Chaleurs Brebis  Points rouges'!$L$474:$L$487</c:f>
              <c:numCache>
                <c:formatCode>General</c:formatCode>
                <c:ptCount val="14"/>
              </c:numCache>
            </c:numRef>
          </c:yVal>
          <c:smooth val="0"/>
        </c:ser>
        <c:ser>
          <c:idx val="32"/>
          <c:order val="32"/>
          <c:tx>
            <c:strRef>
              <c:f>'[1]Chaleurs Brebis  Points rouges'!$H$488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rouges'!$K$488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rouges'!$L$488</c:f>
              <c:numCache>
                <c:formatCode>General</c:formatCode>
                <c:ptCount val="1"/>
              </c:numCache>
            </c:numRef>
          </c:yVal>
          <c:smooth val="0"/>
        </c:ser>
        <c:axId val="24947881"/>
        <c:axId val="42831445"/>
      </c:scatterChart>
      <c:valAx>
        <c:axId val="24947881"/>
        <c:scaling>
          <c:orientation val="minMax"/>
          <c:max val="45463"/>
          <c:min val="45433"/>
        </c:scaling>
        <c:delete val="0"/>
        <c:axPos val="b"/>
        <c:numFmt formatCode="dd/mm/yy\ hh:mm" sourceLinked="0"/>
        <c:majorTickMark val="in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2831445"/>
        <c:crosses val="autoZero"/>
        <c:crossBetween val="midCat"/>
        <c:majorUnit val="4"/>
        <c:minorUnit val="0.25"/>
      </c:valAx>
      <c:valAx>
        <c:axId val="42831445"/>
        <c:scaling>
          <c:orientation val="minMax"/>
          <c:max val="34"/>
          <c:min val="0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minorGridlines>
          <c:spPr>
            <a:ln w="3240">
              <a:solidFill>
                <a:srgbClr val="000000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fr-FR" sz="14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400" spc="-1" strike="noStrike">
                    <a:solidFill>
                      <a:srgbClr val="000000"/>
                    </a:solidFill>
                    <a:latin typeface="Calibri"/>
                  </a:rPr>
                  <a:t>N° des brebis</a:t>
                </a:r>
              </a:p>
            </c:rich>
          </c:tx>
          <c:layout>
            <c:manualLayout>
              <c:xMode val="edge"/>
              <c:yMode val="edge"/>
              <c:x val="0.00273427790206314"/>
              <c:y val="0.45901534526854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47881"/>
        <c:crosses val="autoZero"/>
        <c:crossBetween val="midCat"/>
        <c:majorUnit val="4"/>
        <c:minorUnit val="1"/>
      </c:valAx>
      <c:spPr>
        <a:noFill/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fr-FR" sz="1800" spc="-1" strike="noStrike">
                <a:solidFill>
                  <a:srgbClr val="000000"/>
                </a:solidFill>
                <a:latin typeface="Calibri"/>
              </a:rPr>
              <a:t>Brebis chevauchées: lot SR 1/40 (La Cazotte 2024) </a:t>
            </a:r>
          </a:p>
        </c:rich>
      </c:tx>
      <c:layout>
        <c:manualLayout>
          <c:xMode val="edge"/>
          <c:yMode val="edge"/>
          <c:x val="0.234712900820283"/>
          <c:y val="0.0089514066496163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49341287596321"/>
          <c:y val="0.106074168797954"/>
          <c:w val="0.902529207059408"/>
          <c:h val="0.848976982097187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'[1]Chaleurs Brebis  Points rouges'!$H$489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rouges'!$K$489:$K$569</c:f>
              <c:numCache>
                <c:formatCode>General</c:formatCode>
                <c:ptCount val="81"/>
              </c:numCache>
            </c:numRef>
          </c:xVal>
          <c:yVal>
            <c:numRef>
              <c:f>'[1]Chaleurs Brebis  Points rouges'!$L$489:$L$569</c:f>
              <c:numCache>
                <c:formatCode>General</c:formatCode>
                <c:ptCount val="81"/>
              </c:numCache>
            </c:numRef>
          </c:yVal>
          <c:smooth val="0"/>
        </c:ser>
        <c:ser>
          <c:idx val="1"/>
          <c:order val="1"/>
          <c:tx>
            <c:strRef>
              <c:f>'[1]Chaleurs Brebis  Points rouges'!$H$570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rouges'!$K$570:$K$577</c:f>
              <c:numCache>
                <c:formatCode>General</c:formatCode>
                <c:ptCount val="8"/>
              </c:numCache>
            </c:numRef>
          </c:xVal>
          <c:yVal>
            <c:numRef>
              <c:f>'[1]Chaleurs Brebis  Points rouges'!$L$570:$L$577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2"/>
          <c:order val="2"/>
          <c:tx>
            <c:strRef>
              <c:f>'[1]Chaleurs Brebis  Points rouges'!$H$578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rouges'!$K$578:$K$625</c:f>
              <c:numCache>
                <c:formatCode>General</c:formatCode>
                <c:ptCount val="48"/>
              </c:numCache>
            </c:numRef>
          </c:xVal>
          <c:yVal>
            <c:numRef>
              <c:f>'[1]Chaleurs Brebis  Points rouges'!$L$578:$L$625</c:f>
              <c:numCache>
                <c:formatCode>General</c:formatCode>
                <c:ptCount val="48"/>
              </c:numCache>
            </c:numRef>
          </c:yVal>
          <c:smooth val="0"/>
        </c:ser>
        <c:ser>
          <c:idx val="3"/>
          <c:order val="3"/>
          <c:tx>
            <c:strRef>
              <c:f>'[1]Chaleurs Brebis  Points rouges'!$H$626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rouges'!$K$626:$K$635</c:f>
              <c:numCache>
                <c:formatCode>General</c:formatCode>
                <c:ptCount val="10"/>
              </c:numCache>
            </c:numRef>
          </c:xVal>
          <c:yVal>
            <c:numRef>
              <c:f>'[1]Chaleurs Brebis  Points rouges'!$L$626:$L$635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4"/>
          <c:order val="4"/>
          <c:tx>
            <c:strRef>
              <c:f>'[1]Chaleurs Brebis  Points rouges'!$H$636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rouges'!$K$636:$K$681</c:f>
              <c:numCache>
                <c:formatCode>General</c:formatCode>
                <c:ptCount val="46"/>
              </c:numCache>
            </c:numRef>
          </c:xVal>
          <c:yVal>
            <c:numRef>
              <c:f>'[1]Chaleurs Brebis  Points rouges'!$L$636:$L$681</c:f>
              <c:numCache>
                <c:formatCode>General</c:formatCode>
                <c:ptCount val="46"/>
              </c:numCache>
            </c:numRef>
          </c:yVal>
          <c:smooth val="0"/>
        </c:ser>
        <c:ser>
          <c:idx val="5"/>
          <c:order val="5"/>
          <c:tx>
            <c:strRef>
              <c:f>'[1]Chaleurs Brebis  Points rouges'!$H$682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rouges'!$K$682:$K$687</c:f>
              <c:numCache>
                <c:formatCode>General</c:formatCode>
                <c:ptCount val="6"/>
              </c:numCache>
            </c:numRef>
          </c:xVal>
          <c:yVal>
            <c:numRef>
              <c:f>'[1]Chaleurs Brebis  Points rouges'!$L$682:$L$687</c:f>
              <c:numCache>
                <c:formatCode>General</c:formatCode>
                <c:ptCount val="6"/>
              </c:numCache>
            </c:numRef>
          </c:yVal>
          <c:smooth val="0"/>
        </c:ser>
        <c:ser>
          <c:idx val="6"/>
          <c:order val="6"/>
          <c:tx>
            <c:strRef>
              <c:f>'[1]Chaleurs Brebis  Points rouges'!$H$688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rouges'!$K$688:$K$712</c:f>
              <c:numCache>
                <c:formatCode>General</c:formatCode>
                <c:ptCount val="25"/>
              </c:numCache>
            </c:numRef>
          </c:xVal>
          <c:yVal>
            <c:numRef>
              <c:f>'[1]Chaleurs Brebis  Points rouges'!$L$688:$L$712</c:f>
              <c:numCache>
                <c:formatCode>General</c:formatCode>
                <c:ptCount val="25"/>
              </c:numCache>
            </c:numRef>
          </c:yVal>
          <c:smooth val="0"/>
        </c:ser>
        <c:ser>
          <c:idx val="7"/>
          <c:order val="7"/>
          <c:tx>
            <c:strRef>
              <c:f>'[1]Chaleurs Brebis  Points rouges'!$H$713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rouges'!$K$713:$K$750</c:f>
              <c:numCache>
                <c:formatCode>General</c:formatCode>
                <c:ptCount val="38"/>
              </c:numCache>
            </c:numRef>
          </c:xVal>
          <c:yVal>
            <c:numRef>
              <c:f>'[1]Chaleurs Brebis  Points rouges'!$L$713:$L$750</c:f>
              <c:numCache>
                <c:formatCode>General</c:formatCode>
                <c:ptCount val="38"/>
              </c:numCache>
            </c:numRef>
          </c:yVal>
          <c:smooth val="0"/>
        </c:ser>
        <c:ser>
          <c:idx val="8"/>
          <c:order val="8"/>
          <c:tx>
            <c:strRef>
              <c:f>'[1]Chaleurs Brebis  Points rouges'!$H$751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rouges'!$K$751:$K$759</c:f>
              <c:numCache>
                <c:formatCode>General</c:formatCode>
                <c:ptCount val="9"/>
              </c:numCache>
            </c:numRef>
          </c:xVal>
          <c:yVal>
            <c:numRef>
              <c:f>'[1]Chaleurs Brebis  Points rouges'!$L$751:$L$759</c:f>
              <c:numCache>
                <c:formatCode>General</c:formatCode>
                <c:ptCount val="9"/>
              </c:numCache>
            </c:numRef>
          </c:yVal>
          <c:smooth val="0"/>
        </c:ser>
        <c:ser>
          <c:idx val="9"/>
          <c:order val="9"/>
          <c:tx>
            <c:strRef>
              <c:f>'[1]Chaleurs Brebis  Points rouges'!$H$760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rouges'!$K$760:$K$777</c:f>
              <c:numCache>
                <c:formatCode>General</c:formatCode>
                <c:ptCount val="18"/>
              </c:numCache>
            </c:numRef>
          </c:xVal>
          <c:yVal>
            <c:numRef>
              <c:f>'[1]Chaleurs Brebis  Points rouges'!$L$760:$L$777</c:f>
              <c:numCache>
                <c:formatCode>General</c:formatCode>
                <c:ptCount val="18"/>
              </c:numCache>
            </c:numRef>
          </c:yVal>
          <c:smooth val="0"/>
        </c:ser>
        <c:ser>
          <c:idx val="10"/>
          <c:order val="10"/>
          <c:tx>
            <c:strRef>
              <c:f>'[1]Chaleurs Brebis  Points rouges'!$H$778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rouges'!$K$778:$K$784</c:f>
              <c:numCache>
                <c:formatCode>General</c:formatCode>
                <c:ptCount val="7"/>
              </c:numCache>
            </c:numRef>
          </c:xVal>
          <c:yVal>
            <c:numRef>
              <c:f>'[1]Chaleurs Brebis  Points rouges'!$L$778:$L$784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1"/>
          <c:order val="11"/>
          <c:tx>
            <c:strRef>
              <c:f>'[1]Chaleurs Brebis  Points rouges'!$H$785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rouges'!$K$785:$K$795</c:f>
              <c:numCache>
                <c:formatCode>General</c:formatCode>
                <c:ptCount val="11"/>
              </c:numCache>
            </c:numRef>
          </c:xVal>
          <c:yVal>
            <c:numRef>
              <c:f>'[1]Chaleurs Brebis  Points rouges'!$L$785:$L$795</c:f>
              <c:numCache>
                <c:formatCode>General</c:formatCode>
                <c:ptCount val="11"/>
              </c:numCache>
            </c:numRef>
          </c:yVal>
          <c:smooth val="0"/>
        </c:ser>
        <c:ser>
          <c:idx val="12"/>
          <c:order val="12"/>
          <c:tx>
            <c:strRef>
              <c:f>'[1]Chaleurs Brebis  Points rouges'!$H$796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rouges'!$K$796:$K$802</c:f>
              <c:numCache>
                <c:formatCode>General</c:formatCode>
                <c:ptCount val="7"/>
              </c:numCache>
            </c:numRef>
          </c:xVal>
          <c:yVal>
            <c:numRef>
              <c:f>'[1]Chaleurs Brebis  Points rouges'!$L$796:$L$802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3"/>
          <c:order val="13"/>
          <c:tx>
            <c:strRef>
              <c:f>'[1]Chaleurs Brebis  Points rouges'!$H$803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rouges'!$K$803:$K$829</c:f>
              <c:numCache>
                <c:formatCode>General</c:formatCode>
                <c:ptCount val="27"/>
              </c:numCache>
            </c:numRef>
          </c:xVal>
          <c:yVal>
            <c:numRef>
              <c:f>'[1]Chaleurs Brebis  Points rouges'!$L$803:$L$829</c:f>
              <c:numCache>
                <c:formatCode>General</c:formatCode>
                <c:ptCount val="27"/>
              </c:numCache>
            </c:numRef>
          </c:yVal>
          <c:smooth val="0"/>
        </c:ser>
        <c:ser>
          <c:idx val="14"/>
          <c:order val="14"/>
          <c:tx>
            <c:strRef>
              <c:f>'[1]Chaleurs Brebis  Points rouges'!$H$830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rouges'!$K$830:$K$844</c:f>
              <c:numCache>
                <c:formatCode>General</c:formatCode>
                <c:ptCount val="15"/>
              </c:numCache>
            </c:numRef>
          </c:xVal>
          <c:yVal>
            <c:numRef>
              <c:f>'[1]Chaleurs Brebis  Points rouges'!$L$830:$L$844</c:f>
              <c:numCache>
                <c:formatCode>General</c:formatCode>
                <c:ptCount val="15"/>
              </c:numCache>
            </c:numRef>
          </c:yVal>
          <c:smooth val="0"/>
        </c:ser>
        <c:ser>
          <c:idx val="15"/>
          <c:order val="15"/>
          <c:tx>
            <c:strRef>
              <c:f>'[1]Chaleurs Brebis  Points rouges'!$H$845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rouges'!$K$845:$K$853</c:f>
              <c:numCache>
                <c:formatCode>General</c:formatCode>
                <c:ptCount val="9"/>
              </c:numCache>
            </c:numRef>
          </c:xVal>
          <c:yVal>
            <c:numRef>
              <c:f>'[1]Chaleurs Brebis  Points rouges'!$L$845:$L$853</c:f>
              <c:numCache>
                <c:formatCode>General</c:formatCode>
                <c:ptCount val="9"/>
              </c:numCache>
            </c:numRef>
          </c:yVal>
          <c:smooth val="0"/>
        </c:ser>
        <c:ser>
          <c:idx val="16"/>
          <c:order val="16"/>
          <c:tx>
            <c:strRef>
              <c:f>'[1]Chaleurs Brebis  Points rouges'!$H$854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rouges'!$K$854:$K$857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rouges'!$L$854:$L$857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17"/>
          <c:order val="17"/>
          <c:tx>
            <c:strRef>
              <c:f>'[1]Chaleurs Brebis  Points rouges'!$H$858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rouges'!$K$858:$K$866</c:f>
              <c:numCache>
                <c:formatCode>General</c:formatCode>
                <c:ptCount val="9"/>
              </c:numCache>
            </c:numRef>
          </c:xVal>
          <c:yVal>
            <c:numRef>
              <c:f>'[1]Chaleurs Brebis  Points rouges'!$L$858:$L$866</c:f>
              <c:numCache>
                <c:formatCode>General</c:formatCode>
                <c:ptCount val="9"/>
              </c:numCache>
            </c:numRef>
          </c:yVal>
          <c:smooth val="0"/>
        </c:ser>
        <c:ser>
          <c:idx val="18"/>
          <c:order val="18"/>
          <c:tx>
            <c:strRef>
              <c:f>'[1]Chaleurs Brebis  Points rouges'!$H$867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rouges'!$K$867:$K$870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rouges'!$L$867:$L$870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19"/>
          <c:order val="19"/>
          <c:tx>
            <c:strRef>
              <c:f>'[1]Chaleurs Brebis  Points rouges'!$H$871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rouges'!$K$871:$K$872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rouges'!$L$871:$L$872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20"/>
          <c:order val="20"/>
          <c:tx>
            <c:strRef>
              <c:f>'[1]Chaleurs Brebis  Points rouges'!$H$873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rouges'!$K$873:$K$889</c:f>
              <c:numCache>
                <c:formatCode>General</c:formatCode>
                <c:ptCount val="17"/>
              </c:numCache>
            </c:numRef>
          </c:xVal>
          <c:yVal>
            <c:numRef>
              <c:f>'[1]Chaleurs Brebis  Points rouges'!$L$873:$L$889</c:f>
              <c:numCache>
                <c:formatCode>General</c:formatCode>
                <c:ptCount val="17"/>
              </c:numCache>
            </c:numRef>
          </c:yVal>
          <c:smooth val="0"/>
        </c:ser>
        <c:ser>
          <c:idx val="21"/>
          <c:order val="21"/>
          <c:tx>
            <c:strRef>
              <c:f>'[1]Chaleurs Brebis  Points rouges'!$H$890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rouges'!$K$890:$K$892</c:f>
              <c:numCache>
                <c:formatCode>General</c:formatCode>
                <c:ptCount val="3"/>
              </c:numCache>
            </c:numRef>
          </c:xVal>
          <c:yVal>
            <c:numRef>
              <c:f>'[1]Chaleurs Brebis  Points rouges'!$L$890:$L$892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22"/>
          <c:order val="22"/>
          <c:tx>
            <c:strRef>
              <c:f>'[1]Chaleurs Brebis  Points rouges'!$H$893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rouges'!$K$893:$K$896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rouges'!$L$893:$L$896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23"/>
          <c:order val="23"/>
          <c:tx>
            <c:strRef>
              <c:f>'[1]Chaleurs Brebis  Points rouges'!$H$897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rouges'!$K$897:$K$906</c:f>
              <c:numCache>
                <c:formatCode>General</c:formatCode>
                <c:ptCount val="10"/>
              </c:numCache>
            </c:numRef>
          </c:xVal>
          <c:yVal>
            <c:numRef>
              <c:f>'[1]Chaleurs Brebis  Points rouges'!$L$897:$L$906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24"/>
          <c:order val="24"/>
          <c:tx>
            <c:strRef>
              <c:f>'[1]Chaleurs Brebis  Points rouges'!$H$907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rouges'!$K$907:$K$909</c:f>
              <c:numCache>
                <c:formatCode>General</c:formatCode>
                <c:ptCount val="3"/>
              </c:numCache>
            </c:numRef>
          </c:xVal>
          <c:yVal>
            <c:numRef>
              <c:f>'[1]Chaleurs Brebis  Points rouges'!$L$907:$L$909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25"/>
          <c:order val="25"/>
          <c:tx>
            <c:strRef>
              <c:f>'[1]Chaleurs Brebis  Points rouges'!$H$910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rouges'!$K$910:$K$925</c:f>
              <c:numCache>
                <c:formatCode>General</c:formatCode>
                <c:ptCount val="16"/>
              </c:numCache>
            </c:numRef>
          </c:xVal>
          <c:yVal>
            <c:numRef>
              <c:f>'[1]Chaleurs Brebis  Points rouges'!$L$910:$L$925</c:f>
              <c:numCache>
                <c:formatCode>General</c:formatCode>
                <c:ptCount val="16"/>
              </c:numCache>
            </c:numRef>
          </c:yVal>
          <c:smooth val="0"/>
        </c:ser>
        <c:ser>
          <c:idx val="26"/>
          <c:order val="26"/>
          <c:tx>
            <c:strRef>
              <c:f>'[1]Chaleurs Brebis  Points rouges'!$H$926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rouges'!$K$926:$K$930</c:f>
              <c:numCache>
                <c:formatCode>General</c:formatCode>
                <c:ptCount val="5"/>
              </c:numCache>
            </c:numRef>
          </c:xVal>
          <c:yVal>
            <c:numRef>
              <c:f>'[1]Chaleurs Brebis  Points rouges'!$L$926:$L$930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27"/>
          <c:order val="27"/>
          <c:tx>
            <c:strRef>
              <c:f>'[1]Chaleurs Brebis  Points rouges'!$H$931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rouges'!$K$931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rouges'!$L$931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8"/>
          <c:order val="28"/>
          <c:tx>
            <c:strRef>
              <c:f>'[1]Chaleurs Brebis  Points rouges'!$H$932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rouges'!$K$932:$K$933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rouges'!$L$932:$L$933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29"/>
          <c:order val="29"/>
          <c:tx>
            <c:strRef>
              <c:f>'[1]Chaleurs Brebis  Points rouges'!$H$934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rouges'!$K$934:$K$940</c:f>
              <c:numCache>
                <c:formatCode>General</c:formatCode>
                <c:ptCount val="7"/>
              </c:numCache>
            </c:numRef>
          </c:xVal>
          <c:yVal>
            <c:numRef>
              <c:f>'[1]Chaleurs Brebis  Points rouges'!$L$934:$L$940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30"/>
          <c:order val="30"/>
          <c:tx>
            <c:strRef>
              <c:f>'[1]Chaleurs Brebis  Points rouges'!$H$941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rouges'!$K$941:$K$944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rouges'!$L$941:$L$944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31"/>
          <c:order val="31"/>
          <c:tx>
            <c:strRef>
              <c:f>'[1]Chaleurs Brebis  Points rouges'!$H$945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rouges'!$K$945:$K$947</c:f>
              <c:numCache>
                <c:formatCode>General</c:formatCode>
                <c:ptCount val="3"/>
              </c:numCache>
            </c:numRef>
          </c:xVal>
          <c:yVal>
            <c:numRef>
              <c:f>'[1]Chaleurs Brebis  Points rouges'!$L$945:$L$947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32"/>
          <c:order val="32"/>
          <c:tx>
            <c:strRef>
              <c:f>'[1]Chaleurs Brebis  Points rouges'!$H$948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rouges'!$K$948:$K$962</c:f>
              <c:numCache>
                <c:formatCode>General</c:formatCode>
                <c:ptCount val="15"/>
              </c:numCache>
            </c:numRef>
          </c:xVal>
          <c:yVal>
            <c:numRef>
              <c:f>'[1]Chaleurs Brebis  Points rouges'!$L$948:$L$962</c:f>
              <c:numCache>
                <c:formatCode>General</c:formatCode>
                <c:ptCount val="15"/>
              </c:numCache>
            </c:numRef>
          </c:yVal>
          <c:smooth val="0"/>
        </c:ser>
        <c:ser>
          <c:idx val="33"/>
          <c:order val="33"/>
          <c:tx>
            <c:strRef>
              <c:f>'[1]Chaleurs Brebis  Points rouges'!$H$963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rouges'!$K$963:$K$964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rouges'!$L$963:$L$964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34"/>
          <c:order val="34"/>
          <c:tx>
            <c:strRef>
              <c:f>'[1]Chaleurs Brebis  Points rouges'!$H$965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rouges'!$K$965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rouges'!$L$965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5"/>
          <c:order val="35"/>
          <c:tx>
            <c:strRef>
              <c:f>'[1]Chaleurs Brebis  Points rouges'!$H$966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rouges'!$K$966:$K$995</c:f>
              <c:numCache>
                <c:formatCode>General</c:formatCode>
                <c:ptCount val="30"/>
              </c:numCache>
            </c:numRef>
          </c:xVal>
          <c:yVal>
            <c:numRef>
              <c:f>'[1]Chaleurs Brebis  Points rouges'!$L$966:$L$995</c:f>
              <c:numCache>
                <c:formatCode>General</c:formatCode>
                <c:ptCount val="30"/>
              </c:numCache>
            </c:numRef>
          </c:yVal>
          <c:smooth val="0"/>
        </c:ser>
        <c:ser>
          <c:idx val="36"/>
          <c:order val="36"/>
          <c:tx>
            <c:strRef>
              <c:f>'[1]Chaleurs Brebis  Points rouges'!$H$996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rouges'!$K$996:$K$1014</c:f>
              <c:numCache>
                <c:formatCode>General</c:formatCode>
                <c:ptCount val="19"/>
              </c:numCache>
            </c:numRef>
          </c:xVal>
          <c:yVal>
            <c:numRef>
              <c:f>'[1]Chaleurs Brebis  Points rouges'!$L$996:$L$1014</c:f>
              <c:numCache>
                <c:formatCode>General</c:formatCode>
                <c:ptCount val="19"/>
              </c:numCache>
            </c:numRef>
          </c:yVal>
          <c:smooth val="0"/>
        </c:ser>
        <c:ser>
          <c:idx val="37"/>
          <c:order val="37"/>
          <c:tx>
            <c:strRef>
              <c:f>'[1]Chaleurs Brebis  Points rouges'!$H$1015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rouges'!$K$1015:$K$1121</c:f>
              <c:numCache>
                <c:formatCode>General</c:formatCode>
                <c:ptCount val="107"/>
              </c:numCache>
            </c:numRef>
          </c:xVal>
          <c:yVal>
            <c:numRef>
              <c:f>'[1]Chaleurs Brebis  Points rouges'!$L$1015:$L$1121</c:f>
              <c:numCache>
                <c:formatCode>General</c:formatCode>
                <c:ptCount val="107"/>
              </c:numCache>
            </c:numRef>
          </c:yVal>
          <c:smooth val="0"/>
        </c:ser>
        <c:ser>
          <c:idx val="38"/>
          <c:order val="38"/>
          <c:tx>
            <c:strRef>
              <c:f>'[1]Chaleurs Brebis  Points rouges'!$H$1122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rouges'!$K$1122:$K$1139</c:f>
              <c:numCache>
                <c:formatCode>General</c:formatCode>
                <c:ptCount val="18"/>
              </c:numCache>
            </c:numRef>
          </c:xVal>
          <c:yVal>
            <c:numRef>
              <c:f>'[1]Chaleurs Brebis  Points rouges'!$L$1122:$L$1139</c:f>
              <c:numCache>
                <c:formatCode>General</c:formatCode>
                <c:ptCount val="18"/>
              </c:numCache>
            </c:numRef>
          </c:yVal>
          <c:smooth val="0"/>
        </c:ser>
        <c:ser>
          <c:idx val="39"/>
          <c:order val="39"/>
          <c:tx>
            <c:strRef>
              <c:f>'[1]Chaleurs Brebis  Points rouges'!$H$1140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rouges'!$K$1140:$K$1145</c:f>
              <c:numCache>
                <c:formatCode>General</c:formatCode>
                <c:ptCount val="6"/>
              </c:numCache>
            </c:numRef>
          </c:xVal>
          <c:yVal>
            <c:numRef>
              <c:f>'[1]Chaleurs Brebis  Points rouges'!$L$1140:$L$1145</c:f>
              <c:numCache>
                <c:formatCode>General</c:formatCode>
                <c:ptCount val="6"/>
              </c:numCache>
            </c:numRef>
          </c:yVal>
          <c:smooth val="0"/>
        </c:ser>
        <c:ser>
          <c:idx val="40"/>
          <c:order val="40"/>
          <c:tx>
            <c:strRef>
              <c:f>'[1]Chaleurs Brebis  Points rouges'!$H$1146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rouges'!$K$1146:$K$1164</c:f>
              <c:numCache>
                <c:formatCode>General</c:formatCode>
                <c:ptCount val="19"/>
              </c:numCache>
            </c:numRef>
          </c:xVal>
          <c:yVal>
            <c:numRef>
              <c:f>'[1]Chaleurs Brebis  Points rouges'!$L$1146:$L$1164</c:f>
              <c:numCache>
                <c:formatCode>General</c:formatCode>
                <c:ptCount val="19"/>
              </c:numCache>
            </c:numRef>
          </c:yVal>
          <c:smooth val="0"/>
        </c:ser>
        <c:ser>
          <c:idx val="41"/>
          <c:order val="41"/>
          <c:tx>
            <c:strRef>
              <c:f>'[1]Chaleurs Brebis  Points rouges'!$H$1165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rouges'!$K$1165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rouges'!$L$1165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42"/>
          <c:order val="42"/>
          <c:tx>
            <c:strRef>
              <c:f>'[1]Chaleurs Brebis  Points rouges'!$H$1166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rouges'!$K$1166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rouges'!$L$1166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43"/>
          <c:order val="43"/>
          <c:tx>
            <c:strRef>
              <c:f>'[1]Chaleurs Brebis  Points rouges'!$H$1167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rouges'!$K$1167:$K$1168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rouges'!$L$1167:$L$1168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44"/>
          <c:order val="44"/>
          <c:tx>
            <c:strRef>
              <c:f>'[1]Chaleurs Brebis  Points rouges'!$H$1169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rouges'!$K$1169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rouges'!$L$1169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45"/>
          <c:order val="45"/>
          <c:tx>
            <c:strRef>
              <c:f>'[1]Chaleurs Brebis  Points rouges'!$H$1170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rouges'!$K$1170:$K$1210</c:f>
              <c:numCache>
                <c:formatCode>General</c:formatCode>
                <c:ptCount val="41"/>
              </c:numCache>
            </c:numRef>
          </c:xVal>
          <c:yVal>
            <c:numRef>
              <c:f>'[1]Chaleurs Brebis  Points rouges'!$L$1170:$L$1210</c:f>
              <c:numCache>
                <c:formatCode>General</c:formatCode>
                <c:ptCount val="41"/>
              </c:numCache>
            </c:numRef>
          </c:yVal>
          <c:smooth val="0"/>
        </c:ser>
        <c:ser>
          <c:idx val="46"/>
          <c:order val="46"/>
          <c:tx>
            <c:strRef>
              <c:f>'[1]Chaleurs Brebis  Points rouges'!$H$1211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rouges'!$K$1211:$K$1218</c:f>
              <c:numCache>
                <c:formatCode>General</c:formatCode>
                <c:ptCount val="8"/>
              </c:numCache>
            </c:numRef>
          </c:xVal>
          <c:yVal>
            <c:numRef>
              <c:f>'[1]Chaleurs Brebis  Points rouges'!$L$1211:$L$1218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47"/>
          <c:order val="47"/>
          <c:tx>
            <c:strRef>
              <c:f>'[1]Chaleurs Brebis  Points rouges'!$H$1219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rouges'!$K$1219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rouges'!$L$1219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48"/>
          <c:order val="48"/>
          <c:tx>
            <c:strRef>
              <c:f>'[1]Chaleurs Brebis  Points rouges'!$H$1220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rouges'!$K$1220:$K$1269</c:f>
              <c:numCache>
                <c:formatCode>General</c:formatCode>
                <c:ptCount val="50"/>
              </c:numCache>
            </c:numRef>
          </c:xVal>
          <c:yVal>
            <c:numRef>
              <c:f>'[1]Chaleurs Brebis  Points rouges'!$L$1220:$L$1269</c:f>
              <c:numCache>
                <c:formatCode>General</c:formatCode>
                <c:ptCount val="50"/>
              </c:numCache>
            </c:numRef>
          </c:yVal>
          <c:smooth val="0"/>
        </c:ser>
        <c:ser>
          <c:idx val="49"/>
          <c:order val="49"/>
          <c:tx>
            <c:strRef>
              <c:f>'[1]Chaleurs Brebis  Points rouges'!$H$1270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rouges'!$K$1270:$K$1334</c:f>
              <c:numCache>
                <c:formatCode>General</c:formatCode>
                <c:ptCount val="65"/>
              </c:numCache>
            </c:numRef>
          </c:xVal>
          <c:yVal>
            <c:numRef>
              <c:f>'[1]Chaleurs Brebis  Points rouges'!$L$1270:$L$1334</c:f>
              <c:numCache>
                <c:formatCode>General</c:formatCode>
                <c:ptCount val="65"/>
              </c:numCache>
            </c:numRef>
          </c:yVal>
          <c:smooth val="0"/>
        </c:ser>
        <c:ser>
          <c:idx val="50"/>
          <c:order val="50"/>
          <c:tx>
            <c:strRef>
              <c:f>'[1]Chaleurs Brebis  Points rouges'!$H$1335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rouges'!$K$1335:$K$1405</c:f>
              <c:numCache>
                <c:formatCode>General</c:formatCode>
                <c:ptCount val="71"/>
              </c:numCache>
            </c:numRef>
          </c:xVal>
          <c:yVal>
            <c:numRef>
              <c:f>'[1]Chaleurs Brebis  Points rouges'!$L$1335:$L$1405</c:f>
              <c:numCache>
                <c:formatCode>General</c:formatCode>
                <c:ptCount val="71"/>
              </c:numCache>
            </c:numRef>
          </c:yVal>
          <c:smooth val="0"/>
        </c:ser>
        <c:ser>
          <c:idx val="51"/>
          <c:order val="51"/>
          <c:tx>
            <c:strRef>
              <c:f>'[1]Chaleurs Brebis  Points rouges'!$H$1406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rouges'!$K$1406:$K$1415</c:f>
              <c:numCache>
                <c:formatCode>General</c:formatCode>
                <c:ptCount val="10"/>
              </c:numCache>
            </c:numRef>
          </c:xVal>
          <c:yVal>
            <c:numRef>
              <c:f>'[1]Chaleurs Brebis  Points rouges'!$L$1406:$L$1415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52"/>
          <c:order val="52"/>
          <c:tx>
            <c:strRef>
              <c:f>'[1]Chaleurs Brebis  Points rouges'!$H$1416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rouges'!$K$1416:$K$1419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rouges'!$L$1416:$L$1419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53"/>
          <c:order val="53"/>
          <c:tx>
            <c:strRef>
              <c:f>'[1]Chaleurs Brebis  Points rouges'!$H$1420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rouges'!$K$1420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rouges'!$L$1420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54"/>
          <c:order val="54"/>
          <c:tx>
            <c:strRef>
              <c:f>'[1]Chaleurs Brebis  Points rouges'!$H$1421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rouges'!$K$1421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rouges'!$L$1421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55"/>
          <c:order val="55"/>
          <c:tx>
            <c:strRef>
              <c:f>'[1]Chaleurs Brebis  Points rouges'!$H$1422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rouges'!$K$1422:$K$1443</c:f>
              <c:numCache>
                <c:formatCode>General</c:formatCode>
                <c:ptCount val="22"/>
              </c:numCache>
            </c:numRef>
          </c:xVal>
          <c:yVal>
            <c:numRef>
              <c:f>'[1]Chaleurs Brebis  Points rouges'!$L$1422:$L$1443</c:f>
              <c:numCache>
                <c:formatCode>General</c:formatCode>
                <c:ptCount val="22"/>
              </c:numCache>
            </c:numRef>
          </c:yVal>
          <c:smooth val="0"/>
        </c:ser>
        <c:ser>
          <c:idx val="56"/>
          <c:order val="56"/>
          <c:tx>
            <c:strRef>
              <c:f>'[1]Chaleurs Brebis  Points rouges'!$H$1444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rouges'!$K$1444:$K$1473</c:f>
              <c:numCache>
                <c:formatCode>General</c:formatCode>
                <c:ptCount val="30"/>
              </c:numCache>
            </c:numRef>
          </c:xVal>
          <c:yVal>
            <c:numRef>
              <c:f>'[1]Chaleurs Brebis  Points rouges'!$L$1444:$L$1473</c:f>
              <c:numCache>
                <c:formatCode>General</c:formatCode>
                <c:ptCount val="30"/>
              </c:numCache>
            </c:numRef>
          </c:yVal>
          <c:smooth val="0"/>
        </c:ser>
        <c:ser>
          <c:idx val="57"/>
          <c:order val="57"/>
          <c:tx>
            <c:strRef>
              <c:f>'[1]Chaleurs Brebis  Points rouges'!$H$1474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rouges'!$K$1474:$K$1536</c:f>
              <c:numCache>
                <c:formatCode>General</c:formatCode>
                <c:ptCount val="63"/>
              </c:numCache>
            </c:numRef>
          </c:xVal>
          <c:yVal>
            <c:numRef>
              <c:f>'[1]Chaleurs Brebis  Points rouges'!$L$1474:$L$1536</c:f>
              <c:numCache>
                <c:formatCode>General</c:formatCode>
                <c:ptCount val="63"/>
              </c:numCache>
            </c:numRef>
          </c:yVal>
          <c:smooth val="0"/>
        </c:ser>
        <c:ser>
          <c:idx val="58"/>
          <c:order val="58"/>
          <c:tx>
            <c:strRef>
              <c:f>'[1]Chaleurs Brebis  Points rouges'!$H$1537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rouges'!$K$1537:$K$1546</c:f>
              <c:numCache>
                <c:formatCode>General</c:formatCode>
                <c:ptCount val="10"/>
              </c:numCache>
            </c:numRef>
          </c:xVal>
          <c:yVal>
            <c:numRef>
              <c:f>'[1]Chaleurs Brebis  Points rouges'!$L$1537:$L$1546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59"/>
          <c:order val="59"/>
          <c:tx>
            <c:strRef>
              <c:f>'[1]Chaleurs Brebis  Points rouges'!$H$1547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rouges'!$K$1547:$K$1572</c:f>
              <c:numCache>
                <c:formatCode>General</c:formatCode>
                <c:ptCount val="26"/>
              </c:numCache>
            </c:numRef>
          </c:xVal>
          <c:yVal>
            <c:numRef>
              <c:f>'[1]Chaleurs Brebis  Points rouges'!$L$1547:$L$1572</c:f>
              <c:numCache>
                <c:formatCode>General</c:formatCode>
                <c:ptCount val="26"/>
              </c:numCache>
            </c:numRef>
          </c:yVal>
          <c:smooth val="0"/>
        </c:ser>
        <c:ser>
          <c:idx val="60"/>
          <c:order val="60"/>
          <c:tx>
            <c:strRef>
              <c:f>'[1]Chaleurs Brebis  Points rouges'!$H$1573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rouges'!$K$1573:$K$1588</c:f>
              <c:numCache>
                <c:formatCode>General</c:formatCode>
                <c:ptCount val="16"/>
              </c:numCache>
            </c:numRef>
          </c:xVal>
          <c:yVal>
            <c:numRef>
              <c:f>'[1]Chaleurs Brebis  Points rouges'!$L$1573:$L$1588</c:f>
              <c:numCache>
                <c:formatCode>General</c:formatCode>
                <c:ptCount val="16"/>
              </c:numCache>
            </c:numRef>
          </c:yVal>
          <c:smooth val="0"/>
        </c:ser>
        <c:ser>
          <c:idx val="61"/>
          <c:order val="61"/>
          <c:tx>
            <c:strRef>
              <c:f>'[1]Chaleurs Brebis  Points rouges'!$H$1589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rouges'!$K$1589:$K$1639</c:f>
              <c:numCache>
                <c:formatCode>General</c:formatCode>
                <c:ptCount val="51"/>
              </c:numCache>
            </c:numRef>
          </c:xVal>
          <c:yVal>
            <c:numRef>
              <c:f>'[1]Chaleurs Brebis  Points rouges'!$L$1589:$L$1639</c:f>
              <c:numCache>
                <c:formatCode>General</c:formatCode>
                <c:ptCount val="51"/>
              </c:numCache>
            </c:numRef>
          </c:yVal>
          <c:smooth val="0"/>
        </c:ser>
        <c:ser>
          <c:idx val="62"/>
          <c:order val="62"/>
          <c:tx>
            <c:strRef>
              <c:f>'[1]Chaleurs Brebis  Points rouges'!$H$1640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rouges'!$K$1640:$K$1642</c:f>
              <c:numCache>
                <c:formatCode>General</c:formatCode>
                <c:ptCount val="3"/>
              </c:numCache>
            </c:numRef>
          </c:xVal>
          <c:yVal>
            <c:numRef>
              <c:f>'[1]Chaleurs Brebis  Points rouges'!$L$1640:$L$1642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63"/>
          <c:order val="63"/>
          <c:tx>
            <c:strRef>
              <c:f>'[1]Chaleurs Brebis  Points rouges'!$H$1643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rouges'!$K$1643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rouges'!$L$1643</c:f>
              <c:numCache>
                <c:formatCode>General</c:formatCode>
                <c:ptCount val="1"/>
              </c:numCache>
            </c:numRef>
          </c:yVal>
          <c:smooth val="0"/>
        </c:ser>
        <c:axId val="14223551"/>
        <c:axId val="44757859"/>
      </c:scatterChart>
      <c:valAx>
        <c:axId val="14223551"/>
        <c:scaling>
          <c:orientation val="minMax"/>
          <c:max val="45463"/>
          <c:min val="45433"/>
        </c:scaling>
        <c:delete val="0"/>
        <c:axPos val="b"/>
        <c:numFmt formatCode="dd/mm/yy\ hh:mm" sourceLinked="0"/>
        <c:majorTickMark val="in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757859"/>
        <c:crosses val="autoZero"/>
        <c:crossBetween val="midCat"/>
        <c:majorUnit val="4"/>
        <c:minorUnit val="0.25"/>
      </c:valAx>
      <c:valAx>
        <c:axId val="44757859"/>
        <c:scaling>
          <c:orientation val="minMax"/>
          <c:max val="100"/>
          <c:min val="32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minorGridlines>
          <c:spPr>
            <a:ln w="3240">
              <a:solidFill>
                <a:srgbClr val="000000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fr-FR" sz="14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400" spc="-1" strike="noStrike">
                    <a:solidFill>
                      <a:srgbClr val="000000"/>
                    </a:solidFill>
                    <a:latin typeface="Calibri"/>
                  </a:rPr>
                  <a:t>N° des brebis</a:t>
                </a:r>
              </a:p>
            </c:rich>
          </c:tx>
          <c:layout>
            <c:manualLayout>
              <c:xMode val="edge"/>
              <c:yMode val="edge"/>
              <c:x val="0.00273427790206314"/>
              <c:y val="0.45901534526854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23551"/>
        <c:crosses val="autoZero"/>
        <c:crossBetween val="midCat"/>
        <c:majorUnit val="4"/>
        <c:minorUnit val="1"/>
      </c:valAx>
      <c:spPr>
        <a:noFill/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fr-FR" sz="1800" spc="-1" strike="noStrike">
                <a:solidFill>
                  <a:srgbClr val="000000"/>
                </a:solidFill>
                <a:latin typeface="Calibri"/>
              </a:rPr>
              <a:t>Brebis chevauchées (La Cazotte 2024) </a:t>
            </a:r>
          </a:p>
        </c:rich>
      </c:tx>
      <c:layout>
        <c:manualLayout>
          <c:xMode val="edge"/>
          <c:yMode val="edge"/>
          <c:x val="0.234712900820283"/>
          <c:y val="0.0089514066496163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49341287596321"/>
          <c:y val="0.106074168797954"/>
          <c:w val="0.902529207059408"/>
          <c:h val="0.848976982097187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'[1]Chaleurs Brebis  Points rouges'!$H$2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1908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rouges'!$K$2:$K$6</c:f>
              <c:numCache>
                <c:formatCode>General</c:formatCode>
                <c:ptCount val="5"/>
              </c:numCache>
            </c:numRef>
          </c:xVal>
          <c:yVal>
            <c:numRef>
              <c:f>'[1]Chaleurs Brebis  Points rouges'!$L$2:$L$6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1"/>
          <c:order val="1"/>
          <c:tx>
            <c:strRef>
              <c:f>'[1]Chaleurs Brebis  Points rouges'!$H$7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rouges'!$K$7:$K$14</c:f>
              <c:numCache>
                <c:formatCode>General</c:formatCode>
                <c:ptCount val="8"/>
              </c:numCache>
            </c:numRef>
          </c:xVal>
          <c:yVal>
            <c:numRef>
              <c:f>'[1]Chaleurs Brebis  Points rouges'!$L$7:$L$14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2"/>
          <c:order val="2"/>
          <c:tx>
            <c:strRef>
              <c:f>'[1]Chaleurs Brebis  Points rouges'!$H$15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rouges'!$K$15:$K$18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rouges'!$L$15:$L$18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3"/>
          <c:order val="3"/>
          <c:tx>
            <c:strRef>
              <c:f>'[1]Chaleurs Brebis  Points rouges'!$H$19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rouges'!$K$19:$K$21</c:f>
              <c:numCache>
                <c:formatCode>General</c:formatCode>
                <c:ptCount val="3"/>
              </c:numCache>
            </c:numRef>
          </c:xVal>
          <c:yVal>
            <c:numRef>
              <c:f>'[1]Chaleurs Brebis  Points rouges'!$L$19:$L$21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4"/>
          <c:order val="4"/>
          <c:tx>
            <c:strRef>
              <c:f>'[1]Chaleurs Brebis  Points rouges'!$H$22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rouges'!$K$22:$K$30</c:f>
              <c:numCache>
                <c:formatCode>General</c:formatCode>
                <c:ptCount val="9"/>
              </c:numCache>
            </c:numRef>
          </c:xVal>
          <c:yVal>
            <c:numRef>
              <c:f>'[1]Chaleurs Brebis  Points rouges'!$L$22:$L$30</c:f>
              <c:numCache>
                <c:formatCode>General</c:formatCode>
                <c:ptCount val="9"/>
              </c:numCache>
            </c:numRef>
          </c:yVal>
          <c:smooth val="0"/>
        </c:ser>
        <c:ser>
          <c:idx val="5"/>
          <c:order val="5"/>
          <c:tx>
            <c:strRef>
              <c:f>'[1]Chaleurs Brebis  Points rouges'!$H$31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rouges'!$K$31:$K$53</c:f>
              <c:numCache>
                <c:formatCode>General</c:formatCode>
                <c:ptCount val="23"/>
              </c:numCache>
            </c:numRef>
          </c:xVal>
          <c:yVal>
            <c:numRef>
              <c:f>'[1]Chaleurs Brebis  Points rouges'!$L$31:$L$53</c:f>
              <c:numCache>
                <c:formatCode>General</c:formatCode>
                <c:ptCount val="23"/>
              </c:numCache>
            </c:numRef>
          </c:yVal>
          <c:smooth val="0"/>
        </c:ser>
        <c:ser>
          <c:idx val="6"/>
          <c:order val="6"/>
          <c:tx>
            <c:strRef>
              <c:f>'[1]Chaleurs Brebis  Points rouges'!$H$54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rouges'!$K$54:$K$93</c:f>
              <c:numCache>
                <c:formatCode>General</c:formatCode>
                <c:ptCount val="40"/>
              </c:numCache>
            </c:numRef>
          </c:xVal>
          <c:yVal>
            <c:numRef>
              <c:f>'[1]Chaleurs Brebis  Points rouges'!$L$54:$L$93</c:f>
              <c:numCache>
                <c:formatCode>General</c:formatCode>
                <c:ptCount val="40"/>
              </c:numCache>
            </c:numRef>
          </c:yVal>
          <c:smooth val="0"/>
        </c:ser>
        <c:ser>
          <c:idx val="7"/>
          <c:order val="7"/>
          <c:tx>
            <c:strRef>
              <c:f>'[1]Chaleurs Brebis  Points rouges'!$H$94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rouges'!$K$94:$K$97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rouges'!$L$94:$L$97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8"/>
          <c:order val="8"/>
          <c:tx>
            <c:strRef>
              <c:f>'[1]Chaleurs Brebis  Points rouges'!$H$98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rouges'!$K$98:$K$117</c:f>
              <c:numCache>
                <c:formatCode>General</c:formatCode>
                <c:ptCount val="20"/>
              </c:numCache>
            </c:numRef>
          </c:xVal>
          <c:yVal>
            <c:numRef>
              <c:f>'[1]Chaleurs Brebis  Points rouges'!$L$98:$L$117</c:f>
              <c:numCache>
                <c:formatCode>General</c:formatCode>
                <c:ptCount val="20"/>
              </c:numCache>
            </c:numRef>
          </c:yVal>
          <c:smooth val="0"/>
        </c:ser>
        <c:ser>
          <c:idx val="9"/>
          <c:order val="9"/>
          <c:tx>
            <c:strRef>
              <c:f>'[1]Chaleurs Brebis  Points rouges'!$H$118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rouges'!$K$118:$K$119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rouges'!$L$118:$L$119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10"/>
          <c:order val="10"/>
          <c:tx>
            <c:strRef>
              <c:f>'[1]Chaleurs Brebis  Points rouges'!$H$120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rouges'!$K$120:$K$157</c:f>
              <c:numCache>
                <c:formatCode>General</c:formatCode>
                <c:ptCount val="38"/>
              </c:numCache>
            </c:numRef>
          </c:xVal>
          <c:yVal>
            <c:numRef>
              <c:f>'[1]Chaleurs Brebis  Points rouges'!$L$120:$L$157</c:f>
              <c:numCache>
                <c:formatCode>General</c:formatCode>
                <c:ptCount val="38"/>
              </c:numCache>
            </c:numRef>
          </c:yVal>
          <c:smooth val="0"/>
        </c:ser>
        <c:ser>
          <c:idx val="11"/>
          <c:order val="11"/>
          <c:tx>
            <c:strRef>
              <c:f>'[1]Chaleurs Brebis  Points rouges'!$H$158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rouges'!$K$158:$K$174</c:f>
              <c:numCache>
                <c:formatCode>General</c:formatCode>
                <c:ptCount val="17"/>
              </c:numCache>
            </c:numRef>
          </c:xVal>
          <c:yVal>
            <c:numRef>
              <c:f>'[1]Chaleurs Brebis  Points rouges'!$L$158:$L$174</c:f>
              <c:numCache>
                <c:formatCode>General</c:formatCode>
                <c:ptCount val="17"/>
              </c:numCache>
            </c:numRef>
          </c:yVal>
          <c:smooth val="0"/>
        </c:ser>
        <c:ser>
          <c:idx val="12"/>
          <c:order val="12"/>
          <c:tx>
            <c:strRef>
              <c:f>'[1]Chaleurs Brebis  Points rouges'!$H$175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rouges'!$K$175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rouges'!$L$175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13"/>
          <c:order val="13"/>
          <c:tx>
            <c:strRef>
              <c:f>'[1]Chaleurs Brebis  Points rouges'!$H$176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rouges'!$K$176:$K$177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rouges'!$L$176:$L$177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14"/>
          <c:order val="14"/>
          <c:tx>
            <c:strRef>
              <c:f>'[1]Chaleurs Brebis  Points rouges'!$H$178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rouges'!$K$178:$K$182</c:f>
              <c:numCache>
                <c:formatCode>General</c:formatCode>
                <c:ptCount val="5"/>
              </c:numCache>
            </c:numRef>
          </c:xVal>
          <c:yVal>
            <c:numRef>
              <c:f>'[1]Chaleurs Brebis  Points rouges'!$L$178:$L$182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15"/>
          <c:order val="15"/>
          <c:tx>
            <c:strRef>
              <c:f>'[1]Chaleurs Brebis  Points rouges'!$H$183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rouges'!$K$183:$K$187</c:f>
              <c:numCache>
                <c:formatCode>General</c:formatCode>
                <c:ptCount val="5"/>
              </c:numCache>
            </c:numRef>
          </c:xVal>
          <c:yVal>
            <c:numRef>
              <c:f>'[1]Chaleurs Brebis  Points rouges'!$L$183:$L$187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16"/>
          <c:order val="16"/>
          <c:tx>
            <c:strRef>
              <c:f>'[1]Chaleurs Brebis  Points rouges'!$H$188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rouges'!$K$188:$K$189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rouges'!$L$188:$L$189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17"/>
          <c:order val="17"/>
          <c:tx>
            <c:strRef>
              <c:f>'[1]Chaleurs Brebis  Points rouges'!$H$190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rouges'!$K$190:$K$191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rouges'!$L$190:$L$191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18"/>
          <c:order val="18"/>
          <c:tx>
            <c:strRef>
              <c:f>'[1]Chaleurs Brebis  Points rouges'!$H$192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rouges'!$K$192:$K$195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rouges'!$L$192:$L$195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19"/>
          <c:order val="19"/>
          <c:tx>
            <c:strRef>
              <c:f>'[1]Chaleurs Brebis  Points rouges'!$H$196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rouges'!$K$196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rouges'!$L$196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0"/>
          <c:order val="20"/>
          <c:tx>
            <c:strRef>
              <c:f>'[1]Chaleurs Brebis  Points rouges'!$H$197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rouges'!$K$197:$K$208</c:f>
              <c:numCache>
                <c:formatCode>General</c:formatCode>
                <c:ptCount val="12"/>
              </c:numCache>
            </c:numRef>
          </c:xVal>
          <c:yVal>
            <c:numRef>
              <c:f>'[1]Chaleurs Brebis  Points rouges'!$L$197:$L$208</c:f>
              <c:numCache>
                <c:formatCode>General</c:formatCode>
                <c:ptCount val="12"/>
              </c:numCache>
            </c:numRef>
          </c:yVal>
          <c:smooth val="0"/>
        </c:ser>
        <c:ser>
          <c:idx val="21"/>
          <c:order val="21"/>
          <c:tx>
            <c:strRef>
              <c:f>'[1]Chaleurs Brebis  Points rouges'!$H$209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rouges'!$K$209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rouges'!$L$209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2"/>
          <c:order val="22"/>
          <c:tx>
            <c:strRef>
              <c:f>'[1]Chaleurs Brebis  Points rouges'!$H$210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rouges'!$K$210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rouges'!$L$210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3"/>
          <c:order val="23"/>
          <c:tx>
            <c:strRef>
              <c:f>'[1]Chaleurs Brebis  Points rouges'!$H$211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rouges'!$K$211:$K$270</c:f>
              <c:numCache>
                <c:formatCode>General</c:formatCode>
                <c:ptCount val="60"/>
              </c:numCache>
            </c:numRef>
          </c:xVal>
          <c:yVal>
            <c:numRef>
              <c:f>'[1]Chaleurs Brebis  Points rouges'!$L$211:$L$270</c:f>
              <c:numCache>
                <c:formatCode>General</c:formatCode>
                <c:ptCount val="60"/>
              </c:numCache>
            </c:numRef>
          </c:yVal>
          <c:smooth val="0"/>
        </c:ser>
        <c:ser>
          <c:idx val="24"/>
          <c:order val="24"/>
          <c:tx>
            <c:strRef>
              <c:f>'[1]Chaleurs Brebis  Points rouges'!$H$271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rouges'!$K$271:$K$272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rouges'!$L$271:$L$272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25"/>
          <c:order val="25"/>
          <c:tx>
            <c:strRef>
              <c:f>'[1]Chaleurs Brebis  Points rouges'!$H$273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rouges'!$K$273:$K$305</c:f>
              <c:numCache>
                <c:formatCode>General</c:formatCode>
                <c:ptCount val="33"/>
              </c:numCache>
            </c:numRef>
          </c:xVal>
          <c:yVal>
            <c:numRef>
              <c:f>'[1]Chaleurs Brebis  Points rouges'!$L$273:$L$305</c:f>
              <c:numCache>
                <c:formatCode>General</c:formatCode>
                <c:ptCount val="33"/>
              </c:numCache>
            </c:numRef>
          </c:yVal>
          <c:smooth val="0"/>
        </c:ser>
        <c:ser>
          <c:idx val="26"/>
          <c:order val="26"/>
          <c:tx>
            <c:strRef>
              <c:f>'[1]Chaleurs Brebis  Points rouges'!$H$306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rouges'!$K$306:$K$308</c:f>
              <c:numCache>
                <c:formatCode>General</c:formatCode>
                <c:ptCount val="3"/>
              </c:numCache>
            </c:numRef>
          </c:xVal>
          <c:yVal>
            <c:numRef>
              <c:f>'[1]Chaleurs Brebis  Points rouges'!$L$306:$L$308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27"/>
          <c:order val="27"/>
          <c:tx>
            <c:strRef>
              <c:f>'[1]Chaleurs Brebis  Points rouges'!$H$309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rouges'!$K$309:$K$341</c:f>
              <c:numCache>
                <c:formatCode>General</c:formatCode>
                <c:ptCount val="33"/>
              </c:numCache>
            </c:numRef>
          </c:xVal>
          <c:yVal>
            <c:numRef>
              <c:f>'[1]Chaleurs Brebis  Points rouges'!$L$309:$L$341</c:f>
              <c:numCache>
                <c:formatCode>General</c:formatCode>
                <c:ptCount val="33"/>
              </c:numCache>
            </c:numRef>
          </c:yVal>
          <c:smooth val="0"/>
        </c:ser>
        <c:ser>
          <c:idx val="28"/>
          <c:order val="28"/>
          <c:tx>
            <c:strRef>
              <c:f>'[1]Chaleurs Brebis  Points rouges'!$H$342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rouges'!$K$342:$K$343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rouges'!$L$342:$L$343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29"/>
          <c:order val="29"/>
          <c:tx>
            <c:strRef>
              <c:f>'[1]Chaleurs Brebis  Points rouges'!$H$344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rouges'!$K$344:$K$469</c:f>
              <c:numCache>
                <c:formatCode>General</c:formatCode>
                <c:ptCount val="126"/>
              </c:numCache>
            </c:numRef>
          </c:xVal>
          <c:yVal>
            <c:numRef>
              <c:f>'[1]Chaleurs Brebis  Points rouges'!$L$344:$L$469</c:f>
              <c:numCache>
                <c:formatCode>General</c:formatCode>
                <c:ptCount val="126"/>
              </c:numCache>
            </c:numRef>
          </c:yVal>
          <c:smooth val="0"/>
        </c:ser>
        <c:ser>
          <c:idx val="30"/>
          <c:order val="30"/>
          <c:tx>
            <c:strRef>
              <c:f>'[1]Chaleurs Brebis  Points rouges'!$H$470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rouges'!$K$470:$K$473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rouges'!$L$470:$L$473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31"/>
          <c:order val="31"/>
          <c:tx>
            <c:strRef>
              <c:f>'[1]Chaleurs Brebis  Points rouges'!$H$474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rouges'!$K$474:$K$487</c:f>
              <c:numCache>
                <c:formatCode>General</c:formatCode>
                <c:ptCount val="14"/>
              </c:numCache>
            </c:numRef>
          </c:xVal>
          <c:yVal>
            <c:numRef>
              <c:f>'[1]Chaleurs Brebis  Points rouges'!$L$474:$L$487</c:f>
              <c:numCache>
                <c:formatCode>General</c:formatCode>
                <c:ptCount val="14"/>
              </c:numCache>
            </c:numRef>
          </c:yVal>
          <c:smooth val="0"/>
        </c:ser>
        <c:ser>
          <c:idx val="32"/>
          <c:order val="32"/>
          <c:tx>
            <c:strRef>
              <c:f>'[1]Chaleurs Brebis  Points rouges'!$H$488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rouges'!$K$488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rouges'!$L$488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3"/>
          <c:order val="33"/>
          <c:tx>
            <c:strRef>
              <c:f>'[1]Chaleurs Brebis  Points rouges'!$H$489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rouges'!$K$489:$K$569</c:f>
              <c:numCache>
                <c:formatCode>General</c:formatCode>
                <c:ptCount val="81"/>
              </c:numCache>
            </c:numRef>
          </c:xVal>
          <c:yVal>
            <c:numRef>
              <c:f>'[1]Chaleurs Brebis  Points rouges'!$L$489:$L$569</c:f>
              <c:numCache>
                <c:formatCode>General</c:formatCode>
                <c:ptCount val="81"/>
              </c:numCache>
            </c:numRef>
          </c:yVal>
          <c:smooth val="0"/>
        </c:ser>
        <c:ser>
          <c:idx val="34"/>
          <c:order val="34"/>
          <c:tx>
            <c:strRef>
              <c:f>'[1]Chaleurs Brebis  Points rouges'!$H$570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rouges'!$K$570:$K$577</c:f>
              <c:numCache>
                <c:formatCode>General</c:formatCode>
                <c:ptCount val="8"/>
              </c:numCache>
            </c:numRef>
          </c:xVal>
          <c:yVal>
            <c:numRef>
              <c:f>'[1]Chaleurs Brebis  Points rouges'!$L$570:$L$577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35"/>
          <c:order val="35"/>
          <c:tx>
            <c:strRef>
              <c:f>'[1]Chaleurs Brebis  Points rouges'!$H$578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rouges'!$K$578:$K$625</c:f>
              <c:numCache>
                <c:formatCode>General</c:formatCode>
                <c:ptCount val="48"/>
              </c:numCache>
            </c:numRef>
          </c:xVal>
          <c:yVal>
            <c:numRef>
              <c:f>'[1]Chaleurs Brebis  Points rouges'!$L$578:$L$625</c:f>
              <c:numCache>
                <c:formatCode>General</c:formatCode>
                <c:ptCount val="48"/>
              </c:numCache>
            </c:numRef>
          </c:yVal>
          <c:smooth val="0"/>
        </c:ser>
        <c:ser>
          <c:idx val="36"/>
          <c:order val="36"/>
          <c:tx>
            <c:strRef>
              <c:f>'[1]Chaleurs Brebis  Points rouges'!$H$626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rouges'!$K$626:$K$635</c:f>
              <c:numCache>
                <c:formatCode>General</c:formatCode>
                <c:ptCount val="10"/>
              </c:numCache>
            </c:numRef>
          </c:xVal>
          <c:yVal>
            <c:numRef>
              <c:f>'[1]Chaleurs Brebis  Points rouges'!$L$626:$L$635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37"/>
          <c:order val="37"/>
          <c:tx>
            <c:strRef>
              <c:f>'[1]Chaleurs Brebis  Points rouges'!$H$636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rouges'!$K$636:$K$681</c:f>
              <c:numCache>
                <c:formatCode>General</c:formatCode>
                <c:ptCount val="46"/>
              </c:numCache>
            </c:numRef>
          </c:xVal>
          <c:yVal>
            <c:numRef>
              <c:f>'[1]Chaleurs Brebis  Points rouges'!$L$636:$L$681</c:f>
              <c:numCache>
                <c:formatCode>General</c:formatCode>
                <c:ptCount val="46"/>
              </c:numCache>
            </c:numRef>
          </c:yVal>
          <c:smooth val="0"/>
        </c:ser>
        <c:ser>
          <c:idx val="38"/>
          <c:order val="38"/>
          <c:tx>
            <c:strRef>
              <c:f>'[1]Chaleurs Brebis  Points rouges'!$H$682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rouges'!$K$682:$K$687</c:f>
              <c:numCache>
                <c:formatCode>General</c:formatCode>
                <c:ptCount val="6"/>
              </c:numCache>
            </c:numRef>
          </c:xVal>
          <c:yVal>
            <c:numRef>
              <c:f>'[1]Chaleurs Brebis  Points rouges'!$L$682:$L$687</c:f>
              <c:numCache>
                <c:formatCode>General</c:formatCode>
                <c:ptCount val="6"/>
              </c:numCache>
            </c:numRef>
          </c:yVal>
          <c:smooth val="0"/>
        </c:ser>
        <c:ser>
          <c:idx val="39"/>
          <c:order val="39"/>
          <c:tx>
            <c:strRef>
              <c:f>'[1]Chaleurs Brebis  Points rouges'!$H$688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rouges'!$K$688:$K$712</c:f>
              <c:numCache>
                <c:formatCode>General</c:formatCode>
                <c:ptCount val="25"/>
              </c:numCache>
            </c:numRef>
          </c:xVal>
          <c:yVal>
            <c:numRef>
              <c:f>'[1]Chaleurs Brebis  Points rouges'!$L$688:$L$712</c:f>
              <c:numCache>
                <c:formatCode>General</c:formatCode>
                <c:ptCount val="25"/>
              </c:numCache>
            </c:numRef>
          </c:yVal>
          <c:smooth val="0"/>
        </c:ser>
        <c:ser>
          <c:idx val="40"/>
          <c:order val="40"/>
          <c:tx>
            <c:strRef>
              <c:f>'[1]Chaleurs Brebis  Points rouges'!$H$713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rouges'!$K$713:$K$750</c:f>
              <c:numCache>
                <c:formatCode>General</c:formatCode>
                <c:ptCount val="38"/>
              </c:numCache>
            </c:numRef>
          </c:xVal>
          <c:yVal>
            <c:numRef>
              <c:f>'[1]Chaleurs Brebis  Points rouges'!$L$713:$L$750</c:f>
              <c:numCache>
                <c:formatCode>General</c:formatCode>
                <c:ptCount val="38"/>
              </c:numCache>
            </c:numRef>
          </c:yVal>
          <c:smooth val="0"/>
        </c:ser>
        <c:ser>
          <c:idx val="41"/>
          <c:order val="41"/>
          <c:tx>
            <c:strRef>
              <c:f>'[1]Chaleurs Brebis  Points rouges'!$H$751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rouges'!$K$751:$K$759</c:f>
              <c:numCache>
                <c:formatCode>General</c:formatCode>
                <c:ptCount val="9"/>
              </c:numCache>
            </c:numRef>
          </c:xVal>
          <c:yVal>
            <c:numRef>
              <c:f>'[1]Chaleurs Brebis  Points rouges'!$L$751:$L$759</c:f>
              <c:numCache>
                <c:formatCode>General</c:formatCode>
                <c:ptCount val="9"/>
              </c:numCache>
            </c:numRef>
          </c:yVal>
          <c:smooth val="0"/>
        </c:ser>
        <c:ser>
          <c:idx val="42"/>
          <c:order val="42"/>
          <c:tx>
            <c:strRef>
              <c:f>'[1]Chaleurs Brebis  Points rouges'!$H$760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rouges'!$K$760:$K$777</c:f>
              <c:numCache>
                <c:formatCode>General</c:formatCode>
                <c:ptCount val="18"/>
              </c:numCache>
            </c:numRef>
          </c:xVal>
          <c:yVal>
            <c:numRef>
              <c:f>'[1]Chaleurs Brebis  Points rouges'!$L$760:$L$777</c:f>
              <c:numCache>
                <c:formatCode>General</c:formatCode>
                <c:ptCount val="18"/>
              </c:numCache>
            </c:numRef>
          </c:yVal>
          <c:smooth val="0"/>
        </c:ser>
        <c:ser>
          <c:idx val="43"/>
          <c:order val="43"/>
          <c:tx>
            <c:strRef>
              <c:f>'[1]Chaleurs Brebis  Points rouges'!$H$778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rouges'!$K$778:$K$784</c:f>
              <c:numCache>
                <c:formatCode>General</c:formatCode>
                <c:ptCount val="7"/>
              </c:numCache>
            </c:numRef>
          </c:xVal>
          <c:yVal>
            <c:numRef>
              <c:f>'[1]Chaleurs Brebis  Points rouges'!$L$778:$L$784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44"/>
          <c:order val="44"/>
          <c:tx>
            <c:strRef>
              <c:f>'[1]Chaleurs Brebis  Points rouges'!$H$785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rouges'!$K$785:$K$795</c:f>
              <c:numCache>
                <c:formatCode>General</c:formatCode>
                <c:ptCount val="11"/>
              </c:numCache>
            </c:numRef>
          </c:xVal>
          <c:yVal>
            <c:numRef>
              <c:f>'[1]Chaleurs Brebis  Points rouges'!$L$785:$L$795</c:f>
              <c:numCache>
                <c:formatCode>General</c:formatCode>
                <c:ptCount val="11"/>
              </c:numCache>
            </c:numRef>
          </c:yVal>
          <c:smooth val="0"/>
        </c:ser>
        <c:ser>
          <c:idx val="45"/>
          <c:order val="45"/>
          <c:tx>
            <c:strRef>
              <c:f>'[1]Chaleurs Brebis  Points rouges'!$H$796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rouges'!$K$796:$K$802</c:f>
              <c:numCache>
                <c:formatCode>General</c:formatCode>
                <c:ptCount val="7"/>
              </c:numCache>
            </c:numRef>
          </c:xVal>
          <c:yVal>
            <c:numRef>
              <c:f>'[1]Chaleurs Brebis  Points rouges'!$L$796:$L$802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46"/>
          <c:order val="46"/>
          <c:tx>
            <c:strRef>
              <c:f>'[1]Chaleurs Brebis  Points rouges'!$H$803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rouges'!$K$803:$K$829</c:f>
              <c:numCache>
                <c:formatCode>General</c:formatCode>
                <c:ptCount val="27"/>
              </c:numCache>
            </c:numRef>
          </c:xVal>
          <c:yVal>
            <c:numRef>
              <c:f>'[1]Chaleurs Brebis  Points rouges'!$L$803:$L$829</c:f>
              <c:numCache>
                <c:formatCode>General</c:formatCode>
                <c:ptCount val="27"/>
              </c:numCache>
            </c:numRef>
          </c:yVal>
          <c:smooth val="0"/>
        </c:ser>
        <c:ser>
          <c:idx val="47"/>
          <c:order val="47"/>
          <c:tx>
            <c:strRef>
              <c:f>'[1]Chaleurs Brebis  Points rouges'!$H$830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rouges'!$K$830:$K$844</c:f>
              <c:numCache>
                <c:formatCode>General</c:formatCode>
                <c:ptCount val="15"/>
              </c:numCache>
            </c:numRef>
          </c:xVal>
          <c:yVal>
            <c:numRef>
              <c:f>'[1]Chaleurs Brebis  Points rouges'!$L$830:$L$844</c:f>
              <c:numCache>
                <c:formatCode>General</c:formatCode>
                <c:ptCount val="15"/>
              </c:numCache>
            </c:numRef>
          </c:yVal>
          <c:smooth val="0"/>
        </c:ser>
        <c:ser>
          <c:idx val="48"/>
          <c:order val="48"/>
          <c:tx>
            <c:strRef>
              <c:f>'[1]Chaleurs Brebis  Points rouges'!$H$845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rouges'!$K$845:$K$853</c:f>
              <c:numCache>
                <c:formatCode>General</c:formatCode>
                <c:ptCount val="9"/>
              </c:numCache>
            </c:numRef>
          </c:xVal>
          <c:yVal>
            <c:numRef>
              <c:f>'[1]Chaleurs Brebis  Points rouges'!$L$845:$L$853</c:f>
              <c:numCache>
                <c:formatCode>General</c:formatCode>
                <c:ptCount val="9"/>
              </c:numCache>
            </c:numRef>
          </c:yVal>
          <c:smooth val="0"/>
        </c:ser>
        <c:ser>
          <c:idx val="49"/>
          <c:order val="49"/>
          <c:tx>
            <c:strRef>
              <c:f>'[1]Chaleurs Brebis  Points rouges'!$H$854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rouges'!$K$854:$K$857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rouges'!$L$854:$L$857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50"/>
          <c:order val="50"/>
          <c:tx>
            <c:strRef>
              <c:f>'[1]Chaleurs Brebis  Points rouges'!$H$858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rouges'!$K$858:$K$866</c:f>
              <c:numCache>
                <c:formatCode>General</c:formatCode>
                <c:ptCount val="9"/>
              </c:numCache>
            </c:numRef>
          </c:xVal>
          <c:yVal>
            <c:numRef>
              <c:f>'[1]Chaleurs Brebis  Points rouges'!$L$858:$L$866</c:f>
              <c:numCache>
                <c:formatCode>General</c:formatCode>
                <c:ptCount val="9"/>
              </c:numCache>
            </c:numRef>
          </c:yVal>
          <c:smooth val="0"/>
        </c:ser>
        <c:ser>
          <c:idx val="51"/>
          <c:order val="51"/>
          <c:tx>
            <c:strRef>
              <c:f>'[1]Chaleurs Brebis  Points rouges'!$H$867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rouges'!$K$867:$K$870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rouges'!$L$867:$L$870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52"/>
          <c:order val="52"/>
          <c:tx>
            <c:strRef>
              <c:f>'[1]Chaleurs Brebis  Points rouges'!$H$871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rouges'!$K$871:$K$872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rouges'!$L$871:$L$872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53"/>
          <c:order val="53"/>
          <c:tx>
            <c:strRef>
              <c:f>'[1]Chaleurs Brebis  Points rouges'!$H$873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rouges'!$K$873:$K$889</c:f>
              <c:numCache>
                <c:formatCode>General</c:formatCode>
                <c:ptCount val="17"/>
              </c:numCache>
            </c:numRef>
          </c:xVal>
          <c:yVal>
            <c:numRef>
              <c:f>'[1]Chaleurs Brebis  Points rouges'!$L$873:$L$889</c:f>
              <c:numCache>
                <c:formatCode>General</c:formatCode>
                <c:ptCount val="17"/>
              </c:numCache>
            </c:numRef>
          </c:yVal>
          <c:smooth val="0"/>
        </c:ser>
        <c:ser>
          <c:idx val="54"/>
          <c:order val="54"/>
          <c:tx>
            <c:strRef>
              <c:f>'[1]Chaleurs Brebis  Points rouges'!$H$890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rouges'!$K$890:$K$892</c:f>
              <c:numCache>
                <c:formatCode>General</c:formatCode>
                <c:ptCount val="3"/>
              </c:numCache>
            </c:numRef>
          </c:xVal>
          <c:yVal>
            <c:numRef>
              <c:f>'[1]Chaleurs Brebis  Points rouges'!$L$890:$L$892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55"/>
          <c:order val="55"/>
          <c:tx>
            <c:strRef>
              <c:f>'[1]Chaleurs Brebis  Points rouges'!$H$893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rouges'!$K$893:$K$896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rouges'!$L$893:$L$896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56"/>
          <c:order val="56"/>
          <c:tx>
            <c:strRef>
              <c:f>'[1]Chaleurs Brebis  Points rouges'!$H$897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rouges'!$K$897:$K$906</c:f>
              <c:numCache>
                <c:formatCode>General</c:formatCode>
                <c:ptCount val="10"/>
              </c:numCache>
            </c:numRef>
          </c:xVal>
          <c:yVal>
            <c:numRef>
              <c:f>'[1]Chaleurs Brebis  Points rouges'!$L$897:$L$906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57"/>
          <c:order val="57"/>
          <c:tx>
            <c:strRef>
              <c:f>'[1]Chaleurs Brebis  Points rouges'!$H$907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rouges'!$K$907:$K$909</c:f>
              <c:numCache>
                <c:formatCode>General</c:formatCode>
                <c:ptCount val="3"/>
              </c:numCache>
            </c:numRef>
          </c:xVal>
          <c:yVal>
            <c:numRef>
              <c:f>'[1]Chaleurs Brebis  Points rouges'!$L$907:$L$909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58"/>
          <c:order val="58"/>
          <c:tx>
            <c:strRef>
              <c:f>'[1]Chaleurs Brebis  Points rouges'!$H$910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rouges'!$K$910:$K$925</c:f>
              <c:numCache>
                <c:formatCode>General</c:formatCode>
                <c:ptCount val="16"/>
              </c:numCache>
            </c:numRef>
          </c:xVal>
          <c:yVal>
            <c:numRef>
              <c:f>'[1]Chaleurs Brebis  Points rouges'!$L$910:$L$925</c:f>
              <c:numCache>
                <c:formatCode>General</c:formatCode>
                <c:ptCount val="16"/>
              </c:numCache>
            </c:numRef>
          </c:yVal>
          <c:smooth val="0"/>
        </c:ser>
        <c:ser>
          <c:idx val="59"/>
          <c:order val="59"/>
          <c:tx>
            <c:strRef>
              <c:f>'[1]Chaleurs Brebis  Points rouges'!$H$926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rouges'!$K$926:$K$930</c:f>
              <c:numCache>
                <c:formatCode>General</c:formatCode>
                <c:ptCount val="5"/>
              </c:numCache>
            </c:numRef>
          </c:xVal>
          <c:yVal>
            <c:numRef>
              <c:f>'[1]Chaleurs Brebis  Points rouges'!$L$926:$L$930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60"/>
          <c:order val="60"/>
          <c:tx>
            <c:strRef>
              <c:f>'[1]Chaleurs Brebis  Points rouges'!$H$931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rouges'!$K$931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rouges'!$L$931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61"/>
          <c:order val="61"/>
          <c:tx>
            <c:strRef>
              <c:f>'[1]Chaleurs Brebis  Points rouges'!$H$932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rouges'!$K$932:$K$933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rouges'!$L$932:$L$933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62"/>
          <c:order val="62"/>
          <c:tx>
            <c:strRef>
              <c:f>'[1]Chaleurs Brebis  Points rouges'!$H$934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rouges'!$K$934:$K$940</c:f>
              <c:numCache>
                <c:formatCode>General</c:formatCode>
                <c:ptCount val="7"/>
              </c:numCache>
            </c:numRef>
          </c:xVal>
          <c:yVal>
            <c:numRef>
              <c:f>'[1]Chaleurs Brebis  Points rouges'!$L$934:$L$940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63"/>
          <c:order val="63"/>
          <c:tx>
            <c:strRef>
              <c:f>'[1]Chaleurs Brebis  Points rouges'!$H$941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rouges'!$K$941:$K$944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rouges'!$L$941:$L$944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64"/>
          <c:order val="64"/>
          <c:tx>
            <c:strRef>
              <c:f>'[1]Chaleurs Brebis  Points rouges'!$H$945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rouges'!$K$945:$K$947</c:f>
              <c:numCache>
                <c:formatCode>General</c:formatCode>
                <c:ptCount val="3"/>
              </c:numCache>
            </c:numRef>
          </c:xVal>
          <c:yVal>
            <c:numRef>
              <c:f>'[1]Chaleurs Brebis  Points rouges'!$L$945:$L$947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65"/>
          <c:order val="65"/>
          <c:tx>
            <c:strRef>
              <c:f>'[1]Chaleurs Brebis  Points rouges'!$H$948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rouges'!$K$948:$K$962</c:f>
              <c:numCache>
                <c:formatCode>General</c:formatCode>
                <c:ptCount val="15"/>
              </c:numCache>
            </c:numRef>
          </c:xVal>
          <c:yVal>
            <c:numRef>
              <c:f>'[1]Chaleurs Brebis  Points rouges'!$L$948:$L$962</c:f>
              <c:numCache>
                <c:formatCode>General</c:formatCode>
                <c:ptCount val="15"/>
              </c:numCache>
            </c:numRef>
          </c:yVal>
          <c:smooth val="0"/>
        </c:ser>
        <c:ser>
          <c:idx val="66"/>
          <c:order val="66"/>
          <c:tx>
            <c:strRef>
              <c:f>'[1]Chaleurs Brebis  Points rouges'!$H$963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rouges'!$K$963:$K$964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rouges'!$L$963:$L$964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67"/>
          <c:order val="67"/>
          <c:tx>
            <c:strRef>
              <c:f>'[1]Chaleurs Brebis  Points rouges'!$H$965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rouges'!$K$965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rouges'!$L$965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68"/>
          <c:order val="68"/>
          <c:tx>
            <c:strRef>
              <c:f>'[1]Chaleurs Brebis  Points rouges'!$H$966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rouges'!$K$966:$K$995</c:f>
              <c:numCache>
                <c:formatCode>General</c:formatCode>
                <c:ptCount val="30"/>
              </c:numCache>
            </c:numRef>
          </c:xVal>
          <c:yVal>
            <c:numRef>
              <c:f>'[1]Chaleurs Brebis  Points rouges'!$L$966:$L$995</c:f>
              <c:numCache>
                <c:formatCode>General</c:formatCode>
                <c:ptCount val="30"/>
              </c:numCache>
            </c:numRef>
          </c:yVal>
          <c:smooth val="0"/>
        </c:ser>
        <c:ser>
          <c:idx val="69"/>
          <c:order val="69"/>
          <c:tx>
            <c:strRef>
              <c:f>'[1]Chaleurs Brebis  Points rouges'!$H$996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rouges'!$K$996:$K$1014</c:f>
              <c:numCache>
                <c:formatCode>General</c:formatCode>
                <c:ptCount val="19"/>
              </c:numCache>
            </c:numRef>
          </c:xVal>
          <c:yVal>
            <c:numRef>
              <c:f>'[1]Chaleurs Brebis  Points rouges'!$L$996:$L$1014</c:f>
              <c:numCache>
                <c:formatCode>General</c:formatCode>
                <c:ptCount val="19"/>
              </c:numCache>
            </c:numRef>
          </c:yVal>
          <c:smooth val="0"/>
        </c:ser>
        <c:ser>
          <c:idx val="70"/>
          <c:order val="70"/>
          <c:tx>
            <c:strRef>
              <c:f>'[1]Chaleurs Brebis  Points rouges'!$H$1015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rouges'!$K$1015:$K$1121</c:f>
              <c:numCache>
                <c:formatCode>General</c:formatCode>
                <c:ptCount val="107"/>
              </c:numCache>
            </c:numRef>
          </c:xVal>
          <c:yVal>
            <c:numRef>
              <c:f>'[1]Chaleurs Brebis  Points rouges'!$L$1015:$L$1121</c:f>
              <c:numCache>
                <c:formatCode>General</c:formatCode>
                <c:ptCount val="107"/>
              </c:numCache>
            </c:numRef>
          </c:yVal>
          <c:smooth val="0"/>
        </c:ser>
        <c:ser>
          <c:idx val="71"/>
          <c:order val="71"/>
          <c:tx>
            <c:strRef>
              <c:f>'[1]Chaleurs Brebis  Points rouges'!$H$1122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rouges'!$K$1122:$K$1139</c:f>
              <c:numCache>
                <c:formatCode>General</c:formatCode>
                <c:ptCount val="18"/>
              </c:numCache>
            </c:numRef>
          </c:xVal>
          <c:yVal>
            <c:numRef>
              <c:f>'[1]Chaleurs Brebis  Points rouges'!$L$1122:$L$1139</c:f>
              <c:numCache>
                <c:formatCode>General</c:formatCode>
                <c:ptCount val="18"/>
              </c:numCache>
            </c:numRef>
          </c:yVal>
          <c:smooth val="0"/>
        </c:ser>
        <c:ser>
          <c:idx val="72"/>
          <c:order val="72"/>
          <c:tx>
            <c:strRef>
              <c:f>'[1]Chaleurs Brebis  Points rouges'!$H$1140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rouges'!$K$1140:$K$1145</c:f>
              <c:numCache>
                <c:formatCode>General</c:formatCode>
                <c:ptCount val="6"/>
              </c:numCache>
            </c:numRef>
          </c:xVal>
          <c:yVal>
            <c:numRef>
              <c:f>'[1]Chaleurs Brebis  Points rouges'!$L$1140:$L$1145</c:f>
              <c:numCache>
                <c:formatCode>General</c:formatCode>
                <c:ptCount val="6"/>
              </c:numCache>
            </c:numRef>
          </c:yVal>
          <c:smooth val="0"/>
        </c:ser>
        <c:ser>
          <c:idx val="73"/>
          <c:order val="73"/>
          <c:tx>
            <c:strRef>
              <c:f>'[1]Chaleurs Brebis  Points rouges'!$H$1146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rouges'!$K$1146:$K$1164</c:f>
              <c:numCache>
                <c:formatCode>General</c:formatCode>
                <c:ptCount val="19"/>
              </c:numCache>
            </c:numRef>
          </c:xVal>
          <c:yVal>
            <c:numRef>
              <c:f>'[1]Chaleurs Brebis  Points rouges'!$L$1146:$L$1164</c:f>
              <c:numCache>
                <c:formatCode>General</c:formatCode>
                <c:ptCount val="19"/>
              </c:numCache>
            </c:numRef>
          </c:yVal>
          <c:smooth val="0"/>
        </c:ser>
        <c:ser>
          <c:idx val="74"/>
          <c:order val="74"/>
          <c:tx>
            <c:strRef>
              <c:f>'[1]Chaleurs Brebis  Points rouges'!$H$1165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rouges'!$K$1165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rouges'!$L$1165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75"/>
          <c:order val="75"/>
          <c:tx>
            <c:strRef>
              <c:f>'[1]Chaleurs Brebis  Points rouges'!$H$1166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rouges'!$K$1166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rouges'!$L$1166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76"/>
          <c:order val="76"/>
          <c:tx>
            <c:strRef>
              <c:f>'[1]Chaleurs Brebis  Points rouges'!$H$1167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rouges'!$K$1167:$K$1168</c:f>
              <c:numCache>
                <c:formatCode>General</c:formatCode>
                <c:ptCount val="2"/>
              </c:numCache>
            </c:numRef>
          </c:xVal>
          <c:yVal>
            <c:numRef>
              <c:f>'[1]Chaleurs Brebis  Points rouges'!$L$1167:$L$1168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77"/>
          <c:order val="77"/>
          <c:tx>
            <c:strRef>
              <c:f>'[1]Chaleurs Brebis  Points rouges'!$H$1169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rouges'!$K$1169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rouges'!$L$1169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78"/>
          <c:order val="78"/>
          <c:tx>
            <c:strRef>
              <c:f>'[1]Chaleurs Brebis  Points rouges'!$H$1170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rouges'!$K$1170:$K$1210</c:f>
              <c:numCache>
                <c:formatCode>General</c:formatCode>
                <c:ptCount val="41"/>
              </c:numCache>
            </c:numRef>
          </c:xVal>
          <c:yVal>
            <c:numRef>
              <c:f>'[1]Chaleurs Brebis  Points rouges'!$L$1170:$L$1210</c:f>
              <c:numCache>
                <c:formatCode>General</c:formatCode>
                <c:ptCount val="41"/>
              </c:numCache>
            </c:numRef>
          </c:yVal>
          <c:smooth val="0"/>
        </c:ser>
        <c:ser>
          <c:idx val="79"/>
          <c:order val="79"/>
          <c:tx>
            <c:strRef>
              <c:f>'[1]Chaleurs Brebis  Points rouges'!$H$1211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rouges'!$K$1211:$K$1218</c:f>
              <c:numCache>
                <c:formatCode>General</c:formatCode>
                <c:ptCount val="8"/>
              </c:numCache>
            </c:numRef>
          </c:xVal>
          <c:yVal>
            <c:numRef>
              <c:f>'[1]Chaleurs Brebis  Points rouges'!$L$1211:$L$1218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80"/>
          <c:order val="80"/>
          <c:tx>
            <c:strRef>
              <c:f>'[1]Chaleurs Brebis  Points rouges'!$H$1219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rouges'!$K$1219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rouges'!$L$1219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81"/>
          <c:order val="81"/>
          <c:tx>
            <c:strRef>
              <c:f>'[1]Chaleurs Brebis  Points rouges'!$H$1220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rouges'!$K$1220:$K$1269</c:f>
              <c:numCache>
                <c:formatCode>General</c:formatCode>
                <c:ptCount val="50"/>
              </c:numCache>
            </c:numRef>
          </c:xVal>
          <c:yVal>
            <c:numRef>
              <c:f>'[1]Chaleurs Brebis  Points rouges'!$L$1220:$L$1269</c:f>
              <c:numCache>
                <c:formatCode>General</c:formatCode>
                <c:ptCount val="50"/>
              </c:numCache>
            </c:numRef>
          </c:yVal>
          <c:smooth val="0"/>
        </c:ser>
        <c:ser>
          <c:idx val="82"/>
          <c:order val="82"/>
          <c:tx>
            <c:strRef>
              <c:f>'[1]Chaleurs Brebis  Points rouges'!$H$1270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rouges'!$K$1270:$K$1334</c:f>
              <c:numCache>
                <c:formatCode>General</c:formatCode>
                <c:ptCount val="65"/>
              </c:numCache>
            </c:numRef>
          </c:xVal>
          <c:yVal>
            <c:numRef>
              <c:f>'[1]Chaleurs Brebis  Points rouges'!$L$1270:$L$1334</c:f>
              <c:numCache>
                <c:formatCode>General</c:formatCode>
                <c:ptCount val="65"/>
              </c:numCache>
            </c:numRef>
          </c:yVal>
          <c:smooth val="0"/>
        </c:ser>
        <c:ser>
          <c:idx val="83"/>
          <c:order val="83"/>
          <c:tx>
            <c:strRef>
              <c:f>'[1]Chaleurs Brebis  Points rouges'!$H$1335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rouges'!$K$1335:$K$1405</c:f>
              <c:numCache>
                <c:formatCode>General</c:formatCode>
                <c:ptCount val="71"/>
              </c:numCache>
            </c:numRef>
          </c:xVal>
          <c:yVal>
            <c:numRef>
              <c:f>'[1]Chaleurs Brebis  Points rouges'!$L$1335:$L$1405</c:f>
              <c:numCache>
                <c:formatCode>General</c:formatCode>
                <c:ptCount val="71"/>
              </c:numCache>
            </c:numRef>
          </c:yVal>
          <c:smooth val="0"/>
        </c:ser>
        <c:ser>
          <c:idx val="84"/>
          <c:order val="84"/>
          <c:tx>
            <c:strRef>
              <c:f>'[1]Chaleurs Brebis  Points rouges'!$H$1406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rouges'!$K$1406:$K$1415</c:f>
              <c:numCache>
                <c:formatCode>General</c:formatCode>
                <c:ptCount val="10"/>
              </c:numCache>
            </c:numRef>
          </c:xVal>
          <c:yVal>
            <c:numRef>
              <c:f>'[1]Chaleurs Brebis  Points rouges'!$L$1406:$L$1415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85"/>
          <c:order val="85"/>
          <c:tx>
            <c:strRef>
              <c:f>'[1]Chaleurs Brebis  Points rouges'!$H$1416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rouges'!$K$1416:$K$1419</c:f>
              <c:numCache>
                <c:formatCode>General</c:formatCode>
                <c:ptCount val="4"/>
              </c:numCache>
            </c:numRef>
          </c:xVal>
          <c:yVal>
            <c:numRef>
              <c:f>'[1]Chaleurs Brebis  Points rouges'!$L$1416:$L$1419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86"/>
          <c:order val="86"/>
          <c:tx>
            <c:strRef>
              <c:f>'[1]Chaleurs Brebis  Points rouges'!$H$1420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rouges'!$K$1420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rouges'!$L$1420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87"/>
          <c:order val="87"/>
          <c:tx>
            <c:strRef>
              <c:f>'[1]Chaleurs Brebis  Points rouges'!$H$1421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rouges'!$K$1421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rouges'!$L$1421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88"/>
          <c:order val="88"/>
          <c:tx>
            <c:strRef>
              <c:f>'[1]Chaleurs Brebis  Points rouges'!$H$1422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rouges'!$K$1422:$K$1443</c:f>
              <c:numCache>
                <c:formatCode>General</c:formatCode>
                <c:ptCount val="22"/>
              </c:numCache>
            </c:numRef>
          </c:xVal>
          <c:yVal>
            <c:numRef>
              <c:f>'[1]Chaleurs Brebis  Points rouges'!$L$1422:$L$1443</c:f>
              <c:numCache>
                <c:formatCode>General</c:formatCode>
                <c:ptCount val="22"/>
              </c:numCache>
            </c:numRef>
          </c:yVal>
          <c:smooth val="0"/>
        </c:ser>
        <c:ser>
          <c:idx val="89"/>
          <c:order val="89"/>
          <c:tx>
            <c:strRef>
              <c:f>'[1]Chaleurs Brebis  Points rouges'!$H$1444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rouges'!$K$1444:$K$1473</c:f>
              <c:numCache>
                <c:formatCode>General</c:formatCode>
                <c:ptCount val="30"/>
              </c:numCache>
            </c:numRef>
          </c:xVal>
          <c:yVal>
            <c:numRef>
              <c:f>'[1]Chaleurs Brebis  Points rouges'!$L$1444:$L$1473</c:f>
              <c:numCache>
                <c:formatCode>General</c:formatCode>
                <c:ptCount val="30"/>
              </c:numCache>
            </c:numRef>
          </c:yVal>
          <c:smooth val="0"/>
        </c:ser>
        <c:ser>
          <c:idx val="90"/>
          <c:order val="90"/>
          <c:tx>
            <c:strRef>
              <c:f>'[1]Chaleurs Brebis  Points rouges'!$H$1474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rouges'!$K$1474:$K$1536</c:f>
              <c:numCache>
                <c:formatCode>General</c:formatCode>
                <c:ptCount val="63"/>
              </c:numCache>
            </c:numRef>
          </c:xVal>
          <c:yVal>
            <c:numRef>
              <c:f>'[1]Chaleurs Brebis  Points rouges'!$L$1474:$L$1536</c:f>
              <c:numCache>
                <c:formatCode>General</c:formatCode>
                <c:ptCount val="63"/>
              </c:numCache>
            </c:numRef>
          </c:yVal>
          <c:smooth val="0"/>
        </c:ser>
        <c:ser>
          <c:idx val="91"/>
          <c:order val="91"/>
          <c:tx>
            <c:strRef>
              <c:f>'[1]Chaleurs Brebis  Points rouges'!$H$1537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rouges'!$K$1537:$K$1546</c:f>
              <c:numCache>
                <c:formatCode>General</c:formatCode>
                <c:ptCount val="10"/>
              </c:numCache>
            </c:numRef>
          </c:xVal>
          <c:yVal>
            <c:numRef>
              <c:f>'[1]Chaleurs Brebis  Points rouges'!$L$1537:$L$1546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92"/>
          <c:order val="92"/>
          <c:tx>
            <c:strRef>
              <c:f>'[1]Chaleurs Brebis  Points rouges'!$H$1547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rouges'!$K$1547:$K$1572</c:f>
              <c:numCache>
                <c:formatCode>General</c:formatCode>
                <c:ptCount val="26"/>
              </c:numCache>
            </c:numRef>
          </c:xVal>
          <c:yVal>
            <c:numRef>
              <c:f>'[1]Chaleurs Brebis  Points rouges'!$L$1547:$L$1572</c:f>
              <c:numCache>
                <c:formatCode>General</c:formatCode>
                <c:ptCount val="26"/>
              </c:numCache>
            </c:numRef>
          </c:yVal>
          <c:smooth val="0"/>
        </c:ser>
        <c:ser>
          <c:idx val="93"/>
          <c:order val="93"/>
          <c:tx>
            <c:strRef>
              <c:f>'[1]Chaleurs Brebis  Points rouges'!$H$1573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rouges'!$K$1573:$K$1588</c:f>
              <c:numCache>
                <c:formatCode>General</c:formatCode>
                <c:ptCount val="16"/>
              </c:numCache>
            </c:numRef>
          </c:xVal>
          <c:yVal>
            <c:numRef>
              <c:f>'[1]Chaleurs Brebis  Points rouges'!$L$1573:$L$1588</c:f>
              <c:numCache>
                <c:formatCode>General</c:formatCode>
                <c:ptCount val="16"/>
              </c:numCache>
            </c:numRef>
          </c:yVal>
          <c:smooth val="0"/>
        </c:ser>
        <c:ser>
          <c:idx val="94"/>
          <c:order val="94"/>
          <c:tx>
            <c:strRef>
              <c:f>'[1]Chaleurs Brebis  Points rouges'!$H$1589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rouges'!$K$1589:$K$1639</c:f>
              <c:numCache>
                <c:formatCode>General</c:formatCode>
                <c:ptCount val="51"/>
              </c:numCache>
            </c:numRef>
          </c:xVal>
          <c:yVal>
            <c:numRef>
              <c:f>'[1]Chaleurs Brebis  Points rouges'!$L$1589:$L$1639</c:f>
              <c:numCache>
                <c:formatCode>General</c:formatCode>
                <c:ptCount val="51"/>
              </c:numCache>
            </c:numRef>
          </c:yVal>
          <c:smooth val="0"/>
        </c:ser>
        <c:ser>
          <c:idx val="95"/>
          <c:order val="95"/>
          <c:tx>
            <c:strRef>
              <c:f>'[1]Chaleurs Brebis  Points rouges'!$H$1640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rouges'!$K$1640:$K$1642</c:f>
              <c:numCache>
                <c:formatCode>General</c:formatCode>
                <c:ptCount val="3"/>
              </c:numCache>
            </c:numRef>
          </c:xVal>
          <c:yVal>
            <c:numRef>
              <c:f>'[1]Chaleurs Brebis  Points rouges'!$L$1640:$L$1642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96"/>
          <c:order val="96"/>
          <c:tx>
            <c:strRef>
              <c:f>'[1]Chaleurs Brebis  Points rouges'!$H$1643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'[1]Chaleurs Brebis  Points rouges'!$K$1643</c:f>
              <c:numCache>
                <c:formatCode>General</c:formatCode>
                <c:ptCount val="1"/>
              </c:numCache>
            </c:numRef>
          </c:xVal>
          <c:yVal>
            <c:numRef>
              <c:f>'[1]Chaleurs Brebis  Points rouges'!$L$1643</c:f>
              <c:numCache>
                <c:formatCode>General</c:formatCode>
                <c:ptCount val="1"/>
              </c:numCache>
            </c:numRef>
          </c:yVal>
          <c:smooth val="0"/>
        </c:ser>
        <c:axId val="63379658"/>
        <c:axId val="32178214"/>
      </c:scatterChart>
      <c:valAx>
        <c:axId val="63379658"/>
        <c:scaling>
          <c:orientation val="minMax"/>
          <c:max val="45463"/>
          <c:min val="45433"/>
        </c:scaling>
        <c:delete val="0"/>
        <c:axPos val="b"/>
        <c:numFmt formatCode="dd/mm/yy\ hh:mm" sourceLinked="0"/>
        <c:majorTickMark val="in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2178214"/>
        <c:crosses val="autoZero"/>
        <c:crossBetween val="midCat"/>
        <c:majorUnit val="3"/>
        <c:minorUnit val="0.25"/>
      </c:valAx>
      <c:valAx>
        <c:axId val="32178214"/>
        <c:scaling>
          <c:orientation val="minMax"/>
          <c:max val="100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minorGridlines>
          <c:spPr>
            <a:ln w="3240">
              <a:solidFill>
                <a:srgbClr val="000000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fr-FR" sz="14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400" spc="-1" strike="noStrike">
                    <a:solidFill>
                      <a:srgbClr val="000000"/>
                    </a:solidFill>
                    <a:latin typeface="Calibri"/>
                  </a:rPr>
                  <a:t>N° des brebis</a:t>
                </a:r>
              </a:p>
            </c:rich>
          </c:tx>
          <c:layout>
            <c:manualLayout>
              <c:xMode val="edge"/>
              <c:yMode val="edge"/>
              <c:x val="0.00273427790206314"/>
              <c:y val="0.45901534526854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79658"/>
        <c:crosses val="autoZero"/>
        <c:crossBetween val="midCat"/>
        <c:majorUnit val="4"/>
        <c:minorUnit val="1"/>
      </c:valAx>
      <c:spPr>
        <a:noFill/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41</xdr:row>
      <xdr:rowOff>9720</xdr:rowOff>
    </xdr:from>
    <xdr:to>
      <xdr:col>11</xdr:col>
      <xdr:colOff>361080</xdr:colOff>
      <xdr:row>65</xdr:row>
      <xdr:rowOff>33480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7477200"/>
          <a:ext cx="10849320" cy="43671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0</xdr:colOff>
      <xdr:row>66</xdr:row>
      <xdr:rowOff>9720</xdr:rowOff>
    </xdr:from>
    <xdr:to>
      <xdr:col>12</xdr:col>
      <xdr:colOff>242640</xdr:colOff>
      <xdr:row>89</xdr:row>
      <xdr:rowOff>153720</xdr:rowOff>
    </xdr:to>
    <xdr:sp>
      <xdr:nvSpPr>
        <xdr:cNvPr id="1" name="Espace réservé du contenu 2"/>
        <xdr:cNvSpPr/>
      </xdr:nvSpPr>
      <xdr:spPr>
        <a:xfrm>
          <a:off x="0" y="12001680"/>
          <a:ext cx="11545560" cy="430632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90000"/>
            </a:lnSpc>
            <a:spcBef>
              <a:spcPts val="1001"/>
            </a:spcBef>
          </a:pPr>
          <a:r>
            <a:rPr b="1" lang="fr-FR" sz="1500" spc="-1" strike="noStrike">
              <a:solidFill>
                <a:schemeClr val="dk1"/>
              </a:solidFill>
              <a:latin typeface="Calibri"/>
            </a:rPr>
            <a:t>Si NEC «Basse» (&lt;=2):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 </a:t>
          </a: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𝑃𝑟𝑜𝑏𝑎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(𝐶𝑦𝑐𝑙𝑖𝑞𝑢𝑒)=𝑒^((0,102∗Age+0,007∗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〖𝑳𝒂𝒄𝒕〗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_𝒕𝒐𝒕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−0,001∗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𝐂𝐭𝐥𝟑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+0,008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〖∗𝑴𝑩〗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_𝑬𝑴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−2,723))/(1+𝑒^((0,102∗Age+0,007∗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〖𝑳𝒂𝒄𝒕〗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_𝒕𝒐𝒕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−0,001∗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𝐂𝐭𝐥𝟑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+0,008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〖∗𝑴𝑩〗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_𝑬𝑴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−2,723)) )</a:t>
          </a: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r>
            <a:rPr b="1" lang="fr-FR" sz="1500" spc="-1" strike="noStrike">
              <a:solidFill>
                <a:schemeClr val="dk1"/>
              </a:solidFill>
              <a:latin typeface="Calibri"/>
            </a:rPr>
            <a:t>Si NEC « Haute » (&gt;3):</a:t>
          </a: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𝑃𝑟𝑜𝑏𝑎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(𝐶𝑦𝑐𝑙𝑖𝑞𝑢𝑒)=𝑒^((1,204+0,102∗Age+0,007∗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〖𝑳𝒂𝒄𝒕〗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_𝒕𝒐𝒕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−0,001∗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𝐂𝐭𝐥𝟑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+0,008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〖∗𝑴𝑩〗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_𝑬𝑴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−2,723))/(1+𝑒^((1,204+0,102∗Age+0,007∗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〖𝑳𝒂𝒄𝒕〗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_𝒕𝒐𝒕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−0,001∗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𝐂𝐭𝐥𝟑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+0,008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〖∗𝑴𝑩〗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_𝑬𝑴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−2,723)) )</a:t>
          </a: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r>
            <a:rPr b="1" lang="fr-FR" sz="1500" spc="-1" strike="noStrike">
              <a:solidFill>
                <a:schemeClr val="dk1"/>
              </a:solidFill>
              <a:latin typeface="Calibri"/>
            </a:rPr>
            <a:t>Si NEC « Moyenne » (]2-3]): </a:t>
          </a: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 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𝑃𝑟𝑜𝑏𝑎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(𝐶𝑦𝑐𝑙𝑖𝑞𝑢𝑒)=𝑒^((0,585+0,102∗Age+0,007∗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〖𝑳𝒂𝒄𝒕〗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_𝒕𝒐𝒕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−0,001∗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𝐂𝐭𝐥𝟑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+0,008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〖∗𝑴𝑩〗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_𝑬𝑴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−2,723))/(1+𝑒^((0,585+0,102∗Age+0,007∗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〖𝑳𝒂𝒄𝒕〗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_𝒕𝒐𝒕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−0,001∗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𝐂𝐭𝐥𝟑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+0,008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〖∗𝑴𝑩〗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_𝑬𝑴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−2,723)) )</a:t>
          </a: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endParaRPr b="0" lang="fr-FR" sz="15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57240</xdr:colOff>
      <xdr:row>0</xdr:row>
      <xdr:rowOff>9360</xdr:rowOff>
    </xdr:from>
    <xdr:to>
      <xdr:col>1</xdr:col>
      <xdr:colOff>576360</xdr:colOff>
      <xdr:row>1</xdr:row>
      <xdr:rowOff>157680</xdr:rowOff>
    </xdr:to>
    <xdr:pic>
      <xdr:nvPicPr>
        <xdr:cNvPr id="2" name="Image 1" descr=""/>
        <xdr:cNvPicPr/>
      </xdr:nvPicPr>
      <xdr:blipFill>
        <a:blip r:embed="rId1"/>
        <a:stretch/>
      </xdr:blipFill>
      <xdr:spPr>
        <a:xfrm>
          <a:off x="871920" y="9360"/>
          <a:ext cx="519120" cy="329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57240</xdr:colOff>
      <xdr:row>0</xdr:row>
      <xdr:rowOff>9360</xdr:rowOff>
    </xdr:from>
    <xdr:to>
      <xdr:col>2</xdr:col>
      <xdr:colOff>156960</xdr:colOff>
      <xdr:row>1</xdr:row>
      <xdr:rowOff>165240</xdr:rowOff>
    </xdr:to>
    <xdr:pic>
      <xdr:nvPicPr>
        <xdr:cNvPr id="3" name="Image 2" descr=""/>
        <xdr:cNvPicPr/>
      </xdr:nvPicPr>
      <xdr:blipFill>
        <a:blip r:embed="rId2"/>
        <a:stretch/>
      </xdr:blipFill>
      <xdr:spPr>
        <a:xfrm>
          <a:off x="871920" y="9360"/>
          <a:ext cx="1148760" cy="33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57240</xdr:colOff>
      <xdr:row>0</xdr:row>
      <xdr:rowOff>9360</xdr:rowOff>
    </xdr:from>
    <xdr:to>
      <xdr:col>1</xdr:col>
      <xdr:colOff>576360</xdr:colOff>
      <xdr:row>1</xdr:row>
      <xdr:rowOff>150120</xdr:rowOff>
    </xdr:to>
    <xdr:pic>
      <xdr:nvPicPr>
        <xdr:cNvPr id="4" name="Image 3" descr=""/>
        <xdr:cNvPicPr/>
      </xdr:nvPicPr>
      <xdr:blipFill>
        <a:blip r:embed="rId3"/>
        <a:stretch/>
      </xdr:blipFill>
      <xdr:spPr>
        <a:xfrm>
          <a:off x="871920" y="9360"/>
          <a:ext cx="519120" cy="321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12600</xdr:rowOff>
    </xdr:from>
    <xdr:to>
      <xdr:col>26</xdr:col>
      <xdr:colOff>166680</xdr:colOff>
      <xdr:row>27</xdr:row>
      <xdr:rowOff>172080</xdr:rowOff>
    </xdr:to>
    <xdr:graphicFrame>
      <xdr:nvGraphicFramePr>
        <xdr:cNvPr id="5" name="Graphique 1"/>
        <xdr:cNvGraphicFramePr/>
      </xdr:nvGraphicFramePr>
      <xdr:xfrm>
        <a:off x="11060280" y="542880"/>
        <a:ext cx="9128520" cy="486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29</xdr:row>
      <xdr:rowOff>12600</xdr:rowOff>
    </xdr:from>
    <xdr:to>
      <xdr:col>26</xdr:col>
      <xdr:colOff>166680</xdr:colOff>
      <xdr:row>55</xdr:row>
      <xdr:rowOff>171720</xdr:rowOff>
    </xdr:to>
    <xdr:graphicFrame>
      <xdr:nvGraphicFramePr>
        <xdr:cNvPr id="10" name="Graphique 2"/>
        <xdr:cNvGraphicFramePr/>
      </xdr:nvGraphicFramePr>
      <xdr:xfrm>
        <a:off x="11060280" y="5610240"/>
        <a:ext cx="9128520" cy="486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57</xdr:row>
      <xdr:rowOff>12600</xdr:rowOff>
    </xdr:from>
    <xdr:to>
      <xdr:col>26</xdr:col>
      <xdr:colOff>166680</xdr:colOff>
      <xdr:row>83</xdr:row>
      <xdr:rowOff>171720</xdr:rowOff>
    </xdr:to>
    <xdr:graphicFrame>
      <xdr:nvGraphicFramePr>
        <xdr:cNvPr id="13" name="Graphique 5"/>
        <xdr:cNvGraphicFramePr/>
      </xdr:nvGraphicFramePr>
      <xdr:xfrm>
        <a:off x="11060280" y="10677600"/>
        <a:ext cx="9128520" cy="486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0.100914898651313</cdr:x>
      <cdr:y>0.12039366582803</cdr:y>
    </cdr:from>
    <cdr:to>
      <cdr:x>0.478389462891395</cdr:x>
      <cdr:y>0.15324848305461</cdr:y>
    </cdr:to>
    <cdr:sp>
      <cdr:nvSpPr>
        <cdr:cNvPr id="6" name="Rectangle 1"/>
        <cdr:cNvSpPr/>
      </cdr:nvSpPr>
      <cdr:spPr>
        <a:xfrm>
          <a:off x="921240" y="585720"/>
          <a:ext cx="3445920" cy="159840"/>
        </a:xfrm>
        <a:prstGeom prst="rect">
          <a:avLst/>
        </a:prstGeom>
        <a:solidFill>
          <a:srgbClr val="bf9000"/>
        </a:solidFill>
        <a:ln w="12700">
          <a:solidFill>
            <a:srgbClr val="43729d"/>
          </a:solidFill>
          <a:miter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  <c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fr-FR" sz="1100" spc="-1" strike="noStrike">
              <a:solidFill>
                <a:schemeClr val="lt1"/>
              </a:solidFill>
              <a:latin typeface="Calibri"/>
            </a:rPr>
            <a:t>Effet bélier</a:t>
          </a:r>
          <a:endParaRPr b="0" sz="1100" spc="-1" strike="noStrike">
            <a:latin typeface="Times New Roman"/>
          </a:endParaRPr>
        </a:p>
      </cdr:txBody>
    </cdr:sp>
  </cdr:relSizeAnchor>
  <cdr:relSizeAnchor>
    <cdr:from>
      <cdr:x>0.478192286457923</cdr:x>
      <cdr:y>0.12039366582803</cdr:y>
    </cdr:from>
    <cdr:to>
      <cdr:x>0.939703446644057</cdr:x>
      <cdr:y>0.151694538996596</cdr:y>
    </cdr:to>
    <cdr:sp>
      <cdr:nvSpPr>
        <cdr:cNvPr id="7" name="Rectangle 2"/>
        <cdr:cNvSpPr/>
      </cdr:nvSpPr>
      <cdr:spPr>
        <a:xfrm>
          <a:off x="4365360" y="585720"/>
          <a:ext cx="4213080" cy="152280"/>
        </a:xfrm>
        <a:prstGeom prst="rect">
          <a:avLst/>
        </a:prstGeom>
        <a:solidFill>
          <a:srgbClr val="0070c0"/>
        </a:solidFill>
        <a:ln w="12700">
          <a:solidFill>
            <a:srgbClr val="43729d"/>
          </a:solidFill>
          <a:miter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  <c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fr-FR" sz="1100" spc="-1" strike="noStrike">
              <a:solidFill>
                <a:schemeClr val="lt1"/>
              </a:solidFill>
              <a:latin typeface="Calibri"/>
            </a:rPr>
            <a:t>Retour</a:t>
          </a:r>
          <a:endParaRPr b="0" sz="1100" spc="-1" strike="noStrike">
            <a:latin typeface="Times New Roman"/>
          </a:endParaRPr>
        </a:p>
      </cdr:txBody>
    </cdr:sp>
  </cdr:relSizeAnchor>
  <cdr:relSizeAnchor>
    <cdr:from>
      <cdr:x>0.177616531272182</cdr:x>
      <cdr:y>0.201420748853041</cdr:y>
    </cdr:from>
    <cdr:to>
      <cdr:x>0.177774272418961</cdr:x>
      <cdr:y>0.911499186029303</cdr:y>
    </cdr:to>
    <cdr:cxnSp>
      <cdr:nvCxnSpPr>
        <cdr:cNvPr id="8" name="Connecteur droit 3"/>
        <cdr:cNvCxnSpPr/>
      </cdr:nvCxnSpPr>
      <cdr:spPr>
        <a:xfrm flipV="1">
          <a:off x="1621440" y="979920"/>
          <a:ext cx="1800" cy="3454920"/>
        </a:xfrm>
        <a:prstGeom prst="straightConnector1">
          <a:avLst/>
        </a:prstGeom>
        <a:ln w="19050">
          <a:solidFill>
            <a:srgbClr val="0070c0"/>
          </a:solidFill>
          <a:miter/>
        </a:ln>
      </cdr:spPr>
    </cdr:cxnSp>
  </cdr:relSizeAnchor>
  <cdr:relSizeAnchor>
    <cdr:from>
      <cdr:x>0.160107263979809</cdr:x>
      <cdr:y>0.149844605594199</cdr:y>
    </cdr:from>
    <cdr:to>
      <cdr:x>0.195559586718195</cdr:x>
      <cdr:y>0.201346751516945</cdr:y>
    </cdr:to>
    <cdr:sp>
      <cdr:nvSpPr>
        <cdr:cNvPr id="9" name="ZoneTexte 8"/>
        <cdr:cNvSpPr/>
      </cdr:nvSpPr>
      <cdr:spPr>
        <a:xfrm>
          <a:off x="1461600" y="729000"/>
          <a:ext cx="323640" cy="2505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fr-FR" sz="1100" spc="-1" strike="noStrike">
              <a:solidFill>
                <a:srgbClr val="0070c0"/>
              </a:solidFill>
              <a:latin typeface="Calibri"/>
            </a:rPr>
            <a:t>IA</a:t>
          </a:r>
          <a:endParaRPr b="0" sz="1100" spc="-1" strike="noStrike">
            <a:latin typeface="Times New Roman"/>
          </a:endParaRPr>
        </a:p>
      </cdr:txBody>
    </cdr:sp>
  </cdr:relSizeAnchor>
</c:userShapes>
</file>

<file path=xl/drawings/drawing5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0.263388279832794</cdr:x>
      <cdr:y>0.198327536446385</cdr:y>
    </cdr:from>
    <cdr:to>
      <cdr:x>0.263546020979573</cdr:x>
      <cdr:y>0.908458521423814</cdr:y>
    </cdr:to>
    <cdr:cxnSp>
      <cdr:nvCxnSpPr>
        <cdr:cNvPr id="11" name="Connecteur droit 3"/>
        <cdr:cNvCxnSpPr/>
      </cdr:nvCxnSpPr>
      <cdr:spPr>
        <a:xfrm flipV="1">
          <a:off x="2404440" y="964800"/>
          <a:ext cx="1800" cy="3454920"/>
        </a:xfrm>
        <a:prstGeom prst="straightConnector1">
          <a:avLst/>
        </a:prstGeom>
        <a:ln w="19050">
          <a:solidFill>
            <a:srgbClr val="0070c0"/>
          </a:solidFill>
          <a:miter/>
        </a:ln>
      </cdr:spPr>
    </cdr:cxnSp>
  </cdr:relSizeAnchor>
  <cdr:relSizeAnchor>
    <cdr:from>
      <cdr:x>0.244143859925862</cdr:x>
      <cdr:y>0.132835047731814</cdr:y>
    </cdr:from>
    <cdr:to>
      <cdr:x>0.279596182664248</cdr:x>
      <cdr:y>0.184341004958188</cdr:y>
    </cdr:to>
    <cdr:sp>
      <cdr:nvSpPr>
        <cdr:cNvPr id="12" name="ZoneTexte 8"/>
        <cdr:cNvSpPr/>
      </cdr:nvSpPr>
      <cdr:spPr>
        <a:xfrm>
          <a:off x="2228760" y="646200"/>
          <a:ext cx="323640" cy="2505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fr-FR" sz="1100" spc="-1" strike="noStrike">
              <a:solidFill>
                <a:srgbClr val="0070c0"/>
              </a:solidFill>
              <a:latin typeface="Calibri"/>
            </a:rPr>
            <a:t>IA</a:t>
          </a:r>
          <a:endParaRPr b="0" sz="1100" spc="-1" strike="noStrike">
            <a:latin typeface="Times New Roman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26</xdr:col>
      <xdr:colOff>166680</xdr:colOff>
      <xdr:row>27</xdr:row>
      <xdr:rowOff>159120</xdr:rowOff>
    </xdr:to>
    <xdr:graphicFrame>
      <xdr:nvGraphicFramePr>
        <xdr:cNvPr id="14" name="Graphique 1"/>
        <xdr:cNvGraphicFramePr/>
      </xdr:nvGraphicFramePr>
      <xdr:xfrm>
        <a:off x="11022480" y="600120"/>
        <a:ext cx="9128160" cy="486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16</xdr:col>
      <xdr:colOff>129600</xdr:colOff>
      <xdr:row>4</xdr:row>
      <xdr:rowOff>68760</xdr:rowOff>
    </xdr:from>
    <xdr:to>
      <xdr:col>20</xdr:col>
      <xdr:colOff>313920</xdr:colOff>
      <xdr:row>5</xdr:row>
      <xdr:rowOff>47520</xdr:rowOff>
    </xdr:to>
    <xdr:sp>
      <xdr:nvSpPr>
        <xdr:cNvPr id="16" name="Rectangle 2"/>
        <xdr:cNvSpPr/>
      </xdr:nvSpPr>
      <xdr:spPr>
        <a:xfrm>
          <a:off x="11966760" y="1211760"/>
          <a:ext cx="3443040" cy="159840"/>
        </a:xfrm>
        <a:prstGeom prst="rect">
          <a:avLst/>
        </a:prstGeom>
        <a:solidFill>
          <a:srgbClr val="bf9000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fr-FR" sz="1100" spc="-1" strike="noStrike">
              <a:solidFill>
                <a:schemeClr val="lt1"/>
              </a:solidFill>
              <a:latin typeface="Calibri"/>
            </a:rPr>
            <a:t>Effet bélier</a:t>
          </a:r>
          <a:endParaRPr b="0" lang="fr-FR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20</xdr:col>
      <xdr:colOff>312480</xdr:colOff>
      <xdr:row>4</xdr:row>
      <xdr:rowOff>68400</xdr:rowOff>
    </xdr:from>
    <xdr:to>
      <xdr:col>25</xdr:col>
      <xdr:colOff>451080</xdr:colOff>
      <xdr:row>5</xdr:row>
      <xdr:rowOff>46440</xdr:rowOff>
    </xdr:to>
    <xdr:sp>
      <xdr:nvSpPr>
        <xdr:cNvPr id="17" name="Rectangle 3"/>
        <xdr:cNvSpPr/>
      </xdr:nvSpPr>
      <xdr:spPr>
        <a:xfrm>
          <a:off x="15408360" y="1211400"/>
          <a:ext cx="4212000" cy="159120"/>
        </a:xfrm>
        <a:prstGeom prst="rect">
          <a:avLst/>
        </a:prstGeom>
        <a:solidFill>
          <a:srgbClr val="0070c0"/>
        </a:solidFill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fr-FR" sz="1100" spc="-1" strike="noStrike">
              <a:solidFill>
                <a:schemeClr val="lt1"/>
              </a:solidFill>
              <a:latin typeface="Calibri"/>
            </a:rPr>
            <a:t>Retour</a:t>
          </a:r>
          <a:endParaRPr b="0" lang="fr-FR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16</xdr:col>
      <xdr:colOff>770040</xdr:colOff>
      <xdr:row>6</xdr:row>
      <xdr:rowOff>93960</xdr:rowOff>
    </xdr:from>
    <xdr:to>
      <xdr:col>17</xdr:col>
      <xdr:colOff>6480</xdr:colOff>
      <xdr:row>25</xdr:row>
      <xdr:rowOff>109800</xdr:rowOff>
    </xdr:to>
    <xdr:cxnSp>
      <xdr:nvCxnSpPr>
        <xdr:cNvPr id="18" name="Connecteur droit 4"/>
        <xdr:cNvCxnSpPr/>
      </xdr:nvCxnSpPr>
      <xdr:spPr>
        <a:xfrm flipV="1">
          <a:off x="12607200" y="1598760"/>
          <a:ext cx="51480" cy="3454920"/>
        </a:xfrm>
        <a:prstGeom prst="straightConnector1">
          <a:avLst/>
        </a:prstGeom>
        <a:ln w="19050">
          <a:solidFill>
            <a:srgbClr val="0070c0"/>
          </a:solidFill>
          <a:miter/>
        </a:ln>
      </xdr:spPr>
    </xdr:cxnSp>
    <xdr:clientData/>
  </xdr:twoCellAnchor>
  <xdr:twoCellAnchor editAs="oneCell">
    <xdr:from>
      <xdr:col>15</xdr:col>
      <xdr:colOff>0</xdr:colOff>
      <xdr:row>29</xdr:row>
      <xdr:rowOff>0</xdr:rowOff>
    </xdr:from>
    <xdr:to>
      <xdr:col>26</xdr:col>
      <xdr:colOff>166680</xdr:colOff>
      <xdr:row>55</xdr:row>
      <xdr:rowOff>159120</xdr:rowOff>
    </xdr:to>
    <xdr:graphicFrame>
      <xdr:nvGraphicFramePr>
        <xdr:cNvPr id="19" name="Graphique 6"/>
        <xdr:cNvGraphicFramePr/>
      </xdr:nvGraphicFramePr>
      <xdr:xfrm>
        <a:off x="11022480" y="5667480"/>
        <a:ext cx="9128160" cy="486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57</xdr:row>
      <xdr:rowOff>0</xdr:rowOff>
    </xdr:from>
    <xdr:to>
      <xdr:col>26</xdr:col>
      <xdr:colOff>166680</xdr:colOff>
      <xdr:row>83</xdr:row>
      <xdr:rowOff>159120</xdr:rowOff>
    </xdr:to>
    <xdr:graphicFrame>
      <xdr:nvGraphicFramePr>
        <xdr:cNvPr id="20" name="Graphique 7"/>
        <xdr:cNvGraphicFramePr/>
      </xdr:nvGraphicFramePr>
      <xdr:xfrm>
        <a:off x="11022480" y="10734840"/>
        <a:ext cx="9128160" cy="486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0.158851599163939</cdr:x>
      <cdr:y>0.153407829497521</cdr:y>
    </cdr:from>
    <cdr:to>
      <cdr:x>0.207911030484679</cdr:x>
      <cdr:y>0.204395767039148</cdr:y>
    </cdr:to>
    <cdr:sp>
      <cdr:nvSpPr>
        <cdr:cNvPr id="15" name="ZoneTexte 8"/>
        <cdr:cNvSpPr/>
      </cdr:nvSpPr>
      <cdr:spPr>
        <a:xfrm>
          <a:off x="1450080" y="746280"/>
          <a:ext cx="447840" cy="2480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fr-FR" sz="1100" spc="-1" strike="noStrike">
              <a:solidFill>
                <a:srgbClr val="0070c0"/>
              </a:solidFill>
              <a:latin typeface="Calibri"/>
            </a:rPr>
            <a:t>IA</a:t>
          </a:r>
          <a:endParaRPr b="0" sz="1100" spc="-1" strike="noStrike">
            <a:latin typeface="Times New Roman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37</xdr:row>
      <xdr:rowOff>12960</xdr:rowOff>
    </xdr:from>
    <xdr:to>
      <xdr:col>30</xdr:col>
      <xdr:colOff>180000</xdr:colOff>
      <xdr:row>68</xdr:row>
      <xdr:rowOff>32760</xdr:rowOff>
    </xdr:to>
    <xdr:graphicFrame>
      <xdr:nvGraphicFramePr>
        <xdr:cNvPr id="21" name="Graphique 27"/>
        <xdr:cNvGraphicFramePr/>
      </xdr:nvGraphicFramePr>
      <xdr:xfrm>
        <a:off x="11452320" y="7058160"/>
        <a:ext cx="11585880" cy="563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16</xdr:col>
      <xdr:colOff>617400</xdr:colOff>
      <xdr:row>39</xdr:row>
      <xdr:rowOff>89280</xdr:rowOff>
    </xdr:from>
    <xdr:to>
      <xdr:col>22</xdr:col>
      <xdr:colOff>380160</xdr:colOff>
      <xdr:row>40</xdr:row>
      <xdr:rowOff>55440</xdr:rowOff>
    </xdr:to>
    <xdr:sp>
      <xdr:nvSpPr>
        <xdr:cNvPr id="23" name="Rectangle 28"/>
        <xdr:cNvSpPr/>
      </xdr:nvSpPr>
      <xdr:spPr>
        <a:xfrm>
          <a:off x="12069720" y="7496640"/>
          <a:ext cx="4650840" cy="146880"/>
        </a:xfrm>
        <a:prstGeom prst="rect">
          <a:avLst/>
        </a:prstGeom>
        <a:solidFill>
          <a:srgbClr val="ed7d31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fr-FR" sz="1100" spc="-1" strike="noStrike">
              <a:solidFill>
                <a:schemeClr val="lt1"/>
              </a:solidFill>
              <a:latin typeface="Calibri"/>
            </a:rPr>
            <a:t>Effet bélier</a:t>
          </a:r>
          <a:endParaRPr b="0" lang="fr-FR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22</xdr:col>
      <xdr:colOff>396360</xdr:colOff>
      <xdr:row>39</xdr:row>
      <xdr:rowOff>89280</xdr:rowOff>
    </xdr:from>
    <xdr:to>
      <xdr:col>29</xdr:col>
      <xdr:colOff>128520</xdr:colOff>
      <xdr:row>40</xdr:row>
      <xdr:rowOff>63000</xdr:rowOff>
    </xdr:to>
    <xdr:sp>
      <xdr:nvSpPr>
        <xdr:cNvPr id="24" name="Rectangle 29"/>
        <xdr:cNvSpPr/>
      </xdr:nvSpPr>
      <xdr:spPr>
        <a:xfrm>
          <a:off x="16736760" y="7496640"/>
          <a:ext cx="5435280" cy="154440"/>
        </a:xfrm>
        <a:prstGeom prst="rect">
          <a:avLst/>
        </a:prstGeom>
        <a:solidFill>
          <a:srgbClr val="5b9bd5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fr-FR" sz="1100" spc="-1" strike="noStrike">
              <a:solidFill>
                <a:schemeClr val="lt1"/>
              </a:solidFill>
              <a:latin typeface="Calibri"/>
            </a:rPr>
            <a:t>Retour</a:t>
          </a:r>
          <a:endParaRPr b="0" lang="fr-FR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17</xdr:col>
      <xdr:colOff>679680</xdr:colOff>
      <xdr:row>41</xdr:row>
      <xdr:rowOff>124920</xdr:rowOff>
    </xdr:from>
    <xdr:to>
      <xdr:col>17</xdr:col>
      <xdr:colOff>679680</xdr:colOff>
      <xdr:row>66</xdr:row>
      <xdr:rowOff>140040</xdr:rowOff>
    </xdr:to>
    <xdr:cxnSp>
      <xdr:nvCxnSpPr>
        <xdr:cNvPr id="25" name="Connecteur droit 30"/>
        <xdr:cNvCxnSpPr/>
      </xdr:nvCxnSpPr>
      <xdr:spPr>
        <a:xfrm flipV="1">
          <a:off x="12946680" y="7894080"/>
          <a:ext cx="360" cy="4539960"/>
        </a:xfrm>
        <a:prstGeom prst="straightConnector1">
          <a:avLst/>
        </a:prstGeom>
        <a:ln w="19050">
          <a:solidFill>
            <a:srgbClr val="0070c0"/>
          </a:solidFill>
          <a:miter/>
        </a:ln>
      </xdr:spPr>
    </xdr:cxnSp>
    <xdr:clientData/>
  </xdr:twoCellAnchor>
  <xdr:twoCellAnchor editAs="oneCell">
    <xdr:from>
      <xdr:col>16</xdr:col>
      <xdr:colOff>0</xdr:colOff>
      <xdr:row>69</xdr:row>
      <xdr:rowOff>12600</xdr:rowOff>
    </xdr:from>
    <xdr:to>
      <xdr:col>30</xdr:col>
      <xdr:colOff>180000</xdr:colOff>
      <xdr:row>100</xdr:row>
      <xdr:rowOff>32400</xdr:rowOff>
    </xdr:to>
    <xdr:graphicFrame>
      <xdr:nvGraphicFramePr>
        <xdr:cNvPr id="26" name="Graphique 31"/>
        <xdr:cNvGraphicFramePr/>
      </xdr:nvGraphicFramePr>
      <xdr:xfrm>
        <a:off x="11452320" y="12849120"/>
        <a:ext cx="11585880" cy="563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16</xdr:col>
      <xdr:colOff>617400</xdr:colOff>
      <xdr:row>71</xdr:row>
      <xdr:rowOff>89640</xdr:rowOff>
    </xdr:from>
    <xdr:to>
      <xdr:col>22</xdr:col>
      <xdr:colOff>380160</xdr:colOff>
      <xdr:row>72</xdr:row>
      <xdr:rowOff>55080</xdr:rowOff>
    </xdr:to>
    <xdr:sp>
      <xdr:nvSpPr>
        <xdr:cNvPr id="28" name="Rectangle 32"/>
        <xdr:cNvSpPr/>
      </xdr:nvSpPr>
      <xdr:spPr>
        <a:xfrm>
          <a:off x="12069720" y="13287960"/>
          <a:ext cx="4650840" cy="146520"/>
        </a:xfrm>
        <a:prstGeom prst="rect">
          <a:avLst/>
        </a:prstGeom>
        <a:solidFill>
          <a:srgbClr val="ed7d31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fr-FR" sz="1100" spc="-1" strike="noStrike">
              <a:solidFill>
                <a:schemeClr val="lt1"/>
              </a:solidFill>
              <a:latin typeface="Calibri"/>
            </a:rPr>
            <a:t>Effet bélier</a:t>
          </a:r>
          <a:endParaRPr b="0" lang="fr-FR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22</xdr:col>
      <xdr:colOff>396360</xdr:colOff>
      <xdr:row>71</xdr:row>
      <xdr:rowOff>89640</xdr:rowOff>
    </xdr:from>
    <xdr:to>
      <xdr:col>29</xdr:col>
      <xdr:colOff>128520</xdr:colOff>
      <xdr:row>72</xdr:row>
      <xdr:rowOff>62640</xdr:rowOff>
    </xdr:to>
    <xdr:sp>
      <xdr:nvSpPr>
        <xdr:cNvPr id="29" name="Rectangle 33"/>
        <xdr:cNvSpPr/>
      </xdr:nvSpPr>
      <xdr:spPr>
        <a:xfrm>
          <a:off x="16736760" y="13287960"/>
          <a:ext cx="5435280" cy="154080"/>
        </a:xfrm>
        <a:prstGeom prst="rect">
          <a:avLst/>
        </a:prstGeom>
        <a:solidFill>
          <a:srgbClr val="5b9bd5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fr-FR" sz="1100" spc="-1" strike="noStrike">
              <a:solidFill>
                <a:schemeClr val="lt1"/>
              </a:solidFill>
              <a:latin typeface="Calibri"/>
            </a:rPr>
            <a:t>Retour</a:t>
          </a:r>
          <a:endParaRPr b="0" lang="fr-FR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17</xdr:col>
      <xdr:colOff>679680</xdr:colOff>
      <xdr:row>73</xdr:row>
      <xdr:rowOff>124920</xdr:rowOff>
    </xdr:from>
    <xdr:to>
      <xdr:col>17</xdr:col>
      <xdr:colOff>679680</xdr:colOff>
      <xdr:row>98</xdr:row>
      <xdr:rowOff>140040</xdr:rowOff>
    </xdr:to>
    <xdr:cxnSp>
      <xdr:nvCxnSpPr>
        <xdr:cNvPr id="30" name="Connecteur droit 34"/>
        <xdr:cNvCxnSpPr/>
      </xdr:nvCxnSpPr>
      <xdr:spPr>
        <a:xfrm flipV="1">
          <a:off x="12946680" y="13685400"/>
          <a:ext cx="360" cy="4539960"/>
        </a:xfrm>
        <a:prstGeom prst="straightConnector1">
          <a:avLst/>
        </a:prstGeom>
        <a:ln w="19050">
          <a:solidFill>
            <a:srgbClr val="0070c0"/>
          </a:solidFill>
          <a:miter/>
        </a:ln>
      </xdr:spPr>
    </xdr:cxnSp>
    <xdr:clientData/>
  </xdr:twoCellAnchor>
  <xdr:twoCellAnchor editAs="twoCell">
    <xdr:from>
      <xdr:col>16</xdr:col>
      <xdr:colOff>0</xdr:colOff>
      <xdr:row>1</xdr:row>
      <xdr:rowOff>12600</xdr:rowOff>
    </xdr:from>
    <xdr:to>
      <xdr:col>30</xdr:col>
      <xdr:colOff>180000</xdr:colOff>
      <xdr:row>32</xdr:row>
      <xdr:rowOff>32400</xdr:rowOff>
    </xdr:to>
    <xdr:grpSp>
      <xdr:nvGrpSpPr>
        <xdr:cNvPr id="31" name="Groupe 35"/>
        <xdr:cNvGrpSpPr/>
      </xdr:nvGrpSpPr>
      <xdr:grpSpPr>
        <a:xfrm>
          <a:off x="11452320" y="542880"/>
          <a:ext cx="11585880" cy="5630040"/>
          <a:chOff x="11452320" y="542880"/>
          <a:chExt cx="11585880" cy="5630040"/>
        </a:xfrm>
      </xdr:grpSpPr>
      <xdr:graphicFrame>
        <xdr:nvGraphicFramePr>
          <xdr:cNvPr id="32" name="Graphique 36"/>
          <xdr:cNvGraphicFramePr/>
        </xdr:nvGraphicFramePr>
        <xdr:xfrm>
          <a:off x="11452320" y="542880"/>
          <a:ext cx="11585880" cy="56300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>
        <xdr:nvSpPr>
          <xdr:cNvPr id="33" name="Rectangle 37"/>
          <xdr:cNvSpPr/>
        </xdr:nvSpPr>
        <xdr:spPr>
          <a:xfrm>
            <a:off x="12086640" y="981000"/>
            <a:ext cx="4642200" cy="147240"/>
          </a:xfrm>
          <a:prstGeom prst="rect">
            <a:avLst/>
          </a:prstGeom>
          <a:solidFill>
            <a:srgbClr val="ed7d31"/>
          </a:solidFill>
          <a:ln w="12700">
            <a:solidFill>
              <a:srgbClr val="43729d"/>
            </a:solidFill>
            <a:miter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lIns="90000" rIns="90000" tIns="45000" bIns="45000" anchor="ctr">
            <a:noAutofit/>
          </a:bodyPr>
          <a:p>
            <a:pPr algn="ctr">
              <a:lnSpc>
                <a:spcPct val="100000"/>
              </a:lnSpc>
              <a:tabLst>
                <a:tab algn="l" pos="0"/>
              </a:tabLst>
            </a:pPr>
            <a:r>
              <a:rPr b="0" lang="fr-FR" sz="1100" spc="-1" strike="noStrike">
                <a:solidFill>
                  <a:schemeClr val="lt1"/>
                </a:solidFill>
                <a:latin typeface="Calibri"/>
              </a:rPr>
              <a:t>Effet bélier</a:t>
            </a:r>
            <a:endParaRPr b="0" lang="fr-FR" sz="1100" spc="-1" strike="noStrike">
              <a:latin typeface="Times New Roman"/>
            </a:endParaRPr>
          </a:p>
        </xdr:txBody>
      </xdr:sp>
      <xdr:sp>
        <xdr:nvSpPr>
          <xdr:cNvPr id="34" name="Rectangle 38"/>
          <xdr:cNvSpPr/>
        </xdr:nvSpPr>
        <xdr:spPr>
          <a:xfrm>
            <a:off x="16745760" y="981000"/>
            <a:ext cx="5425200" cy="154800"/>
          </a:xfrm>
          <a:prstGeom prst="rect">
            <a:avLst/>
          </a:prstGeom>
          <a:solidFill>
            <a:srgbClr val="5b9bd5"/>
          </a:solidFill>
          <a:ln w="12700">
            <a:solidFill>
              <a:srgbClr val="43729d"/>
            </a:solidFill>
            <a:miter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lIns="90000" rIns="90000" tIns="45000" bIns="45000" anchor="ctr">
            <a:noAutofit/>
          </a:bodyPr>
          <a:p>
            <a:pPr algn="ctr">
              <a:lnSpc>
                <a:spcPct val="100000"/>
              </a:lnSpc>
              <a:tabLst>
                <a:tab algn="l" pos="0"/>
              </a:tabLst>
            </a:pPr>
            <a:r>
              <a:rPr b="0" lang="fr-FR" sz="1100" spc="-1" strike="noStrike">
                <a:solidFill>
                  <a:schemeClr val="lt1"/>
                </a:solidFill>
                <a:latin typeface="Calibri"/>
              </a:rPr>
              <a:t>Retour</a:t>
            </a:r>
            <a:endParaRPr b="0" lang="fr-FR" sz="1100" spc="-1" strike="noStrike">
              <a:latin typeface="Times New Roman"/>
            </a:endParaRPr>
          </a:p>
        </xdr:txBody>
      </xdr:sp>
      <xdr:cxnSp>
        <xdr:nvCxnSpPr>
          <xdr:cNvPr id="35" name="Connecteur droit 39"/>
          <xdr:cNvCxnSpPr/>
        </xdr:nvCxnSpPr>
        <xdr:spPr>
          <a:xfrm flipV="1">
            <a:off x="13004280" y="1380960"/>
            <a:ext cx="1080" cy="4540680"/>
          </a:xfrm>
          <a:prstGeom prst="straightConnector1">
            <a:avLst/>
          </a:prstGeom>
          <a:ln w="19050">
            <a:solidFill>
              <a:srgbClr val="0070c0"/>
            </a:solidFill>
            <a:miter/>
          </a:ln>
        </xdr:spPr>
      </xdr:cxnSp>
      <xdr:sp>
        <xdr:nvSpPr>
          <xdr:cNvPr id="36" name="ZoneTexte 8"/>
          <xdr:cNvSpPr/>
        </xdr:nvSpPr>
        <xdr:spPr>
          <a:xfrm>
            <a:off x="12852720" y="1139760"/>
            <a:ext cx="323640" cy="23544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lIns="90000" rIns="90000" tIns="45000" bIns="45000" anchor="t">
            <a:noAutofit/>
          </a:bodyPr>
          <a:p>
            <a:pPr>
              <a:lnSpc>
                <a:spcPct val="100000"/>
              </a:lnSpc>
              <a:tabLst>
                <a:tab algn="l" pos="0"/>
              </a:tabLst>
            </a:pPr>
            <a:r>
              <a:rPr b="1" lang="fr-FR" sz="1100" spc="-1" strike="noStrike">
                <a:solidFill>
                  <a:srgbClr val="0070c0"/>
                </a:solidFill>
                <a:latin typeface="Calibri"/>
              </a:rPr>
              <a:t>IA</a:t>
            </a:r>
            <a:endParaRPr b="0" lang="fr-FR" sz="1100" spc="-1" strike="noStrike">
              <a:latin typeface="Times New Roman"/>
            </a:endParaRPr>
          </a:p>
        </xdr:txBody>
      </xdr:sp>
      <xdr:cxnSp>
        <xdr:nvCxnSpPr>
          <xdr:cNvPr id="37" name="Connecteur droit avec flèche 41"/>
          <xdr:cNvCxnSpPr/>
        </xdr:nvCxnSpPr>
        <xdr:spPr>
          <a:xfrm flipV="1">
            <a:off x="12128040" y="4334040"/>
            <a:ext cx="1080" cy="1597320"/>
          </a:xfrm>
          <a:prstGeom prst="straightConnector1">
            <a:avLst/>
          </a:prstGeom>
          <a:ln w="12700">
            <a:solidFill>
              <a:srgbClr val="000000"/>
            </a:solidFill>
            <a:miter/>
            <a:headEnd len="med" type="triangle" w="med"/>
            <a:tailEnd len="med" type="triangle" w="med"/>
          </a:ln>
        </xdr:spPr>
      </xdr:cxnSp>
      <xdr:cxnSp>
        <xdr:nvCxnSpPr>
          <xdr:cNvPr id="38" name="Connecteur droit avec flèche 42"/>
          <xdr:cNvCxnSpPr/>
        </xdr:nvCxnSpPr>
        <xdr:spPr>
          <a:xfrm flipV="1">
            <a:off x="12135960" y="1249560"/>
            <a:ext cx="1080" cy="3046680"/>
          </a:xfrm>
          <a:prstGeom prst="straightConnector1">
            <a:avLst/>
          </a:prstGeom>
          <a:ln w="12700">
            <a:solidFill>
              <a:srgbClr val="000000"/>
            </a:solidFill>
            <a:miter/>
            <a:headEnd len="med" type="triangle" w="med"/>
            <a:tailEnd len="med" type="triangle" w="med"/>
          </a:ln>
        </xdr:spPr>
      </xdr:cxnSp>
      <xdr:sp>
        <xdr:nvSpPr>
          <xdr:cNvPr id="39" name="ZoneTexte 4"/>
          <xdr:cNvSpPr/>
        </xdr:nvSpPr>
        <xdr:spPr>
          <a:xfrm rot="16200000">
            <a:off x="11909880" y="2601360"/>
            <a:ext cx="744120" cy="26028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lIns="90000" rIns="90000" tIns="45000" bIns="45000" anchor="t">
            <a:spAutoFit/>
          </a:bodyPr>
          <a:p>
            <a:pPr>
              <a:lnSpc>
                <a:spcPct val="100000"/>
              </a:lnSpc>
              <a:tabLst>
                <a:tab algn="l" pos="0"/>
              </a:tabLst>
            </a:pPr>
            <a:r>
              <a:rPr b="1" lang="fr-FR" sz="1100" spc="-1" strike="noStrike">
                <a:solidFill>
                  <a:schemeClr val="dk1"/>
                </a:solidFill>
                <a:latin typeface="Calibri"/>
              </a:rPr>
              <a:t>Lot 1/40</a:t>
            </a:r>
            <a:endParaRPr b="0" lang="fr-FR" sz="1100" spc="-1" strike="noStrike">
              <a:latin typeface="Times New Roman"/>
            </a:endParaRPr>
          </a:p>
        </xdr:txBody>
      </xdr:sp>
      <xdr:sp>
        <xdr:nvSpPr>
          <xdr:cNvPr id="40" name="ZoneTexte 10"/>
          <xdr:cNvSpPr/>
        </xdr:nvSpPr>
        <xdr:spPr>
          <a:xfrm rot="16200000">
            <a:off x="11907720" y="4920480"/>
            <a:ext cx="750600" cy="26028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lIns="90000" rIns="90000" tIns="45000" bIns="45000" anchor="t">
            <a:spAutoFit/>
          </a:bodyPr>
          <a:p>
            <a:pPr>
              <a:lnSpc>
                <a:spcPct val="100000"/>
              </a:lnSpc>
              <a:tabLst>
                <a:tab algn="l" pos="0"/>
              </a:tabLst>
            </a:pPr>
            <a:r>
              <a:rPr b="1" lang="fr-FR" sz="1100" spc="-1" strike="noStrike">
                <a:solidFill>
                  <a:schemeClr val="dk1"/>
                </a:solidFill>
                <a:latin typeface="Calibri"/>
              </a:rPr>
              <a:t>Lot 1/20</a:t>
            </a:r>
            <a:endParaRPr b="0" lang="fr-FR" sz="1100" spc="-1" strike="noStrike">
              <a:latin typeface="Times New Roman"/>
            </a:endParaRPr>
          </a:p>
        </xdr:txBody>
      </xdr:sp>
      <xdr:cxnSp>
        <xdr:nvCxnSpPr>
          <xdr:cNvPr id="41" name="Connecteur droit 45"/>
          <xdr:cNvCxnSpPr/>
        </xdr:nvCxnSpPr>
        <xdr:spPr>
          <a:xfrm flipV="1">
            <a:off x="12494520" y="1140480"/>
            <a:ext cx="1080" cy="4785120"/>
          </a:xfrm>
          <a:prstGeom prst="straightConnector1">
            <a:avLst/>
          </a:prstGeom>
          <a:ln w="19050">
            <a:solidFill>
              <a:srgbClr val="0070c0"/>
            </a:solidFill>
            <a:miter/>
          </a:ln>
        </xdr:spPr>
      </xdr:cxnSp>
      <xdr:cxnSp>
        <xdr:nvCxnSpPr>
          <xdr:cNvPr id="42" name="Connecteur droit 46"/>
          <xdr:cNvCxnSpPr/>
        </xdr:nvCxnSpPr>
        <xdr:spPr>
          <a:xfrm flipV="1">
            <a:off x="12198960" y="1140480"/>
            <a:ext cx="1080" cy="4778640"/>
          </a:xfrm>
          <a:prstGeom prst="straightConnector1">
            <a:avLst/>
          </a:prstGeom>
          <a:ln w="19050">
            <a:solidFill>
              <a:srgbClr val="ff0000"/>
            </a:solidFill>
            <a:miter/>
          </a:ln>
        </xdr:spPr>
      </xdr:cxnSp>
    </xdr:grpSp>
    <xdr:clientData/>
  </xdr:twoCellAnchor>
</xdr:wsDr>
</file>

<file path=xl/drawings/drawing9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0.116020382798906</cdr:x>
      <cdr:y>0.108056265984655</cdr:y>
    </cdr:from>
    <cdr:to>
      <cdr:x>0.143953517275665</cdr:x>
      <cdr:y>0.149872122762148</cdr:y>
    </cdr:to>
    <cdr:sp>
      <cdr:nvSpPr>
        <cdr:cNvPr id="22" name="ZoneTexte 8"/>
        <cdr:cNvSpPr/>
      </cdr:nvSpPr>
      <cdr:spPr>
        <a:xfrm>
          <a:off x="1344240" y="608400"/>
          <a:ext cx="323640" cy="2354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fr-FR" sz="1100" spc="-1" strike="noStrike">
              <a:solidFill>
                <a:srgbClr val="0070c0"/>
              </a:solidFill>
              <a:latin typeface="Calibri"/>
            </a:rPr>
            <a:t>IA</a:t>
          </a:r>
          <a:endParaRPr b="0" sz="1100" spc="-1" strike="noStrike">
            <a:latin typeface="Times New Roman"/>
          </a:endParaRPr>
        </a:p>
      </cdr:txBody>
    </cdr:sp>
  </cdr:relSizeAnchor>
</c:userShapes>
</file>

<file path=xl/drawings/drawing10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0.117356450410142</cdr:x>
      <cdr:y>0.106713554987212</cdr:y>
    </cdr:from>
    <cdr:to>
      <cdr:x>0.1452895848869</cdr:x>
      <cdr:y>0.148529411764706</cdr:y>
    </cdr:to>
    <cdr:sp>
      <cdr:nvSpPr>
        <cdr:cNvPr id="27" name="ZoneTexte 8"/>
        <cdr:cNvSpPr/>
      </cdr:nvSpPr>
      <cdr:spPr>
        <a:xfrm>
          <a:off x="1359720" y="600840"/>
          <a:ext cx="323640" cy="2354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fr-FR" sz="1100" spc="-1" strike="noStrike">
              <a:solidFill>
                <a:srgbClr val="0070c0"/>
              </a:solidFill>
              <a:latin typeface="Calibri"/>
            </a:rPr>
            <a:t>IA</a:t>
          </a:r>
          <a:endParaRPr b="0" sz="1100" spc="-1" strike="noStrike">
            <a:latin typeface="Times New Roman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Users/debus/Documents/Nathalie/FichierPC/Labo/Exp&#233;rimentations/Effet%20m&#226;le/Progesterone-EffetMale/Respol/NDe24-02-FGA-EM-LaCazotte/24-02-DataAlphas-Tou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Users/debus/Documents/Nathalie/FichierPC/Labo/Exp&#233;rimentations/Effet%20m&#226;le/Progesterone-EffetMale/Respol/NDe24-02-FGA-EM-LaCazotte/24-02-DataAlphas-EffetM&#226;le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../Users/debus/Documents/Nathalie/FichierPC/Labo/Exp&#233;rimentations/Effet%20m&#226;le/Progesterone-EffetMale/Respol/NDe24-02-FGA-EM-LaCazotte/24-02-DataAlphas-Retour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lanning"/>
      <sheetName val="Harnais Béliers"/>
      <sheetName val="Lots Brebis"/>
      <sheetName val="Correspondance Tags"/>
      <sheetName val="Données brute Tous"/>
      <sheetName val="Données Détecteurs All"/>
      <sheetName val="Activité Béliers"/>
      <sheetName val="Activité par Lots"/>
      <sheetName val="Données Détecteurs All (2)"/>
      <sheetName val="Chaleurs Brebis "/>
      <sheetName val="Chaleurs Brebis  Points rou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lanning"/>
      <sheetName val="Harnais Béliers"/>
      <sheetName val="Lots Brebis"/>
      <sheetName val="Correspondance Tags"/>
      <sheetName val="Données brute EM"/>
      <sheetName val="Données Détecteurs EM"/>
      <sheetName val="EM Béliers"/>
      <sheetName val="EM par Lots"/>
      <sheetName val="EM Brebis "/>
      <sheetName val="EM Brebis  Points rouges"/>
      <sheetName val="EM Brebis  (2)"/>
      <sheetName val="EM Brebis Début-Fin"/>
      <sheetName val="EM Brebis Début-Fin (2)"/>
      <sheetName val="Data nombre de chevauchements"/>
      <sheetName val="Nb chevauchements bruts"/>
      <sheetName val="Nb chevauchements calcu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lanning"/>
      <sheetName val="Harnais Béliers"/>
      <sheetName val="Lots Brebis"/>
      <sheetName val="Correspondance Tags"/>
      <sheetName val="Données brute Retour"/>
      <sheetName val="Données Détecteurs Retour"/>
      <sheetName val="Retour Béliers"/>
      <sheetName val="Retour Lots"/>
      <sheetName val="Données Détecteurs All (2)"/>
      <sheetName val="Retour Brebis "/>
      <sheetName val="Retour Brebis Points Rouges"/>
      <sheetName val="Retour Brebis  (2)"/>
      <sheetName val="Retour Brebis Début-Fin"/>
      <sheetName val="Retour Brebis Début-Fin (2)"/>
      <sheetName val="Chaleurs Brebis Points Rouges"/>
      <sheetName val="24-02-DataAlphas-Reto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6" activeCellId="0" sqref="L36"/>
    </sheetView>
  </sheetViews>
  <sheetFormatPr defaultColWidth="11.5625" defaultRowHeight="14.25" zeroHeight="false" outlineLevelRow="0" outlineLevelCol="0"/>
  <cols>
    <col collapsed="false" customWidth="true" hidden="false" outlineLevel="0" max="1" min="1" style="1" width="22.67"/>
    <col collapsed="false" customWidth="false" hidden="false" outlineLevel="0" max="3" min="2" style="1" width="11.56"/>
    <col collapsed="false" customWidth="true" hidden="false" outlineLevel="0" max="4" min="4" style="1" width="18.11"/>
    <col collapsed="false" customWidth="true" hidden="false" outlineLevel="0" max="5" min="5" style="1" width="15.56"/>
    <col collapsed="false" customWidth="false" hidden="false" outlineLevel="0" max="16384" min="6" style="1" width="11.56"/>
  </cols>
  <sheetData>
    <row r="1" customFormat="false" ht="17.25" hidden="false" customHeight="true" outlineLevel="0" collapsed="false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</row>
    <row r="3" customFormat="false" ht="14.25" hidden="false" customHeight="false" outlineLevel="0" collapsed="false">
      <c r="A3" s="1" t="s">
        <v>1</v>
      </c>
      <c r="B3" s="5" t="n">
        <v>45393</v>
      </c>
    </row>
    <row r="4" customFormat="false" ht="14.25" hidden="false" customHeight="false" outlineLevel="0" collapsed="false">
      <c r="A4" s="1" t="s">
        <v>2</v>
      </c>
      <c r="B4" s="5" t="n">
        <v>45408</v>
      </c>
      <c r="C4" s="1" t="s">
        <v>3</v>
      </c>
    </row>
    <row r="5" customFormat="false" ht="14.25" hidden="false" customHeight="false" outlineLevel="0" collapsed="false">
      <c r="A5" s="1" t="s">
        <v>4</v>
      </c>
      <c r="B5" s="5" t="n">
        <v>45418</v>
      </c>
      <c r="C5" s="1" t="s">
        <v>5</v>
      </c>
    </row>
    <row r="6" customFormat="false" ht="14.25" hidden="false" customHeight="false" outlineLevel="0" collapsed="false">
      <c r="A6" s="1" t="s">
        <v>6</v>
      </c>
      <c r="B6" s="5" t="n">
        <v>45433</v>
      </c>
      <c r="C6" s="1" t="s">
        <v>7</v>
      </c>
      <c r="D6" s="1" t="s">
        <v>8</v>
      </c>
    </row>
    <row r="7" customFormat="false" ht="14.25" hidden="false" customHeight="false" outlineLevel="0" collapsed="false">
      <c r="A7" s="1" t="s">
        <v>9</v>
      </c>
      <c r="B7" s="5" t="n">
        <v>45434</v>
      </c>
      <c r="C7" s="1" t="s">
        <v>10</v>
      </c>
      <c r="D7" s="1" t="s">
        <v>11</v>
      </c>
    </row>
    <row r="8" customFormat="false" ht="14.25" hidden="false" customHeight="false" outlineLevel="0" collapsed="false">
      <c r="A8" s="1" t="s">
        <v>12</v>
      </c>
      <c r="B8" s="5" t="n">
        <v>45435</v>
      </c>
      <c r="C8" s="1" t="s">
        <v>13</v>
      </c>
      <c r="D8" s="1" t="s">
        <v>14</v>
      </c>
    </row>
    <row r="9" customFormat="false" ht="14.25" hidden="false" customHeight="false" outlineLevel="0" collapsed="false">
      <c r="A9" s="1" t="s">
        <v>15</v>
      </c>
      <c r="B9" s="5" t="n">
        <v>45436</v>
      </c>
      <c r="C9" s="1" t="s">
        <v>16</v>
      </c>
      <c r="D9" s="1" t="s">
        <v>17</v>
      </c>
    </row>
    <row r="10" customFormat="false" ht="14.25" hidden="false" customHeight="false" outlineLevel="0" collapsed="false">
      <c r="A10" s="1" t="s">
        <v>18</v>
      </c>
      <c r="B10" s="5" t="n">
        <v>45437</v>
      </c>
      <c r="C10" s="1" t="s">
        <v>19</v>
      </c>
      <c r="D10" s="1" t="s">
        <v>20</v>
      </c>
    </row>
    <row r="11" customFormat="false" ht="14.25" hidden="false" customHeight="false" outlineLevel="0" collapsed="false">
      <c r="A11" s="1" t="s">
        <v>21</v>
      </c>
      <c r="B11" s="5" t="n">
        <v>45438</v>
      </c>
      <c r="C11" s="1" t="s">
        <v>22</v>
      </c>
      <c r="D11" s="1" t="s">
        <v>23</v>
      </c>
    </row>
    <row r="12" customFormat="false" ht="14.25" hidden="false" customHeight="false" outlineLevel="0" collapsed="false">
      <c r="A12" s="1" t="s">
        <v>24</v>
      </c>
      <c r="B12" s="5" t="n">
        <v>45439</v>
      </c>
      <c r="C12" s="1" t="s">
        <v>25</v>
      </c>
    </row>
    <row r="13" customFormat="false" ht="14.25" hidden="false" customHeight="false" outlineLevel="0" collapsed="false">
      <c r="A13" s="1" t="s">
        <v>26</v>
      </c>
      <c r="B13" s="5" t="n">
        <v>45440</v>
      </c>
      <c r="C13" s="1" t="s">
        <v>27</v>
      </c>
    </row>
    <row r="14" customFormat="false" ht="14.25" hidden="false" customHeight="false" outlineLevel="0" collapsed="false">
      <c r="A14" s="1" t="s">
        <v>28</v>
      </c>
      <c r="B14" s="5" t="n">
        <v>45441</v>
      </c>
      <c r="C14" s="1" t="s">
        <v>29</v>
      </c>
    </row>
    <row r="15" customFormat="false" ht="14.25" hidden="false" customHeight="false" outlineLevel="0" collapsed="false">
      <c r="A15" s="1" t="s">
        <v>30</v>
      </c>
      <c r="B15" s="5" t="n">
        <v>45419</v>
      </c>
    </row>
    <row r="16" customFormat="false" ht="14.25" hidden="false" customHeight="false" outlineLevel="0" collapsed="false">
      <c r="A16" s="1" t="s">
        <v>31</v>
      </c>
      <c r="B16" s="5" t="n">
        <v>45433</v>
      </c>
      <c r="C16" s="1" t="s">
        <v>32</v>
      </c>
      <c r="D16" s="6"/>
      <c r="E16" s="6"/>
    </row>
    <row r="17" customFormat="false" ht="14.25" hidden="false" customHeight="false" outlineLevel="0" collapsed="false">
      <c r="A17" s="1" t="s">
        <v>33</v>
      </c>
      <c r="B17" s="5" t="n">
        <v>45433</v>
      </c>
      <c r="C17" s="1" t="s">
        <v>34</v>
      </c>
      <c r="F17" s="7"/>
      <c r="G17" s="7"/>
    </row>
    <row r="18" customFormat="false" ht="14.25" hidden="false" customHeight="false" outlineLevel="0" collapsed="false">
      <c r="A18" s="1" t="s">
        <v>35</v>
      </c>
      <c r="B18" s="5" t="n">
        <v>45435</v>
      </c>
      <c r="C18" s="1" t="s">
        <v>36</v>
      </c>
      <c r="F18" s="8"/>
      <c r="G18" s="9"/>
    </row>
    <row r="19" customFormat="false" ht="14.25" hidden="false" customHeight="false" outlineLevel="0" collapsed="false">
      <c r="A19" s="1" t="s">
        <v>37</v>
      </c>
      <c r="B19" s="5" t="n">
        <v>45446</v>
      </c>
      <c r="C19" s="10" t="s">
        <v>38</v>
      </c>
      <c r="F19" s="8"/>
      <c r="G19" s="8"/>
    </row>
    <row r="20" customFormat="false" ht="14.25" hidden="false" customHeight="false" outlineLevel="0" collapsed="false">
      <c r="A20" s="1" t="s">
        <v>39</v>
      </c>
      <c r="B20" s="5" t="n">
        <v>45446</v>
      </c>
      <c r="C20" s="10" t="s">
        <v>38</v>
      </c>
    </row>
    <row r="21" customFormat="false" ht="14.25" hidden="false" customHeight="false" outlineLevel="0" collapsed="false">
      <c r="A21" s="1" t="s">
        <v>40</v>
      </c>
      <c r="B21" s="5" t="n">
        <v>45462</v>
      </c>
    </row>
    <row r="22" customFormat="false" ht="14.25" hidden="false" customHeight="false" outlineLevel="0" collapsed="false">
      <c r="A22" s="1" t="s">
        <v>41</v>
      </c>
      <c r="B22" s="5" t="n">
        <v>45495</v>
      </c>
    </row>
    <row r="23" customFormat="false" ht="14.25" hidden="false" customHeight="false" outlineLevel="0" collapsed="false">
      <c r="B23" s="11"/>
      <c r="H23" s="1" t="s">
        <v>42</v>
      </c>
    </row>
    <row r="24" customFormat="false" ht="14.25" hidden="false" customHeight="false" outlineLevel="0" collapsed="false">
      <c r="A24" s="3" t="s">
        <v>43</v>
      </c>
      <c r="B24" s="11"/>
      <c r="H24" s="12" t="n">
        <v>45426</v>
      </c>
      <c r="J24" s="12" t="n">
        <v>45442</v>
      </c>
      <c r="L24" s="12" t="n">
        <v>45449</v>
      </c>
    </row>
    <row r="25" customFormat="false" ht="14.25" hidden="false" customHeight="false" outlineLevel="0" collapsed="false">
      <c r="A25" s="13" t="s">
        <v>44</v>
      </c>
      <c r="B25" s="13" t="s">
        <v>45</v>
      </c>
      <c r="C25" s="13" t="s">
        <v>46</v>
      </c>
      <c r="D25" s="13" t="s">
        <v>47</v>
      </c>
      <c r="E25" s="13" t="s">
        <v>46</v>
      </c>
      <c r="F25" s="13" t="s">
        <v>47</v>
      </c>
      <c r="H25" s="14" t="s">
        <v>48</v>
      </c>
      <c r="I25" s="14"/>
      <c r="J25" s="14" t="s">
        <v>48</v>
      </c>
      <c r="K25" s="14"/>
      <c r="L25" s="14" t="s">
        <v>48</v>
      </c>
      <c r="M25" s="14"/>
    </row>
    <row r="26" customFormat="false" ht="14.25" hidden="false" customHeight="false" outlineLevel="0" collapsed="false">
      <c r="A26" s="15" t="s">
        <v>49</v>
      </c>
      <c r="B26" s="16" t="s">
        <v>50</v>
      </c>
      <c r="C26" s="16" t="s">
        <v>51</v>
      </c>
      <c r="D26" s="17" t="n">
        <v>45433</v>
      </c>
      <c r="E26" s="16"/>
      <c r="F26" s="18"/>
      <c r="H26" s="19" t="n">
        <v>31</v>
      </c>
      <c r="I26" s="20" t="n">
        <v>3442</v>
      </c>
      <c r="J26" s="14" t="n">
        <v>6</v>
      </c>
      <c r="K26" s="14" t="s">
        <v>52</v>
      </c>
      <c r="L26" s="21"/>
      <c r="M26" s="21"/>
    </row>
    <row r="27" customFormat="false" ht="14.25" hidden="false" customHeight="false" outlineLevel="0" collapsed="false">
      <c r="A27" s="15" t="n">
        <v>11197</v>
      </c>
      <c r="B27" s="16" t="s">
        <v>50</v>
      </c>
      <c r="C27" s="16" t="s">
        <v>53</v>
      </c>
      <c r="D27" s="17" t="n">
        <v>45433</v>
      </c>
      <c r="E27" s="16"/>
      <c r="F27" s="18"/>
      <c r="H27" s="19" t="n">
        <v>32</v>
      </c>
      <c r="I27" s="20" t="s">
        <v>54</v>
      </c>
      <c r="J27" s="14" t="n">
        <v>12</v>
      </c>
      <c r="K27" s="14" t="n">
        <v>2777</v>
      </c>
      <c r="L27" s="21"/>
      <c r="M27" s="21"/>
    </row>
    <row r="28" customFormat="false" ht="14.25" hidden="false" customHeight="false" outlineLevel="0" collapsed="false">
      <c r="A28" s="15" t="n">
        <v>11171</v>
      </c>
      <c r="B28" s="22" t="s">
        <v>50</v>
      </c>
      <c r="C28" s="22" t="s">
        <v>55</v>
      </c>
      <c r="D28" s="17" t="n">
        <v>45433</v>
      </c>
      <c r="E28" s="22"/>
      <c r="F28" s="23"/>
      <c r="H28" s="19" t="n">
        <v>33</v>
      </c>
      <c r="I28" s="20" t="s">
        <v>56</v>
      </c>
      <c r="J28" s="14" t="n">
        <v>17</v>
      </c>
      <c r="K28" s="14" t="n">
        <v>9233</v>
      </c>
      <c r="L28" s="21"/>
      <c r="M28" s="21"/>
    </row>
    <row r="29" customFormat="false" ht="14.25" hidden="false" customHeight="false" outlineLevel="0" collapsed="false">
      <c r="A29" s="15" t="n">
        <v>21261</v>
      </c>
      <c r="B29" s="16" t="s">
        <v>50</v>
      </c>
      <c r="C29" s="16" t="s">
        <v>57</v>
      </c>
      <c r="D29" s="17" t="n">
        <v>45433</v>
      </c>
      <c r="E29" s="16"/>
      <c r="F29" s="18"/>
      <c r="H29" s="19" t="n">
        <v>34</v>
      </c>
      <c r="I29" s="20" t="s">
        <v>58</v>
      </c>
      <c r="J29" s="14" t="n">
        <v>28</v>
      </c>
      <c r="K29" s="14" t="n">
        <v>8968</v>
      </c>
      <c r="L29" s="21"/>
      <c r="M29" s="21"/>
    </row>
    <row r="30" customFormat="false" ht="14.25" hidden="false" customHeight="false" outlineLevel="0" collapsed="false">
      <c r="A30" s="15" t="s">
        <v>59</v>
      </c>
      <c r="B30" s="16" t="s">
        <v>50</v>
      </c>
      <c r="C30" s="16"/>
      <c r="D30" s="17"/>
      <c r="E30" s="16" t="s">
        <v>51</v>
      </c>
      <c r="F30" s="18" t="n">
        <v>45435</v>
      </c>
      <c r="H30" s="19" t="n">
        <v>35</v>
      </c>
      <c r="I30" s="20" t="s">
        <v>60</v>
      </c>
      <c r="J30" s="14"/>
      <c r="K30" s="14"/>
      <c r="L30" s="21"/>
      <c r="M30" s="21"/>
    </row>
    <row r="31" customFormat="false" ht="14.25" hidden="false" customHeight="false" outlineLevel="0" collapsed="false">
      <c r="A31" s="24"/>
      <c r="C31" s="24"/>
      <c r="D31" s="25"/>
      <c r="H31" s="19" t="n">
        <v>36</v>
      </c>
      <c r="I31" s="20" t="s">
        <v>61</v>
      </c>
    </row>
    <row r="32" customFormat="false" ht="14.25" hidden="false" customHeight="false" outlineLevel="0" collapsed="false">
      <c r="A32" s="1" t="s">
        <v>62</v>
      </c>
    </row>
    <row r="33" customFormat="false" ht="14.25" hidden="false" customHeight="false" outlineLevel="0" collapsed="false">
      <c r="A33" s="1" t="s">
        <v>63</v>
      </c>
    </row>
    <row r="35" customFormat="false" ht="14.25" hidden="false" customHeight="false" outlineLevel="0" collapsed="false">
      <c r="A35" s="1" t="s">
        <v>64</v>
      </c>
    </row>
    <row r="36" customFormat="false" ht="14.25" hidden="false" customHeight="false" outlineLevel="0" collapsed="false">
      <c r="A36" s="1" t="s">
        <v>65</v>
      </c>
    </row>
    <row r="37" customFormat="false" ht="14.25" hidden="false" customHeight="false" outlineLevel="0" collapsed="false">
      <c r="A37" s="1" t="s">
        <v>66</v>
      </c>
    </row>
    <row r="40" customFormat="false" ht="15" hidden="false" customHeight="false" outlineLevel="0" collapsed="false">
      <c r="A40" s="26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E469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B54" activeCellId="0" sqref="B54"/>
    </sheetView>
  </sheetViews>
  <sheetFormatPr defaultColWidth="15.109375" defaultRowHeight="14.25" zeroHeight="false" outlineLevelRow="0" outlineLevelCol="0"/>
  <cols>
    <col collapsed="false" customWidth="true" hidden="false" outlineLevel="0" max="1" min="1" style="27" width="10.44"/>
    <col collapsed="false" customWidth="true" hidden="false" outlineLevel="0" max="2" min="2" style="27" width="9.67"/>
    <col collapsed="false" customWidth="true" hidden="false" outlineLevel="0" max="3" min="3" style="27" width="3"/>
    <col collapsed="false" customWidth="true" hidden="false" outlineLevel="0" max="5" min="4" style="27" width="4.33"/>
    <col collapsed="false" customWidth="true" hidden="false" outlineLevel="0" max="6" min="6" style="28" width="26.44"/>
    <col collapsed="false" customWidth="true" hidden="false" outlineLevel="0" max="8" min="7" style="29" width="18.56"/>
    <col collapsed="false" customWidth="false" hidden="false" outlineLevel="0" max="16384" min="9" style="27" width="15.11"/>
  </cols>
  <sheetData>
    <row r="1" customFormat="false" ht="17.35" hidden="false" customHeight="false" outlineLevel="0" collapsed="false">
      <c r="A1" s="30" t="s">
        <v>68</v>
      </c>
    </row>
    <row r="3" customFormat="false" ht="14.25" hidden="false" customHeight="false" outlineLevel="0" collapsed="false">
      <c r="F3" s="31" t="s">
        <v>69</v>
      </c>
    </row>
    <row r="4" customFormat="false" ht="15" hidden="false" customHeight="true" outlineLevel="0" collapsed="false">
      <c r="B4" s="32"/>
      <c r="C4" s="33"/>
      <c r="D4" s="33"/>
      <c r="E4" s="33"/>
      <c r="F4" s="33"/>
      <c r="G4" s="34" t="s">
        <v>70</v>
      </c>
      <c r="H4" s="34"/>
    </row>
    <row r="5" customFormat="false" ht="15" hidden="false" customHeight="true" outlineLevel="0" collapsed="false">
      <c r="B5" s="32"/>
      <c r="C5" s="3"/>
      <c r="D5" s="3"/>
      <c r="E5" s="3"/>
      <c r="F5" s="3"/>
      <c r="G5" s="35" t="s">
        <v>71</v>
      </c>
      <c r="H5" s="35"/>
    </row>
    <row r="6" customFormat="false" ht="30" hidden="false" customHeight="true" outlineLevel="0" collapsed="false">
      <c r="B6" s="32"/>
      <c r="C6" s="36"/>
      <c r="D6" s="36"/>
      <c r="E6" s="3"/>
      <c r="F6" s="3"/>
      <c r="G6" s="37" t="s">
        <v>72</v>
      </c>
      <c r="H6" s="37"/>
    </row>
    <row r="7" customFormat="false" ht="14.25" hidden="false" customHeight="false" outlineLevel="0" collapsed="false">
      <c r="B7" s="32"/>
      <c r="C7" s="3"/>
      <c r="D7" s="3"/>
      <c r="E7" s="3"/>
      <c r="F7" s="38" t="s">
        <v>73</v>
      </c>
      <c r="G7" s="38" t="s">
        <v>73</v>
      </c>
      <c r="H7" s="39" t="s">
        <v>74</v>
      </c>
    </row>
    <row r="8" customFormat="false" ht="14.25" hidden="false" customHeight="false" outlineLevel="0" collapsed="false">
      <c r="B8" s="32"/>
      <c r="C8" s="3"/>
      <c r="D8" s="3"/>
      <c r="E8" s="3"/>
      <c r="F8" s="40"/>
      <c r="G8" s="40" t="s">
        <v>75</v>
      </c>
      <c r="H8" s="40" t="s">
        <v>76</v>
      </c>
    </row>
    <row r="9" customFormat="false" ht="14.25" hidden="false" customHeight="false" outlineLevel="0" collapsed="false">
      <c r="A9" s="41" t="s">
        <v>77</v>
      </c>
      <c r="B9" s="42" t="n">
        <v>45388</v>
      </c>
      <c r="C9" s="43" t="s">
        <v>78</v>
      </c>
      <c r="D9" s="43"/>
      <c r="E9" s="43"/>
      <c r="F9" s="44"/>
      <c r="G9" s="45"/>
      <c r="H9" s="45"/>
    </row>
    <row r="10" customFormat="false" ht="14.25" hidden="false" customHeight="false" outlineLevel="0" collapsed="false">
      <c r="A10" s="41"/>
      <c r="B10" s="42" t="n">
        <f aca="false">B9+1</f>
        <v>45389</v>
      </c>
      <c r="C10" s="43" t="s">
        <v>57</v>
      </c>
      <c r="D10" s="43"/>
      <c r="E10" s="43"/>
      <c r="F10" s="44"/>
      <c r="G10" s="45"/>
      <c r="H10" s="45"/>
    </row>
    <row r="11" customFormat="false" ht="14.25" hidden="false" customHeight="false" outlineLevel="0" collapsed="false">
      <c r="A11" s="41"/>
      <c r="B11" s="46" t="n">
        <f aca="false">B10+1</f>
        <v>45390</v>
      </c>
      <c r="C11" s="47" t="s">
        <v>79</v>
      </c>
      <c r="D11" s="47"/>
      <c r="E11" s="47"/>
      <c r="F11" s="48"/>
      <c r="G11" s="48"/>
      <c r="H11" s="48"/>
    </row>
    <row r="12" customFormat="false" ht="14.25" hidden="false" customHeight="false" outlineLevel="0" collapsed="false">
      <c r="A12" s="41"/>
      <c r="B12" s="49" t="n">
        <f aca="false">B11+1</f>
        <v>45391</v>
      </c>
      <c r="C12" s="50" t="s">
        <v>80</v>
      </c>
      <c r="D12" s="50"/>
      <c r="E12" s="50"/>
      <c r="F12" s="51"/>
      <c r="G12" s="51"/>
      <c r="H12" s="51"/>
    </row>
    <row r="13" customFormat="false" ht="14.25" hidden="false" customHeight="false" outlineLevel="0" collapsed="false">
      <c r="A13" s="41"/>
      <c r="B13" s="52" t="n">
        <f aca="false">B12+1</f>
        <v>45392</v>
      </c>
      <c r="C13" s="53" t="s">
        <v>80</v>
      </c>
      <c r="D13" s="53"/>
      <c r="E13" s="53"/>
      <c r="F13" s="54"/>
      <c r="G13" s="54"/>
      <c r="H13" s="54"/>
    </row>
    <row r="14" s="55" customFormat="true" ht="14.25" hidden="false" customHeight="false" outlineLevel="0" collapsed="false">
      <c r="A14" s="41"/>
      <c r="B14" s="49" t="n">
        <f aca="false">B13+1</f>
        <v>45393</v>
      </c>
      <c r="C14" s="50" t="s">
        <v>81</v>
      </c>
      <c r="D14" s="50"/>
      <c r="E14" s="50"/>
      <c r="F14" s="51"/>
      <c r="G14" s="51"/>
      <c r="H14" s="51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</row>
    <row r="15" s="55" customFormat="true" ht="14.25" hidden="false" customHeight="false" outlineLevel="0" collapsed="false">
      <c r="A15" s="41"/>
      <c r="B15" s="49" t="n">
        <f aca="false">B14+1</f>
        <v>45394</v>
      </c>
      <c r="C15" s="50" t="s">
        <v>82</v>
      </c>
      <c r="D15" s="50"/>
      <c r="E15" s="50"/>
      <c r="F15" s="51"/>
      <c r="G15" s="51"/>
      <c r="H15" s="51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</row>
    <row r="16" customFormat="false" ht="14.25" hidden="false" customHeight="false" outlineLevel="0" collapsed="false">
      <c r="A16" s="41"/>
      <c r="B16" s="42" t="n">
        <f aca="false">B15+1</f>
        <v>45395</v>
      </c>
      <c r="C16" s="43" t="s">
        <v>78</v>
      </c>
      <c r="D16" s="43"/>
      <c r="E16" s="43"/>
      <c r="F16" s="44"/>
      <c r="G16" s="44"/>
      <c r="H16" s="44"/>
    </row>
    <row r="17" customFormat="false" ht="14.25" hidden="false" customHeight="false" outlineLevel="0" collapsed="false">
      <c r="A17" s="41"/>
      <c r="B17" s="42" t="n">
        <f aca="false">B16+1</f>
        <v>45396</v>
      </c>
      <c r="C17" s="43" t="s">
        <v>57</v>
      </c>
      <c r="D17" s="43"/>
      <c r="E17" s="43"/>
      <c r="F17" s="44"/>
      <c r="G17" s="44"/>
      <c r="H17" s="44"/>
    </row>
    <row r="18" s="56" customFormat="true" ht="14.25" hidden="false" customHeight="false" outlineLevel="0" collapsed="false">
      <c r="A18" s="41"/>
      <c r="B18" s="49" t="n">
        <f aca="false">B17+1</f>
        <v>45397</v>
      </c>
      <c r="C18" s="50" t="s">
        <v>79</v>
      </c>
      <c r="D18" s="50"/>
      <c r="E18" s="50"/>
      <c r="F18" s="51"/>
      <c r="G18" s="51"/>
      <c r="H18" s="51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</row>
    <row r="19" customFormat="false" ht="14.25" hidden="false" customHeight="false" outlineLevel="0" collapsed="false">
      <c r="A19" s="41"/>
      <c r="B19" s="49" t="n">
        <f aca="false">B18+1</f>
        <v>45398</v>
      </c>
      <c r="C19" s="50" t="s">
        <v>80</v>
      </c>
      <c r="D19" s="50"/>
      <c r="E19" s="50"/>
      <c r="F19" s="51"/>
      <c r="G19" s="51"/>
      <c r="H19" s="51"/>
    </row>
    <row r="20" customFormat="false" ht="14.25" hidden="false" customHeight="false" outlineLevel="0" collapsed="false">
      <c r="A20" s="41"/>
      <c r="B20" s="52" t="n">
        <f aca="false">B19+1</f>
        <v>45399</v>
      </c>
      <c r="C20" s="53" t="s">
        <v>80</v>
      </c>
      <c r="D20" s="53"/>
      <c r="E20" s="53"/>
      <c r="F20" s="54"/>
      <c r="G20" s="54"/>
      <c r="H20" s="54"/>
    </row>
    <row r="21" s="55" customFormat="true" ht="14.25" hidden="false" customHeight="false" outlineLevel="0" collapsed="false">
      <c r="A21" s="41"/>
      <c r="B21" s="49" t="n">
        <f aca="false">B20+1</f>
        <v>45400</v>
      </c>
      <c r="C21" s="50" t="s">
        <v>81</v>
      </c>
      <c r="D21" s="50"/>
      <c r="E21" s="50"/>
      <c r="F21" s="51"/>
      <c r="G21" s="51"/>
      <c r="H21" s="51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</row>
    <row r="22" s="55" customFormat="true" ht="14.25" hidden="false" customHeight="false" outlineLevel="0" collapsed="false">
      <c r="A22" s="41"/>
      <c r="B22" s="49" t="n">
        <f aca="false">B21+1</f>
        <v>45401</v>
      </c>
      <c r="C22" s="50" t="s">
        <v>82</v>
      </c>
      <c r="D22" s="50"/>
      <c r="E22" s="50"/>
      <c r="F22" s="51"/>
      <c r="G22" s="51"/>
      <c r="H22" s="51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</row>
    <row r="23" s="55" customFormat="true" ht="14.25" hidden="false" customHeight="true" outlineLevel="0" collapsed="false">
      <c r="A23" s="57" t="s">
        <v>83</v>
      </c>
      <c r="B23" s="42" t="n">
        <f aca="false">B22+1</f>
        <v>45402</v>
      </c>
      <c r="C23" s="43" t="s">
        <v>78</v>
      </c>
      <c r="D23" s="43"/>
      <c r="E23" s="43"/>
      <c r="F23" s="44"/>
      <c r="G23" s="44"/>
      <c r="H23" s="44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</row>
    <row r="24" customFormat="false" ht="14.25" hidden="false" customHeight="false" outlineLevel="0" collapsed="false">
      <c r="A24" s="57"/>
      <c r="B24" s="42" t="n">
        <f aca="false">B23+1</f>
        <v>45403</v>
      </c>
      <c r="C24" s="43" t="s">
        <v>57</v>
      </c>
      <c r="D24" s="43"/>
      <c r="E24" s="43"/>
      <c r="F24" s="44"/>
      <c r="G24" s="44"/>
      <c r="H24" s="44"/>
    </row>
    <row r="25" s="56" customFormat="true" ht="14.25" hidden="false" customHeight="false" outlineLevel="0" collapsed="false">
      <c r="A25" s="57"/>
      <c r="B25" s="49" t="n">
        <f aca="false">B24+1</f>
        <v>45404</v>
      </c>
      <c r="C25" s="50" t="s">
        <v>79</v>
      </c>
      <c r="D25" s="50"/>
      <c r="E25" s="50" t="n">
        <v>-31</v>
      </c>
      <c r="F25" s="58" t="s">
        <v>84</v>
      </c>
      <c r="G25" s="51"/>
      <c r="H25" s="51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</row>
    <row r="26" customFormat="false" ht="14.25" hidden="false" customHeight="false" outlineLevel="0" collapsed="false">
      <c r="A26" s="57"/>
      <c r="B26" s="46" t="n">
        <f aca="false">B25+1</f>
        <v>45405</v>
      </c>
      <c r="C26" s="47" t="s">
        <v>80</v>
      </c>
      <c r="D26" s="47"/>
      <c r="E26" s="47" t="n">
        <v>-30</v>
      </c>
      <c r="F26" s="59"/>
      <c r="G26" s="59"/>
      <c r="H26" s="59"/>
    </row>
    <row r="27" customFormat="false" ht="14.25" hidden="false" customHeight="false" outlineLevel="0" collapsed="false">
      <c r="A27" s="57"/>
      <c r="B27" s="52" t="n">
        <f aca="false">B26+1</f>
        <v>45406</v>
      </c>
      <c r="C27" s="53" t="s">
        <v>80</v>
      </c>
      <c r="D27" s="53"/>
      <c r="E27" s="53" t="n">
        <v>-29</v>
      </c>
      <c r="F27" s="54"/>
      <c r="G27" s="60"/>
      <c r="H27" s="60"/>
    </row>
    <row r="28" s="55" customFormat="true" ht="14.25" hidden="false" customHeight="false" outlineLevel="0" collapsed="false">
      <c r="A28" s="57"/>
      <c r="B28" s="49" t="n">
        <f aca="false">B27+1</f>
        <v>45407</v>
      </c>
      <c r="C28" s="50" t="s">
        <v>81</v>
      </c>
      <c r="D28" s="50"/>
      <c r="E28" s="50" t="n">
        <v>-28</v>
      </c>
      <c r="F28" s="51"/>
      <c r="G28" s="61"/>
      <c r="H28" s="61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</row>
    <row r="29" s="55" customFormat="true" ht="14.25" hidden="false" customHeight="false" outlineLevel="0" collapsed="false">
      <c r="A29" s="57"/>
      <c r="B29" s="49" t="n">
        <f aca="false">B28+1</f>
        <v>45408</v>
      </c>
      <c r="C29" s="50" t="s">
        <v>82</v>
      </c>
      <c r="D29" s="50" t="n">
        <v>-10</v>
      </c>
      <c r="E29" s="50" t="n">
        <v>-27</v>
      </c>
      <c r="F29" s="51"/>
      <c r="G29" s="58" t="s">
        <v>3</v>
      </c>
      <c r="H29" s="61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</row>
    <row r="30" s="55" customFormat="true" ht="14.25" hidden="false" customHeight="false" outlineLevel="0" collapsed="false">
      <c r="A30" s="57"/>
      <c r="B30" s="42" t="n">
        <f aca="false">B29+1</f>
        <v>45409</v>
      </c>
      <c r="C30" s="43" t="s">
        <v>78</v>
      </c>
      <c r="D30" s="43" t="n">
        <v>-9</v>
      </c>
      <c r="E30" s="43" t="n">
        <v>-26</v>
      </c>
      <c r="F30" s="44"/>
      <c r="G30" s="62"/>
      <c r="H30" s="45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</row>
    <row r="31" customFormat="false" ht="14.25" hidden="false" customHeight="false" outlineLevel="0" collapsed="false">
      <c r="A31" s="63"/>
      <c r="B31" s="42" t="n">
        <f aca="false">B30+1</f>
        <v>45410</v>
      </c>
      <c r="C31" s="43" t="s">
        <v>57</v>
      </c>
      <c r="D31" s="43" t="n">
        <v>-8</v>
      </c>
      <c r="E31" s="43" t="n">
        <v>-25</v>
      </c>
      <c r="F31" s="44"/>
      <c r="G31" s="45"/>
      <c r="H31" s="45"/>
    </row>
    <row r="32" s="56" customFormat="true" ht="14.25" hidden="false" customHeight="false" outlineLevel="0" collapsed="false">
      <c r="A32" s="64"/>
      <c r="B32" s="49" t="n">
        <f aca="false">B31+1</f>
        <v>45411</v>
      </c>
      <c r="C32" s="50" t="s">
        <v>79</v>
      </c>
      <c r="D32" s="50" t="n">
        <v>-7</v>
      </c>
      <c r="E32" s="50" t="n">
        <v>-24</v>
      </c>
      <c r="F32" s="65"/>
      <c r="G32" s="61"/>
      <c r="H32" s="61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</row>
    <row r="33" customFormat="false" ht="14.25" hidden="false" customHeight="false" outlineLevel="0" collapsed="false">
      <c r="A33" s="64"/>
      <c r="B33" s="49" t="n">
        <f aca="false">B32+1</f>
        <v>45412</v>
      </c>
      <c r="C33" s="50" t="s">
        <v>80</v>
      </c>
      <c r="D33" s="50" t="n">
        <v>-6</v>
      </c>
      <c r="E33" s="50" t="n">
        <v>-23</v>
      </c>
      <c r="F33" s="65"/>
      <c r="G33" s="61"/>
      <c r="H33" s="61"/>
    </row>
    <row r="34" customFormat="false" ht="14.25" hidden="false" customHeight="false" outlineLevel="0" collapsed="false">
      <c r="A34" s="63"/>
      <c r="B34" s="42" t="n">
        <f aca="false">B33+1</f>
        <v>45413</v>
      </c>
      <c r="C34" s="43" t="s">
        <v>80</v>
      </c>
      <c r="D34" s="43" t="n">
        <v>-5</v>
      </c>
      <c r="E34" s="43" t="n">
        <v>-22</v>
      </c>
      <c r="F34" s="44"/>
      <c r="G34" s="44"/>
      <c r="H34" s="44"/>
    </row>
    <row r="35" s="55" customFormat="true" ht="14.25" hidden="false" customHeight="false" outlineLevel="0" collapsed="false">
      <c r="A35" s="64"/>
      <c r="B35" s="49" t="n">
        <f aca="false">B34+1</f>
        <v>45414</v>
      </c>
      <c r="C35" s="50" t="s">
        <v>81</v>
      </c>
      <c r="D35" s="50" t="n">
        <v>-4</v>
      </c>
      <c r="E35" s="50" t="n">
        <v>-21</v>
      </c>
      <c r="F35" s="65"/>
      <c r="G35" s="61"/>
      <c r="H35" s="61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</row>
    <row r="36" s="55" customFormat="true" ht="14.25" hidden="false" customHeight="false" outlineLevel="0" collapsed="false">
      <c r="A36" s="64"/>
      <c r="B36" s="49" t="n">
        <f aca="false">B35+1</f>
        <v>45415</v>
      </c>
      <c r="C36" s="50" t="s">
        <v>82</v>
      </c>
      <c r="D36" s="50" t="n">
        <v>-3</v>
      </c>
      <c r="E36" s="50" t="n">
        <v>-20</v>
      </c>
      <c r="F36" s="65"/>
      <c r="G36" s="61"/>
      <c r="H36" s="61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</row>
    <row r="37" customFormat="false" ht="14.25" hidden="false" customHeight="false" outlineLevel="0" collapsed="false">
      <c r="A37" s="63"/>
      <c r="B37" s="42" t="n">
        <f aca="false">B36+1</f>
        <v>45416</v>
      </c>
      <c r="C37" s="43" t="s">
        <v>78</v>
      </c>
      <c r="D37" s="43" t="n">
        <v>-2</v>
      </c>
      <c r="E37" s="43" t="n">
        <v>-19</v>
      </c>
      <c r="F37" s="44"/>
      <c r="G37" s="45"/>
      <c r="H37" s="45"/>
    </row>
    <row r="38" customFormat="false" ht="14.25" hidden="false" customHeight="false" outlineLevel="0" collapsed="false">
      <c r="A38" s="63"/>
      <c r="B38" s="42" t="n">
        <f aca="false">B37+1</f>
        <v>45417</v>
      </c>
      <c r="C38" s="43" t="s">
        <v>57</v>
      </c>
      <c r="D38" s="43" t="n">
        <v>-1</v>
      </c>
      <c r="E38" s="43" t="n">
        <v>-18</v>
      </c>
      <c r="F38" s="44"/>
      <c r="G38" s="45"/>
      <c r="H38" s="45"/>
    </row>
    <row r="39" s="56" customFormat="true" ht="14.25" hidden="false" customHeight="false" outlineLevel="0" collapsed="false">
      <c r="A39" s="64"/>
      <c r="B39" s="49" t="n">
        <f aca="false">B38+1</f>
        <v>45418</v>
      </c>
      <c r="C39" s="50" t="s">
        <v>79</v>
      </c>
      <c r="D39" s="50" t="n">
        <v>0</v>
      </c>
      <c r="E39" s="50" t="n">
        <v>-17</v>
      </c>
      <c r="F39" s="65"/>
      <c r="G39" s="58" t="s">
        <v>5</v>
      </c>
      <c r="H39" s="61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</row>
    <row r="40" s="55" customFormat="true" ht="14.25" hidden="false" customHeight="false" outlineLevel="0" collapsed="false">
      <c r="A40" s="50"/>
      <c r="B40" s="49" t="n">
        <f aca="false">B39+1</f>
        <v>45419</v>
      </c>
      <c r="C40" s="50" t="s">
        <v>80</v>
      </c>
      <c r="D40" s="50" t="n">
        <v>0</v>
      </c>
      <c r="E40" s="50" t="n">
        <v>-16</v>
      </c>
      <c r="F40" s="58" t="s">
        <v>30</v>
      </c>
      <c r="G40" s="61"/>
      <c r="H40" s="61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</row>
    <row r="41" customFormat="false" ht="14.25" hidden="false" customHeight="false" outlineLevel="0" collapsed="false">
      <c r="A41" s="63"/>
      <c r="B41" s="42" t="n">
        <f aca="false">B40+1</f>
        <v>45420</v>
      </c>
      <c r="C41" s="43" t="s">
        <v>80</v>
      </c>
      <c r="D41" s="43" t="n">
        <v>1</v>
      </c>
      <c r="E41" s="43" t="n">
        <v>-15</v>
      </c>
      <c r="F41" s="66"/>
      <c r="G41" s="66"/>
      <c r="H41" s="66"/>
    </row>
    <row r="42" s="55" customFormat="true" ht="14.25" hidden="false" customHeight="true" outlineLevel="0" collapsed="false">
      <c r="A42" s="63"/>
      <c r="B42" s="42" t="n">
        <f aca="false">B41+1</f>
        <v>45421</v>
      </c>
      <c r="C42" s="43" t="s">
        <v>81</v>
      </c>
      <c r="D42" s="43" t="n">
        <v>2</v>
      </c>
      <c r="E42" s="43" t="n">
        <v>-14</v>
      </c>
      <c r="F42" s="66"/>
      <c r="G42" s="66"/>
      <c r="H42" s="66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</row>
    <row r="43" s="55" customFormat="true" ht="14.25" hidden="false" customHeight="false" outlineLevel="0" collapsed="false">
      <c r="A43" s="50"/>
      <c r="B43" s="49" t="n">
        <f aca="false">B42+1</f>
        <v>45422</v>
      </c>
      <c r="C43" s="50" t="s">
        <v>82</v>
      </c>
      <c r="D43" s="50" t="n">
        <v>3</v>
      </c>
      <c r="E43" s="50" t="n">
        <v>-13</v>
      </c>
      <c r="F43" s="65"/>
      <c r="G43" s="61"/>
      <c r="H43" s="61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</row>
    <row r="44" customFormat="false" ht="14.25" hidden="false" customHeight="true" outlineLevel="0" collapsed="false">
      <c r="A44" s="43"/>
      <c r="B44" s="42" t="n">
        <f aca="false">B43+1</f>
        <v>45423</v>
      </c>
      <c r="C44" s="43" t="s">
        <v>78</v>
      </c>
      <c r="D44" s="43" t="n">
        <v>4</v>
      </c>
      <c r="E44" s="43" t="n">
        <v>-12</v>
      </c>
      <c r="F44" s="62"/>
      <c r="G44" s="45"/>
      <c r="H44" s="45"/>
      <c r="I44" s="67"/>
      <c r="J44" s="67"/>
    </row>
    <row r="45" customFormat="false" ht="14.25" hidden="false" customHeight="false" outlineLevel="0" collapsed="false">
      <c r="A45" s="43"/>
      <c r="B45" s="42" t="n">
        <f aca="false">B44+1</f>
        <v>45424</v>
      </c>
      <c r="C45" s="43" t="s">
        <v>57</v>
      </c>
      <c r="D45" s="43" t="n">
        <v>5</v>
      </c>
      <c r="E45" s="43" t="n">
        <v>-11</v>
      </c>
      <c r="F45" s="62"/>
      <c r="G45" s="45"/>
      <c r="H45" s="45"/>
    </row>
    <row r="46" s="56" customFormat="true" ht="14.25" hidden="false" customHeight="false" outlineLevel="0" collapsed="false">
      <c r="A46" s="50"/>
      <c r="B46" s="68" t="n">
        <f aca="false">B45+1</f>
        <v>45425</v>
      </c>
      <c r="C46" s="50" t="s">
        <v>79</v>
      </c>
      <c r="D46" s="50" t="n">
        <v>6</v>
      </c>
      <c r="E46" s="50" t="n">
        <v>-10</v>
      </c>
      <c r="F46" s="65"/>
      <c r="G46" s="65"/>
      <c r="H46" s="65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</row>
    <row r="47" customFormat="false" ht="14.25" hidden="false" customHeight="false" outlineLevel="0" collapsed="false">
      <c r="A47" s="50"/>
      <c r="B47" s="68" t="n">
        <f aca="false">B46+1</f>
        <v>45426</v>
      </c>
      <c r="C47" s="50" t="s">
        <v>80</v>
      </c>
      <c r="D47" s="50" t="n">
        <v>7</v>
      </c>
      <c r="E47" s="50" t="n">
        <v>-9</v>
      </c>
      <c r="F47" s="58" t="s">
        <v>85</v>
      </c>
      <c r="G47" s="65"/>
      <c r="H47" s="65"/>
    </row>
    <row r="48" customFormat="false" ht="14.25" hidden="false" customHeight="false" outlineLevel="0" collapsed="false">
      <c r="A48" s="43"/>
      <c r="B48" s="42" t="n">
        <f aca="false">B47+1</f>
        <v>45427</v>
      </c>
      <c r="C48" s="43" t="s">
        <v>80</v>
      </c>
      <c r="D48" s="43" t="n">
        <v>8</v>
      </c>
      <c r="E48" s="43" t="n">
        <v>-8</v>
      </c>
      <c r="F48" s="62"/>
      <c r="G48" s="45"/>
      <c r="H48" s="45"/>
    </row>
    <row r="49" s="55" customFormat="true" ht="14.25" hidden="false" customHeight="false" outlineLevel="0" collapsed="false">
      <c r="A49" s="47"/>
      <c r="B49" s="69" t="n">
        <f aca="false">B48+1</f>
        <v>45428</v>
      </c>
      <c r="C49" s="47" t="s">
        <v>81</v>
      </c>
      <c r="D49" s="47" t="n">
        <v>9</v>
      </c>
      <c r="E49" s="47" t="n">
        <v>-7</v>
      </c>
      <c r="F49" s="59"/>
      <c r="G49" s="59"/>
      <c r="H49" s="59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</row>
    <row r="50" s="55" customFormat="true" ht="14.25" hidden="false" customHeight="false" outlineLevel="0" collapsed="false">
      <c r="A50" s="50"/>
      <c r="B50" s="68" t="n">
        <f aca="false">B49+1</f>
        <v>45429</v>
      </c>
      <c r="C50" s="50" t="s">
        <v>82</v>
      </c>
      <c r="D50" s="50" t="n">
        <v>10</v>
      </c>
      <c r="E50" s="50" t="n">
        <v>-6</v>
      </c>
      <c r="F50" s="65"/>
      <c r="G50" s="65"/>
      <c r="H50" s="65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/>
      <c r="GA50" s="27"/>
      <c r="GB50" s="27"/>
      <c r="GC50" s="27"/>
      <c r="GD50" s="27"/>
      <c r="GE50" s="27"/>
      <c r="GF50" s="27"/>
      <c r="GG50" s="27"/>
      <c r="GH50" s="27"/>
      <c r="GI50" s="27"/>
      <c r="GJ50" s="27"/>
      <c r="GK50" s="27"/>
      <c r="GL50" s="27"/>
      <c r="GM50" s="27"/>
      <c r="GN50" s="27"/>
      <c r="GO50" s="27"/>
      <c r="GP50" s="27"/>
      <c r="GQ50" s="27"/>
      <c r="GR50" s="27"/>
      <c r="GS50" s="27"/>
      <c r="GT50" s="27"/>
      <c r="GU50" s="27"/>
      <c r="GV50" s="27"/>
      <c r="GW50" s="27"/>
      <c r="GX50" s="27"/>
      <c r="GY50" s="27"/>
      <c r="GZ50" s="27"/>
      <c r="HA50" s="27"/>
      <c r="HB50" s="27"/>
      <c r="HC50" s="27"/>
      <c r="HD50" s="27"/>
      <c r="HE50" s="27"/>
      <c r="HF50" s="27"/>
      <c r="HG50" s="27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  <c r="HZ50" s="27"/>
      <c r="IA50" s="27"/>
      <c r="IB50" s="27"/>
      <c r="IC50" s="27"/>
      <c r="ID50" s="27"/>
      <c r="IE50" s="27"/>
    </row>
    <row r="51" s="55" customFormat="true" ht="14.25" hidden="false" customHeight="false" outlineLevel="0" collapsed="false">
      <c r="A51" s="43"/>
      <c r="B51" s="70" t="n">
        <f aca="false">B50+1</f>
        <v>45430</v>
      </c>
      <c r="C51" s="43" t="s">
        <v>78</v>
      </c>
      <c r="D51" s="43" t="n">
        <v>11</v>
      </c>
      <c r="E51" s="43" t="n">
        <v>-5</v>
      </c>
      <c r="F51" s="62"/>
      <c r="G51" s="45"/>
      <c r="H51" s="45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</row>
    <row r="52" customFormat="false" ht="14.25" hidden="false" customHeight="false" outlineLevel="0" collapsed="false">
      <c r="A52" s="43"/>
      <c r="B52" s="70" t="n">
        <f aca="false">B51+1</f>
        <v>45431</v>
      </c>
      <c r="C52" s="43" t="s">
        <v>57</v>
      </c>
      <c r="D52" s="43" t="n">
        <v>12</v>
      </c>
      <c r="E52" s="43" t="n">
        <v>-4</v>
      </c>
      <c r="F52" s="62"/>
      <c r="G52" s="45"/>
      <c r="H52" s="45"/>
    </row>
    <row r="53" s="56" customFormat="true" ht="14.25" hidden="false" customHeight="false" outlineLevel="0" collapsed="false">
      <c r="A53" s="43"/>
      <c r="B53" s="70" t="n">
        <f aca="false">B52+1</f>
        <v>45432</v>
      </c>
      <c r="C53" s="43" t="s">
        <v>79</v>
      </c>
      <c r="D53" s="43" t="n">
        <v>13</v>
      </c>
      <c r="E53" s="43" t="n">
        <v>-3</v>
      </c>
      <c r="F53" s="62"/>
      <c r="G53" s="62"/>
      <c r="H53" s="62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</row>
    <row r="54" customFormat="false" ht="28.35" hidden="false" customHeight="false" outlineLevel="0" collapsed="false">
      <c r="A54" s="50"/>
      <c r="B54" s="68" t="n">
        <f aca="false">B53+1</f>
        <v>45433</v>
      </c>
      <c r="C54" s="50" t="s">
        <v>80</v>
      </c>
      <c r="D54" s="50" t="n">
        <v>14</v>
      </c>
      <c r="E54" s="50" t="n">
        <v>-2</v>
      </c>
      <c r="F54" s="58" t="s">
        <v>86</v>
      </c>
      <c r="G54" s="58" t="s">
        <v>7</v>
      </c>
      <c r="H54" s="58" t="s">
        <v>8</v>
      </c>
    </row>
    <row r="55" customFormat="false" ht="14.9" hidden="false" customHeight="false" outlineLevel="0" collapsed="false">
      <c r="A55" s="53"/>
      <c r="B55" s="71" t="n">
        <f aca="false">B54+1</f>
        <v>45434</v>
      </c>
      <c r="C55" s="53" t="s">
        <v>80</v>
      </c>
      <c r="D55" s="53" t="n">
        <v>1</v>
      </c>
      <c r="E55" s="53" t="n">
        <v>-1</v>
      </c>
      <c r="F55" s="72" t="s">
        <v>87</v>
      </c>
      <c r="G55" s="72" t="s">
        <v>10</v>
      </c>
      <c r="H55" s="72" t="s">
        <v>11</v>
      </c>
    </row>
    <row r="56" s="55" customFormat="true" ht="14.9" hidden="false" customHeight="false" outlineLevel="0" collapsed="false">
      <c r="A56" s="50"/>
      <c r="B56" s="68" t="n">
        <f aca="false">B55+1</f>
        <v>45435</v>
      </c>
      <c r="C56" s="50" t="s">
        <v>81</v>
      </c>
      <c r="D56" s="50" t="n">
        <v>2</v>
      </c>
      <c r="E56" s="50" t="n">
        <v>0</v>
      </c>
      <c r="F56" s="58" t="s">
        <v>88</v>
      </c>
      <c r="G56" s="58" t="s">
        <v>13</v>
      </c>
      <c r="H56" s="58" t="s">
        <v>14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</row>
    <row r="57" s="55" customFormat="true" ht="14.9" hidden="false" customHeight="false" outlineLevel="0" collapsed="false">
      <c r="A57" s="50"/>
      <c r="B57" s="68" t="n">
        <f aca="false">B56+1</f>
        <v>45436</v>
      </c>
      <c r="C57" s="50" t="s">
        <v>82</v>
      </c>
      <c r="D57" s="50" t="n">
        <v>3</v>
      </c>
      <c r="E57" s="50" t="n">
        <v>1</v>
      </c>
      <c r="F57" s="58" t="s">
        <v>87</v>
      </c>
      <c r="G57" s="58" t="s">
        <v>16</v>
      </c>
      <c r="H57" s="58" t="s">
        <v>17</v>
      </c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</row>
    <row r="58" customFormat="false" ht="14.9" hidden="false" customHeight="false" outlineLevel="0" collapsed="false">
      <c r="A58" s="43"/>
      <c r="B58" s="70" t="n">
        <f aca="false">B57+1</f>
        <v>45437</v>
      </c>
      <c r="C58" s="43" t="s">
        <v>78</v>
      </c>
      <c r="D58" s="43" t="n">
        <v>4</v>
      </c>
      <c r="E58" s="43" t="n">
        <v>2</v>
      </c>
      <c r="F58" s="62" t="s">
        <v>87</v>
      </c>
      <c r="G58" s="62" t="s">
        <v>19</v>
      </c>
      <c r="H58" s="62" t="s">
        <v>20</v>
      </c>
    </row>
    <row r="59" customFormat="false" ht="14.9" hidden="false" customHeight="false" outlineLevel="0" collapsed="false">
      <c r="A59" s="43"/>
      <c r="B59" s="70" t="n">
        <f aca="false">B58+1</f>
        <v>45438</v>
      </c>
      <c r="C59" s="43" t="s">
        <v>57</v>
      </c>
      <c r="D59" s="43" t="n">
        <v>5</v>
      </c>
      <c r="E59" s="43" t="n">
        <v>3</v>
      </c>
      <c r="F59" s="62" t="s">
        <v>87</v>
      </c>
      <c r="G59" s="62" t="s">
        <v>22</v>
      </c>
      <c r="H59" s="62" t="s">
        <v>23</v>
      </c>
    </row>
    <row r="60" customFormat="false" ht="14.9" hidden="false" customHeight="false" outlineLevel="0" collapsed="false">
      <c r="A60" s="50"/>
      <c r="B60" s="68" t="n">
        <f aca="false">B59+1</f>
        <v>45439</v>
      </c>
      <c r="C60" s="50" t="s">
        <v>79</v>
      </c>
      <c r="D60" s="50" t="n">
        <v>6</v>
      </c>
      <c r="E60" s="50" t="n">
        <v>4</v>
      </c>
      <c r="F60" s="58" t="s">
        <v>87</v>
      </c>
      <c r="G60" s="58" t="s">
        <v>25</v>
      </c>
      <c r="H60" s="65"/>
    </row>
    <row r="61" customFormat="false" ht="14.9" hidden="false" customHeight="false" outlineLevel="0" collapsed="false">
      <c r="A61" s="50"/>
      <c r="B61" s="68" t="n">
        <f aca="false">B60+1</f>
        <v>45440</v>
      </c>
      <c r="C61" s="50" t="s">
        <v>80</v>
      </c>
      <c r="D61" s="50" t="n">
        <v>7</v>
      </c>
      <c r="E61" s="50" t="n">
        <v>5</v>
      </c>
      <c r="F61" s="58" t="s">
        <v>87</v>
      </c>
      <c r="G61" s="58" t="s">
        <v>27</v>
      </c>
      <c r="H61" s="65"/>
    </row>
    <row r="62" customFormat="false" ht="14.9" hidden="false" customHeight="false" outlineLevel="0" collapsed="false">
      <c r="A62" s="53"/>
      <c r="B62" s="71" t="n">
        <f aca="false">B61+1</f>
        <v>45441</v>
      </c>
      <c r="C62" s="53" t="s">
        <v>80</v>
      </c>
      <c r="D62" s="53" t="n">
        <v>8</v>
      </c>
      <c r="E62" s="53" t="n">
        <v>6</v>
      </c>
      <c r="F62" s="72" t="s">
        <v>87</v>
      </c>
      <c r="G62" s="72" t="s">
        <v>29</v>
      </c>
      <c r="H62" s="72"/>
    </row>
    <row r="63" customFormat="false" ht="14.9" hidden="false" customHeight="false" outlineLevel="0" collapsed="false">
      <c r="A63" s="50"/>
      <c r="B63" s="68" t="n">
        <f aca="false">B62+1</f>
        <v>45442</v>
      </c>
      <c r="C63" s="50" t="s">
        <v>81</v>
      </c>
      <c r="D63" s="50" t="n">
        <v>9</v>
      </c>
      <c r="E63" s="50" t="n">
        <v>7</v>
      </c>
      <c r="F63" s="58" t="s">
        <v>87</v>
      </c>
      <c r="G63" s="65"/>
      <c r="H63" s="65"/>
    </row>
    <row r="64" customFormat="false" ht="14.9" hidden="false" customHeight="false" outlineLevel="0" collapsed="false">
      <c r="A64" s="50"/>
      <c r="B64" s="68" t="n">
        <f aca="false">B63+1</f>
        <v>45443</v>
      </c>
      <c r="C64" s="50" t="s">
        <v>82</v>
      </c>
      <c r="D64" s="50" t="n">
        <v>10</v>
      </c>
      <c r="E64" s="50" t="n">
        <v>8</v>
      </c>
      <c r="F64" s="58" t="s">
        <v>87</v>
      </c>
      <c r="G64" s="61"/>
      <c r="H64" s="61"/>
    </row>
    <row r="65" customFormat="false" ht="14.9" hidden="false" customHeight="false" outlineLevel="0" collapsed="false">
      <c r="A65" s="73"/>
      <c r="B65" s="69" t="n">
        <f aca="false">B64+1</f>
        <v>45444</v>
      </c>
      <c r="C65" s="47" t="s">
        <v>78</v>
      </c>
      <c r="D65" s="47" t="n">
        <v>11</v>
      </c>
      <c r="E65" s="47" t="n">
        <v>9</v>
      </c>
      <c r="F65" s="62" t="s">
        <v>87</v>
      </c>
      <c r="G65" s="74"/>
      <c r="H65" s="74"/>
    </row>
    <row r="66" customFormat="false" ht="14.9" hidden="false" customHeight="false" outlineLevel="0" collapsed="false">
      <c r="A66" s="73"/>
      <c r="B66" s="69" t="n">
        <f aca="false">B65+1</f>
        <v>45445</v>
      </c>
      <c r="C66" s="47" t="s">
        <v>57</v>
      </c>
      <c r="D66" s="47" t="n">
        <v>12</v>
      </c>
      <c r="E66" s="47" t="n">
        <v>10</v>
      </c>
      <c r="F66" s="62" t="s">
        <v>87</v>
      </c>
      <c r="G66" s="74"/>
      <c r="H66" s="74"/>
    </row>
    <row r="67" customFormat="false" ht="28.35" hidden="false" customHeight="false" outlineLevel="0" collapsed="false">
      <c r="A67" s="50"/>
      <c r="B67" s="68" t="n">
        <f aca="false">B66+1</f>
        <v>45446</v>
      </c>
      <c r="C67" s="50" t="s">
        <v>79</v>
      </c>
      <c r="D67" s="50" t="n">
        <v>1</v>
      </c>
      <c r="E67" s="50" t="n">
        <v>11</v>
      </c>
      <c r="F67" s="58" t="s">
        <v>89</v>
      </c>
      <c r="G67" s="61"/>
      <c r="H67" s="61"/>
    </row>
    <row r="68" customFormat="false" ht="14.25" hidden="false" customHeight="false" outlineLevel="0" collapsed="false">
      <c r="A68" s="50"/>
      <c r="B68" s="68" t="n">
        <f aca="false">B67+1</f>
        <v>45447</v>
      </c>
      <c r="C68" s="50" t="s">
        <v>80</v>
      </c>
      <c r="D68" s="50" t="n">
        <v>2</v>
      </c>
      <c r="E68" s="50" t="n">
        <v>12</v>
      </c>
      <c r="F68" s="58" t="s">
        <v>87</v>
      </c>
      <c r="G68" s="61"/>
      <c r="H68" s="61"/>
    </row>
    <row r="69" customFormat="false" ht="14.25" hidden="false" customHeight="false" outlineLevel="0" collapsed="false">
      <c r="A69" s="53"/>
      <c r="B69" s="71" t="n">
        <f aca="false">B68+1</f>
        <v>45448</v>
      </c>
      <c r="C69" s="53" t="s">
        <v>80</v>
      </c>
      <c r="D69" s="53" t="n">
        <v>3</v>
      </c>
      <c r="E69" s="53" t="n">
        <v>13</v>
      </c>
      <c r="F69" s="72" t="s">
        <v>87</v>
      </c>
      <c r="G69" s="60"/>
      <c r="H69" s="60"/>
    </row>
    <row r="70" customFormat="false" ht="14.25" hidden="false" customHeight="false" outlineLevel="0" collapsed="false">
      <c r="A70" s="50"/>
      <c r="B70" s="68" t="n">
        <f aca="false">B69+1</f>
        <v>45449</v>
      </c>
      <c r="C70" s="50" t="s">
        <v>81</v>
      </c>
      <c r="D70" s="50" t="n">
        <v>4</v>
      </c>
      <c r="E70" s="50" t="n">
        <v>14</v>
      </c>
      <c r="F70" s="58" t="s">
        <v>87</v>
      </c>
      <c r="G70" s="61"/>
      <c r="H70" s="61"/>
    </row>
    <row r="71" customFormat="false" ht="14.25" hidden="false" customHeight="false" outlineLevel="0" collapsed="false">
      <c r="A71" s="50"/>
      <c r="B71" s="68" t="n">
        <f aca="false">B70+1</f>
        <v>45450</v>
      </c>
      <c r="C71" s="50" t="s">
        <v>82</v>
      </c>
      <c r="D71" s="50" t="n">
        <v>5</v>
      </c>
      <c r="E71" s="50" t="n">
        <v>15</v>
      </c>
      <c r="F71" s="58" t="s">
        <v>87</v>
      </c>
      <c r="G71" s="61"/>
      <c r="H71" s="61"/>
    </row>
    <row r="72" customFormat="false" ht="14.25" hidden="false" customHeight="false" outlineLevel="0" collapsed="false">
      <c r="A72" s="43"/>
      <c r="B72" s="70" t="n">
        <f aca="false">B71+1</f>
        <v>45451</v>
      </c>
      <c r="C72" s="43" t="s">
        <v>78</v>
      </c>
      <c r="D72" s="43" t="n">
        <v>6</v>
      </c>
      <c r="E72" s="43" t="n">
        <v>16</v>
      </c>
      <c r="F72" s="62" t="s">
        <v>87</v>
      </c>
      <c r="G72" s="45"/>
      <c r="H72" s="45"/>
    </row>
    <row r="73" customFormat="false" ht="14.25" hidden="false" customHeight="false" outlineLevel="0" collapsed="false">
      <c r="A73" s="43"/>
      <c r="B73" s="70" t="n">
        <f aca="false">B72+1</f>
        <v>45452</v>
      </c>
      <c r="C73" s="43" t="s">
        <v>57</v>
      </c>
      <c r="D73" s="43" t="n">
        <v>7</v>
      </c>
      <c r="E73" s="43" t="n">
        <v>17</v>
      </c>
      <c r="F73" s="62" t="s">
        <v>87</v>
      </c>
      <c r="G73" s="45"/>
      <c r="H73" s="45"/>
    </row>
    <row r="74" customFormat="false" ht="14.25" hidden="false" customHeight="false" outlineLevel="0" collapsed="false">
      <c r="A74" s="50"/>
      <c r="B74" s="68" t="n">
        <f aca="false">B73+1</f>
        <v>45453</v>
      </c>
      <c r="C74" s="50" t="s">
        <v>79</v>
      </c>
      <c r="D74" s="50" t="n">
        <v>8</v>
      </c>
      <c r="E74" s="50" t="n">
        <v>18</v>
      </c>
      <c r="F74" s="58" t="s">
        <v>87</v>
      </c>
      <c r="G74" s="61"/>
      <c r="H74" s="61"/>
    </row>
    <row r="75" customFormat="false" ht="14.25" hidden="false" customHeight="false" outlineLevel="0" collapsed="false">
      <c r="A75" s="50"/>
      <c r="B75" s="68" t="n">
        <f aca="false">B74+1</f>
        <v>45454</v>
      </c>
      <c r="C75" s="50" t="s">
        <v>80</v>
      </c>
      <c r="D75" s="50" t="n">
        <v>9</v>
      </c>
      <c r="E75" s="50" t="n">
        <v>19</v>
      </c>
      <c r="F75" s="58" t="s">
        <v>87</v>
      </c>
      <c r="G75" s="61"/>
      <c r="H75" s="61"/>
    </row>
    <row r="76" customFormat="false" ht="14.25" hidden="false" customHeight="false" outlineLevel="0" collapsed="false">
      <c r="A76" s="53"/>
      <c r="B76" s="71" t="n">
        <f aca="false">B75+1</f>
        <v>45455</v>
      </c>
      <c r="C76" s="53" t="s">
        <v>80</v>
      </c>
      <c r="D76" s="53" t="n">
        <v>10</v>
      </c>
      <c r="E76" s="53" t="n">
        <v>20</v>
      </c>
      <c r="F76" s="72" t="s">
        <v>87</v>
      </c>
      <c r="G76" s="60"/>
      <c r="H76" s="60"/>
    </row>
    <row r="77" customFormat="false" ht="14.25" hidden="false" customHeight="false" outlineLevel="0" collapsed="false">
      <c r="A77" s="50"/>
      <c r="B77" s="68" t="n">
        <f aca="false">B76+1</f>
        <v>45456</v>
      </c>
      <c r="C77" s="50" t="s">
        <v>81</v>
      </c>
      <c r="D77" s="50" t="n">
        <v>11</v>
      </c>
      <c r="E77" s="50" t="n">
        <v>21</v>
      </c>
      <c r="F77" s="58" t="s">
        <v>87</v>
      </c>
      <c r="G77" s="61"/>
      <c r="H77" s="61"/>
    </row>
    <row r="78" customFormat="false" ht="14.25" hidden="false" customHeight="false" outlineLevel="0" collapsed="false">
      <c r="A78" s="50"/>
      <c r="B78" s="68" t="n">
        <f aca="false">B77+1</f>
        <v>45457</v>
      </c>
      <c r="C78" s="50" t="s">
        <v>82</v>
      </c>
      <c r="D78" s="50" t="n">
        <v>12</v>
      </c>
      <c r="E78" s="50" t="n">
        <v>22</v>
      </c>
      <c r="F78" s="58" t="s">
        <v>87</v>
      </c>
      <c r="G78" s="61"/>
      <c r="H78" s="61"/>
    </row>
    <row r="79" customFormat="false" ht="14.25" hidden="false" customHeight="false" outlineLevel="0" collapsed="false">
      <c r="A79" s="43"/>
      <c r="B79" s="70" t="n">
        <f aca="false">B78+1</f>
        <v>45458</v>
      </c>
      <c r="C79" s="43" t="s">
        <v>78</v>
      </c>
      <c r="D79" s="43" t="n">
        <v>13</v>
      </c>
      <c r="E79" s="43" t="n">
        <v>23</v>
      </c>
      <c r="F79" s="62" t="s">
        <v>87</v>
      </c>
      <c r="G79" s="62"/>
      <c r="H79" s="62"/>
    </row>
    <row r="80" customFormat="false" ht="14.25" hidden="false" customHeight="false" outlineLevel="0" collapsed="false">
      <c r="A80" s="43"/>
      <c r="B80" s="70" t="n">
        <f aca="false">B79+1</f>
        <v>45459</v>
      </c>
      <c r="C80" s="43" t="s">
        <v>57</v>
      </c>
      <c r="D80" s="43" t="n">
        <v>14</v>
      </c>
      <c r="E80" s="43" t="n">
        <v>24</v>
      </c>
      <c r="F80" s="62" t="s">
        <v>87</v>
      </c>
      <c r="G80" s="62"/>
      <c r="H80" s="62"/>
    </row>
    <row r="81" s="56" customFormat="true" ht="14.25" hidden="false" customHeight="false" outlineLevel="0" collapsed="false">
      <c r="A81" s="50"/>
      <c r="B81" s="68" t="n">
        <f aca="false">B80+1</f>
        <v>45460</v>
      </c>
      <c r="C81" s="50" t="s">
        <v>79</v>
      </c>
      <c r="D81" s="50" t="n">
        <v>15</v>
      </c>
      <c r="E81" s="50" t="n">
        <v>25</v>
      </c>
      <c r="F81" s="58" t="s">
        <v>87</v>
      </c>
      <c r="G81" s="61"/>
      <c r="H81" s="61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</row>
    <row r="82" customFormat="false" ht="14.25" hidden="false" customHeight="false" outlineLevel="0" collapsed="false">
      <c r="A82" s="50"/>
      <c r="B82" s="68" t="n">
        <f aca="false">B81+1</f>
        <v>45461</v>
      </c>
      <c r="C82" s="50" t="s">
        <v>80</v>
      </c>
      <c r="D82" s="50" t="n">
        <v>16</v>
      </c>
      <c r="E82" s="50" t="n">
        <v>26</v>
      </c>
      <c r="F82" s="58" t="s">
        <v>87</v>
      </c>
      <c r="G82" s="61"/>
      <c r="H82" s="61"/>
    </row>
    <row r="83" customFormat="false" ht="14.25" hidden="false" customHeight="false" outlineLevel="0" collapsed="false">
      <c r="A83" s="53"/>
      <c r="B83" s="71" t="n">
        <f aca="false">B82+1</f>
        <v>45462</v>
      </c>
      <c r="C83" s="53" t="s">
        <v>80</v>
      </c>
      <c r="D83" s="53" t="n">
        <v>17</v>
      </c>
      <c r="E83" s="53" t="n">
        <v>27</v>
      </c>
      <c r="F83" s="72" t="s">
        <v>87</v>
      </c>
      <c r="G83" s="53"/>
      <c r="H83" s="53"/>
    </row>
    <row r="84" s="55" customFormat="true" ht="14.25" hidden="false" customHeight="false" outlineLevel="0" collapsed="false">
      <c r="A84" s="50"/>
      <c r="B84" s="68" t="n">
        <f aca="false">B83+1</f>
        <v>45463</v>
      </c>
      <c r="C84" s="50" t="s">
        <v>81</v>
      </c>
      <c r="D84" s="50"/>
      <c r="E84" s="50" t="n">
        <v>28</v>
      </c>
      <c r="F84" s="51"/>
      <c r="G84" s="61"/>
      <c r="H84" s="61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  <c r="GO84" s="27"/>
      <c r="GP84" s="27"/>
      <c r="GQ84" s="27"/>
      <c r="GR84" s="27"/>
      <c r="GS84" s="27"/>
      <c r="GT84" s="27"/>
      <c r="GU84" s="27"/>
      <c r="GV84" s="27"/>
      <c r="GW84" s="27"/>
      <c r="GX84" s="27"/>
      <c r="GY84" s="27"/>
      <c r="GZ84" s="27"/>
      <c r="HA84" s="27"/>
      <c r="HB84" s="27"/>
      <c r="HC84" s="27"/>
      <c r="HD84" s="27"/>
      <c r="HE84" s="27"/>
      <c r="HF84" s="27"/>
      <c r="HG84" s="27"/>
      <c r="HH84" s="27"/>
      <c r="HI84" s="27"/>
      <c r="HJ84" s="27"/>
      <c r="HK84" s="27"/>
      <c r="HL84" s="27"/>
      <c r="HM84" s="27"/>
      <c r="HN84" s="27"/>
      <c r="HO84" s="27"/>
      <c r="HP84" s="27"/>
      <c r="HQ84" s="27"/>
      <c r="HR84" s="27"/>
      <c r="HS84" s="27"/>
      <c r="HT84" s="27"/>
      <c r="HU84" s="27"/>
      <c r="HV84" s="27"/>
      <c r="HW84" s="27"/>
      <c r="HX84" s="27"/>
      <c r="HY84" s="27"/>
      <c r="HZ84" s="27"/>
      <c r="IA84" s="27"/>
      <c r="IB84" s="27"/>
      <c r="IC84" s="27"/>
      <c r="ID84" s="27"/>
      <c r="IE84" s="27"/>
    </row>
    <row r="85" s="55" customFormat="true" ht="14.25" hidden="false" customHeight="false" outlineLevel="0" collapsed="false">
      <c r="A85" s="50"/>
      <c r="B85" s="68" t="n">
        <f aca="false">B84+1</f>
        <v>45464</v>
      </c>
      <c r="C85" s="50" t="s">
        <v>82</v>
      </c>
      <c r="D85" s="50"/>
      <c r="E85" s="50" t="n">
        <v>29</v>
      </c>
      <c r="F85" s="51"/>
      <c r="G85" s="61"/>
      <c r="H85" s="61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  <c r="FS85" s="27"/>
      <c r="FT85" s="27"/>
      <c r="FU85" s="27"/>
      <c r="FV85" s="27"/>
      <c r="FW85" s="27"/>
      <c r="FX85" s="27"/>
      <c r="FY85" s="27"/>
      <c r="FZ85" s="27"/>
      <c r="GA85" s="27"/>
      <c r="GB85" s="27"/>
      <c r="GC85" s="27"/>
      <c r="GD85" s="27"/>
      <c r="GE85" s="27"/>
      <c r="GF85" s="27"/>
      <c r="GG85" s="27"/>
      <c r="GH85" s="27"/>
      <c r="GI85" s="27"/>
      <c r="GJ85" s="27"/>
      <c r="GK85" s="27"/>
      <c r="GL85" s="27"/>
      <c r="GM85" s="27"/>
      <c r="GN85" s="27"/>
      <c r="GO85" s="27"/>
      <c r="GP85" s="27"/>
      <c r="GQ85" s="27"/>
      <c r="GR85" s="27"/>
      <c r="GS85" s="27"/>
      <c r="GT85" s="27"/>
      <c r="GU85" s="27"/>
      <c r="GV85" s="27"/>
      <c r="GW85" s="27"/>
      <c r="GX85" s="27"/>
      <c r="GY85" s="27"/>
      <c r="GZ85" s="27"/>
      <c r="HA85" s="27"/>
      <c r="HB85" s="27"/>
      <c r="HC85" s="27"/>
      <c r="HD85" s="27"/>
      <c r="HE85" s="27"/>
      <c r="HF85" s="27"/>
      <c r="HG85" s="27"/>
      <c r="HH85" s="27"/>
      <c r="HI85" s="27"/>
      <c r="HJ85" s="27"/>
      <c r="HK85" s="27"/>
      <c r="HL85" s="27"/>
      <c r="HM85" s="27"/>
      <c r="HN85" s="27"/>
      <c r="HO85" s="27"/>
      <c r="HP85" s="27"/>
      <c r="HQ85" s="27"/>
      <c r="HR85" s="27"/>
      <c r="HS85" s="27"/>
      <c r="HT85" s="27"/>
      <c r="HU85" s="27"/>
      <c r="HV85" s="27"/>
      <c r="HW85" s="27"/>
      <c r="HX85" s="27"/>
      <c r="HY85" s="27"/>
      <c r="HZ85" s="27"/>
      <c r="IA85" s="27"/>
      <c r="IB85" s="27"/>
      <c r="IC85" s="27"/>
      <c r="ID85" s="27"/>
      <c r="IE85" s="27"/>
    </row>
    <row r="86" customFormat="false" ht="14.25" hidden="false" customHeight="false" outlineLevel="0" collapsed="false">
      <c r="A86" s="43"/>
      <c r="B86" s="70" t="n">
        <f aca="false">B85+1</f>
        <v>45465</v>
      </c>
      <c r="C86" s="43" t="s">
        <v>78</v>
      </c>
      <c r="D86" s="43"/>
      <c r="E86" s="43" t="n">
        <v>30</v>
      </c>
      <c r="F86" s="75"/>
      <c r="G86" s="75"/>
      <c r="H86" s="75"/>
    </row>
    <row r="87" customFormat="false" ht="14.25" hidden="false" customHeight="false" outlineLevel="0" collapsed="false">
      <c r="A87" s="43"/>
      <c r="B87" s="70" t="n">
        <f aca="false">B86+1</f>
        <v>45466</v>
      </c>
      <c r="C87" s="43" t="s">
        <v>57</v>
      </c>
      <c r="D87" s="43"/>
      <c r="E87" s="43" t="n">
        <v>31</v>
      </c>
      <c r="F87" s="75"/>
      <c r="G87" s="75"/>
      <c r="H87" s="75"/>
    </row>
    <row r="88" s="56" customFormat="true" ht="14.25" hidden="false" customHeight="false" outlineLevel="0" collapsed="false">
      <c r="A88" s="50"/>
      <c r="B88" s="68" t="n">
        <f aca="false">B87+1</f>
        <v>45467</v>
      </c>
      <c r="C88" s="50" t="s">
        <v>79</v>
      </c>
      <c r="D88" s="50"/>
      <c r="E88" s="50" t="n">
        <v>32</v>
      </c>
      <c r="F88" s="51"/>
      <c r="G88" s="61"/>
      <c r="H88" s="61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</row>
    <row r="89" customFormat="false" ht="14.25" hidden="false" customHeight="false" outlineLevel="0" collapsed="false">
      <c r="A89" s="50"/>
      <c r="B89" s="68" t="n">
        <f aca="false">B88+1</f>
        <v>45468</v>
      </c>
      <c r="C89" s="50" t="s">
        <v>80</v>
      </c>
      <c r="D89" s="50"/>
      <c r="E89" s="50" t="n">
        <v>33</v>
      </c>
      <c r="F89" s="51"/>
      <c r="G89" s="61"/>
      <c r="H89" s="61"/>
    </row>
    <row r="90" customFormat="false" ht="14.25" hidden="false" customHeight="false" outlineLevel="0" collapsed="false">
      <c r="A90" s="53"/>
      <c r="B90" s="71" t="n">
        <f aca="false">B89+1</f>
        <v>45469</v>
      </c>
      <c r="C90" s="53" t="s">
        <v>80</v>
      </c>
      <c r="D90" s="53"/>
      <c r="E90" s="53" t="n">
        <v>34</v>
      </c>
      <c r="F90" s="76"/>
      <c r="G90" s="76"/>
      <c r="H90" s="76"/>
    </row>
    <row r="91" s="55" customFormat="true" ht="14.25" hidden="false" customHeight="false" outlineLevel="0" collapsed="false">
      <c r="A91" s="50"/>
      <c r="B91" s="68" t="n">
        <f aca="false">B90+1</f>
        <v>45470</v>
      </c>
      <c r="C91" s="50" t="s">
        <v>81</v>
      </c>
      <c r="D91" s="50"/>
      <c r="E91" s="50" t="n">
        <v>35</v>
      </c>
      <c r="F91" s="51"/>
      <c r="G91" s="61"/>
      <c r="H91" s="61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  <c r="FS91" s="27"/>
      <c r="FT91" s="27"/>
      <c r="FU91" s="27"/>
      <c r="FV91" s="27"/>
      <c r="FW91" s="27"/>
      <c r="FX91" s="27"/>
      <c r="FY91" s="27"/>
      <c r="FZ91" s="27"/>
      <c r="GA91" s="27"/>
      <c r="GB91" s="27"/>
      <c r="GC91" s="27"/>
      <c r="GD91" s="27"/>
      <c r="GE91" s="27"/>
      <c r="GF91" s="27"/>
      <c r="GG91" s="27"/>
      <c r="GH91" s="27"/>
      <c r="GI91" s="27"/>
      <c r="GJ91" s="27"/>
      <c r="GK91" s="27"/>
      <c r="GL91" s="27"/>
      <c r="GM91" s="27"/>
      <c r="GN91" s="27"/>
      <c r="GO91" s="27"/>
      <c r="GP91" s="27"/>
      <c r="GQ91" s="27"/>
      <c r="GR91" s="27"/>
      <c r="GS91" s="27"/>
      <c r="GT91" s="27"/>
      <c r="GU91" s="27"/>
      <c r="GV91" s="27"/>
      <c r="GW91" s="27"/>
      <c r="GX91" s="27"/>
      <c r="GY91" s="27"/>
      <c r="GZ91" s="27"/>
      <c r="HA91" s="27"/>
      <c r="HB91" s="27"/>
      <c r="HC91" s="27"/>
      <c r="HD91" s="27"/>
      <c r="HE91" s="27"/>
      <c r="HF91" s="27"/>
      <c r="HG91" s="27"/>
      <c r="HH91" s="27"/>
      <c r="HI91" s="27"/>
      <c r="HJ91" s="27"/>
      <c r="HK91" s="27"/>
      <c r="HL91" s="27"/>
      <c r="HM91" s="27"/>
      <c r="HN91" s="27"/>
      <c r="HO91" s="27"/>
      <c r="HP91" s="27"/>
      <c r="HQ91" s="27"/>
      <c r="HR91" s="27"/>
      <c r="HS91" s="27"/>
      <c r="HT91" s="27"/>
      <c r="HU91" s="27"/>
      <c r="HV91" s="27"/>
      <c r="HW91" s="27"/>
      <c r="HX91" s="27"/>
      <c r="HY91" s="27"/>
      <c r="HZ91" s="27"/>
      <c r="IA91" s="27"/>
      <c r="IB91" s="27"/>
      <c r="IC91" s="27"/>
      <c r="ID91" s="27"/>
      <c r="IE91" s="27"/>
    </row>
    <row r="92" s="55" customFormat="true" ht="14.25" hidden="false" customHeight="false" outlineLevel="0" collapsed="false">
      <c r="A92" s="50"/>
      <c r="B92" s="68" t="n">
        <f aca="false">B91+1</f>
        <v>45471</v>
      </c>
      <c r="C92" s="50" t="s">
        <v>82</v>
      </c>
      <c r="D92" s="50"/>
      <c r="E92" s="50" t="n">
        <v>36</v>
      </c>
      <c r="F92" s="51"/>
      <c r="G92" s="61"/>
      <c r="H92" s="61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  <c r="FS92" s="27"/>
      <c r="FT92" s="27"/>
      <c r="FU92" s="27"/>
      <c r="FV92" s="27"/>
      <c r="FW92" s="27"/>
      <c r="FX92" s="27"/>
      <c r="FY92" s="27"/>
      <c r="FZ92" s="27"/>
      <c r="GA92" s="27"/>
      <c r="GB92" s="27"/>
      <c r="GC92" s="27"/>
      <c r="GD92" s="27"/>
      <c r="GE92" s="27"/>
      <c r="GF92" s="27"/>
      <c r="GG92" s="27"/>
      <c r="GH92" s="27"/>
      <c r="GI92" s="27"/>
      <c r="GJ92" s="27"/>
      <c r="GK92" s="27"/>
      <c r="GL92" s="27"/>
      <c r="GM92" s="27"/>
      <c r="GN92" s="27"/>
      <c r="GO92" s="27"/>
      <c r="GP92" s="27"/>
      <c r="GQ92" s="27"/>
      <c r="GR92" s="27"/>
      <c r="GS92" s="27"/>
      <c r="GT92" s="27"/>
      <c r="GU92" s="27"/>
      <c r="GV92" s="27"/>
      <c r="GW92" s="27"/>
      <c r="GX92" s="27"/>
      <c r="GY92" s="27"/>
      <c r="GZ92" s="27"/>
      <c r="HA92" s="27"/>
      <c r="HB92" s="27"/>
      <c r="HC92" s="27"/>
      <c r="HD92" s="27"/>
      <c r="HE92" s="27"/>
      <c r="HF92" s="27"/>
      <c r="HG92" s="27"/>
      <c r="HH92" s="27"/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</row>
    <row r="93" customFormat="false" ht="14.25" hidden="false" customHeight="false" outlineLevel="0" collapsed="false">
      <c r="A93" s="43"/>
      <c r="B93" s="70" t="n">
        <f aca="false">B92+1</f>
        <v>45472</v>
      </c>
      <c r="C93" s="43" t="s">
        <v>78</v>
      </c>
      <c r="D93" s="43"/>
      <c r="E93" s="43" t="n">
        <v>37</v>
      </c>
      <c r="F93" s="44"/>
      <c r="G93" s="75"/>
      <c r="H93" s="75"/>
    </row>
    <row r="94" customFormat="false" ht="14.25" hidden="false" customHeight="false" outlineLevel="0" collapsed="false">
      <c r="A94" s="43"/>
      <c r="B94" s="70" t="n">
        <f aca="false">B93+1</f>
        <v>45473</v>
      </c>
      <c r="C94" s="43" t="s">
        <v>57</v>
      </c>
      <c r="D94" s="43"/>
      <c r="E94" s="43" t="n">
        <v>38</v>
      </c>
      <c r="F94" s="44"/>
      <c r="G94" s="75"/>
      <c r="H94" s="75"/>
    </row>
    <row r="95" s="56" customFormat="true" ht="14.25" hidden="false" customHeight="false" outlineLevel="0" collapsed="false">
      <c r="A95" s="50"/>
      <c r="B95" s="68" t="n">
        <f aca="false">B94+1</f>
        <v>45474</v>
      </c>
      <c r="C95" s="50" t="s">
        <v>79</v>
      </c>
      <c r="D95" s="50"/>
      <c r="E95" s="50" t="n">
        <v>39</v>
      </c>
      <c r="F95" s="51"/>
      <c r="G95" s="61"/>
      <c r="H95" s="61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</row>
    <row r="96" customFormat="false" ht="14.25" hidden="false" customHeight="false" outlineLevel="0" collapsed="false">
      <c r="A96" s="50"/>
      <c r="B96" s="68" t="n">
        <f aca="false">B95+1</f>
        <v>45475</v>
      </c>
      <c r="C96" s="50" t="s">
        <v>80</v>
      </c>
      <c r="D96" s="50"/>
      <c r="E96" s="50" t="n">
        <v>40</v>
      </c>
      <c r="F96" s="51"/>
      <c r="G96" s="61"/>
      <c r="H96" s="61"/>
    </row>
    <row r="97" s="55" customFormat="true" ht="14.25" hidden="false" customHeight="false" outlineLevel="0" collapsed="false">
      <c r="A97" s="53"/>
      <c r="B97" s="71" t="n">
        <f aca="false">B96+1</f>
        <v>45476</v>
      </c>
      <c r="C97" s="53" t="s">
        <v>80</v>
      </c>
      <c r="D97" s="53"/>
      <c r="E97" s="53" t="n">
        <v>41</v>
      </c>
      <c r="F97" s="54"/>
      <c r="G97" s="54"/>
      <c r="H97" s="54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</row>
    <row r="98" s="55" customFormat="true" ht="14.25" hidden="false" customHeight="false" outlineLevel="0" collapsed="false">
      <c r="A98" s="73"/>
      <c r="B98" s="69" t="n">
        <f aca="false">B97+1</f>
        <v>45477</v>
      </c>
      <c r="C98" s="47" t="s">
        <v>81</v>
      </c>
      <c r="D98" s="47"/>
      <c r="E98" s="47" t="n">
        <v>42</v>
      </c>
      <c r="F98" s="77"/>
      <c r="G98" s="77"/>
      <c r="H98" s="7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</row>
    <row r="99" s="55" customFormat="true" ht="14.25" hidden="false" customHeight="false" outlineLevel="0" collapsed="false">
      <c r="A99" s="73"/>
      <c r="B99" s="69" t="n">
        <f aca="false">B98+1</f>
        <v>45478</v>
      </c>
      <c r="C99" s="47" t="s">
        <v>82</v>
      </c>
      <c r="D99" s="47"/>
      <c r="E99" s="47" t="n">
        <v>43</v>
      </c>
      <c r="F99" s="77"/>
      <c r="G99" s="77"/>
      <c r="H99" s="7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</row>
    <row r="100" customFormat="false" ht="14.25" hidden="false" customHeight="false" outlineLevel="0" collapsed="false">
      <c r="A100" s="43"/>
      <c r="B100" s="70" t="n">
        <f aca="false">B99+1</f>
        <v>45479</v>
      </c>
      <c r="C100" s="43" t="s">
        <v>78</v>
      </c>
      <c r="D100" s="43"/>
      <c r="E100" s="43" t="n">
        <v>44</v>
      </c>
      <c r="F100" s="44"/>
      <c r="G100" s="75"/>
      <c r="H100" s="75"/>
    </row>
    <row r="101" customFormat="false" ht="14.25" hidden="false" customHeight="false" outlineLevel="0" collapsed="false">
      <c r="A101" s="43"/>
      <c r="B101" s="70" t="n">
        <f aca="false">B100+1</f>
        <v>45480</v>
      </c>
      <c r="C101" s="43" t="s">
        <v>57</v>
      </c>
      <c r="D101" s="43"/>
      <c r="E101" s="43" t="n">
        <v>45</v>
      </c>
      <c r="F101" s="44"/>
      <c r="G101" s="75"/>
      <c r="H101" s="75"/>
    </row>
    <row r="102" s="56" customFormat="true" ht="14.25" hidden="false" customHeight="false" outlineLevel="0" collapsed="false">
      <c r="A102" s="50"/>
      <c r="B102" s="68" t="n">
        <f aca="false">B101+1</f>
        <v>45481</v>
      </c>
      <c r="C102" s="50" t="s">
        <v>79</v>
      </c>
      <c r="D102" s="50"/>
      <c r="E102" s="50" t="n">
        <v>46</v>
      </c>
      <c r="F102" s="51"/>
      <c r="G102" s="61"/>
      <c r="H102" s="61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  <c r="FS102" s="27"/>
      <c r="FT102" s="27"/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  <c r="GF102" s="27"/>
      <c r="GG102" s="27"/>
      <c r="GH102" s="27"/>
      <c r="GI102" s="27"/>
      <c r="GJ102" s="27"/>
      <c r="GK102" s="27"/>
      <c r="GL102" s="27"/>
      <c r="GM102" s="27"/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  <c r="HJ102" s="27"/>
      <c r="HK102" s="27"/>
      <c r="HL102" s="27"/>
      <c r="HM102" s="27"/>
      <c r="HN102" s="27"/>
      <c r="HO102" s="27"/>
      <c r="HP102" s="27"/>
      <c r="HQ102" s="27"/>
      <c r="HR102" s="27"/>
      <c r="HS102" s="27"/>
      <c r="HT102" s="27"/>
      <c r="HU102" s="27"/>
      <c r="HV102" s="27"/>
      <c r="HW102" s="27"/>
      <c r="HX102" s="27"/>
      <c r="HY102" s="27"/>
      <c r="HZ102" s="27"/>
      <c r="IA102" s="27"/>
      <c r="IB102" s="27"/>
      <c r="IC102" s="27"/>
      <c r="ID102" s="27"/>
      <c r="IE102" s="27"/>
    </row>
    <row r="103" customFormat="false" ht="14.25" hidden="false" customHeight="false" outlineLevel="0" collapsed="false">
      <c r="A103" s="50"/>
      <c r="B103" s="68" t="n">
        <f aca="false">B102+1</f>
        <v>45482</v>
      </c>
      <c r="C103" s="50" t="s">
        <v>80</v>
      </c>
      <c r="D103" s="50"/>
      <c r="E103" s="50" t="n">
        <v>47</v>
      </c>
      <c r="F103" s="51"/>
      <c r="G103" s="61"/>
      <c r="H103" s="61"/>
    </row>
    <row r="104" customFormat="false" ht="14.25" hidden="false" customHeight="false" outlineLevel="0" collapsed="false">
      <c r="A104" s="53"/>
      <c r="B104" s="71" t="n">
        <f aca="false">B103+1</f>
        <v>45483</v>
      </c>
      <c r="C104" s="53" t="s">
        <v>80</v>
      </c>
      <c r="D104" s="53"/>
      <c r="E104" s="53" t="n">
        <v>48</v>
      </c>
      <c r="F104" s="54"/>
      <c r="G104" s="54"/>
      <c r="H104" s="54"/>
    </row>
    <row r="105" customFormat="false" ht="14.25" hidden="false" customHeight="false" outlineLevel="0" collapsed="false">
      <c r="A105" s="50"/>
      <c r="B105" s="68" t="n">
        <f aca="false">B104+1</f>
        <v>45484</v>
      </c>
      <c r="C105" s="50" t="s">
        <v>81</v>
      </c>
      <c r="D105" s="50"/>
      <c r="E105" s="50" t="n">
        <v>49</v>
      </c>
      <c r="F105" s="51"/>
      <c r="G105" s="61"/>
      <c r="H105" s="61"/>
    </row>
    <row r="106" customFormat="false" ht="14.25" hidden="false" customHeight="false" outlineLevel="0" collapsed="false">
      <c r="A106" s="50"/>
      <c r="B106" s="68" t="n">
        <f aca="false">B105+1</f>
        <v>45485</v>
      </c>
      <c r="C106" s="50" t="s">
        <v>82</v>
      </c>
      <c r="D106" s="50"/>
      <c r="E106" s="50" t="n">
        <v>50</v>
      </c>
      <c r="F106" s="51"/>
      <c r="G106" s="61"/>
      <c r="H106" s="61"/>
    </row>
    <row r="107" customFormat="false" ht="14.25" hidden="false" customHeight="false" outlineLevel="0" collapsed="false">
      <c r="A107" s="43"/>
      <c r="B107" s="70" t="n">
        <f aca="false">B106+1</f>
        <v>45486</v>
      </c>
      <c r="C107" s="43" t="s">
        <v>78</v>
      </c>
      <c r="D107" s="43"/>
      <c r="E107" s="43" t="n">
        <v>51</v>
      </c>
      <c r="F107" s="44"/>
      <c r="G107" s="45"/>
      <c r="H107" s="45"/>
    </row>
    <row r="108" customFormat="false" ht="14.25" hidden="false" customHeight="false" outlineLevel="0" collapsed="false">
      <c r="A108" s="43"/>
      <c r="B108" s="70" t="n">
        <f aca="false">B107+1</f>
        <v>45487</v>
      </c>
      <c r="C108" s="43" t="s">
        <v>57</v>
      </c>
      <c r="D108" s="43"/>
      <c r="E108" s="43" t="n">
        <v>52</v>
      </c>
      <c r="F108" s="44"/>
      <c r="G108" s="45"/>
      <c r="H108" s="45"/>
    </row>
    <row r="109" customFormat="false" ht="14.25" hidden="false" customHeight="false" outlineLevel="0" collapsed="false">
      <c r="A109" s="50"/>
      <c r="B109" s="68" t="n">
        <f aca="false">B108+1</f>
        <v>45488</v>
      </c>
      <c r="C109" s="50" t="s">
        <v>79</v>
      </c>
      <c r="D109" s="50"/>
      <c r="E109" s="50" t="n">
        <v>53</v>
      </c>
      <c r="F109" s="51"/>
      <c r="G109" s="61"/>
      <c r="H109" s="61"/>
    </row>
    <row r="110" customFormat="false" ht="14.25" hidden="false" customHeight="false" outlineLevel="0" collapsed="false">
      <c r="A110" s="50"/>
      <c r="B110" s="68" t="n">
        <f aca="false">B109+1</f>
        <v>45489</v>
      </c>
      <c r="C110" s="50" t="s">
        <v>80</v>
      </c>
      <c r="D110" s="50"/>
      <c r="E110" s="50" t="n">
        <v>54</v>
      </c>
      <c r="F110" s="51"/>
      <c r="G110" s="61"/>
      <c r="H110" s="61"/>
    </row>
    <row r="111" customFormat="false" ht="14.25" hidden="false" customHeight="false" outlineLevel="0" collapsed="false">
      <c r="A111" s="53"/>
      <c r="B111" s="71" t="n">
        <f aca="false">B110+1</f>
        <v>45490</v>
      </c>
      <c r="C111" s="53" t="s">
        <v>80</v>
      </c>
      <c r="D111" s="53"/>
      <c r="E111" s="53" t="n">
        <v>55</v>
      </c>
      <c r="F111" s="54"/>
      <c r="G111" s="60"/>
      <c r="H111" s="60"/>
    </row>
    <row r="112" customFormat="false" ht="14.25" hidden="false" customHeight="false" outlineLevel="0" collapsed="false">
      <c r="A112" s="50"/>
      <c r="B112" s="68" t="n">
        <f aca="false">B111+1</f>
        <v>45491</v>
      </c>
      <c r="C112" s="50" t="s">
        <v>81</v>
      </c>
      <c r="D112" s="50"/>
      <c r="E112" s="50" t="n">
        <v>56</v>
      </c>
      <c r="F112" s="51"/>
      <c r="G112" s="61"/>
      <c r="H112" s="61"/>
    </row>
    <row r="113" customFormat="false" ht="14.25" hidden="false" customHeight="false" outlineLevel="0" collapsed="false">
      <c r="A113" s="50"/>
      <c r="B113" s="68" t="n">
        <f aca="false">B112+1</f>
        <v>45492</v>
      </c>
      <c r="C113" s="50" t="s">
        <v>82</v>
      </c>
      <c r="D113" s="50"/>
      <c r="E113" s="50" t="n">
        <v>57</v>
      </c>
      <c r="F113" s="51"/>
      <c r="G113" s="61"/>
      <c r="H113" s="61"/>
    </row>
    <row r="114" customFormat="false" ht="14.25" hidden="false" customHeight="false" outlineLevel="0" collapsed="false">
      <c r="A114" s="43"/>
      <c r="B114" s="70" t="n">
        <f aca="false">B113+1</f>
        <v>45493</v>
      </c>
      <c r="C114" s="43" t="s">
        <v>78</v>
      </c>
      <c r="D114" s="43"/>
      <c r="E114" s="43" t="n">
        <v>58</v>
      </c>
      <c r="F114" s="44"/>
      <c r="G114" s="45"/>
      <c r="H114" s="45"/>
    </row>
    <row r="115" customFormat="false" ht="14.25" hidden="false" customHeight="false" outlineLevel="0" collapsed="false">
      <c r="A115" s="43"/>
      <c r="B115" s="70" t="n">
        <f aca="false">B114+1</f>
        <v>45494</v>
      </c>
      <c r="C115" s="43" t="s">
        <v>57</v>
      </c>
      <c r="D115" s="43"/>
      <c r="E115" s="43" t="n">
        <v>59</v>
      </c>
      <c r="F115" s="44"/>
      <c r="G115" s="45"/>
      <c r="H115" s="45"/>
    </row>
    <row r="116" customFormat="false" ht="28.35" hidden="false" customHeight="false" outlineLevel="0" collapsed="false">
      <c r="A116" s="50"/>
      <c r="B116" s="68" t="n">
        <f aca="false">B115+1</f>
        <v>45495</v>
      </c>
      <c r="C116" s="50" t="s">
        <v>79</v>
      </c>
      <c r="D116" s="50"/>
      <c r="E116" s="50" t="n">
        <v>60</v>
      </c>
      <c r="F116" s="58" t="s">
        <v>90</v>
      </c>
      <c r="G116" s="61"/>
      <c r="H116" s="61"/>
    </row>
    <row r="117" customFormat="false" ht="14.25" hidden="false" customHeight="false" outlineLevel="0" collapsed="false">
      <c r="A117" s="50"/>
      <c r="B117" s="68" t="n">
        <f aca="false">B116+1</f>
        <v>45496</v>
      </c>
      <c r="C117" s="50" t="s">
        <v>80</v>
      </c>
      <c r="D117" s="50"/>
      <c r="E117" s="50"/>
      <c r="F117" s="51"/>
      <c r="G117" s="61"/>
      <c r="H117" s="61"/>
    </row>
    <row r="118" customFormat="false" ht="14.25" hidden="false" customHeight="false" outlineLevel="0" collapsed="false">
      <c r="A118" s="53"/>
      <c r="B118" s="71" t="n">
        <f aca="false">B117+1</f>
        <v>45497</v>
      </c>
      <c r="C118" s="53" t="s">
        <v>80</v>
      </c>
      <c r="D118" s="53"/>
      <c r="E118" s="53"/>
      <c r="F118" s="54"/>
      <c r="G118" s="60"/>
      <c r="H118" s="60"/>
    </row>
    <row r="119" customFormat="false" ht="14.25" hidden="false" customHeight="false" outlineLevel="0" collapsed="false">
      <c r="A119" s="50"/>
      <c r="B119" s="68" t="n">
        <f aca="false">B118+1</f>
        <v>45498</v>
      </c>
      <c r="C119" s="50" t="s">
        <v>81</v>
      </c>
      <c r="D119" s="50"/>
      <c r="E119" s="50"/>
      <c r="F119" s="51"/>
      <c r="G119" s="61"/>
      <c r="H119" s="61"/>
    </row>
    <row r="120" customFormat="false" ht="14.25" hidden="false" customHeight="false" outlineLevel="0" collapsed="false">
      <c r="A120" s="50"/>
      <c r="B120" s="68" t="n">
        <f aca="false">B119+1</f>
        <v>45499</v>
      </c>
      <c r="C120" s="50" t="s">
        <v>82</v>
      </c>
      <c r="D120" s="50"/>
      <c r="E120" s="50"/>
      <c r="F120" s="51"/>
      <c r="G120" s="61"/>
      <c r="H120" s="61"/>
    </row>
    <row r="121" customFormat="false" ht="14.25" hidden="false" customHeight="false" outlineLevel="0" collapsed="false">
      <c r="A121" s="43"/>
      <c r="B121" s="70" t="n">
        <f aca="false">B120+1</f>
        <v>45500</v>
      </c>
      <c r="C121" s="43" t="s">
        <v>78</v>
      </c>
      <c r="D121" s="43"/>
      <c r="E121" s="43"/>
      <c r="F121" s="44"/>
      <c r="G121" s="45"/>
      <c r="H121" s="45"/>
    </row>
    <row r="122" customFormat="false" ht="14.25" hidden="false" customHeight="false" outlineLevel="0" collapsed="false">
      <c r="A122" s="43"/>
      <c r="B122" s="70" t="n">
        <f aca="false">B121+1</f>
        <v>45501</v>
      </c>
      <c r="C122" s="43" t="s">
        <v>57</v>
      </c>
      <c r="D122" s="43"/>
      <c r="E122" s="43"/>
      <c r="F122" s="44"/>
      <c r="G122" s="45"/>
      <c r="H122" s="45"/>
    </row>
    <row r="123" customFormat="false" ht="14.25" hidden="false" customHeight="false" outlineLevel="0" collapsed="false">
      <c r="A123" s="50"/>
      <c r="B123" s="68" t="n">
        <f aca="false">B122+1</f>
        <v>45502</v>
      </c>
      <c r="C123" s="50" t="s">
        <v>79</v>
      </c>
      <c r="D123" s="50"/>
      <c r="E123" s="50"/>
      <c r="F123" s="51"/>
      <c r="G123" s="61"/>
      <c r="H123" s="61"/>
    </row>
    <row r="124" customFormat="false" ht="14.25" hidden="false" customHeight="false" outlineLevel="0" collapsed="false">
      <c r="A124" s="50"/>
      <c r="B124" s="68" t="n">
        <f aca="false">B123+1</f>
        <v>45503</v>
      </c>
      <c r="C124" s="50" t="s">
        <v>80</v>
      </c>
      <c r="D124" s="50"/>
      <c r="E124" s="50"/>
      <c r="F124" s="51"/>
      <c r="G124" s="61"/>
      <c r="H124" s="61"/>
    </row>
    <row r="125" customFormat="false" ht="14.25" hidden="false" customHeight="false" outlineLevel="0" collapsed="false">
      <c r="A125" s="53"/>
      <c r="B125" s="71" t="n">
        <f aca="false">B124+1</f>
        <v>45504</v>
      </c>
      <c r="C125" s="53" t="s">
        <v>80</v>
      </c>
      <c r="D125" s="53"/>
      <c r="E125" s="53"/>
      <c r="F125" s="54"/>
      <c r="G125" s="60"/>
      <c r="H125" s="60"/>
    </row>
    <row r="126" customFormat="false" ht="14.25" hidden="false" customHeight="false" outlineLevel="0" collapsed="false">
      <c r="A126" s="50"/>
      <c r="B126" s="68" t="n">
        <f aca="false">B125+1</f>
        <v>45505</v>
      </c>
      <c r="C126" s="50" t="s">
        <v>81</v>
      </c>
      <c r="D126" s="50"/>
      <c r="E126" s="50"/>
      <c r="F126" s="51"/>
      <c r="G126" s="61"/>
      <c r="H126" s="61"/>
    </row>
    <row r="127" customFormat="false" ht="14.25" hidden="false" customHeight="false" outlineLevel="0" collapsed="false">
      <c r="A127" s="50"/>
      <c r="B127" s="68" t="n">
        <f aca="false">B126+1</f>
        <v>45506</v>
      </c>
      <c r="C127" s="50" t="s">
        <v>82</v>
      </c>
      <c r="D127" s="50"/>
      <c r="E127" s="50"/>
      <c r="F127" s="51"/>
      <c r="G127" s="61"/>
      <c r="H127" s="61"/>
    </row>
    <row r="128" customFormat="false" ht="14.25" hidden="false" customHeight="false" outlineLevel="0" collapsed="false">
      <c r="A128" s="43"/>
      <c r="B128" s="70" t="n">
        <f aca="false">B127+1</f>
        <v>45507</v>
      </c>
      <c r="C128" s="43" t="s">
        <v>78</v>
      </c>
      <c r="D128" s="43"/>
      <c r="E128" s="43"/>
      <c r="F128" s="44"/>
      <c r="G128" s="45"/>
      <c r="H128" s="45"/>
    </row>
    <row r="129" customFormat="false" ht="14.25" hidden="false" customHeight="false" outlineLevel="0" collapsed="false">
      <c r="A129" s="43"/>
      <c r="B129" s="70" t="n">
        <f aca="false">B128+1</f>
        <v>45508</v>
      </c>
      <c r="C129" s="43" t="s">
        <v>57</v>
      </c>
      <c r="D129" s="43"/>
      <c r="E129" s="43"/>
      <c r="F129" s="44"/>
      <c r="G129" s="45"/>
      <c r="H129" s="45"/>
    </row>
    <row r="130" customFormat="false" ht="14.25" hidden="false" customHeight="false" outlineLevel="0" collapsed="false">
      <c r="A130" s="50"/>
      <c r="B130" s="68" t="n">
        <f aca="false">B129+1</f>
        <v>45509</v>
      </c>
      <c r="C130" s="50" t="s">
        <v>79</v>
      </c>
      <c r="D130" s="50"/>
      <c r="E130" s="50"/>
      <c r="F130" s="51"/>
      <c r="G130" s="61"/>
      <c r="H130" s="61"/>
    </row>
    <row r="131" customFormat="false" ht="14.25" hidden="false" customHeight="false" outlineLevel="0" collapsed="false">
      <c r="A131" s="50"/>
      <c r="B131" s="68" t="n">
        <f aca="false">B130+1</f>
        <v>45510</v>
      </c>
      <c r="C131" s="50" t="s">
        <v>80</v>
      </c>
      <c r="D131" s="50"/>
      <c r="E131" s="50"/>
      <c r="F131" s="51"/>
      <c r="G131" s="61"/>
      <c r="H131" s="61"/>
    </row>
    <row r="132" customFormat="false" ht="14.25" hidden="false" customHeight="false" outlineLevel="0" collapsed="false">
      <c r="A132" s="53"/>
      <c r="B132" s="71" t="n">
        <f aca="false">B131+1</f>
        <v>45511</v>
      </c>
      <c r="C132" s="53" t="s">
        <v>80</v>
      </c>
      <c r="D132" s="53"/>
      <c r="E132" s="53"/>
      <c r="F132" s="54"/>
      <c r="G132" s="60"/>
      <c r="H132" s="60"/>
    </row>
    <row r="133" customFormat="false" ht="14.25" hidden="false" customHeight="false" outlineLevel="0" collapsed="false">
      <c r="A133" s="50"/>
      <c r="B133" s="68" t="n">
        <f aca="false">B132+1</f>
        <v>45512</v>
      </c>
      <c r="C133" s="50" t="s">
        <v>81</v>
      </c>
      <c r="D133" s="50"/>
      <c r="E133" s="50"/>
      <c r="F133" s="51"/>
      <c r="G133" s="61"/>
      <c r="H133" s="61"/>
    </row>
    <row r="134" customFormat="false" ht="14.25" hidden="false" customHeight="false" outlineLevel="0" collapsed="false">
      <c r="A134" s="50"/>
      <c r="B134" s="68" t="n">
        <f aca="false">B133+1</f>
        <v>45513</v>
      </c>
      <c r="C134" s="50" t="s">
        <v>82</v>
      </c>
      <c r="D134" s="50"/>
      <c r="E134" s="50"/>
      <c r="F134" s="51"/>
      <c r="G134" s="61"/>
      <c r="H134" s="61"/>
    </row>
    <row r="135" customFormat="false" ht="14.25" hidden="false" customHeight="false" outlineLevel="0" collapsed="false">
      <c r="B135" s="32"/>
    </row>
    <row r="136" customFormat="false" ht="14.25" hidden="false" customHeight="false" outlineLevel="0" collapsed="false">
      <c r="B136" s="32"/>
    </row>
    <row r="137" customFormat="false" ht="14.25" hidden="false" customHeight="false" outlineLevel="0" collapsed="false">
      <c r="B137" s="32"/>
    </row>
    <row r="138" customFormat="false" ht="14.25" hidden="false" customHeight="false" outlineLevel="0" collapsed="false">
      <c r="B138" s="32"/>
    </row>
    <row r="139" customFormat="false" ht="14.25" hidden="false" customHeight="false" outlineLevel="0" collapsed="false">
      <c r="B139" s="32"/>
    </row>
    <row r="140" customFormat="false" ht="14.25" hidden="false" customHeight="false" outlineLevel="0" collapsed="false">
      <c r="B140" s="32"/>
    </row>
    <row r="141" customFormat="false" ht="14.25" hidden="false" customHeight="false" outlineLevel="0" collapsed="false">
      <c r="B141" s="32"/>
    </row>
    <row r="142" customFormat="false" ht="14.25" hidden="false" customHeight="false" outlineLevel="0" collapsed="false">
      <c r="B142" s="32"/>
    </row>
    <row r="143" customFormat="false" ht="14.25" hidden="false" customHeight="false" outlineLevel="0" collapsed="false">
      <c r="B143" s="32"/>
    </row>
    <row r="144" customFormat="false" ht="14.25" hidden="false" customHeight="false" outlineLevel="0" collapsed="false">
      <c r="B144" s="32"/>
    </row>
    <row r="145" customFormat="false" ht="14.25" hidden="false" customHeight="false" outlineLevel="0" collapsed="false">
      <c r="B145" s="32"/>
    </row>
    <row r="146" customFormat="false" ht="14.25" hidden="false" customHeight="false" outlineLevel="0" collapsed="false">
      <c r="B146" s="32"/>
    </row>
    <row r="147" customFormat="false" ht="14.25" hidden="false" customHeight="false" outlineLevel="0" collapsed="false">
      <c r="B147" s="32"/>
    </row>
    <row r="148" customFormat="false" ht="14.25" hidden="false" customHeight="false" outlineLevel="0" collapsed="false">
      <c r="B148" s="32"/>
    </row>
    <row r="149" customFormat="false" ht="14.25" hidden="false" customHeight="false" outlineLevel="0" collapsed="false">
      <c r="B149" s="32"/>
    </row>
    <row r="150" customFormat="false" ht="14.25" hidden="false" customHeight="false" outlineLevel="0" collapsed="false">
      <c r="B150" s="32"/>
    </row>
    <row r="151" customFormat="false" ht="14.25" hidden="false" customHeight="false" outlineLevel="0" collapsed="false">
      <c r="B151" s="32"/>
    </row>
    <row r="152" customFormat="false" ht="14.25" hidden="false" customHeight="false" outlineLevel="0" collapsed="false">
      <c r="B152" s="32"/>
    </row>
    <row r="153" customFormat="false" ht="14.25" hidden="false" customHeight="false" outlineLevel="0" collapsed="false">
      <c r="B153" s="32"/>
    </row>
    <row r="154" customFormat="false" ht="14.25" hidden="false" customHeight="false" outlineLevel="0" collapsed="false">
      <c r="B154" s="32"/>
    </row>
    <row r="155" customFormat="false" ht="14.25" hidden="false" customHeight="false" outlineLevel="0" collapsed="false">
      <c r="B155" s="32"/>
    </row>
    <row r="156" customFormat="false" ht="14.25" hidden="false" customHeight="false" outlineLevel="0" collapsed="false">
      <c r="B156" s="32"/>
    </row>
    <row r="157" customFormat="false" ht="14.25" hidden="false" customHeight="false" outlineLevel="0" collapsed="false">
      <c r="B157" s="32"/>
    </row>
    <row r="158" customFormat="false" ht="14.25" hidden="false" customHeight="false" outlineLevel="0" collapsed="false">
      <c r="B158" s="32"/>
    </row>
    <row r="159" customFormat="false" ht="14.25" hidden="false" customHeight="false" outlineLevel="0" collapsed="false">
      <c r="B159" s="32"/>
    </row>
    <row r="160" customFormat="false" ht="14.25" hidden="false" customHeight="false" outlineLevel="0" collapsed="false">
      <c r="B160" s="32"/>
    </row>
    <row r="161" customFormat="false" ht="14.25" hidden="false" customHeight="false" outlineLevel="0" collapsed="false">
      <c r="B161" s="32"/>
    </row>
    <row r="162" customFormat="false" ht="14.25" hidden="false" customHeight="false" outlineLevel="0" collapsed="false">
      <c r="B162" s="32"/>
    </row>
    <row r="163" customFormat="false" ht="14.25" hidden="false" customHeight="false" outlineLevel="0" collapsed="false">
      <c r="B163" s="32"/>
    </row>
    <row r="164" customFormat="false" ht="14.25" hidden="false" customHeight="false" outlineLevel="0" collapsed="false">
      <c r="B164" s="32"/>
    </row>
    <row r="165" customFormat="false" ht="14.25" hidden="false" customHeight="false" outlineLevel="0" collapsed="false">
      <c r="B165" s="32"/>
    </row>
    <row r="166" customFormat="false" ht="14.25" hidden="false" customHeight="false" outlineLevel="0" collapsed="false">
      <c r="B166" s="32"/>
    </row>
    <row r="167" customFormat="false" ht="14.25" hidden="false" customHeight="false" outlineLevel="0" collapsed="false">
      <c r="B167" s="32"/>
    </row>
    <row r="168" customFormat="false" ht="14.25" hidden="false" customHeight="false" outlineLevel="0" collapsed="false">
      <c r="B168" s="32"/>
    </row>
    <row r="169" customFormat="false" ht="14.25" hidden="false" customHeight="false" outlineLevel="0" collapsed="false">
      <c r="B169" s="32"/>
    </row>
    <row r="170" customFormat="false" ht="14.25" hidden="false" customHeight="false" outlineLevel="0" collapsed="false">
      <c r="B170" s="32"/>
    </row>
    <row r="171" customFormat="false" ht="14.25" hidden="false" customHeight="false" outlineLevel="0" collapsed="false">
      <c r="B171" s="32"/>
    </row>
    <row r="172" customFormat="false" ht="14.25" hidden="false" customHeight="false" outlineLevel="0" collapsed="false">
      <c r="B172" s="32"/>
    </row>
    <row r="173" customFormat="false" ht="14.25" hidden="false" customHeight="false" outlineLevel="0" collapsed="false">
      <c r="B173" s="32"/>
    </row>
    <row r="174" customFormat="false" ht="14.25" hidden="false" customHeight="false" outlineLevel="0" collapsed="false">
      <c r="B174" s="32"/>
    </row>
    <row r="175" customFormat="false" ht="14.25" hidden="false" customHeight="false" outlineLevel="0" collapsed="false">
      <c r="B175" s="32"/>
    </row>
    <row r="176" customFormat="false" ht="14.25" hidden="false" customHeight="false" outlineLevel="0" collapsed="false">
      <c r="B176" s="32"/>
    </row>
    <row r="177" customFormat="false" ht="14.25" hidden="false" customHeight="false" outlineLevel="0" collapsed="false">
      <c r="B177" s="32"/>
    </row>
    <row r="178" customFormat="false" ht="14.25" hidden="false" customHeight="false" outlineLevel="0" collapsed="false">
      <c r="B178" s="32"/>
    </row>
    <row r="179" customFormat="false" ht="14.25" hidden="false" customHeight="false" outlineLevel="0" collapsed="false">
      <c r="B179" s="32"/>
    </row>
    <row r="180" customFormat="false" ht="14.25" hidden="false" customHeight="false" outlineLevel="0" collapsed="false">
      <c r="B180" s="32"/>
    </row>
    <row r="181" customFormat="false" ht="14.25" hidden="false" customHeight="false" outlineLevel="0" collapsed="false">
      <c r="B181" s="32"/>
    </row>
    <row r="182" customFormat="false" ht="14.25" hidden="false" customHeight="false" outlineLevel="0" collapsed="false">
      <c r="B182" s="32"/>
    </row>
    <row r="183" customFormat="false" ht="14.25" hidden="false" customHeight="false" outlineLevel="0" collapsed="false">
      <c r="B183" s="32"/>
    </row>
    <row r="184" customFormat="false" ht="14.25" hidden="false" customHeight="false" outlineLevel="0" collapsed="false">
      <c r="B184" s="32"/>
    </row>
    <row r="185" customFormat="false" ht="14.25" hidden="false" customHeight="false" outlineLevel="0" collapsed="false">
      <c r="B185" s="32"/>
    </row>
    <row r="186" customFormat="false" ht="14.25" hidden="false" customHeight="false" outlineLevel="0" collapsed="false">
      <c r="B186" s="32"/>
    </row>
    <row r="187" customFormat="false" ht="14.25" hidden="false" customHeight="false" outlineLevel="0" collapsed="false">
      <c r="B187" s="32"/>
    </row>
    <row r="188" customFormat="false" ht="14.25" hidden="false" customHeight="false" outlineLevel="0" collapsed="false">
      <c r="B188" s="32"/>
    </row>
    <row r="189" customFormat="false" ht="14.25" hidden="false" customHeight="false" outlineLevel="0" collapsed="false">
      <c r="B189" s="32"/>
    </row>
    <row r="190" customFormat="false" ht="14.25" hidden="false" customHeight="false" outlineLevel="0" collapsed="false">
      <c r="B190" s="32"/>
    </row>
    <row r="191" customFormat="false" ht="14.25" hidden="false" customHeight="false" outlineLevel="0" collapsed="false">
      <c r="B191" s="32"/>
    </row>
    <row r="192" customFormat="false" ht="14.25" hidden="false" customHeight="false" outlineLevel="0" collapsed="false">
      <c r="B192" s="32"/>
    </row>
    <row r="193" customFormat="false" ht="14.25" hidden="false" customHeight="false" outlineLevel="0" collapsed="false">
      <c r="B193" s="32"/>
    </row>
    <row r="194" customFormat="false" ht="14.25" hidden="false" customHeight="false" outlineLevel="0" collapsed="false">
      <c r="B194" s="32"/>
    </row>
    <row r="195" customFormat="false" ht="14.25" hidden="false" customHeight="false" outlineLevel="0" collapsed="false">
      <c r="B195" s="32"/>
    </row>
    <row r="196" customFormat="false" ht="14.25" hidden="false" customHeight="false" outlineLevel="0" collapsed="false">
      <c r="B196" s="32"/>
    </row>
    <row r="197" customFormat="false" ht="14.25" hidden="false" customHeight="false" outlineLevel="0" collapsed="false">
      <c r="B197" s="32"/>
    </row>
    <row r="198" customFormat="false" ht="14.25" hidden="false" customHeight="false" outlineLevel="0" collapsed="false">
      <c r="B198" s="32"/>
    </row>
    <row r="199" customFormat="false" ht="14.25" hidden="false" customHeight="false" outlineLevel="0" collapsed="false">
      <c r="B199" s="32"/>
    </row>
    <row r="200" customFormat="false" ht="14.25" hidden="false" customHeight="false" outlineLevel="0" collapsed="false">
      <c r="B200" s="32"/>
    </row>
    <row r="201" customFormat="false" ht="14.25" hidden="false" customHeight="false" outlineLevel="0" collapsed="false">
      <c r="B201" s="32"/>
    </row>
    <row r="202" customFormat="false" ht="14.25" hidden="false" customHeight="false" outlineLevel="0" collapsed="false">
      <c r="B202" s="32"/>
    </row>
    <row r="203" customFormat="false" ht="14.25" hidden="false" customHeight="false" outlineLevel="0" collapsed="false">
      <c r="B203" s="32"/>
    </row>
    <row r="204" customFormat="false" ht="14.25" hidden="false" customHeight="false" outlineLevel="0" collapsed="false">
      <c r="B204" s="32"/>
    </row>
    <row r="205" customFormat="false" ht="14.25" hidden="false" customHeight="false" outlineLevel="0" collapsed="false">
      <c r="B205" s="32"/>
    </row>
    <row r="206" customFormat="false" ht="14.25" hidden="false" customHeight="false" outlineLevel="0" collapsed="false">
      <c r="B206" s="32"/>
    </row>
    <row r="207" customFormat="false" ht="14.25" hidden="false" customHeight="false" outlineLevel="0" collapsed="false">
      <c r="B207" s="32"/>
    </row>
    <row r="208" customFormat="false" ht="14.25" hidden="false" customHeight="false" outlineLevel="0" collapsed="false">
      <c r="B208" s="32"/>
    </row>
    <row r="209" customFormat="false" ht="14.25" hidden="false" customHeight="false" outlineLevel="0" collapsed="false">
      <c r="B209" s="32"/>
    </row>
    <row r="210" customFormat="false" ht="14.25" hidden="false" customHeight="false" outlineLevel="0" collapsed="false">
      <c r="B210" s="32"/>
    </row>
    <row r="211" customFormat="false" ht="14.25" hidden="false" customHeight="false" outlineLevel="0" collapsed="false">
      <c r="B211" s="32"/>
    </row>
    <row r="212" customFormat="false" ht="14.25" hidden="false" customHeight="false" outlineLevel="0" collapsed="false">
      <c r="B212" s="32"/>
    </row>
    <row r="213" customFormat="false" ht="14.25" hidden="false" customHeight="false" outlineLevel="0" collapsed="false">
      <c r="B213" s="32"/>
    </row>
    <row r="214" customFormat="false" ht="14.25" hidden="false" customHeight="false" outlineLevel="0" collapsed="false">
      <c r="B214" s="32"/>
    </row>
    <row r="215" customFormat="false" ht="14.25" hidden="false" customHeight="false" outlineLevel="0" collapsed="false">
      <c r="B215" s="32"/>
    </row>
    <row r="216" customFormat="false" ht="14.25" hidden="false" customHeight="false" outlineLevel="0" collapsed="false">
      <c r="B216" s="32"/>
    </row>
    <row r="217" customFormat="false" ht="14.25" hidden="false" customHeight="false" outlineLevel="0" collapsed="false">
      <c r="B217" s="32"/>
    </row>
    <row r="218" customFormat="false" ht="14.25" hidden="false" customHeight="false" outlineLevel="0" collapsed="false">
      <c r="B218" s="32"/>
    </row>
    <row r="219" customFormat="false" ht="14.25" hidden="false" customHeight="false" outlineLevel="0" collapsed="false">
      <c r="B219" s="32"/>
    </row>
    <row r="220" customFormat="false" ht="14.25" hidden="false" customHeight="false" outlineLevel="0" collapsed="false">
      <c r="B220" s="32"/>
    </row>
    <row r="221" customFormat="false" ht="14.25" hidden="false" customHeight="false" outlineLevel="0" collapsed="false">
      <c r="B221" s="32"/>
    </row>
    <row r="222" customFormat="false" ht="14.25" hidden="false" customHeight="false" outlineLevel="0" collapsed="false">
      <c r="B222" s="32"/>
    </row>
    <row r="223" customFormat="false" ht="14.25" hidden="false" customHeight="false" outlineLevel="0" collapsed="false">
      <c r="B223" s="32"/>
    </row>
    <row r="224" customFormat="false" ht="14.25" hidden="false" customHeight="false" outlineLevel="0" collapsed="false">
      <c r="B224" s="32"/>
    </row>
    <row r="225" customFormat="false" ht="14.25" hidden="false" customHeight="false" outlineLevel="0" collapsed="false">
      <c r="B225" s="32"/>
    </row>
    <row r="226" customFormat="false" ht="14.25" hidden="false" customHeight="false" outlineLevel="0" collapsed="false">
      <c r="B226" s="32"/>
    </row>
    <row r="227" customFormat="false" ht="14.25" hidden="false" customHeight="false" outlineLevel="0" collapsed="false">
      <c r="B227" s="32"/>
    </row>
    <row r="228" customFormat="false" ht="14.25" hidden="false" customHeight="false" outlineLevel="0" collapsed="false">
      <c r="B228" s="32"/>
    </row>
    <row r="229" customFormat="false" ht="14.25" hidden="false" customHeight="false" outlineLevel="0" collapsed="false">
      <c r="B229" s="32"/>
    </row>
    <row r="230" customFormat="false" ht="14.25" hidden="false" customHeight="false" outlineLevel="0" collapsed="false">
      <c r="B230" s="32"/>
    </row>
    <row r="231" customFormat="false" ht="14.25" hidden="false" customHeight="false" outlineLevel="0" collapsed="false">
      <c r="B231" s="32"/>
    </row>
    <row r="232" customFormat="false" ht="14.25" hidden="false" customHeight="false" outlineLevel="0" collapsed="false">
      <c r="B232" s="32"/>
    </row>
    <row r="233" customFormat="false" ht="14.25" hidden="false" customHeight="false" outlineLevel="0" collapsed="false">
      <c r="B233" s="32"/>
    </row>
    <row r="234" customFormat="false" ht="14.25" hidden="false" customHeight="false" outlineLevel="0" collapsed="false">
      <c r="B234" s="32"/>
    </row>
    <row r="235" customFormat="false" ht="14.25" hidden="false" customHeight="false" outlineLevel="0" collapsed="false">
      <c r="B235" s="32"/>
    </row>
    <row r="236" customFormat="false" ht="14.25" hidden="false" customHeight="false" outlineLevel="0" collapsed="false">
      <c r="B236" s="32"/>
    </row>
    <row r="237" customFormat="false" ht="14.25" hidden="false" customHeight="false" outlineLevel="0" collapsed="false">
      <c r="B237" s="32"/>
    </row>
    <row r="238" customFormat="false" ht="14.25" hidden="false" customHeight="false" outlineLevel="0" collapsed="false">
      <c r="B238" s="32"/>
    </row>
    <row r="239" customFormat="false" ht="14.25" hidden="false" customHeight="false" outlineLevel="0" collapsed="false">
      <c r="B239" s="32"/>
    </row>
    <row r="240" customFormat="false" ht="14.25" hidden="false" customHeight="false" outlineLevel="0" collapsed="false">
      <c r="B240" s="32"/>
    </row>
    <row r="241" customFormat="false" ht="14.25" hidden="false" customHeight="false" outlineLevel="0" collapsed="false">
      <c r="B241" s="32"/>
    </row>
    <row r="242" customFormat="false" ht="14.25" hidden="false" customHeight="false" outlineLevel="0" collapsed="false">
      <c r="B242" s="32"/>
    </row>
    <row r="243" customFormat="false" ht="14.25" hidden="false" customHeight="false" outlineLevel="0" collapsed="false">
      <c r="B243" s="32"/>
    </row>
    <row r="244" customFormat="false" ht="14.25" hidden="false" customHeight="false" outlineLevel="0" collapsed="false">
      <c r="B244" s="32"/>
    </row>
    <row r="245" customFormat="false" ht="14.25" hidden="false" customHeight="false" outlineLevel="0" collapsed="false">
      <c r="B245" s="32"/>
    </row>
    <row r="246" customFormat="false" ht="14.25" hidden="false" customHeight="false" outlineLevel="0" collapsed="false">
      <c r="B246" s="32"/>
    </row>
    <row r="247" customFormat="false" ht="14.25" hidden="false" customHeight="false" outlineLevel="0" collapsed="false">
      <c r="B247" s="32"/>
    </row>
    <row r="248" customFormat="false" ht="14.25" hidden="false" customHeight="false" outlineLevel="0" collapsed="false">
      <c r="B248" s="32"/>
    </row>
    <row r="249" customFormat="false" ht="14.25" hidden="false" customHeight="false" outlineLevel="0" collapsed="false">
      <c r="B249" s="32"/>
    </row>
    <row r="250" customFormat="false" ht="14.25" hidden="false" customHeight="false" outlineLevel="0" collapsed="false">
      <c r="B250" s="32"/>
    </row>
    <row r="251" customFormat="false" ht="14.25" hidden="false" customHeight="false" outlineLevel="0" collapsed="false">
      <c r="B251" s="32"/>
    </row>
    <row r="252" customFormat="false" ht="14.25" hidden="false" customHeight="false" outlineLevel="0" collapsed="false">
      <c r="B252" s="32"/>
    </row>
    <row r="253" customFormat="false" ht="14.25" hidden="false" customHeight="false" outlineLevel="0" collapsed="false">
      <c r="B253" s="32"/>
    </row>
    <row r="254" customFormat="false" ht="14.25" hidden="false" customHeight="false" outlineLevel="0" collapsed="false">
      <c r="B254" s="32"/>
    </row>
    <row r="255" customFormat="false" ht="14.25" hidden="false" customHeight="false" outlineLevel="0" collapsed="false">
      <c r="B255" s="32"/>
    </row>
    <row r="256" customFormat="false" ht="14.25" hidden="false" customHeight="false" outlineLevel="0" collapsed="false">
      <c r="B256" s="32"/>
    </row>
    <row r="257" customFormat="false" ht="14.25" hidden="false" customHeight="false" outlineLevel="0" collapsed="false">
      <c r="B257" s="32"/>
    </row>
    <row r="258" customFormat="false" ht="14.25" hidden="false" customHeight="false" outlineLevel="0" collapsed="false">
      <c r="B258" s="32"/>
    </row>
    <row r="259" customFormat="false" ht="14.25" hidden="false" customHeight="false" outlineLevel="0" collapsed="false">
      <c r="B259" s="32"/>
    </row>
    <row r="260" customFormat="false" ht="14.25" hidden="false" customHeight="false" outlineLevel="0" collapsed="false">
      <c r="B260" s="32"/>
    </row>
    <row r="261" customFormat="false" ht="14.25" hidden="false" customHeight="false" outlineLevel="0" collapsed="false">
      <c r="B261" s="32"/>
    </row>
    <row r="262" customFormat="false" ht="14.25" hidden="false" customHeight="false" outlineLevel="0" collapsed="false">
      <c r="B262" s="32"/>
    </row>
    <row r="263" customFormat="false" ht="14.25" hidden="false" customHeight="false" outlineLevel="0" collapsed="false">
      <c r="B263" s="32"/>
    </row>
    <row r="264" customFormat="false" ht="14.25" hidden="false" customHeight="false" outlineLevel="0" collapsed="false">
      <c r="B264" s="32"/>
    </row>
    <row r="265" customFormat="false" ht="14.25" hidden="false" customHeight="false" outlineLevel="0" collapsed="false">
      <c r="B265" s="32"/>
    </row>
    <row r="266" customFormat="false" ht="14.25" hidden="false" customHeight="false" outlineLevel="0" collapsed="false">
      <c r="B266" s="32"/>
    </row>
    <row r="267" customFormat="false" ht="14.25" hidden="false" customHeight="false" outlineLevel="0" collapsed="false">
      <c r="B267" s="32"/>
    </row>
    <row r="268" customFormat="false" ht="14.25" hidden="false" customHeight="false" outlineLevel="0" collapsed="false">
      <c r="B268" s="32"/>
    </row>
    <row r="269" customFormat="false" ht="14.25" hidden="false" customHeight="false" outlineLevel="0" collapsed="false">
      <c r="B269" s="32"/>
    </row>
    <row r="270" customFormat="false" ht="14.25" hidden="false" customHeight="false" outlineLevel="0" collapsed="false">
      <c r="B270" s="32"/>
    </row>
    <row r="271" customFormat="false" ht="14.25" hidden="false" customHeight="false" outlineLevel="0" collapsed="false">
      <c r="B271" s="32"/>
    </row>
    <row r="272" customFormat="false" ht="14.25" hidden="false" customHeight="false" outlineLevel="0" collapsed="false">
      <c r="B272" s="32"/>
    </row>
    <row r="273" customFormat="false" ht="14.25" hidden="false" customHeight="false" outlineLevel="0" collapsed="false">
      <c r="B273" s="32"/>
    </row>
    <row r="274" customFormat="false" ht="14.25" hidden="false" customHeight="false" outlineLevel="0" collapsed="false">
      <c r="B274" s="32"/>
    </row>
    <row r="275" customFormat="false" ht="14.25" hidden="false" customHeight="false" outlineLevel="0" collapsed="false">
      <c r="B275" s="32"/>
    </row>
    <row r="276" customFormat="false" ht="14.25" hidden="false" customHeight="false" outlineLevel="0" collapsed="false">
      <c r="B276" s="32"/>
    </row>
    <row r="277" customFormat="false" ht="14.25" hidden="false" customHeight="false" outlineLevel="0" collapsed="false">
      <c r="B277" s="32"/>
    </row>
    <row r="278" customFormat="false" ht="14.25" hidden="false" customHeight="false" outlineLevel="0" collapsed="false">
      <c r="B278" s="32"/>
    </row>
    <row r="279" customFormat="false" ht="14.25" hidden="false" customHeight="false" outlineLevel="0" collapsed="false">
      <c r="B279" s="32"/>
    </row>
    <row r="280" customFormat="false" ht="14.25" hidden="false" customHeight="false" outlineLevel="0" collapsed="false">
      <c r="B280" s="32"/>
    </row>
    <row r="281" customFormat="false" ht="14.25" hidden="false" customHeight="false" outlineLevel="0" collapsed="false">
      <c r="B281" s="32"/>
    </row>
    <row r="282" customFormat="false" ht="14.25" hidden="false" customHeight="false" outlineLevel="0" collapsed="false">
      <c r="B282" s="32"/>
    </row>
    <row r="283" customFormat="false" ht="14.25" hidden="false" customHeight="false" outlineLevel="0" collapsed="false">
      <c r="B283" s="32"/>
    </row>
    <row r="284" customFormat="false" ht="14.25" hidden="false" customHeight="false" outlineLevel="0" collapsed="false">
      <c r="B284" s="32"/>
    </row>
    <row r="285" customFormat="false" ht="14.25" hidden="false" customHeight="false" outlineLevel="0" collapsed="false">
      <c r="B285" s="32"/>
    </row>
    <row r="286" customFormat="false" ht="14.25" hidden="false" customHeight="false" outlineLevel="0" collapsed="false">
      <c r="B286" s="32"/>
    </row>
    <row r="287" customFormat="false" ht="14.25" hidden="false" customHeight="false" outlineLevel="0" collapsed="false">
      <c r="B287" s="32"/>
    </row>
    <row r="288" customFormat="false" ht="14.25" hidden="false" customHeight="false" outlineLevel="0" collapsed="false">
      <c r="B288" s="32"/>
    </row>
    <row r="289" customFormat="false" ht="14.25" hidden="false" customHeight="false" outlineLevel="0" collapsed="false">
      <c r="B289" s="32"/>
    </row>
    <row r="290" customFormat="false" ht="14.25" hidden="false" customHeight="false" outlineLevel="0" collapsed="false">
      <c r="B290" s="32"/>
    </row>
    <row r="291" customFormat="false" ht="14.25" hidden="false" customHeight="false" outlineLevel="0" collapsed="false">
      <c r="B291" s="32"/>
    </row>
    <row r="292" customFormat="false" ht="14.25" hidden="false" customHeight="false" outlineLevel="0" collapsed="false">
      <c r="B292" s="32"/>
    </row>
    <row r="293" customFormat="false" ht="14.25" hidden="false" customHeight="false" outlineLevel="0" collapsed="false">
      <c r="B293" s="32"/>
    </row>
    <row r="294" customFormat="false" ht="14.25" hidden="false" customHeight="false" outlineLevel="0" collapsed="false">
      <c r="B294" s="32"/>
    </row>
    <row r="295" customFormat="false" ht="14.25" hidden="false" customHeight="false" outlineLevel="0" collapsed="false">
      <c r="B295" s="32"/>
    </row>
    <row r="296" customFormat="false" ht="14.25" hidden="false" customHeight="false" outlineLevel="0" collapsed="false">
      <c r="B296" s="32"/>
    </row>
    <row r="297" customFormat="false" ht="14.25" hidden="false" customHeight="false" outlineLevel="0" collapsed="false">
      <c r="B297" s="32"/>
    </row>
    <row r="298" customFormat="false" ht="14.25" hidden="false" customHeight="false" outlineLevel="0" collapsed="false">
      <c r="B298" s="32"/>
    </row>
    <row r="299" customFormat="false" ht="14.25" hidden="false" customHeight="false" outlineLevel="0" collapsed="false">
      <c r="B299" s="32"/>
    </row>
    <row r="300" customFormat="false" ht="14.25" hidden="false" customHeight="false" outlineLevel="0" collapsed="false">
      <c r="B300" s="32"/>
    </row>
    <row r="301" customFormat="false" ht="14.25" hidden="false" customHeight="false" outlineLevel="0" collapsed="false">
      <c r="B301" s="32"/>
    </row>
    <row r="302" customFormat="false" ht="14.25" hidden="false" customHeight="false" outlineLevel="0" collapsed="false">
      <c r="B302" s="32"/>
    </row>
    <row r="303" customFormat="false" ht="14.25" hidden="false" customHeight="false" outlineLevel="0" collapsed="false">
      <c r="B303" s="32"/>
    </row>
    <row r="304" customFormat="false" ht="14.25" hidden="false" customHeight="false" outlineLevel="0" collapsed="false">
      <c r="B304" s="32"/>
    </row>
    <row r="305" customFormat="false" ht="14.25" hidden="false" customHeight="false" outlineLevel="0" collapsed="false">
      <c r="B305" s="32"/>
    </row>
    <row r="306" customFormat="false" ht="14.25" hidden="false" customHeight="false" outlineLevel="0" collapsed="false">
      <c r="B306" s="32"/>
    </row>
    <row r="307" customFormat="false" ht="14.25" hidden="false" customHeight="false" outlineLevel="0" collapsed="false">
      <c r="B307" s="32"/>
    </row>
    <row r="308" customFormat="false" ht="14.25" hidden="false" customHeight="false" outlineLevel="0" collapsed="false">
      <c r="B308" s="32"/>
    </row>
    <row r="309" customFormat="false" ht="14.25" hidden="false" customHeight="false" outlineLevel="0" collapsed="false">
      <c r="B309" s="32"/>
    </row>
    <row r="310" customFormat="false" ht="14.25" hidden="false" customHeight="false" outlineLevel="0" collapsed="false">
      <c r="B310" s="32"/>
    </row>
    <row r="311" customFormat="false" ht="14.25" hidden="false" customHeight="false" outlineLevel="0" collapsed="false">
      <c r="B311" s="32"/>
    </row>
    <row r="312" customFormat="false" ht="14.25" hidden="false" customHeight="false" outlineLevel="0" collapsed="false">
      <c r="B312" s="32"/>
    </row>
    <row r="313" customFormat="false" ht="14.25" hidden="false" customHeight="false" outlineLevel="0" collapsed="false">
      <c r="B313" s="32"/>
    </row>
    <row r="314" customFormat="false" ht="14.25" hidden="false" customHeight="false" outlineLevel="0" collapsed="false">
      <c r="B314" s="32"/>
    </row>
    <row r="315" customFormat="false" ht="14.25" hidden="false" customHeight="false" outlineLevel="0" collapsed="false">
      <c r="B315" s="32"/>
    </row>
    <row r="316" customFormat="false" ht="14.25" hidden="false" customHeight="false" outlineLevel="0" collapsed="false">
      <c r="B316" s="32"/>
    </row>
    <row r="317" customFormat="false" ht="14.25" hidden="false" customHeight="false" outlineLevel="0" collapsed="false">
      <c r="B317" s="32"/>
    </row>
    <row r="318" customFormat="false" ht="14.25" hidden="false" customHeight="false" outlineLevel="0" collapsed="false">
      <c r="B318" s="32"/>
    </row>
    <row r="319" customFormat="false" ht="14.25" hidden="false" customHeight="false" outlineLevel="0" collapsed="false">
      <c r="B319" s="32"/>
    </row>
    <row r="320" customFormat="false" ht="14.25" hidden="false" customHeight="false" outlineLevel="0" collapsed="false">
      <c r="B320" s="32"/>
    </row>
    <row r="321" customFormat="false" ht="14.25" hidden="false" customHeight="false" outlineLevel="0" collapsed="false">
      <c r="B321" s="32"/>
    </row>
    <row r="322" customFormat="false" ht="14.25" hidden="false" customHeight="false" outlineLevel="0" collapsed="false">
      <c r="B322" s="32"/>
    </row>
    <row r="323" customFormat="false" ht="14.25" hidden="false" customHeight="false" outlineLevel="0" collapsed="false">
      <c r="B323" s="32"/>
    </row>
    <row r="324" customFormat="false" ht="14.25" hidden="false" customHeight="false" outlineLevel="0" collapsed="false">
      <c r="B324" s="32"/>
    </row>
    <row r="325" customFormat="false" ht="14.25" hidden="false" customHeight="false" outlineLevel="0" collapsed="false">
      <c r="B325" s="32"/>
    </row>
    <row r="326" customFormat="false" ht="14.25" hidden="false" customHeight="false" outlineLevel="0" collapsed="false">
      <c r="B326" s="32"/>
    </row>
    <row r="327" customFormat="false" ht="14.25" hidden="false" customHeight="false" outlineLevel="0" collapsed="false">
      <c r="B327" s="32"/>
    </row>
    <row r="328" customFormat="false" ht="14.25" hidden="false" customHeight="false" outlineLevel="0" collapsed="false">
      <c r="B328" s="32"/>
    </row>
    <row r="329" customFormat="false" ht="14.25" hidden="false" customHeight="false" outlineLevel="0" collapsed="false">
      <c r="B329" s="32"/>
    </row>
    <row r="330" customFormat="false" ht="14.25" hidden="false" customHeight="false" outlineLevel="0" collapsed="false">
      <c r="B330" s="32"/>
    </row>
    <row r="331" customFormat="false" ht="14.25" hidden="false" customHeight="false" outlineLevel="0" collapsed="false">
      <c r="B331" s="32"/>
    </row>
    <row r="332" customFormat="false" ht="14.25" hidden="false" customHeight="false" outlineLevel="0" collapsed="false">
      <c r="B332" s="32"/>
    </row>
    <row r="333" customFormat="false" ht="14.25" hidden="false" customHeight="false" outlineLevel="0" collapsed="false">
      <c r="B333" s="32"/>
    </row>
    <row r="334" customFormat="false" ht="14.25" hidden="false" customHeight="false" outlineLevel="0" collapsed="false">
      <c r="B334" s="32"/>
    </row>
    <row r="335" customFormat="false" ht="14.25" hidden="false" customHeight="false" outlineLevel="0" collapsed="false">
      <c r="B335" s="32"/>
    </row>
    <row r="336" customFormat="false" ht="14.25" hidden="false" customHeight="false" outlineLevel="0" collapsed="false">
      <c r="B336" s="32"/>
    </row>
    <row r="337" customFormat="false" ht="14.25" hidden="false" customHeight="false" outlineLevel="0" collapsed="false">
      <c r="B337" s="32"/>
    </row>
    <row r="338" customFormat="false" ht="14.25" hidden="false" customHeight="false" outlineLevel="0" collapsed="false">
      <c r="B338" s="32"/>
    </row>
    <row r="339" customFormat="false" ht="14.25" hidden="false" customHeight="false" outlineLevel="0" collapsed="false">
      <c r="B339" s="32"/>
    </row>
    <row r="340" customFormat="false" ht="14.25" hidden="false" customHeight="false" outlineLevel="0" collapsed="false">
      <c r="B340" s="32"/>
    </row>
    <row r="341" customFormat="false" ht="14.25" hidden="false" customHeight="false" outlineLevel="0" collapsed="false">
      <c r="B341" s="32"/>
    </row>
    <row r="342" customFormat="false" ht="14.25" hidden="false" customHeight="false" outlineLevel="0" collapsed="false">
      <c r="B342" s="32"/>
    </row>
    <row r="343" customFormat="false" ht="14.25" hidden="false" customHeight="false" outlineLevel="0" collapsed="false">
      <c r="B343" s="32"/>
    </row>
    <row r="344" customFormat="false" ht="14.25" hidden="false" customHeight="false" outlineLevel="0" collapsed="false">
      <c r="B344" s="32"/>
    </row>
    <row r="345" customFormat="false" ht="14.25" hidden="false" customHeight="false" outlineLevel="0" collapsed="false">
      <c r="B345" s="32"/>
    </row>
    <row r="346" customFormat="false" ht="14.25" hidden="false" customHeight="false" outlineLevel="0" collapsed="false">
      <c r="B346" s="32"/>
    </row>
    <row r="347" customFormat="false" ht="14.25" hidden="false" customHeight="false" outlineLevel="0" collapsed="false">
      <c r="B347" s="32"/>
    </row>
    <row r="348" customFormat="false" ht="14.25" hidden="false" customHeight="false" outlineLevel="0" collapsed="false">
      <c r="B348" s="32"/>
    </row>
    <row r="349" customFormat="false" ht="14.25" hidden="false" customHeight="false" outlineLevel="0" collapsed="false">
      <c r="B349" s="32"/>
    </row>
    <row r="350" customFormat="false" ht="14.25" hidden="false" customHeight="false" outlineLevel="0" collapsed="false">
      <c r="B350" s="32"/>
    </row>
    <row r="351" customFormat="false" ht="14.25" hidden="false" customHeight="false" outlineLevel="0" collapsed="false">
      <c r="B351" s="32"/>
    </row>
    <row r="352" customFormat="false" ht="14.25" hidden="false" customHeight="false" outlineLevel="0" collapsed="false">
      <c r="B352" s="32"/>
    </row>
    <row r="353" customFormat="false" ht="14.25" hidden="false" customHeight="false" outlineLevel="0" collapsed="false">
      <c r="B353" s="32"/>
    </row>
    <row r="354" customFormat="false" ht="14.25" hidden="false" customHeight="false" outlineLevel="0" collapsed="false">
      <c r="B354" s="32"/>
    </row>
    <row r="355" customFormat="false" ht="14.25" hidden="false" customHeight="false" outlineLevel="0" collapsed="false">
      <c r="B355" s="32"/>
    </row>
    <row r="356" customFormat="false" ht="14.25" hidden="false" customHeight="false" outlineLevel="0" collapsed="false">
      <c r="B356" s="32"/>
    </row>
    <row r="357" customFormat="false" ht="14.25" hidden="false" customHeight="false" outlineLevel="0" collapsed="false">
      <c r="B357" s="32"/>
    </row>
    <row r="358" customFormat="false" ht="14.25" hidden="false" customHeight="false" outlineLevel="0" collapsed="false">
      <c r="B358" s="32"/>
    </row>
    <row r="359" customFormat="false" ht="14.25" hidden="false" customHeight="false" outlineLevel="0" collapsed="false">
      <c r="B359" s="32"/>
    </row>
    <row r="360" customFormat="false" ht="14.25" hidden="false" customHeight="false" outlineLevel="0" collapsed="false">
      <c r="B360" s="32"/>
    </row>
    <row r="361" customFormat="false" ht="14.25" hidden="false" customHeight="false" outlineLevel="0" collapsed="false">
      <c r="B361" s="32"/>
    </row>
    <row r="362" customFormat="false" ht="14.25" hidden="false" customHeight="false" outlineLevel="0" collapsed="false">
      <c r="B362" s="32"/>
    </row>
    <row r="363" customFormat="false" ht="14.25" hidden="false" customHeight="false" outlineLevel="0" collapsed="false">
      <c r="B363" s="32"/>
    </row>
    <row r="364" customFormat="false" ht="14.25" hidden="false" customHeight="false" outlineLevel="0" collapsed="false">
      <c r="B364" s="32"/>
    </row>
    <row r="365" customFormat="false" ht="14.25" hidden="false" customHeight="false" outlineLevel="0" collapsed="false">
      <c r="B365" s="32"/>
    </row>
    <row r="366" customFormat="false" ht="14.25" hidden="false" customHeight="false" outlineLevel="0" collapsed="false">
      <c r="B366" s="32"/>
    </row>
    <row r="367" customFormat="false" ht="14.25" hidden="false" customHeight="false" outlineLevel="0" collapsed="false">
      <c r="B367" s="32"/>
    </row>
    <row r="368" customFormat="false" ht="14.25" hidden="false" customHeight="false" outlineLevel="0" collapsed="false">
      <c r="B368" s="32"/>
    </row>
    <row r="369" customFormat="false" ht="14.25" hidden="false" customHeight="false" outlineLevel="0" collapsed="false">
      <c r="B369" s="32"/>
    </row>
    <row r="370" customFormat="false" ht="14.25" hidden="false" customHeight="false" outlineLevel="0" collapsed="false">
      <c r="B370" s="32"/>
    </row>
    <row r="371" customFormat="false" ht="14.25" hidden="false" customHeight="false" outlineLevel="0" collapsed="false">
      <c r="B371" s="32"/>
    </row>
    <row r="372" customFormat="false" ht="14.25" hidden="false" customHeight="false" outlineLevel="0" collapsed="false">
      <c r="B372" s="32"/>
    </row>
    <row r="373" customFormat="false" ht="14.25" hidden="false" customHeight="false" outlineLevel="0" collapsed="false">
      <c r="B373" s="32"/>
    </row>
    <row r="374" customFormat="false" ht="14.25" hidden="false" customHeight="false" outlineLevel="0" collapsed="false">
      <c r="B374" s="32"/>
    </row>
    <row r="375" customFormat="false" ht="14.25" hidden="false" customHeight="false" outlineLevel="0" collapsed="false">
      <c r="B375" s="32"/>
    </row>
    <row r="376" customFormat="false" ht="14.25" hidden="false" customHeight="false" outlineLevel="0" collapsed="false">
      <c r="B376" s="32"/>
    </row>
    <row r="377" customFormat="false" ht="14.25" hidden="false" customHeight="false" outlineLevel="0" collapsed="false">
      <c r="B377" s="32"/>
    </row>
    <row r="378" customFormat="false" ht="14.25" hidden="false" customHeight="false" outlineLevel="0" collapsed="false">
      <c r="B378" s="32"/>
    </row>
    <row r="379" customFormat="false" ht="14.25" hidden="false" customHeight="false" outlineLevel="0" collapsed="false">
      <c r="B379" s="32"/>
    </row>
    <row r="380" customFormat="false" ht="14.25" hidden="false" customHeight="false" outlineLevel="0" collapsed="false">
      <c r="B380" s="32"/>
    </row>
    <row r="381" customFormat="false" ht="14.25" hidden="false" customHeight="false" outlineLevel="0" collapsed="false">
      <c r="B381" s="32"/>
    </row>
    <row r="382" customFormat="false" ht="14.25" hidden="false" customHeight="false" outlineLevel="0" collapsed="false">
      <c r="B382" s="32"/>
    </row>
    <row r="383" customFormat="false" ht="14.25" hidden="false" customHeight="false" outlineLevel="0" collapsed="false">
      <c r="B383" s="32"/>
    </row>
    <row r="384" customFormat="false" ht="14.25" hidden="false" customHeight="false" outlineLevel="0" collapsed="false">
      <c r="B384" s="32"/>
    </row>
    <row r="385" customFormat="false" ht="14.25" hidden="false" customHeight="false" outlineLevel="0" collapsed="false">
      <c r="B385" s="32"/>
    </row>
    <row r="386" customFormat="false" ht="14.25" hidden="false" customHeight="false" outlineLevel="0" collapsed="false">
      <c r="B386" s="32"/>
    </row>
    <row r="387" customFormat="false" ht="14.25" hidden="false" customHeight="false" outlineLevel="0" collapsed="false">
      <c r="B387" s="32"/>
    </row>
    <row r="388" customFormat="false" ht="14.25" hidden="false" customHeight="false" outlineLevel="0" collapsed="false">
      <c r="B388" s="32"/>
    </row>
    <row r="389" customFormat="false" ht="14.25" hidden="false" customHeight="false" outlineLevel="0" collapsed="false">
      <c r="B389" s="32"/>
    </row>
    <row r="390" customFormat="false" ht="14.25" hidden="false" customHeight="false" outlineLevel="0" collapsed="false">
      <c r="B390" s="32"/>
    </row>
    <row r="391" customFormat="false" ht="14.25" hidden="false" customHeight="false" outlineLevel="0" collapsed="false">
      <c r="B391" s="32"/>
    </row>
    <row r="392" customFormat="false" ht="14.25" hidden="false" customHeight="false" outlineLevel="0" collapsed="false">
      <c r="B392" s="32"/>
    </row>
    <row r="393" customFormat="false" ht="14.25" hidden="false" customHeight="false" outlineLevel="0" collapsed="false">
      <c r="B393" s="32"/>
    </row>
    <row r="394" customFormat="false" ht="14.25" hidden="false" customHeight="false" outlineLevel="0" collapsed="false">
      <c r="B394" s="32"/>
    </row>
    <row r="395" customFormat="false" ht="14.25" hidden="false" customHeight="false" outlineLevel="0" collapsed="false">
      <c r="B395" s="32"/>
    </row>
    <row r="396" customFormat="false" ht="14.25" hidden="false" customHeight="false" outlineLevel="0" collapsed="false">
      <c r="B396" s="32"/>
    </row>
    <row r="397" customFormat="false" ht="14.25" hidden="false" customHeight="false" outlineLevel="0" collapsed="false">
      <c r="B397" s="32"/>
    </row>
    <row r="398" customFormat="false" ht="14.25" hidden="false" customHeight="false" outlineLevel="0" collapsed="false">
      <c r="B398" s="32"/>
    </row>
    <row r="399" customFormat="false" ht="14.25" hidden="false" customHeight="false" outlineLevel="0" collapsed="false">
      <c r="B399" s="32"/>
    </row>
    <row r="400" customFormat="false" ht="14.25" hidden="false" customHeight="false" outlineLevel="0" collapsed="false">
      <c r="B400" s="32"/>
    </row>
    <row r="401" customFormat="false" ht="14.25" hidden="false" customHeight="false" outlineLevel="0" collapsed="false">
      <c r="B401" s="32"/>
    </row>
    <row r="402" customFormat="false" ht="14.25" hidden="false" customHeight="false" outlineLevel="0" collapsed="false">
      <c r="B402" s="32"/>
    </row>
    <row r="403" customFormat="false" ht="14.25" hidden="false" customHeight="false" outlineLevel="0" collapsed="false">
      <c r="B403" s="32"/>
    </row>
    <row r="404" customFormat="false" ht="14.25" hidden="false" customHeight="false" outlineLevel="0" collapsed="false">
      <c r="B404" s="32"/>
    </row>
    <row r="405" customFormat="false" ht="14.25" hidden="false" customHeight="false" outlineLevel="0" collapsed="false">
      <c r="B405" s="32"/>
    </row>
    <row r="406" customFormat="false" ht="14.25" hidden="false" customHeight="false" outlineLevel="0" collapsed="false">
      <c r="B406" s="32"/>
    </row>
    <row r="407" customFormat="false" ht="14.25" hidden="false" customHeight="false" outlineLevel="0" collapsed="false">
      <c r="B407" s="32"/>
    </row>
    <row r="408" customFormat="false" ht="14.25" hidden="false" customHeight="false" outlineLevel="0" collapsed="false">
      <c r="B408" s="32"/>
    </row>
    <row r="409" customFormat="false" ht="14.25" hidden="false" customHeight="false" outlineLevel="0" collapsed="false">
      <c r="B409" s="32"/>
    </row>
    <row r="410" customFormat="false" ht="14.25" hidden="false" customHeight="false" outlineLevel="0" collapsed="false">
      <c r="B410" s="32"/>
    </row>
    <row r="411" customFormat="false" ht="14.25" hidden="false" customHeight="false" outlineLevel="0" collapsed="false">
      <c r="B411" s="32"/>
    </row>
    <row r="412" customFormat="false" ht="14.25" hidden="false" customHeight="false" outlineLevel="0" collapsed="false">
      <c r="B412" s="32"/>
    </row>
    <row r="413" customFormat="false" ht="14.25" hidden="false" customHeight="false" outlineLevel="0" collapsed="false">
      <c r="B413" s="32"/>
    </row>
    <row r="414" customFormat="false" ht="14.25" hidden="false" customHeight="false" outlineLevel="0" collapsed="false">
      <c r="B414" s="32"/>
    </row>
    <row r="415" customFormat="false" ht="14.25" hidden="false" customHeight="false" outlineLevel="0" collapsed="false">
      <c r="B415" s="32"/>
    </row>
    <row r="416" customFormat="false" ht="14.25" hidden="false" customHeight="false" outlineLevel="0" collapsed="false">
      <c r="B416" s="32"/>
    </row>
    <row r="417" customFormat="false" ht="14.25" hidden="false" customHeight="false" outlineLevel="0" collapsed="false">
      <c r="B417" s="32"/>
    </row>
    <row r="418" customFormat="false" ht="14.25" hidden="false" customHeight="false" outlineLevel="0" collapsed="false">
      <c r="B418" s="32"/>
    </row>
    <row r="419" customFormat="false" ht="14.25" hidden="false" customHeight="false" outlineLevel="0" collapsed="false">
      <c r="B419" s="32"/>
    </row>
    <row r="420" customFormat="false" ht="14.25" hidden="false" customHeight="false" outlineLevel="0" collapsed="false">
      <c r="B420" s="32"/>
    </row>
    <row r="421" customFormat="false" ht="14.25" hidden="false" customHeight="false" outlineLevel="0" collapsed="false">
      <c r="B421" s="32"/>
    </row>
    <row r="422" customFormat="false" ht="14.25" hidden="false" customHeight="false" outlineLevel="0" collapsed="false">
      <c r="B422" s="32"/>
    </row>
    <row r="423" customFormat="false" ht="14.25" hidden="false" customHeight="false" outlineLevel="0" collapsed="false">
      <c r="B423" s="32"/>
    </row>
    <row r="424" customFormat="false" ht="14.25" hidden="false" customHeight="false" outlineLevel="0" collapsed="false">
      <c r="B424" s="32"/>
    </row>
    <row r="425" customFormat="false" ht="14.25" hidden="false" customHeight="false" outlineLevel="0" collapsed="false">
      <c r="B425" s="32"/>
    </row>
    <row r="426" customFormat="false" ht="14.25" hidden="false" customHeight="false" outlineLevel="0" collapsed="false">
      <c r="B426" s="32"/>
    </row>
    <row r="427" customFormat="false" ht="14.25" hidden="false" customHeight="false" outlineLevel="0" collapsed="false">
      <c r="B427" s="32"/>
    </row>
    <row r="428" customFormat="false" ht="14.25" hidden="false" customHeight="false" outlineLevel="0" collapsed="false">
      <c r="B428" s="32"/>
    </row>
    <row r="429" customFormat="false" ht="14.25" hidden="false" customHeight="false" outlineLevel="0" collapsed="false">
      <c r="B429" s="32"/>
    </row>
    <row r="430" customFormat="false" ht="14.25" hidden="false" customHeight="false" outlineLevel="0" collapsed="false">
      <c r="B430" s="32"/>
    </row>
    <row r="431" customFormat="false" ht="14.25" hidden="false" customHeight="false" outlineLevel="0" collapsed="false">
      <c r="B431" s="32"/>
    </row>
    <row r="432" customFormat="false" ht="14.25" hidden="false" customHeight="false" outlineLevel="0" collapsed="false">
      <c r="B432" s="32"/>
    </row>
    <row r="433" customFormat="false" ht="14.25" hidden="false" customHeight="false" outlineLevel="0" collapsed="false">
      <c r="B433" s="32"/>
    </row>
    <row r="434" customFormat="false" ht="14.25" hidden="false" customHeight="false" outlineLevel="0" collapsed="false">
      <c r="B434" s="32"/>
    </row>
    <row r="435" customFormat="false" ht="14.25" hidden="false" customHeight="false" outlineLevel="0" collapsed="false">
      <c r="B435" s="32"/>
    </row>
    <row r="436" customFormat="false" ht="14.25" hidden="false" customHeight="false" outlineLevel="0" collapsed="false">
      <c r="B436" s="32"/>
    </row>
    <row r="437" customFormat="false" ht="14.25" hidden="false" customHeight="false" outlineLevel="0" collapsed="false">
      <c r="B437" s="32"/>
    </row>
    <row r="438" customFormat="false" ht="14.25" hidden="false" customHeight="false" outlineLevel="0" collapsed="false">
      <c r="B438" s="32"/>
    </row>
    <row r="439" customFormat="false" ht="14.25" hidden="false" customHeight="false" outlineLevel="0" collapsed="false">
      <c r="B439" s="32"/>
    </row>
    <row r="440" customFormat="false" ht="14.25" hidden="false" customHeight="false" outlineLevel="0" collapsed="false">
      <c r="B440" s="32"/>
    </row>
    <row r="441" customFormat="false" ht="14.25" hidden="false" customHeight="false" outlineLevel="0" collapsed="false">
      <c r="B441" s="32"/>
    </row>
    <row r="442" customFormat="false" ht="14.25" hidden="false" customHeight="false" outlineLevel="0" collapsed="false">
      <c r="B442" s="32"/>
    </row>
    <row r="443" customFormat="false" ht="14.25" hidden="false" customHeight="false" outlineLevel="0" collapsed="false">
      <c r="B443" s="32"/>
    </row>
    <row r="444" customFormat="false" ht="14.25" hidden="false" customHeight="false" outlineLevel="0" collapsed="false">
      <c r="B444" s="32"/>
    </row>
    <row r="445" customFormat="false" ht="14.25" hidden="false" customHeight="false" outlineLevel="0" collapsed="false">
      <c r="B445" s="32"/>
    </row>
    <row r="446" customFormat="false" ht="14.25" hidden="false" customHeight="false" outlineLevel="0" collapsed="false">
      <c r="B446" s="32"/>
    </row>
    <row r="447" customFormat="false" ht="14.25" hidden="false" customHeight="false" outlineLevel="0" collapsed="false">
      <c r="B447" s="32"/>
    </row>
    <row r="448" customFormat="false" ht="14.25" hidden="false" customHeight="false" outlineLevel="0" collapsed="false">
      <c r="B448" s="32"/>
    </row>
    <row r="449" customFormat="false" ht="14.25" hidden="false" customHeight="false" outlineLevel="0" collapsed="false">
      <c r="B449" s="32"/>
    </row>
    <row r="450" customFormat="false" ht="14.25" hidden="false" customHeight="false" outlineLevel="0" collapsed="false">
      <c r="B450" s="32"/>
    </row>
    <row r="451" customFormat="false" ht="14.25" hidden="false" customHeight="false" outlineLevel="0" collapsed="false">
      <c r="B451" s="32"/>
    </row>
    <row r="452" customFormat="false" ht="14.25" hidden="false" customHeight="false" outlineLevel="0" collapsed="false">
      <c r="B452" s="32"/>
    </row>
    <row r="453" customFormat="false" ht="14.25" hidden="false" customHeight="false" outlineLevel="0" collapsed="false">
      <c r="B453" s="32"/>
    </row>
    <row r="454" customFormat="false" ht="14.25" hidden="false" customHeight="false" outlineLevel="0" collapsed="false">
      <c r="B454" s="32"/>
    </row>
    <row r="455" customFormat="false" ht="14.25" hidden="false" customHeight="false" outlineLevel="0" collapsed="false">
      <c r="B455" s="32"/>
    </row>
    <row r="456" customFormat="false" ht="14.25" hidden="false" customHeight="false" outlineLevel="0" collapsed="false">
      <c r="B456" s="32"/>
    </row>
    <row r="457" customFormat="false" ht="14.25" hidden="false" customHeight="false" outlineLevel="0" collapsed="false">
      <c r="B457" s="32"/>
    </row>
    <row r="458" customFormat="false" ht="14.25" hidden="false" customHeight="false" outlineLevel="0" collapsed="false">
      <c r="B458" s="32"/>
    </row>
    <row r="459" customFormat="false" ht="14.25" hidden="false" customHeight="false" outlineLevel="0" collapsed="false">
      <c r="B459" s="32"/>
    </row>
    <row r="460" customFormat="false" ht="14.25" hidden="false" customHeight="false" outlineLevel="0" collapsed="false">
      <c r="B460" s="32"/>
    </row>
    <row r="461" customFormat="false" ht="14.25" hidden="false" customHeight="false" outlineLevel="0" collapsed="false">
      <c r="B461" s="32"/>
    </row>
    <row r="462" customFormat="false" ht="14.25" hidden="false" customHeight="false" outlineLevel="0" collapsed="false">
      <c r="B462" s="32"/>
    </row>
    <row r="463" customFormat="false" ht="14.25" hidden="false" customHeight="false" outlineLevel="0" collapsed="false">
      <c r="B463" s="32"/>
    </row>
    <row r="464" customFormat="false" ht="14.25" hidden="false" customHeight="false" outlineLevel="0" collapsed="false">
      <c r="B464" s="32"/>
    </row>
    <row r="465" customFormat="false" ht="14.25" hidden="false" customHeight="false" outlineLevel="0" collapsed="false">
      <c r="B465" s="32"/>
    </row>
    <row r="466" customFormat="false" ht="14.25" hidden="false" customHeight="false" outlineLevel="0" collapsed="false">
      <c r="B466" s="32"/>
    </row>
    <row r="467" customFormat="false" ht="14.25" hidden="false" customHeight="false" outlineLevel="0" collapsed="false">
      <c r="B467" s="32"/>
    </row>
    <row r="468" customFormat="false" ht="14.25" hidden="false" customHeight="false" outlineLevel="0" collapsed="false">
      <c r="B468" s="32"/>
    </row>
    <row r="469" customFormat="false" ht="14.25" hidden="false" customHeight="false" outlineLevel="0" collapsed="false">
      <c r="B469" s="32"/>
    </row>
  </sheetData>
  <mergeCells count="6">
    <mergeCell ref="G4:H4"/>
    <mergeCell ref="G5:H5"/>
    <mergeCell ref="G6:H6"/>
    <mergeCell ref="A9:A22"/>
    <mergeCell ref="A23:A30"/>
    <mergeCell ref="I44:J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1"/>
  <sheetViews>
    <sheetView showFormulas="false" showGridLines="true" showRowColHeaders="true" showZeros="true" rightToLeft="false" tabSelected="false" showOutlineSymbols="true" defaultGridColor="true" view="normal" topLeftCell="A145" colorId="64" zoomScale="100" zoomScaleNormal="100" zoomScalePageLayoutView="100" workbookViewId="0">
      <selection pane="topLeft" activeCell="M150" activeCellId="0" sqref="M150"/>
    </sheetView>
  </sheetViews>
  <sheetFormatPr defaultColWidth="11.5625" defaultRowHeight="14.25" zeroHeight="false" outlineLevelRow="0" outlineLevelCol="0"/>
  <cols>
    <col collapsed="false" customWidth="true" hidden="false" outlineLevel="0" max="2" min="2" style="1" width="14.88"/>
    <col collapsed="false" customWidth="true" hidden="false" outlineLevel="0" max="9" min="9" style="1" width="14.44"/>
  </cols>
  <sheetData>
    <row r="1" customFormat="false" ht="14.25" hidden="false" customHeight="true" outlineLevel="0" collapsed="false">
      <c r="B1" s="78"/>
      <c r="C1" s="78"/>
      <c r="D1" s="79" t="s">
        <v>91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80" t="s">
        <v>92</v>
      </c>
      <c r="P1" s="80"/>
    </row>
    <row r="2" customFormat="false" ht="14.25" hidden="false" customHeight="true" outlineLevel="0" collapsed="false">
      <c r="B2" s="78"/>
      <c r="C2" s="78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1" t="s">
        <v>93</v>
      </c>
      <c r="P2" s="81"/>
    </row>
    <row r="3" customFormat="false" ht="14.25" hidden="false" customHeight="true" outlineLevel="0" collapsed="false">
      <c r="B3" s="82" t="s">
        <v>94</v>
      </c>
      <c r="C3" s="82"/>
      <c r="D3" s="83" t="s">
        <v>95</v>
      </c>
      <c r="E3" s="83"/>
      <c r="F3" s="83"/>
      <c r="G3" s="83"/>
      <c r="H3" s="83"/>
      <c r="I3" s="83"/>
      <c r="J3" s="83"/>
      <c r="K3" s="83"/>
      <c r="L3" s="83"/>
      <c r="M3" s="83"/>
      <c r="N3" s="83"/>
      <c r="O3" s="81" t="s">
        <v>96</v>
      </c>
      <c r="P3" s="81"/>
    </row>
    <row r="4" customFormat="false" ht="14.25" hidden="false" customHeight="true" outlineLevel="0" collapsed="false">
      <c r="B4" s="82"/>
      <c r="C4" s="82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4" t="s">
        <v>97</v>
      </c>
      <c r="P4" s="84"/>
    </row>
    <row r="6" customFormat="false" ht="14.25" hidden="false" customHeight="false" outlineLevel="0" collapsed="false">
      <c r="B6" s="1" t="s">
        <v>98</v>
      </c>
    </row>
    <row r="8" customFormat="false" ht="14.25" hidden="false" customHeight="false" outlineLevel="0" collapsed="false">
      <c r="B8" s="85"/>
      <c r="C8" s="85"/>
      <c r="D8" s="85"/>
      <c r="E8" s="86" t="s">
        <v>99</v>
      </c>
      <c r="F8" s="85"/>
      <c r="G8" s="85"/>
      <c r="H8" s="85"/>
      <c r="I8" s="85"/>
      <c r="J8" s="85"/>
      <c r="K8" s="85"/>
    </row>
    <row r="9" customFormat="false" ht="14.25" hidden="false" customHeight="false" outlineLevel="0" collapsed="false">
      <c r="B9" s="85"/>
      <c r="C9" s="87" t="n">
        <v>45433</v>
      </c>
      <c r="D9" s="87" t="n">
        <f aca="false">C9+1</f>
        <v>45434</v>
      </c>
      <c r="E9" s="88" t="n">
        <f aca="false">D9+1</f>
        <v>45435</v>
      </c>
      <c r="F9" s="87" t="n">
        <f aca="false">E9+1</f>
        <v>45436</v>
      </c>
      <c r="G9" s="87" t="n">
        <f aca="false">F9+1</f>
        <v>45437</v>
      </c>
      <c r="H9" s="87" t="n">
        <f aca="false">G9+1</f>
        <v>45438</v>
      </c>
      <c r="I9" s="87" t="n">
        <f aca="false">H9+1</f>
        <v>45439</v>
      </c>
      <c r="J9" s="87" t="n">
        <f aca="false">I9+1</f>
        <v>45440</v>
      </c>
      <c r="K9" s="87" t="n">
        <f aca="false">J9+1</f>
        <v>45441</v>
      </c>
      <c r="L9" s="87" t="n">
        <f aca="false">K9+1</f>
        <v>45442</v>
      </c>
      <c r="M9" s="87" t="n">
        <f aca="false">L9+1</f>
        <v>45443</v>
      </c>
      <c r="N9" s="87" t="n">
        <f aca="false">M9+1</f>
        <v>45444</v>
      </c>
      <c r="O9" s="87" t="n">
        <f aca="false">N9+1</f>
        <v>45445</v>
      </c>
    </row>
    <row r="10" customFormat="false" ht="14.25" hidden="false" customHeight="false" outlineLevel="0" collapsed="false">
      <c r="B10" s="89" t="s">
        <v>100</v>
      </c>
      <c r="C10" s="90" t="s">
        <v>51</v>
      </c>
      <c r="D10" s="91" t="s">
        <v>53</v>
      </c>
      <c r="E10" s="92" t="s">
        <v>55</v>
      </c>
      <c r="F10" s="93" t="s">
        <v>57</v>
      </c>
      <c r="G10" s="94" t="s">
        <v>51</v>
      </c>
      <c r="H10" s="91" t="s">
        <v>53</v>
      </c>
      <c r="I10" s="92" t="s">
        <v>55</v>
      </c>
      <c r="J10" s="93" t="s">
        <v>57</v>
      </c>
      <c r="K10" s="94" t="s">
        <v>51</v>
      </c>
      <c r="L10" s="91" t="s">
        <v>53</v>
      </c>
      <c r="M10" s="92" t="s">
        <v>55</v>
      </c>
      <c r="N10" s="93" t="s">
        <v>57</v>
      </c>
      <c r="O10" s="94" t="s">
        <v>51</v>
      </c>
    </row>
    <row r="11" customFormat="false" ht="14.25" hidden="false" customHeight="false" outlineLevel="0" collapsed="false">
      <c r="B11" s="89"/>
      <c r="C11" s="91" t="s">
        <v>53</v>
      </c>
      <c r="D11" s="92" t="s">
        <v>55</v>
      </c>
      <c r="E11" s="93" t="s">
        <v>57</v>
      </c>
      <c r="F11" s="94" t="s">
        <v>51</v>
      </c>
      <c r="G11" s="91" t="s">
        <v>53</v>
      </c>
      <c r="H11" s="92" t="s">
        <v>55</v>
      </c>
      <c r="I11" s="93" t="s">
        <v>57</v>
      </c>
      <c r="J11" s="94" t="s">
        <v>51</v>
      </c>
      <c r="K11" s="91" t="s">
        <v>53</v>
      </c>
      <c r="L11" s="92" t="s">
        <v>55</v>
      </c>
      <c r="M11" s="93" t="s">
        <v>57</v>
      </c>
      <c r="N11" s="94" t="s">
        <v>51</v>
      </c>
      <c r="O11" s="91" t="s">
        <v>53</v>
      </c>
    </row>
    <row r="12" customFormat="false" ht="14.25" hidden="false" customHeight="false" outlineLevel="0" collapsed="false">
      <c r="B12" s="89" t="s">
        <v>101</v>
      </c>
      <c r="C12" s="92" t="s">
        <v>55</v>
      </c>
      <c r="D12" s="93" t="s">
        <v>57</v>
      </c>
      <c r="E12" s="93" t="s">
        <v>51</v>
      </c>
      <c r="F12" s="91" t="s">
        <v>53</v>
      </c>
      <c r="G12" s="92" t="s">
        <v>55</v>
      </c>
      <c r="H12" s="93" t="s">
        <v>57</v>
      </c>
      <c r="I12" s="94" t="s">
        <v>51</v>
      </c>
      <c r="J12" s="91" t="s">
        <v>53</v>
      </c>
      <c r="K12" s="92" t="s">
        <v>55</v>
      </c>
      <c r="L12" s="93" t="s">
        <v>57</v>
      </c>
      <c r="M12" s="94" t="s">
        <v>51</v>
      </c>
      <c r="N12" s="91" t="s">
        <v>53</v>
      </c>
      <c r="O12" s="92" t="s">
        <v>55</v>
      </c>
    </row>
    <row r="13" customFormat="false" ht="14.25" hidden="false" customHeight="false" outlineLevel="0" collapsed="false">
      <c r="B13" s="89"/>
      <c r="C13" s="93" t="s">
        <v>57</v>
      </c>
      <c r="D13" s="94" t="s">
        <v>51</v>
      </c>
      <c r="E13" s="91" t="s">
        <v>53</v>
      </c>
      <c r="F13" s="92" t="s">
        <v>55</v>
      </c>
      <c r="G13" s="93" t="s">
        <v>57</v>
      </c>
      <c r="H13" s="94" t="s">
        <v>51</v>
      </c>
      <c r="I13" s="91" t="s">
        <v>53</v>
      </c>
      <c r="J13" s="92" t="s">
        <v>55</v>
      </c>
      <c r="K13" s="93" t="s">
        <v>57</v>
      </c>
      <c r="L13" s="94" t="s">
        <v>51</v>
      </c>
      <c r="M13" s="91" t="s">
        <v>53</v>
      </c>
      <c r="N13" s="92" t="s">
        <v>55</v>
      </c>
      <c r="O13" s="93" t="s">
        <v>57</v>
      </c>
    </row>
    <row r="15" customFormat="false" ht="14.25" hidden="false" customHeight="false" outlineLevel="0" collapsed="false">
      <c r="B15" s="95" t="s">
        <v>102</v>
      </c>
    </row>
    <row r="16" customFormat="false" ht="14.25" hidden="false" customHeight="false" outlineLevel="0" collapsed="false">
      <c r="B16" s="7" t="s">
        <v>103</v>
      </c>
      <c r="C16" s="7" t="s">
        <v>104</v>
      </c>
      <c r="D16" s="1" t="s">
        <v>105</v>
      </c>
      <c r="F16" s="7"/>
      <c r="G16" s="7" t="s">
        <v>103</v>
      </c>
      <c r="H16" s="7" t="s">
        <v>104</v>
      </c>
      <c r="I16" s="7"/>
      <c r="J16" s="95"/>
    </row>
    <row r="17" customFormat="false" ht="14.25" hidden="false" customHeight="false" outlineLevel="0" collapsed="false">
      <c r="B17" s="8" t="s">
        <v>51</v>
      </c>
      <c r="C17" s="9" t="s">
        <v>49</v>
      </c>
      <c r="D17" s="96" t="n">
        <v>45435</v>
      </c>
      <c r="E17" s="97" t="s">
        <v>59</v>
      </c>
      <c r="F17" s="7"/>
      <c r="G17" s="7" t="s">
        <v>55</v>
      </c>
      <c r="H17" s="8" t="n">
        <v>11171</v>
      </c>
    </row>
    <row r="18" customFormat="false" ht="14.25" hidden="false" customHeight="false" outlineLevel="0" collapsed="false">
      <c r="B18" s="8" t="s">
        <v>53</v>
      </c>
      <c r="C18" s="8" t="n">
        <v>11197</v>
      </c>
      <c r="F18" s="7"/>
      <c r="G18" s="7" t="s">
        <v>57</v>
      </c>
      <c r="H18" s="8" t="n">
        <v>21261</v>
      </c>
    </row>
    <row r="19" customFormat="false" ht="14.25" hidden="false" customHeight="false" outlineLevel="0" collapsed="false">
      <c r="B19" s="8"/>
      <c r="C19" s="8"/>
      <c r="D19" s="7"/>
      <c r="E19" s="8"/>
      <c r="F19" s="7"/>
    </row>
    <row r="20" customFormat="false" ht="14.25" hidden="false" customHeight="false" outlineLevel="0" collapsed="false">
      <c r="B20" s="98" t="s">
        <v>106</v>
      </c>
      <c r="C20" s="8"/>
      <c r="D20" s="8"/>
      <c r="E20" s="8"/>
    </row>
    <row r="21" customFormat="false" ht="15.75" hidden="false" customHeight="true" outlineLevel="0" collapsed="false">
      <c r="B21" s="85"/>
      <c r="C21" s="87" t="n">
        <v>45446</v>
      </c>
      <c r="D21" s="87" t="n">
        <f aca="false">C21+1</f>
        <v>45447</v>
      </c>
      <c r="E21" s="87" t="n">
        <f aca="false">D21+1</f>
        <v>45448</v>
      </c>
      <c r="F21" s="87" t="n">
        <f aca="false">E21+1</f>
        <v>45449</v>
      </c>
      <c r="G21" s="87" t="n">
        <f aca="false">F21+1</f>
        <v>45450</v>
      </c>
      <c r="H21" s="87" t="n">
        <f aca="false">G21+1</f>
        <v>45451</v>
      </c>
      <c r="I21" s="87" t="n">
        <f aca="false">H21+1</f>
        <v>45452</v>
      </c>
      <c r="J21" s="87" t="n">
        <f aca="false">I21+1</f>
        <v>45453</v>
      </c>
      <c r="K21" s="87" t="n">
        <f aca="false">J21+1</f>
        <v>45454</v>
      </c>
      <c r="L21" s="87" t="n">
        <f aca="false">K21+1</f>
        <v>45455</v>
      </c>
      <c r="M21" s="87" t="n">
        <f aca="false">L21+1</f>
        <v>45456</v>
      </c>
      <c r="N21" s="87" t="n">
        <f aca="false">M21+1</f>
        <v>45457</v>
      </c>
      <c r="O21" s="87" t="n">
        <f aca="false">N21+1</f>
        <v>45458</v>
      </c>
    </row>
    <row r="22" customFormat="false" ht="14.25" hidden="false" customHeight="false" outlineLevel="0" collapsed="false">
      <c r="B22" s="89" t="s">
        <v>100</v>
      </c>
      <c r="C22" s="91" t="s">
        <v>53</v>
      </c>
      <c r="D22" s="92" t="s">
        <v>55</v>
      </c>
      <c r="E22" s="93" t="s">
        <v>57</v>
      </c>
      <c r="F22" s="94" t="s">
        <v>51</v>
      </c>
      <c r="G22" s="91" t="s">
        <v>53</v>
      </c>
      <c r="H22" s="92" t="s">
        <v>55</v>
      </c>
      <c r="I22" s="93" t="s">
        <v>57</v>
      </c>
      <c r="J22" s="94" t="s">
        <v>51</v>
      </c>
      <c r="K22" s="91" t="s">
        <v>53</v>
      </c>
      <c r="L22" s="92" t="s">
        <v>55</v>
      </c>
      <c r="M22" s="93" t="s">
        <v>57</v>
      </c>
      <c r="N22" s="94" t="s">
        <v>51</v>
      </c>
      <c r="O22" s="91" t="s">
        <v>53</v>
      </c>
    </row>
    <row r="23" customFormat="false" ht="14.25" hidden="false" customHeight="false" outlineLevel="0" collapsed="false">
      <c r="B23" s="89"/>
      <c r="C23" s="92" t="s">
        <v>55</v>
      </c>
      <c r="D23" s="93" t="s">
        <v>57</v>
      </c>
      <c r="E23" s="94" t="s">
        <v>51</v>
      </c>
      <c r="F23" s="91" t="s">
        <v>53</v>
      </c>
      <c r="G23" s="92" t="s">
        <v>55</v>
      </c>
      <c r="H23" s="93" t="s">
        <v>57</v>
      </c>
      <c r="I23" s="94" t="s">
        <v>51</v>
      </c>
      <c r="J23" s="91" t="s">
        <v>53</v>
      </c>
      <c r="K23" s="92" t="s">
        <v>55</v>
      </c>
      <c r="L23" s="93" t="s">
        <v>57</v>
      </c>
      <c r="M23" s="94" t="s">
        <v>51</v>
      </c>
      <c r="N23" s="91" t="s">
        <v>53</v>
      </c>
      <c r="O23" s="92" t="s">
        <v>55</v>
      </c>
    </row>
    <row r="24" customFormat="false" ht="14.25" hidden="false" customHeight="false" outlineLevel="0" collapsed="false">
      <c r="B24" s="89" t="s">
        <v>101</v>
      </c>
      <c r="C24" s="93" t="s">
        <v>57</v>
      </c>
      <c r="D24" s="94" t="s">
        <v>51</v>
      </c>
      <c r="E24" s="91" t="s">
        <v>53</v>
      </c>
      <c r="F24" s="92" t="s">
        <v>55</v>
      </c>
      <c r="G24" s="93" t="s">
        <v>57</v>
      </c>
      <c r="H24" s="94" t="s">
        <v>51</v>
      </c>
      <c r="I24" s="91" t="s">
        <v>53</v>
      </c>
      <c r="J24" s="92" t="s">
        <v>55</v>
      </c>
      <c r="K24" s="93" t="s">
        <v>57</v>
      </c>
      <c r="L24" s="94" t="s">
        <v>51</v>
      </c>
      <c r="M24" s="91" t="s">
        <v>53</v>
      </c>
      <c r="N24" s="92" t="s">
        <v>55</v>
      </c>
      <c r="O24" s="93" t="s">
        <v>57</v>
      </c>
    </row>
    <row r="25" customFormat="false" ht="14.25" hidden="false" customHeight="false" outlineLevel="0" collapsed="false">
      <c r="B25" s="89"/>
      <c r="C25" s="94" t="s">
        <v>51</v>
      </c>
      <c r="D25" s="91" t="s">
        <v>53</v>
      </c>
      <c r="E25" s="92" t="s">
        <v>55</v>
      </c>
      <c r="F25" s="93" t="s">
        <v>57</v>
      </c>
      <c r="G25" s="94" t="s">
        <v>51</v>
      </c>
      <c r="H25" s="91" t="s">
        <v>53</v>
      </c>
      <c r="I25" s="92" t="s">
        <v>55</v>
      </c>
      <c r="J25" s="93" t="s">
        <v>57</v>
      </c>
      <c r="K25" s="94" t="s">
        <v>51</v>
      </c>
      <c r="L25" s="91" t="s">
        <v>53</v>
      </c>
      <c r="M25" s="92" t="s">
        <v>55</v>
      </c>
      <c r="N25" s="93" t="s">
        <v>57</v>
      </c>
      <c r="O25" s="94" t="s">
        <v>51</v>
      </c>
    </row>
    <row r="26" customFormat="false" ht="14.25" hidden="false" customHeight="false" outlineLevel="0" collapsed="false">
      <c r="E26" s="85"/>
    </row>
    <row r="27" customFormat="false" ht="14.25" hidden="false" customHeight="false" outlineLevel="0" collapsed="false">
      <c r="E27" s="85"/>
    </row>
    <row r="28" customFormat="false" ht="14.25" hidden="false" customHeight="false" outlineLevel="0" collapsed="false">
      <c r="B28" s="85"/>
      <c r="C28" s="87" t="n">
        <v>45459</v>
      </c>
      <c r="D28" s="87" t="n">
        <f aca="false">C28+1</f>
        <v>45460</v>
      </c>
      <c r="E28" s="87" t="n">
        <f aca="false">D28+1</f>
        <v>45461</v>
      </c>
      <c r="F28" s="87" t="n">
        <f aca="false">E28+1</f>
        <v>45462</v>
      </c>
    </row>
    <row r="29" customFormat="false" ht="14.25" hidden="false" customHeight="false" outlineLevel="0" collapsed="false">
      <c r="B29" s="89" t="s">
        <v>100</v>
      </c>
      <c r="C29" s="92" t="s">
        <v>55</v>
      </c>
      <c r="D29" s="93" t="s">
        <v>57</v>
      </c>
      <c r="E29" s="94" t="s">
        <v>51</v>
      </c>
      <c r="F29" s="91" t="s">
        <v>53</v>
      </c>
    </row>
    <row r="30" customFormat="false" ht="14.25" hidden="false" customHeight="false" outlineLevel="0" collapsed="false">
      <c r="B30" s="89"/>
      <c r="C30" s="93" t="s">
        <v>57</v>
      </c>
      <c r="D30" s="94" t="s">
        <v>51</v>
      </c>
      <c r="E30" s="91" t="s">
        <v>53</v>
      </c>
      <c r="F30" s="92" t="s">
        <v>55</v>
      </c>
    </row>
    <row r="31" customFormat="false" ht="14.25" hidden="false" customHeight="false" outlineLevel="0" collapsed="false">
      <c r="B31" s="89" t="s">
        <v>101</v>
      </c>
      <c r="C31" s="94" t="s">
        <v>51</v>
      </c>
      <c r="D31" s="91" t="s">
        <v>53</v>
      </c>
      <c r="E31" s="92" t="s">
        <v>55</v>
      </c>
      <c r="F31" s="93" t="s">
        <v>57</v>
      </c>
    </row>
    <row r="32" customFormat="false" ht="14.25" hidden="false" customHeight="false" outlineLevel="0" collapsed="false">
      <c r="B32" s="89"/>
      <c r="C32" s="91" t="s">
        <v>53</v>
      </c>
      <c r="D32" s="92" t="s">
        <v>55</v>
      </c>
      <c r="E32" s="93" t="s">
        <v>57</v>
      </c>
      <c r="F32" s="94" t="s">
        <v>51</v>
      </c>
    </row>
    <row r="35" customFormat="false" ht="14.25" hidden="false" customHeight="false" outlineLevel="0" collapsed="false">
      <c r="H35" s="99" t="s">
        <v>107</v>
      </c>
      <c r="I35" s="99"/>
      <c r="J35" s="99"/>
      <c r="K35" s="99"/>
      <c r="L35" s="99"/>
      <c r="M35" s="99"/>
      <c r="N35" s="99"/>
      <c r="O35" s="99"/>
      <c r="P35" s="99"/>
      <c r="Q35" s="99"/>
    </row>
    <row r="38" customFormat="false" ht="14.25" hidden="false" customHeight="false" outlineLevel="0" collapsed="false">
      <c r="D38" s="100"/>
    </row>
    <row r="39" customFormat="false" ht="14.25" hidden="false" customHeight="false" outlineLevel="0" collapsed="false">
      <c r="B39" s="101" t="s">
        <v>108</v>
      </c>
      <c r="C39" s="101"/>
      <c r="D39" s="101"/>
      <c r="E39" s="101"/>
      <c r="F39" s="101"/>
    </row>
    <row r="40" customFormat="false" ht="14.25" hidden="false" customHeight="false" outlineLevel="0" collapsed="false">
      <c r="D40" s="100"/>
    </row>
    <row r="41" customFormat="false" ht="14.25" hidden="false" customHeight="false" outlineLevel="0" collapsed="false">
      <c r="D41" s="100"/>
    </row>
    <row r="42" customFormat="false" ht="14.25" hidden="false" customHeight="false" outlineLevel="0" collapsed="false">
      <c r="A42" s="19" t="s">
        <v>109</v>
      </c>
      <c r="B42" s="19"/>
      <c r="C42" s="19"/>
      <c r="D42" s="102" t="s">
        <v>110</v>
      </c>
      <c r="E42" s="19"/>
      <c r="G42" s="103" t="s">
        <v>111</v>
      </c>
      <c r="H42" s="103"/>
      <c r="I42" s="103" t="s">
        <v>112</v>
      </c>
      <c r="J42" s="103"/>
      <c r="K42" s="103"/>
      <c r="L42" s="103"/>
    </row>
    <row r="43" customFormat="false" ht="14.25" hidden="false" customHeight="false" outlineLevel="0" collapsed="false">
      <c r="A43" s="19"/>
      <c r="B43" s="19"/>
      <c r="C43" s="19"/>
      <c r="D43" s="102" t="s">
        <v>113</v>
      </c>
      <c r="E43" s="19"/>
      <c r="G43" s="104" t="s">
        <v>51</v>
      </c>
      <c r="H43" s="102" t="s">
        <v>49</v>
      </c>
      <c r="I43" s="105" t="n">
        <v>45435</v>
      </c>
      <c r="J43" s="102" t="s">
        <v>59</v>
      </c>
      <c r="K43" s="19"/>
      <c r="L43" s="19"/>
    </row>
    <row r="44" customFormat="false" ht="14.25" hidden="false" customHeight="false" outlineLevel="0" collapsed="false">
      <c r="A44" s="19" t="n">
        <v>31</v>
      </c>
      <c r="B44" s="20" t="n">
        <v>3442</v>
      </c>
      <c r="C44" s="19"/>
      <c r="D44" s="102" t="s">
        <v>114</v>
      </c>
      <c r="E44" s="19"/>
      <c r="G44" s="104" t="s">
        <v>53</v>
      </c>
      <c r="H44" s="102" t="n">
        <v>11197</v>
      </c>
      <c r="I44" s="19"/>
      <c r="J44" s="19"/>
      <c r="K44" s="19"/>
      <c r="L44" s="19"/>
    </row>
    <row r="45" customFormat="false" ht="14.25" hidden="false" customHeight="false" outlineLevel="0" collapsed="false">
      <c r="A45" s="19" t="n">
        <v>32</v>
      </c>
      <c r="B45" s="20" t="s">
        <v>54</v>
      </c>
      <c r="C45" s="19"/>
      <c r="D45" s="102" t="s">
        <v>114</v>
      </c>
      <c r="E45" s="19"/>
      <c r="G45" s="104" t="s">
        <v>55</v>
      </c>
      <c r="H45" s="102" t="n">
        <v>11171</v>
      </c>
      <c r="I45" s="19"/>
      <c r="J45" s="19"/>
      <c r="K45" s="19"/>
      <c r="L45" s="19"/>
    </row>
    <row r="46" customFormat="false" ht="14.25" hidden="false" customHeight="false" outlineLevel="0" collapsed="false">
      <c r="A46" s="19" t="n">
        <v>33</v>
      </c>
      <c r="B46" s="20" t="s">
        <v>56</v>
      </c>
      <c r="C46" s="19"/>
      <c r="D46" s="102" t="s">
        <v>114</v>
      </c>
      <c r="E46" s="19"/>
      <c r="G46" s="104" t="s">
        <v>57</v>
      </c>
      <c r="H46" s="102" t="n">
        <v>21261</v>
      </c>
      <c r="I46" s="105" t="n">
        <v>45446</v>
      </c>
      <c r="J46" s="19" t="n">
        <v>21296</v>
      </c>
      <c r="K46" s="105" t="n">
        <v>45460</v>
      </c>
      <c r="L46" s="19" t="n">
        <v>11358</v>
      </c>
    </row>
    <row r="47" customFormat="false" ht="14.25" hidden="false" customHeight="false" outlineLevel="0" collapsed="false">
      <c r="A47" s="19" t="n">
        <v>34</v>
      </c>
      <c r="B47" s="20" t="s">
        <v>58</v>
      </c>
      <c r="C47" s="19"/>
      <c r="D47" s="102" t="s">
        <v>115</v>
      </c>
      <c r="E47" s="19"/>
    </row>
    <row r="48" customFormat="false" ht="14.25" hidden="false" customHeight="false" outlineLevel="0" collapsed="false">
      <c r="A48" s="19" t="n">
        <v>35</v>
      </c>
      <c r="B48" s="20" t="s">
        <v>60</v>
      </c>
      <c r="C48" s="19"/>
      <c r="D48" s="102" t="s">
        <v>116</v>
      </c>
      <c r="E48" s="19"/>
    </row>
    <row r="49" customFormat="false" ht="14.25" hidden="false" customHeight="false" outlineLevel="0" collapsed="false">
      <c r="A49" s="19" t="n">
        <v>36</v>
      </c>
      <c r="B49" s="20" t="s">
        <v>61</v>
      </c>
      <c r="C49" s="19"/>
      <c r="D49" s="102" t="s">
        <v>116</v>
      </c>
      <c r="E49" s="19"/>
    </row>
    <row r="50" customFormat="false" ht="14.25" hidden="false" customHeight="false" outlineLevel="0" collapsed="false">
      <c r="B50" s="100"/>
      <c r="D50" s="100"/>
    </row>
    <row r="51" customFormat="false" ht="14.25" hidden="false" customHeight="false" outlineLevel="0" collapsed="false">
      <c r="B51" s="100"/>
      <c r="D51" s="100"/>
    </row>
    <row r="52" customFormat="false" ht="14.25" hidden="false" customHeight="false" outlineLevel="0" collapsed="false">
      <c r="D52" s="100"/>
    </row>
    <row r="53" customFormat="false" ht="17.35" hidden="false" customHeight="false" outlineLevel="0" collapsed="false">
      <c r="B53" s="106" t="s">
        <v>117</v>
      </c>
      <c r="C53" s="107" t="s">
        <v>118</v>
      </c>
      <c r="D53" s="107"/>
      <c r="E53" s="108" t="s">
        <v>119</v>
      </c>
      <c r="F53" s="109" t="s">
        <v>120</v>
      </c>
      <c r="G53" s="110" t="s">
        <v>121</v>
      </c>
      <c r="H53" s="110"/>
      <c r="I53" s="110"/>
      <c r="J53" s="110"/>
    </row>
    <row r="54" customFormat="false" ht="14.25" hidden="false" customHeight="true" outlineLevel="0" collapsed="false">
      <c r="B54" s="111" t="n">
        <v>45433</v>
      </c>
      <c r="C54" s="112" t="n">
        <v>35</v>
      </c>
      <c r="D54" s="113" t="n">
        <v>9555</v>
      </c>
      <c r="E54" s="114" t="s">
        <v>122</v>
      </c>
      <c r="F54" s="115" t="s">
        <v>123</v>
      </c>
      <c r="G54" s="116" t="s">
        <v>124</v>
      </c>
      <c r="H54" s="116"/>
      <c r="I54" s="116"/>
      <c r="J54" s="116"/>
    </row>
    <row r="55" customFormat="false" ht="14.25" hidden="false" customHeight="false" outlineLevel="0" collapsed="false">
      <c r="B55" s="111"/>
      <c r="C55" s="117" t="n">
        <v>36</v>
      </c>
      <c r="D55" s="118" t="n">
        <v>7241</v>
      </c>
      <c r="E55" s="119" t="s">
        <v>125</v>
      </c>
      <c r="F55" s="115"/>
      <c r="G55" s="116"/>
      <c r="H55" s="116"/>
      <c r="I55" s="116"/>
      <c r="J55" s="116"/>
    </row>
    <row r="56" customFormat="false" ht="14.25" hidden="false" customHeight="false" outlineLevel="0" collapsed="false">
      <c r="B56" s="111"/>
      <c r="C56" s="117" t="n">
        <v>31</v>
      </c>
      <c r="D56" s="118" t="n">
        <v>3442</v>
      </c>
      <c r="E56" s="120" t="s">
        <v>126</v>
      </c>
      <c r="F56" s="121" t="s">
        <v>127</v>
      </c>
      <c r="G56" s="116"/>
      <c r="H56" s="116"/>
      <c r="I56" s="116"/>
      <c r="J56" s="116"/>
    </row>
    <row r="57" customFormat="false" ht="14.25" hidden="false" customHeight="false" outlineLevel="0" collapsed="false">
      <c r="B57" s="111"/>
      <c r="C57" s="122" t="n">
        <v>32</v>
      </c>
      <c r="D57" s="123" t="s">
        <v>54</v>
      </c>
      <c r="E57" s="124" t="s">
        <v>128</v>
      </c>
      <c r="F57" s="121"/>
      <c r="G57" s="116"/>
      <c r="H57" s="116"/>
      <c r="I57" s="116"/>
      <c r="J57" s="116"/>
    </row>
    <row r="58" customFormat="false" ht="14.25" hidden="false" customHeight="true" outlineLevel="0" collapsed="false">
      <c r="B58" s="111" t="n">
        <v>45434</v>
      </c>
      <c r="C58" s="112" t="n">
        <v>35</v>
      </c>
      <c r="D58" s="113" t="n">
        <v>9555</v>
      </c>
      <c r="E58" s="125" t="s">
        <v>122</v>
      </c>
      <c r="F58" s="115" t="s">
        <v>123</v>
      </c>
      <c r="G58" s="116" t="s">
        <v>129</v>
      </c>
      <c r="H58" s="116"/>
      <c r="I58" s="116"/>
      <c r="J58" s="116"/>
    </row>
    <row r="59" customFormat="false" ht="14.25" hidden="false" customHeight="false" outlineLevel="0" collapsed="false">
      <c r="B59" s="111"/>
      <c r="C59" s="117" t="n">
        <v>31</v>
      </c>
      <c r="D59" s="118" t="n">
        <v>3442</v>
      </c>
      <c r="E59" s="126" t="s">
        <v>126</v>
      </c>
      <c r="F59" s="115"/>
      <c r="G59" s="116"/>
      <c r="H59" s="116"/>
      <c r="I59" s="116"/>
      <c r="J59" s="116"/>
    </row>
    <row r="60" customFormat="false" ht="14.25" hidden="false" customHeight="false" outlineLevel="0" collapsed="false">
      <c r="B60" s="111"/>
      <c r="C60" s="117" t="n">
        <v>32</v>
      </c>
      <c r="D60" s="118" t="s">
        <v>54</v>
      </c>
      <c r="E60" s="126" t="s">
        <v>130</v>
      </c>
      <c r="F60" s="121" t="s">
        <v>127</v>
      </c>
      <c r="G60" s="116"/>
      <c r="H60" s="116"/>
      <c r="I60" s="116"/>
      <c r="J60" s="116"/>
    </row>
    <row r="61" customFormat="false" ht="14.25" hidden="false" customHeight="false" outlineLevel="0" collapsed="false">
      <c r="B61" s="111"/>
      <c r="C61" s="122" t="n">
        <v>36</v>
      </c>
      <c r="D61" s="123" t="n">
        <v>7241</v>
      </c>
      <c r="E61" s="127" t="s">
        <v>131</v>
      </c>
      <c r="F61" s="121"/>
      <c r="G61" s="116"/>
      <c r="H61" s="116"/>
      <c r="I61" s="116"/>
      <c r="J61" s="116"/>
    </row>
    <row r="62" customFormat="false" ht="14.25" hidden="false" customHeight="true" outlineLevel="0" collapsed="false">
      <c r="B62" s="111" t="n">
        <v>45435</v>
      </c>
      <c r="C62" s="112" t="n">
        <v>31</v>
      </c>
      <c r="D62" s="113" t="s">
        <v>132</v>
      </c>
      <c r="E62" s="125" t="s">
        <v>126</v>
      </c>
      <c r="F62" s="115" t="s">
        <v>123</v>
      </c>
      <c r="G62" s="128" t="s">
        <v>133</v>
      </c>
      <c r="H62" s="128"/>
      <c r="I62" s="128"/>
      <c r="J62" s="128"/>
    </row>
    <row r="63" customFormat="false" ht="14.25" hidden="false" customHeight="false" outlineLevel="0" collapsed="false">
      <c r="B63" s="111"/>
      <c r="C63" s="117" t="n">
        <v>32</v>
      </c>
      <c r="D63" s="118" t="s">
        <v>54</v>
      </c>
      <c r="E63" s="126" t="s">
        <v>130</v>
      </c>
      <c r="F63" s="115"/>
      <c r="G63" s="128"/>
      <c r="H63" s="128"/>
      <c r="I63" s="128"/>
      <c r="J63" s="128"/>
    </row>
    <row r="64" customFormat="false" ht="14.25" hidden="false" customHeight="false" outlineLevel="0" collapsed="false">
      <c r="B64" s="111"/>
      <c r="C64" s="117" t="n">
        <v>36</v>
      </c>
      <c r="D64" s="118" t="s">
        <v>61</v>
      </c>
      <c r="E64" s="129" t="s">
        <v>134</v>
      </c>
      <c r="F64" s="121" t="s">
        <v>127</v>
      </c>
      <c r="G64" s="128"/>
      <c r="H64" s="128"/>
      <c r="I64" s="128"/>
      <c r="J64" s="128"/>
    </row>
    <row r="65" customFormat="false" ht="14.25" hidden="false" customHeight="false" outlineLevel="0" collapsed="false">
      <c r="B65" s="111"/>
      <c r="C65" s="122" t="n">
        <v>35</v>
      </c>
      <c r="D65" s="123" t="s">
        <v>60</v>
      </c>
      <c r="E65" s="127" t="s">
        <v>122</v>
      </c>
      <c r="F65" s="121"/>
      <c r="G65" s="128"/>
      <c r="H65" s="128"/>
      <c r="I65" s="128"/>
      <c r="J65" s="128"/>
    </row>
    <row r="66" customFormat="false" ht="14.25" hidden="false" customHeight="true" outlineLevel="0" collapsed="false">
      <c r="B66" s="111" t="n">
        <v>45436</v>
      </c>
      <c r="C66" s="112" t="n">
        <v>32</v>
      </c>
      <c r="D66" s="113" t="s">
        <v>54</v>
      </c>
      <c r="E66" s="125" t="s">
        <v>130</v>
      </c>
      <c r="F66" s="115" t="s">
        <v>123</v>
      </c>
      <c r="G66" s="116" t="s">
        <v>135</v>
      </c>
      <c r="H66" s="116"/>
      <c r="I66" s="116"/>
      <c r="J66" s="116"/>
    </row>
    <row r="67" customFormat="false" ht="14.25" hidden="false" customHeight="false" outlineLevel="0" collapsed="false">
      <c r="B67" s="111"/>
      <c r="C67" s="117" t="n">
        <v>33</v>
      </c>
      <c r="D67" s="118" t="s">
        <v>56</v>
      </c>
      <c r="E67" s="126" t="s">
        <v>134</v>
      </c>
      <c r="F67" s="115"/>
      <c r="G67" s="116"/>
      <c r="H67" s="116"/>
      <c r="I67" s="116"/>
      <c r="J67" s="116"/>
    </row>
    <row r="68" customFormat="false" ht="14.25" hidden="false" customHeight="false" outlineLevel="0" collapsed="false">
      <c r="B68" s="111"/>
      <c r="C68" s="117" t="n">
        <v>35</v>
      </c>
      <c r="D68" s="118" t="s">
        <v>60</v>
      </c>
      <c r="E68" s="126" t="s">
        <v>122</v>
      </c>
      <c r="F68" s="121" t="s">
        <v>127</v>
      </c>
      <c r="G68" s="116"/>
      <c r="H68" s="116"/>
      <c r="I68" s="116"/>
      <c r="J68" s="116"/>
    </row>
    <row r="69" customFormat="false" ht="14.25" hidden="false" customHeight="false" outlineLevel="0" collapsed="false">
      <c r="B69" s="111"/>
      <c r="C69" s="122" t="n">
        <v>31</v>
      </c>
      <c r="D69" s="123" t="s">
        <v>132</v>
      </c>
      <c r="E69" s="127" t="s">
        <v>126</v>
      </c>
      <c r="F69" s="121"/>
      <c r="G69" s="116"/>
      <c r="H69" s="116"/>
      <c r="I69" s="116"/>
      <c r="J69" s="116"/>
    </row>
    <row r="70" customFormat="false" ht="14.25" hidden="false" customHeight="true" outlineLevel="0" collapsed="false">
      <c r="B70" s="111" t="n">
        <v>45437</v>
      </c>
      <c r="C70" s="112" t="n">
        <v>33</v>
      </c>
      <c r="D70" s="113" t="s">
        <v>56</v>
      </c>
      <c r="E70" s="125" t="s">
        <v>134</v>
      </c>
      <c r="F70" s="115" t="s">
        <v>123</v>
      </c>
      <c r="G70" s="116" t="s">
        <v>136</v>
      </c>
      <c r="H70" s="116"/>
      <c r="I70" s="116"/>
      <c r="J70" s="116"/>
    </row>
    <row r="71" customFormat="false" ht="14.25" hidden="false" customHeight="false" outlineLevel="0" collapsed="false">
      <c r="B71" s="111"/>
      <c r="C71" s="117" t="n">
        <v>36</v>
      </c>
      <c r="D71" s="118" t="s">
        <v>61</v>
      </c>
      <c r="E71" s="126" t="s">
        <v>122</v>
      </c>
      <c r="F71" s="115"/>
      <c r="G71" s="116"/>
      <c r="H71" s="116"/>
      <c r="I71" s="116"/>
      <c r="J71" s="116"/>
    </row>
    <row r="72" customFormat="false" ht="14.25" hidden="false" customHeight="false" outlineLevel="0" collapsed="false">
      <c r="B72" s="111"/>
      <c r="C72" s="117" t="n">
        <v>35</v>
      </c>
      <c r="D72" s="118" t="s">
        <v>60</v>
      </c>
      <c r="E72" s="126" t="s">
        <v>126</v>
      </c>
      <c r="F72" s="121" t="s">
        <v>127</v>
      </c>
      <c r="G72" s="116"/>
      <c r="H72" s="116"/>
      <c r="I72" s="116"/>
      <c r="J72" s="116"/>
    </row>
    <row r="73" customFormat="false" ht="57" hidden="false" customHeight="true" outlineLevel="0" collapsed="false">
      <c r="B73" s="111"/>
      <c r="C73" s="122" t="n">
        <v>32</v>
      </c>
      <c r="D73" s="123" t="s">
        <v>54</v>
      </c>
      <c r="E73" s="127" t="s">
        <v>130</v>
      </c>
      <c r="F73" s="121"/>
      <c r="G73" s="116"/>
      <c r="H73" s="116"/>
      <c r="I73" s="116"/>
      <c r="J73" s="116"/>
    </row>
    <row r="74" customFormat="false" ht="14.25" hidden="false" customHeight="true" outlineLevel="0" collapsed="false">
      <c r="B74" s="111" t="n">
        <v>45438</v>
      </c>
      <c r="C74" s="112" t="n">
        <v>36</v>
      </c>
      <c r="D74" s="113" t="s">
        <v>61</v>
      </c>
      <c r="E74" s="125" t="s">
        <v>122</v>
      </c>
      <c r="F74" s="115" t="s">
        <v>123</v>
      </c>
      <c r="G74" s="116" t="s">
        <v>137</v>
      </c>
      <c r="H74" s="116"/>
      <c r="I74" s="116"/>
      <c r="J74" s="116"/>
    </row>
    <row r="75" customFormat="false" ht="14.25" hidden="false" customHeight="false" outlineLevel="0" collapsed="false">
      <c r="B75" s="111"/>
      <c r="C75" s="117" t="n">
        <v>35</v>
      </c>
      <c r="D75" s="118" t="s">
        <v>60</v>
      </c>
      <c r="E75" s="126" t="s">
        <v>126</v>
      </c>
      <c r="F75" s="115"/>
      <c r="G75" s="116"/>
      <c r="H75" s="116"/>
      <c r="I75" s="116"/>
      <c r="J75" s="116"/>
    </row>
    <row r="76" customFormat="false" ht="14.25" hidden="false" customHeight="false" outlineLevel="0" collapsed="false">
      <c r="B76" s="111"/>
      <c r="C76" s="117" t="n">
        <v>33</v>
      </c>
      <c r="D76" s="118" t="s">
        <v>56</v>
      </c>
      <c r="E76" s="125" t="s">
        <v>134</v>
      </c>
      <c r="F76" s="121" t="s">
        <v>127</v>
      </c>
      <c r="G76" s="116"/>
      <c r="H76" s="116"/>
      <c r="I76" s="116"/>
      <c r="J76" s="116"/>
    </row>
    <row r="77" customFormat="false" ht="14.25" hidden="false" customHeight="false" outlineLevel="0" collapsed="false">
      <c r="B77" s="111"/>
      <c r="C77" s="122" t="n">
        <v>31</v>
      </c>
      <c r="D77" s="123" t="s">
        <v>132</v>
      </c>
      <c r="E77" s="127" t="s">
        <v>130</v>
      </c>
      <c r="F77" s="121"/>
      <c r="G77" s="116"/>
      <c r="H77" s="116"/>
      <c r="I77" s="116"/>
      <c r="J77" s="116"/>
    </row>
    <row r="78" customFormat="false" ht="14.25" hidden="false" customHeight="true" outlineLevel="0" collapsed="false">
      <c r="B78" s="111" t="n">
        <v>45439</v>
      </c>
      <c r="C78" s="112" t="n">
        <v>35</v>
      </c>
      <c r="D78" s="130" t="s">
        <v>60</v>
      </c>
      <c r="E78" s="114" t="s">
        <v>126</v>
      </c>
      <c r="F78" s="115" t="s">
        <v>123</v>
      </c>
      <c r="G78" s="116" t="s">
        <v>138</v>
      </c>
      <c r="H78" s="116"/>
      <c r="I78" s="116"/>
      <c r="J78" s="116"/>
    </row>
    <row r="79" customFormat="false" ht="14.25" hidden="false" customHeight="false" outlineLevel="0" collapsed="false">
      <c r="B79" s="111"/>
      <c r="C79" s="117" t="n">
        <v>31</v>
      </c>
      <c r="D79" s="131" t="s">
        <v>132</v>
      </c>
      <c r="E79" s="120" t="s">
        <v>130</v>
      </c>
      <c r="F79" s="115"/>
      <c r="G79" s="116"/>
      <c r="H79" s="116"/>
      <c r="I79" s="116"/>
      <c r="J79" s="116"/>
    </row>
    <row r="80" customFormat="false" ht="14.25" hidden="false" customHeight="false" outlineLevel="0" collapsed="false">
      <c r="B80" s="111"/>
      <c r="C80" s="117" t="n">
        <v>32</v>
      </c>
      <c r="D80" s="131" t="s">
        <v>54</v>
      </c>
      <c r="E80" s="125" t="s">
        <v>134</v>
      </c>
      <c r="F80" s="121" t="s">
        <v>127</v>
      </c>
      <c r="G80" s="116"/>
      <c r="H80" s="116"/>
      <c r="I80" s="116"/>
      <c r="J80" s="116"/>
    </row>
    <row r="81" customFormat="false" ht="91.5" hidden="false" customHeight="true" outlineLevel="0" collapsed="false">
      <c r="B81" s="111"/>
      <c r="C81" s="122" t="n">
        <v>36</v>
      </c>
      <c r="D81" s="123" t="s">
        <v>61</v>
      </c>
      <c r="E81" s="127" t="s">
        <v>122</v>
      </c>
      <c r="F81" s="121"/>
      <c r="G81" s="116"/>
      <c r="H81" s="116"/>
      <c r="I81" s="116"/>
      <c r="J81" s="116"/>
    </row>
    <row r="82" customFormat="false" ht="14.25" hidden="false" customHeight="true" outlineLevel="0" collapsed="false">
      <c r="B82" s="111" t="n">
        <v>45440</v>
      </c>
      <c r="C82" s="112" t="n">
        <v>32</v>
      </c>
      <c r="D82" s="113" t="s">
        <v>54</v>
      </c>
      <c r="E82" s="125" t="s">
        <v>134</v>
      </c>
      <c r="F82" s="115" t="s">
        <v>123</v>
      </c>
      <c r="G82" s="116" t="s">
        <v>139</v>
      </c>
      <c r="H82" s="116"/>
      <c r="I82" s="116"/>
      <c r="J82" s="116"/>
    </row>
    <row r="83" customFormat="false" ht="14.25" hidden="false" customHeight="false" outlineLevel="0" collapsed="false">
      <c r="B83" s="111"/>
      <c r="C83" s="117" t="n">
        <v>31</v>
      </c>
      <c r="D83" s="118" t="s">
        <v>132</v>
      </c>
      <c r="E83" s="126" t="s">
        <v>130</v>
      </c>
      <c r="F83" s="115"/>
      <c r="G83" s="116"/>
      <c r="H83" s="116"/>
      <c r="I83" s="116"/>
      <c r="J83" s="116"/>
    </row>
    <row r="84" customFormat="false" ht="14.25" hidden="false" customHeight="false" outlineLevel="0" collapsed="false">
      <c r="B84" s="111"/>
      <c r="C84" s="117" t="n">
        <v>33</v>
      </c>
      <c r="D84" s="118" t="s">
        <v>56</v>
      </c>
      <c r="E84" s="126" t="s">
        <v>122</v>
      </c>
      <c r="F84" s="121" t="s">
        <v>127</v>
      </c>
      <c r="G84" s="116"/>
      <c r="H84" s="116"/>
      <c r="I84" s="116"/>
      <c r="J84" s="116"/>
    </row>
    <row r="85" customFormat="false" ht="105.75" hidden="false" customHeight="true" outlineLevel="0" collapsed="false">
      <c r="B85" s="111"/>
      <c r="C85" s="122" t="n">
        <v>35</v>
      </c>
      <c r="D85" s="123" t="s">
        <v>60</v>
      </c>
      <c r="E85" s="127" t="s">
        <v>126</v>
      </c>
      <c r="F85" s="121"/>
      <c r="G85" s="116"/>
      <c r="H85" s="116"/>
      <c r="I85" s="116"/>
      <c r="J85" s="116"/>
    </row>
    <row r="86" customFormat="false" ht="14.25" hidden="false" customHeight="true" outlineLevel="0" collapsed="false">
      <c r="B86" s="111" t="n">
        <v>45441</v>
      </c>
      <c r="C86" s="112"/>
      <c r="D86" s="113"/>
      <c r="E86" s="125" t="s">
        <v>134</v>
      </c>
      <c r="F86" s="115" t="s">
        <v>123</v>
      </c>
      <c r="G86" s="116" t="s">
        <v>140</v>
      </c>
      <c r="H86" s="116"/>
      <c r="I86" s="116"/>
      <c r="J86" s="116"/>
    </row>
    <row r="87" customFormat="false" ht="14.25" hidden="false" customHeight="false" outlineLevel="0" collapsed="false">
      <c r="B87" s="111"/>
      <c r="C87" s="117" t="n">
        <v>31</v>
      </c>
      <c r="D87" s="118" t="s">
        <v>132</v>
      </c>
      <c r="E87" s="126" t="s">
        <v>122</v>
      </c>
      <c r="F87" s="115"/>
      <c r="G87" s="116"/>
      <c r="H87" s="116"/>
      <c r="I87" s="116"/>
      <c r="J87" s="116"/>
    </row>
    <row r="88" customFormat="false" ht="14.25" hidden="false" customHeight="false" outlineLevel="0" collapsed="false">
      <c r="B88" s="111"/>
      <c r="C88" s="117" t="n">
        <v>36</v>
      </c>
      <c r="D88" s="118" t="s">
        <v>61</v>
      </c>
      <c r="E88" s="126" t="s">
        <v>126</v>
      </c>
      <c r="F88" s="121" t="s">
        <v>127</v>
      </c>
      <c r="G88" s="116"/>
      <c r="H88" s="116"/>
      <c r="I88" s="116"/>
      <c r="J88" s="116"/>
    </row>
    <row r="89" customFormat="false" ht="72" hidden="false" customHeight="true" outlineLevel="0" collapsed="false">
      <c r="B89" s="111"/>
      <c r="C89" s="122" t="n">
        <v>32</v>
      </c>
      <c r="D89" s="123" t="s">
        <v>54</v>
      </c>
      <c r="E89" s="127" t="s">
        <v>141</v>
      </c>
      <c r="F89" s="121"/>
      <c r="G89" s="116"/>
      <c r="H89" s="116"/>
      <c r="I89" s="116"/>
      <c r="J89" s="116"/>
    </row>
    <row r="90" customFormat="false" ht="14.25" hidden="false" customHeight="true" outlineLevel="0" collapsed="false">
      <c r="B90" s="111" t="n">
        <v>45442</v>
      </c>
      <c r="C90" s="112"/>
      <c r="D90" s="113"/>
      <c r="E90" s="125" t="s">
        <v>122</v>
      </c>
      <c r="F90" s="115" t="s">
        <v>123</v>
      </c>
      <c r="G90" s="116" t="s">
        <v>142</v>
      </c>
      <c r="H90" s="116"/>
      <c r="I90" s="116"/>
      <c r="J90" s="116"/>
    </row>
    <row r="91" customFormat="false" ht="14.25" hidden="false" customHeight="false" outlineLevel="0" collapsed="false">
      <c r="B91" s="111"/>
      <c r="C91" s="117" t="n">
        <v>36</v>
      </c>
      <c r="D91" s="118" t="s">
        <v>61</v>
      </c>
      <c r="E91" s="126" t="s">
        <v>126</v>
      </c>
      <c r="F91" s="115"/>
      <c r="G91" s="116"/>
      <c r="H91" s="116"/>
      <c r="I91" s="116"/>
      <c r="J91" s="116"/>
    </row>
    <row r="92" customFormat="false" ht="14.25" hidden="false" customHeight="false" outlineLevel="0" collapsed="false">
      <c r="B92" s="111"/>
      <c r="C92" s="117" t="n">
        <v>31</v>
      </c>
      <c r="D92" s="118" t="s">
        <v>132</v>
      </c>
      <c r="E92" s="126" t="s">
        <v>143</v>
      </c>
      <c r="F92" s="121" t="s">
        <v>127</v>
      </c>
      <c r="G92" s="116"/>
      <c r="H92" s="116"/>
      <c r="I92" s="116"/>
      <c r="J92" s="116"/>
    </row>
    <row r="93" customFormat="false" ht="54.75" hidden="false" customHeight="true" outlineLevel="0" collapsed="false">
      <c r="B93" s="111"/>
      <c r="C93" s="122" t="n">
        <v>32</v>
      </c>
      <c r="D93" s="123" t="s">
        <v>144</v>
      </c>
      <c r="E93" s="127" t="s">
        <v>130</v>
      </c>
      <c r="F93" s="121"/>
      <c r="G93" s="116"/>
      <c r="H93" s="116"/>
      <c r="I93" s="116"/>
      <c r="J93" s="116"/>
    </row>
    <row r="94" customFormat="false" ht="14.25" hidden="false" customHeight="true" outlineLevel="0" collapsed="false">
      <c r="B94" s="111" t="n">
        <v>45443</v>
      </c>
      <c r="C94" s="112" t="n">
        <v>31</v>
      </c>
      <c r="D94" s="113" t="s">
        <v>132</v>
      </c>
      <c r="E94" s="125" t="s">
        <v>130</v>
      </c>
      <c r="F94" s="115" t="s">
        <v>123</v>
      </c>
      <c r="G94" s="116" t="s">
        <v>145</v>
      </c>
      <c r="H94" s="116"/>
      <c r="I94" s="116"/>
      <c r="J94" s="116"/>
    </row>
    <row r="95" customFormat="false" ht="14.25" hidden="false" customHeight="false" outlineLevel="0" collapsed="false">
      <c r="B95" s="111"/>
      <c r="C95" s="117" t="n">
        <v>12</v>
      </c>
      <c r="D95" s="118" t="s">
        <v>146</v>
      </c>
      <c r="E95" s="126" t="s">
        <v>126</v>
      </c>
      <c r="F95" s="115"/>
      <c r="G95" s="116"/>
      <c r="H95" s="116"/>
      <c r="I95" s="116"/>
      <c r="J95" s="116"/>
    </row>
    <row r="96" customFormat="false" ht="14.25" hidden="false" customHeight="false" outlineLevel="0" collapsed="false">
      <c r="B96" s="111"/>
      <c r="C96" s="117" t="n">
        <v>6</v>
      </c>
      <c r="D96" s="118" t="s">
        <v>52</v>
      </c>
      <c r="E96" s="125" t="s">
        <v>134</v>
      </c>
      <c r="F96" s="121" t="s">
        <v>127</v>
      </c>
      <c r="G96" s="116"/>
      <c r="H96" s="116"/>
      <c r="I96" s="116"/>
      <c r="J96" s="116"/>
    </row>
    <row r="97" customFormat="false" ht="14.25" hidden="false" customHeight="false" outlineLevel="0" collapsed="false">
      <c r="B97" s="111"/>
      <c r="C97" s="122" t="n">
        <v>28</v>
      </c>
      <c r="D97" s="123" t="s">
        <v>147</v>
      </c>
      <c r="E97" s="127" t="s">
        <v>122</v>
      </c>
      <c r="F97" s="121"/>
      <c r="G97" s="116"/>
      <c r="H97" s="116"/>
      <c r="I97" s="116"/>
      <c r="J97" s="116"/>
    </row>
    <row r="98" customFormat="false" ht="14.25" hidden="false" customHeight="true" outlineLevel="0" collapsed="false">
      <c r="B98" s="111" t="n">
        <v>45444</v>
      </c>
      <c r="C98" s="112" t="n">
        <v>6</v>
      </c>
      <c r="D98" s="113" t="s">
        <v>52</v>
      </c>
      <c r="E98" s="125" t="s">
        <v>134</v>
      </c>
      <c r="F98" s="115" t="s">
        <v>123</v>
      </c>
      <c r="G98" s="132" t="s">
        <v>148</v>
      </c>
      <c r="H98" s="132"/>
      <c r="I98" s="132"/>
      <c r="J98" s="132"/>
    </row>
    <row r="99" customFormat="false" ht="14.25" hidden="false" customHeight="false" outlineLevel="0" collapsed="false">
      <c r="B99" s="111"/>
      <c r="C99" s="117" t="n">
        <v>31</v>
      </c>
      <c r="D99" s="118" t="s">
        <v>132</v>
      </c>
      <c r="E99" s="126" t="s">
        <v>130</v>
      </c>
      <c r="F99" s="115"/>
      <c r="G99" s="132"/>
      <c r="H99" s="132"/>
      <c r="I99" s="132"/>
      <c r="J99" s="132"/>
    </row>
    <row r="100" customFormat="false" ht="14.25" hidden="false" customHeight="false" outlineLevel="0" collapsed="false">
      <c r="B100" s="111"/>
      <c r="C100" s="117" t="n">
        <v>28</v>
      </c>
      <c r="D100" s="118" t="s">
        <v>147</v>
      </c>
      <c r="E100" s="126" t="s">
        <v>122</v>
      </c>
      <c r="F100" s="121" t="s">
        <v>127</v>
      </c>
      <c r="G100" s="132"/>
      <c r="H100" s="132"/>
      <c r="I100" s="132"/>
      <c r="J100" s="132"/>
    </row>
    <row r="101" customFormat="false" ht="14.25" hidden="false" customHeight="false" outlineLevel="0" collapsed="false">
      <c r="B101" s="111"/>
      <c r="C101" s="122" t="n">
        <v>12</v>
      </c>
      <c r="D101" s="123" t="s">
        <v>146</v>
      </c>
      <c r="E101" s="127" t="s">
        <v>126</v>
      </c>
      <c r="F101" s="121"/>
      <c r="G101" s="132"/>
      <c r="H101" s="132"/>
      <c r="I101" s="132"/>
      <c r="J101" s="132"/>
    </row>
    <row r="102" customFormat="false" ht="14.25" hidden="false" customHeight="true" outlineLevel="0" collapsed="false">
      <c r="B102" s="111" t="n">
        <v>45445</v>
      </c>
      <c r="C102" s="133" t="n">
        <v>17</v>
      </c>
      <c r="D102" s="134" t="n">
        <v>9233</v>
      </c>
      <c r="E102" s="125" t="s">
        <v>134</v>
      </c>
      <c r="F102" s="115" t="s">
        <v>123</v>
      </c>
      <c r="G102" s="135" t="s">
        <v>149</v>
      </c>
      <c r="H102" s="135"/>
      <c r="I102" s="135"/>
      <c r="J102" s="135"/>
      <c r="K102" s="1" t="s">
        <v>150</v>
      </c>
    </row>
    <row r="103" customFormat="false" ht="14.25" hidden="false" customHeight="false" outlineLevel="0" collapsed="false">
      <c r="B103" s="111"/>
      <c r="C103" s="136" t="n">
        <v>28</v>
      </c>
      <c r="D103" s="137" t="n">
        <v>8968</v>
      </c>
      <c r="E103" s="19" t="s">
        <v>122</v>
      </c>
      <c r="F103" s="115"/>
      <c r="G103" s="135"/>
      <c r="H103" s="135"/>
      <c r="I103" s="135"/>
      <c r="J103" s="135"/>
    </row>
    <row r="104" customFormat="false" ht="14.25" hidden="false" customHeight="false" outlineLevel="0" collapsed="false">
      <c r="B104" s="111"/>
      <c r="C104" s="19" t="n">
        <v>12</v>
      </c>
      <c r="D104" s="102" t="n">
        <v>2777</v>
      </c>
      <c r="E104" s="19" t="s">
        <v>126</v>
      </c>
      <c r="F104" s="121" t="s">
        <v>127</v>
      </c>
      <c r="G104" s="135"/>
      <c r="H104" s="135"/>
      <c r="I104" s="135"/>
      <c r="J104" s="135"/>
    </row>
    <row r="105" customFormat="false" ht="14.25" hidden="false" customHeight="false" outlineLevel="0" collapsed="false">
      <c r="B105" s="111"/>
      <c r="C105" s="138" t="n">
        <v>31</v>
      </c>
      <c r="D105" s="139" t="n">
        <v>3442</v>
      </c>
      <c r="E105" s="138" t="s">
        <v>130</v>
      </c>
      <c r="F105" s="121"/>
      <c r="G105" s="135"/>
      <c r="H105" s="135"/>
      <c r="I105" s="135"/>
      <c r="J105" s="135"/>
    </row>
    <row r="106" customFormat="false" ht="14.25" hidden="false" customHeight="true" outlineLevel="0" collapsed="false">
      <c r="B106" s="111" t="n">
        <v>45446</v>
      </c>
      <c r="C106" s="140" t="n">
        <v>6</v>
      </c>
      <c r="D106" s="141" t="s">
        <v>52</v>
      </c>
      <c r="E106" s="140" t="s">
        <v>122</v>
      </c>
      <c r="F106" s="115" t="s">
        <v>123</v>
      </c>
      <c r="G106" s="142" t="s">
        <v>151</v>
      </c>
      <c r="H106" s="142"/>
      <c r="I106" s="142"/>
      <c r="J106" s="142"/>
    </row>
    <row r="107" customFormat="false" ht="14.25" hidden="false" customHeight="false" outlineLevel="0" collapsed="false">
      <c r="B107" s="111"/>
      <c r="C107" s="19" t="n">
        <v>12</v>
      </c>
      <c r="D107" s="102" t="n">
        <v>2777</v>
      </c>
      <c r="E107" s="19" t="s">
        <v>126</v>
      </c>
      <c r="F107" s="115"/>
      <c r="G107" s="142"/>
      <c r="H107" s="142"/>
      <c r="I107" s="142"/>
      <c r="J107" s="142"/>
    </row>
    <row r="108" customFormat="false" ht="14.25" hidden="false" customHeight="false" outlineLevel="0" collapsed="false">
      <c r="B108" s="111"/>
      <c r="C108" s="19" t="n">
        <v>17</v>
      </c>
      <c r="D108" s="102" t="n">
        <v>9233</v>
      </c>
      <c r="E108" s="125" t="s">
        <v>134</v>
      </c>
      <c r="F108" s="121" t="s">
        <v>127</v>
      </c>
      <c r="G108" s="142"/>
      <c r="H108" s="142"/>
      <c r="I108" s="142"/>
      <c r="J108" s="142"/>
    </row>
    <row r="109" customFormat="false" ht="14.25" hidden="false" customHeight="false" outlineLevel="0" collapsed="false">
      <c r="B109" s="111"/>
      <c r="C109" s="138" t="n">
        <v>31</v>
      </c>
      <c r="D109" s="139" t="n">
        <v>3442</v>
      </c>
      <c r="E109" s="143" t="s">
        <v>152</v>
      </c>
      <c r="F109" s="121"/>
      <c r="G109" s="142"/>
      <c r="H109" s="142"/>
      <c r="I109" s="142"/>
      <c r="J109" s="142"/>
    </row>
    <row r="110" customFormat="false" ht="14.25" hidden="false" customHeight="true" outlineLevel="0" collapsed="false">
      <c r="B110" s="144" t="n">
        <v>45447</v>
      </c>
      <c r="C110" s="140" t="n">
        <v>17</v>
      </c>
      <c r="D110" s="141" t="n">
        <v>9233</v>
      </c>
      <c r="E110" s="125" t="s">
        <v>134</v>
      </c>
      <c r="F110" s="115" t="s">
        <v>123</v>
      </c>
      <c r="G110" s="135" t="s">
        <v>153</v>
      </c>
      <c r="H110" s="135"/>
      <c r="I110" s="135"/>
      <c r="J110" s="135"/>
    </row>
    <row r="111" customFormat="false" ht="14.25" hidden="false" customHeight="false" outlineLevel="0" collapsed="false">
      <c r="B111" s="144"/>
      <c r="C111" s="19" t="n">
        <v>6</v>
      </c>
      <c r="D111" s="102" t="s">
        <v>52</v>
      </c>
      <c r="E111" s="19" t="s">
        <v>122</v>
      </c>
      <c r="F111" s="115"/>
      <c r="G111" s="135"/>
      <c r="H111" s="135"/>
      <c r="I111" s="135"/>
      <c r="J111" s="135"/>
    </row>
    <row r="112" customFormat="false" ht="14.25" hidden="false" customHeight="false" outlineLevel="0" collapsed="false">
      <c r="B112" s="144"/>
      <c r="C112" s="19" t="n">
        <v>28</v>
      </c>
      <c r="D112" s="102" t="n">
        <v>8968</v>
      </c>
      <c r="E112" s="19" t="s">
        <v>126</v>
      </c>
      <c r="F112" s="121" t="s">
        <v>127</v>
      </c>
      <c r="G112" s="135"/>
      <c r="H112" s="135"/>
      <c r="I112" s="135"/>
      <c r="J112" s="135"/>
    </row>
    <row r="113" customFormat="false" ht="30" hidden="false" customHeight="true" outlineLevel="0" collapsed="false">
      <c r="B113" s="144"/>
      <c r="C113" s="138" t="n">
        <v>31</v>
      </c>
      <c r="D113" s="139" t="n">
        <v>3442</v>
      </c>
      <c r="E113" s="138" t="s">
        <v>152</v>
      </c>
      <c r="F113" s="121"/>
      <c r="G113" s="135"/>
      <c r="H113" s="135"/>
      <c r="I113" s="135"/>
      <c r="J113" s="135"/>
    </row>
    <row r="114" customFormat="false" ht="14.25" hidden="false" customHeight="true" outlineLevel="0" collapsed="false">
      <c r="B114" s="144" t="n">
        <v>45448</v>
      </c>
      <c r="C114" s="140" t="n">
        <v>31</v>
      </c>
      <c r="D114" s="141" t="s">
        <v>132</v>
      </c>
      <c r="E114" s="140" t="s">
        <v>152</v>
      </c>
      <c r="F114" s="115" t="s">
        <v>123</v>
      </c>
      <c r="G114" s="135" t="s">
        <v>154</v>
      </c>
      <c r="H114" s="135"/>
      <c r="I114" s="135"/>
      <c r="J114" s="135"/>
    </row>
    <row r="115" customFormat="false" ht="14.25" hidden="false" customHeight="false" outlineLevel="0" collapsed="false">
      <c r="B115" s="144"/>
      <c r="C115" s="19" t="n">
        <v>17</v>
      </c>
      <c r="D115" s="102" t="s">
        <v>155</v>
      </c>
      <c r="E115" s="125" t="s">
        <v>134</v>
      </c>
      <c r="F115" s="115"/>
      <c r="G115" s="135"/>
      <c r="H115" s="135"/>
      <c r="I115" s="135"/>
      <c r="J115" s="135"/>
    </row>
    <row r="116" customFormat="false" ht="14.25" hidden="false" customHeight="false" outlineLevel="0" collapsed="false">
      <c r="B116" s="144"/>
      <c r="C116" s="19" t="n">
        <v>6</v>
      </c>
      <c r="D116" s="102" t="s">
        <v>52</v>
      </c>
      <c r="E116" s="19" t="s">
        <v>122</v>
      </c>
      <c r="F116" s="121" t="s">
        <v>127</v>
      </c>
      <c r="G116" s="135"/>
      <c r="H116" s="135"/>
      <c r="I116" s="135"/>
      <c r="J116" s="135"/>
    </row>
    <row r="117" customFormat="false" ht="14.25" hidden="false" customHeight="false" outlineLevel="0" collapsed="false">
      <c r="B117" s="144"/>
      <c r="C117" s="138" t="n">
        <v>28</v>
      </c>
      <c r="D117" s="139" t="s">
        <v>147</v>
      </c>
      <c r="E117" s="138" t="s">
        <v>126</v>
      </c>
      <c r="F117" s="121"/>
      <c r="G117" s="135"/>
      <c r="H117" s="135"/>
      <c r="I117" s="135"/>
      <c r="J117" s="135"/>
    </row>
    <row r="118" customFormat="false" ht="14.25" hidden="false" customHeight="true" outlineLevel="0" collapsed="false">
      <c r="B118" s="144" t="n">
        <v>45449</v>
      </c>
      <c r="C118" s="140"/>
      <c r="D118" s="141"/>
      <c r="E118" s="125" t="s">
        <v>134</v>
      </c>
      <c r="F118" s="115" t="s">
        <v>123</v>
      </c>
      <c r="G118" s="135" t="s">
        <v>156</v>
      </c>
      <c r="H118" s="135"/>
      <c r="I118" s="135"/>
      <c r="J118" s="135"/>
    </row>
    <row r="119" customFormat="false" ht="14.25" hidden="false" customHeight="false" outlineLevel="0" collapsed="false">
      <c r="B119" s="144"/>
      <c r="C119" s="19" t="n">
        <v>31</v>
      </c>
      <c r="D119" s="102"/>
      <c r="E119" s="19" t="s">
        <v>122</v>
      </c>
      <c r="F119" s="115"/>
      <c r="G119" s="135"/>
      <c r="H119" s="135"/>
      <c r="I119" s="135"/>
      <c r="J119" s="135"/>
    </row>
    <row r="120" customFormat="false" ht="14.25" hidden="false" customHeight="false" outlineLevel="0" collapsed="false">
      <c r="B120" s="144"/>
      <c r="C120" s="19" t="n">
        <v>28</v>
      </c>
      <c r="D120" s="102"/>
      <c r="E120" s="19" t="s">
        <v>126</v>
      </c>
      <c r="F120" s="121" t="s">
        <v>127</v>
      </c>
      <c r="G120" s="135"/>
      <c r="H120" s="135"/>
      <c r="I120" s="135"/>
      <c r="J120" s="135"/>
    </row>
    <row r="121" customFormat="false" ht="14.25" hidden="false" customHeight="false" outlineLevel="0" collapsed="false">
      <c r="B121" s="144"/>
      <c r="C121" s="138" t="n">
        <v>12</v>
      </c>
      <c r="D121" s="139"/>
      <c r="E121" s="138" t="s">
        <v>152</v>
      </c>
      <c r="F121" s="121"/>
      <c r="G121" s="135"/>
      <c r="H121" s="135"/>
      <c r="I121" s="135"/>
      <c r="J121" s="135"/>
    </row>
    <row r="122" customFormat="false" ht="14.25" hidden="false" customHeight="false" outlineLevel="0" collapsed="false">
      <c r="B122" s="144" t="n">
        <v>45450</v>
      </c>
      <c r="C122" s="140" t="n">
        <v>34</v>
      </c>
      <c r="D122" s="141" t="s">
        <v>58</v>
      </c>
      <c r="E122" s="140" t="s">
        <v>122</v>
      </c>
      <c r="F122" s="115" t="s">
        <v>123</v>
      </c>
      <c r="G122" s="145" t="s">
        <v>157</v>
      </c>
      <c r="H122" s="145"/>
      <c r="I122" s="145"/>
      <c r="J122" s="145"/>
    </row>
    <row r="123" customFormat="false" ht="14.25" hidden="false" customHeight="false" outlineLevel="0" collapsed="false">
      <c r="B123" s="144"/>
      <c r="C123" s="19" t="n">
        <v>36</v>
      </c>
      <c r="D123" s="102" t="s">
        <v>61</v>
      </c>
      <c r="E123" s="19" t="s">
        <v>126</v>
      </c>
      <c r="F123" s="115"/>
      <c r="G123" s="145"/>
      <c r="H123" s="145"/>
      <c r="I123" s="145"/>
      <c r="J123" s="145"/>
    </row>
    <row r="124" customFormat="false" ht="14.25" hidden="false" customHeight="false" outlineLevel="0" collapsed="false">
      <c r="B124" s="144"/>
      <c r="C124" s="19" t="n">
        <v>8</v>
      </c>
      <c r="D124" s="102" t="n">
        <v>5992</v>
      </c>
      <c r="E124" s="19" t="s">
        <v>152</v>
      </c>
      <c r="F124" s="121" t="s">
        <v>127</v>
      </c>
      <c r="G124" s="145"/>
      <c r="H124" s="145"/>
      <c r="I124" s="145"/>
      <c r="J124" s="145"/>
    </row>
    <row r="125" customFormat="false" ht="14.25" hidden="false" customHeight="false" outlineLevel="0" collapsed="false">
      <c r="B125" s="144"/>
      <c r="C125" s="138" t="n">
        <v>32</v>
      </c>
      <c r="D125" s="139" t="s">
        <v>54</v>
      </c>
      <c r="E125" s="125" t="s">
        <v>134</v>
      </c>
      <c r="F125" s="121"/>
      <c r="G125" s="145"/>
      <c r="H125" s="145"/>
      <c r="I125" s="145"/>
      <c r="J125" s="145"/>
    </row>
    <row r="126" customFormat="false" ht="14.25" hidden="false" customHeight="true" outlineLevel="0" collapsed="false">
      <c r="B126" s="144" t="n">
        <v>45451</v>
      </c>
      <c r="C126" s="140" t="n">
        <v>34</v>
      </c>
      <c r="D126" s="141" t="s">
        <v>58</v>
      </c>
      <c r="E126" s="140" t="s">
        <v>122</v>
      </c>
      <c r="F126" s="115" t="s">
        <v>123</v>
      </c>
      <c r="G126" s="135" t="s">
        <v>158</v>
      </c>
      <c r="H126" s="135"/>
      <c r="I126" s="135"/>
      <c r="J126" s="135"/>
    </row>
    <row r="127" customFormat="false" ht="14.25" hidden="false" customHeight="false" outlineLevel="0" collapsed="false">
      <c r="B127" s="144"/>
      <c r="C127" s="19" t="n">
        <v>36</v>
      </c>
      <c r="D127" s="102" t="s">
        <v>61</v>
      </c>
      <c r="E127" s="19" t="s">
        <v>126</v>
      </c>
      <c r="F127" s="115"/>
      <c r="G127" s="135"/>
      <c r="H127" s="135"/>
      <c r="I127" s="135"/>
      <c r="J127" s="135"/>
    </row>
    <row r="128" customFormat="false" ht="14.25" hidden="false" customHeight="false" outlineLevel="0" collapsed="false">
      <c r="B128" s="144"/>
      <c r="C128" s="19" t="n">
        <v>8</v>
      </c>
      <c r="D128" s="102" t="n">
        <v>5992</v>
      </c>
      <c r="E128" s="19" t="s">
        <v>152</v>
      </c>
      <c r="F128" s="121" t="s">
        <v>127</v>
      </c>
      <c r="G128" s="135"/>
      <c r="H128" s="135"/>
      <c r="I128" s="135"/>
      <c r="J128" s="135"/>
    </row>
    <row r="129" customFormat="false" ht="29.25" hidden="false" customHeight="true" outlineLevel="0" collapsed="false">
      <c r="B129" s="144"/>
      <c r="C129" s="138" t="n">
        <v>32</v>
      </c>
      <c r="D129" s="139" t="s">
        <v>54</v>
      </c>
      <c r="E129" s="125" t="s">
        <v>134</v>
      </c>
      <c r="F129" s="121"/>
      <c r="G129" s="135"/>
      <c r="H129" s="135"/>
      <c r="I129" s="135"/>
      <c r="J129" s="135"/>
    </row>
    <row r="130" customFormat="false" ht="14.25" hidden="false" customHeight="false" outlineLevel="0" collapsed="false">
      <c r="B130" s="144" t="n">
        <v>45452</v>
      </c>
      <c r="C130" s="140" t="n">
        <v>8</v>
      </c>
      <c r="D130" s="141" t="n">
        <v>5992</v>
      </c>
      <c r="E130" s="140" t="s">
        <v>152</v>
      </c>
      <c r="F130" s="115" t="s">
        <v>123</v>
      </c>
      <c r="G130" s="145" t="s">
        <v>159</v>
      </c>
      <c r="H130" s="145"/>
      <c r="I130" s="145"/>
      <c r="J130" s="145"/>
    </row>
    <row r="131" customFormat="false" ht="14.25" hidden="false" customHeight="false" outlineLevel="0" collapsed="false">
      <c r="B131" s="144"/>
      <c r="C131" s="19" t="n">
        <v>32</v>
      </c>
      <c r="D131" s="102" t="s">
        <v>54</v>
      </c>
      <c r="E131" s="125" t="s">
        <v>134</v>
      </c>
      <c r="F131" s="115"/>
      <c r="G131" s="145"/>
      <c r="H131" s="145"/>
      <c r="I131" s="145"/>
      <c r="J131" s="145"/>
    </row>
    <row r="132" customFormat="false" ht="14.25" hidden="false" customHeight="false" outlineLevel="0" collapsed="false">
      <c r="B132" s="144"/>
      <c r="C132" s="19" t="n">
        <v>34</v>
      </c>
      <c r="D132" s="102" t="n">
        <v>3405</v>
      </c>
      <c r="E132" s="19" t="s">
        <v>122</v>
      </c>
      <c r="F132" s="121" t="s">
        <v>127</v>
      </c>
      <c r="G132" s="145"/>
      <c r="H132" s="145"/>
      <c r="I132" s="145"/>
      <c r="J132" s="145"/>
    </row>
    <row r="133" customFormat="false" ht="14.25" hidden="false" customHeight="false" outlineLevel="0" collapsed="false">
      <c r="B133" s="144"/>
      <c r="C133" s="138" t="n">
        <v>36</v>
      </c>
      <c r="D133" s="139" t="n">
        <v>7241</v>
      </c>
      <c r="E133" s="138" t="s">
        <v>126</v>
      </c>
      <c r="F133" s="121"/>
      <c r="G133" s="145"/>
      <c r="H133" s="145"/>
      <c r="I133" s="145"/>
      <c r="J133" s="145"/>
    </row>
    <row r="134" customFormat="false" ht="14.25" hidden="false" customHeight="true" outlineLevel="0" collapsed="false">
      <c r="B134" s="144" t="n">
        <v>45453</v>
      </c>
      <c r="C134" s="140" t="n">
        <v>32</v>
      </c>
      <c r="D134" s="141" t="s">
        <v>54</v>
      </c>
      <c r="E134" s="125" t="s">
        <v>134</v>
      </c>
      <c r="F134" s="115" t="s">
        <v>123</v>
      </c>
      <c r="G134" s="135" t="s">
        <v>160</v>
      </c>
      <c r="H134" s="135"/>
      <c r="I134" s="135"/>
      <c r="J134" s="135"/>
    </row>
    <row r="135" customFormat="false" ht="14.25" hidden="false" customHeight="false" outlineLevel="0" collapsed="false">
      <c r="B135" s="144"/>
      <c r="C135" s="19" t="n">
        <v>34</v>
      </c>
      <c r="D135" s="102" t="s">
        <v>58</v>
      </c>
      <c r="E135" s="19" t="s">
        <v>122</v>
      </c>
      <c r="F135" s="115"/>
      <c r="G135" s="135"/>
      <c r="H135" s="135"/>
      <c r="I135" s="135"/>
      <c r="J135" s="135"/>
    </row>
    <row r="136" customFormat="false" ht="14.25" hidden="false" customHeight="false" outlineLevel="0" collapsed="false">
      <c r="B136" s="144"/>
      <c r="C136" s="19" t="n">
        <v>36</v>
      </c>
      <c r="D136" s="102" t="s">
        <v>61</v>
      </c>
      <c r="E136" s="19" t="s">
        <v>126</v>
      </c>
      <c r="F136" s="121" t="s">
        <v>127</v>
      </c>
      <c r="G136" s="135"/>
      <c r="H136" s="135"/>
      <c r="I136" s="135"/>
      <c r="J136" s="135"/>
    </row>
    <row r="137" customFormat="false" ht="14.25" hidden="false" customHeight="false" outlineLevel="0" collapsed="false">
      <c r="B137" s="144"/>
      <c r="C137" s="138" t="n">
        <v>8</v>
      </c>
      <c r="D137" s="139" t="s">
        <v>161</v>
      </c>
      <c r="E137" s="138" t="s">
        <v>152</v>
      </c>
      <c r="F137" s="121"/>
      <c r="G137" s="135"/>
      <c r="H137" s="135"/>
      <c r="I137" s="135"/>
      <c r="J137" s="135"/>
    </row>
    <row r="138" customFormat="false" ht="14.25" hidden="false" customHeight="true" outlineLevel="0" collapsed="false">
      <c r="B138" s="144" t="n">
        <v>45454</v>
      </c>
      <c r="C138" s="140" t="n">
        <v>34</v>
      </c>
      <c r="D138" s="141" t="n">
        <v>3405</v>
      </c>
      <c r="E138" s="146" t="s">
        <v>122</v>
      </c>
      <c r="F138" s="115" t="s">
        <v>123</v>
      </c>
      <c r="G138" s="147" t="s">
        <v>162</v>
      </c>
      <c r="H138" s="147"/>
      <c r="I138" s="147"/>
      <c r="J138" s="147"/>
    </row>
    <row r="139" customFormat="false" ht="14.25" hidden="false" customHeight="false" outlineLevel="0" collapsed="false">
      <c r="B139" s="144"/>
      <c r="C139" s="19" t="n">
        <v>31</v>
      </c>
      <c r="D139" s="102" t="n">
        <v>3442</v>
      </c>
      <c r="E139" s="148" t="s">
        <v>126</v>
      </c>
      <c r="F139" s="115"/>
      <c r="G139" s="147"/>
      <c r="H139" s="147"/>
      <c r="I139" s="147"/>
      <c r="J139" s="147"/>
    </row>
    <row r="140" customFormat="false" ht="14.25" hidden="false" customHeight="false" outlineLevel="0" collapsed="false">
      <c r="B140" s="144"/>
      <c r="C140" s="19" t="n">
        <v>12</v>
      </c>
      <c r="D140" s="102" t="n">
        <v>2777</v>
      </c>
      <c r="E140" s="148" t="s">
        <v>152</v>
      </c>
      <c r="F140" s="121" t="s">
        <v>127</v>
      </c>
      <c r="G140" s="147"/>
      <c r="H140" s="147"/>
      <c r="I140" s="147"/>
      <c r="J140" s="147"/>
    </row>
    <row r="141" customFormat="false" ht="14.25" hidden="false" customHeight="false" outlineLevel="0" collapsed="false">
      <c r="B141" s="144"/>
      <c r="C141" s="138" t="n">
        <v>32</v>
      </c>
      <c r="D141" s="139" t="s">
        <v>54</v>
      </c>
      <c r="E141" s="125" t="s">
        <v>134</v>
      </c>
      <c r="F141" s="121"/>
      <c r="G141" s="147"/>
      <c r="H141" s="147"/>
      <c r="I141" s="147"/>
      <c r="J141" s="147"/>
    </row>
    <row r="142" customFormat="false" ht="14.25" hidden="false" customHeight="true" outlineLevel="0" collapsed="false">
      <c r="B142" s="144" t="n">
        <v>45455</v>
      </c>
      <c r="C142" s="140" t="n">
        <v>31</v>
      </c>
      <c r="D142" s="141" t="n">
        <v>3442</v>
      </c>
      <c r="E142" s="140" t="s">
        <v>126</v>
      </c>
      <c r="F142" s="115" t="s">
        <v>123</v>
      </c>
      <c r="G142" s="135" t="s">
        <v>163</v>
      </c>
      <c r="H142" s="135"/>
      <c r="I142" s="135"/>
      <c r="J142" s="135"/>
    </row>
    <row r="143" customFormat="false" ht="14.25" hidden="false" customHeight="false" outlineLevel="0" collapsed="false">
      <c r="B143" s="144"/>
      <c r="C143" s="19" t="n">
        <v>12</v>
      </c>
      <c r="D143" s="102" t="n">
        <v>2777</v>
      </c>
      <c r="E143" s="19" t="s">
        <v>152</v>
      </c>
      <c r="F143" s="115"/>
      <c r="G143" s="135"/>
      <c r="H143" s="135"/>
      <c r="I143" s="135"/>
      <c r="J143" s="135"/>
    </row>
    <row r="144" customFormat="false" ht="14.25" hidden="false" customHeight="false" outlineLevel="0" collapsed="false">
      <c r="B144" s="144"/>
      <c r="C144" s="19" t="n">
        <v>8</v>
      </c>
      <c r="D144" s="102" t="s">
        <v>161</v>
      </c>
      <c r="E144" s="125" t="s">
        <v>134</v>
      </c>
      <c r="F144" s="121" t="s">
        <v>127</v>
      </c>
      <c r="G144" s="135"/>
      <c r="H144" s="135"/>
      <c r="I144" s="135"/>
      <c r="J144" s="135"/>
    </row>
    <row r="145" customFormat="false" ht="14.25" hidden="false" customHeight="false" outlineLevel="0" collapsed="false">
      <c r="B145" s="144"/>
      <c r="C145" s="138" t="n">
        <v>36</v>
      </c>
      <c r="D145" s="139" t="s">
        <v>61</v>
      </c>
      <c r="E145" s="138" t="s">
        <v>122</v>
      </c>
      <c r="F145" s="121"/>
      <c r="G145" s="135"/>
      <c r="H145" s="135"/>
      <c r="I145" s="135"/>
      <c r="J145" s="135"/>
    </row>
    <row r="146" customFormat="false" ht="14.25" hidden="false" customHeight="true" outlineLevel="0" collapsed="false">
      <c r="B146" s="144" t="n">
        <v>45456</v>
      </c>
      <c r="C146" s="140" t="n">
        <v>12</v>
      </c>
      <c r="D146" s="141" t="s">
        <v>146</v>
      </c>
      <c r="E146" s="140" t="s">
        <v>152</v>
      </c>
      <c r="F146" s="115" t="s">
        <v>123</v>
      </c>
      <c r="G146" s="135" t="s">
        <v>164</v>
      </c>
      <c r="H146" s="135"/>
      <c r="I146" s="135"/>
      <c r="J146" s="135"/>
    </row>
    <row r="147" customFormat="false" ht="14.25" hidden="false" customHeight="false" outlineLevel="0" collapsed="false">
      <c r="B147" s="144"/>
      <c r="C147" s="19" t="n">
        <v>8</v>
      </c>
      <c r="D147" s="102" t="s">
        <v>161</v>
      </c>
      <c r="E147" s="125" t="s">
        <v>134</v>
      </c>
      <c r="F147" s="115"/>
      <c r="G147" s="135"/>
      <c r="H147" s="135"/>
      <c r="I147" s="135"/>
      <c r="J147" s="135"/>
    </row>
    <row r="148" customFormat="false" ht="14.25" hidden="false" customHeight="false" outlineLevel="0" collapsed="false">
      <c r="B148" s="144"/>
      <c r="C148" s="19" t="n">
        <v>36</v>
      </c>
      <c r="D148" s="102" t="s">
        <v>61</v>
      </c>
      <c r="E148" s="19" t="s">
        <v>122</v>
      </c>
      <c r="F148" s="121" t="s">
        <v>127</v>
      </c>
      <c r="G148" s="135"/>
      <c r="H148" s="135"/>
      <c r="I148" s="135"/>
      <c r="J148" s="135"/>
    </row>
    <row r="149" customFormat="false" ht="84.75" hidden="false" customHeight="true" outlineLevel="0" collapsed="false">
      <c r="B149" s="144"/>
      <c r="C149" s="138" t="n">
        <v>28</v>
      </c>
      <c r="D149" s="139" t="s">
        <v>147</v>
      </c>
      <c r="E149" s="138" t="s">
        <v>126</v>
      </c>
      <c r="F149" s="121"/>
      <c r="G149" s="135"/>
      <c r="H149" s="135"/>
      <c r="I149" s="135"/>
      <c r="J149" s="135"/>
    </row>
    <row r="150" customFormat="false" ht="14.25" hidden="false" customHeight="true" outlineLevel="0" collapsed="false">
      <c r="B150" s="144" t="n">
        <v>45457</v>
      </c>
      <c r="C150" s="140" t="n">
        <v>8</v>
      </c>
      <c r="D150" s="141" t="s">
        <v>161</v>
      </c>
      <c r="E150" s="125" t="s">
        <v>134</v>
      </c>
      <c r="F150" s="115" t="s">
        <v>123</v>
      </c>
      <c r="G150" s="135" t="s">
        <v>165</v>
      </c>
      <c r="H150" s="135"/>
      <c r="I150" s="135"/>
      <c r="J150" s="135"/>
    </row>
    <row r="151" customFormat="false" ht="14.25" hidden="false" customHeight="false" outlineLevel="0" collapsed="false">
      <c r="B151" s="144"/>
      <c r="C151" s="19" t="n">
        <v>34</v>
      </c>
      <c r="D151" s="102" t="s">
        <v>58</v>
      </c>
      <c r="E151" s="19" t="s">
        <v>122</v>
      </c>
      <c r="F151" s="115"/>
      <c r="G151" s="135"/>
      <c r="H151" s="135"/>
      <c r="I151" s="135"/>
      <c r="J151" s="135"/>
    </row>
    <row r="152" customFormat="false" ht="14.25" hidden="false" customHeight="false" outlineLevel="0" collapsed="false">
      <c r="B152" s="144"/>
      <c r="C152" s="19" t="n">
        <v>28</v>
      </c>
      <c r="D152" s="102" t="s">
        <v>147</v>
      </c>
      <c r="E152" s="19" t="s">
        <v>126</v>
      </c>
      <c r="F152" s="121" t="s">
        <v>127</v>
      </c>
      <c r="G152" s="135"/>
      <c r="H152" s="135"/>
      <c r="I152" s="135"/>
      <c r="J152" s="135"/>
    </row>
    <row r="153" customFormat="false" ht="14.25" hidden="false" customHeight="false" outlineLevel="0" collapsed="false">
      <c r="B153" s="144"/>
      <c r="C153" s="138" t="n">
        <v>32</v>
      </c>
      <c r="D153" s="139" t="s">
        <v>54</v>
      </c>
      <c r="E153" s="138" t="s">
        <v>152</v>
      </c>
      <c r="F153" s="121"/>
      <c r="G153" s="135"/>
      <c r="H153" s="135"/>
      <c r="I153" s="135"/>
      <c r="J153" s="135"/>
    </row>
    <row r="154" customFormat="false" ht="14.25" hidden="false" customHeight="false" outlineLevel="0" collapsed="false">
      <c r="B154" s="144" t="n">
        <v>45458</v>
      </c>
      <c r="C154" s="140" t="n">
        <v>34</v>
      </c>
      <c r="D154" s="141" t="s">
        <v>58</v>
      </c>
      <c r="E154" s="140" t="s">
        <v>122</v>
      </c>
      <c r="F154" s="115" t="s">
        <v>123</v>
      </c>
      <c r="G154" s="145" t="s">
        <v>166</v>
      </c>
      <c r="H154" s="145"/>
      <c r="I154" s="145"/>
      <c r="J154" s="145"/>
      <c r="K154" s="1" t="s">
        <v>167</v>
      </c>
      <c r="P154" s="1" t="s">
        <v>168</v>
      </c>
    </row>
    <row r="155" customFormat="false" ht="14.25" hidden="false" customHeight="false" outlineLevel="0" collapsed="false">
      <c r="B155" s="144"/>
      <c r="C155" s="19" t="n">
        <v>28</v>
      </c>
      <c r="D155" s="102" t="s">
        <v>147</v>
      </c>
      <c r="E155" s="19" t="s">
        <v>126</v>
      </c>
      <c r="F155" s="115"/>
      <c r="G155" s="145"/>
      <c r="H155" s="145"/>
      <c r="I155" s="145"/>
      <c r="J155" s="145"/>
    </row>
    <row r="156" customFormat="false" ht="14.25" hidden="false" customHeight="false" outlineLevel="0" collapsed="false">
      <c r="B156" s="144"/>
      <c r="C156" s="19" t="n">
        <v>32</v>
      </c>
      <c r="D156" s="102" t="s">
        <v>54</v>
      </c>
      <c r="E156" s="19" t="s">
        <v>152</v>
      </c>
      <c r="F156" s="121" t="s">
        <v>127</v>
      </c>
      <c r="G156" s="145"/>
      <c r="H156" s="145"/>
      <c r="I156" s="145"/>
      <c r="J156" s="145"/>
      <c r="K156" s="1" t="s">
        <v>169</v>
      </c>
      <c r="P156" s="1" t="s">
        <v>168</v>
      </c>
    </row>
    <row r="157" customFormat="false" ht="14.25" hidden="false" customHeight="false" outlineLevel="0" collapsed="false">
      <c r="B157" s="144"/>
      <c r="C157" s="138" t="n">
        <v>8</v>
      </c>
      <c r="D157" s="139" t="s">
        <v>161</v>
      </c>
      <c r="E157" s="125" t="s">
        <v>134</v>
      </c>
      <c r="F157" s="121"/>
      <c r="G157" s="145"/>
      <c r="H157" s="145"/>
      <c r="I157" s="145"/>
      <c r="J157" s="145"/>
    </row>
    <row r="158" customFormat="false" ht="14.25" hidden="false" customHeight="false" outlineLevel="0" collapsed="false">
      <c r="B158" s="144" t="n">
        <v>45459</v>
      </c>
      <c r="C158" s="140" t="n">
        <v>28</v>
      </c>
      <c r="D158" s="141" t="s">
        <v>147</v>
      </c>
      <c r="E158" s="140" t="s">
        <v>126</v>
      </c>
      <c r="F158" s="115" t="s">
        <v>123</v>
      </c>
      <c r="G158" s="145" t="s">
        <v>170</v>
      </c>
      <c r="H158" s="145"/>
      <c r="I158" s="145"/>
      <c r="J158" s="145"/>
    </row>
    <row r="159" customFormat="false" ht="14.25" hidden="false" customHeight="false" outlineLevel="0" collapsed="false">
      <c r="B159" s="144"/>
      <c r="C159" s="19" t="n">
        <v>32</v>
      </c>
      <c r="D159" s="102" t="s">
        <v>54</v>
      </c>
      <c r="E159" s="19" t="s">
        <v>152</v>
      </c>
      <c r="F159" s="115"/>
      <c r="G159" s="145"/>
      <c r="H159" s="145"/>
      <c r="I159" s="145"/>
      <c r="J159" s="145"/>
      <c r="K159" s="1" t="s">
        <v>169</v>
      </c>
      <c r="P159" s="1" t="s">
        <v>168</v>
      </c>
    </row>
    <row r="160" customFormat="false" ht="14.25" hidden="false" customHeight="false" outlineLevel="0" collapsed="false">
      <c r="B160" s="144"/>
      <c r="C160" s="19" t="n">
        <v>8</v>
      </c>
      <c r="D160" s="102" t="s">
        <v>161</v>
      </c>
      <c r="E160" s="125" t="s">
        <v>134</v>
      </c>
      <c r="F160" s="121" t="s">
        <v>127</v>
      </c>
      <c r="G160" s="145"/>
      <c r="H160" s="145"/>
      <c r="I160" s="145"/>
      <c r="J160" s="145"/>
    </row>
    <row r="161" customFormat="false" ht="14.25" hidden="false" customHeight="false" outlineLevel="0" collapsed="false">
      <c r="B161" s="144"/>
      <c r="C161" s="138" t="n">
        <v>34</v>
      </c>
      <c r="D161" s="139" t="s">
        <v>58</v>
      </c>
      <c r="E161" s="138" t="s">
        <v>122</v>
      </c>
      <c r="F161" s="121"/>
      <c r="G161" s="145"/>
      <c r="H161" s="145"/>
      <c r="I161" s="145"/>
      <c r="J161" s="145"/>
      <c r="K161" s="1" t="s">
        <v>167</v>
      </c>
      <c r="P161" s="1" t="s">
        <v>168</v>
      </c>
    </row>
    <row r="162" customFormat="false" ht="14.25" hidden="false" customHeight="true" outlineLevel="0" collapsed="false">
      <c r="B162" s="144" t="n">
        <v>45460</v>
      </c>
      <c r="C162" s="140" t="n">
        <v>8</v>
      </c>
      <c r="D162" s="141" t="n">
        <v>5992</v>
      </c>
      <c r="E162" s="125" t="s">
        <v>134</v>
      </c>
      <c r="F162" s="115" t="s">
        <v>123</v>
      </c>
      <c r="G162" s="135" t="s">
        <v>171</v>
      </c>
      <c r="H162" s="135"/>
      <c r="I162" s="135"/>
      <c r="J162" s="135"/>
    </row>
    <row r="163" customFormat="false" ht="14.25" hidden="false" customHeight="false" outlineLevel="0" collapsed="false">
      <c r="B163" s="144"/>
      <c r="C163" s="19" t="n">
        <v>32</v>
      </c>
      <c r="D163" s="102" t="s">
        <v>54</v>
      </c>
      <c r="E163" s="19" t="s">
        <v>152</v>
      </c>
      <c r="F163" s="115"/>
      <c r="G163" s="135"/>
      <c r="H163" s="135"/>
      <c r="I163" s="135"/>
      <c r="J163" s="135"/>
      <c r="K163" s="1" t="s">
        <v>169</v>
      </c>
      <c r="P163" s="1" t="s">
        <v>168</v>
      </c>
    </row>
    <row r="164" customFormat="false" ht="14.25" hidden="false" customHeight="false" outlineLevel="0" collapsed="false">
      <c r="B164" s="144"/>
      <c r="C164" s="19" t="n">
        <v>34</v>
      </c>
      <c r="D164" s="102" t="n">
        <v>3405</v>
      </c>
      <c r="E164" s="19" t="s">
        <v>122</v>
      </c>
      <c r="F164" s="121" t="s">
        <v>127</v>
      </c>
      <c r="G164" s="135"/>
      <c r="H164" s="135"/>
      <c r="I164" s="135"/>
      <c r="J164" s="135"/>
      <c r="K164" s="1" t="s">
        <v>167</v>
      </c>
      <c r="P164" s="1" t="s">
        <v>168</v>
      </c>
    </row>
    <row r="165" customFormat="false" ht="53.25" hidden="false" customHeight="true" outlineLevel="0" collapsed="false">
      <c r="B165" s="144"/>
      <c r="C165" s="138" t="n">
        <v>28</v>
      </c>
      <c r="D165" s="139" t="n">
        <v>8968</v>
      </c>
      <c r="E165" s="138" t="s">
        <v>126</v>
      </c>
      <c r="F165" s="121"/>
      <c r="G165" s="135"/>
      <c r="H165" s="135"/>
      <c r="I165" s="135"/>
      <c r="J165" s="135"/>
    </row>
    <row r="166" customFormat="false" ht="14.25" hidden="false" customHeight="true" outlineLevel="0" collapsed="false">
      <c r="B166" s="144" t="n">
        <v>45461</v>
      </c>
      <c r="C166" s="140" t="n">
        <v>28</v>
      </c>
      <c r="D166" s="141" t="s">
        <v>147</v>
      </c>
      <c r="E166" s="125" t="s">
        <v>134</v>
      </c>
      <c r="F166" s="115" t="s">
        <v>123</v>
      </c>
      <c r="G166" s="135" t="s">
        <v>172</v>
      </c>
      <c r="H166" s="135"/>
      <c r="I166" s="135"/>
      <c r="J166" s="135"/>
    </row>
    <row r="167" customFormat="false" ht="14.25" hidden="false" customHeight="false" outlineLevel="0" collapsed="false">
      <c r="B167" s="144"/>
      <c r="C167" s="19" t="n">
        <v>32</v>
      </c>
      <c r="D167" s="102" t="s">
        <v>54</v>
      </c>
      <c r="E167" s="19" t="s">
        <v>122</v>
      </c>
      <c r="F167" s="115"/>
      <c r="G167" s="135"/>
      <c r="H167" s="135"/>
      <c r="I167" s="135"/>
      <c r="J167" s="135"/>
    </row>
    <row r="168" customFormat="false" ht="14.25" hidden="false" customHeight="false" outlineLevel="0" collapsed="false">
      <c r="B168" s="144"/>
      <c r="C168" s="19" t="n">
        <v>36</v>
      </c>
      <c r="D168" s="102" t="s">
        <v>61</v>
      </c>
      <c r="E168" s="19" t="s">
        <v>126</v>
      </c>
      <c r="F168" s="121" t="s">
        <v>127</v>
      </c>
      <c r="G168" s="135"/>
      <c r="H168" s="135"/>
      <c r="I168" s="135"/>
      <c r="J168" s="135"/>
    </row>
    <row r="169" customFormat="false" ht="14.25" hidden="false" customHeight="false" outlineLevel="0" collapsed="false">
      <c r="B169" s="144"/>
      <c r="C169" s="138" t="n">
        <v>12</v>
      </c>
      <c r="D169" s="139" t="s">
        <v>146</v>
      </c>
      <c r="E169" s="143" t="s">
        <v>173</v>
      </c>
      <c r="F169" s="121"/>
      <c r="G169" s="135"/>
      <c r="H169" s="135"/>
      <c r="I169" s="135"/>
      <c r="J169" s="135"/>
    </row>
    <row r="170" customFormat="false" ht="14.25" hidden="false" customHeight="false" outlineLevel="0" collapsed="false">
      <c r="B170" s="144" t="n">
        <v>45462</v>
      </c>
      <c r="C170" s="140" t="n">
        <v>28</v>
      </c>
      <c r="D170" s="141" t="s">
        <v>147</v>
      </c>
      <c r="E170" s="125" t="s">
        <v>134</v>
      </c>
      <c r="F170" s="149"/>
      <c r="G170" s="145" t="s">
        <v>174</v>
      </c>
      <c r="H170" s="145"/>
      <c r="I170" s="145"/>
      <c r="J170" s="145"/>
    </row>
    <row r="171" customFormat="false" ht="14.25" hidden="false" customHeight="false" outlineLevel="0" collapsed="false">
      <c r="B171" s="144"/>
      <c r="C171" s="19" t="n">
        <v>32</v>
      </c>
      <c r="D171" s="102" t="s">
        <v>54</v>
      </c>
      <c r="E171" s="19" t="s">
        <v>122</v>
      </c>
      <c r="F171" s="149"/>
      <c r="G171" s="149"/>
      <c r="H171" s="145"/>
      <c r="I171" s="145"/>
      <c r="J171" s="145"/>
    </row>
    <row r="172" customFormat="false" ht="14.25" hidden="false" customHeight="false" outlineLevel="0" collapsed="false">
      <c r="B172" s="144"/>
      <c r="C172" s="19" t="n">
        <v>36</v>
      </c>
      <c r="D172" s="102" t="s">
        <v>61</v>
      </c>
      <c r="E172" s="19" t="s">
        <v>126</v>
      </c>
      <c r="F172" s="150"/>
      <c r="G172" s="145"/>
      <c r="H172" s="145"/>
      <c r="I172" s="145"/>
      <c r="J172" s="145"/>
    </row>
    <row r="173" customFormat="false" ht="14.25" hidden="false" customHeight="false" outlineLevel="0" collapsed="false">
      <c r="B173" s="144"/>
      <c r="C173" s="138" t="n">
        <v>12</v>
      </c>
      <c r="D173" s="139" t="s">
        <v>146</v>
      </c>
      <c r="E173" s="138" t="s">
        <v>173</v>
      </c>
      <c r="F173" s="150"/>
      <c r="G173" s="150"/>
      <c r="H173" s="145"/>
      <c r="I173" s="145"/>
      <c r="J173" s="145"/>
    </row>
    <row r="174" customFormat="false" ht="14.25" hidden="false" customHeight="false" outlineLevel="0" collapsed="false">
      <c r="B174" s="144" t="n">
        <v>45463</v>
      </c>
      <c r="C174" s="140"/>
      <c r="D174" s="141"/>
      <c r="E174" s="140"/>
      <c r="F174" s="149"/>
      <c r="G174" s="145"/>
      <c r="H174" s="145"/>
      <c r="I174" s="145"/>
      <c r="J174" s="145"/>
    </row>
    <row r="175" customFormat="false" ht="14.25" hidden="false" customHeight="false" outlineLevel="0" collapsed="false">
      <c r="B175" s="144"/>
      <c r="C175" s="19"/>
      <c r="D175" s="102"/>
      <c r="E175" s="19"/>
      <c r="F175" s="149"/>
      <c r="G175" s="149"/>
      <c r="H175" s="145"/>
      <c r="I175" s="145"/>
      <c r="J175" s="145"/>
    </row>
    <row r="176" customFormat="false" ht="14.25" hidden="false" customHeight="false" outlineLevel="0" collapsed="false">
      <c r="B176" s="144"/>
      <c r="C176" s="19"/>
      <c r="D176" s="102"/>
      <c r="E176" s="19"/>
      <c r="F176" s="150"/>
      <c r="G176" s="145"/>
      <c r="H176" s="145"/>
      <c r="I176" s="145"/>
      <c r="J176" s="145"/>
    </row>
    <row r="177" customFormat="false" ht="14.25" hidden="false" customHeight="false" outlineLevel="0" collapsed="false">
      <c r="B177" s="144"/>
      <c r="C177" s="138"/>
      <c r="D177" s="139"/>
      <c r="E177" s="138"/>
      <c r="F177" s="150"/>
      <c r="G177" s="150"/>
      <c r="H177" s="145"/>
      <c r="I177" s="145"/>
      <c r="J177" s="145"/>
    </row>
    <row r="178" customFormat="false" ht="14.25" hidden="false" customHeight="false" outlineLevel="0" collapsed="false">
      <c r="D178" s="100"/>
    </row>
    <row r="179" customFormat="false" ht="14.25" hidden="false" customHeight="false" outlineLevel="0" collapsed="false">
      <c r="D179" s="100"/>
    </row>
    <row r="180" customFormat="false" ht="14.25" hidden="false" customHeight="false" outlineLevel="0" collapsed="false">
      <c r="D180" s="100"/>
    </row>
    <row r="181" customFormat="false" ht="14.25" hidden="false" customHeight="false" outlineLevel="0" collapsed="false">
      <c r="D181" s="100"/>
    </row>
    <row r="182" customFormat="false" ht="14.25" hidden="false" customHeight="false" outlineLevel="0" collapsed="false">
      <c r="D182" s="100"/>
    </row>
    <row r="183" customFormat="false" ht="14.25" hidden="false" customHeight="false" outlineLevel="0" collapsed="false">
      <c r="D183" s="100"/>
    </row>
    <row r="184" customFormat="false" ht="14.25" hidden="false" customHeight="false" outlineLevel="0" collapsed="false">
      <c r="D184" s="100"/>
    </row>
    <row r="185" customFormat="false" ht="14.25" hidden="false" customHeight="false" outlineLevel="0" collapsed="false">
      <c r="D185" s="100"/>
    </row>
    <row r="186" customFormat="false" ht="14.25" hidden="false" customHeight="false" outlineLevel="0" collapsed="false">
      <c r="D186" s="100"/>
    </row>
    <row r="187" customFormat="false" ht="14.25" hidden="false" customHeight="false" outlineLevel="0" collapsed="false">
      <c r="D187" s="100"/>
    </row>
    <row r="188" customFormat="false" ht="14.25" hidden="false" customHeight="false" outlineLevel="0" collapsed="false">
      <c r="D188" s="100"/>
    </row>
    <row r="189" customFormat="false" ht="14.25" hidden="false" customHeight="false" outlineLevel="0" collapsed="false">
      <c r="D189" s="100"/>
    </row>
    <row r="190" customFormat="false" ht="14.25" hidden="false" customHeight="false" outlineLevel="0" collapsed="false">
      <c r="D190" s="100"/>
    </row>
    <row r="191" customFormat="false" ht="14.25" hidden="false" customHeight="false" outlineLevel="0" collapsed="false">
      <c r="D191" s="100"/>
    </row>
    <row r="192" customFormat="false" ht="14.25" hidden="false" customHeight="false" outlineLevel="0" collapsed="false">
      <c r="D192" s="100"/>
    </row>
    <row r="193" customFormat="false" ht="14.25" hidden="false" customHeight="false" outlineLevel="0" collapsed="false">
      <c r="D193" s="100"/>
    </row>
    <row r="194" customFormat="false" ht="14.25" hidden="false" customHeight="false" outlineLevel="0" collapsed="false">
      <c r="D194" s="100"/>
    </row>
    <row r="195" customFormat="false" ht="14.25" hidden="false" customHeight="false" outlineLevel="0" collapsed="false">
      <c r="D195" s="100"/>
    </row>
    <row r="196" customFormat="false" ht="14.25" hidden="false" customHeight="false" outlineLevel="0" collapsed="false">
      <c r="D196" s="100"/>
    </row>
    <row r="197" customFormat="false" ht="14.25" hidden="false" customHeight="false" outlineLevel="0" collapsed="false">
      <c r="D197" s="100"/>
    </row>
    <row r="198" customFormat="false" ht="14.25" hidden="false" customHeight="false" outlineLevel="0" collapsed="false">
      <c r="D198" s="100"/>
    </row>
    <row r="199" customFormat="false" ht="14.25" hidden="false" customHeight="false" outlineLevel="0" collapsed="false">
      <c r="D199" s="100"/>
    </row>
    <row r="200" customFormat="false" ht="14.25" hidden="false" customHeight="false" outlineLevel="0" collapsed="false">
      <c r="D200" s="100"/>
    </row>
    <row r="201" customFormat="false" ht="14.25" hidden="false" customHeight="false" outlineLevel="0" collapsed="false">
      <c r="D201" s="100"/>
    </row>
    <row r="202" customFormat="false" ht="14.25" hidden="false" customHeight="false" outlineLevel="0" collapsed="false">
      <c r="D202" s="100"/>
    </row>
    <row r="203" customFormat="false" ht="14.25" hidden="false" customHeight="false" outlineLevel="0" collapsed="false">
      <c r="D203" s="100"/>
    </row>
    <row r="204" customFormat="false" ht="14.25" hidden="false" customHeight="false" outlineLevel="0" collapsed="false">
      <c r="D204" s="100"/>
    </row>
    <row r="205" customFormat="false" ht="14.25" hidden="false" customHeight="false" outlineLevel="0" collapsed="false">
      <c r="D205" s="100"/>
    </row>
    <row r="206" customFormat="false" ht="14.25" hidden="false" customHeight="false" outlineLevel="0" collapsed="false">
      <c r="D206" s="100"/>
    </row>
    <row r="207" customFormat="false" ht="14.25" hidden="false" customHeight="false" outlineLevel="0" collapsed="false">
      <c r="D207" s="100"/>
    </row>
    <row r="208" customFormat="false" ht="14.25" hidden="false" customHeight="false" outlineLevel="0" collapsed="false">
      <c r="D208" s="100"/>
    </row>
    <row r="209" customFormat="false" ht="14.25" hidden="false" customHeight="false" outlineLevel="0" collapsed="false">
      <c r="D209" s="100"/>
    </row>
    <row r="210" customFormat="false" ht="14.25" hidden="false" customHeight="false" outlineLevel="0" collapsed="false">
      <c r="D210" s="100"/>
    </row>
    <row r="211" customFormat="false" ht="14.25" hidden="false" customHeight="false" outlineLevel="0" collapsed="false">
      <c r="D211" s="100"/>
    </row>
    <row r="212" customFormat="false" ht="14.25" hidden="false" customHeight="false" outlineLevel="0" collapsed="false">
      <c r="D212" s="100"/>
    </row>
    <row r="213" customFormat="false" ht="14.25" hidden="false" customHeight="false" outlineLevel="0" collapsed="false">
      <c r="D213" s="100"/>
    </row>
    <row r="214" customFormat="false" ht="14.25" hidden="false" customHeight="false" outlineLevel="0" collapsed="false">
      <c r="D214" s="100"/>
    </row>
    <row r="215" customFormat="false" ht="14.25" hidden="false" customHeight="false" outlineLevel="0" collapsed="false">
      <c r="D215" s="100"/>
    </row>
    <row r="216" customFormat="false" ht="14.25" hidden="false" customHeight="false" outlineLevel="0" collapsed="false">
      <c r="D216" s="100"/>
    </row>
    <row r="217" customFormat="false" ht="14.25" hidden="false" customHeight="false" outlineLevel="0" collapsed="false">
      <c r="D217" s="100"/>
    </row>
    <row r="218" customFormat="false" ht="14.25" hidden="false" customHeight="false" outlineLevel="0" collapsed="false">
      <c r="D218" s="100"/>
    </row>
    <row r="219" customFormat="false" ht="14.25" hidden="false" customHeight="false" outlineLevel="0" collapsed="false">
      <c r="D219" s="100"/>
    </row>
    <row r="220" customFormat="false" ht="14.25" hidden="false" customHeight="false" outlineLevel="0" collapsed="false">
      <c r="D220" s="100"/>
    </row>
    <row r="221" customFormat="false" ht="14.25" hidden="false" customHeight="false" outlineLevel="0" collapsed="false">
      <c r="D221" s="100"/>
    </row>
    <row r="222" customFormat="false" ht="14.25" hidden="false" customHeight="false" outlineLevel="0" collapsed="false">
      <c r="D222" s="100"/>
    </row>
    <row r="223" customFormat="false" ht="14.25" hidden="false" customHeight="false" outlineLevel="0" collapsed="false">
      <c r="D223" s="100"/>
    </row>
    <row r="224" customFormat="false" ht="14.25" hidden="false" customHeight="false" outlineLevel="0" collapsed="false">
      <c r="D224" s="100"/>
    </row>
    <row r="225" customFormat="false" ht="14.25" hidden="false" customHeight="false" outlineLevel="0" collapsed="false">
      <c r="D225" s="100"/>
    </row>
    <row r="226" customFormat="false" ht="14.25" hidden="false" customHeight="false" outlineLevel="0" collapsed="false">
      <c r="D226" s="100"/>
    </row>
    <row r="227" customFormat="false" ht="14.25" hidden="false" customHeight="false" outlineLevel="0" collapsed="false">
      <c r="D227" s="100"/>
    </row>
    <row r="228" customFormat="false" ht="14.25" hidden="false" customHeight="false" outlineLevel="0" collapsed="false">
      <c r="D228" s="100"/>
    </row>
    <row r="229" customFormat="false" ht="14.25" hidden="false" customHeight="false" outlineLevel="0" collapsed="false">
      <c r="D229" s="100"/>
    </row>
    <row r="230" customFormat="false" ht="14.25" hidden="false" customHeight="false" outlineLevel="0" collapsed="false">
      <c r="D230" s="100"/>
    </row>
    <row r="231" customFormat="false" ht="14.25" hidden="false" customHeight="false" outlineLevel="0" collapsed="false">
      <c r="D231" s="100"/>
    </row>
  </sheetData>
  <mergeCells count="144">
    <mergeCell ref="B1:C2"/>
    <mergeCell ref="D1:N2"/>
    <mergeCell ref="O1:P1"/>
    <mergeCell ref="O2:P2"/>
    <mergeCell ref="B3:C4"/>
    <mergeCell ref="D3:N4"/>
    <mergeCell ref="O3:P3"/>
    <mergeCell ref="O4:P4"/>
    <mergeCell ref="B10:B11"/>
    <mergeCell ref="B12:B13"/>
    <mergeCell ref="B22:B23"/>
    <mergeCell ref="B24:B25"/>
    <mergeCell ref="B29:B30"/>
    <mergeCell ref="B31:B32"/>
    <mergeCell ref="H35:Q35"/>
    <mergeCell ref="B39:F39"/>
    <mergeCell ref="G42:H42"/>
    <mergeCell ref="I42:L42"/>
    <mergeCell ref="C53:D53"/>
    <mergeCell ref="G53:J53"/>
    <mergeCell ref="B54:B57"/>
    <mergeCell ref="F54:F55"/>
    <mergeCell ref="G54:J57"/>
    <mergeCell ref="F56:F57"/>
    <mergeCell ref="B58:B61"/>
    <mergeCell ref="F58:F59"/>
    <mergeCell ref="G58:J61"/>
    <mergeCell ref="F60:F61"/>
    <mergeCell ref="B62:B65"/>
    <mergeCell ref="F62:F63"/>
    <mergeCell ref="G62:J65"/>
    <mergeCell ref="F64:F65"/>
    <mergeCell ref="B66:B69"/>
    <mergeCell ref="F66:F67"/>
    <mergeCell ref="G66:J69"/>
    <mergeCell ref="F68:F69"/>
    <mergeCell ref="B70:B73"/>
    <mergeCell ref="F70:F71"/>
    <mergeCell ref="G70:J73"/>
    <mergeCell ref="F72:F73"/>
    <mergeCell ref="B74:B77"/>
    <mergeCell ref="F74:F75"/>
    <mergeCell ref="G74:J77"/>
    <mergeCell ref="F76:F77"/>
    <mergeCell ref="B78:B81"/>
    <mergeCell ref="F78:F79"/>
    <mergeCell ref="G78:J81"/>
    <mergeCell ref="F80:F81"/>
    <mergeCell ref="B82:B85"/>
    <mergeCell ref="F82:F83"/>
    <mergeCell ref="G82:J85"/>
    <mergeCell ref="F84:F85"/>
    <mergeCell ref="B86:B89"/>
    <mergeCell ref="F86:F87"/>
    <mergeCell ref="G86:J89"/>
    <mergeCell ref="F88:F89"/>
    <mergeCell ref="B90:B93"/>
    <mergeCell ref="F90:F91"/>
    <mergeCell ref="G90:J93"/>
    <mergeCell ref="F92:F93"/>
    <mergeCell ref="B94:B97"/>
    <mergeCell ref="F94:F95"/>
    <mergeCell ref="G94:J97"/>
    <mergeCell ref="F96:F97"/>
    <mergeCell ref="B98:B101"/>
    <mergeCell ref="F98:F99"/>
    <mergeCell ref="G98:J101"/>
    <mergeCell ref="F100:F101"/>
    <mergeCell ref="B102:B105"/>
    <mergeCell ref="F102:F103"/>
    <mergeCell ref="G102:J105"/>
    <mergeCell ref="F104:F105"/>
    <mergeCell ref="B106:B109"/>
    <mergeCell ref="F106:F107"/>
    <mergeCell ref="G106:J109"/>
    <mergeCell ref="F108:F109"/>
    <mergeCell ref="B110:B113"/>
    <mergeCell ref="F110:F111"/>
    <mergeCell ref="G110:J113"/>
    <mergeCell ref="F112:F113"/>
    <mergeCell ref="B114:B117"/>
    <mergeCell ref="F114:F115"/>
    <mergeCell ref="G114:J117"/>
    <mergeCell ref="F116:F117"/>
    <mergeCell ref="B118:B121"/>
    <mergeCell ref="F118:F119"/>
    <mergeCell ref="G118:J121"/>
    <mergeCell ref="F120:F121"/>
    <mergeCell ref="B122:B125"/>
    <mergeCell ref="F122:F123"/>
    <mergeCell ref="G122:J125"/>
    <mergeCell ref="F124:F125"/>
    <mergeCell ref="B126:B129"/>
    <mergeCell ref="F126:F127"/>
    <mergeCell ref="G126:J129"/>
    <mergeCell ref="F128:F129"/>
    <mergeCell ref="B130:B133"/>
    <mergeCell ref="F130:F131"/>
    <mergeCell ref="G130:J133"/>
    <mergeCell ref="F132:F133"/>
    <mergeCell ref="B134:B137"/>
    <mergeCell ref="F134:F135"/>
    <mergeCell ref="G134:J137"/>
    <mergeCell ref="F136:F137"/>
    <mergeCell ref="B138:B141"/>
    <mergeCell ref="F138:F139"/>
    <mergeCell ref="G138:J141"/>
    <mergeCell ref="F140:F141"/>
    <mergeCell ref="B142:B145"/>
    <mergeCell ref="F142:F143"/>
    <mergeCell ref="G142:J145"/>
    <mergeCell ref="F144:F145"/>
    <mergeCell ref="B146:B149"/>
    <mergeCell ref="F146:F147"/>
    <mergeCell ref="G146:J149"/>
    <mergeCell ref="F148:F149"/>
    <mergeCell ref="B150:B153"/>
    <mergeCell ref="F150:F151"/>
    <mergeCell ref="G150:J153"/>
    <mergeCell ref="F152:F153"/>
    <mergeCell ref="B154:B157"/>
    <mergeCell ref="F154:F155"/>
    <mergeCell ref="G154:J157"/>
    <mergeCell ref="F156:F157"/>
    <mergeCell ref="B158:B161"/>
    <mergeCell ref="F158:F159"/>
    <mergeCell ref="G158:J161"/>
    <mergeCell ref="F160:F161"/>
    <mergeCell ref="B162:B165"/>
    <mergeCell ref="F162:F163"/>
    <mergeCell ref="G162:J165"/>
    <mergeCell ref="F164:F165"/>
    <mergeCell ref="B166:B169"/>
    <mergeCell ref="F166:F167"/>
    <mergeCell ref="G166:J169"/>
    <mergeCell ref="F168:F169"/>
    <mergeCell ref="B170:B173"/>
    <mergeCell ref="F170:F171"/>
    <mergeCell ref="G170:J173"/>
    <mergeCell ref="F172:F173"/>
    <mergeCell ref="B174:B177"/>
    <mergeCell ref="F174:F175"/>
    <mergeCell ref="G174:J177"/>
    <mergeCell ref="F176:F177"/>
  </mergeCells>
  <conditionalFormatting sqref="V59:V65 V85:V91">
    <cfRule type="expression" priority="2" aboveAverage="0" equalAverage="0" bottom="0" percent="0" rank="0" text="" dxfId="0">
      <formula>LEN(TRIM(V59))&gt;0</formula>
    </cfRule>
    <cfRule type="expression" priority="3" aboveAverage="0" equalAverage="0" bottom="0" percent="0" rank="0" text="" dxfId="1">
      <formula>LEN(TRIM(V59))&gt;0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36"/>
  <sheetViews>
    <sheetView showFormulas="false" showGridLines="true" showRowColHeaders="true" showZeros="true" rightToLeft="false" tabSelected="false" showOutlineSymbols="true" defaultGridColor="true" view="normal" topLeftCell="AI1" colorId="64" zoomScale="140" zoomScaleNormal="140" zoomScalePageLayoutView="100" workbookViewId="0">
      <selection pane="topLeft" activeCell="AN111" activeCellId="0" sqref="AN111"/>
    </sheetView>
  </sheetViews>
  <sheetFormatPr defaultColWidth="11.562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8.34"/>
    <col collapsed="false" customWidth="true" hidden="false" outlineLevel="0" max="3" min="3" style="151" width="12.56"/>
    <col collapsed="false" customWidth="true" hidden="false" outlineLevel="0" max="4" min="4" style="1" width="6.56"/>
    <col collapsed="false" customWidth="true" hidden="false" outlineLevel="0" max="5" min="5" style="1" width="7.44"/>
    <col collapsed="false" customWidth="true" hidden="false" outlineLevel="0" max="6" min="6" style="1" width="6.88"/>
    <col collapsed="false" customWidth="true" hidden="false" outlineLevel="0" max="7" min="7" style="1" width="12.33"/>
    <col collapsed="false" customWidth="true" hidden="false" outlineLevel="0" max="8" min="8" style="1" width="12.88"/>
    <col collapsed="false" customWidth="true" hidden="false" outlineLevel="0" max="11" min="11" style="1" width="8.88"/>
    <col collapsed="false" customWidth="true" hidden="false" outlineLevel="0" max="12" min="12" style="1" width="6.67"/>
    <col collapsed="false" customWidth="true" hidden="false" outlineLevel="0" max="13" min="13" style="1" width="13.44"/>
    <col collapsed="false" customWidth="true" hidden="false" outlineLevel="0" max="14" min="14" style="1" width="7.67"/>
    <col collapsed="false" customWidth="true" hidden="false" outlineLevel="0" max="15" min="15" style="1" width="8.88"/>
    <col collapsed="false" customWidth="true" hidden="false" outlineLevel="0" max="16" min="16" style="1" width="9.67"/>
    <col collapsed="false" customWidth="true" hidden="false" outlineLevel="0" max="18" min="18" style="1" width="12.67"/>
    <col collapsed="false" customWidth="true" hidden="false" outlineLevel="0" max="21" min="21" style="1" width="9"/>
    <col collapsed="false" customWidth="true" hidden="false" outlineLevel="0" max="22" min="22" style="1" width="6.88"/>
    <col collapsed="false" customWidth="true" hidden="false" outlineLevel="0" max="23" min="23" style="1" width="14.33"/>
    <col collapsed="false" customWidth="true" hidden="false" outlineLevel="0" max="24" min="24" style="1" width="8.44"/>
    <col collapsed="false" customWidth="true" hidden="false" outlineLevel="0" max="25" min="25" style="1" width="8.34"/>
    <col collapsed="false" customWidth="true" hidden="false" outlineLevel="0" max="26" min="26" style="1" width="7.33"/>
    <col collapsed="false" customWidth="true" hidden="false" outlineLevel="0" max="27" min="27" style="1" width="9.56"/>
    <col collapsed="false" customWidth="true" hidden="false" outlineLevel="0" max="31" min="31" style="1" width="9"/>
    <col collapsed="false" customWidth="true" hidden="false" outlineLevel="0" max="32" min="32" style="1" width="6.88"/>
    <col collapsed="false" customWidth="true" hidden="false" outlineLevel="0" max="33" min="33" style="1" width="14.33"/>
    <col collapsed="false" customWidth="true" hidden="false" outlineLevel="0" max="34" min="34" style="1" width="8.44"/>
    <col collapsed="false" customWidth="true" hidden="false" outlineLevel="0" max="35" min="35" style="1" width="8.34"/>
    <col collapsed="false" customWidth="true" hidden="false" outlineLevel="0" max="36" min="36" style="1" width="7.33"/>
    <col collapsed="false" customWidth="true" hidden="false" outlineLevel="0" max="37" min="37" style="1" width="2"/>
    <col collapsed="false" customWidth="true" hidden="false" outlineLevel="0" max="38" min="38" style="1" width="8.44"/>
    <col collapsed="false" customWidth="true" hidden="false" outlineLevel="0" max="39" min="39" style="1" width="6.88"/>
    <col collapsed="false" customWidth="true" hidden="false" outlineLevel="0" max="40" min="40" style="1" width="9"/>
    <col collapsed="false" customWidth="true" hidden="false" outlineLevel="0" max="41" min="41" style="1" width="9.56"/>
  </cols>
  <sheetData>
    <row r="1" customFormat="false" ht="17.25" hidden="false" customHeight="false" outlineLevel="0" collapsed="false">
      <c r="A1" s="152" t="s">
        <v>0</v>
      </c>
      <c r="K1" s="153"/>
      <c r="L1" s="151" t="s">
        <v>175</v>
      </c>
      <c r="P1" s="154"/>
      <c r="Q1" s="151" t="s">
        <v>176</v>
      </c>
      <c r="T1" s="155"/>
    </row>
    <row r="2" customFormat="false" ht="17.25" hidden="false" customHeight="false" outlineLevel="0" collapsed="false">
      <c r="A2" s="152"/>
    </row>
    <row r="3" customFormat="false" ht="39.55" hidden="false" customHeight="false" outlineLevel="0" collapsed="false">
      <c r="A3" s="156" t="s">
        <v>177</v>
      </c>
      <c r="B3" s="157" t="s">
        <v>178</v>
      </c>
      <c r="C3" s="158" t="s">
        <v>179</v>
      </c>
      <c r="D3" s="159" t="s">
        <v>180</v>
      </c>
      <c r="E3" s="160" t="s">
        <v>181</v>
      </c>
      <c r="F3" s="160" t="s">
        <v>182</v>
      </c>
      <c r="G3" s="160" t="s">
        <v>183</v>
      </c>
      <c r="H3" s="160" t="s">
        <v>184</v>
      </c>
      <c r="K3" s="156" t="s">
        <v>177</v>
      </c>
      <c r="L3" s="157" t="s">
        <v>178</v>
      </c>
      <c r="M3" s="158" t="s">
        <v>179</v>
      </c>
      <c r="N3" s="159" t="s">
        <v>180</v>
      </c>
      <c r="O3" s="160" t="s">
        <v>181</v>
      </c>
      <c r="P3" s="160" t="s">
        <v>182</v>
      </c>
      <c r="Q3" s="160" t="s">
        <v>183</v>
      </c>
      <c r="R3" s="160" t="s">
        <v>184</v>
      </c>
      <c r="U3" s="156" t="s">
        <v>177</v>
      </c>
      <c r="V3" s="157" t="s">
        <v>178</v>
      </c>
      <c r="W3" s="158" t="s">
        <v>179</v>
      </c>
      <c r="X3" s="159" t="s">
        <v>180</v>
      </c>
      <c r="Y3" s="160" t="s">
        <v>181</v>
      </c>
      <c r="Z3" s="160" t="s">
        <v>182</v>
      </c>
      <c r="AA3" s="160" t="s">
        <v>183</v>
      </c>
      <c r="AB3" s="160" t="s">
        <v>184</v>
      </c>
      <c r="AE3" s="156" t="s">
        <v>177</v>
      </c>
      <c r="AF3" s="157" t="s">
        <v>178</v>
      </c>
      <c r="AG3" s="158" t="s">
        <v>179</v>
      </c>
      <c r="AH3" s="159" t="s">
        <v>180</v>
      </c>
      <c r="AI3" s="160" t="s">
        <v>181</v>
      </c>
      <c r="AJ3" s="160" t="s">
        <v>182</v>
      </c>
      <c r="AK3" s="160"/>
      <c r="AL3" s="159" t="s">
        <v>180</v>
      </c>
      <c r="AM3" s="157" t="s">
        <v>178</v>
      </c>
      <c r="AN3" s="156" t="s">
        <v>177</v>
      </c>
      <c r="AO3" s="160" t="s">
        <v>183</v>
      </c>
      <c r="AP3" s="160" t="s">
        <v>184</v>
      </c>
    </row>
    <row r="4" customFormat="false" ht="14.25" hidden="false" customHeight="false" outlineLevel="0" collapsed="false">
      <c r="A4" s="156" t="s">
        <v>185</v>
      </c>
      <c r="B4" s="161" t="n">
        <v>1</v>
      </c>
      <c r="C4" s="162" t="n">
        <v>16262771451</v>
      </c>
      <c r="D4" s="163" t="s">
        <v>186</v>
      </c>
      <c r="E4" s="164" t="s">
        <v>187</v>
      </c>
      <c r="F4" s="164" t="s">
        <v>188</v>
      </c>
      <c r="G4" s="164" t="n">
        <v>88809</v>
      </c>
      <c r="H4" s="164"/>
      <c r="K4" s="156" t="s">
        <v>185</v>
      </c>
      <c r="L4" s="161" t="n">
        <v>1</v>
      </c>
      <c r="M4" s="162" t="n">
        <v>16262771451</v>
      </c>
      <c r="N4" s="163" t="s">
        <v>186</v>
      </c>
      <c r="O4" s="164" t="s">
        <v>187</v>
      </c>
      <c r="P4" s="164" t="s">
        <v>188</v>
      </c>
      <c r="Q4" s="164" t="n">
        <v>88809</v>
      </c>
      <c r="R4" s="164"/>
      <c r="U4" s="156" t="s">
        <v>185</v>
      </c>
      <c r="V4" s="161" t="n">
        <v>63</v>
      </c>
      <c r="W4" s="162" t="n">
        <v>16262711141</v>
      </c>
      <c r="X4" s="163" t="s">
        <v>189</v>
      </c>
      <c r="Y4" s="164" t="s">
        <v>190</v>
      </c>
      <c r="Z4" s="164" t="s">
        <v>191</v>
      </c>
      <c r="AA4" s="164" t="n">
        <v>88173</v>
      </c>
      <c r="AB4" s="164"/>
      <c r="AE4" s="156" t="s">
        <v>192</v>
      </c>
      <c r="AF4" s="161" t="n">
        <v>30</v>
      </c>
      <c r="AG4" s="162" t="n">
        <v>16262791497</v>
      </c>
      <c r="AH4" s="163" t="s">
        <v>193</v>
      </c>
      <c r="AI4" s="164" t="s">
        <v>194</v>
      </c>
      <c r="AJ4" s="164" t="s">
        <v>195</v>
      </c>
      <c r="AK4" s="164"/>
      <c r="AL4" s="163" t="s">
        <v>193</v>
      </c>
      <c r="AM4" s="161" t="n">
        <v>30</v>
      </c>
      <c r="AN4" s="156" t="s">
        <v>192</v>
      </c>
      <c r="AO4" s="165" t="n">
        <v>88158</v>
      </c>
      <c r="AP4" s="164" t="s">
        <v>196</v>
      </c>
    </row>
    <row r="5" customFormat="false" ht="14.25" hidden="false" customHeight="false" outlineLevel="0" collapsed="false">
      <c r="A5" s="156" t="s">
        <v>185</v>
      </c>
      <c r="B5" s="161" t="n">
        <v>3</v>
      </c>
      <c r="C5" s="162" t="n">
        <v>16262781157</v>
      </c>
      <c r="D5" s="163" t="s">
        <v>197</v>
      </c>
      <c r="E5" s="164" t="s">
        <v>198</v>
      </c>
      <c r="F5" s="164" t="s">
        <v>199</v>
      </c>
      <c r="G5" s="164" t="n">
        <v>88860</v>
      </c>
      <c r="H5" s="164"/>
      <c r="K5" s="156" t="s">
        <v>192</v>
      </c>
      <c r="L5" s="161" t="n">
        <v>2</v>
      </c>
      <c r="M5" s="162" t="n">
        <v>16262771111</v>
      </c>
      <c r="N5" s="163" t="s">
        <v>200</v>
      </c>
      <c r="O5" s="164" t="s">
        <v>201</v>
      </c>
      <c r="P5" s="164" t="s">
        <v>202</v>
      </c>
      <c r="Q5" s="164" t="n">
        <v>88863</v>
      </c>
      <c r="R5" s="164"/>
      <c r="U5" s="156" t="s">
        <v>185</v>
      </c>
      <c r="V5" s="161" t="n">
        <v>45</v>
      </c>
      <c r="W5" s="162" t="n">
        <v>16262702159</v>
      </c>
      <c r="X5" s="163" t="s">
        <v>203</v>
      </c>
      <c r="Y5" s="164" t="s">
        <v>204</v>
      </c>
      <c r="Z5" s="164" t="s">
        <v>205</v>
      </c>
      <c r="AA5" s="164" t="n">
        <v>88174</v>
      </c>
      <c r="AB5" s="164"/>
      <c r="AE5" s="156" t="s">
        <v>185</v>
      </c>
      <c r="AF5" s="161" t="n">
        <v>63</v>
      </c>
      <c r="AG5" s="162" t="n">
        <v>16262711141</v>
      </c>
      <c r="AH5" s="163" t="s">
        <v>189</v>
      </c>
      <c r="AI5" s="164" t="s">
        <v>190</v>
      </c>
      <c r="AJ5" s="164" t="s">
        <v>191</v>
      </c>
      <c r="AK5" s="164"/>
      <c r="AL5" s="163" t="s">
        <v>189</v>
      </c>
      <c r="AM5" s="161" t="n">
        <v>63</v>
      </c>
      <c r="AN5" s="156" t="s">
        <v>185</v>
      </c>
      <c r="AO5" s="164" t="n">
        <v>88173</v>
      </c>
      <c r="AP5" s="164"/>
    </row>
    <row r="6" customFormat="false" ht="14.25" hidden="false" customHeight="false" outlineLevel="0" collapsed="false">
      <c r="A6" s="156" t="s">
        <v>185</v>
      </c>
      <c r="B6" s="161" t="n">
        <v>4</v>
      </c>
      <c r="C6" s="162" t="n">
        <v>16262781165</v>
      </c>
      <c r="D6" s="163" t="s">
        <v>206</v>
      </c>
      <c r="E6" s="164" t="s">
        <v>207</v>
      </c>
      <c r="F6" s="164" t="s">
        <v>208</v>
      </c>
      <c r="G6" s="164" t="n">
        <v>88637</v>
      </c>
      <c r="H6" s="164"/>
      <c r="K6" s="156" t="s">
        <v>185</v>
      </c>
      <c r="L6" s="161" t="n">
        <v>3</v>
      </c>
      <c r="M6" s="162" t="n">
        <v>16262781157</v>
      </c>
      <c r="N6" s="163" t="s">
        <v>197</v>
      </c>
      <c r="O6" s="164" t="s">
        <v>198</v>
      </c>
      <c r="P6" s="164" t="s">
        <v>199</v>
      </c>
      <c r="Q6" s="164" t="n">
        <v>88860</v>
      </c>
      <c r="R6" s="164"/>
      <c r="U6" s="156" t="s">
        <v>192</v>
      </c>
      <c r="V6" s="161" t="n">
        <v>18</v>
      </c>
      <c r="W6" s="162" t="n">
        <v>16262791276</v>
      </c>
      <c r="X6" s="163" t="s">
        <v>209</v>
      </c>
      <c r="Y6" s="164" t="s">
        <v>210</v>
      </c>
      <c r="Z6" s="164" t="s">
        <v>211</v>
      </c>
      <c r="AA6" s="164" t="n">
        <v>88176</v>
      </c>
      <c r="AB6" s="164"/>
      <c r="AE6" s="156" t="s">
        <v>185</v>
      </c>
      <c r="AF6" s="161" t="n">
        <v>45</v>
      </c>
      <c r="AG6" s="162" t="n">
        <v>16262702159</v>
      </c>
      <c r="AH6" s="163" t="s">
        <v>203</v>
      </c>
      <c r="AI6" s="164" t="s">
        <v>204</v>
      </c>
      <c r="AJ6" s="164" t="s">
        <v>205</v>
      </c>
      <c r="AK6" s="164"/>
      <c r="AL6" s="163" t="s">
        <v>203</v>
      </c>
      <c r="AM6" s="161" t="n">
        <v>45</v>
      </c>
      <c r="AN6" s="156" t="s">
        <v>185</v>
      </c>
      <c r="AO6" s="164" t="n">
        <v>88174</v>
      </c>
      <c r="AP6" s="164"/>
    </row>
    <row r="7" customFormat="false" ht="14.25" hidden="false" customHeight="false" outlineLevel="0" collapsed="false">
      <c r="A7" s="156" t="s">
        <v>185</v>
      </c>
      <c r="B7" s="161" t="n">
        <v>5</v>
      </c>
      <c r="C7" s="162" t="n">
        <v>16262781239</v>
      </c>
      <c r="D7" s="163" t="s">
        <v>212</v>
      </c>
      <c r="E7" s="164" t="s">
        <v>213</v>
      </c>
      <c r="F7" s="164" t="s">
        <v>214</v>
      </c>
      <c r="G7" s="164" t="n">
        <v>88264</v>
      </c>
      <c r="H7" s="164"/>
      <c r="K7" s="156" t="s">
        <v>185</v>
      </c>
      <c r="L7" s="161" t="n">
        <v>4</v>
      </c>
      <c r="M7" s="162" t="n">
        <v>16262781165</v>
      </c>
      <c r="N7" s="163" t="s">
        <v>206</v>
      </c>
      <c r="O7" s="164" t="s">
        <v>207</v>
      </c>
      <c r="P7" s="164" t="s">
        <v>208</v>
      </c>
      <c r="Q7" s="164" t="n">
        <v>88637</v>
      </c>
      <c r="R7" s="164"/>
      <c r="U7" s="156" t="s">
        <v>192</v>
      </c>
      <c r="V7" s="161" t="n">
        <v>115</v>
      </c>
      <c r="W7" s="162" t="n">
        <v>16262731518</v>
      </c>
      <c r="X7" s="163" t="s">
        <v>215</v>
      </c>
      <c r="Y7" s="164" t="s">
        <v>216</v>
      </c>
      <c r="Z7" s="164" t="s">
        <v>217</v>
      </c>
      <c r="AA7" s="164" t="n">
        <v>88181</v>
      </c>
      <c r="AB7" s="164"/>
      <c r="AE7" s="156" t="s">
        <v>192</v>
      </c>
      <c r="AF7" s="161" t="n">
        <v>18</v>
      </c>
      <c r="AG7" s="162" t="n">
        <v>16262791276</v>
      </c>
      <c r="AH7" s="163" t="s">
        <v>209</v>
      </c>
      <c r="AI7" s="164" t="s">
        <v>210</v>
      </c>
      <c r="AJ7" s="164" t="s">
        <v>211</v>
      </c>
      <c r="AK7" s="164"/>
      <c r="AL7" s="163" t="s">
        <v>209</v>
      </c>
      <c r="AM7" s="161" t="n">
        <v>18</v>
      </c>
      <c r="AN7" s="156" t="s">
        <v>192</v>
      </c>
      <c r="AO7" s="164" t="n">
        <v>88176</v>
      </c>
      <c r="AP7" s="164"/>
    </row>
    <row r="8" customFormat="false" ht="14.25" hidden="false" customHeight="false" outlineLevel="0" collapsed="false">
      <c r="A8" s="156" t="s">
        <v>185</v>
      </c>
      <c r="B8" s="161" t="n">
        <v>11</v>
      </c>
      <c r="C8" s="162" t="n">
        <v>16262781521</v>
      </c>
      <c r="D8" s="163" t="s">
        <v>218</v>
      </c>
      <c r="E8" s="164" t="s">
        <v>219</v>
      </c>
      <c r="F8" s="164" t="s">
        <v>220</v>
      </c>
      <c r="G8" s="164" t="n">
        <v>88625</v>
      </c>
      <c r="H8" s="164"/>
      <c r="K8" s="156" t="s">
        <v>185</v>
      </c>
      <c r="L8" s="161" t="n">
        <v>5</v>
      </c>
      <c r="M8" s="162" t="n">
        <v>16262781239</v>
      </c>
      <c r="N8" s="163" t="s">
        <v>212</v>
      </c>
      <c r="O8" s="164" t="s">
        <v>213</v>
      </c>
      <c r="P8" s="164" t="s">
        <v>214</v>
      </c>
      <c r="Q8" s="164" t="n">
        <v>88264</v>
      </c>
      <c r="R8" s="164"/>
      <c r="U8" s="156" t="s">
        <v>192</v>
      </c>
      <c r="V8" s="161" t="n">
        <v>23</v>
      </c>
      <c r="W8" s="162" t="n">
        <v>16262791379</v>
      </c>
      <c r="X8" s="163" t="s">
        <v>221</v>
      </c>
      <c r="Y8" s="164" t="s">
        <v>222</v>
      </c>
      <c r="Z8" s="164" t="s">
        <v>223</v>
      </c>
      <c r="AA8" s="164" t="n">
        <v>88193</v>
      </c>
      <c r="AB8" s="164"/>
      <c r="AE8" s="156" t="s">
        <v>192</v>
      </c>
      <c r="AF8" s="161" t="n">
        <v>115</v>
      </c>
      <c r="AG8" s="162" t="n">
        <v>16262731518</v>
      </c>
      <c r="AH8" s="163" t="s">
        <v>215</v>
      </c>
      <c r="AI8" s="164" t="s">
        <v>216</v>
      </c>
      <c r="AJ8" s="164" t="s">
        <v>217</v>
      </c>
      <c r="AK8" s="164"/>
      <c r="AL8" s="163" t="s">
        <v>215</v>
      </c>
      <c r="AM8" s="161" t="n">
        <v>115</v>
      </c>
      <c r="AN8" s="156" t="s">
        <v>192</v>
      </c>
      <c r="AO8" s="164" t="n">
        <v>88181</v>
      </c>
      <c r="AP8" s="164"/>
    </row>
    <row r="9" customFormat="false" ht="14.25" hidden="false" customHeight="false" outlineLevel="0" collapsed="false">
      <c r="A9" s="156" t="s">
        <v>185</v>
      </c>
      <c r="B9" s="161" t="n">
        <v>15</v>
      </c>
      <c r="C9" s="162" t="n">
        <v>16262791251</v>
      </c>
      <c r="D9" s="163" t="s">
        <v>224</v>
      </c>
      <c r="E9" s="164" t="s">
        <v>225</v>
      </c>
      <c r="F9" s="164" t="s">
        <v>226</v>
      </c>
      <c r="G9" s="164" t="n">
        <v>89314</v>
      </c>
      <c r="H9" s="164"/>
      <c r="K9" s="156" t="s">
        <v>192</v>
      </c>
      <c r="L9" s="161" t="n">
        <v>6</v>
      </c>
      <c r="M9" s="162" t="n">
        <v>16262781268</v>
      </c>
      <c r="N9" s="163" t="s">
        <v>227</v>
      </c>
      <c r="O9" s="164" t="s">
        <v>228</v>
      </c>
      <c r="P9" s="164" t="s">
        <v>229</v>
      </c>
      <c r="Q9" s="164" t="n">
        <v>89246</v>
      </c>
      <c r="R9" s="164"/>
      <c r="U9" s="156" t="s">
        <v>192</v>
      </c>
      <c r="V9" s="161" t="n">
        <v>33</v>
      </c>
      <c r="W9" s="162" t="n">
        <v>16262791567</v>
      </c>
      <c r="X9" s="163" t="s">
        <v>230</v>
      </c>
      <c r="Y9" s="164" t="s">
        <v>231</v>
      </c>
      <c r="Z9" s="164" t="s">
        <v>232</v>
      </c>
      <c r="AA9" s="164" t="n">
        <v>88194</v>
      </c>
      <c r="AB9" s="164"/>
      <c r="AE9" s="156" t="s">
        <v>192</v>
      </c>
      <c r="AF9" s="161" t="n">
        <v>23</v>
      </c>
      <c r="AG9" s="162" t="n">
        <v>16262791379</v>
      </c>
      <c r="AH9" s="163" t="s">
        <v>221</v>
      </c>
      <c r="AI9" s="164" t="s">
        <v>222</v>
      </c>
      <c r="AJ9" s="164" t="s">
        <v>223</v>
      </c>
      <c r="AK9" s="164"/>
      <c r="AL9" s="163" t="s">
        <v>221</v>
      </c>
      <c r="AM9" s="161" t="n">
        <v>23</v>
      </c>
      <c r="AN9" s="156" t="s">
        <v>192</v>
      </c>
      <c r="AO9" s="164" t="n">
        <v>88193</v>
      </c>
      <c r="AP9" s="164"/>
    </row>
    <row r="10" customFormat="false" ht="14.25" hidden="false" customHeight="false" outlineLevel="0" collapsed="false">
      <c r="A10" s="156" t="s">
        <v>185</v>
      </c>
      <c r="B10" s="161" t="n">
        <v>17</v>
      </c>
      <c r="C10" s="162" t="n">
        <v>16262791256</v>
      </c>
      <c r="D10" s="163" t="s">
        <v>233</v>
      </c>
      <c r="E10" s="164" t="s">
        <v>234</v>
      </c>
      <c r="F10" s="164" t="s">
        <v>235</v>
      </c>
      <c r="G10" s="164" t="n">
        <v>89446</v>
      </c>
      <c r="H10" s="164"/>
      <c r="K10" s="156" t="s">
        <v>192</v>
      </c>
      <c r="L10" s="161" t="n">
        <v>7</v>
      </c>
      <c r="M10" s="162" t="n">
        <v>16262781300</v>
      </c>
      <c r="N10" s="163" t="s">
        <v>236</v>
      </c>
      <c r="O10" s="164" t="s">
        <v>237</v>
      </c>
      <c r="P10" s="164" t="s">
        <v>238</v>
      </c>
      <c r="Q10" s="164" t="n">
        <v>89101</v>
      </c>
      <c r="R10" s="164"/>
      <c r="U10" s="156" t="s">
        <v>192</v>
      </c>
      <c r="V10" s="161" t="n">
        <v>89</v>
      </c>
      <c r="W10" s="162" t="n">
        <v>16262721361</v>
      </c>
      <c r="X10" s="163" t="s">
        <v>239</v>
      </c>
      <c r="Y10" s="164" t="s">
        <v>240</v>
      </c>
      <c r="Z10" s="164" t="s">
        <v>241</v>
      </c>
      <c r="AA10" s="164" t="n">
        <v>88201</v>
      </c>
      <c r="AB10" s="164"/>
      <c r="AE10" s="156" t="s">
        <v>192</v>
      </c>
      <c r="AF10" s="161" t="n">
        <v>33</v>
      </c>
      <c r="AG10" s="162" t="n">
        <v>16262791567</v>
      </c>
      <c r="AH10" s="163" t="s">
        <v>230</v>
      </c>
      <c r="AI10" s="164" t="s">
        <v>231</v>
      </c>
      <c r="AJ10" s="164" t="s">
        <v>232</v>
      </c>
      <c r="AK10" s="164"/>
      <c r="AL10" s="163" t="s">
        <v>230</v>
      </c>
      <c r="AM10" s="161" t="n">
        <v>33</v>
      </c>
      <c r="AN10" s="156" t="s">
        <v>192</v>
      </c>
      <c r="AO10" s="164" t="n">
        <v>88194</v>
      </c>
      <c r="AP10" s="164"/>
    </row>
    <row r="11" customFormat="false" ht="14.25" hidden="false" customHeight="false" outlineLevel="0" collapsed="false">
      <c r="A11" s="156" t="s">
        <v>185</v>
      </c>
      <c r="B11" s="161" t="n">
        <v>19</v>
      </c>
      <c r="C11" s="162" t="n">
        <v>16262791323</v>
      </c>
      <c r="D11" s="163" t="s">
        <v>242</v>
      </c>
      <c r="E11" s="164" t="s">
        <v>243</v>
      </c>
      <c r="F11" s="164" t="s">
        <v>244</v>
      </c>
      <c r="G11" s="164" t="n">
        <v>88967</v>
      </c>
      <c r="H11" s="164"/>
      <c r="K11" s="156" t="s">
        <v>192</v>
      </c>
      <c r="L11" s="161" t="n">
        <v>8</v>
      </c>
      <c r="M11" s="162" t="n">
        <v>16262781332</v>
      </c>
      <c r="N11" s="163" t="s">
        <v>245</v>
      </c>
      <c r="O11" s="164" t="s">
        <v>246</v>
      </c>
      <c r="P11" s="164" t="s">
        <v>247</v>
      </c>
      <c r="Q11" s="164" t="n">
        <v>88224</v>
      </c>
      <c r="R11" s="164"/>
      <c r="U11" s="156" t="s">
        <v>185</v>
      </c>
      <c r="V11" s="161" t="n">
        <v>55</v>
      </c>
      <c r="W11" s="166" t="n">
        <v>16262702463</v>
      </c>
      <c r="X11" s="167" t="s">
        <v>248</v>
      </c>
      <c r="Y11" s="168" t="s">
        <v>249</v>
      </c>
      <c r="Z11" s="168" t="s">
        <v>250</v>
      </c>
      <c r="AA11" s="168" t="n">
        <v>88205</v>
      </c>
      <c r="AB11" s="168"/>
      <c r="AE11" s="156" t="s">
        <v>192</v>
      </c>
      <c r="AF11" s="161" t="n">
        <v>89</v>
      </c>
      <c r="AG11" s="162" t="n">
        <v>16262721361</v>
      </c>
      <c r="AH11" s="163" t="s">
        <v>239</v>
      </c>
      <c r="AI11" s="164" t="s">
        <v>240</v>
      </c>
      <c r="AJ11" s="164" t="s">
        <v>241</v>
      </c>
      <c r="AK11" s="164"/>
      <c r="AL11" s="163" t="s">
        <v>239</v>
      </c>
      <c r="AM11" s="161" t="n">
        <v>89</v>
      </c>
      <c r="AN11" s="156" t="s">
        <v>192</v>
      </c>
      <c r="AO11" s="164" t="n">
        <v>88201</v>
      </c>
      <c r="AP11" s="164"/>
    </row>
    <row r="12" customFormat="false" ht="14.25" hidden="false" customHeight="false" outlineLevel="0" collapsed="false">
      <c r="A12" s="156" t="s">
        <v>185</v>
      </c>
      <c r="B12" s="161" t="n">
        <v>22</v>
      </c>
      <c r="C12" s="162" t="n">
        <v>16262791336</v>
      </c>
      <c r="D12" s="163" t="s">
        <v>251</v>
      </c>
      <c r="E12" s="164" t="s">
        <v>252</v>
      </c>
      <c r="F12" s="164" t="s">
        <v>253</v>
      </c>
      <c r="G12" s="164" t="n">
        <v>89003</v>
      </c>
      <c r="H12" s="164"/>
      <c r="K12" s="156" t="s">
        <v>192</v>
      </c>
      <c r="L12" s="161" t="n">
        <v>9</v>
      </c>
      <c r="M12" s="162" t="n">
        <v>16262781420</v>
      </c>
      <c r="N12" s="163" t="s">
        <v>254</v>
      </c>
      <c r="O12" s="164" t="s">
        <v>255</v>
      </c>
      <c r="P12" s="164" t="s">
        <v>256</v>
      </c>
      <c r="Q12" s="164" t="n">
        <v>88479</v>
      </c>
      <c r="R12" s="164"/>
      <c r="U12" s="156" t="s">
        <v>192</v>
      </c>
      <c r="V12" s="161" t="n">
        <v>39</v>
      </c>
      <c r="W12" s="162" t="n">
        <v>16262791685</v>
      </c>
      <c r="X12" s="163" t="s">
        <v>257</v>
      </c>
      <c r="Y12" s="164" t="s">
        <v>258</v>
      </c>
      <c r="Z12" s="164" t="s">
        <v>259</v>
      </c>
      <c r="AA12" s="164" t="n">
        <v>88213</v>
      </c>
      <c r="AB12" s="164"/>
      <c r="AE12" s="156" t="s">
        <v>185</v>
      </c>
      <c r="AF12" s="161" t="n">
        <v>55</v>
      </c>
      <c r="AG12" s="166" t="n">
        <v>16262702463</v>
      </c>
      <c r="AH12" s="167" t="s">
        <v>248</v>
      </c>
      <c r="AI12" s="168" t="s">
        <v>249</v>
      </c>
      <c r="AJ12" s="168" t="s">
        <v>250</v>
      </c>
      <c r="AK12" s="168"/>
      <c r="AL12" s="167" t="s">
        <v>248</v>
      </c>
      <c r="AM12" s="161" t="n">
        <v>55</v>
      </c>
      <c r="AN12" s="156" t="s">
        <v>185</v>
      </c>
      <c r="AO12" s="168" t="n">
        <v>88205</v>
      </c>
      <c r="AP12" s="168"/>
    </row>
    <row r="13" customFormat="false" ht="14.25" hidden="false" customHeight="false" outlineLevel="0" collapsed="false">
      <c r="A13" s="156" t="s">
        <v>185</v>
      </c>
      <c r="B13" s="161" t="n">
        <v>25</v>
      </c>
      <c r="C13" s="162" t="n">
        <v>16262791428</v>
      </c>
      <c r="D13" s="163" t="s">
        <v>260</v>
      </c>
      <c r="E13" s="164" t="s">
        <v>261</v>
      </c>
      <c r="F13" s="164" t="s">
        <v>262</v>
      </c>
      <c r="G13" s="164" t="n">
        <v>88512</v>
      </c>
      <c r="H13" s="164"/>
      <c r="K13" s="156" t="s">
        <v>192</v>
      </c>
      <c r="L13" s="161" t="n">
        <v>10</v>
      </c>
      <c r="M13" s="162" t="n">
        <v>16262781489</v>
      </c>
      <c r="N13" s="163" t="s">
        <v>263</v>
      </c>
      <c r="O13" s="164" t="s">
        <v>264</v>
      </c>
      <c r="P13" s="164" t="s">
        <v>265</v>
      </c>
      <c r="Q13" s="164" t="n">
        <v>89267</v>
      </c>
      <c r="R13" s="164"/>
      <c r="U13" s="156" t="s">
        <v>185</v>
      </c>
      <c r="V13" s="161" t="n">
        <v>42</v>
      </c>
      <c r="W13" s="162" t="n">
        <v>16262702125</v>
      </c>
      <c r="X13" s="163" t="s">
        <v>266</v>
      </c>
      <c r="Y13" s="164" t="s">
        <v>267</v>
      </c>
      <c r="Z13" s="164" t="s">
        <v>268</v>
      </c>
      <c r="AA13" s="164" t="n">
        <v>88221</v>
      </c>
      <c r="AB13" s="164"/>
      <c r="AE13" s="156" t="s">
        <v>192</v>
      </c>
      <c r="AF13" s="161" t="n">
        <v>39</v>
      </c>
      <c r="AG13" s="162" t="n">
        <v>16262791685</v>
      </c>
      <c r="AH13" s="163" t="s">
        <v>257</v>
      </c>
      <c r="AI13" s="164" t="s">
        <v>258</v>
      </c>
      <c r="AJ13" s="164" t="s">
        <v>259</v>
      </c>
      <c r="AK13" s="164"/>
      <c r="AL13" s="163" t="s">
        <v>257</v>
      </c>
      <c r="AM13" s="161" t="n">
        <v>39</v>
      </c>
      <c r="AN13" s="156" t="s">
        <v>192</v>
      </c>
      <c r="AO13" s="164" t="n">
        <v>88213</v>
      </c>
      <c r="AP13" s="164"/>
    </row>
    <row r="14" customFormat="false" ht="14.25" hidden="false" customHeight="false" outlineLevel="0" collapsed="false">
      <c r="A14" s="156" t="s">
        <v>185</v>
      </c>
      <c r="B14" s="161" t="n">
        <v>26</v>
      </c>
      <c r="C14" s="162" t="n">
        <v>16262791446</v>
      </c>
      <c r="D14" s="163" t="s">
        <v>269</v>
      </c>
      <c r="E14" s="164" t="s">
        <v>270</v>
      </c>
      <c r="F14" s="164" t="s">
        <v>271</v>
      </c>
      <c r="G14" s="164" t="n">
        <v>89051</v>
      </c>
      <c r="H14" s="164"/>
      <c r="K14" s="156" t="s">
        <v>185</v>
      </c>
      <c r="L14" s="161" t="n">
        <v>11</v>
      </c>
      <c r="M14" s="162" t="n">
        <v>16262781521</v>
      </c>
      <c r="N14" s="163" t="s">
        <v>218</v>
      </c>
      <c r="O14" s="164" t="s">
        <v>219</v>
      </c>
      <c r="P14" s="164" t="s">
        <v>220</v>
      </c>
      <c r="Q14" s="164" t="n">
        <v>88665</v>
      </c>
      <c r="R14" s="164"/>
      <c r="U14" s="156" t="s">
        <v>192</v>
      </c>
      <c r="V14" s="161" t="n">
        <v>8</v>
      </c>
      <c r="W14" s="162" t="n">
        <v>16262781332</v>
      </c>
      <c r="X14" s="163" t="s">
        <v>245</v>
      </c>
      <c r="Y14" s="164" t="s">
        <v>246</v>
      </c>
      <c r="Z14" s="164" t="s">
        <v>247</v>
      </c>
      <c r="AA14" s="164" t="n">
        <v>88224</v>
      </c>
      <c r="AB14" s="164"/>
      <c r="AE14" s="156" t="s">
        <v>192</v>
      </c>
      <c r="AF14" s="161" t="n">
        <v>81</v>
      </c>
      <c r="AG14" s="162" t="n">
        <v>16262711627</v>
      </c>
      <c r="AH14" s="163" t="s">
        <v>272</v>
      </c>
      <c r="AI14" s="164" t="s">
        <v>273</v>
      </c>
      <c r="AJ14" s="164" t="s">
        <v>274</v>
      </c>
      <c r="AK14" s="164"/>
      <c r="AL14" s="163" t="s">
        <v>272</v>
      </c>
      <c r="AM14" s="161" t="n">
        <v>81</v>
      </c>
      <c r="AN14" s="156" t="s">
        <v>192</v>
      </c>
      <c r="AO14" s="165" t="n">
        <v>88217</v>
      </c>
      <c r="AP14" s="164" t="s">
        <v>275</v>
      </c>
    </row>
    <row r="15" customFormat="false" ht="14.25" hidden="false" customHeight="false" outlineLevel="0" collapsed="false">
      <c r="A15" s="156" t="s">
        <v>185</v>
      </c>
      <c r="B15" s="161" t="n">
        <v>31</v>
      </c>
      <c r="C15" s="162" t="n">
        <v>16262791501</v>
      </c>
      <c r="D15" s="163" t="s">
        <v>276</v>
      </c>
      <c r="E15" s="164" t="s">
        <v>277</v>
      </c>
      <c r="F15" s="164" t="s">
        <v>278</v>
      </c>
      <c r="G15" s="164" t="n">
        <v>88856</v>
      </c>
      <c r="H15" s="164"/>
      <c r="K15" s="156" t="s">
        <v>192</v>
      </c>
      <c r="L15" s="161" t="n">
        <v>12</v>
      </c>
      <c r="M15" s="162" t="n">
        <v>16262781594</v>
      </c>
      <c r="N15" s="163" t="s">
        <v>279</v>
      </c>
      <c r="O15" s="164" t="s">
        <v>280</v>
      </c>
      <c r="P15" s="164" t="s">
        <v>281</v>
      </c>
      <c r="Q15" s="164" t="n">
        <v>89281</v>
      </c>
      <c r="R15" s="164"/>
      <c r="U15" s="156" t="s">
        <v>192</v>
      </c>
      <c r="V15" s="161" t="n">
        <v>106</v>
      </c>
      <c r="W15" s="162" t="n">
        <v>16262731360</v>
      </c>
      <c r="X15" s="163" t="s">
        <v>282</v>
      </c>
      <c r="Y15" s="164" t="s">
        <v>283</v>
      </c>
      <c r="Z15" s="164" t="s">
        <v>284</v>
      </c>
      <c r="AA15" s="164" t="n">
        <v>88228</v>
      </c>
      <c r="AB15" s="164"/>
      <c r="AE15" s="156" t="s">
        <v>185</v>
      </c>
      <c r="AF15" s="161" t="n">
        <v>42</v>
      </c>
      <c r="AG15" s="162" t="n">
        <v>16262702125</v>
      </c>
      <c r="AH15" s="163" t="s">
        <v>266</v>
      </c>
      <c r="AI15" s="164" t="s">
        <v>267</v>
      </c>
      <c r="AJ15" s="164" t="s">
        <v>268</v>
      </c>
      <c r="AK15" s="164"/>
      <c r="AL15" s="163" t="s">
        <v>266</v>
      </c>
      <c r="AM15" s="161" t="n">
        <v>42</v>
      </c>
      <c r="AN15" s="156" t="s">
        <v>185</v>
      </c>
      <c r="AO15" s="164" t="n">
        <v>88221</v>
      </c>
      <c r="AP15" s="164"/>
    </row>
    <row r="16" customFormat="false" ht="14.25" hidden="false" customHeight="false" outlineLevel="0" collapsed="false">
      <c r="A16" s="156" t="s">
        <v>185</v>
      </c>
      <c r="B16" s="161" t="n">
        <v>32</v>
      </c>
      <c r="C16" s="162" t="n">
        <v>16262791553</v>
      </c>
      <c r="D16" s="163" t="s">
        <v>285</v>
      </c>
      <c r="E16" s="164" t="s">
        <v>286</v>
      </c>
      <c r="F16" s="164" t="s">
        <v>287</v>
      </c>
      <c r="G16" s="164" t="n">
        <v>88955</v>
      </c>
      <c r="H16" s="164"/>
      <c r="K16" s="156" t="s">
        <v>192</v>
      </c>
      <c r="L16" s="161" t="n">
        <v>13</v>
      </c>
      <c r="M16" s="162" t="n">
        <v>16262781607</v>
      </c>
      <c r="N16" s="163" t="s">
        <v>288</v>
      </c>
      <c r="O16" s="164" t="s">
        <v>289</v>
      </c>
      <c r="P16" s="164" t="s">
        <v>290</v>
      </c>
      <c r="Q16" s="164" t="n">
        <v>89251</v>
      </c>
      <c r="R16" s="164"/>
      <c r="U16" s="156" t="s">
        <v>185</v>
      </c>
      <c r="V16" s="161" t="n">
        <v>68</v>
      </c>
      <c r="W16" s="162" t="n">
        <v>16262711232</v>
      </c>
      <c r="X16" s="163" t="s">
        <v>291</v>
      </c>
      <c r="Y16" s="164" t="s">
        <v>292</v>
      </c>
      <c r="Z16" s="164" t="s">
        <v>293</v>
      </c>
      <c r="AA16" s="164" t="n">
        <v>88256</v>
      </c>
      <c r="AB16" s="164"/>
      <c r="AE16" s="156" t="s">
        <v>192</v>
      </c>
      <c r="AF16" s="161" t="n">
        <v>8</v>
      </c>
      <c r="AG16" s="162" t="n">
        <v>16262781332</v>
      </c>
      <c r="AH16" s="163" t="s">
        <v>245</v>
      </c>
      <c r="AI16" s="164" t="s">
        <v>246</v>
      </c>
      <c r="AJ16" s="164" t="s">
        <v>247</v>
      </c>
      <c r="AK16" s="164"/>
      <c r="AL16" s="163" t="s">
        <v>245</v>
      </c>
      <c r="AM16" s="161" t="n">
        <v>8</v>
      </c>
      <c r="AN16" s="156" t="s">
        <v>192</v>
      </c>
      <c r="AO16" s="164" t="n">
        <v>88224</v>
      </c>
      <c r="AP16" s="164"/>
    </row>
    <row r="17" customFormat="false" ht="14.25" hidden="false" customHeight="false" outlineLevel="0" collapsed="false">
      <c r="A17" s="156" t="s">
        <v>185</v>
      </c>
      <c r="B17" s="161" t="n">
        <v>36</v>
      </c>
      <c r="C17" s="162" t="n">
        <v>16262791631</v>
      </c>
      <c r="D17" s="163" t="s">
        <v>294</v>
      </c>
      <c r="E17" s="164" t="s">
        <v>295</v>
      </c>
      <c r="F17" s="164" t="s">
        <v>296</v>
      </c>
      <c r="G17" s="164" t="n">
        <v>89280</v>
      </c>
      <c r="H17" s="164"/>
      <c r="K17" s="156" t="s">
        <v>192</v>
      </c>
      <c r="L17" s="161" t="n">
        <v>14</v>
      </c>
      <c r="M17" s="162" t="n">
        <v>16262791214</v>
      </c>
      <c r="N17" s="163" t="s">
        <v>297</v>
      </c>
      <c r="O17" s="164" t="s">
        <v>298</v>
      </c>
      <c r="P17" s="164" t="s">
        <v>299</v>
      </c>
      <c r="Q17" s="164" t="n">
        <v>88839</v>
      </c>
      <c r="R17" s="164"/>
      <c r="U17" s="156" t="s">
        <v>185</v>
      </c>
      <c r="V17" s="161" t="n">
        <v>5</v>
      </c>
      <c r="W17" s="162" t="n">
        <v>16262781239</v>
      </c>
      <c r="X17" s="163" t="s">
        <v>212</v>
      </c>
      <c r="Y17" s="164" t="s">
        <v>213</v>
      </c>
      <c r="Z17" s="164" t="s">
        <v>214</v>
      </c>
      <c r="AA17" s="164" t="n">
        <v>88264</v>
      </c>
      <c r="AB17" s="164"/>
      <c r="AE17" s="156" t="s">
        <v>192</v>
      </c>
      <c r="AF17" s="161" t="n">
        <v>106</v>
      </c>
      <c r="AG17" s="162" t="n">
        <v>16262731360</v>
      </c>
      <c r="AH17" s="163" t="s">
        <v>282</v>
      </c>
      <c r="AI17" s="164" t="s">
        <v>283</v>
      </c>
      <c r="AJ17" s="164" t="s">
        <v>284</v>
      </c>
      <c r="AK17" s="164"/>
      <c r="AL17" s="163" t="s">
        <v>282</v>
      </c>
      <c r="AM17" s="161" t="n">
        <v>106</v>
      </c>
      <c r="AN17" s="156" t="s">
        <v>192</v>
      </c>
      <c r="AO17" s="164" t="n">
        <v>88228</v>
      </c>
      <c r="AP17" s="164"/>
    </row>
    <row r="18" customFormat="false" ht="14.25" hidden="false" customHeight="false" outlineLevel="0" collapsed="false">
      <c r="A18" s="156" t="s">
        <v>185</v>
      </c>
      <c r="B18" s="161" t="n">
        <v>42</v>
      </c>
      <c r="C18" s="162" t="n">
        <v>16262702125</v>
      </c>
      <c r="D18" s="163" t="s">
        <v>266</v>
      </c>
      <c r="E18" s="164" t="s">
        <v>267</v>
      </c>
      <c r="F18" s="164" t="s">
        <v>268</v>
      </c>
      <c r="G18" s="164" t="n">
        <v>88221</v>
      </c>
      <c r="H18" s="164"/>
      <c r="K18" s="156" t="s">
        <v>185</v>
      </c>
      <c r="L18" s="161" t="n">
        <v>15</v>
      </c>
      <c r="M18" s="162" t="n">
        <v>16262791251</v>
      </c>
      <c r="N18" s="163" t="s">
        <v>224</v>
      </c>
      <c r="O18" s="164" t="s">
        <v>225</v>
      </c>
      <c r="P18" s="164" t="s">
        <v>226</v>
      </c>
      <c r="Q18" s="164" t="n">
        <v>89314</v>
      </c>
      <c r="R18" s="164"/>
      <c r="U18" s="156" t="s">
        <v>192</v>
      </c>
      <c r="V18" s="161" t="n">
        <v>57</v>
      </c>
      <c r="W18" s="162" t="n">
        <v>16262702485</v>
      </c>
      <c r="X18" s="163" t="s">
        <v>300</v>
      </c>
      <c r="Y18" s="164" t="s">
        <v>301</v>
      </c>
      <c r="Z18" s="164" t="s">
        <v>302</v>
      </c>
      <c r="AA18" s="164" t="n">
        <v>88272</v>
      </c>
      <c r="AB18" s="164"/>
      <c r="AE18" s="156" t="s">
        <v>185</v>
      </c>
      <c r="AF18" s="161" t="n">
        <v>68</v>
      </c>
      <c r="AG18" s="162" t="n">
        <v>16262711232</v>
      </c>
      <c r="AH18" s="163" t="s">
        <v>291</v>
      </c>
      <c r="AI18" s="164" t="s">
        <v>292</v>
      </c>
      <c r="AJ18" s="164" t="s">
        <v>293</v>
      </c>
      <c r="AK18" s="164"/>
      <c r="AL18" s="163" t="s">
        <v>291</v>
      </c>
      <c r="AM18" s="161" t="n">
        <v>68</v>
      </c>
      <c r="AN18" s="156" t="s">
        <v>185</v>
      </c>
      <c r="AO18" s="164" t="n">
        <v>88256</v>
      </c>
      <c r="AP18" s="164"/>
    </row>
    <row r="19" customFormat="false" ht="14.25" hidden="false" customHeight="false" outlineLevel="0" collapsed="false">
      <c r="A19" s="156" t="s">
        <v>185</v>
      </c>
      <c r="B19" s="161" t="n">
        <v>45</v>
      </c>
      <c r="C19" s="162" t="n">
        <v>16262702159</v>
      </c>
      <c r="D19" s="163" t="s">
        <v>203</v>
      </c>
      <c r="E19" s="164" t="s">
        <v>204</v>
      </c>
      <c r="F19" s="164" t="s">
        <v>205</v>
      </c>
      <c r="G19" s="164" t="n">
        <v>88174</v>
      </c>
      <c r="H19" s="164"/>
      <c r="K19" s="156" t="s">
        <v>192</v>
      </c>
      <c r="L19" s="161" t="n">
        <v>16</v>
      </c>
      <c r="M19" s="162" t="n">
        <v>16262791253</v>
      </c>
      <c r="N19" s="163" t="s">
        <v>303</v>
      </c>
      <c r="O19" s="164" t="s">
        <v>304</v>
      </c>
      <c r="P19" s="164" t="s">
        <v>305</v>
      </c>
      <c r="Q19" s="164" t="n">
        <v>88980</v>
      </c>
      <c r="R19" s="164"/>
      <c r="U19" s="156" t="s">
        <v>185</v>
      </c>
      <c r="V19" s="161" t="n">
        <v>96</v>
      </c>
      <c r="W19" s="162" t="n">
        <v>16262731194</v>
      </c>
      <c r="X19" s="163" t="s">
        <v>306</v>
      </c>
      <c r="Y19" s="164" t="s">
        <v>307</v>
      </c>
      <c r="Z19" s="164" t="s">
        <v>308</v>
      </c>
      <c r="AA19" s="164" t="n">
        <v>88293</v>
      </c>
      <c r="AB19" s="164"/>
      <c r="AE19" s="156" t="s">
        <v>185</v>
      </c>
      <c r="AF19" s="161" t="n">
        <v>5</v>
      </c>
      <c r="AG19" s="162" t="n">
        <v>16262781239</v>
      </c>
      <c r="AH19" s="163" t="s">
        <v>212</v>
      </c>
      <c r="AI19" s="164" t="s">
        <v>213</v>
      </c>
      <c r="AJ19" s="164" t="s">
        <v>214</v>
      </c>
      <c r="AK19" s="164"/>
      <c r="AL19" s="163" t="s">
        <v>212</v>
      </c>
      <c r="AM19" s="161" t="n">
        <v>5</v>
      </c>
      <c r="AN19" s="156" t="s">
        <v>185</v>
      </c>
      <c r="AO19" s="164" t="n">
        <v>88264</v>
      </c>
      <c r="AP19" s="164"/>
    </row>
    <row r="20" customFormat="false" ht="14.25" hidden="false" customHeight="false" outlineLevel="0" collapsed="false">
      <c r="A20" s="156" t="s">
        <v>185</v>
      </c>
      <c r="B20" s="161" t="n">
        <v>47</v>
      </c>
      <c r="C20" s="162" t="n">
        <v>16262702169</v>
      </c>
      <c r="D20" s="163" t="s">
        <v>309</v>
      </c>
      <c r="E20" s="164" t="s">
        <v>310</v>
      </c>
      <c r="F20" s="164" t="s">
        <v>311</v>
      </c>
      <c r="G20" s="164" t="n">
        <v>89289</v>
      </c>
      <c r="H20" s="164"/>
      <c r="K20" s="156" t="s">
        <v>185</v>
      </c>
      <c r="L20" s="161" t="n">
        <v>17</v>
      </c>
      <c r="M20" s="162" t="n">
        <v>16262791256</v>
      </c>
      <c r="N20" s="163" t="s">
        <v>233</v>
      </c>
      <c r="O20" s="164" t="s">
        <v>234</v>
      </c>
      <c r="P20" s="164" t="s">
        <v>235</v>
      </c>
      <c r="Q20" s="164" t="n">
        <v>89446</v>
      </c>
      <c r="R20" s="164"/>
      <c r="U20" s="156" t="s">
        <v>192</v>
      </c>
      <c r="V20" s="161" t="n">
        <v>43</v>
      </c>
      <c r="W20" s="162" t="n">
        <v>16262702128</v>
      </c>
      <c r="X20" s="163" t="s">
        <v>312</v>
      </c>
      <c r="Y20" s="164" t="s">
        <v>313</v>
      </c>
      <c r="Z20" s="164" t="s">
        <v>314</v>
      </c>
      <c r="AA20" s="164" t="n">
        <v>88299</v>
      </c>
      <c r="AB20" s="164"/>
      <c r="AE20" s="156" t="s">
        <v>192</v>
      </c>
      <c r="AF20" s="161" t="n">
        <v>57</v>
      </c>
      <c r="AG20" s="162" t="n">
        <v>16262702485</v>
      </c>
      <c r="AH20" s="163" t="s">
        <v>300</v>
      </c>
      <c r="AI20" s="164" t="s">
        <v>301</v>
      </c>
      <c r="AJ20" s="164" t="s">
        <v>302</v>
      </c>
      <c r="AK20" s="164"/>
      <c r="AL20" s="163" t="s">
        <v>300</v>
      </c>
      <c r="AM20" s="161" t="n">
        <v>57</v>
      </c>
      <c r="AN20" s="156" t="s">
        <v>192</v>
      </c>
      <c r="AO20" s="164" t="n">
        <v>88272</v>
      </c>
      <c r="AP20" s="164"/>
    </row>
    <row r="21" customFormat="false" ht="14.25" hidden="false" customHeight="false" outlineLevel="0" collapsed="false">
      <c r="A21" s="156" t="s">
        <v>185</v>
      </c>
      <c r="B21" s="161" t="n">
        <v>49</v>
      </c>
      <c r="C21" s="162" t="n">
        <v>16262702221</v>
      </c>
      <c r="D21" s="163" t="s">
        <v>315</v>
      </c>
      <c r="E21" s="164" t="s">
        <v>316</v>
      </c>
      <c r="F21" s="164" t="s">
        <v>317</v>
      </c>
      <c r="G21" s="164" t="n">
        <v>89217</v>
      </c>
      <c r="H21" s="164"/>
      <c r="K21" s="156" t="s">
        <v>192</v>
      </c>
      <c r="L21" s="161" t="n">
        <v>18</v>
      </c>
      <c r="M21" s="162" t="n">
        <v>16262791276</v>
      </c>
      <c r="N21" s="163" t="s">
        <v>209</v>
      </c>
      <c r="O21" s="164" t="s">
        <v>210</v>
      </c>
      <c r="P21" s="164" t="s">
        <v>211</v>
      </c>
      <c r="Q21" s="164" t="n">
        <v>88176</v>
      </c>
      <c r="R21" s="164"/>
      <c r="U21" s="156" t="s">
        <v>185</v>
      </c>
      <c r="V21" s="161" t="n">
        <v>114</v>
      </c>
      <c r="W21" s="162" t="n">
        <v>16262731492</v>
      </c>
      <c r="X21" s="163" t="s">
        <v>318</v>
      </c>
      <c r="Y21" s="164" t="s">
        <v>319</v>
      </c>
      <c r="Z21" s="164" t="s">
        <v>320</v>
      </c>
      <c r="AA21" s="164" t="n">
        <v>88469</v>
      </c>
      <c r="AB21" s="164"/>
      <c r="AE21" s="156" t="s">
        <v>185</v>
      </c>
      <c r="AF21" s="161" t="n">
        <v>96</v>
      </c>
      <c r="AG21" s="162" t="n">
        <v>16262731194</v>
      </c>
      <c r="AH21" s="163" t="s">
        <v>306</v>
      </c>
      <c r="AI21" s="164" t="s">
        <v>307</v>
      </c>
      <c r="AJ21" s="164" t="s">
        <v>308</v>
      </c>
      <c r="AK21" s="164"/>
      <c r="AL21" s="163" t="s">
        <v>306</v>
      </c>
      <c r="AM21" s="161" t="n">
        <v>96</v>
      </c>
      <c r="AN21" s="156" t="s">
        <v>185</v>
      </c>
      <c r="AO21" s="164" t="n">
        <v>88293</v>
      </c>
      <c r="AP21" s="164"/>
    </row>
    <row r="22" customFormat="false" ht="14.25" hidden="false" customHeight="false" outlineLevel="0" collapsed="false">
      <c r="A22" s="156" t="s">
        <v>185</v>
      </c>
      <c r="B22" s="161" t="n">
        <v>55</v>
      </c>
      <c r="C22" s="166" t="n">
        <v>16262702463</v>
      </c>
      <c r="D22" s="167" t="s">
        <v>248</v>
      </c>
      <c r="E22" s="168" t="s">
        <v>249</v>
      </c>
      <c r="F22" s="168" t="s">
        <v>250</v>
      </c>
      <c r="G22" s="168" t="n">
        <v>88205</v>
      </c>
      <c r="H22" s="168"/>
      <c r="K22" s="156" t="s">
        <v>185</v>
      </c>
      <c r="L22" s="161" t="n">
        <v>19</v>
      </c>
      <c r="M22" s="162" t="n">
        <v>16262791323</v>
      </c>
      <c r="N22" s="163" t="s">
        <v>242</v>
      </c>
      <c r="O22" s="164" t="s">
        <v>243</v>
      </c>
      <c r="P22" s="164" t="s">
        <v>244</v>
      </c>
      <c r="Q22" s="164" t="n">
        <v>88967</v>
      </c>
      <c r="R22" s="164"/>
      <c r="U22" s="156" t="s">
        <v>192</v>
      </c>
      <c r="V22" s="161" t="n">
        <v>9</v>
      </c>
      <c r="W22" s="162" t="n">
        <v>16262781420</v>
      </c>
      <c r="X22" s="163" t="s">
        <v>254</v>
      </c>
      <c r="Y22" s="164" t="s">
        <v>255</v>
      </c>
      <c r="Z22" s="164" t="s">
        <v>256</v>
      </c>
      <c r="AA22" s="164" t="n">
        <v>88479</v>
      </c>
      <c r="AB22" s="164"/>
      <c r="AE22" s="156" t="s">
        <v>192</v>
      </c>
      <c r="AF22" s="161" t="n">
        <v>43</v>
      </c>
      <c r="AG22" s="162" t="n">
        <v>16262702128</v>
      </c>
      <c r="AH22" s="163" t="s">
        <v>312</v>
      </c>
      <c r="AI22" s="164" t="s">
        <v>313</v>
      </c>
      <c r="AJ22" s="164" t="s">
        <v>314</v>
      </c>
      <c r="AK22" s="164"/>
      <c r="AL22" s="163" t="s">
        <v>312</v>
      </c>
      <c r="AM22" s="161" t="n">
        <v>43</v>
      </c>
      <c r="AN22" s="156" t="s">
        <v>192</v>
      </c>
      <c r="AO22" s="164" t="n">
        <v>88299</v>
      </c>
      <c r="AP22" s="164"/>
    </row>
    <row r="23" customFormat="false" ht="14.25" hidden="false" customHeight="false" outlineLevel="0" collapsed="false">
      <c r="A23" s="156" t="s">
        <v>185</v>
      </c>
      <c r="B23" s="161" t="n">
        <v>56</v>
      </c>
      <c r="C23" s="162" t="n">
        <v>16262702484</v>
      </c>
      <c r="D23" s="163" t="s">
        <v>321</v>
      </c>
      <c r="E23" s="164" t="s">
        <v>322</v>
      </c>
      <c r="F23" s="164" t="s">
        <v>323</v>
      </c>
      <c r="G23" s="164" t="n">
        <v>88729</v>
      </c>
      <c r="H23" s="164"/>
      <c r="K23" s="156" t="s">
        <v>192</v>
      </c>
      <c r="L23" s="161" t="n">
        <v>20</v>
      </c>
      <c r="M23" s="162" t="n">
        <v>16262791324</v>
      </c>
      <c r="N23" s="163" t="s">
        <v>324</v>
      </c>
      <c r="O23" s="164" t="s">
        <v>325</v>
      </c>
      <c r="P23" s="164" t="s">
        <v>326</v>
      </c>
      <c r="Q23" s="164" t="n">
        <v>89244</v>
      </c>
      <c r="R23" s="164"/>
      <c r="U23" s="156" t="s">
        <v>185</v>
      </c>
      <c r="V23" s="161" t="n">
        <v>93</v>
      </c>
      <c r="W23" s="162" t="n">
        <v>16262731114</v>
      </c>
      <c r="X23" s="163" t="s">
        <v>327</v>
      </c>
      <c r="Y23" s="164" t="s">
        <v>328</v>
      </c>
      <c r="Z23" s="164" t="s">
        <v>329</v>
      </c>
      <c r="AA23" s="164" t="n">
        <v>88485</v>
      </c>
      <c r="AB23" s="164"/>
      <c r="AE23" s="156" t="s">
        <v>185</v>
      </c>
      <c r="AF23" s="161" t="n">
        <v>114</v>
      </c>
      <c r="AG23" s="162" t="n">
        <v>16262731492</v>
      </c>
      <c r="AH23" s="163" t="s">
        <v>318</v>
      </c>
      <c r="AI23" s="164" t="s">
        <v>319</v>
      </c>
      <c r="AJ23" s="164" t="s">
        <v>320</v>
      </c>
      <c r="AK23" s="164"/>
      <c r="AL23" s="163" t="s">
        <v>318</v>
      </c>
      <c r="AM23" s="161" t="n">
        <v>114</v>
      </c>
      <c r="AN23" s="156" t="s">
        <v>185</v>
      </c>
      <c r="AO23" s="164" t="n">
        <v>88469</v>
      </c>
      <c r="AP23" s="164"/>
    </row>
    <row r="24" customFormat="false" ht="14.25" hidden="false" customHeight="false" outlineLevel="0" collapsed="false">
      <c r="A24" s="156" t="s">
        <v>185</v>
      </c>
      <c r="B24" s="161" t="n">
        <v>60</v>
      </c>
      <c r="C24" s="162" t="n">
        <v>16262702516</v>
      </c>
      <c r="D24" s="163" t="s">
        <v>330</v>
      </c>
      <c r="E24" s="164" t="s">
        <v>331</v>
      </c>
      <c r="F24" s="164" t="s">
        <v>332</v>
      </c>
      <c r="G24" s="164" t="n">
        <v>88682</v>
      </c>
      <c r="H24" s="164"/>
      <c r="K24" s="156" t="s">
        <v>192</v>
      </c>
      <c r="L24" s="161" t="n">
        <v>21</v>
      </c>
      <c r="M24" s="162" t="n">
        <v>16262791333</v>
      </c>
      <c r="N24" s="163" t="s">
        <v>333</v>
      </c>
      <c r="O24" s="164" t="s">
        <v>334</v>
      </c>
      <c r="P24" s="164" t="s">
        <v>335</v>
      </c>
      <c r="Q24" s="164" t="n">
        <v>89163</v>
      </c>
      <c r="R24" s="164"/>
      <c r="U24" s="169" t="s">
        <v>185</v>
      </c>
      <c r="V24" s="170" t="n">
        <v>116</v>
      </c>
      <c r="W24" s="171" t="n">
        <v>16262731334</v>
      </c>
      <c r="X24" s="172" t="n">
        <v>31334</v>
      </c>
      <c r="Y24" s="173" t="n">
        <v>230334</v>
      </c>
      <c r="Z24" s="173" t="n">
        <v>3334</v>
      </c>
      <c r="AA24" s="164" t="n">
        <v>88490</v>
      </c>
      <c r="AB24" s="164"/>
      <c r="AE24" s="156" t="s">
        <v>192</v>
      </c>
      <c r="AF24" s="161" t="n">
        <v>9</v>
      </c>
      <c r="AG24" s="162" t="n">
        <v>16262781420</v>
      </c>
      <c r="AH24" s="163" t="s">
        <v>254</v>
      </c>
      <c r="AI24" s="164" t="s">
        <v>255</v>
      </c>
      <c r="AJ24" s="164" t="s">
        <v>256</v>
      </c>
      <c r="AK24" s="164"/>
      <c r="AL24" s="163" t="s">
        <v>254</v>
      </c>
      <c r="AM24" s="161" t="n">
        <v>9</v>
      </c>
      <c r="AN24" s="156" t="s">
        <v>192</v>
      </c>
      <c r="AO24" s="164" t="n">
        <v>88479</v>
      </c>
      <c r="AP24" s="164"/>
    </row>
    <row r="25" customFormat="false" ht="14.25" hidden="false" customHeight="false" outlineLevel="0" collapsed="false">
      <c r="A25" s="156" t="s">
        <v>185</v>
      </c>
      <c r="B25" s="161" t="n">
        <v>63</v>
      </c>
      <c r="C25" s="162" t="n">
        <v>16262711141</v>
      </c>
      <c r="D25" s="163" t="s">
        <v>189</v>
      </c>
      <c r="E25" s="164" t="s">
        <v>190</v>
      </c>
      <c r="F25" s="164" t="s">
        <v>191</v>
      </c>
      <c r="G25" s="164" t="n">
        <v>88173</v>
      </c>
      <c r="H25" s="164"/>
      <c r="K25" s="156" t="s">
        <v>185</v>
      </c>
      <c r="L25" s="161" t="n">
        <v>22</v>
      </c>
      <c r="M25" s="162" t="n">
        <v>16262791336</v>
      </c>
      <c r="N25" s="163" t="s">
        <v>251</v>
      </c>
      <c r="O25" s="164" t="s">
        <v>252</v>
      </c>
      <c r="P25" s="164" t="s">
        <v>253</v>
      </c>
      <c r="Q25" s="164" t="n">
        <v>89003</v>
      </c>
      <c r="R25" s="164"/>
      <c r="U25" s="156" t="s">
        <v>185</v>
      </c>
      <c r="V25" s="161" t="n">
        <v>25</v>
      </c>
      <c r="W25" s="162" t="n">
        <v>16262791428</v>
      </c>
      <c r="X25" s="163" t="s">
        <v>260</v>
      </c>
      <c r="Y25" s="164" t="s">
        <v>261</v>
      </c>
      <c r="Z25" s="164" t="s">
        <v>262</v>
      </c>
      <c r="AA25" s="164" t="n">
        <v>88512</v>
      </c>
      <c r="AB25" s="164"/>
      <c r="AE25" s="156" t="s">
        <v>185</v>
      </c>
      <c r="AF25" s="161" t="n">
        <v>93</v>
      </c>
      <c r="AG25" s="162" t="n">
        <v>16262731114</v>
      </c>
      <c r="AH25" s="163" t="s">
        <v>327</v>
      </c>
      <c r="AI25" s="164" t="s">
        <v>328</v>
      </c>
      <c r="AJ25" s="164" t="s">
        <v>329</v>
      </c>
      <c r="AK25" s="164"/>
      <c r="AL25" s="163" t="s">
        <v>327</v>
      </c>
      <c r="AM25" s="161" t="n">
        <v>93</v>
      </c>
      <c r="AN25" s="156" t="s">
        <v>185</v>
      </c>
      <c r="AO25" s="164" t="n">
        <v>88485</v>
      </c>
      <c r="AP25" s="164"/>
    </row>
    <row r="26" customFormat="false" ht="14.25" hidden="false" customHeight="false" outlineLevel="0" collapsed="false">
      <c r="A26" s="156" t="s">
        <v>185</v>
      </c>
      <c r="B26" s="161" t="n">
        <v>64</v>
      </c>
      <c r="C26" s="162" t="n">
        <v>16262711163</v>
      </c>
      <c r="D26" s="163" t="s">
        <v>336</v>
      </c>
      <c r="E26" s="164" t="s">
        <v>337</v>
      </c>
      <c r="F26" s="164" t="s">
        <v>338</v>
      </c>
      <c r="G26" s="164" t="n">
        <v>88716</v>
      </c>
      <c r="H26" s="164"/>
      <c r="K26" s="156" t="s">
        <v>192</v>
      </c>
      <c r="L26" s="161" t="n">
        <v>23</v>
      </c>
      <c r="M26" s="162" t="n">
        <v>16262791379</v>
      </c>
      <c r="N26" s="163" t="s">
        <v>221</v>
      </c>
      <c r="O26" s="164" t="s">
        <v>222</v>
      </c>
      <c r="P26" s="164" t="s">
        <v>223</v>
      </c>
      <c r="Q26" s="164" t="n">
        <v>88193</v>
      </c>
      <c r="R26" s="164"/>
      <c r="U26" s="156" t="s">
        <v>185</v>
      </c>
      <c r="V26" s="161" t="n">
        <v>92</v>
      </c>
      <c r="W26" s="162" t="n">
        <v>16262721536</v>
      </c>
      <c r="X26" s="163" t="s">
        <v>339</v>
      </c>
      <c r="Y26" s="164" t="s">
        <v>340</v>
      </c>
      <c r="Z26" s="164" t="s">
        <v>341</v>
      </c>
      <c r="AA26" s="164" t="n">
        <v>88527</v>
      </c>
      <c r="AB26" s="164"/>
      <c r="AE26" s="169" t="s">
        <v>185</v>
      </c>
      <c r="AF26" s="170" t="n">
        <v>116</v>
      </c>
      <c r="AG26" s="171" t="n">
        <v>16262731334</v>
      </c>
      <c r="AH26" s="172" t="n">
        <v>31334</v>
      </c>
      <c r="AI26" s="173" t="n">
        <v>230334</v>
      </c>
      <c r="AJ26" s="173" t="n">
        <v>3334</v>
      </c>
      <c r="AK26" s="173"/>
      <c r="AL26" s="172" t="n">
        <v>31334</v>
      </c>
      <c r="AM26" s="170" t="n">
        <v>116</v>
      </c>
      <c r="AN26" s="169" t="s">
        <v>185</v>
      </c>
      <c r="AO26" s="164" t="n">
        <v>88490</v>
      </c>
      <c r="AP26" s="164"/>
    </row>
    <row r="27" customFormat="false" ht="14.25" hidden="false" customHeight="false" outlineLevel="0" collapsed="false">
      <c r="A27" s="156" t="s">
        <v>185</v>
      </c>
      <c r="B27" s="161" t="n">
        <v>68</v>
      </c>
      <c r="C27" s="162" t="n">
        <v>16262711232</v>
      </c>
      <c r="D27" s="163" t="s">
        <v>291</v>
      </c>
      <c r="E27" s="164" t="s">
        <v>292</v>
      </c>
      <c r="F27" s="164" t="s">
        <v>293</v>
      </c>
      <c r="G27" s="164" t="n">
        <v>88256</v>
      </c>
      <c r="H27" s="164"/>
      <c r="K27" s="156" t="s">
        <v>192</v>
      </c>
      <c r="L27" s="161" t="n">
        <v>24</v>
      </c>
      <c r="M27" s="162" t="n">
        <v>16262791413</v>
      </c>
      <c r="N27" s="163" t="s">
        <v>342</v>
      </c>
      <c r="O27" s="164" t="s">
        <v>343</v>
      </c>
      <c r="P27" s="164" t="s">
        <v>344</v>
      </c>
      <c r="Q27" s="164" t="n">
        <v>89792</v>
      </c>
      <c r="R27" s="164"/>
      <c r="U27" s="156" t="s">
        <v>185</v>
      </c>
      <c r="V27" s="161" t="n">
        <v>118</v>
      </c>
      <c r="W27" s="162" t="n">
        <v>16262731584</v>
      </c>
      <c r="X27" s="163" t="s">
        <v>345</v>
      </c>
      <c r="Y27" s="164" t="s">
        <v>346</v>
      </c>
      <c r="Z27" s="164" t="s">
        <v>347</v>
      </c>
      <c r="AA27" s="164" t="n">
        <v>88529</v>
      </c>
      <c r="AB27" s="174"/>
      <c r="AE27" s="156" t="s">
        <v>185</v>
      </c>
      <c r="AF27" s="161" t="n">
        <v>25</v>
      </c>
      <c r="AG27" s="162" t="n">
        <v>16262791428</v>
      </c>
      <c r="AH27" s="163" t="s">
        <v>260</v>
      </c>
      <c r="AI27" s="164" t="s">
        <v>261</v>
      </c>
      <c r="AJ27" s="164" t="s">
        <v>262</v>
      </c>
      <c r="AK27" s="164"/>
      <c r="AL27" s="163" t="s">
        <v>260</v>
      </c>
      <c r="AM27" s="161" t="n">
        <v>25</v>
      </c>
      <c r="AN27" s="156" t="s">
        <v>185</v>
      </c>
      <c r="AO27" s="164" t="n">
        <v>88512</v>
      </c>
      <c r="AP27" s="164"/>
    </row>
    <row r="28" customFormat="false" ht="14.25" hidden="false" customHeight="false" outlineLevel="0" collapsed="false">
      <c r="A28" s="156" t="s">
        <v>185</v>
      </c>
      <c r="B28" s="161" t="n">
        <v>70</v>
      </c>
      <c r="C28" s="162" t="n">
        <v>16262711281</v>
      </c>
      <c r="D28" s="163" t="s">
        <v>348</v>
      </c>
      <c r="E28" s="164" t="s">
        <v>349</v>
      </c>
      <c r="F28" s="164" t="s">
        <v>350</v>
      </c>
      <c r="G28" s="164" t="n">
        <v>88677</v>
      </c>
      <c r="H28" s="164"/>
      <c r="K28" s="156" t="s">
        <v>185</v>
      </c>
      <c r="L28" s="161" t="n">
        <v>25</v>
      </c>
      <c r="M28" s="162" t="n">
        <v>16262791428</v>
      </c>
      <c r="N28" s="163" t="s">
        <v>260</v>
      </c>
      <c r="O28" s="164" t="s">
        <v>261</v>
      </c>
      <c r="P28" s="164" t="s">
        <v>262</v>
      </c>
      <c r="Q28" s="164" t="n">
        <v>88512</v>
      </c>
      <c r="R28" s="164"/>
      <c r="U28" s="156" t="s">
        <v>192</v>
      </c>
      <c r="V28" s="161" t="n">
        <v>71</v>
      </c>
      <c r="W28" s="162" t="n">
        <v>16262711282</v>
      </c>
      <c r="X28" s="163" t="s">
        <v>351</v>
      </c>
      <c r="Y28" s="164" t="s">
        <v>352</v>
      </c>
      <c r="Z28" s="164" t="s">
        <v>353</v>
      </c>
      <c r="AA28" s="164" t="n">
        <v>88586</v>
      </c>
      <c r="AB28" s="164"/>
      <c r="AE28" s="156" t="s">
        <v>185</v>
      </c>
      <c r="AF28" s="161" t="n">
        <v>92</v>
      </c>
      <c r="AG28" s="162" t="n">
        <v>16262721536</v>
      </c>
      <c r="AH28" s="163" t="s">
        <v>339</v>
      </c>
      <c r="AI28" s="164" t="s">
        <v>340</v>
      </c>
      <c r="AJ28" s="164" t="s">
        <v>341</v>
      </c>
      <c r="AK28" s="164"/>
      <c r="AL28" s="163" t="s">
        <v>339</v>
      </c>
      <c r="AM28" s="161" t="n">
        <v>92</v>
      </c>
      <c r="AN28" s="156" t="s">
        <v>185</v>
      </c>
      <c r="AO28" s="164" t="n">
        <v>88527</v>
      </c>
      <c r="AP28" s="164"/>
    </row>
    <row r="29" customFormat="false" ht="14.25" hidden="false" customHeight="false" outlineLevel="0" collapsed="false">
      <c r="A29" s="156" t="s">
        <v>185</v>
      </c>
      <c r="B29" s="161" t="n">
        <v>72</v>
      </c>
      <c r="C29" s="162" t="n">
        <v>16262711299</v>
      </c>
      <c r="D29" s="163" t="s">
        <v>354</v>
      </c>
      <c r="E29" s="164" t="s">
        <v>355</v>
      </c>
      <c r="F29" s="164" t="s">
        <v>356</v>
      </c>
      <c r="G29" s="164" t="n">
        <v>89392</v>
      </c>
      <c r="H29" s="164"/>
      <c r="K29" s="156" t="s">
        <v>185</v>
      </c>
      <c r="L29" s="161" t="n">
        <v>26</v>
      </c>
      <c r="M29" s="162" t="n">
        <v>16262791446</v>
      </c>
      <c r="N29" s="163" t="s">
        <v>269</v>
      </c>
      <c r="O29" s="164" t="s">
        <v>270</v>
      </c>
      <c r="P29" s="164" t="s">
        <v>271</v>
      </c>
      <c r="Q29" s="164" t="n">
        <v>89051</v>
      </c>
      <c r="R29" s="164"/>
      <c r="U29" s="156" t="s">
        <v>192</v>
      </c>
      <c r="V29" s="161" t="n">
        <v>37</v>
      </c>
      <c r="W29" s="162" t="n">
        <v>16262791662</v>
      </c>
      <c r="X29" s="163" t="s">
        <v>357</v>
      </c>
      <c r="Y29" s="164" t="s">
        <v>358</v>
      </c>
      <c r="Z29" s="164" t="s">
        <v>359</v>
      </c>
      <c r="AA29" s="164" t="n">
        <v>88599</v>
      </c>
      <c r="AB29" s="164"/>
      <c r="AE29" s="156" t="s">
        <v>185</v>
      </c>
      <c r="AF29" s="161" t="n">
        <v>118</v>
      </c>
      <c r="AG29" s="162" t="n">
        <v>16262731584</v>
      </c>
      <c r="AH29" s="163" t="s">
        <v>345</v>
      </c>
      <c r="AI29" s="164" t="s">
        <v>346</v>
      </c>
      <c r="AJ29" s="164" t="s">
        <v>347</v>
      </c>
      <c r="AK29" s="164"/>
      <c r="AL29" s="163" t="s">
        <v>345</v>
      </c>
      <c r="AM29" s="161" t="n">
        <v>118</v>
      </c>
      <c r="AN29" s="156" t="s">
        <v>185</v>
      </c>
      <c r="AO29" s="164" t="n">
        <v>88529</v>
      </c>
      <c r="AP29" s="174"/>
    </row>
    <row r="30" customFormat="false" ht="14.25" hidden="false" customHeight="false" outlineLevel="0" collapsed="false">
      <c r="A30" s="156" t="s">
        <v>185</v>
      </c>
      <c r="B30" s="161" t="n">
        <v>73</v>
      </c>
      <c r="C30" s="162" t="n">
        <v>16262711376</v>
      </c>
      <c r="D30" s="163" t="s">
        <v>360</v>
      </c>
      <c r="E30" s="164" t="s">
        <v>361</v>
      </c>
      <c r="F30" s="164" t="s">
        <v>362</v>
      </c>
      <c r="G30" s="164" t="n">
        <v>88916</v>
      </c>
      <c r="H30" s="164"/>
      <c r="K30" s="156" t="s">
        <v>192</v>
      </c>
      <c r="L30" s="161" t="n">
        <v>27</v>
      </c>
      <c r="M30" s="162" t="n">
        <v>16262791478</v>
      </c>
      <c r="N30" s="163" t="s">
        <v>363</v>
      </c>
      <c r="O30" s="164" t="s">
        <v>364</v>
      </c>
      <c r="P30" s="164" t="s">
        <v>365</v>
      </c>
      <c r="Q30" s="164" t="n">
        <v>89120</v>
      </c>
      <c r="R30" s="164"/>
      <c r="U30" s="156" t="s">
        <v>192</v>
      </c>
      <c r="V30" s="161" t="n">
        <v>28</v>
      </c>
      <c r="W30" s="162" t="n">
        <v>16262791489</v>
      </c>
      <c r="X30" s="163" t="s">
        <v>366</v>
      </c>
      <c r="Y30" s="164" t="s">
        <v>367</v>
      </c>
      <c r="Z30" s="164" t="s">
        <v>368</v>
      </c>
      <c r="AA30" s="164" t="n">
        <v>88606</v>
      </c>
      <c r="AB30" s="164"/>
      <c r="AE30" s="156" t="s">
        <v>192</v>
      </c>
      <c r="AF30" s="161" t="n">
        <v>71</v>
      </c>
      <c r="AG30" s="162" t="n">
        <v>16262711282</v>
      </c>
      <c r="AH30" s="163" t="s">
        <v>351</v>
      </c>
      <c r="AI30" s="164" t="s">
        <v>352</v>
      </c>
      <c r="AJ30" s="164" t="s">
        <v>353</v>
      </c>
      <c r="AK30" s="164"/>
      <c r="AL30" s="163" t="s">
        <v>351</v>
      </c>
      <c r="AM30" s="161" t="n">
        <v>71</v>
      </c>
      <c r="AN30" s="156" t="s">
        <v>192</v>
      </c>
      <c r="AO30" s="164" t="n">
        <v>88586</v>
      </c>
      <c r="AP30" s="164"/>
    </row>
    <row r="31" customFormat="false" ht="14.25" hidden="false" customHeight="false" outlineLevel="0" collapsed="false">
      <c r="A31" s="156" t="s">
        <v>185</v>
      </c>
      <c r="B31" s="161" t="n">
        <v>74</v>
      </c>
      <c r="C31" s="162" t="n">
        <v>16262711401</v>
      </c>
      <c r="D31" s="163" t="s">
        <v>369</v>
      </c>
      <c r="E31" s="164" t="s">
        <v>370</v>
      </c>
      <c r="F31" s="164" t="s">
        <v>371</v>
      </c>
      <c r="G31" s="164" t="n">
        <v>88798</v>
      </c>
      <c r="H31" s="164"/>
      <c r="K31" s="156" t="s">
        <v>192</v>
      </c>
      <c r="L31" s="161" t="n">
        <v>28</v>
      </c>
      <c r="M31" s="162" t="n">
        <v>16262791489</v>
      </c>
      <c r="N31" s="163" t="s">
        <v>366</v>
      </c>
      <c r="O31" s="164" t="s">
        <v>367</v>
      </c>
      <c r="P31" s="164" t="s">
        <v>368</v>
      </c>
      <c r="Q31" s="164" t="n">
        <v>88606</v>
      </c>
      <c r="R31" s="164"/>
      <c r="U31" s="156" t="s">
        <v>192</v>
      </c>
      <c r="V31" s="161" t="n">
        <v>38</v>
      </c>
      <c r="W31" s="162" t="n">
        <v>16262791671</v>
      </c>
      <c r="X31" s="163" t="s">
        <v>372</v>
      </c>
      <c r="Y31" s="164" t="s">
        <v>373</v>
      </c>
      <c r="Z31" s="164" t="s">
        <v>374</v>
      </c>
      <c r="AA31" s="164" t="n">
        <v>88608</v>
      </c>
      <c r="AB31" s="164"/>
      <c r="AE31" s="156" t="s">
        <v>192</v>
      </c>
      <c r="AF31" s="161" t="n">
        <v>37</v>
      </c>
      <c r="AG31" s="162" t="n">
        <v>16262791662</v>
      </c>
      <c r="AH31" s="163" t="s">
        <v>357</v>
      </c>
      <c r="AI31" s="164" t="s">
        <v>358</v>
      </c>
      <c r="AJ31" s="164" t="s">
        <v>359</v>
      </c>
      <c r="AK31" s="164"/>
      <c r="AL31" s="163" t="s">
        <v>357</v>
      </c>
      <c r="AM31" s="161" t="n">
        <v>37</v>
      </c>
      <c r="AN31" s="156" t="s">
        <v>192</v>
      </c>
      <c r="AO31" s="164" t="n">
        <v>88599</v>
      </c>
      <c r="AP31" s="164"/>
    </row>
    <row r="32" customFormat="false" ht="14.25" hidden="false" customHeight="false" outlineLevel="0" collapsed="false">
      <c r="A32" s="156" t="s">
        <v>185</v>
      </c>
      <c r="B32" s="161" t="n">
        <v>90</v>
      </c>
      <c r="C32" s="162" t="n">
        <v>16262721406</v>
      </c>
      <c r="D32" s="163" t="s">
        <v>375</v>
      </c>
      <c r="E32" s="164" t="s">
        <v>376</v>
      </c>
      <c r="F32" s="164" t="s">
        <v>377</v>
      </c>
      <c r="G32" s="164" t="n">
        <v>89262</v>
      </c>
      <c r="H32" s="164"/>
      <c r="K32" s="156" t="s">
        <v>192</v>
      </c>
      <c r="L32" s="161" t="n">
        <v>29</v>
      </c>
      <c r="M32" s="162" t="n">
        <v>16262791495</v>
      </c>
      <c r="N32" s="163" t="s">
        <v>378</v>
      </c>
      <c r="O32" s="164" t="s">
        <v>379</v>
      </c>
      <c r="P32" s="164" t="s">
        <v>380</v>
      </c>
      <c r="Q32" s="164" t="n">
        <v>89350</v>
      </c>
      <c r="R32" s="164"/>
      <c r="U32" s="156" t="s">
        <v>192</v>
      </c>
      <c r="V32" s="161" t="n">
        <v>44</v>
      </c>
      <c r="W32" s="162" t="n">
        <v>16262702154</v>
      </c>
      <c r="X32" s="163" t="s">
        <v>381</v>
      </c>
      <c r="Y32" s="164" t="s">
        <v>382</v>
      </c>
      <c r="Z32" s="164" t="s">
        <v>383</v>
      </c>
      <c r="AA32" s="164" t="n">
        <v>88609</v>
      </c>
      <c r="AB32" s="164"/>
      <c r="AE32" s="156" t="s">
        <v>192</v>
      </c>
      <c r="AF32" s="161" t="n">
        <v>28</v>
      </c>
      <c r="AG32" s="162" t="n">
        <v>16262791489</v>
      </c>
      <c r="AH32" s="163" t="s">
        <v>366</v>
      </c>
      <c r="AI32" s="164" t="s">
        <v>367</v>
      </c>
      <c r="AJ32" s="164" t="s">
        <v>368</v>
      </c>
      <c r="AK32" s="164"/>
      <c r="AL32" s="163" t="s">
        <v>366</v>
      </c>
      <c r="AM32" s="161" t="n">
        <v>28</v>
      </c>
      <c r="AN32" s="156" t="s">
        <v>192</v>
      </c>
      <c r="AO32" s="164" t="n">
        <v>88606</v>
      </c>
      <c r="AP32" s="164"/>
    </row>
    <row r="33" customFormat="false" ht="14.25" hidden="false" customHeight="false" outlineLevel="0" collapsed="false">
      <c r="A33" s="156" t="s">
        <v>185</v>
      </c>
      <c r="B33" s="161" t="n">
        <v>92</v>
      </c>
      <c r="C33" s="162" t="n">
        <v>16262721536</v>
      </c>
      <c r="D33" s="163" t="s">
        <v>339</v>
      </c>
      <c r="E33" s="164" t="s">
        <v>340</v>
      </c>
      <c r="F33" s="164" t="s">
        <v>341</v>
      </c>
      <c r="G33" s="164" t="n">
        <v>88527</v>
      </c>
      <c r="H33" s="164"/>
      <c r="K33" s="156" t="s">
        <v>192</v>
      </c>
      <c r="L33" s="161" t="n">
        <v>30</v>
      </c>
      <c r="M33" s="162" t="n">
        <v>16262791497</v>
      </c>
      <c r="N33" s="163" t="s">
        <v>193</v>
      </c>
      <c r="O33" s="164" t="s">
        <v>194</v>
      </c>
      <c r="P33" s="164" t="s">
        <v>195</v>
      </c>
      <c r="Q33" s="164" t="n">
        <v>89356</v>
      </c>
      <c r="R33" s="164" t="s">
        <v>196</v>
      </c>
      <c r="U33" s="156" t="s">
        <v>192</v>
      </c>
      <c r="V33" s="161" t="n">
        <v>62</v>
      </c>
      <c r="W33" s="162" t="n">
        <v>16262711131</v>
      </c>
      <c r="X33" s="163" t="s">
        <v>384</v>
      </c>
      <c r="Y33" s="164" t="s">
        <v>385</v>
      </c>
      <c r="Z33" s="164" t="s">
        <v>386</v>
      </c>
      <c r="AA33" s="164" t="n">
        <v>88614</v>
      </c>
      <c r="AB33" s="164"/>
      <c r="AE33" s="156" t="s">
        <v>192</v>
      </c>
      <c r="AF33" s="161" t="n">
        <v>38</v>
      </c>
      <c r="AG33" s="162" t="n">
        <v>16262791671</v>
      </c>
      <c r="AH33" s="163" t="s">
        <v>372</v>
      </c>
      <c r="AI33" s="164" t="s">
        <v>373</v>
      </c>
      <c r="AJ33" s="164" t="s">
        <v>374</v>
      </c>
      <c r="AK33" s="164"/>
      <c r="AL33" s="163" t="s">
        <v>372</v>
      </c>
      <c r="AM33" s="161" t="n">
        <v>38</v>
      </c>
      <c r="AN33" s="156" t="s">
        <v>192</v>
      </c>
      <c r="AO33" s="164" t="n">
        <v>88608</v>
      </c>
      <c r="AP33" s="164"/>
    </row>
    <row r="34" customFormat="false" ht="14.25" hidden="false" customHeight="false" outlineLevel="0" collapsed="false">
      <c r="A34" s="156" t="s">
        <v>185</v>
      </c>
      <c r="B34" s="161" t="n">
        <v>93</v>
      </c>
      <c r="C34" s="162" t="n">
        <v>16262731114</v>
      </c>
      <c r="D34" s="163" t="s">
        <v>327</v>
      </c>
      <c r="E34" s="164" t="s">
        <v>328</v>
      </c>
      <c r="F34" s="164" t="s">
        <v>329</v>
      </c>
      <c r="G34" s="164" t="n">
        <v>88485</v>
      </c>
      <c r="H34" s="164"/>
      <c r="K34" s="156" t="s">
        <v>185</v>
      </c>
      <c r="L34" s="161" t="n">
        <v>31</v>
      </c>
      <c r="M34" s="162" t="n">
        <v>16262791501</v>
      </c>
      <c r="N34" s="163" t="s">
        <v>276</v>
      </c>
      <c r="O34" s="164" t="s">
        <v>277</v>
      </c>
      <c r="P34" s="164" t="s">
        <v>278</v>
      </c>
      <c r="Q34" s="164" t="n">
        <v>88856</v>
      </c>
      <c r="R34" s="164"/>
      <c r="U34" s="156" t="s">
        <v>192</v>
      </c>
      <c r="V34" s="161" t="n">
        <v>100</v>
      </c>
      <c r="W34" s="162" t="n">
        <v>16262731280</v>
      </c>
      <c r="X34" s="163" t="s">
        <v>387</v>
      </c>
      <c r="Y34" s="164" t="s">
        <v>388</v>
      </c>
      <c r="Z34" s="164" t="s">
        <v>389</v>
      </c>
      <c r="AA34" s="164" t="n">
        <v>88617</v>
      </c>
      <c r="AB34" s="164"/>
      <c r="AE34" s="156" t="s">
        <v>192</v>
      </c>
      <c r="AF34" s="161" t="n">
        <v>44</v>
      </c>
      <c r="AG34" s="162" t="n">
        <v>16262702154</v>
      </c>
      <c r="AH34" s="163" t="s">
        <v>381</v>
      </c>
      <c r="AI34" s="164" t="s">
        <v>382</v>
      </c>
      <c r="AJ34" s="164" t="s">
        <v>383</v>
      </c>
      <c r="AK34" s="164"/>
      <c r="AL34" s="163" t="s">
        <v>381</v>
      </c>
      <c r="AM34" s="161" t="n">
        <v>44</v>
      </c>
      <c r="AN34" s="156" t="s">
        <v>192</v>
      </c>
      <c r="AO34" s="164" t="n">
        <v>88609</v>
      </c>
      <c r="AP34" s="164"/>
    </row>
    <row r="35" customFormat="false" ht="14.25" hidden="false" customHeight="false" outlineLevel="0" collapsed="false">
      <c r="A35" s="175" t="s">
        <v>185</v>
      </c>
      <c r="B35" s="176" t="n">
        <v>94</v>
      </c>
      <c r="C35" s="177" t="n">
        <v>16262731173</v>
      </c>
      <c r="D35" s="178" t="s">
        <v>390</v>
      </c>
      <c r="E35" s="179" t="s">
        <v>391</v>
      </c>
      <c r="F35" s="179" t="s">
        <v>392</v>
      </c>
      <c r="G35" s="179" t="n">
        <v>89213</v>
      </c>
      <c r="H35" s="179"/>
      <c r="K35" s="156" t="s">
        <v>185</v>
      </c>
      <c r="L35" s="161" t="n">
        <v>32</v>
      </c>
      <c r="M35" s="162" t="n">
        <v>16262791553</v>
      </c>
      <c r="N35" s="163" t="s">
        <v>285</v>
      </c>
      <c r="O35" s="164" t="s">
        <v>286</v>
      </c>
      <c r="P35" s="164" t="s">
        <v>287</v>
      </c>
      <c r="Q35" s="164" t="n">
        <v>88955</v>
      </c>
      <c r="R35" s="164"/>
      <c r="U35" s="156" t="s">
        <v>192</v>
      </c>
      <c r="V35" s="161" t="n">
        <v>83</v>
      </c>
      <c r="W35" s="162" t="n">
        <v>16262711697</v>
      </c>
      <c r="X35" s="163" t="s">
        <v>393</v>
      </c>
      <c r="Y35" s="164" t="s">
        <v>394</v>
      </c>
      <c r="Z35" s="164" t="s">
        <v>395</v>
      </c>
      <c r="AA35" s="164" t="n">
        <v>88632</v>
      </c>
      <c r="AB35" s="164"/>
      <c r="AE35" s="156" t="s">
        <v>192</v>
      </c>
      <c r="AF35" s="161" t="n">
        <v>62</v>
      </c>
      <c r="AG35" s="162" t="n">
        <v>16262711131</v>
      </c>
      <c r="AH35" s="163" t="s">
        <v>384</v>
      </c>
      <c r="AI35" s="164" t="s">
        <v>385</v>
      </c>
      <c r="AJ35" s="164" t="s">
        <v>386</v>
      </c>
      <c r="AK35" s="164"/>
      <c r="AL35" s="163" t="s">
        <v>384</v>
      </c>
      <c r="AM35" s="161" t="n">
        <v>62</v>
      </c>
      <c r="AN35" s="156" t="s">
        <v>192</v>
      </c>
      <c r="AO35" s="164" t="n">
        <v>88614</v>
      </c>
      <c r="AP35" s="164"/>
    </row>
    <row r="36" customFormat="false" ht="14.25" hidden="false" customHeight="false" outlineLevel="0" collapsed="false">
      <c r="A36" s="156" t="s">
        <v>185</v>
      </c>
      <c r="B36" s="161" t="n">
        <v>96</v>
      </c>
      <c r="C36" s="162" t="n">
        <v>16262731194</v>
      </c>
      <c r="D36" s="163" t="s">
        <v>306</v>
      </c>
      <c r="E36" s="164" t="s">
        <v>307</v>
      </c>
      <c r="F36" s="164" t="s">
        <v>308</v>
      </c>
      <c r="G36" s="164" t="n">
        <v>88293</v>
      </c>
      <c r="H36" s="164"/>
      <c r="K36" s="156" t="s">
        <v>192</v>
      </c>
      <c r="L36" s="161" t="n">
        <v>33</v>
      </c>
      <c r="M36" s="162" t="n">
        <v>16262791567</v>
      </c>
      <c r="N36" s="163" t="s">
        <v>230</v>
      </c>
      <c r="O36" s="164" t="s">
        <v>231</v>
      </c>
      <c r="P36" s="164" t="s">
        <v>232</v>
      </c>
      <c r="Q36" s="164" t="n">
        <v>88194</v>
      </c>
      <c r="R36" s="164"/>
      <c r="U36" s="156" t="s">
        <v>185</v>
      </c>
      <c r="V36" s="161" t="n">
        <v>4</v>
      </c>
      <c r="W36" s="162" t="n">
        <v>16262781165</v>
      </c>
      <c r="X36" s="163" t="s">
        <v>206</v>
      </c>
      <c r="Y36" s="164" t="s">
        <v>207</v>
      </c>
      <c r="Z36" s="164" t="s">
        <v>208</v>
      </c>
      <c r="AA36" s="164" t="n">
        <v>88637</v>
      </c>
      <c r="AB36" s="164"/>
      <c r="AE36" s="156" t="s">
        <v>192</v>
      </c>
      <c r="AF36" s="161" t="n">
        <v>100</v>
      </c>
      <c r="AG36" s="162" t="n">
        <v>16262731280</v>
      </c>
      <c r="AH36" s="163" t="s">
        <v>387</v>
      </c>
      <c r="AI36" s="164" t="s">
        <v>388</v>
      </c>
      <c r="AJ36" s="164" t="s">
        <v>389</v>
      </c>
      <c r="AK36" s="164"/>
      <c r="AL36" s="163" t="s">
        <v>387</v>
      </c>
      <c r="AM36" s="161" t="n">
        <v>100</v>
      </c>
      <c r="AN36" s="156" t="s">
        <v>192</v>
      </c>
      <c r="AO36" s="164" t="n">
        <v>88617</v>
      </c>
      <c r="AP36" s="164"/>
    </row>
    <row r="37" customFormat="false" ht="14.25" hidden="false" customHeight="false" outlineLevel="0" collapsed="false">
      <c r="A37" s="156" t="s">
        <v>185</v>
      </c>
      <c r="B37" s="161" t="n">
        <v>102</v>
      </c>
      <c r="C37" s="162" t="n">
        <v>16262731303</v>
      </c>
      <c r="D37" s="163" t="s">
        <v>396</v>
      </c>
      <c r="E37" s="164" t="s">
        <v>397</v>
      </c>
      <c r="F37" s="164" t="s">
        <v>398</v>
      </c>
      <c r="G37" s="164" t="n">
        <v>88667</v>
      </c>
      <c r="H37" s="164"/>
      <c r="K37" s="169" t="s">
        <v>192</v>
      </c>
      <c r="L37" s="170" t="n">
        <v>34</v>
      </c>
      <c r="M37" s="171" t="n">
        <v>16262791178</v>
      </c>
      <c r="N37" s="172" t="n">
        <v>91178</v>
      </c>
      <c r="O37" s="173" t="n">
        <v>190178</v>
      </c>
      <c r="P37" s="173" t="n">
        <v>9178</v>
      </c>
      <c r="Q37" s="179" t="n">
        <v>89154</v>
      </c>
      <c r="R37" s="179"/>
      <c r="U37" s="156" t="s">
        <v>192</v>
      </c>
      <c r="V37" s="161" t="n">
        <v>41</v>
      </c>
      <c r="W37" s="162" t="n">
        <v>16262791743</v>
      </c>
      <c r="X37" s="163" t="s">
        <v>399</v>
      </c>
      <c r="Y37" s="164" t="s">
        <v>400</v>
      </c>
      <c r="Z37" s="164" t="s">
        <v>401</v>
      </c>
      <c r="AA37" s="164" t="n">
        <v>88655</v>
      </c>
      <c r="AB37" s="164"/>
      <c r="AE37" s="156" t="s">
        <v>192</v>
      </c>
      <c r="AF37" s="161" t="n">
        <v>83</v>
      </c>
      <c r="AG37" s="162" t="n">
        <v>16262711697</v>
      </c>
      <c r="AH37" s="163" t="s">
        <v>393</v>
      </c>
      <c r="AI37" s="164" t="s">
        <v>394</v>
      </c>
      <c r="AJ37" s="164" t="s">
        <v>395</v>
      </c>
      <c r="AK37" s="164"/>
      <c r="AL37" s="163" t="s">
        <v>393</v>
      </c>
      <c r="AM37" s="161" t="n">
        <v>83</v>
      </c>
      <c r="AN37" s="156" t="s">
        <v>192</v>
      </c>
      <c r="AO37" s="164" t="n">
        <v>88632</v>
      </c>
      <c r="AP37" s="164"/>
    </row>
    <row r="38" customFormat="false" ht="14.25" hidden="false" customHeight="false" outlineLevel="0" collapsed="false">
      <c r="A38" s="156" t="s">
        <v>185</v>
      </c>
      <c r="B38" s="161" t="n">
        <v>103</v>
      </c>
      <c r="C38" s="162" t="n">
        <v>16262731348</v>
      </c>
      <c r="D38" s="163" t="s">
        <v>402</v>
      </c>
      <c r="E38" s="164" t="s">
        <v>403</v>
      </c>
      <c r="F38" s="164" t="s">
        <v>404</v>
      </c>
      <c r="G38" s="164" t="n">
        <v>88808</v>
      </c>
      <c r="H38" s="164"/>
      <c r="K38" s="156" t="s">
        <v>192</v>
      </c>
      <c r="L38" s="161" t="n">
        <v>35</v>
      </c>
      <c r="M38" s="162" t="n">
        <v>16262791605</v>
      </c>
      <c r="N38" s="163" t="s">
        <v>405</v>
      </c>
      <c r="O38" s="164" t="s">
        <v>406</v>
      </c>
      <c r="P38" s="164" t="s">
        <v>407</v>
      </c>
      <c r="Q38" s="164" t="n">
        <v>89772</v>
      </c>
      <c r="R38" s="164"/>
      <c r="U38" s="156" t="s">
        <v>192</v>
      </c>
      <c r="V38" s="161" t="n">
        <v>65</v>
      </c>
      <c r="W38" s="162" t="n">
        <v>16262711172</v>
      </c>
      <c r="X38" s="163" t="s">
        <v>408</v>
      </c>
      <c r="Y38" s="164" t="s">
        <v>409</v>
      </c>
      <c r="Z38" s="164" t="s">
        <v>410</v>
      </c>
      <c r="AA38" s="164" t="n">
        <v>88662</v>
      </c>
      <c r="AB38" s="164" t="s">
        <v>411</v>
      </c>
      <c r="AE38" s="156" t="s">
        <v>185</v>
      </c>
      <c r="AF38" s="161" t="n">
        <v>4</v>
      </c>
      <c r="AG38" s="162" t="n">
        <v>16262781165</v>
      </c>
      <c r="AH38" s="163" t="s">
        <v>206</v>
      </c>
      <c r="AI38" s="164" t="s">
        <v>207</v>
      </c>
      <c r="AJ38" s="164" t="s">
        <v>208</v>
      </c>
      <c r="AK38" s="164"/>
      <c r="AL38" s="163" t="s">
        <v>206</v>
      </c>
      <c r="AM38" s="161" t="n">
        <v>4</v>
      </c>
      <c r="AN38" s="156" t="s">
        <v>185</v>
      </c>
      <c r="AO38" s="164" t="n">
        <v>88637</v>
      </c>
      <c r="AP38" s="164"/>
    </row>
    <row r="39" customFormat="false" ht="14.25" hidden="false" customHeight="false" outlineLevel="0" collapsed="false">
      <c r="A39" s="156" t="s">
        <v>185</v>
      </c>
      <c r="B39" s="161" t="n">
        <v>105</v>
      </c>
      <c r="C39" s="162" t="n">
        <v>16262731357</v>
      </c>
      <c r="D39" s="163" t="s">
        <v>412</v>
      </c>
      <c r="E39" s="164" t="s">
        <v>413</v>
      </c>
      <c r="F39" s="164" t="s">
        <v>414</v>
      </c>
      <c r="G39" s="164" t="n">
        <v>88991</v>
      </c>
      <c r="H39" s="164"/>
      <c r="K39" s="156" t="s">
        <v>185</v>
      </c>
      <c r="L39" s="161" t="n">
        <v>36</v>
      </c>
      <c r="M39" s="162" t="n">
        <v>16262791631</v>
      </c>
      <c r="N39" s="163" t="s">
        <v>294</v>
      </c>
      <c r="O39" s="164" t="s">
        <v>295</v>
      </c>
      <c r="P39" s="164" t="s">
        <v>296</v>
      </c>
      <c r="Q39" s="164" t="n">
        <v>89180</v>
      </c>
      <c r="R39" s="164"/>
      <c r="U39" s="156" t="s">
        <v>192</v>
      </c>
      <c r="V39" s="161" t="n">
        <v>75</v>
      </c>
      <c r="W39" s="162" t="n">
        <v>16262711420</v>
      </c>
      <c r="X39" s="163" t="s">
        <v>415</v>
      </c>
      <c r="Y39" s="164" t="s">
        <v>416</v>
      </c>
      <c r="Z39" s="164" t="s">
        <v>417</v>
      </c>
      <c r="AA39" s="164" t="n">
        <v>88664</v>
      </c>
      <c r="AB39" s="164"/>
      <c r="AE39" s="156" t="s">
        <v>192</v>
      </c>
      <c r="AF39" s="161" t="n">
        <v>41</v>
      </c>
      <c r="AG39" s="162" t="n">
        <v>16262791743</v>
      </c>
      <c r="AH39" s="163" t="s">
        <v>399</v>
      </c>
      <c r="AI39" s="164" t="s">
        <v>400</v>
      </c>
      <c r="AJ39" s="164" t="s">
        <v>401</v>
      </c>
      <c r="AK39" s="164"/>
      <c r="AL39" s="163" t="s">
        <v>399</v>
      </c>
      <c r="AM39" s="161" t="n">
        <v>41</v>
      </c>
      <c r="AN39" s="156" t="s">
        <v>192</v>
      </c>
      <c r="AO39" s="164" t="n">
        <v>88655</v>
      </c>
      <c r="AP39" s="164"/>
    </row>
    <row r="40" customFormat="false" ht="14.25" hidden="false" customHeight="false" outlineLevel="0" collapsed="false">
      <c r="A40" s="156" t="s">
        <v>185</v>
      </c>
      <c r="B40" s="161" t="n">
        <v>109</v>
      </c>
      <c r="C40" s="162" t="n">
        <v>16262731373</v>
      </c>
      <c r="D40" s="163" t="s">
        <v>418</v>
      </c>
      <c r="E40" s="164" t="s">
        <v>419</v>
      </c>
      <c r="F40" s="164" t="s">
        <v>420</v>
      </c>
      <c r="G40" s="164" t="n">
        <v>88910</v>
      </c>
      <c r="H40" s="164"/>
      <c r="K40" s="156" t="s">
        <v>192</v>
      </c>
      <c r="L40" s="161" t="n">
        <v>37</v>
      </c>
      <c r="M40" s="162" t="n">
        <v>16262791662</v>
      </c>
      <c r="N40" s="163" t="s">
        <v>357</v>
      </c>
      <c r="O40" s="164" t="s">
        <v>358</v>
      </c>
      <c r="P40" s="164" t="s">
        <v>359</v>
      </c>
      <c r="Q40" s="164" t="n">
        <v>88599</v>
      </c>
      <c r="R40" s="164"/>
      <c r="U40" s="156" t="s">
        <v>185</v>
      </c>
      <c r="V40" s="161" t="n">
        <v>11</v>
      </c>
      <c r="W40" s="162" t="n">
        <v>16262781521</v>
      </c>
      <c r="X40" s="163" t="s">
        <v>218</v>
      </c>
      <c r="Y40" s="164" t="s">
        <v>219</v>
      </c>
      <c r="Z40" s="164" t="s">
        <v>220</v>
      </c>
      <c r="AA40" s="164" t="n">
        <v>88665</v>
      </c>
      <c r="AB40" s="164"/>
      <c r="AE40" s="156" t="s">
        <v>192</v>
      </c>
      <c r="AF40" s="161" t="n">
        <v>65</v>
      </c>
      <c r="AG40" s="162" t="n">
        <v>16262711172</v>
      </c>
      <c r="AH40" s="163" t="s">
        <v>408</v>
      </c>
      <c r="AI40" s="164" t="s">
        <v>409</v>
      </c>
      <c r="AJ40" s="164" t="s">
        <v>410</v>
      </c>
      <c r="AK40" s="164"/>
      <c r="AL40" s="163" t="s">
        <v>408</v>
      </c>
      <c r="AM40" s="161" t="n">
        <v>65</v>
      </c>
      <c r="AN40" s="156" t="s">
        <v>192</v>
      </c>
      <c r="AO40" s="164" t="n">
        <v>88662</v>
      </c>
      <c r="AP40" s="164" t="s">
        <v>411</v>
      </c>
    </row>
    <row r="41" customFormat="false" ht="14.25" hidden="false" customHeight="false" outlineLevel="0" collapsed="false">
      <c r="A41" s="156" t="s">
        <v>185</v>
      </c>
      <c r="B41" s="161" t="n">
        <v>114</v>
      </c>
      <c r="C41" s="162" t="n">
        <v>16262731492</v>
      </c>
      <c r="D41" s="163" t="s">
        <v>318</v>
      </c>
      <c r="E41" s="164" t="s">
        <v>319</v>
      </c>
      <c r="F41" s="164" t="s">
        <v>320</v>
      </c>
      <c r="G41" s="164" t="n">
        <v>88469</v>
      </c>
      <c r="H41" s="164"/>
      <c r="K41" s="156" t="s">
        <v>192</v>
      </c>
      <c r="L41" s="161" t="n">
        <v>38</v>
      </c>
      <c r="M41" s="162" t="n">
        <v>16262791671</v>
      </c>
      <c r="N41" s="163" t="s">
        <v>372</v>
      </c>
      <c r="O41" s="164" t="s">
        <v>373</v>
      </c>
      <c r="P41" s="164" t="s">
        <v>374</v>
      </c>
      <c r="Q41" s="164" t="n">
        <v>88608</v>
      </c>
      <c r="R41" s="164"/>
      <c r="U41" s="156" t="s">
        <v>185</v>
      </c>
      <c r="V41" s="161" t="n">
        <v>102</v>
      </c>
      <c r="W41" s="162" t="n">
        <v>16262731303</v>
      </c>
      <c r="X41" s="163" t="s">
        <v>396</v>
      </c>
      <c r="Y41" s="164" t="s">
        <v>397</v>
      </c>
      <c r="Z41" s="164" t="s">
        <v>398</v>
      </c>
      <c r="AA41" s="164" t="n">
        <v>88667</v>
      </c>
      <c r="AB41" s="164"/>
      <c r="AE41" s="156" t="s">
        <v>192</v>
      </c>
      <c r="AF41" s="161" t="n">
        <v>75</v>
      </c>
      <c r="AG41" s="162" t="n">
        <v>16262711420</v>
      </c>
      <c r="AH41" s="163" t="s">
        <v>415</v>
      </c>
      <c r="AI41" s="164" t="s">
        <v>416</v>
      </c>
      <c r="AJ41" s="164" t="s">
        <v>417</v>
      </c>
      <c r="AK41" s="164"/>
      <c r="AL41" s="163" t="s">
        <v>415</v>
      </c>
      <c r="AM41" s="161" t="n">
        <v>75</v>
      </c>
      <c r="AN41" s="156" t="s">
        <v>192</v>
      </c>
      <c r="AO41" s="164" t="n">
        <v>88664</v>
      </c>
      <c r="AP41" s="164"/>
    </row>
    <row r="42" customFormat="false" ht="14.25" hidden="false" customHeight="false" outlineLevel="0" collapsed="false">
      <c r="A42" s="169" t="s">
        <v>185</v>
      </c>
      <c r="B42" s="170" t="n">
        <v>116</v>
      </c>
      <c r="C42" s="171" t="n">
        <v>16262731334</v>
      </c>
      <c r="D42" s="172" t="n">
        <v>31334</v>
      </c>
      <c r="E42" s="173" t="n">
        <v>230334</v>
      </c>
      <c r="F42" s="173" t="n">
        <v>3334</v>
      </c>
      <c r="G42" s="164" t="n">
        <v>88490</v>
      </c>
      <c r="H42" s="164"/>
      <c r="K42" s="156" t="s">
        <v>192</v>
      </c>
      <c r="L42" s="161" t="n">
        <v>39</v>
      </c>
      <c r="M42" s="162" t="n">
        <v>16262791685</v>
      </c>
      <c r="N42" s="163" t="s">
        <v>257</v>
      </c>
      <c r="O42" s="164" t="s">
        <v>258</v>
      </c>
      <c r="P42" s="164" t="s">
        <v>259</v>
      </c>
      <c r="Q42" s="164" t="n">
        <v>88213</v>
      </c>
      <c r="R42" s="164"/>
      <c r="U42" s="156" t="s">
        <v>185</v>
      </c>
      <c r="V42" s="161" t="n">
        <v>70</v>
      </c>
      <c r="W42" s="162" t="n">
        <v>16262711281</v>
      </c>
      <c r="X42" s="163" t="s">
        <v>348</v>
      </c>
      <c r="Y42" s="164" t="s">
        <v>349</v>
      </c>
      <c r="Z42" s="164" t="s">
        <v>350</v>
      </c>
      <c r="AA42" s="164" t="n">
        <v>88677</v>
      </c>
      <c r="AB42" s="164"/>
      <c r="AE42" s="156" t="s">
        <v>185</v>
      </c>
      <c r="AF42" s="161" t="n">
        <v>11</v>
      </c>
      <c r="AG42" s="162" t="n">
        <v>16262781521</v>
      </c>
      <c r="AH42" s="163" t="s">
        <v>218</v>
      </c>
      <c r="AI42" s="164" t="s">
        <v>219</v>
      </c>
      <c r="AJ42" s="164" t="s">
        <v>220</v>
      </c>
      <c r="AK42" s="164"/>
      <c r="AL42" s="163" t="s">
        <v>218</v>
      </c>
      <c r="AM42" s="161" t="n">
        <v>11</v>
      </c>
      <c r="AN42" s="156" t="s">
        <v>185</v>
      </c>
      <c r="AO42" s="164" t="n">
        <v>88665</v>
      </c>
      <c r="AP42" s="164"/>
    </row>
    <row r="43" customFormat="false" ht="14.25" hidden="false" customHeight="false" outlineLevel="0" collapsed="false">
      <c r="A43" s="156" t="s">
        <v>185</v>
      </c>
      <c r="B43" s="161" t="n">
        <v>118</v>
      </c>
      <c r="C43" s="162" t="n">
        <v>16262731584</v>
      </c>
      <c r="D43" s="163" t="s">
        <v>345</v>
      </c>
      <c r="E43" s="164" t="s">
        <v>346</v>
      </c>
      <c r="F43" s="164" t="s">
        <v>347</v>
      </c>
      <c r="G43" s="164" t="n">
        <v>88529</v>
      </c>
      <c r="H43" s="174"/>
      <c r="K43" s="156" t="s">
        <v>192</v>
      </c>
      <c r="L43" s="161" t="n">
        <v>40</v>
      </c>
      <c r="M43" s="162" t="n">
        <v>16262791702</v>
      </c>
      <c r="N43" s="163" t="s">
        <v>421</v>
      </c>
      <c r="O43" s="164" t="s">
        <v>422</v>
      </c>
      <c r="P43" s="164" t="s">
        <v>423</v>
      </c>
      <c r="Q43" s="164" t="n">
        <v>88890</v>
      </c>
      <c r="R43" s="164"/>
      <c r="U43" s="156" t="s">
        <v>185</v>
      </c>
      <c r="V43" s="161" t="n">
        <v>60</v>
      </c>
      <c r="W43" s="162" t="n">
        <v>16262702516</v>
      </c>
      <c r="X43" s="163" t="s">
        <v>330</v>
      </c>
      <c r="Y43" s="164" t="s">
        <v>331</v>
      </c>
      <c r="Z43" s="164" t="s">
        <v>332</v>
      </c>
      <c r="AA43" s="164" t="n">
        <v>88682</v>
      </c>
      <c r="AB43" s="164"/>
      <c r="AE43" s="156" t="s">
        <v>185</v>
      </c>
      <c r="AF43" s="161" t="n">
        <v>102</v>
      </c>
      <c r="AG43" s="162" t="n">
        <v>16262731303</v>
      </c>
      <c r="AH43" s="163" t="s">
        <v>396</v>
      </c>
      <c r="AI43" s="164" t="s">
        <v>397</v>
      </c>
      <c r="AJ43" s="164" t="s">
        <v>398</v>
      </c>
      <c r="AK43" s="164"/>
      <c r="AL43" s="163" t="s">
        <v>396</v>
      </c>
      <c r="AM43" s="161" t="n">
        <v>102</v>
      </c>
      <c r="AN43" s="156" t="s">
        <v>185</v>
      </c>
      <c r="AO43" s="164" t="n">
        <v>88667</v>
      </c>
      <c r="AP43" s="164"/>
    </row>
    <row r="44" customFormat="false" ht="14.25" hidden="false" customHeight="false" outlineLevel="0" collapsed="false">
      <c r="A44" s="156" t="s">
        <v>192</v>
      </c>
      <c r="B44" s="161" t="n">
        <v>2</v>
      </c>
      <c r="C44" s="162" t="n">
        <v>16262771111</v>
      </c>
      <c r="D44" s="163" t="s">
        <v>200</v>
      </c>
      <c r="E44" s="164" t="s">
        <v>201</v>
      </c>
      <c r="F44" s="164" t="s">
        <v>202</v>
      </c>
      <c r="G44" s="164" t="n">
        <v>88863</v>
      </c>
      <c r="H44" s="164"/>
      <c r="K44" s="156" t="s">
        <v>192</v>
      </c>
      <c r="L44" s="161" t="n">
        <v>41</v>
      </c>
      <c r="M44" s="162" t="n">
        <v>16262791743</v>
      </c>
      <c r="N44" s="163" t="s">
        <v>399</v>
      </c>
      <c r="O44" s="164" t="s">
        <v>400</v>
      </c>
      <c r="P44" s="164" t="s">
        <v>401</v>
      </c>
      <c r="Q44" s="164" t="n">
        <v>88655</v>
      </c>
      <c r="R44" s="164"/>
      <c r="U44" s="156" t="s">
        <v>192</v>
      </c>
      <c r="V44" s="161" t="n">
        <v>104</v>
      </c>
      <c r="W44" s="162" t="n">
        <v>16262731355</v>
      </c>
      <c r="X44" s="163" t="s">
        <v>424</v>
      </c>
      <c r="Y44" s="164" t="s">
        <v>425</v>
      </c>
      <c r="Z44" s="164" t="s">
        <v>426</v>
      </c>
      <c r="AA44" s="164" t="n">
        <v>88708</v>
      </c>
      <c r="AB44" s="164"/>
      <c r="AE44" s="156" t="s">
        <v>185</v>
      </c>
      <c r="AF44" s="161" t="n">
        <v>70</v>
      </c>
      <c r="AG44" s="162" t="n">
        <v>16262711281</v>
      </c>
      <c r="AH44" s="163" t="s">
        <v>348</v>
      </c>
      <c r="AI44" s="164" t="s">
        <v>349</v>
      </c>
      <c r="AJ44" s="164" t="s">
        <v>350</v>
      </c>
      <c r="AK44" s="164"/>
      <c r="AL44" s="163" t="s">
        <v>348</v>
      </c>
      <c r="AM44" s="161" t="n">
        <v>70</v>
      </c>
      <c r="AN44" s="156" t="s">
        <v>185</v>
      </c>
      <c r="AO44" s="164" t="n">
        <v>88677</v>
      </c>
      <c r="AP44" s="164"/>
    </row>
    <row r="45" customFormat="false" ht="14.25" hidden="false" customHeight="false" outlineLevel="0" collapsed="false">
      <c r="A45" s="156" t="s">
        <v>192</v>
      </c>
      <c r="B45" s="161" t="n">
        <v>6</v>
      </c>
      <c r="C45" s="162" t="n">
        <v>16262781268</v>
      </c>
      <c r="D45" s="163" t="s">
        <v>227</v>
      </c>
      <c r="E45" s="164" t="s">
        <v>228</v>
      </c>
      <c r="F45" s="164" t="s">
        <v>229</v>
      </c>
      <c r="G45" s="164" t="n">
        <v>89246</v>
      </c>
      <c r="H45" s="164"/>
      <c r="K45" s="156" t="s">
        <v>185</v>
      </c>
      <c r="L45" s="161" t="n">
        <v>42</v>
      </c>
      <c r="M45" s="162" t="n">
        <v>16262702125</v>
      </c>
      <c r="N45" s="163" t="s">
        <v>266</v>
      </c>
      <c r="O45" s="164" t="s">
        <v>267</v>
      </c>
      <c r="P45" s="164" t="s">
        <v>268</v>
      </c>
      <c r="Q45" s="164" t="n">
        <v>88221</v>
      </c>
      <c r="R45" s="164"/>
      <c r="U45" s="156" t="s">
        <v>192</v>
      </c>
      <c r="V45" s="161" t="n">
        <v>48</v>
      </c>
      <c r="W45" s="162" t="n">
        <v>16262702206</v>
      </c>
      <c r="X45" s="163" t="s">
        <v>427</v>
      </c>
      <c r="Y45" s="164" t="s">
        <v>428</v>
      </c>
      <c r="Z45" s="164" t="s">
        <v>429</v>
      </c>
      <c r="AA45" s="164" t="n">
        <v>88712</v>
      </c>
      <c r="AB45" s="164"/>
      <c r="AE45" s="156" t="s">
        <v>185</v>
      </c>
      <c r="AF45" s="161" t="n">
        <v>60</v>
      </c>
      <c r="AG45" s="162" t="n">
        <v>16262702516</v>
      </c>
      <c r="AH45" s="163" t="s">
        <v>330</v>
      </c>
      <c r="AI45" s="164" t="s">
        <v>331</v>
      </c>
      <c r="AJ45" s="164" t="s">
        <v>332</v>
      </c>
      <c r="AK45" s="164"/>
      <c r="AL45" s="163" t="s">
        <v>330</v>
      </c>
      <c r="AM45" s="161" t="n">
        <v>60</v>
      </c>
      <c r="AN45" s="156" t="s">
        <v>185</v>
      </c>
      <c r="AO45" s="164" t="n">
        <v>88682</v>
      </c>
      <c r="AP45" s="164"/>
    </row>
    <row r="46" customFormat="false" ht="14.25" hidden="false" customHeight="false" outlineLevel="0" collapsed="false">
      <c r="A46" s="156" t="s">
        <v>192</v>
      </c>
      <c r="B46" s="161" t="n">
        <v>7</v>
      </c>
      <c r="C46" s="162" t="n">
        <v>16262781300</v>
      </c>
      <c r="D46" s="163" t="s">
        <v>236</v>
      </c>
      <c r="E46" s="164" t="s">
        <v>237</v>
      </c>
      <c r="F46" s="164" t="s">
        <v>238</v>
      </c>
      <c r="G46" s="164" t="n">
        <v>89101</v>
      </c>
      <c r="H46" s="164"/>
      <c r="K46" s="156" t="s">
        <v>192</v>
      </c>
      <c r="L46" s="161" t="n">
        <v>43</v>
      </c>
      <c r="M46" s="162" t="n">
        <v>16262702128</v>
      </c>
      <c r="N46" s="163" t="s">
        <v>312</v>
      </c>
      <c r="O46" s="164" t="s">
        <v>313</v>
      </c>
      <c r="P46" s="164" t="s">
        <v>314</v>
      </c>
      <c r="Q46" s="164" t="n">
        <v>88299</v>
      </c>
      <c r="R46" s="164"/>
      <c r="U46" s="156" t="s">
        <v>185</v>
      </c>
      <c r="V46" s="161" t="n">
        <v>64</v>
      </c>
      <c r="W46" s="162" t="n">
        <v>16262711163</v>
      </c>
      <c r="X46" s="163" t="s">
        <v>336</v>
      </c>
      <c r="Y46" s="164" t="s">
        <v>337</v>
      </c>
      <c r="Z46" s="164" t="s">
        <v>338</v>
      </c>
      <c r="AA46" s="164" t="n">
        <v>88716</v>
      </c>
      <c r="AB46" s="164"/>
      <c r="AE46" s="156" t="s">
        <v>192</v>
      </c>
      <c r="AF46" s="161" t="n">
        <v>104</v>
      </c>
      <c r="AG46" s="162" t="n">
        <v>16262731355</v>
      </c>
      <c r="AH46" s="163" t="s">
        <v>424</v>
      </c>
      <c r="AI46" s="164" t="s">
        <v>425</v>
      </c>
      <c r="AJ46" s="164" t="s">
        <v>426</v>
      </c>
      <c r="AK46" s="164"/>
      <c r="AL46" s="163" t="s">
        <v>424</v>
      </c>
      <c r="AM46" s="161" t="n">
        <v>104</v>
      </c>
      <c r="AN46" s="156" t="s">
        <v>192</v>
      </c>
      <c r="AO46" s="164" t="n">
        <v>88708</v>
      </c>
      <c r="AP46" s="164"/>
    </row>
    <row r="47" customFormat="false" ht="14.25" hidden="false" customHeight="false" outlineLevel="0" collapsed="false">
      <c r="A47" s="156" t="s">
        <v>192</v>
      </c>
      <c r="B47" s="161" t="n">
        <v>8</v>
      </c>
      <c r="C47" s="162" t="n">
        <v>16262781332</v>
      </c>
      <c r="D47" s="163" t="s">
        <v>245</v>
      </c>
      <c r="E47" s="164" t="s">
        <v>246</v>
      </c>
      <c r="F47" s="164" t="s">
        <v>247</v>
      </c>
      <c r="G47" s="164" t="n">
        <v>88224</v>
      </c>
      <c r="H47" s="164"/>
      <c r="K47" s="156" t="s">
        <v>192</v>
      </c>
      <c r="L47" s="161" t="n">
        <v>44</v>
      </c>
      <c r="M47" s="162" t="n">
        <v>16262702154</v>
      </c>
      <c r="N47" s="163" t="s">
        <v>381</v>
      </c>
      <c r="O47" s="164" t="s">
        <v>382</v>
      </c>
      <c r="P47" s="164" t="s">
        <v>383</v>
      </c>
      <c r="Q47" s="164" t="n">
        <v>88609</v>
      </c>
      <c r="R47" s="164"/>
      <c r="U47" s="156" t="s">
        <v>185</v>
      </c>
      <c r="V47" s="161" t="n">
        <v>56</v>
      </c>
      <c r="W47" s="162" t="n">
        <v>16262702484</v>
      </c>
      <c r="X47" s="163" t="s">
        <v>321</v>
      </c>
      <c r="Y47" s="164" t="s">
        <v>322</v>
      </c>
      <c r="Z47" s="164" t="s">
        <v>323</v>
      </c>
      <c r="AA47" s="164" t="n">
        <v>88729</v>
      </c>
      <c r="AB47" s="164"/>
      <c r="AE47" s="156" t="s">
        <v>192</v>
      </c>
      <c r="AF47" s="161" t="n">
        <v>48</v>
      </c>
      <c r="AG47" s="162" t="n">
        <v>16262702206</v>
      </c>
      <c r="AH47" s="163" t="s">
        <v>427</v>
      </c>
      <c r="AI47" s="164" t="s">
        <v>428</v>
      </c>
      <c r="AJ47" s="164" t="s">
        <v>429</v>
      </c>
      <c r="AK47" s="164"/>
      <c r="AL47" s="163" t="s">
        <v>427</v>
      </c>
      <c r="AM47" s="161" t="n">
        <v>48</v>
      </c>
      <c r="AN47" s="156" t="s">
        <v>192</v>
      </c>
      <c r="AO47" s="164" t="n">
        <v>88712</v>
      </c>
      <c r="AP47" s="164"/>
    </row>
    <row r="48" customFormat="false" ht="14.25" hidden="false" customHeight="false" outlineLevel="0" collapsed="false">
      <c r="A48" s="156" t="s">
        <v>192</v>
      </c>
      <c r="B48" s="161" t="n">
        <v>9</v>
      </c>
      <c r="C48" s="162" t="n">
        <v>16262781420</v>
      </c>
      <c r="D48" s="163" t="s">
        <v>254</v>
      </c>
      <c r="E48" s="164" t="s">
        <v>255</v>
      </c>
      <c r="F48" s="164" t="s">
        <v>256</v>
      </c>
      <c r="G48" s="164" t="n">
        <v>88479</v>
      </c>
      <c r="H48" s="164"/>
      <c r="K48" s="156" t="s">
        <v>185</v>
      </c>
      <c r="L48" s="161" t="n">
        <v>45</v>
      </c>
      <c r="M48" s="162" t="n">
        <v>16262702159</v>
      </c>
      <c r="N48" s="163" t="s">
        <v>203</v>
      </c>
      <c r="O48" s="164" t="s">
        <v>204</v>
      </c>
      <c r="P48" s="164" t="s">
        <v>205</v>
      </c>
      <c r="Q48" s="164" t="n">
        <v>88174</v>
      </c>
      <c r="R48" s="164"/>
      <c r="U48" s="156" t="s">
        <v>192</v>
      </c>
      <c r="V48" s="161" t="n">
        <v>85</v>
      </c>
      <c r="W48" s="162" t="n">
        <v>16262721103</v>
      </c>
      <c r="X48" s="163" t="s">
        <v>430</v>
      </c>
      <c r="Y48" s="164" t="s">
        <v>431</v>
      </c>
      <c r="Z48" s="164" t="s">
        <v>432</v>
      </c>
      <c r="AA48" s="164" t="n">
        <v>88748</v>
      </c>
      <c r="AB48" s="164"/>
      <c r="AE48" s="156" t="s">
        <v>185</v>
      </c>
      <c r="AF48" s="161" t="n">
        <v>64</v>
      </c>
      <c r="AG48" s="162" t="n">
        <v>16262711163</v>
      </c>
      <c r="AH48" s="163" t="s">
        <v>336</v>
      </c>
      <c r="AI48" s="164" t="s">
        <v>337</v>
      </c>
      <c r="AJ48" s="164" t="s">
        <v>338</v>
      </c>
      <c r="AK48" s="164"/>
      <c r="AL48" s="163" t="s">
        <v>336</v>
      </c>
      <c r="AM48" s="161" t="n">
        <v>64</v>
      </c>
      <c r="AN48" s="156" t="s">
        <v>185</v>
      </c>
      <c r="AO48" s="164" t="n">
        <v>88716</v>
      </c>
      <c r="AP48" s="164"/>
    </row>
    <row r="49" customFormat="false" ht="14.25" hidden="false" customHeight="false" outlineLevel="0" collapsed="false">
      <c r="A49" s="156" t="s">
        <v>192</v>
      </c>
      <c r="B49" s="161" t="n">
        <v>10</v>
      </c>
      <c r="C49" s="162" t="n">
        <v>16262781489</v>
      </c>
      <c r="D49" s="163" t="s">
        <v>263</v>
      </c>
      <c r="E49" s="164" t="s">
        <v>264</v>
      </c>
      <c r="F49" s="164" t="s">
        <v>265</v>
      </c>
      <c r="G49" s="164" t="n">
        <v>89267</v>
      </c>
      <c r="H49" s="164"/>
      <c r="K49" s="156" t="s">
        <v>192</v>
      </c>
      <c r="L49" s="161" t="n">
        <v>46</v>
      </c>
      <c r="M49" s="162" t="n">
        <v>16262702162</v>
      </c>
      <c r="N49" s="163" t="s">
        <v>433</v>
      </c>
      <c r="O49" s="164" t="s">
        <v>434</v>
      </c>
      <c r="P49" s="164" t="s">
        <v>435</v>
      </c>
      <c r="Q49" s="164" t="n">
        <v>89098</v>
      </c>
      <c r="R49" s="164"/>
      <c r="U49" s="156" t="s">
        <v>192</v>
      </c>
      <c r="V49" s="161" t="n">
        <v>59</v>
      </c>
      <c r="W49" s="162" t="n">
        <v>16262702502</v>
      </c>
      <c r="X49" s="163" t="s">
        <v>436</v>
      </c>
      <c r="Y49" s="164" t="s">
        <v>437</v>
      </c>
      <c r="Z49" s="164" t="s">
        <v>438</v>
      </c>
      <c r="AA49" s="164" t="n">
        <v>88763</v>
      </c>
      <c r="AB49" s="164"/>
      <c r="AE49" s="156" t="s">
        <v>185</v>
      </c>
      <c r="AF49" s="161" t="n">
        <v>56</v>
      </c>
      <c r="AG49" s="162" t="n">
        <v>16262702484</v>
      </c>
      <c r="AH49" s="163" t="s">
        <v>321</v>
      </c>
      <c r="AI49" s="164" t="s">
        <v>322</v>
      </c>
      <c r="AJ49" s="164" t="s">
        <v>323</v>
      </c>
      <c r="AK49" s="164"/>
      <c r="AL49" s="163" t="s">
        <v>321</v>
      </c>
      <c r="AM49" s="161" t="n">
        <v>56</v>
      </c>
      <c r="AN49" s="156" t="s">
        <v>185</v>
      </c>
      <c r="AO49" s="164" t="n">
        <v>88729</v>
      </c>
      <c r="AP49" s="164"/>
    </row>
    <row r="50" customFormat="false" ht="14.25" hidden="false" customHeight="false" outlineLevel="0" collapsed="false">
      <c r="A50" s="156" t="s">
        <v>192</v>
      </c>
      <c r="B50" s="161" t="n">
        <v>12</v>
      </c>
      <c r="C50" s="162" t="n">
        <v>16262781594</v>
      </c>
      <c r="D50" s="163" t="s">
        <v>279</v>
      </c>
      <c r="E50" s="164" t="s">
        <v>280</v>
      </c>
      <c r="F50" s="164" t="s">
        <v>281</v>
      </c>
      <c r="G50" s="164" t="n">
        <v>89281</v>
      </c>
      <c r="H50" s="164"/>
      <c r="K50" s="156" t="s">
        <v>185</v>
      </c>
      <c r="L50" s="161" t="n">
        <v>47</v>
      </c>
      <c r="M50" s="162" t="n">
        <v>16262702169</v>
      </c>
      <c r="N50" s="163" t="s">
        <v>309</v>
      </c>
      <c r="O50" s="164" t="s">
        <v>310</v>
      </c>
      <c r="P50" s="164" t="s">
        <v>311</v>
      </c>
      <c r="Q50" s="164" t="n">
        <v>89289</v>
      </c>
      <c r="R50" s="164"/>
      <c r="U50" s="156" t="s">
        <v>192</v>
      </c>
      <c r="V50" s="161" t="n">
        <v>66</v>
      </c>
      <c r="W50" s="162" t="n">
        <v>16262711207</v>
      </c>
      <c r="X50" s="163" t="s">
        <v>439</v>
      </c>
      <c r="Y50" s="164" t="s">
        <v>440</v>
      </c>
      <c r="Z50" s="164" t="s">
        <v>441</v>
      </c>
      <c r="AA50" s="164" t="n">
        <v>88777</v>
      </c>
      <c r="AB50" s="164"/>
      <c r="AE50" s="156" t="s">
        <v>192</v>
      </c>
      <c r="AF50" s="161" t="n">
        <v>85</v>
      </c>
      <c r="AG50" s="162" t="n">
        <v>16262721103</v>
      </c>
      <c r="AH50" s="163" t="s">
        <v>430</v>
      </c>
      <c r="AI50" s="164" t="s">
        <v>431</v>
      </c>
      <c r="AJ50" s="164" t="s">
        <v>432</v>
      </c>
      <c r="AK50" s="164"/>
      <c r="AL50" s="163" t="s">
        <v>430</v>
      </c>
      <c r="AM50" s="161" t="n">
        <v>85</v>
      </c>
      <c r="AN50" s="156" t="s">
        <v>192</v>
      </c>
      <c r="AO50" s="164" t="n">
        <v>88748</v>
      </c>
      <c r="AP50" s="164"/>
    </row>
    <row r="51" customFormat="false" ht="14.25" hidden="false" customHeight="false" outlineLevel="0" collapsed="false">
      <c r="A51" s="156" t="s">
        <v>192</v>
      </c>
      <c r="B51" s="161" t="n">
        <v>13</v>
      </c>
      <c r="C51" s="162" t="n">
        <v>16262781607</v>
      </c>
      <c r="D51" s="163" t="s">
        <v>288</v>
      </c>
      <c r="E51" s="164" t="s">
        <v>289</v>
      </c>
      <c r="F51" s="164" t="s">
        <v>290</v>
      </c>
      <c r="G51" s="164" t="n">
        <v>89251</v>
      </c>
      <c r="H51" s="164"/>
      <c r="K51" s="156" t="s">
        <v>192</v>
      </c>
      <c r="L51" s="161" t="n">
        <v>48</v>
      </c>
      <c r="M51" s="162" t="n">
        <v>16262702206</v>
      </c>
      <c r="N51" s="163" t="s">
        <v>427</v>
      </c>
      <c r="O51" s="164" t="s">
        <v>428</v>
      </c>
      <c r="P51" s="164" t="s">
        <v>429</v>
      </c>
      <c r="Q51" s="164" t="n">
        <v>88712</v>
      </c>
      <c r="R51" s="164"/>
      <c r="U51" s="156" t="s">
        <v>192</v>
      </c>
      <c r="V51" s="161" t="n">
        <v>117</v>
      </c>
      <c r="W51" s="162" t="n">
        <v>16262731541</v>
      </c>
      <c r="X51" s="163" t="s">
        <v>442</v>
      </c>
      <c r="Y51" s="164" t="s">
        <v>443</v>
      </c>
      <c r="Z51" s="164" t="s">
        <v>444</v>
      </c>
      <c r="AA51" s="164" t="n">
        <v>88790</v>
      </c>
      <c r="AB51" s="164"/>
      <c r="AE51" s="156" t="s">
        <v>192</v>
      </c>
      <c r="AF51" s="161" t="n">
        <v>59</v>
      </c>
      <c r="AG51" s="162" t="n">
        <v>16262702502</v>
      </c>
      <c r="AH51" s="163" t="s">
        <v>436</v>
      </c>
      <c r="AI51" s="164" t="s">
        <v>437</v>
      </c>
      <c r="AJ51" s="164" t="s">
        <v>438</v>
      </c>
      <c r="AK51" s="164"/>
      <c r="AL51" s="163" t="s">
        <v>436</v>
      </c>
      <c r="AM51" s="161" t="n">
        <v>59</v>
      </c>
      <c r="AN51" s="156" t="s">
        <v>192</v>
      </c>
      <c r="AO51" s="164" t="n">
        <v>88763</v>
      </c>
      <c r="AP51" s="164"/>
    </row>
    <row r="52" customFormat="false" ht="14.25" hidden="false" customHeight="false" outlineLevel="0" collapsed="false">
      <c r="A52" s="156" t="s">
        <v>192</v>
      </c>
      <c r="B52" s="161" t="n">
        <v>14</v>
      </c>
      <c r="C52" s="162" t="n">
        <v>16262791214</v>
      </c>
      <c r="D52" s="163" t="s">
        <v>297</v>
      </c>
      <c r="E52" s="164" t="s">
        <v>298</v>
      </c>
      <c r="F52" s="164" t="s">
        <v>299</v>
      </c>
      <c r="G52" s="164" t="n">
        <v>88839</v>
      </c>
      <c r="H52" s="164"/>
      <c r="K52" s="156" t="s">
        <v>185</v>
      </c>
      <c r="L52" s="161" t="n">
        <v>49</v>
      </c>
      <c r="M52" s="162" t="n">
        <v>16262702221</v>
      </c>
      <c r="N52" s="163" t="s">
        <v>315</v>
      </c>
      <c r="O52" s="164" t="s">
        <v>316</v>
      </c>
      <c r="P52" s="164" t="s">
        <v>317</v>
      </c>
      <c r="Q52" s="164" t="n">
        <v>89217</v>
      </c>
      <c r="R52" s="164"/>
      <c r="U52" s="156" t="s">
        <v>185</v>
      </c>
      <c r="V52" s="161" t="n">
        <v>74</v>
      </c>
      <c r="W52" s="162" t="n">
        <v>16262711401</v>
      </c>
      <c r="X52" s="163" t="s">
        <v>369</v>
      </c>
      <c r="Y52" s="164" t="s">
        <v>370</v>
      </c>
      <c r="Z52" s="164" t="s">
        <v>371</v>
      </c>
      <c r="AA52" s="164" t="n">
        <v>88798</v>
      </c>
      <c r="AB52" s="164"/>
      <c r="AE52" s="156" t="s">
        <v>192</v>
      </c>
      <c r="AF52" s="161" t="n">
        <v>66</v>
      </c>
      <c r="AG52" s="162" t="n">
        <v>16262711207</v>
      </c>
      <c r="AH52" s="163" t="s">
        <v>439</v>
      </c>
      <c r="AI52" s="164" t="s">
        <v>440</v>
      </c>
      <c r="AJ52" s="164" t="s">
        <v>441</v>
      </c>
      <c r="AK52" s="164"/>
      <c r="AL52" s="163" t="s">
        <v>439</v>
      </c>
      <c r="AM52" s="161" t="n">
        <v>66</v>
      </c>
      <c r="AN52" s="156" t="s">
        <v>192</v>
      </c>
      <c r="AO52" s="164" t="n">
        <v>88777</v>
      </c>
      <c r="AP52" s="164"/>
    </row>
    <row r="53" customFormat="false" ht="14.25" hidden="false" customHeight="false" outlineLevel="0" collapsed="false">
      <c r="A53" s="156" t="s">
        <v>192</v>
      </c>
      <c r="B53" s="161" t="n">
        <v>16</v>
      </c>
      <c r="C53" s="162" t="n">
        <v>16262791253</v>
      </c>
      <c r="D53" s="163" t="s">
        <v>303</v>
      </c>
      <c r="E53" s="164" t="s">
        <v>304</v>
      </c>
      <c r="F53" s="164" t="s">
        <v>305</v>
      </c>
      <c r="G53" s="164" t="n">
        <v>88980</v>
      </c>
      <c r="H53" s="164"/>
      <c r="K53" s="156" t="s">
        <v>192</v>
      </c>
      <c r="L53" s="161" t="n">
        <v>50</v>
      </c>
      <c r="M53" s="162" t="n">
        <v>16262702242</v>
      </c>
      <c r="N53" s="163" t="s">
        <v>445</v>
      </c>
      <c r="O53" s="164" t="s">
        <v>446</v>
      </c>
      <c r="P53" s="164" t="s">
        <v>447</v>
      </c>
      <c r="Q53" s="164" t="n">
        <v>89333</v>
      </c>
      <c r="R53" s="164"/>
      <c r="U53" s="156" t="s">
        <v>185</v>
      </c>
      <c r="V53" s="161" t="n">
        <v>103</v>
      </c>
      <c r="W53" s="162" t="n">
        <v>16262731348</v>
      </c>
      <c r="X53" s="163" t="s">
        <v>402</v>
      </c>
      <c r="Y53" s="164" t="s">
        <v>403</v>
      </c>
      <c r="Z53" s="164" t="s">
        <v>404</v>
      </c>
      <c r="AA53" s="164" t="n">
        <v>88808</v>
      </c>
      <c r="AB53" s="164"/>
      <c r="AE53" s="156" t="s">
        <v>192</v>
      </c>
      <c r="AF53" s="161" t="n">
        <v>117</v>
      </c>
      <c r="AG53" s="162" t="n">
        <v>16262731541</v>
      </c>
      <c r="AH53" s="163" t="s">
        <v>442</v>
      </c>
      <c r="AI53" s="164" t="s">
        <v>443</v>
      </c>
      <c r="AJ53" s="164" t="s">
        <v>444</v>
      </c>
      <c r="AK53" s="164"/>
      <c r="AL53" s="163" t="s">
        <v>442</v>
      </c>
      <c r="AM53" s="161" t="n">
        <v>117</v>
      </c>
      <c r="AN53" s="156" t="s">
        <v>192</v>
      </c>
      <c r="AO53" s="164" t="n">
        <v>88790</v>
      </c>
      <c r="AP53" s="164"/>
    </row>
    <row r="54" customFormat="false" ht="14.25" hidden="false" customHeight="false" outlineLevel="0" collapsed="false">
      <c r="A54" s="156" t="s">
        <v>192</v>
      </c>
      <c r="B54" s="161" t="n">
        <v>18</v>
      </c>
      <c r="C54" s="162" t="n">
        <v>16262791276</v>
      </c>
      <c r="D54" s="163" t="s">
        <v>209</v>
      </c>
      <c r="E54" s="164" t="s">
        <v>210</v>
      </c>
      <c r="F54" s="164" t="s">
        <v>211</v>
      </c>
      <c r="G54" s="164" t="n">
        <v>88176</v>
      </c>
      <c r="H54" s="164"/>
      <c r="K54" s="156" t="s">
        <v>192</v>
      </c>
      <c r="L54" s="161" t="n">
        <v>51</v>
      </c>
      <c r="M54" s="162" t="n">
        <v>16262702264</v>
      </c>
      <c r="N54" s="163" t="s">
        <v>448</v>
      </c>
      <c r="O54" s="164" t="s">
        <v>449</v>
      </c>
      <c r="P54" s="164" t="s">
        <v>450</v>
      </c>
      <c r="Q54" s="164" t="n">
        <v>89441</v>
      </c>
      <c r="R54" s="164" t="s">
        <v>451</v>
      </c>
      <c r="U54" s="156" t="s">
        <v>185</v>
      </c>
      <c r="V54" s="161" t="n">
        <v>1</v>
      </c>
      <c r="W54" s="162" t="n">
        <v>16262771451</v>
      </c>
      <c r="X54" s="163" t="s">
        <v>186</v>
      </c>
      <c r="Y54" s="164" t="s">
        <v>187</v>
      </c>
      <c r="Z54" s="164" t="s">
        <v>188</v>
      </c>
      <c r="AA54" s="164" t="n">
        <v>88809</v>
      </c>
      <c r="AB54" s="164"/>
      <c r="AE54" s="156" t="s">
        <v>185</v>
      </c>
      <c r="AF54" s="161" t="n">
        <v>74</v>
      </c>
      <c r="AG54" s="162" t="n">
        <v>16262711401</v>
      </c>
      <c r="AH54" s="163" t="s">
        <v>369</v>
      </c>
      <c r="AI54" s="164" t="s">
        <v>370</v>
      </c>
      <c r="AJ54" s="164" t="s">
        <v>371</v>
      </c>
      <c r="AK54" s="164"/>
      <c r="AL54" s="163" t="s">
        <v>369</v>
      </c>
      <c r="AM54" s="161" t="n">
        <v>74</v>
      </c>
      <c r="AN54" s="156" t="s">
        <v>185</v>
      </c>
      <c r="AO54" s="164" t="n">
        <v>88798</v>
      </c>
      <c r="AP54" s="164"/>
    </row>
    <row r="55" customFormat="false" ht="14.25" hidden="false" customHeight="false" outlineLevel="0" collapsed="false">
      <c r="A55" s="156" t="s">
        <v>192</v>
      </c>
      <c r="B55" s="161" t="n">
        <v>20</v>
      </c>
      <c r="C55" s="162" t="n">
        <v>16262791324</v>
      </c>
      <c r="D55" s="163" t="s">
        <v>324</v>
      </c>
      <c r="E55" s="164" t="s">
        <v>325</v>
      </c>
      <c r="F55" s="164" t="s">
        <v>326</v>
      </c>
      <c r="G55" s="164" t="n">
        <v>89244</v>
      </c>
      <c r="H55" s="164"/>
      <c r="K55" s="156" t="s">
        <v>192</v>
      </c>
      <c r="L55" s="161" t="n">
        <v>52</v>
      </c>
      <c r="M55" s="162" t="n">
        <v>16262702313</v>
      </c>
      <c r="N55" s="163" t="s">
        <v>452</v>
      </c>
      <c r="O55" s="164" t="s">
        <v>453</v>
      </c>
      <c r="P55" s="164" t="s">
        <v>454</v>
      </c>
      <c r="Q55" s="164" t="n">
        <v>89784</v>
      </c>
      <c r="R55" s="164" t="s">
        <v>455</v>
      </c>
      <c r="U55" s="156" t="s">
        <v>192</v>
      </c>
      <c r="V55" s="161" t="n">
        <v>113</v>
      </c>
      <c r="W55" s="162" t="n">
        <v>16262731488</v>
      </c>
      <c r="X55" s="163" t="s">
        <v>456</v>
      </c>
      <c r="Y55" s="164" t="s">
        <v>457</v>
      </c>
      <c r="Z55" s="164" t="s">
        <v>458</v>
      </c>
      <c r="AA55" s="164" t="n">
        <v>88828</v>
      </c>
      <c r="AB55" s="164"/>
      <c r="AE55" s="156" t="s">
        <v>185</v>
      </c>
      <c r="AF55" s="161" t="n">
        <v>103</v>
      </c>
      <c r="AG55" s="162" t="n">
        <v>16262731348</v>
      </c>
      <c r="AH55" s="163" t="s">
        <v>402</v>
      </c>
      <c r="AI55" s="164" t="s">
        <v>403</v>
      </c>
      <c r="AJ55" s="164" t="s">
        <v>404</v>
      </c>
      <c r="AK55" s="164"/>
      <c r="AL55" s="163" t="s">
        <v>402</v>
      </c>
      <c r="AM55" s="161" t="n">
        <v>103</v>
      </c>
      <c r="AN55" s="156" t="s">
        <v>185</v>
      </c>
      <c r="AO55" s="164" t="n">
        <v>88808</v>
      </c>
      <c r="AP55" s="164"/>
    </row>
    <row r="56" customFormat="false" ht="14.25" hidden="false" customHeight="false" outlineLevel="0" collapsed="false">
      <c r="A56" s="156" t="s">
        <v>192</v>
      </c>
      <c r="B56" s="161" t="n">
        <v>21</v>
      </c>
      <c r="C56" s="162" t="n">
        <v>16262791333</v>
      </c>
      <c r="D56" s="163" t="s">
        <v>333</v>
      </c>
      <c r="E56" s="164" t="s">
        <v>334</v>
      </c>
      <c r="F56" s="164" t="s">
        <v>335</v>
      </c>
      <c r="G56" s="164" t="n">
        <v>89163</v>
      </c>
      <c r="H56" s="164"/>
      <c r="K56" s="156" t="s">
        <v>192</v>
      </c>
      <c r="L56" s="161" t="n">
        <v>53</v>
      </c>
      <c r="M56" s="162" t="n">
        <v>16262702371</v>
      </c>
      <c r="N56" s="163" t="s">
        <v>459</v>
      </c>
      <c r="O56" s="164" t="s">
        <v>460</v>
      </c>
      <c r="P56" s="164" t="s">
        <v>461</v>
      </c>
      <c r="Q56" s="164" t="n">
        <v>89149</v>
      </c>
      <c r="R56" s="164"/>
      <c r="U56" s="156" t="s">
        <v>192</v>
      </c>
      <c r="V56" s="161" t="n">
        <v>97</v>
      </c>
      <c r="W56" s="162" t="n">
        <v>16262731196</v>
      </c>
      <c r="X56" s="163" t="s">
        <v>462</v>
      </c>
      <c r="Y56" s="164" t="s">
        <v>463</v>
      </c>
      <c r="Z56" s="164" t="s">
        <v>464</v>
      </c>
      <c r="AA56" s="164" t="n">
        <v>88830</v>
      </c>
      <c r="AB56" s="164"/>
      <c r="AE56" s="156" t="s">
        <v>185</v>
      </c>
      <c r="AF56" s="161" t="n">
        <v>1</v>
      </c>
      <c r="AG56" s="162" t="n">
        <v>16262771451</v>
      </c>
      <c r="AH56" s="163" t="s">
        <v>186</v>
      </c>
      <c r="AI56" s="164" t="s">
        <v>187</v>
      </c>
      <c r="AJ56" s="164" t="s">
        <v>188</v>
      </c>
      <c r="AK56" s="164"/>
      <c r="AL56" s="163" t="s">
        <v>186</v>
      </c>
      <c r="AM56" s="161" t="n">
        <v>1</v>
      </c>
      <c r="AN56" s="156" t="s">
        <v>185</v>
      </c>
      <c r="AO56" s="164" t="n">
        <v>88809</v>
      </c>
      <c r="AP56" s="164"/>
    </row>
    <row r="57" customFormat="false" ht="14.25" hidden="false" customHeight="false" outlineLevel="0" collapsed="false">
      <c r="A57" s="156" t="s">
        <v>192</v>
      </c>
      <c r="B57" s="161" t="n">
        <v>23</v>
      </c>
      <c r="C57" s="162" t="n">
        <v>16262791379</v>
      </c>
      <c r="D57" s="163" t="s">
        <v>221</v>
      </c>
      <c r="E57" s="164" t="s">
        <v>222</v>
      </c>
      <c r="F57" s="164" t="s">
        <v>223</v>
      </c>
      <c r="G57" s="164" t="n">
        <v>88193</v>
      </c>
      <c r="H57" s="164"/>
      <c r="K57" s="156" t="s">
        <v>192</v>
      </c>
      <c r="L57" s="161" t="n">
        <v>54</v>
      </c>
      <c r="M57" s="162" t="n">
        <v>16262702413</v>
      </c>
      <c r="N57" s="163" t="s">
        <v>465</v>
      </c>
      <c r="O57" s="164" t="s">
        <v>466</v>
      </c>
      <c r="P57" s="164" t="s">
        <v>467</v>
      </c>
      <c r="Q57" s="164" t="n">
        <v>89407</v>
      </c>
      <c r="R57" s="164"/>
      <c r="U57" s="156" t="s">
        <v>192</v>
      </c>
      <c r="V57" s="161" t="n">
        <v>79</v>
      </c>
      <c r="W57" s="162" t="n">
        <v>16262711526</v>
      </c>
      <c r="X57" s="163" t="s">
        <v>468</v>
      </c>
      <c r="Y57" s="164" t="s">
        <v>469</v>
      </c>
      <c r="Z57" s="164" t="s">
        <v>470</v>
      </c>
      <c r="AA57" s="164" t="n">
        <v>88837</v>
      </c>
      <c r="AB57" s="164"/>
      <c r="AE57" s="156" t="s">
        <v>192</v>
      </c>
      <c r="AF57" s="161" t="n">
        <v>113</v>
      </c>
      <c r="AG57" s="162" t="n">
        <v>16262731488</v>
      </c>
      <c r="AH57" s="163" t="s">
        <v>456</v>
      </c>
      <c r="AI57" s="164" t="s">
        <v>457</v>
      </c>
      <c r="AJ57" s="164" t="s">
        <v>458</v>
      </c>
      <c r="AK57" s="164"/>
      <c r="AL57" s="163" t="s">
        <v>456</v>
      </c>
      <c r="AM57" s="161" t="n">
        <v>113</v>
      </c>
      <c r="AN57" s="156" t="s">
        <v>192</v>
      </c>
      <c r="AO57" s="164" t="n">
        <v>88828</v>
      </c>
      <c r="AP57" s="164"/>
    </row>
    <row r="58" customFormat="false" ht="14.25" hidden="false" customHeight="false" outlineLevel="0" collapsed="false">
      <c r="A58" s="156" t="s">
        <v>192</v>
      </c>
      <c r="B58" s="161" t="n">
        <v>24</v>
      </c>
      <c r="C58" s="162" t="n">
        <v>16262791413</v>
      </c>
      <c r="D58" s="163" t="s">
        <v>342</v>
      </c>
      <c r="E58" s="164" t="s">
        <v>343</v>
      </c>
      <c r="F58" s="164" t="s">
        <v>344</v>
      </c>
      <c r="G58" s="164" t="n">
        <v>89792</v>
      </c>
      <c r="H58" s="164"/>
      <c r="K58" s="156" t="s">
        <v>185</v>
      </c>
      <c r="L58" s="161" t="n">
        <v>55</v>
      </c>
      <c r="M58" s="166" t="n">
        <v>16262702463</v>
      </c>
      <c r="N58" s="167" t="s">
        <v>248</v>
      </c>
      <c r="O58" s="168" t="s">
        <v>249</v>
      </c>
      <c r="P58" s="168" t="s">
        <v>250</v>
      </c>
      <c r="Q58" s="168" t="n">
        <v>88205</v>
      </c>
      <c r="R58" s="168"/>
      <c r="U58" s="156" t="s">
        <v>192</v>
      </c>
      <c r="V58" s="161" t="n">
        <v>14</v>
      </c>
      <c r="W58" s="162" t="n">
        <v>16262791214</v>
      </c>
      <c r="X58" s="163" t="s">
        <v>297</v>
      </c>
      <c r="Y58" s="164" t="s">
        <v>298</v>
      </c>
      <c r="Z58" s="164" t="s">
        <v>299</v>
      </c>
      <c r="AA58" s="164" t="n">
        <v>88839</v>
      </c>
      <c r="AB58" s="164"/>
      <c r="AE58" s="156" t="s">
        <v>192</v>
      </c>
      <c r="AF58" s="161" t="n">
        <v>97</v>
      </c>
      <c r="AG58" s="162" t="n">
        <v>16262731196</v>
      </c>
      <c r="AH58" s="163" t="s">
        <v>462</v>
      </c>
      <c r="AI58" s="164" t="s">
        <v>463</v>
      </c>
      <c r="AJ58" s="164" t="s">
        <v>464</v>
      </c>
      <c r="AK58" s="164"/>
      <c r="AL58" s="163" t="s">
        <v>462</v>
      </c>
      <c r="AM58" s="161" t="n">
        <v>97</v>
      </c>
      <c r="AN58" s="156" t="s">
        <v>192</v>
      </c>
      <c r="AO58" s="164" t="n">
        <v>88830</v>
      </c>
      <c r="AP58" s="164"/>
    </row>
    <row r="59" customFormat="false" ht="14.25" hidden="false" customHeight="false" outlineLevel="0" collapsed="false">
      <c r="A59" s="156" t="s">
        <v>192</v>
      </c>
      <c r="B59" s="161" t="n">
        <v>27</v>
      </c>
      <c r="C59" s="162" t="n">
        <v>16262791478</v>
      </c>
      <c r="D59" s="163" t="s">
        <v>363</v>
      </c>
      <c r="E59" s="164" t="s">
        <v>364</v>
      </c>
      <c r="F59" s="164" t="s">
        <v>365</v>
      </c>
      <c r="G59" s="164" t="n">
        <v>89120</v>
      </c>
      <c r="H59" s="164"/>
      <c r="K59" s="156" t="s">
        <v>185</v>
      </c>
      <c r="L59" s="161" t="n">
        <v>56</v>
      </c>
      <c r="M59" s="162" t="n">
        <v>16262702484</v>
      </c>
      <c r="N59" s="163" t="s">
        <v>321</v>
      </c>
      <c r="O59" s="164" t="s">
        <v>322</v>
      </c>
      <c r="P59" s="164" t="s">
        <v>323</v>
      </c>
      <c r="Q59" s="164" t="n">
        <v>88729</v>
      </c>
      <c r="R59" s="164"/>
      <c r="U59" s="156" t="s">
        <v>185</v>
      </c>
      <c r="V59" s="161" t="n">
        <v>31</v>
      </c>
      <c r="W59" s="162" t="n">
        <v>16262791501</v>
      </c>
      <c r="X59" s="163" t="s">
        <v>276</v>
      </c>
      <c r="Y59" s="164" t="s">
        <v>277</v>
      </c>
      <c r="Z59" s="164" t="s">
        <v>278</v>
      </c>
      <c r="AA59" s="164" t="n">
        <v>88856</v>
      </c>
      <c r="AB59" s="164"/>
      <c r="AE59" s="156" t="s">
        <v>192</v>
      </c>
      <c r="AF59" s="161" t="n">
        <v>79</v>
      </c>
      <c r="AG59" s="162" t="n">
        <v>16262711526</v>
      </c>
      <c r="AH59" s="163" t="s">
        <v>468</v>
      </c>
      <c r="AI59" s="164" t="s">
        <v>469</v>
      </c>
      <c r="AJ59" s="164" t="s">
        <v>470</v>
      </c>
      <c r="AK59" s="164"/>
      <c r="AL59" s="163" t="s">
        <v>468</v>
      </c>
      <c r="AM59" s="161" t="n">
        <v>79</v>
      </c>
      <c r="AN59" s="156" t="s">
        <v>192</v>
      </c>
      <c r="AO59" s="164" t="n">
        <v>88837</v>
      </c>
      <c r="AP59" s="164"/>
    </row>
    <row r="60" customFormat="false" ht="14.25" hidden="false" customHeight="false" outlineLevel="0" collapsed="false">
      <c r="A60" s="156" t="s">
        <v>192</v>
      </c>
      <c r="B60" s="161" t="n">
        <v>28</v>
      </c>
      <c r="C60" s="162" t="n">
        <v>16262791489</v>
      </c>
      <c r="D60" s="163" t="s">
        <v>366</v>
      </c>
      <c r="E60" s="164" t="s">
        <v>367</v>
      </c>
      <c r="F60" s="164" t="s">
        <v>368</v>
      </c>
      <c r="G60" s="164" t="n">
        <v>88606</v>
      </c>
      <c r="H60" s="164"/>
      <c r="K60" s="156" t="s">
        <v>192</v>
      </c>
      <c r="L60" s="161" t="n">
        <v>57</v>
      </c>
      <c r="M60" s="162" t="n">
        <v>16262702485</v>
      </c>
      <c r="N60" s="163" t="s">
        <v>300</v>
      </c>
      <c r="O60" s="164" t="s">
        <v>301</v>
      </c>
      <c r="P60" s="164" t="s">
        <v>302</v>
      </c>
      <c r="Q60" s="164" t="n">
        <v>88272</v>
      </c>
      <c r="R60" s="164"/>
      <c r="U60" s="156" t="s">
        <v>185</v>
      </c>
      <c r="V60" s="161" t="n">
        <v>3</v>
      </c>
      <c r="W60" s="162" t="n">
        <v>16262781157</v>
      </c>
      <c r="X60" s="163" t="s">
        <v>197</v>
      </c>
      <c r="Y60" s="164" t="s">
        <v>198</v>
      </c>
      <c r="Z60" s="164" t="s">
        <v>199</v>
      </c>
      <c r="AA60" s="164" t="n">
        <v>88860</v>
      </c>
      <c r="AB60" s="164"/>
      <c r="AE60" s="156" t="s">
        <v>192</v>
      </c>
      <c r="AF60" s="161" t="n">
        <v>14</v>
      </c>
      <c r="AG60" s="162" t="n">
        <v>16262791214</v>
      </c>
      <c r="AH60" s="163" t="s">
        <v>297</v>
      </c>
      <c r="AI60" s="164" t="s">
        <v>298</v>
      </c>
      <c r="AJ60" s="164" t="s">
        <v>299</v>
      </c>
      <c r="AK60" s="164"/>
      <c r="AL60" s="163" t="s">
        <v>297</v>
      </c>
      <c r="AM60" s="161" t="n">
        <v>14</v>
      </c>
      <c r="AN60" s="156" t="s">
        <v>192</v>
      </c>
      <c r="AO60" s="164" t="n">
        <v>88839</v>
      </c>
      <c r="AP60" s="164"/>
    </row>
    <row r="61" customFormat="false" ht="14.25" hidden="false" customHeight="false" outlineLevel="0" collapsed="false">
      <c r="A61" s="156" t="s">
        <v>192</v>
      </c>
      <c r="B61" s="161" t="n">
        <v>29</v>
      </c>
      <c r="C61" s="162" t="n">
        <v>16262791495</v>
      </c>
      <c r="D61" s="163" t="s">
        <v>378</v>
      </c>
      <c r="E61" s="164" t="s">
        <v>379</v>
      </c>
      <c r="F61" s="164" t="s">
        <v>380</v>
      </c>
      <c r="G61" s="164" t="n">
        <v>89350</v>
      </c>
      <c r="H61" s="164"/>
      <c r="K61" s="156" t="s">
        <v>192</v>
      </c>
      <c r="L61" s="161" t="n">
        <v>58</v>
      </c>
      <c r="M61" s="162" t="n">
        <v>16262702490</v>
      </c>
      <c r="N61" s="163" t="s">
        <v>471</v>
      </c>
      <c r="O61" s="164" t="s">
        <v>472</v>
      </c>
      <c r="P61" s="164" t="s">
        <v>473</v>
      </c>
      <c r="Q61" s="164" t="n">
        <v>89440</v>
      </c>
      <c r="R61" s="164"/>
      <c r="U61" s="156" t="s">
        <v>192</v>
      </c>
      <c r="V61" s="161" t="n">
        <v>2</v>
      </c>
      <c r="W61" s="162" t="n">
        <v>16262771111</v>
      </c>
      <c r="X61" s="163" t="s">
        <v>200</v>
      </c>
      <c r="Y61" s="164" t="s">
        <v>201</v>
      </c>
      <c r="Z61" s="164" t="s">
        <v>202</v>
      </c>
      <c r="AA61" s="164" t="n">
        <v>88863</v>
      </c>
      <c r="AB61" s="164"/>
      <c r="AE61" s="156" t="s">
        <v>185</v>
      </c>
      <c r="AF61" s="161" t="n">
        <v>31</v>
      </c>
      <c r="AG61" s="162" t="n">
        <v>16262791501</v>
      </c>
      <c r="AH61" s="163" t="s">
        <v>276</v>
      </c>
      <c r="AI61" s="164" t="s">
        <v>277</v>
      </c>
      <c r="AJ61" s="164" t="s">
        <v>278</v>
      </c>
      <c r="AK61" s="164"/>
      <c r="AL61" s="163" t="s">
        <v>276</v>
      </c>
      <c r="AM61" s="161" t="n">
        <v>31</v>
      </c>
      <c r="AN61" s="156" t="s">
        <v>185</v>
      </c>
      <c r="AO61" s="164" t="n">
        <v>88856</v>
      </c>
      <c r="AP61" s="164"/>
    </row>
    <row r="62" customFormat="false" ht="14.25" hidden="false" customHeight="false" outlineLevel="0" collapsed="false">
      <c r="A62" s="156" t="s">
        <v>192</v>
      </c>
      <c r="B62" s="161" t="n">
        <v>30</v>
      </c>
      <c r="C62" s="162" t="n">
        <v>16262791497</v>
      </c>
      <c r="D62" s="163" t="s">
        <v>193</v>
      </c>
      <c r="E62" s="164" t="s">
        <v>194</v>
      </c>
      <c r="F62" s="164" t="s">
        <v>195</v>
      </c>
      <c r="G62" s="164" t="n">
        <v>89356</v>
      </c>
      <c r="H62" s="164" t="s">
        <v>196</v>
      </c>
      <c r="K62" s="156" t="s">
        <v>192</v>
      </c>
      <c r="L62" s="161" t="n">
        <v>59</v>
      </c>
      <c r="M62" s="162" t="n">
        <v>16262702502</v>
      </c>
      <c r="N62" s="163" t="s">
        <v>436</v>
      </c>
      <c r="O62" s="164" t="s">
        <v>437</v>
      </c>
      <c r="P62" s="164" t="s">
        <v>438</v>
      </c>
      <c r="Q62" s="164" t="n">
        <v>88763</v>
      </c>
      <c r="R62" s="164"/>
      <c r="U62" s="156" t="s">
        <v>192</v>
      </c>
      <c r="V62" s="161" t="n">
        <v>87</v>
      </c>
      <c r="W62" s="162" t="n">
        <v>16262721150</v>
      </c>
      <c r="X62" s="163" t="s">
        <v>474</v>
      </c>
      <c r="Y62" s="164" t="s">
        <v>475</v>
      </c>
      <c r="Z62" s="164" t="s">
        <v>476</v>
      </c>
      <c r="AA62" s="164" t="n">
        <v>88864</v>
      </c>
      <c r="AB62" s="164"/>
      <c r="AE62" s="156" t="s">
        <v>185</v>
      </c>
      <c r="AF62" s="161" t="n">
        <v>3</v>
      </c>
      <c r="AG62" s="162" t="n">
        <v>16262781157</v>
      </c>
      <c r="AH62" s="163" t="s">
        <v>197</v>
      </c>
      <c r="AI62" s="164" t="s">
        <v>198</v>
      </c>
      <c r="AJ62" s="164" t="s">
        <v>199</v>
      </c>
      <c r="AK62" s="164"/>
      <c r="AL62" s="163" t="s">
        <v>197</v>
      </c>
      <c r="AM62" s="161" t="n">
        <v>3</v>
      </c>
      <c r="AN62" s="156" t="s">
        <v>185</v>
      </c>
      <c r="AO62" s="164" t="n">
        <v>88860</v>
      </c>
      <c r="AP62" s="164"/>
    </row>
    <row r="63" customFormat="false" ht="14.25" hidden="false" customHeight="false" outlineLevel="0" collapsed="false">
      <c r="A63" s="156" t="s">
        <v>192</v>
      </c>
      <c r="B63" s="161" t="n">
        <v>33</v>
      </c>
      <c r="C63" s="162" t="n">
        <v>16262791567</v>
      </c>
      <c r="D63" s="163" t="s">
        <v>230</v>
      </c>
      <c r="E63" s="164" t="s">
        <v>231</v>
      </c>
      <c r="F63" s="164" t="s">
        <v>232</v>
      </c>
      <c r="G63" s="164" t="n">
        <v>88194</v>
      </c>
      <c r="H63" s="164"/>
      <c r="K63" s="156" t="s">
        <v>185</v>
      </c>
      <c r="L63" s="161" t="n">
        <v>60</v>
      </c>
      <c r="M63" s="162" t="n">
        <v>16262702516</v>
      </c>
      <c r="N63" s="163" t="s">
        <v>330</v>
      </c>
      <c r="O63" s="164" t="s">
        <v>331</v>
      </c>
      <c r="P63" s="164" t="s">
        <v>332</v>
      </c>
      <c r="Q63" s="164" t="n">
        <v>88682</v>
      </c>
      <c r="R63" s="164"/>
      <c r="U63" s="156" t="s">
        <v>192</v>
      </c>
      <c r="V63" s="161" t="n">
        <v>40</v>
      </c>
      <c r="W63" s="162" t="n">
        <v>16262791702</v>
      </c>
      <c r="X63" s="163" t="s">
        <v>421</v>
      </c>
      <c r="Y63" s="164" t="s">
        <v>422</v>
      </c>
      <c r="Z63" s="164" t="s">
        <v>423</v>
      </c>
      <c r="AA63" s="164" t="n">
        <v>88890</v>
      </c>
      <c r="AB63" s="164"/>
      <c r="AE63" s="156" t="s">
        <v>192</v>
      </c>
      <c r="AF63" s="161" t="n">
        <v>2</v>
      </c>
      <c r="AG63" s="162" t="n">
        <v>16262771111</v>
      </c>
      <c r="AH63" s="163" t="s">
        <v>200</v>
      </c>
      <c r="AI63" s="164" t="s">
        <v>201</v>
      </c>
      <c r="AJ63" s="164" t="s">
        <v>202</v>
      </c>
      <c r="AK63" s="164"/>
      <c r="AL63" s="163" t="s">
        <v>200</v>
      </c>
      <c r="AM63" s="161" t="n">
        <v>2</v>
      </c>
      <c r="AN63" s="156" t="s">
        <v>192</v>
      </c>
      <c r="AO63" s="164" t="n">
        <v>88863</v>
      </c>
      <c r="AP63" s="164"/>
    </row>
    <row r="64" customFormat="false" ht="14.25" hidden="false" customHeight="false" outlineLevel="0" collapsed="false">
      <c r="A64" s="169" t="s">
        <v>192</v>
      </c>
      <c r="B64" s="170" t="n">
        <v>34</v>
      </c>
      <c r="C64" s="171" t="n">
        <v>16262791178</v>
      </c>
      <c r="D64" s="172" t="n">
        <v>91178</v>
      </c>
      <c r="E64" s="173" t="n">
        <v>190178</v>
      </c>
      <c r="F64" s="173" t="n">
        <v>9178</v>
      </c>
      <c r="G64" s="179" t="n">
        <v>89154</v>
      </c>
      <c r="H64" s="179"/>
      <c r="K64" s="156" t="s">
        <v>192</v>
      </c>
      <c r="L64" s="161" t="n">
        <v>61</v>
      </c>
      <c r="M64" s="162" t="n">
        <v>16262702531</v>
      </c>
      <c r="N64" s="163" t="s">
        <v>477</v>
      </c>
      <c r="O64" s="164" t="s">
        <v>478</v>
      </c>
      <c r="P64" s="164" t="s">
        <v>479</v>
      </c>
      <c r="Q64" s="164" t="n">
        <v>89276</v>
      </c>
      <c r="R64" s="164"/>
      <c r="U64" s="156" t="s">
        <v>185</v>
      </c>
      <c r="V64" s="161" t="n">
        <v>109</v>
      </c>
      <c r="W64" s="162" t="n">
        <v>16262731373</v>
      </c>
      <c r="X64" s="163" t="s">
        <v>418</v>
      </c>
      <c r="Y64" s="164" t="s">
        <v>419</v>
      </c>
      <c r="Z64" s="164" t="s">
        <v>420</v>
      </c>
      <c r="AA64" s="164" t="n">
        <v>88910</v>
      </c>
      <c r="AB64" s="164"/>
      <c r="AE64" s="156" t="s">
        <v>192</v>
      </c>
      <c r="AF64" s="161" t="n">
        <v>87</v>
      </c>
      <c r="AG64" s="162" t="n">
        <v>16262721150</v>
      </c>
      <c r="AH64" s="163" t="s">
        <v>474</v>
      </c>
      <c r="AI64" s="164" t="s">
        <v>475</v>
      </c>
      <c r="AJ64" s="164" t="s">
        <v>476</v>
      </c>
      <c r="AK64" s="164"/>
      <c r="AL64" s="163" t="s">
        <v>474</v>
      </c>
      <c r="AM64" s="161" t="n">
        <v>87</v>
      </c>
      <c r="AN64" s="156" t="s">
        <v>192</v>
      </c>
      <c r="AO64" s="164" t="n">
        <v>88864</v>
      </c>
      <c r="AP64" s="164"/>
    </row>
    <row r="65" customFormat="false" ht="14.25" hidden="false" customHeight="false" outlineLevel="0" collapsed="false">
      <c r="A65" s="156" t="s">
        <v>192</v>
      </c>
      <c r="B65" s="161" t="n">
        <v>35</v>
      </c>
      <c r="C65" s="162" t="n">
        <v>16262791605</v>
      </c>
      <c r="D65" s="163" t="s">
        <v>405</v>
      </c>
      <c r="E65" s="164" t="s">
        <v>406</v>
      </c>
      <c r="F65" s="164" t="s">
        <v>407</v>
      </c>
      <c r="G65" s="164" t="n">
        <v>89772</v>
      </c>
      <c r="H65" s="164"/>
      <c r="K65" s="156" t="s">
        <v>192</v>
      </c>
      <c r="L65" s="161" t="n">
        <v>62</v>
      </c>
      <c r="M65" s="162" t="n">
        <v>16262711131</v>
      </c>
      <c r="N65" s="163" t="s">
        <v>384</v>
      </c>
      <c r="O65" s="164" t="s">
        <v>385</v>
      </c>
      <c r="P65" s="164" t="s">
        <v>386</v>
      </c>
      <c r="Q65" s="164" t="n">
        <v>88614</v>
      </c>
      <c r="R65" s="164"/>
      <c r="U65" s="156" t="s">
        <v>185</v>
      </c>
      <c r="V65" s="161" t="n">
        <v>73</v>
      </c>
      <c r="W65" s="162" t="n">
        <v>16262711376</v>
      </c>
      <c r="X65" s="163" t="s">
        <v>360</v>
      </c>
      <c r="Y65" s="164" t="s">
        <v>361</v>
      </c>
      <c r="Z65" s="164" t="s">
        <v>362</v>
      </c>
      <c r="AA65" s="164" t="n">
        <v>88916</v>
      </c>
      <c r="AB65" s="164"/>
      <c r="AE65" s="156" t="s">
        <v>192</v>
      </c>
      <c r="AF65" s="161" t="n">
        <v>40</v>
      </c>
      <c r="AG65" s="162" t="n">
        <v>16262791702</v>
      </c>
      <c r="AH65" s="163" t="s">
        <v>421</v>
      </c>
      <c r="AI65" s="164" t="s">
        <v>422</v>
      </c>
      <c r="AJ65" s="164" t="s">
        <v>423</v>
      </c>
      <c r="AK65" s="164"/>
      <c r="AL65" s="163" t="s">
        <v>421</v>
      </c>
      <c r="AM65" s="161" t="n">
        <v>40</v>
      </c>
      <c r="AN65" s="156" t="s">
        <v>192</v>
      </c>
      <c r="AO65" s="164" t="n">
        <v>88890</v>
      </c>
      <c r="AP65" s="164"/>
    </row>
    <row r="66" customFormat="false" ht="14.25" hidden="false" customHeight="false" outlineLevel="0" collapsed="false">
      <c r="A66" s="156" t="s">
        <v>192</v>
      </c>
      <c r="B66" s="161" t="n">
        <v>37</v>
      </c>
      <c r="C66" s="162" t="n">
        <v>16262791662</v>
      </c>
      <c r="D66" s="163" t="s">
        <v>357</v>
      </c>
      <c r="E66" s="164" t="s">
        <v>358</v>
      </c>
      <c r="F66" s="164" t="s">
        <v>359</v>
      </c>
      <c r="G66" s="164" t="n">
        <v>88599</v>
      </c>
      <c r="H66" s="164"/>
      <c r="K66" s="156" t="s">
        <v>185</v>
      </c>
      <c r="L66" s="161" t="n">
        <v>63</v>
      </c>
      <c r="M66" s="162" t="n">
        <v>16262711141</v>
      </c>
      <c r="N66" s="163" t="s">
        <v>189</v>
      </c>
      <c r="O66" s="164" t="s">
        <v>190</v>
      </c>
      <c r="P66" s="164" t="s">
        <v>191</v>
      </c>
      <c r="Q66" s="164" t="n">
        <v>88173</v>
      </c>
      <c r="R66" s="164"/>
      <c r="U66" s="156" t="s">
        <v>192</v>
      </c>
      <c r="V66" s="161" t="n">
        <v>110</v>
      </c>
      <c r="W66" s="162" t="n">
        <v>16262731383</v>
      </c>
      <c r="X66" s="163" t="s">
        <v>480</v>
      </c>
      <c r="Y66" s="164" t="s">
        <v>481</v>
      </c>
      <c r="Z66" s="164" t="s">
        <v>482</v>
      </c>
      <c r="AA66" s="164" t="n">
        <v>88944</v>
      </c>
      <c r="AB66" s="164"/>
      <c r="AE66" s="156" t="s">
        <v>185</v>
      </c>
      <c r="AF66" s="161" t="n">
        <v>109</v>
      </c>
      <c r="AG66" s="162" t="n">
        <v>16262731373</v>
      </c>
      <c r="AH66" s="163" t="s">
        <v>418</v>
      </c>
      <c r="AI66" s="164" t="s">
        <v>419</v>
      </c>
      <c r="AJ66" s="164" t="s">
        <v>420</v>
      </c>
      <c r="AK66" s="164"/>
      <c r="AL66" s="163" t="s">
        <v>418</v>
      </c>
      <c r="AM66" s="161" t="n">
        <v>109</v>
      </c>
      <c r="AN66" s="156" t="s">
        <v>185</v>
      </c>
      <c r="AO66" s="164" t="n">
        <v>88910</v>
      </c>
      <c r="AP66" s="164"/>
    </row>
    <row r="67" customFormat="false" ht="14.25" hidden="false" customHeight="false" outlineLevel="0" collapsed="false">
      <c r="A67" s="156" t="s">
        <v>192</v>
      </c>
      <c r="B67" s="161" t="n">
        <v>38</v>
      </c>
      <c r="C67" s="162" t="n">
        <v>16262791671</v>
      </c>
      <c r="D67" s="163" t="s">
        <v>372</v>
      </c>
      <c r="E67" s="164" t="s">
        <v>373</v>
      </c>
      <c r="F67" s="164" t="s">
        <v>374</v>
      </c>
      <c r="G67" s="164" t="n">
        <v>88608</v>
      </c>
      <c r="H67" s="164"/>
      <c r="K67" s="156" t="s">
        <v>185</v>
      </c>
      <c r="L67" s="161" t="n">
        <v>64</v>
      </c>
      <c r="M67" s="162" t="n">
        <v>16262711163</v>
      </c>
      <c r="N67" s="163" t="s">
        <v>336</v>
      </c>
      <c r="O67" s="164" t="s">
        <v>337</v>
      </c>
      <c r="P67" s="164" t="s">
        <v>338</v>
      </c>
      <c r="Q67" s="164" t="n">
        <v>88716</v>
      </c>
      <c r="R67" s="164"/>
      <c r="U67" s="156" t="s">
        <v>185</v>
      </c>
      <c r="V67" s="161" t="n">
        <v>32</v>
      </c>
      <c r="W67" s="162" t="n">
        <v>16262791553</v>
      </c>
      <c r="X67" s="163" t="s">
        <v>285</v>
      </c>
      <c r="Y67" s="164" t="s">
        <v>286</v>
      </c>
      <c r="Z67" s="164" t="s">
        <v>287</v>
      </c>
      <c r="AA67" s="164" t="n">
        <v>88955</v>
      </c>
      <c r="AB67" s="164"/>
      <c r="AE67" s="156" t="s">
        <v>185</v>
      </c>
      <c r="AF67" s="161" t="n">
        <v>73</v>
      </c>
      <c r="AG67" s="162" t="n">
        <v>16262711376</v>
      </c>
      <c r="AH67" s="163" t="s">
        <v>360</v>
      </c>
      <c r="AI67" s="164" t="s">
        <v>361</v>
      </c>
      <c r="AJ67" s="164" t="s">
        <v>362</v>
      </c>
      <c r="AK67" s="164"/>
      <c r="AL67" s="163" t="s">
        <v>360</v>
      </c>
      <c r="AM67" s="161" t="n">
        <v>73</v>
      </c>
      <c r="AN67" s="156" t="s">
        <v>185</v>
      </c>
      <c r="AO67" s="164" t="n">
        <v>88916</v>
      </c>
      <c r="AP67" s="164"/>
    </row>
    <row r="68" customFormat="false" ht="14.25" hidden="false" customHeight="false" outlineLevel="0" collapsed="false">
      <c r="A68" s="156" t="s">
        <v>192</v>
      </c>
      <c r="B68" s="161" t="n">
        <v>39</v>
      </c>
      <c r="C68" s="162" t="n">
        <v>16262791685</v>
      </c>
      <c r="D68" s="163" t="s">
        <v>257</v>
      </c>
      <c r="E68" s="164" t="s">
        <v>258</v>
      </c>
      <c r="F68" s="164" t="s">
        <v>259</v>
      </c>
      <c r="G68" s="164" t="n">
        <v>88213</v>
      </c>
      <c r="H68" s="164"/>
      <c r="K68" s="156" t="s">
        <v>192</v>
      </c>
      <c r="L68" s="161" t="n">
        <v>65</v>
      </c>
      <c r="M68" s="162" t="n">
        <v>16262711172</v>
      </c>
      <c r="N68" s="163" t="s">
        <v>408</v>
      </c>
      <c r="O68" s="164" t="s">
        <v>409</v>
      </c>
      <c r="P68" s="164" t="s">
        <v>410</v>
      </c>
      <c r="Q68" s="164" t="n">
        <v>88662</v>
      </c>
      <c r="R68" s="164" t="s">
        <v>411</v>
      </c>
      <c r="U68" s="156" t="s">
        <v>185</v>
      </c>
      <c r="V68" s="161" t="n">
        <v>19</v>
      </c>
      <c r="W68" s="162" t="n">
        <v>16262791323</v>
      </c>
      <c r="X68" s="163" t="s">
        <v>242</v>
      </c>
      <c r="Y68" s="164" t="s">
        <v>243</v>
      </c>
      <c r="Z68" s="164" t="s">
        <v>244</v>
      </c>
      <c r="AA68" s="164" t="n">
        <v>88967</v>
      </c>
      <c r="AB68" s="164"/>
      <c r="AE68" s="156" t="s">
        <v>192</v>
      </c>
      <c r="AF68" s="161" t="n">
        <v>110</v>
      </c>
      <c r="AG68" s="162" t="n">
        <v>16262731383</v>
      </c>
      <c r="AH68" s="163" t="s">
        <v>480</v>
      </c>
      <c r="AI68" s="164" t="s">
        <v>481</v>
      </c>
      <c r="AJ68" s="164" t="s">
        <v>482</v>
      </c>
      <c r="AK68" s="164"/>
      <c r="AL68" s="163" t="s">
        <v>480</v>
      </c>
      <c r="AM68" s="161" t="n">
        <v>110</v>
      </c>
      <c r="AN68" s="156" t="s">
        <v>192</v>
      </c>
      <c r="AO68" s="164" t="n">
        <v>88944</v>
      </c>
      <c r="AP68" s="164"/>
    </row>
    <row r="69" customFormat="false" ht="14.25" hidden="false" customHeight="false" outlineLevel="0" collapsed="false">
      <c r="A69" s="156" t="s">
        <v>192</v>
      </c>
      <c r="B69" s="161" t="n">
        <v>40</v>
      </c>
      <c r="C69" s="162" t="n">
        <v>16262791702</v>
      </c>
      <c r="D69" s="163" t="s">
        <v>421</v>
      </c>
      <c r="E69" s="164" t="s">
        <v>422</v>
      </c>
      <c r="F69" s="164" t="s">
        <v>423</v>
      </c>
      <c r="G69" s="164" t="n">
        <v>88890</v>
      </c>
      <c r="H69" s="164"/>
      <c r="K69" s="156" t="s">
        <v>192</v>
      </c>
      <c r="L69" s="161" t="n">
        <v>66</v>
      </c>
      <c r="M69" s="162" t="n">
        <v>16262711207</v>
      </c>
      <c r="N69" s="163" t="s">
        <v>439</v>
      </c>
      <c r="O69" s="164" t="s">
        <v>440</v>
      </c>
      <c r="P69" s="164" t="s">
        <v>441</v>
      </c>
      <c r="Q69" s="164" t="n">
        <v>88777</v>
      </c>
      <c r="R69" s="164"/>
      <c r="U69" s="156" t="s">
        <v>192</v>
      </c>
      <c r="V69" s="161" t="n">
        <v>16</v>
      </c>
      <c r="W69" s="162" t="n">
        <v>16262791253</v>
      </c>
      <c r="X69" s="163" t="s">
        <v>303</v>
      </c>
      <c r="Y69" s="164" t="s">
        <v>304</v>
      </c>
      <c r="Z69" s="164" t="s">
        <v>305</v>
      </c>
      <c r="AA69" s="164" t="n">
        <v>88980</v>
      </c>
      <c r="AB69" s="164"/>
      <c r="AE69" s="156" t="s">
        <v>185</v>
      </c>
      <c r="AF69" s="161" t="n">
        <v>32</v>
      </c>
      <c r="AG69" s="162" t="n">
        <v>16262791553</v>
      </c>
      <c r="AH69" s="163" t="s">
        <v>285</v>
      </c>
      <c r="AI69" s="164" t="s">
        <v>286</v>
      </c>
      <c r="AJ69" s="164" t="s">
        <v>287</v>
      </c>
      <c r="AK69" s="164"/>
      <c r="AL69" s="163" t="s">
        <v>285</v>
      </c>
      <c r="AM69" s="161" t="n">
        <v>32</v>
      </c>
      <c r="AN69" s="156" t="s">
        <v>185</v>
      </c>
      <c r="AO69" s="164" t="n">
        <v>88955</v>
      </c>
      <c r="AP69" s="164"/>
    </row>
    <row r="70" customFormat="false" ht="14.25" hidden="false" customHeight="false" outlineLevel="0" collapsed="false">
      <c r="A70" s="156" t="s">
        <v>192</v>
      </c>
      <c r="B70" s="161" t="n">
        <v>41</v>
      </c>
      <c r="C70" s="162" t="n">
        <v>16262791743</v>
      </c>
      <c r="D70" s="163" t="s">
        <v>399</v>
      </c>
      <c r="E70" s="164" t="s">
        <v>400</v>
      </c>
      <c r="F70" s="164" t="s">
        <v>401</v>
      </c>
      <c r="G70" s="164" t="n">
        <v>88655</v>
      </c>
      <c r="H70" s="164"/>
      <c r="K70" s="156" t="s">
        <v>192</v>
      </c>
      <c r="L70" s="161" t="n">
        <v>67</v>
      </c>
      <c r="M70" s="162" t="n">
        <v>16262711227</v>
      </c>
      <c r="N70" s="163" t="s">
        <v>483</v>
      </c>
      <c r="O70" s="164" t="s">
        <v>484</v>
      </c>
      <c r="P70" s="164" t="s">
        <v>485</v>
      </c>
      <c r="Q70" s="164" t="n">
        <v>88995</v>
      </c>
      <c r="R70" s="164"/>
      <c r="U70" s="156" t="s">
        <v>185</v>
      </c>
      <c r="V70" s="161" t="n">
        <v>105</v>
      </c>
      <c r="W70" s="162" t="n">
        <v>16262731357</v>
      </c>
      <c r="X70" s="163" t="s">
        <v>412</v>
      </c>
      <c r="Y70" s="164" t="s">
        <v>413</v>
      </c>
      <c r="Z70" s="164" t="s">
        <v>414</v>
      </c>
      <c r="AA70" s="164" t="n">
        <v>88991</v>
      </c>
      <c r="AB70" s="164"/>
      <c r="AE70" s="156" t="s">
        <v>185</v>
      </c>
      <c r="AF70" s="161" t="n">
        <v>19</v>
      </c>
      <c r="AG70" s="162" t="n">
        <v>16262791323</v>
      </c>
      <c r="AH70" s="163" t="s">
        <v>242</v>
      </c>
      <c r="AI70" s="164" t="s">
        <v>243</v>
      </c>
      <c r="AJ70" s="164" t="s">
        <v>244</v>
      </c>
      <c r="AK70" s="164"/>
      <c r="AL70" s="163" t="s">
        <v>242</v>
      </c>
      <c r="AM70" s="161" t="n">
        <v>19</v>
      </c>
      <c r="AN70" s="156" t="s">
        <v>185</v>
      </c>
      <c r="AO70" s="164" t="n">
        <v>88967</v>
      </c>
      <c r="AP70" s="164"/>
    </row>
    <row r="71" customFormat="false" ht="14.25" hidden="false" customHeight="false" outlineLevel="0" collapsed="false">
      <c r="A71" s="156" t="s">
        <v>192</v>
      </c>
      <c r="B71" s="161" t="n">
        <v>43</v>
      </c>
      <c r="C71" s="162" t="n">
        <v>16262702128</v>
      </c>
      <c r="D71" s="163" t="s">
        <v>312</v>
      </c>
      <c r="E71" s="164" t="s">
        <v>313</v>
      </c>
      <c r="F71" s="164" t="s">
        <v>314</v>
      </c>
      <c r="G71" s="164" t="n">
        <v>88299</v>
      </c>
      <c r="H71" s="164"/>
      <c r="K71" s="156" t="s">
        <v>185</v>
      </c>
      <c r="L71" s="161" t="n">
        <v>68</v>
      </c>
      <c r="M71" s="162" t="n">
        <v>16262711232</v>
      </c>
      <c r="N71" s="163" t="s">
        <v>291</v>
      </c>
      <c r="O71" s="164" t="s">
        <v>292</v>
      </c>
      <c r="P71" s="164" t="s">
        <v>293</v>
      </c>
      <c r="Q71" s="164" t="n">
        <v>88256</v>
      </c>
      <c r="R71" s="164"/>
      <c r="U71" s="156" t="s">
        <v>192</v>
      </c>
      <c r="V71" s="161" t="n">
        <v>67</v>
      </c>
      <c r="W71" s="162" t="n">
        <v>16262711227</v>
      </c>
      <c r="X71" s="163" t="s">
        <v>483</v>
      </c>
      <c r="Y71" s="164" t="s">
        <v>484</v>
      </c>
      <c r="Z71" s="164" t="s">
        <v>485</v>
      </c>
      <c r="AA71" s="164" t="n">
        <v>88995</v>
      </c>
      <c r="AB71" s="164"/>
      <c r="AE71" s="156" t="s">
        <v>192</v>
      </c>
      <c r="AF71" s="161" t="n">
        <v>16</v>
      </c>
      <c r="AG71" s="162" t="n">
        <v>16262791253</v>
      </c>
      <c r="AH71" s="163" t="s">
        <v>303</v>
      </c>
      <c r="AI71" s="164" t="s">
        <v>304</v>
      </c>
      <c r="AJ71" s="164" t="s">
        <v>305</v>
      </c>
      <c r="AK71" s="164"/>
      <c r="AL71" s="163" t="s">
        <v>303</v>
      </c>
      <c r="AM71" s="161" t="n">
        <v>16</v>
      </c>
      <c r="AN71" s="156" t="s">
        <v>192</v>
      </c>
      <c r="AO71" s="164" t="n">
        <v>88980</v>
      </c>
      <c r="AP71" s="164"/>
    </row>
    <row r="72" customFormat="false" ht="14.25" hidden="false" customHeight="false" outlineLevel="0" collapsed="false">
      <c r="A72" s="156" t="s">
        <v>192</v>
      </c>
      <c r="B72" s="161" t="n">
        <v>44</v>
      </c>
      <c r="C72" s="162" t="n">
        <v>16262702154</v>
      </c>
      <c r="D72" s="163" t="s">
        <v>381</v>
      </c>
      <c r="E72" s="164" t="s">
        <v>382</v>
      </c>
      <c r="F72" s="164" t="s">
        <v>383</v>
      </c>
      <c r="G72" s="164" t="n">
        <v>88609</v>
      </c>
      <c r="H72" s="164"/>
      <c r="K72" s="156" t="s">
        <v>192</v>
      </c>
      <c r="L72" s="161" t="n">
        <v>69</v>
      </c>
      <c r="M72" s="162" t="n">
        <v>16262711260</v>
      </c>
      <c r="N72" s="163" t="s">
        <v>486</v>
      </c>
      <c r="O72" s="164" t="s">
        <v>487</v>
      </c>
      <c r="P72" s="164" t="s">
        <v>488</v>
      </c>
      <c r="Q72" s="164" t="n">
        <v>89226</v>
      </c>
      <c r="R72" s="164"/>
      <c r="U72" s="156" t="s">
        <v>192</v>
      </c>
      <c r="V72" s="161" t="n">
        <v>82</v>
      </c>
      <c r="W72" s="162" t="n">
        <v>16262711633</v>
      </c>
      <c r="X72" s="163" t="s">
        <v>489</v>
      </c>
      <c r="Y72" s="164" t="s">
        <v>490</v>
      </c>
      <c r="Z72" s="164" t="s">
        <v>491</v>
      </c>
      <c r="AA72" s="164" t="n">
        <v>88999</v>
      </c>
      <c r="AB72" s="164"/>
      <c r="AE72" s="156" t="s">
        <v>185</v>
      </c>
      <c r="AF72" s="161" t="n">
        <v>105</v>
      </c>
      <c r="AG72" s="162" t="n">
        <v>16262731357</v>
      </c>
      <c r="AH72" s="163" t="s">
        <v>412</v>
      </c>
      <c r="AI72" s="164" t="s">
        <v>413</v>
      </c>
      <c r="AJ72" s="164" t="s">
        <v>414</v>
      </c>
      <c r="AK72" s="164"/>
      <c r="AL72" s="163" t="s">
        <v>412</v>
      </c>
      <c r="AM72" s="161" t="n">
        <v>105</v>
      </c>
      <c r="AN72" s="156" t="s">
        <v>185</v>
      </c>
      <c r="AO72" s="164" t="n">
        <v>88991</v>
      </c>
      <c r="AP72" s="164"/>
    </row>
    <row r="73" customFormat="false" ht="14.25" hidden="false" customHeight="false" outlineLevel="0" collapsed="false">
      <c r="A73" s="156" t="s">
        <v>192</v>
      </c>
      <c r="B73" s="161" t="n">
        <v>46</v>
      </c>
      <c r="C73" s="162" t="n">
        <v>16262702162</v>
      </c>
      <c r="D73" s="163" t="s">
        <v>433</v>
      </c>
      <c r="E73" s="164" t="s">
        <v>434</v>
      </c>
      <c r="F73" s="164" t="s">
        <v>435</v>
      </c>
      <c r="G73" s="164" t="n">
        <v>89098</v>
      </c>
      <c r="H73" s="164"/>
      <c r="K73" s="156" t="s">
        <v>185</v>
      </c>
      <c r="L73" s="161" t="n">
        <v>70</v>
      </c>
      <c r="M73" s="162" t="n">
        <v>16262711281</v>
      </c>
      <c r="N73" s="163" t="s">
        <v>348</v>
      </c>
      <c r="O73" s="164" t="s">
        <v>349</v>
      </c>
      <c r="P73" s="164" t="s">
        <v>350</v>
      </c>
      <c r="Q73" s="164" t="n">
        <v>88677</v>
      </c>
      <c r="R73" s="164"/>
      <c r="U73" s="156" t="s">
        <v>192</v>
      </c>
      <c r="V73" s="161" t="n">
        <v>76</v>
      </c>
      <c r="W73" s="162" t="n">
        <v>16262711421</v>
      </c>
      <c r="X73" s="163" t="s">
        <v>492</v>
      </c>
      <c r="Y73" s="164" t="s">
        <v>493</v>
      </c>
      <c r="Z73" s="164" t="s">
        <v>494</v>
      </c>
      <c r="AA73" s="164" t="n">
        <v>89000</v>
      </c>
      <c r="AB73" s="164"/>
      <c r="AE73" s="156" t="s">
        <v>192</v>
      </c>
      <c r="AF73" s="161" t="n">
        <v>67</v>
      </c>
      <c r="AG73" s="162" t="n">
        <v>16262711227</v>
      </c>
      <c r="AH73" s="163" t="s">
        <v>483</v>
      </c>
      <c r="AI73" s="164" t="s">
        <v>484</v>
      </c>
      <c r="AJ73" s="164" t="s">
        <v>485</v>
      </c>
      <c r="AK73" s="164"/>
      <c r="AL73" s="163" t="s">
        <v>483</v>
      </c>
      <c r="AM73" s="161" t="n">
        <v>67</v>
      </c>
      <c r="AN73" s="156" t="s">
        <v>192</v>
      </c>
      <c r="AO73" s="164" t="n">
        <v>88995</v>
      </c>
      <c r="AP73" s="164"/>
    </row>
    <row r="74" customFormat="false" ht="14.25" hidden="false" customHeight="false" outlineLevel="0" collapsed="false">
      <c r="A74" s="156" t="s">
        <v>192</v>
      </c>
      <c r="B74" s="161" t="n">
        <v>48</v>
      </c>
      <c r="C74" s="162" t="n">
        <v>16262702206</v>
      </c>
      <c r="D74" s="163" t="s">
        <v>427</v>
      </c>
      <c r="E74" s="164" t="s">
        <v>428</v>
      </c>
      <c r="F74" s="164" t="s">
        <v>429</v>
      </c>
      <c r="G74" s="164" t="n">
        <v>88712</v>
      </c>
      <c r="H74" s="164"/>
      <c r="K74" s="156" t="s">
        <v>192</v>
      </c>
      <c r="L74" s="161" t="n">
        <v>71</v>
      </c>
      <c r="M74" s="162" t="n">
        <v>16262711282</v>
      </c>
      <c r="N74" s="163" t="s">
        <v>351</v>
      </c>
      <c r="O74" s="164" t="s">
        <v>352</v>
      </c>
      <c r="P74" s="164" t="s">
        <v>353</v>
      </c>
      <c r="Q74" s="164" t="n">
        <v>88586</v>
      </c>
      <c r="R74" s="164"/>
      <c r="U74" s="156" t="s">
        <v>185</v>
      </c>
      <c r="V74" s="161" t="n">
        <v>22</v>
      </c>
      <c r="W74" s="162" t="n">
        <v>16262791336</v>
      </c>
      <c r="X74" s="163" t="s">
        <v>251</v>
      </c>
      <c r="Y74" s="164" t="s">
        <v>252</v>
      </c>
      <c r="Z74" s="164" t="s">
        <v>253</v>
      </c>
      <c r="AA74" s="164" t="n">
        <v>89003</v>
      </c>
      <c r="AB74" s="164"/>
      <c r="AE74" s="156" t="s">
        <v>192</v>
      </c>
      <c r="AF74" s="161" t="n">
        <v>82</v>
      </c>
      <c r="AG74" s="162" t="n">
        <v>16262711633</v>
      </c>
      <c r="AH74" s="163" t="s">
        <v>489</v>
      </c>
      <c r="AI74" s="164" t="s">
        <v>490</v>
      </c>
      <c r="AJ74" s="164" t="s">
        <v>491</v>
      </c>
      <c r="AK74" s="164"/>
      <c r="AL74" s="163" t="s">
        <v>489</v>
      </c>
      <c r="AM74" s="161" t="n">
        <v>82</v>
      </c>
      <c r="AN74" s="156" t="s">
        <v>192</v>
      </c>
      <c r="AO74" s="164" t="n">
        <v>88999</v>
      </c>
      <c r="AP74" s="164"/>
    </row>
    <row r="75" customFormat="false" ht="14.25" hidden="false" customHeight="false" outlineLevel="0" collapsed="false">
      <c r="A75" s="156" t="s">
        <v>192</v>
      </c>
      <c r="B75" s="161" t="n">
        <v>50</v>
      </c>
      <c r="C75" s="162" t="n">
        <v>16262702242</v>
      </c>
      <c r="D75" s="163" t="s">
        <v>445</v>
      </c>
      <c r="E75" s="164" t="s">
        <v>446</v>
      </c>
      <c r="F75" s="164" t="s">
        <v>447</v>
      </c>
      <c r="G75" s="164" t="n">
        <v>89333</v>
      </c>
      <c r="H75" s="164"/>
      <c r="K75" s="156" t="s">
        <v>185</v>
      </c>
      <c r="L75" s="161" t="n">
        <v>72</v>
      </c>
      <c r="M75" s="162" t="n">
        <v>16262711299</v>
      </c>
      <c r="N75" s="163" t="s">
        <v>354</v>
      </c>
      <c r="O75" s="164" t="s">
        <v>355</v>
      </c>
      <c r="P75" s="164" t="s">
        <v>356</v>
      </c>
      <c r="Q75" s="164" t="n">
        <v>89392</v>
      </c>
      <c r="R75" s="164"/>
      <c r="U75" s="156" t="s">
        <v>192</v>
      </c>
      <c r="V75" s="161" t="n">
        <v>101</v>
      </c>
      <c r="W75" s="162" t="n">
        <v>16262731299</v>
      </c>
      <c r="X75" s="163" t="s">
        <v>495</v>
      </c>
      <c r="Y75" s="164" t="s">
        <v>496</v>
      </c>
      <c r="Z75" s="164" t="s">
        <v>497</v>
      </c>
      <c r="AA75" s="164" t="n">
        <v>89007</v>
      </c>
      <c r="AB75" s="164"/>
      <c r="AE75" s="156" t="s">
        <v>192</v>
      </c>
      <c r="AF75" s="161" t="n">
        <v>76</v>
      </c>
      <c r="AG75" s="162" t="n">
        <v>16262711421</v>
      </c>
      <c r="AH75" s="163" t="s">
        <v>492</v>
      </c>
      <c r="AI75" s="164" t="s">
        <v>493</v>
      </c>
      <c r="AJ75" s="164" t="s">
        <v>494</v>
      </c>
      <c r="AK75" s="164"/>
      <c r="AL75" s="163" t="s">
        <v>492</v>
      </c>
      <c r="AM75" s="161" t="n">
        <v>76</v>
      </c>
      <c r="AN75" s="156" t="s">
        <v>192</v>
      </c>
      <c r="AO75" s="164" t="n">
        <v>89000</v>
      </c>
      <c r="AP75" s="164"/>
    </row>
    <row r="76" customFormat="false" ht="14.25" hidden="false" customHeight="false" outlineLevel="0" collapsed="false">
      <c r="A76" s="156" t="s">
        <v>192</v>
      </c>
      <c r="B76" s="161" t="n">
        <v>51</v>
      </c>
      <c r="C76" s="162" t="n">
        <v>16262702264</v>
      </c>
      <c r="D76" s="163" t="s">
        <v>448</v>
      </c>
      <c r="E76" s="164" t="s">
        <v>449</v>
      </c>
      <c r="F76" s="164" t="s">
        <v>450</v>
      </c>
      <c r="G76" s="164" t="n">
        <v>89441</v>
      </c>
      <c r="H76" s="164" t="s">
        <v>451</v>
      </c>
      <c r="K76" s="156" t="s">
        <v>185</v>
      </c>
      <c r="L76" s="161" t="n">
        <v>73</v>
      </c>
      <c r="M76" s="162" t="n">
        <v>16262711376</v>
      </c>
      <c r="N76" s="163" t="s">
        <v>360</v>
      </c>
      <c r="O76" s="164" t="s">
        <v>361</v>
      </c>
      <c r="P76" s="164" t="s">
        <v>362</v>
      </c>
      <c r="Q76" s="164" t="n">
        <v>88916</v>
      </c>
      <c r="R76" s="164"/>
      <c r="U76" s="156" t="s">
        <v>185</v>
      </c>
      <c r="V76" s="161" t="n">
        <v>26</v>
      </c>
      <c r="W76" s="162" t="n">
        <v>16262791446</v>
      </c>
      <c r="X76" s="163" t="s">
        <v>269</v>
      </c>
      <c r="Y76" s="164" t="s">
        <v>270</v>
      </c>
      <c r="Z76" s="164" t="s">
        <v>271</v>
      </c>
      <c r="AA76" s="164" t="n">
        <v>89051</v>
      </c>
      <c r="AB76" s="164"/>
      <c r="AE76" s="156" t="s">
        <v>185</v>
      </c>
      <c r="AF76" s="161" t="n">
        <v>22</v>
      </c>
      <c r="AG76" s="162" t="n">
        <v>16262791336</v>
      </c>
      <c r="AH76" s="163" t="s">
        <v>251</v>
      </c>
      <c r="AI76" s="164" t="s">
        <v>252</v>
      </c>
      <c r="AJ76" s="164" t="s">
        <v>253</v>
      </c>
      <c r="AK76" s="164"/>
      <c r="AL76" s="163" t="s">
        <v>251</v>
      </c>
      <c r="AM76" s="161" t="n">
        <v>22</v>
      </c>
      <c r="AN76" s="156" t="s">
        <v>185</v>
      </c>
      <c r="AO76" s="164" t="n">
        <v>89003</v>
      </c>
      <c r="AP76" s="164"/>
    </row>
    <row r="77" customFormat="false" ht="14.25" hidden="false" customHeight="false" outlineLevel="0" collapsed="false">
      <c r="A77" s="156" t="s">
        <v>192</v>
      </c>
      <c r="B77" s="161" t="n">
        <v>52</v>
      </c>
      <c r="C77" s="162" t="n">
        <v>16262702313</v>
      </c>
      <c r="D77" s="163" t="s">
        <v>452</v>
      </c>
      <c r="E77" s="164" t="s">
        <v>453</v>
      </c>
      <c r="F77" s="164" t="s">
        <v>454</v>
      </c>
      <c r="G77" s="164" t="n">
        <v>89784</v>
      </c>
      <c r="H77" s="164" t="s">
        <v>455</v>
      </c>
      <c r="K77" s="156" t="s">
        <v>185</v>
      </c>
      <c r="L77" s="161" t="n">
        <v>74</v>
      </c>
      <c r="M77" s="162" t="n">
        <v>16262711401</v>
      </c>
      <c r="N77" s="163" t="s">
        <v>369</v>
      </c>
      <c r="O77" s="164" t="s">
        <v>370</v>
      </c>
      <c r="P77" s="164" t="s">
        <v>371</v>
      </c>
      <c r="Q77" s="164" t="n">
        <v>88798</v>
      </c>
      <c r="R77" s="164"/>
      <c r="U77" s="156" t="s">
        <v>192</v>
      </c>
      <c r="V77" s="161" t="n">
        <v>46</v>
      </c>
      <c r="W77" s="162" t="n">
        <v>16262702162</v>
      </c>
      <c r="X77" s="163" t="s">
        <v>433</v>
      </c>
      <c r="Y77" s="164" t="s">
        <v>434</v>
      </c>
      <c r="Z77" s="164" t="s">
        <v>435</v>
      </c>
      <c r="AA77" s="164" t="n">
        <v>89098</v>
      </c>
      <c r="AB77" s="164"/>
      <c r="AE77" s="156" t="s">
        <v>192</v>
      </c>
      <c r="AF77" s="161" t="n">
        <v>101</v>
      </c>
      <c r="AG77" s="162" t="n">
        <v>16262731299</v>
      </c>
      <c r="AH77" s="163" t="s">
        <v>495</v>
      </c>
      <c r="AI77" s="164" t="s">
        <v>496</v>
      </c>
      <c r="AJ77" s="164" t="s">
        <v>497</v>
      </c>
      <c r="AK77" s="164"/>
      <c r="AL77" s="163" t="s">
        <v>495</v>
      </c>
      <c r="AM77" s="161" t="n">
        <v>101</v>
      </c>
      <c r="AN77" s="156" t="s">
        <v>192</v>
      </c>
      <c r="AO77" s="164" t="n">
        <v>89007</v>
      </c>
      <c r="AP77" s="164"/>
    </row>
    <row r="78" customFormat="false" ht="14.25" hidden="false" customHeight="false" outlineLevel="0" collapsed="false">
      <c r="A78" s="156" t="s">
        <v>192</v>
      </c>
      <c r="B78" s="161" t="n">
        <v>53</v>
      </c>
      <c r="C78" s="162" t="n">
        <v>16262702371</v>
      </c>
      <c r="D78" s="163" t="s">
        <v>459</v>
      </c>
      <c r="E78" s="164" t="s">
        <v>460</v>
      </c>
      <c r="F78" s="164" t="s">
        <v>461</v>
      </c>
      <c r="G78" s="164" t="n">
        <v>89149</v>
      </c>
      <c r="H78" s="164"/>
      <c r="K78" s="156" t="s">
        <v>192</v>
      </c>
      <c r="L78" s="161" t="n">
        <v>75</v>
      </c>
      <c r="M78" s="162" t="n">
        <v>16262711420</v>
      </c>
      <c r="N78" s="163" t="s">
        <v>415</v>
      </c>
      <c r="O78" s="164" t="s">
        <v>416</v>
      </c>
      <c r="P78" s="164" t="s">
        <v>417</v>
      </c>
      <c r="Q78" s="164" t="n">
        <v>88664</v>
      </c>
      <c r="R78" s="164"/>
      <c r="U78" s="156" t="s">
        <v>192</v>
      </c>
      <c r="V78" s="161" t="n">
        <v>7</v>
      </c>
      <c r="W78" s="162" t="n">
        <v>16262781300</v>
      </c>
      <c r="X78" s="163" t="s">
        <v>236</v>
      </c>
      <c r="Y78" s="164" t="s">
        <v>237</v>
      </c>
      <c r="Z78" s="164" t="s">
        <v>238</v>
      </c>
      <c r="AA78" s="164" t="n">
        <v>89101</v>
      </c>
      <c r="AB78" s="164"/>
      <c r="AE78" s="156" t="s">
        <v>185</v>
      </c>
      <c r="AF78" s="161" t="n">
        <v>26</v>
      </c>
      <c r="AG78" s="162" t="n">
        <v>16262791446</v>
      </c>
      <c r="AH78" s="163" t="s">
        <v>269</v>
      </c>
      <c r="AI78" s="164" t="s">
        <v>270</v>
      </c>
      <c r="AJ78" s="164" t="s">
        <v>271</v>
      </c>
      <c r="AK78" s="164"/>
      <c r="AL78" s="163" t="s">
        <v>269</v>
      </c>
      <c r="AM78" s="161" t="n">
        <v>26</v>
      </c>
      <c r="AN78" s="156" t="s">
        <v>185</v>
      </c>
      <c r="AO78" s="164" t="n">
        <v>89051</v>
      </c>
      <c r="AP78" s="164"/>
    </row>
    <row r="79" customFormat="false" ht="14.25" hidden="false" customHeight="false" outlineLevel="0" collapsed="false">
      <c r="A79" s="156" t="s">
        <v>192</v>
      </c>
      <c r="B79" s="161" t="n">
        <v>54</v>
      </c>
      <c r="C79" s="162" t="n">
        <v>16262702413</v>
      </c>
      <c r="D79" s="163" t="s">
        <v>465</v>
      </c>
      <c r="E79" s="164" t="s">
        <v>466</v>
      </c>
      <c r="F79" s="164" t="s">
        <v>467</v>
      </c>
      <c r="G79" s="164" t="n">
        <v>89407</v>
      </c>
      <c r="H79" s="164"/>
      <c r="K79" s="156" t="s">
        <v>192</v>
      </c>
      <c r="L79" s="161" t="n">
        <v>76</v>
      </c>
      <c r="M79" s="162" t="n">
        <v>16262711421</v>
      </c>
      <c r="N79" s="163" t="s">
        <v>492</v>
      </c>
      <c r="O79" s="164" t="s">
        <v>493</v>
      </c>
      <c r="P79" s="164" t="s">
        <v>494</v>
      </c>
      <c r="Q79" s="164" t="n">
        <v>89000</v>
      </c>
      <c r="R79" s="164"/>
      <c r="U79" s="156" t="s">
        <v>192</v>
      </c>
      <c r="V79" s="161" t="n">
        <v>78</v>
      </c>
      <c r="W79" s="162" t="n">
        <v>16262711489</v>
      </c>
      <c r="X79" s="163" t="s">
        <v>498</v>
      </c>
      <c r="Y79" s="164" t="s">
        <v>499</v>
      </c>
      <c r="Z79" s="164" t="s">
        <v>500</v>
      </c>
      <c r="AA79" s="164" t="n">
        <v>89105</v>
      </c>
      <c r="AB79" s="164"/>
      <c r="AE79" s="156" t="s">
        <v>192</v>
      </c>
      <c r="AF79" s="161" t="n">
        <v>51</v>
      </c>
      <c r="AG79" s="162" t="n">
        <v>16262702264</v>
      </c>
      <c r="AH79" s="163" t="s">
        <v>448</v>
      </c>
      <c r="AI79" s="164" t="s">
        <v>449</v>
      </c>
      <c r="AJ79" s="164" t="s">
        <v>450</v>
      </c>
      <c r="AK79" s="164"/>
      <c r="AL79" s="163" t="s">
        <v>448</v>
      </c>
      <c r="AM79" s="161" t="n">
        <v>51</v>
      </c>
      <c r="AN79" s="156" t="s">
        <v>192</v>
      </c>
      <c r="AO79" s="165" t="n">
        <v>89059</v>
      </c>
      <c r="AP79" s="164" t="s">
        <v>451</v>
      </c>
    </row>
    <row r="80" customFormat="false" ht="14.25" hidden="false" customHeight="false" outlineLevel="0" collapsed="false">
      <c r="A80" s="156" t="s">
        <v>192</v>
      </c>
      <c r="B80" s="161" t="n">
        <v>57</v>
      </c>
      <c r="C80" s="162" t="n">
        <v>16262702485</v>
      </c>
      <c r="D80" s="163" t="s">
        <v>300</v>
      </c>
      <c r="E80" s="164" t="s">
        <v>301</v>
      </c>
      <c r="F80" s="164" t="s">
        <v>302</v>
      </c>
      <c r="G80" s="164" t="n">
        <v>88272</v>
      </c>
      <c r="H80" s="164"/>
      <c r="K80" s="156" t="s">
        <v>192</v>
      </c>
      <c r="L80" s="161" t="n">
        <v>77</v>
      </c>
      <c r="M80" s="162" t="n">
        <v>16262711439</v>
      </c>
      <c r="N80" s="163" t="s">
        <v>501</v>
      </c>
      <c r="O80" s="164" t="s">
        <v>502</v>
      </c>
      <c r="P80" s="164" t="s">
        <v>503</v>
      </c>
      <c r="Q80" s="164" t="n">
        <v>89770</v>
      </c>
      <c r="R80" s="164"/>
      <c r="U80" s="156" t="s">
        <v>192</v>
      </c>
      <c r="V80" s="161" t="n">
        <v>27</v>
      </c>
      <c r="W80" s="162" t="n">
        <v>16262791478</v>
      </c>
      <c r="X80" s="163" t="s">
        <v>363</v>
      </c>
      <c r="Y80" s="164" t="s">
        <v>364</v>
      </c>
      <c r="Z80" s="164" t="s">
        <v>365</v>
      </c>
      <c r="AA80" s="164" t="n">
        <v>89120</v>
      </c>
      <c r="AB80" s="164"/>
      <c r="AE80" s="156" t="s">
        <v>192</v>
      </c>
      <c r="AF80" s="161" t="n">
        <v>46</v>
      </c>
      <c r="AG80" s="162" t="n">
        <v>16262702162</v>
      </c>
      <c r="AH80" s="163" t="s">
        <v>433</v>
      </c>
      <c r="AI80" s="164" t="s">
        <v>434</v>
      </c>
      <c r="AJ80" s="164" t="s">
        <v>435</v>
      </c>
      <c r="AK80" s="164"/>
      <c r="AL80" s="163" t="s">
        <v>433</v>
      </c>
      <c r="AM80" s="161" t="n">
        <v>46</v>
      </c>
      <c r="AN80" s="156" t="s">
        <v>192</v>
      </c>
      <c r="AO80" s="164" t="n">
        <v>89098</v>
      </c>
      <c r="AP80" s="164"/>
    </row>
    <row r="81" customFormat="false" ht="14.25" hidden="false" customHeight="false" outlineLevel="0" collapsed="false">
      <c r="A81" s="156" t="s">
        <v>192</v>
      </c>
      <c r="B81" s="161" t="n">
        <v>58</v>
      </c>
      <c r="C81" s="162" t="n">
        <v>16262702490</v>
      </c>
      <c r="D81" s="163" t="s">
        <v>471</v>
      </c>
      <c r="E81" s="164" t="s">
        <v>472</v>
      </c>
      <c r="F81" s="164" t="s">
        <v>473</v>
      </c>
      <c r="G81" s="164" t="n">
        <v>89440</v>
      </c>
      <c r="H81" s="164"/>
      <c r="K81" s="156" t="s">
        <v>192</v>
      </c>
      <c r="L81" s="161" t="n">
        <v>78</v>
      </c>
      <c r="M81" s="162" t="n">
        <v>16262711489</v>
      </c>
      <c r="N81" s="163" t="s">
        <v>498</v>
      </c>
      <c r="O81" s="164" t="s">
        <v>499</v>
      </c>
      <c r="P81" s="164" t="s">
        <v>500</v>
      </c>
      <c r="Q81" s="164" t="n">
        <v>89105</v>
      </c>
      <c r="R81" s="164"/>
      <c r="U81" s="156" t="s">
        <v>192</v>
      </c>
      <c r="V81" s="161" t="n">
        <v>88</v>
      </c>
      <c r="W81" s="162" t="n">
        <v>16262721258</v>
      </c>
      <c r="X81" s="163" t="s">
        <v>504</v>
      </c>
      <c r="Y81" s="164" t="s">
        <v>505</v>
      </c>
      <c r="Z81" s="164" t="s">
        <v>506</v>
      </c>
      <c r="AA81" s="164" t="n">
        <v>89126</v>
      </c>
      <c r="AB81" s="164"/>
      <c r="AE81" s="156" t="s">
        <v>192</v>
      </c>
      <c r="AF81" s="161" t="n">
        <v>7</v>
      </c>
      <c r="AG81" s="162" t="n">
        <v>16262781300</v>
      </c>
      <c r="AH81" s="163" t="s">
        <v>236</v>
      </c>
      <c r="AI81" s="164" t="s">
        <v>237</v>
      </c>
      <c r="AJ81" s="164" t="s">
        <v>238</v>
      </c>
      <c r="AK81" s="164"/>
      <c r="AL81" s="163" t="s">
        <v>236</v>
      </c>
      <c r="AM81" s="161" t="n">
        <v>7</v>
      </c>
      <c r="AN81" s="156" t="s">
        <v>192</v>
      </c>
      <c r="AO81" s="164" t="n">
        <v>89101</v>
      </c>
      <c r="AP81" s="164"/>
    </row>
    <row r="82" customFormat="false" ht="14.25" hidden="false" customHeight="false" outlineLevel="0" collapsed="false">
      <c r="A82" s="156" t="s">
        <v>192</v>
      </c>
      <c r="B82" s="161" t="n">
        <v>59</v>
      </c>
      <c r="C82" s="162" t="n">
        <v>16262702502</v>
      </c>
      <c r="D82" s="163" t="s">
        <v>436</v>
      </c>
      <c r="E82" s="164" t="s">
        <v>437</v>
      </c>
      <c r="F82" s="164" t="s">
        <v>438</v>
      </c>
      <c r="G82" s="164" t="n">
        <v>88763</v>
      </c>
      <c r="H82" s="164"/>
      <c r="K82" s="156" t="s">
        <v>192</v>
      </c>
      <c r="L82" s="161" t="n">
        <v>79</v>
      </c>
      <c r="M82" s="162" t="n">
        <v>16262711526</v>
      </c>
      <c r="N82" s="163" t="s">
        <v>468</v>
      </c>
      <c r="O82" s="164" t="s">
        <v>469</v>
      </c>
      <c r="P82" s="164" t="s">
        <v>470</v>
      </c>
      <c r="Q82" s="164" t="n">
        <v>88837</v>
      </c>
      <c r="R82" s="164"/>
      <c r="U82" s="156" t="s">
        <v>192</v>
      </c>
      <c r="V82" s="161" t="n">
        <v>86</v>
      </c>
      <c r="W82" s="162" t="n">
        <v>16262721136</v>
      </c>
      <c r="X82" s="163" t="s">
        <v>507</v>
      </c>
      <c r="Y82" s="164" t="s">
        <v>508</v>
      </c>
      <c r="Z82" s="164" t="s">
        <v>509</v>
      </c>
      <c r="AA82" s="164" t="n">
        <v>89127</v>
      </c>
      <c r="AB82" s="164"/>
      <c r="AE82" s="156" t="s">
        <v>192</v>
      </c>
      <c r="AF82" s="161" t="n">
        <v>78</v>
      </c>
      <c r="AG82" s="162" t="n">
        <v>16262711489</v>
      </c>
      <c r="AH82" s="163" t="s">
        <v>498</v>
      </c>
      <c r="AI82" s="164" t="s">
        <v>499</v>
      </c>
      <c r="AJ82" s="164" t="s">
        <v>500</v>
      </c>
      <c r="AK82" s="164"/>
      <c r="AL82" s="163" t="s">
        <v>498</v>
      </c>
      <c r="AM82" s="161" t="n">
        <v>78</v>
      </c>
      <c r="AN82" s="156" t="s">
        <v>192</v>
      </c>
      <c r="AO82" s="164" t="n">
        <v>89105</v>
      </c>
      <c r="AP82" s="164"/>
    </row>
    <row r="83" customFormat="false" ht="14.25" hidden="false" customHeight="false" outlineLevel="0" collapsed="false">
      <c r="A83" s="156" t="s">
        <v>192</v>
      </c>
      <c r="B83" s="161" t="n">
        <v>61</v>
      </c>
      <c r="C83" s="162" t="n">
        <v>16262702531</v>
      </c>
      <c r="D83" s="163" t="s">
        <v>477</v>
      </c>
      <c r="E83" s="164" t="s">
        <v>478</v>
      </c>
      <c r="F83" s="164" t="s">
        <v>479</v>
      </c>
      <c r="G83" s="164" t="n">
        <v>89276</v>
      </c>
      <c r="H83" s="164"/>
      <c r="K83" s="156" t="s">
        <v>192</v>
      </c>
      <c r="L83" s="161" t="n">
        <v>80</v>
      </c>
      <c r="M83" s="162" t="n">
        <v>16262711577</v>
      </c>
      <c r="N83" s="163" t="s">
        <v>510</v>
      </c>
      <c r="O83" s="164" t="s">
        <v>511</v>
      </c>
      <c r="P83" s="164" t="s">
        <v>512</v>
      </c>
      <c r="Q83" s="164" t="n">
        <v>89791</v>
      </c>
      <c r="R83" s="164"/>
      <c r="U83" s="156" t="s">
        <v>192</v>
      </c>
      <c r="V83" s="161" t="n">
        <v>53</v>
      </c>
      <c r="W83" s="162" t="n">
        <v>16262702371</v>
      </c>
      <c r="X83" s="163" t="s">
        <v>459</v>
      </c>
      <c r="Y83" s="164" t="s">
        <v>460</v>
      </c>
      <c r="Z83" s="164" t="s">
        <v>461</v>
      </c>
      <c r="AA83" s="164" t="n">
        <v>89149</v>
      </c>
      <c r="AB83" s="164"/>
      <c r="AE83" s="156" t="s">
        <v>192</v>
      </c>
      <c r="AF83" s="161" t="n">
        <v>27</v>
      </c>
      <c r="AG83" s="162" t="n">
        <v>16262791478</v>
      </c>
      <c r="AH83" s="163" t="s">
        <v>363</v>
      </c>
      <c r="AI83" s="164" t="s">
        <v>364</v>
      </c>
      <c r="AJ83" s="164" t="s">
        <v>365</v>
      </c>
      <c r="AK83" s="164"/>
      <c r="AL83" s="163" t="s">
        <v>363</v>
      </c>
      <c r="AM83" s="161" t="n">
        <v>27</v>
      </c>
      <c r="AN83" s="156" t="s">
        <v>192</v>
      </c>
      <c r="AO83" s="164" t="n">
        <v>89120</v>
      </c>
      <c r="AP83" s="164"/>
    </row>
    <row r="84" customFormat="false" ht="14.25" hidden="false" customHeight="false" outlineLevel="0" collapsed="false">
      <c r="A84" s="156" t="s">
        <v>192</v>
      </c>
      <c r="B84" s="161" t="n">
        <v>62</v>
      </c>
      <c r="C84" s="162" t="n">
        <v>16262711131</v>
      </c>
      <c r="D84" s="163" t="s">
        <v>384</v>
      </c>
      <c r="E84" s="164" t="s">
        <v>385</v>
      </c>
      <c r="F84" s="164" t="s">
        <v>386</v>
      </c>
      <c r="G84" s="164" t="n">
        <v>88614</v>
      </c>
      <c r="H84" s="164"/>
      <c r="K84" s="156" t="s">
        <v>192</v>
      </c>
      <c r="L84" s="161" t="n">
        <v>81</v>
      </c>
      <c r="M84" s="162" t="n">
        <v>16262711627</v>
      </c>
      <c r="N84" s="163" t="s">
        <v>272</v>
      </c>
      <c r="O84" s="164" t="s">
        <v>273</v>
      </c>
      <c r="P84" s="164" t="s">
        <v>274</v>
      </c>
      <c r="Q84" s="164" t="n">
        <v>89372</v>
      </c>
      <c r="R84" s="164" t="s">
        <v>275</v>
      </c>
      <c r="U84" s="169" t="s">
        <v>192</v>
      </c>
      <c r="V84" s="170" t="n">
        <v>34</v>
      </c>
      <c r="W84" s="171" t="n">
        <v>16262791178</v>
      </c>
      <c r="X84" s="172" t="n">
        <v>91178</v>
      </c>
      <c r="Y84" s="173" t="n">
        <v>190178</v>
      </c>
      <c r="Z84" s="173" t="n">
        <v>9178</v>
      </c>
      <c r="AA84" s="179" t="n">
        <v>89154</v>
      </c>
      <c r="AB84" s="179"/>
      <c r="AE84" s="156" t="s">
        <v>192</v>
      </c>
      <c r="AF84" s="161" t="n">
        <v>88</v>
      </c>
      <c r="AG84" s="162" t="n">
        <v>16262721258</v>
      </c>
      <c r="AH84" s="163" t="s">
        <v>504</v>
      </c>
      <c r="AI84" s="164" t="s">
        <v>505</v>
      </c>
      <c r="AJ84" s="164" t="s">
        <v>506</v>
      </c>
      <c r="AK84" s="164"/>
      <c r="AL84" s="163" t="s">
        <v>504</v>
      </c>
      <c r="AM84" s="161" t="n">
        <v>88</v>
      </c>
      <c r="AN84" s="156" t="s">
        <v>192</v>
      </c>
      <c r="AO84" s="164" t="n">
        <v>89126</v>
      </c>
      <c r="AP84" s="164"/>
    </row>
    <row r="85" customFormat="false" ht="14.25" hidden="false" customHeight="false" outlineLevel="0" collapsed="false">
      <c r="A85" s="156" t="s">
        <v>192</v>
      </c>
      <c r="B85" s="161" t="n">
        <v>65</v>
      </c>
      <c r="C85" s="162" t="n">
        <v>16262711172</v>
      </c>
      <c r="D85" s="163" t="s">
        <v>408</v>
      </c>
      <c r="E85" s="164" t="s">
        <v>409</v>
      </c>
      <c r="F85" s="164" t="s">
        <v>410</v>
      </c>
      <c r="G85" s="164" t="n">
        <v>88662</v>
      </c>
      <c r="H85" s="164" t="s">
        <v>411</v>
      </c>
      <c r="K85" s="156" t="s">
        <v>192</v>
      </c>
      <c r="L85" s="161" t="n">
        <v>82</v>
      </c>
      <c r="M85" s="162" t="n">
        <v>16262711633</v>
      </c>
      <c r="N85" s="163" t="s">
        <v>489</v>
      </c>
      <c r="O85" s="164" t="s">
        <v>490</v>
      </c>
      <c r="P85" s="164" t="s">
        <v>491</v>
      </c>
      <c r="Q85" s="164" t="n">
        <v>88999</v>
      </c>
      <c r="R85" s="164"/>
      <c r="U85" s="156" t="s">
        <v>192</v>
      </c>
      <c r="V85" s="161" t="n">
        <v>111</v>
      </c>
      <c r="W85" s="162" t="n">
        <v>16262731428</v>
      </c>
      <c r="X85" s="163" t="s">
        <v>513</v>
      </c>
      <c r="Y85" s="164" t="s">
        <v>514</v>
      </c>
      <c r="Z85" s="164" t="s">
        <v>515</v>
      </c>
      <c r="AA85" s="164" t="n">
        <v>89159</v>
      </c>
      <c r="AB85" s="164"/>
      <c r="AE85" s="156" t="s">
        <v>192</v>
      </c>
      <c r="AF85" s="161" t="n">
        <v>86</v>
      </c>
      <c r="AG85" s="162" t="n">
        <v>16262721136</v>
      </c>
      <c r="AH85" s="163" t="s">
        <v>507</v>
      </c>
      <c r="AI85" s="164" t="s">
        <v>508</v>
      </c>
      <c r="AJ85" s="164" t="s">
        <v>509</v>
      </c>
      <c r="AK85" s="164"/>
      <c r="AL85" s="163" t="s">
        <v>507</v>
      </c>
      <c r="AM85" s="161" t="n">
        <v>86</v>
      </c>
      <c r="AN85" s="156" t="s">
        <v>192</v>
      </c>
      <c r="AO85" s="164" t="n">
        <v>89127</v>
      </c>
      <c r="AP85" s="164"/>
    </row>
    <row r="86" customFormat="false" ht="14.25" hidden="false" customHeight="false" outlineLevel="0" collapsed="false">
      <c r="A86" s="156" t="s">
        <v>192</v>
      </c>
      <c r="B86" s="161" t="n">
        <v>66</v>
      </c>
      <c r="C86" s="162" t="n">
        <v>16262711207</v>
      </c>
      <c r="D86" s="163" t="s">
        <v>439</v>
      </c>
      <c r="E86" s="164" t="s">
        <v>440</v>
      </c>
      <c r="F86" s="164" t="s">
        <v>441</v>
      </c>
      <c r="G86" s="164" t="n">
        <v>88777</v>
      </c>
      <c r="H86" s="164"/>
      <c r="K86" s="156" t="s">
        <v>192</v>
      </c>
      <c r="L86" s="161" t="n">
        <v>83</v>
      </c>
      <c r="M86" s="162" t="n">
        <v>16262711697</v>
      </c>
      <c r="N86" s="163" t="s">
        <v>393</v>
      </c>
      <c r="O86" s="164" t="s">
        <v>394</v>
      </c>
      <c r="P86" s="164" t="s">
        <v>395</v>
      </c>
      <c r="Q86" s="164" t="n">
        <v>88632</v>
      </c>
      <c r="R86" s="164"/>
      <c r="U86" s="156" t="s">
        <v>192</v>
      </c>
      <c r="V86" s="161" t="n">
        <v>21</v>
      </c>
      <c r="W86" s="162" t="n">
        <v>16262791333</v>
      </c>
      <c r="X86" s="163" t="s">
        <v>333</v>
      </c>
      <c r="Y86" s="164" t="s">
        <v>334</v>
      </c>
      <c r="Z86" s="164" t="s">
        <v>335</v>
      </c>
      <c r="AA86" s="164" t="n">
        <v>89163</v>
      </c>
      <c r="AB86" s="164"/>
      <c r="AE86" s="156" t="s">
        <v>192</v>
      </c>
      <c r="AF86" s="161" t="n">
        <v>53</v>
      </c>
      <c r="AG86" s="162" t="n">
        <v>16262702371</v>
      </c>
      <c r="AH86" s="163" t="s">
        <v>459</v>
      </c>
      <c r="AI86" s="164" t="s">
        <v>460</v>
      </c>
      <c r="AJ86" s="164" t="s">
        <v>461</v>
      </c>
      <c r="AK86" s="164"/>
      <c r="AL86" s="163" t="s">
        <v>459</v>
      </c>
      <c r="AM86" s="161" t="n">
        <v>53</v>
      </c>
      <c r="AN86" s="156" t="s">
        <v>192</v>
      </c>
      <c r="AO86" s="164" t="n">
        <v>89149</v>
      </c>
      <c r="AP86" s="164"/>
    </row>
    <row r="87" customFormat="false" ht="14.25" hidden="false" customHeight="false" outlineLevel="0" collapsed="false">
      <c r="A87" s="156" t="s">
        <v>192</v>
      </c>
      <c r="B87" s="161" t="n">
        <v>67</v>
      </c>
      <c r="C87" s="162" t="n">
        <v>16262711227</v>
      </c>
      <c r="D87" s="163" t="s">
        <v>483</v>
      </c>
      <c r="E87" s="164" t="s">
        <v>484</v>
      </c>
      <c r="F87" s="164" t="s">
        <v>485</v>
      </c>
      <c r="G87" s="164" t="n">
        <v>88995</v>
      </c>
      <c r="H87" s="164"/>
      <c r="K87" s="156" t="s">
        <v>192</v>
      </c>
      <c r="L87" s="161" t="n">
        <v>84</v>
      </c>
      <c r="M87" s="162" t="n">
        <v>16262711786</v>
      </c>
      <c r="N87" s="163" t="s">
        <v>516</v>
      </c>
      <c r="O87" s="164" t="s">
        <v>517</v>
      </c>
      <c r="P87" s="164" t="s">
        <v>518</v>
      </c>
      <c r="Q87" s="164" t="n">
        <v>89375</v>
      </c>
      <c r="R87" s="164"/>
      <c r="U87" s="156" t="s">
        <v>185</v>
      </c>
      <c r="V87" s="161" t="n">
        <v>36</v>
      </c>
      <c r="W87" s="162" t="n">
        <v>16262791631</v>
      </c>
      <c r="X87" s="163" t="s">
        <v>294</v>
      </c>
      <c r="Y87" s="164" t="s">
        <v>295</v>
      </c>
      <c r="Z87" s="164" t="s">
        <v>296</v>
      </c>
      <c r="AA87" s="164" t="n">
        <v>89180</v>
      </c>
      <c r="AB87" s="164"/>
      <c r="AE87" s="169" t="s">
        <v>192</v>
      </c>
      <c r="AF87" s="170" t="n">
        <v>34</v>
      </c>
      <c r="AG87" s="171" t="n">
        <v>16262791178</v>
      </c>
      <c r="AH87" s="172" t="n">
        <v>91178</v>
      </c>
      <c r="AI87" s="173" t="n">
        <v>190178</v>
      </c>
      <c r="AJ87" s="173" t="n">
        <v>9178</v>
      </c>
      <c r="AK87" s="173"/>
      <c r="AL87" s="172" t="n">
        <v>91178</v>
      </c>
      <c r="AM87" s="170" t="n">
        <v>34</v>
      </c>
      <c r="AN87" s="169" t="s">
        <v>192</v>
      </c>
      <c r="AO87" s="179" t="n">
        <v>89154</v>
      </c>
      <c r="AP87" s="179"/>
    </row>
    <row r="88" customFormat="false" ht="14.25" hidden="false" customHeight="false" outlineLevel="0" collapsed="false">
      <c r="A88" s="156" t="s">
        <v>192</v>
      </c>
      <c r="B88" s="161" t="n">
        <v>69</v>
      </c>
      <c r="C88" s="162" t="n">
        <v>16262711260</v>
      </c>
      <c r="D88" s="163" t="s">
        <v>486</v>
      </c>
      <c r="E88" s="164" t="s">
        <v>487</v>
      </c>
      <c r="F88" s="164" t="s">
        <v>488</v>
      </c>
      <c r="G88" s="164" t="n">
        <v>89226</v>
      </c>
      <c r="H88" s="164"/>
      <c r="K88" s="156" t="s">
        <v>192</v>
      </c>
      <c r="L88" s="161" t="n">
        <v>85</v>
      </c>
      <c r="M88" s="162" t="n">
        <v>16262721103</v>
      </c>
      <c r="N88" s="163" t="s">
        <v>430</v>
      </c>
      <c r="O88" s="164" t="s">
        <v>431</v>
      </c>
      <c r="P88" s="164" t="s">
        <v>432</v>
      </c>
      <c r="Q88" s="164" t="n">
        <v>88748</v>
      </c>
      <c r="R88" s="164"/>
      <c r="U88" s="156" t="s">
        <v>192</v>
      </c>
      <c r="V88" s="161" t="n">
        <v>112</v>
      </c>
      <c r="W88" s="162" t="n">
        <v>16262731446</v>
      </c>
      <c r="X88" s="163" t="s">
        <v>519</v>
      </c>
      <c r="Y88" s="164" t="s">
        <v>520</v>
      </c>
      <c r="Z88" s="164" t="s">
        <v>521</v>
      </c>
      <c r="AA88" s="164" t="n">
        <v>89212</v>
      </c>
      <c r="AB88" s="164"/>
      <c r="AE88" s="156" t="s">
        <v>192</v>
      </c>
      <c r="AF88" s="161" t="n">
        <v>111</v>
      </c>
      <c r="AG88" s="162" t="n">
        <v>16262731428</v>
      </c>
      <c r="AH88" s="163" t="s">
        <v>513</v>
      </c>
      <c r="AI88" s="164" t="s">
        <v>514</v>
      </c>
      <c r="AJ88" s="164" t="s">
        <v>515</v>
      </c>
      <c r="AK88" s="164"/>
      <c r="AL88" s="163" t="s">
        <v>513</v>
      </c>
      <c r="AM88" s="161" t="n">
        <v>111</v>
      </c>
      <c r="AN88" s="156" t="s">
        <v>192</v>
      </c>
      <c r="AO88" s="164" t="n">
        <v>89159</v>
      </c>
      <c r="AP88" s="164"/>
    </row>
    <row r="89" customFormat="false" ht="14.25" hidden="false" customHeight="false" outlineLevel="0" collapsed="false">
      <c r="A89" s="156" t="s">
        <v>192</v>
      </c>
      <c r="B89" s="161" t="n">
        <v>71</v>
      </c>
      <c r="C89" s="162" t="n">
        <v>16262711282</v>
      </c>
      <c r="D89" s="163" t="s">
        <v>351</v>
      </c>
      <c r="E89" s="164" t="s">
        <v>352</v>
      </c>
      <c r="F89" s="164" t="s">
        <v>353</v>
      </c>
      <c r="G89" s="164" t="n">
        <v>88586</v>
      </c>
      <c r="H89" s="164"/>
      <c r="K89" s="156" t="s">
        <v>192</v>
      </c>
      <c r="L89" s="161" t="n">
        <v>86</v>
      </c>
      <c r="M89" s="162" t="n">
        <v>16262721136</v>
      </c>
      <c r="N89" s="163" t="s">
        <v>507</v>
      </c>
      <c r="O89" s="164" t="s">
        <v>508</v>
      </c>
      <c r="P89" s="164" t="s">
        <v>509</v>
      </c>
      <c r="Q89" s="164" t="n">
        <v>89127</v>
      </c>
      <c r="R89" s="164"/>
      <c r="U89" s="175" t="s">
        <v>185</v>
      </c>
      <c r="V89" s="176" t="n">
        <v>94</v>
      </c>
      <c r="W89" s="177" t="n">
        <v>16262731173</v>
      </c>
      <c r="X89" s="178" t="s">
        <v>390</v>
      </c>
      <c r="Y89" s="179" t="s">
        <v>391</v>
      </c>
      <c r="Z89" s="179" t="s">
        <v>392</v>
      </c>
      <c r="AA89" s="179" t="n">
        <v>89213</v>
      </c>
      <c r="AB89" s="179"/>
      <c r="AE89" s="156" t="s">
        <v>192</v>
      </c>
      <c r="AF89" s="161" t="n">
        <v>21</v>
      </c>
      <c r="AG89" s="162" t="n">
        <v>16262791333</v>
      </c>
      <c r="AH89" s="163" t="s">
        <v>333</v>
      </c>
      <c r="AI89" s="164" t="s">
        <v>334</v>
      </c>
      <c r="AJ89" s="164" t="s">
        <v>335</v>
      </c>
      <c r="AK89" s="164"/>
      <c r="AL89" s="163" t="s">
        <v>333</v>
      </c>
      <c r="AM89" s="161" t="n">
        <v>21</v>
      </c>
      <c r="AN89" s="156" t="s">
        <v>192</v>
      </c>
      <c r="AO89" s="164" t="n">
        <v>89163</v>
      </c>
      <c r="AP89" s="164"/>
    </row>
    <row r="90" customFormat="false" ht="14.25" hidden="false" customHeight="false" outlineLevel="0" collapsed="false">
      <c r="A90" s="156" t="s">
        <v>192</v>
      </c>
      <c r="B90" s="161" t="n">
        <v>75</v>
      </c>
      <c r="C90" s="162" t="n">
        <v>16262711420</v>
      </c>
      <c r="D90" s="163" t="s">
        <v>415</v>
      </c>
      <c r="E90" s="164" t="s">
        <v>416</v>
      </c>
      <c r="F90" s="164" t="s">
        <v>417</v>
      </c>
      <c r="G90" s="164" t="n">
        <v>88664</v>
      </c>
      <c r="H90" s="164"/>
      <c r="K90" s="156" t="s">
        <v>192</v>
      </c>
      <c r="L90" s="161" t="n">
        <v>87</v>
      </c>
      <c r="M90" s="162" t="n">
        <v>16262721150</v>
      </c>
      <c r="N90" s="163" t="s">
        <v>474</v>
      </c>
      <c r="O90" s="164" t="s">
        <v>475</v>
      </c>
      <c r="P90" s="164" t="s">
        <v>476</v>
      </c>
      <c r="Q90" s="164" t="n">
        <v>88864</v>
      </c>
      <c r="R90" s="164"/>
      <c r="U90" s="156" t="s">
        <v>185</v>
      </c>
      <c r="V90" s="161" t="n">
        <v>49</v>
      </c>
      <c r="W90" s="162" t="n">
        <v>16262702221</v>
      </c>
      <c r="X90" s="163" t="s">
        <v>315</v>
      </c>
      <c r="Y90" s="164" t="s">
        <v>316</v>
      </c>
      <c r="Z90" s="164" t="s">
        <v>317</v>
      </c>
      <c r="AA90" s="164" t="n">
        <v>89217</v>
      </c>
      <c r="AB90" s="164"/>
      <c r="AE90" s="156" t="s">
        <v>185</v>
      </c>
      <c r="AF90" s="161" t="n">
        <v>36</v>
      </c>
      <c r="AG90" s="162" t="n">
        <v>16262791631</v>
      </c>
      <c r="AH90" s="163" t="s">
        <v>294</v>
      </c>
      <c r="AI90" s="164" t="s">
        <v>295</v>
      </c>
      <c r="AJ90" s="164" t="s">
        <v>296</v>
      </c>
      <c r="AK90" s="164"/>
      <c r="AL90" s="163" t="s">
        <v>294</v>
      </c>
      <c r="AM90" s="161" t="n">
        <v>36</v>
      </c>
      <c r="AN90" s="156" t="s">
        <v>185</v>
      </c>
      <c r="AO90" s="164" t="n">
        <v>89180</v>
      </c>
      <c r="AP90" s="164"/>
    </row>
    <row r="91" customFormat="false" ht="14.25" hidden="false" customHeight="false" outlineLevel="0" collapsed="false">
      <c r="A91" s="156" t="s">
        <v>192</v>
      </c>
      <c r="B91" s="161" t="n">
        <v>76</v>
      </c>
      <c r="C91" s="162" t="n">
        <v>16262711421</v>
      </c>
      <c r="D91" s="163" t="s">
        <v>492</v>
      </c>
      <c r="E91" s="164" t="s">
        <v>493</v>
      </c>
      <c r="F91" s="164" t="s">
        <v>494</v>
      </c>
      <c r="G91" s="164" t="n">
        <v>89000</v>
      </c>
      <c r="H91" s="164"/>
      <c r="K91" s="156" t="s">
        <v>192</v>
      </c>
      <c r="L91" s="161" t="n">
        <v>88</v>
      </c>
      <c r="M91" s="162" t="n">
        <v>16262721258</v>
      </c>
      <c r="N91" s="163" t="s">
        <v>504</v>
      </c>
      <c r="O91" s="164" t="s">
        <v>505</v>
      </c>
      <c r="P91" s="164" t="s">
        <v>506</v>
      </c>
      <c r="Q91" s="164" t="n">
        <v>89126</v>
      </c>
      <c r="R91" s="164"/>
      <c r="U91" s="156" t="s">
        <v>192</v>
      </c>
      <c r="V91" s="161" t="n">
        <v>108</v>
      </c>
      <c r="W91" s="162" t="n">
        <v>16262731371</v>
      </c>
      <c r="X91" s="163" t="s">
        <v>522</v>
      </c>
      <c r="Y91" s="164" t="s">
        <v>523</v>
      </c>
      <c r="Z91" s="164" t="s">
        <v>524</v>
      </c>
      <c r="AA91" s="164" t="n">
        <v>89220</v>
      </c>
      <c r="AB91" s="164"/>
      <c r="AE91" s="156" t="s">
        <v>192</v>
      </c>
      <c r="AF91" s="161" t="n">
        <v>112</v>
      </c>
      <c r="AG91" s="162" t="n">
        <v>16262731446</v>
      </c>
      <c r="AH91" s="163" t="s">
        <v>519</v>
      </c>
      <c r="AI91" s="164" t="s">
        <v>520</v>
      </c>
      <c r="AJ91" s="164" t="s">
        <v>521</v>
      </c>
      <c r="AK91" s="164"/>
      <c r="AL91" s="163" t="s">
        <v>519</v>
      </c>
      <c r="AM91" s="161" t="n">
        <v>112</v>
      </c>
      <c r="AN91" s="156" t="s">
        <v>192</v>
      </c>
      <c r="AO91" s="164" t="n">
        <v>89212</v>
      </c>
      <c r="AP91" s="164"/>
    </row>
    <row r="92" customFormat="false" ht="14.25" hidden="false" customHeight="false" outlineLevel="0" collapsed="false">
      <c r="A92" s="156" t="s">
        <v>192</v>
      </c>
      <c r="B92" s="161" t="n">
        <v>77</v>
      </c>
      <c r="C92" s="162" t="n">
        <v>16262711439</v>
      </c>
      <c r="D92" s="163" t="s">
        <v>501</v>
      </c>
      <c r="E92" s="164" t="s">
        <v>502</v>
      </c>
      <c r="F92" s="164" t="s">
        <v>503</v>
      </c>
      <c r="G92" s="164" t="n">
        <v>89770</v>
      </c>
      <c r="H92" s="164"/>
      <c r="K92" s="156" t="s">
        <v>192</v>
      </c>
      <c r="L92" s="161" t="n">
        <v>89</v>
      </c>
      <c r="M92" s="162" t="n">
        <v>16262721361</v>
      </c>
      <c r="N92" s="163" t="s">
        <v>239</v>
      </c>
      <c r="O92" s="164" t="s">
        <v>240</v>
      </c>
      <c r="P92" s="164" t="s">
        <v>241</v>
      </c>
      <c r="Q92" s="164" t="n">
        <v>88201</v>
      </c>
      <c r="R92" s="164"/>
      <c r="U92" s="156" t="s">
        <v>192</v>
      </c>
      <c r="V92" s="161" t="n">
        <v>69</v>
      </c>
      <c r="W92" s="162" t="n">
        <v>16262711260</v>
      </c>
      <c r="X92" s="163" t="s">
        <v>486</v>
      </c>
      <c r="Y92" s="164" t="s">
        <v>487</v>
      </c>
      <c r="Z92" s="164" t="s">
        <v>488</v>
      </c>
      <c r="AA92" s="164" t="n">
        <v>89226</v>
      </c>
      <c r="AB92" s="164"/>
      <c r="AE92" s="175" t="s">
        <v>185</v>
      </c>
      <c r="AF92" s="176" t="n">
        <v>94</v>
      </c>
      <c r="AG92" s="177" t="n">
        <v>16262731173</v>
      </c>
      <c r="AH92" s="178" t="s">
        <v>390</v>
      </c>
      <c r="AI92" s="179" t="s">
        <v>391</v>
      </c>
      <c r="AJ92" s="179" t="s">
        <v>392</v>
      </c>
      <c r="AK92" s="179"/>
      <c r="AL92" s="178" t="s">
        <v>390</v>
      </c>
      <c r="AM92" s="176" t="n">
        <v>94</v>
      </c>
      <c r="AN92" s="175" t="s">
        <v>185</v>
      </c>
      <c r="AO92" s="179" t="n">
        <v>89213</v>
      </c>
      <c r="AP92" s="179"/>
    </row>
    <row r="93" customFormat="false" ht="14.25" hidden="false" customHeight="false" outlineLevel="0" collapsed="false">
      <c r="A93" s="156" t="s">
        <v>192</v>
      </c>
      <c r="B93" s="161" t="n">
        <v>78</v>
      </c>
      <c r="C93" s="162" t="n">
        <v>16262711489</v>
      </c>
      <c r="D93" s="163" t="s">
        <v>498</v>
      </c>
      <c r="E93" s="164" t="s">
        <v>499</v>
      </c>
      <c r="F93" s="164" t="s">
        <v>500</v>
      </c>
      <c r="G93" s="164" t="n">
        <v>89105</v>
      </c>
      <c r="H93" s="164"/>
      <c r="K93" s="156" t="s">
        <v>185</v>
      </c>
      <c r="L93" s="161" t="n">
        <v>90</v>
      </c>
      <c r="M93" s="162" t="n">
        <v>16262721406</v>
      </c>
      <c r="N93" s="163" t="s">
        <v>375</v>
      </c>
      <c r="O93" s="164" t="s">
        <v>376</v>
      </c>
      <c r="P93" s="164" t="s">
        <v>377</v>
      </c>
      <c r="Q93" s="164" t="n">
        <v>89262</v>
      </c>
      <c r="R93" s="164"/>
      <c r="U93" s="156" t="s">
        <v>192</v>
      </c>
      <c r="V93" s="161" t="n">
        <v>107</v>
      </c>
      <c r="W93" s="162" t="n">
        <v>16262731362</v>
      </c>
      <c r="X93" s="163" t="s">
        <v>525</v>
      </c>
      <c r="Y93" s="164" t="s">
        <v>526</v>
      </c>
      <c r="Z93" s="164" t="s">
        <v>527</v>
      </c>
      <c r="AA93" s="164" t="n">
        <v>89232</v>
      </c>
      <c r="AB93" s="164"/>
      <c r="AE93" s="156" t="s">
        <v>185</v>
      </c>
      <c r="AF93" s="161" t="n">
        <v>49</v>
      </c>
      <c r="AG93" s="162" t="n">
        <v>16262702221</v>
      </c>
      <c r="AH93" s="163" t="s">
        <v>315</v>
      </c>
      <c r="AI93" s="164" t="s">
        <v>316</v>
      </c>
      <c r="AJ93" s="164" t="s">
        <v>317</v>
      </c>
      <c r="AK93" s="164"/>
      <c r="AL93" s="163" t="s">
        <v>315</v>
      </c>
      <c r="AM93" s="161" t="n">
        <v>49</v>
      </c>
      <c r="AN93" s="156" t="s">
        <v>185</v>
      </c>
      <c r="AO93" s="164" t="n">
        <v>89217</v>
      </c>
      <c r="AP93" s="164"/>
    </row>
    <row r="94" customFormat="false" ht="14.25" hidden="false" customHeight="false" outlineLevel="0" collapsed="false">
      <c r="A94" s="156" t="s">
        <v>192</v>
      </c>
      <c r="B94" s="161" t="n">
        <v>79</v>
      </c>
      <c r="C94" s="162" t="n">
        <v>16262711526</v>
      </c>
      <c r="D94" s="163" t="s">
        <v>468</v>
      </c>
      <c r="E94" s="164" t="s">
        <v>469</v>
      </c>
      <c r="F94" s="164" t="s">
        <v>470</v>
      </c>
      <c r="G94" s="164" t="n">
        <v>88837</v>
      </c>
      <c r="H94" s="164"/>
      <c r="K94" s="156" t="s">
        <v>192</v>
      </c>
      <c r="L94" s="161" t="n">
        <v>91</v>
      </c>
      <c r="M94" s="162" t="n">
        <v>16262721462</v>
      </c>
      <c r="N94" s="163" t="s">
        <v>528</v>
      </c>
      <c r="O94" s="164" t="s">
        <v>529</v>
      </c>
      <c r="P94" s="164" t="s">
        <v>530</v>
      </c>
      <c r="Q94" s="164" t="n">
        <v>89447</v>
      </c>
      <c r="R94" s="164"/>
      <c r="U94" s="156" t="s">
        <v>192</v>
      </c>
      <c r="V94" s="161" t="n">
        <v>20</v>
      </c>
      <c r="W94" s="162" t="n">
        <v>16262791324</v>
      </c>
      <c r="X94" s="163" t="s">
        <v>324</v>
      </c>
      <c r="Y94" s="164" t="s">
        <v>325</v>
      </c>
      <c r="Z94" s="164" t="s">
        <v>326</v>
      </c>
      <c r="AA94" s="164" t="n">
        <v>89244</v>
      </c>
      <c r="AB94" s="164"/>
      <c r="AE94" s="156" t="s">
        <v>192</v>
      </c>
      <c r="AF94" s="161" t="n">
        <v>108</v>
      </c>
      <c r="AG94" s="162" t="n">
        <v>16262731371</v>
      </c>
      <c r="AH94" s="163" t="s">
        <v>522</v>
      </c>
      <c r="AI94" s="164" t="s">
        <v>523</v>
      </c>
      <c r="AJ94" s="164" t="s">
        <v>524</v>
      </c>
      <c r="AK94" s="164"/>
      <c r="AL94" s="163" t="s">
        <v>522</v>
      </c>
      <c r="AM94" s="161" t="n">
        <v>108</v>
      </c>
      <c r="AN94" s="156" t="s">
        <v>192</v>
      </c>
      <c r="AO94" s="164" t="n">
        <v>89220</v>
      </c>
      <c r="AP94" s="164"/>
    </row>
    <row r="95" customFormat="false" ht="14.25" hidden="false" customHeight="false" outlineLevel="0" collapsed="false">
      <c r="A95" s="156" t="s">
        <v>192</v>
      </c>
      <c r="B95" s="161" t="n">
        <v>80</v>
      </c>
      <c r="C95" s="162" t="n">
        <v>16262711577</v>
      </c>
      <c r="D95" s="163" t="s">
        <v>510</v>
      </c>
      <c r="E95" s="164" t="s">
        <v>511</v>
      </c>
      <c r="F95" s="164" t="s">
        <v>512</v>
      </c>
      <c r="G95" s="164" t="n">
        <v>89791</v>
      </c>
      <c r="H95" s="164"/>
      <c r="K95" s="156" t="s">
        <v>185</v>
      </c>
      <c r="L95" s="161" t="n">
        <v>92</v>
      </c>
      <c r="M95" s="162" t="n">
        <v>16262721536</v>
      </c>
      <c r="N95" s="163" t="s">
        <v>339</v>
      </c>
      <c r="O95" s="164" t="s">
        <v>340</v>
      </c>
      <c r="P95" s="164" t="s">
        <v>341</v>
      </c>
      <c r="Q95" s="164" t="n">
        <v>88527</v>
      </c>
      <c r="R95" s="164"/>
      <c r="U95" s="156" t="s">
        <v>192</v>
      </c>
      <c r="V95" s="161" t="n">
        <v>6</v>
      </c>
      <c r="W95" s="162" t="n">
        <v>16262781268</v>
      </c>
      <c r="X95" s="163" t="s">
        <v>227</v>
      </c>
      <c r="Y95" s="164" t="s">
        <v>228</v>
      </c>
      <c r="Z95" s="164" t="s">
        <v>229</v>
      </c>
      <c r="AA95" s="164" t="n">
        <v>89246</v>
      </c>
      <c r="AB95" s="164"/>
      <c r="AE95" s="156" t="s">
        <v>192</v>
      </c>
      <c r="AF95" s="161" t="n">
        <v>69</v>
      </c>
      <c r="AG95" s="162" t="n">
        <v>16262711260</v>
      </c>
      <c r="AH95" s="163" t="s">
        <v>486</v>
      </c>
      <c r="AI95" s="164" t="s">
        <v>487</v>
      </c>
      <c r="AJ95" s="164" t="s">
        <v>488</v>
      </c>
      <c r="AK95" s="164"/>
      <c r="AL95" s="163" t="s">
        <v>486</v>
      </c>
      <c r="AM95" s="161" t="n">
        <v>69</v>
      </c>
      <c r="AN95" s="156" t="s">
        <v>192</v>
      </c>
      <c r="AO95" s="164" t="n">
        <v>89226</v>
      </c>
      <c r="AP95" s="164"/>
    </row>
    <row r="96" customFormat="false" ht="14.25" hidden="false" customHeight="false" outlineLevel="0" collapsed="false">
      <c r="A96" s="156" t="s">
        <v>192</v>
      </c>
      <c r="B96" s="161" t="n">
        <v>81</v>
      </c>
      <c r="C96" s="162" t="n">
        <v>16262711627</v>
      </c>
      <c r="D96" s="163" t="s">
        <v>272</v>
      </c>
      <c r="E96" s="164" t="s">
        <v>273</v>
      </c>
      <c r="F96" s="164" t="s">
        <v>274</v>
      </c>
      <c r="G96" s="164" t="n">
        <v>89372</v>
      </c>
      <c r="H96" s="164" t="s">
        <v>275</v>
      </c>
      <c r="K96" s="156" t="s">
        <v>185</v>
      </c>
      <c r="L96" s="161" t="n">
        <v>93</v>
      </c>
      <c r="M96" s="162" t="n">
        <v>16262731114</v>
      </c>
      <c r="N96" s="163" t="s">
        <v>327</v>
      </c>
      <c r="O96" s="164" t="s">
        <v>328</v>
      </c>
      <c r="P96" s="164" t="s">
        <v>329</v>
      </c>
      <c r="Q96" s="164" t="n">
        <v>88485</v>
      </c>
      <c r="R96" s="164"/>
      <c r="U96" s="156" t="s">
        <v>192</v>
      </c>
      <c r="V96" s="161" t="n">
        <v>95</v>
      </c>
      <c r="W96" s="162" t="n">
        <v>16262731190</v>
      </c>
      <c r="X96" s="163" t="s">
        <v>531</v>
      </c>
      <c r="Y96" s="164" t="s">
        <v>532</v>
      </c>
      <c r="Z96" s="164" t="s">
        <v>533</v>
      </c>
      <c r="AA96" s="164" t="n">
        <v>89248</v>
      </c>
      <c r="AB96" s="164"/>
      <c r="AE96" s="156" t="s">
        <v>192</v>
      </c>
      <c r="AF96" s="161" t="n">
        <v>107</v>
      </c>
      <c r="AG96" s="162" t="n">
        <v>16262731362</v>
      </c>
      <c r="AH96" s="163" t="s">
        <v>525</v>
      </c>
      <c r="AI96" s="164" t="s">
        <v>526</v>
      </c>
      <c r="AJ96" s="164" t="s">
        <v>527</v>
      </c>
      <c r="AK96" s="164"/>
      <c r="AL96" s="163" t="s">
        <v>525</v>
      </c>
      <c r="AM96" s="161" t="n">
        <v>107</v>
      </c>
      <c r="AN96" s="156" t="s">
        <v>192</v>
      </c>
      <c r="AO96" s="164" t="n">
        <v>89232</v>
      </c>
      <c r="AP96" s="164"/>
    </row>
    <row r="97" customFormat="false" ht="14.25" hidden="false" customHeight="false" outlineLevel="0" collapsed="false">
      <c r="A97" s="156" t="s">
        <v>192</v>
      </c>
      <c r="B97" s="161" t="n">
        <v>82</v>
      </c>
      <c r="C97" s="162" t="n">
        <v>16262711633</v>
      </c>
      <c r="D97" s="163" t="s">
        <v>489</v>
      </c>
      <c r="E97" s="164" t="s">
        <v>490</v>
      </c>
      <c r="F97" s="164" t="s">
        <v>491</v>
      </c>
      <c r="G97" s="164" t="n">
        <v>88999</v>
      </c>
      <c r="H97" s="164"/>
      <c r="K97" s="175" t="s">
        <v>185</v>
      </c>
      <c r="L97" s="176" t="n">
        <v>94</v>
      </c>
      <c r="M97" s="177" t="n">
        <v>16262731173</v>
      </c>
      <c r="N97" s="178" t="s">
        <v>390</v>
      </c>
      <c r="O97" s="179" t="s">
        <v>391</v>
      </c>
      <c r="P97" s="179" t="s">
        <v>392</v>
      </c>
      <c r="Q97" s="179" t="n">
        <v>89213</v>
      </c>
      <c r="R97" s="179"/>
      <c r="U97" s="156" t="s">
        <v>192</v>
      </c>
      <c r="V97" s="161" t="n">
        <v>13</v>
      </c>
      <c r="W97" s="162" t="n">
        <v>16262781607</v>
      </c>
      <c r="X97" s="163" t="s">
        <v>288</v>
      </c>
      <c r="Y97" s="164" t="s">
        <v>289</v>
      </c>
      <c r="Z97" s="164" t="s">
        <v>290</v>
      </c>
      <c r="AA97" s="164" t="n">
        <v>89251</v>
      </c>
      <c r="AB97" s="164"/>
      <c r="AE97" s="156" t="s">
        <v>192</v>
      </c>
      <c r="AF97" s="161" t="n">
        <v>20</v>
      </c>
      <c r="AG97" s="162" t="n">
        <v>16262791324</v>
      </c>
      <c r="AH97" s="163" t="s">
        <v>324</v>
      </c>
      <c r="AI97" s="164" t="s">
        <v>325</v>
      </c>
      <c r="AJ97" s="164" t="s">
        <v>326</v>
      </c>
      <c r="AK97" s="164"/>
      <c r="AL97" s="163" t="s">
        <v>324</v>
      </c>
      <c r="AM97" s="161" t="n">
        <v>20</v>
      </c>
      <c r="AN97" s="156" t="s">
        <v>192</v>
      </c>
      <c r="AO97" s="164" t="n">
        <v>89244</v>
      </c>
      <c r="AP97" s="164"/>
    </row>
    <row r="98" customFormat="false" ht="14.25" hidden="false" customHeight="false" outlineLevel="0" collapsed="false">
      <c r="A98" s="156" t="s">
        <v>192</v>
      </c>
      <c r="B98" s="161" t="n">
        <v>83</v>
      </c>
      <c r="C98" s="162" t="n">
        <v>16262711697</v>
      </c>
      <c r="D98" s="163" t="s">
        <v>393</v>
      </c>
      <c r="E98" s="164" t="s">
        <v>394</v>
      </c>
      <c r="F98" s="164" t="s">
        <v>395</v>
      </c>
      <c r="G98" s="164" t="n">
        <v>88632</v>
      </c>
      <c r="H98" s="164"/>
      <c r="K98" s="156" t="s">
        <v>192</v>
      </c>
      <c r="L98" s="161" t="n">
        <v>95</v>
      </c>
      <c r="M98" s="162" t="n">
        <v>16262731190</v>
      </c>
      <c r="N98" s="163" t="s">
        <v>531</v>
      </c>
      <c r="O98" s="164" t="s">
        <v>532</v>
      </c>
      <c r="P98" s="164" t="s">
        <v>533</v>
      </c>
      <c r="Q98" s="164" t="n">
        <v>89248</v>
      </c>
      <c r="R98" s="164"/>
      <c r="U98" s="156" t="s">
        <v>185</v>
      </c>
      <c r="V98" s="161" t="n">
        <v>90</v>
      </c>
      <c r="W98" s="162" t="n">
        <v>16262721406</v>
      </c>
      <c r="X98" s="163" t="s">
        <v>375</v>
      </c>
      <c r="Y98" s="164" t="s">
        <v>376</v>
      </c>
      <c r="Z98" s="164" t="s">
        <v>377</v>
      </c>
      <c r="AA98" s="164" t="n">
        <v>89262</v>
      </c>
      <c r="AB98" s="164"/>
      <c r="AE98" s="156" t="s">
        <v>192</v>
      </c>
      <c r="AF98" s="161" t="n">
        <v>6</v>
      </c>
      <c r="AG98" s="162" t="n">
        <v>16262781268</v>
      </c>
      <c r="AH98" s="163" t="s">
        <v>227</v>
      </c>
      <c r="AI98" s="164" t="s">
        <v>228</v>
      </c>
      <c r="AJ98" s="164" t="s">
        <v>229</v>
      </c>
      <c r="AK98" s="164"/>
      <c r="AL98" s="163" t="s">
        <v>227</v>
      </c>
      <c r="AM98" s="161" t="n">
        <v>6</v>
      </c>
      <c r="AN98" s="156" t="s">
        <v>192</v>
      </c>
      <c r="AO98" s="164" t="n">
        <v>89246</v>
      </c>
      <c r="AP98" s="164"/>
    </row>
    <row r="99" customFormat="false" ht="14.25" hidden="false" customHeight="false" outlineLevel="0" collapsed="false">
      <c r="A99" s="156" t="s">
        <v>192</v>
      </c>
      <c r="B99" s="161" t="n">
        <v>84</v>
      </c>
      <c r="C99" s="162" t="n">
        <v>16262711786</v>
      </c>
      <c r="D99" s="163" t="s">
        <v>516</v>
      </c>
      <c r="E99" s="164" t="s">
        <v>517</v>
      </c>
      <c r="F99" s="164" t="s">
        <v>518</v>
      </c>
      <c r="G99" s="164" t="n">
        <v>89375</v>
      </c>
      <c r="H99" s="164"/>
      <c r="K99" s="156" t="s">
        <v>185</v>
      </c>
      <c r="L99" s="161" t="n">
        <v>96</v>
      </c>
      <c r="M99" s="162" t="n">
        <v>16262731194</v>
      </c>
      <c r="N99" s="163" t="s">
        <v>306</v>
      </c>
      <c r="O99" s="164" t="s">
        <v>307</v>
      </c>
      <c r="P99" s="164" t="s">
        <v>308</v>
      </c>
      <c r="Q99" s="164" t="n">
        <v>88293</v>
      </c>
      <c r="R99" s="164"/>
      <c r="U99" s="156" t="s">
        <v>192</v>
      </c>
      <c r="V99" s="161" t="n">
        <v>10</v>
      </c>
      <c r="W99" s="162" t="n">
        <v>16262781489</v>
      </c>
      <c r="X99" s="163" t="s">
        <v>263</v>
      </c>
      <c r="Y99" s="164" t="s">
        <v>264</v>
      </c>
      <c r="Z99" s="164" t="s">
        <v>265</v>
      </c>
      <c r="AA99" s="164" t="n">
        <v>89267</v>
      </c>
      <c r="AB99" s="164"/>
      <c r="AE99" s="156" t="s">
        <v>192</v>
      </c>
      <c r="AF99" s="161" t="n">
        <v>95</v>
      </c>
      <c r="AG99" s="162" t="n">
        <v>16262731190</v>
      </c>
      <c r="AH99" s="163" t="s">
        <v>531</v>
      </c>
      <c r="AI99" s="164" t="s">
        <v>532</v>
      </c>
      <c r="AJ99" s="164" t="s">
        <v>533</v>
      </c>
      <c r="AK99" s="164"/>
      <c r="AL99" s="163" t="s">
        <v>531</v>
      </c>
      <c r="AM99" s="161" t="n">
        <v>95</v>
      </c>
      <c r="AN99" s="156" t="s">
        <v>192</v>
      </c>
      <c r="AO99" s="164" t="n">
        <v>89248</v>
      </c>
      <c r="AP99" s="164"/>
    </row>
    <row r="100" customFormat="false" ht="14.25" hidden="false" customHeight="false" outlineLevel="0" collapsed="false">
      <c r="A100" s="156" t="s">
        <v>192</v>
      </c>
      <c r="B100" s="161" t="n">
        <v>85</v>
      </c>
      <c r="C100" s="162" t="n">
        <v>16262721103</v>
      </c>
      <c r="D100" s="163" t="s">
        <v>430</v>
      </c>
      <c r="E100" s="164" t="s">
        <v>431</v>
      </c>
      <c r="F100" s="164" t="s">
        <v>432</v>
      </c>
      <c r="G100" s="164" t="n">
        <v>88748</v>
      </c>
      <c r="H100" s="164"/>
      <c r="K100" s="156" t="s">
        <v>192</v>
      </c>
      <c r="L100" s="161" t="n">
        <v>97</v>
      </c>
      <c r="M100" s="162" t="n">
        <v>16262731196</v>
      </c>
      <c r="N100" s="163" t="s">
        <v>462</v>
      </c>
      <c r="O100" s="164" t="s">
        <v>463</v>
      </c>
      <c r="P100" s="164" t="s">
        <v>464</v>
      </c>
      <c r="Q100" s="164" t="n">
        <v>88830</v>
      </c>
      <c r="R100" s="164"/>
      <c r="U100" s="156" t="s">
        <v>192</v>
      </c>
      <c r="V100" s="161" t="n">
        <v>61</v>
      </c>
      <c r="W100" s="162" t="n">
        <v>16262702531</v>
      </c>
      <c r="X100" s="163" t="s">
        <v>477</v>
      </c>
      <c r="Y100" s="164" t="s">
        <v>478</v>
      </c>
      <c r="Z100" s="164" t="s">
        <v>479</v>
      </c>
      <c r="AA100" s="164" t="n">
        <v>89276</v>
      </c>
      <c r="AB100" s="164"/>
      <c r="AE100" s="156" t="s">
        <v>192</v>
      </c>
      <c r="AF100" s="161" t="n">
        <v>13</v>
      </c>
      <c r="AG100" s="162" t="n">
        <v>16262781607</v>
      </c>
      <c r="AH100" s="163" t="s">
        <v>288</v>
      </c>
      <c r="AI100" s="164" t="s">
        <v>289</v>
      </c>
      <c r="AJ100" s="164" t="s">
        <v>290</v>
      </c>
      <c r="AK100" s="164"/>
      <c r="AL100" s="163" t="s">
        <v>288</v>
      </c>
      <c r="AM100" s="161" t="n">
        <v>13</v>
      </c>
      <c r="AN100" s="156" t="s">
        <v>192</v>
      </c>
      <c r="AO100" s="164" t="n">
        <v>89251</v>
      </c>
      <c r="AP100" s="164"/>
    </row>
    <row r="101" customFormat="false" ht="14.25" hidden="false" customHeight="false" outlineLevel="0" collapsed="false">
      <c r="A101" s="156" t="s">
        <v>192</v>
      </c>
      <c r="B101" s="161" t="n">
        <v>86</v>
      </c>
      <c r="C101" s="162" t="n">
        <v>16262721136</v>
      </c>
      <c r="D101" s="163" t="s">
        <v>507</v>
      </c>
      <c r="E101" s="164" t="s">
        <v>508</v>
      </c>
      <c r="F101" s="164" t="s">
        <v>509</v>
      </c>
      <c r="G101" s="164" t="n">
        <v>89127</v>
      </c>
      <c r="H101" s="164"/>
      <c r="K101" s="156" t="s">
        <v>192</v>
      </c>
      <c r="L101" s="161" t="n">
        <v>98</v>
      </c>
      <c r="M101" s="162" t="n">
        <v>16262731206</v>
      </c>
      <c r="N101" s="163" t="s">
        <v>534</v>
      </c>
      <c r="O101" s="164" t="s">
        <v>535</v>
      </c>
      <c r="P101" s="164" t="s">
        <v>536</v>
      </c>
      <c r="Q101" s="164" t="n">
        <v>89427</v>
      </c>
      <c r="R101" s="164"/>
      <c r="U101" s="156" t="s">
        <v>192</v>
      </c>
      <c r="V101" s="161" t="n">
        <v>12</v>
      </c>
      <c r="W101" s="162" t="n">
        <v>16262781594</v>
      </c>
      <c r="X101" s="163" t="s">
        <v>279</v>
      </c>
      <c r="Y101" s="164" t="s">
        <v>280</v>
      </c>
      <c r="Z101" s="164" t="s">
        <v>281</v>
      </c>
      <c r="AA101" s="164" t="n">
        <v>89281</v>
      </c>
      <c r="AB101" s="164"/>
      <c r="AE101" s="156" t="s">
        <v>185</v>
      </c>
      <c r="AF101" s="161" t="n">
        <v>90</v>
      </c>
      <c r="AG101" s="162" t="n">
        <v>16262721406</v>
      </c>
      <c r="AH101" s="163" t="s">
        <v>375</v>
      </c>
      <c r="AI101" s="164" t="s">
        <v>376</v>
      </c>
      <c r="AJ101" s="164" t="s">
        <v>377</v>
      </c>
      <c r="AK101" s="164"/>
      <c r="AL101" s="163" t="s">
        <v>375</v>
      </c>
      <c r="AM101" s="161" t="n">
        <v>90</v>
      </c>
      <c r="AN101" s="156" t="s">
        <v>185</v>
      </c>
      <c r="AO101" s="164" t="n">
        <v>89262</v>
      </c>
      <c r="AP101" s="164"/>
    </row>
    <row r="102" customFormat="false" ht="14.25" hidden="false" customHeight="false" outlineLevel="0" collapsed="false">
      <c r="A102" s="156" t="s">
        <v>192</v>
      </c>
      <c r="B102" s="161" t="n">
        <v>87</v>
      </c>
      <c r="C102" s="162" t="n">
        <v>16262721150</v>
      </c>
      <c r="D102" s="163" t="s">
        <v>474</v>
      </c>
      <c r="E102" s="164" t="s">
        <v>475</v>
      </c>
      <c r="F102" s="164" t="s">
        <v>476</v>
      </c>
      <c r="G102" s="164" t="n">
        <v>88864</v>
      </c>
      <c r="H102" s="164"/>
      <c r="K102" s="156" t="s">
        <v>192</v>
      </c>
      <c r="L102" s="161" t="n">
        <v>99</v>
      </c>
      <c r="M102" s="162" t="n">
        <v>16262731277</v>
      </c>
      <c r="N102" s="163" t="s">
        <v>537</v>
      </c>
      <c r="O102" s="164" t="s">
        <v>538</v>
      </c>
      <c r="P102" s="164" t="s">
        <v>539</v>
      </c>
      <c r="Q102" s="164" t="n">
        <v>89299</v>
      </c>
      <c r="R102" s="164"/>
      <c r="U102" s="156" t="s">
        <v>185</v>
      </c>
      <c r="V102" s="161" t="n">
        <v>47</v>
      </c>
      <c r="W102" s="162" t="n">
        <v>16262702169</v>
      </c>
      <c r="X102" s="163" t="s">
        <v>309</v>
      </c>
      <c r="Y102" s="164" t="s">
        <v>310</v>
      </c>
      <c r="Z102" s="164" t="s">
        <v>311</v>
      </c>
      <c r="AA102" s="164" t="n">
        <v>89289</v>
      </c>
      <c r="AB102" s="164"/>
      <c r="AE102" s="156" t="s">
        <v>192</v>
      </c>
      <c r="AF102" s="161" t="n">
        <v>10</v>
      </c>
      <c r="AG102" s="162" t="n">
        <v>16262781489</v>
      </c>
      <c r="AH102" s="163" t="s">
        <v>263</v>
      </c>
      <c r="AI102" s="164" t="s">
        <v>264</v>
      </c>
      <c r="AJ102" s="164" t="s">
        <v>265</v>
      </c>
      <c r="AK102" s="164"/>
      <c r="AL102" s="163" t="s">
        <v>263</v>
      </c>
      <c r="AM102" s="161" t="n">
        <v>10</v>
      </c>
      <c r="AN102" s="156" t="s">
        <v>192</v>
      </c>
      <c r="AO102" s="164" t="n">
        <v>89267</v>
      </c>
      <c r="AP102" s="164"/>
    </row>
    <row r="103" customFormat="false" ht="14.25" hidden="false" customHeight="false" outlineLevel="0" collapsed="false">
      <c r="A103" s="156" t="s">
        <v>192</v>
      </c>
      <c r="B103" s="161" t="n">
        <v>88</v>
      </c>
      <c r="C103" s="162" t="n">
        <v>16262721258</v>
      </c>
      <c r="D103" s="163" t="s">
        <v>504</v>
      </c>
      <c r="E103" s="164" t="s">
        <v>505</v>
      </c>
      <c r="F103" s="164" t="s">
        <v>506</v>
      </c>
      <c r="G103" s="164" t="n">
        <v>89126</v>
      </c>
      <c r="H103" s="164"/>
      <c r="K103" s="156" t="s">
        <v>192</v>
      </c>
      <c r="L103" s="161" t="n">
        <v>100</v>
      </c>
      <c r="M103" s="162" t="n">
        <v>16262731280</v>
      </c>
      <c r="N103" s="163" t="s">
        <v>387</v>
      </c>
      <c r="O103" s="164" t="s">
        <v>388</v>
      </c>
      <c r="P103" s="164" t="s">
        <v>389</v>
      </c>
      <c r="Q103" s="164" t="n">
        <v>88617</v>
      </c>
      <c r="R103" s="164"/>
      <c r="U103" s="156" t="s">
        <v>192</v>
      </c>
      <c r="V103" s="161" t="n">
        <v>99</v>
      </c>
      <c r="W103" s="162" t="n">
        <v>16262731277</v>
      </c>
      <c r="X103" s="163" t="s">
        <v>537</v>
      </c>
      <c r="Y103" s="164" t="s">
        <v>538</v>
      </c>
      <c r="Z103" s="164" t="s">
        <v>539</v>
      </c>
      <c r="AA103" s="164" t="n">
        <v>89299</v>
      </c>
      <c r="AB103" s="164"/>
      <c r="AE103" s="156" t="s">
        <v>192</v>
      </c>
      <c r="AF103" s="161" t="n">
        <v>61</v>
      </c>
      <c r="AG103" s="162" t="n">
        <v>16262702531</v>
      </c>
      <c r="AH103" s="163" t="s">
        <v>477</v>
      </c>
      <c r="AI103" s="164" t="s">
        <v>478</v>
      </c>
      <c r="AJ103" s="164" t="s">
        <v>479</v>
      </c>
      <c r="AK103" s="164"/>
      <c r="AL103" s="163" t="s">
        <v>477</v>
      </c>
      <c r="AM103" s="161" t="n">
        <v>61</v>
      </c>
      <c r="AN103" s="156" t="s">
        <v>192</v>
      </c>
      <c r="AO103" s="164" t="n">
        <v>89276</v>
      </c>
      <c r="AP103" s="164"/>
    </row>
    <row r="104" customFormat="false" ht="14.25" hidden="false" customHeight="false" outlineLevel="0" collapsed="false">
      <c r="A104" s="156" t="s">
        <v>192</v>
      </c>
      <c r="B104" s="161" t="n">
        <v>89</v>
      </c>
      <c r="C104" s="162" t="n">
        <v>16262721361</v>
      </c>
      <c r="D104" s="163" t="s">
        <v>239</v>
      </c>
      <c r="E104" s="164" t="s">
        <v>240</v>
      </c>
      <c r="F104" s="164" t="s">
        <v>241</v>
      </c>
      <c r="G104" s="164" t="n">
        <v>88201</v>
      </c>
      <c r="H104" s="164"/>
      <c r="K104" s="156" t="s">
        <v>192</v>
      </c>
      <c r="L104" s="161" t="n">
        <v>101</v>
      </c>
      <c r="M104" s="162" t="n">
        <v>16262731299</v>
      </c>
      <c r="N104" s="163" t="s">
        <v>495</v>
      </c>
      <c r="O104" s="164" t="s">
        <v>496</v>
      </c>
      <c r="P104" s="164" t="s">
        <v>497</v>
      </c>
      <c r="Q104" s="164" t="n">
        <v>89007</v>
      </c>
      <c r="R104" s="164"/>
      <c r="U104" s="156" t="s">
        <v>185</v>
      </c>
      <c r="V104" s="161" t="n">
        <v>15</v>
      </c>
      <c r="W104" s="162" t="n">
        <v>16262791251</v>
      </c>
      <c r="X104" s="163" t="s">
        <v>224</v>
      </c>
      <c r="Y104" s="164" t="s">
        <v>225</v>
      </c>
      <c r="Z104" s="164" t="s">
        <v>226</v>
      </c>
      <c r="AA104" s="164" t="n">
        <v>89314</v>
      </c>
      <c r="AB104" s="164"/>
      <c r="AE104" s="156" t="s">
        <v>192</v>
      </c>
      <c r="AF104" s="161" t="n">
        <v>12</v>
      </c>
      <c r="AG104" s="162" t="n">
        <v>16262781594</v>
      </c>
      <c r="AH104" s="163" t="s">
        <v>279</v>
      </c>
      <c r="AI104" s="164" t="s">
        <v>280</v>
      </c>
      <c r="AJ104" s="164" t="s">
        <v>281</v>
      </c>
      <c r="AK104" s="164"/>
      <c r="AL104" s="163" t="s">
        <v>279</v>
      </c>
      <c r="AM104" s="161" t="n">
        <v>12</v>
      </c>
      <c r="AN104" s="156" t="s">
        <v>192</v>
      </c>
      <c r="AO104" s="164" t="n">
        <v>89281</v>
      </c>
      <c r="AP104" s="164"/>
    </row>
    <row r="105" customFormat="false" ht="14.25" hidden="false" customHeight="false" outlineLevel="0" collapsed="false">
      <c r="A105" s="156" t="s">
        <v>192</v>
      </c>
      <c r="B105" s="161" t="n">
        <v>91</v>
      </c>
      <c r="C105" s="162" t="n">
        <v>16262721462</v>
      </c>
      <c r="D105" s="163" t="s">
        <v>528</v>
      </c>
      <c r="E105" s="164" t="s">
        <v>529</v>
      </c>
      <c r="F105" s="164" t="s">
        <v>530</v>
      </c>
      <c r="G105" s="164" t="n">
        <v>89447</v>
      </c>
      <c r="H105" s="164"/>
      <c r="K105" s="156" t="s">
        <v>185</v>
      </c>
      <c r="L105" s="161" t="n">
        <v>102</v>
      </c>
      <c r="M105" s="162" t="n">
        <v>16262731303</v>
      </c>
      <c r="N105" s="163" t="s">
        <v>396</v>
      </c>
      <c r="O105" s="164" t="s">
        <v>397</v>
      </c>
      <c r="P105" s="164" t="s">
        <v>398</v>
      </c>
      <c r="Q105" s="164" t="n">
        <v>88667</v>
      </c>
      <c r="R105" s="164"/>
      <c r="U105" s="156" t="s">
        <v>192</v>
      </c>
      <c r="V105" s="161" t="n">
        <v>50</v>
      </c>
      <c r="W105" s="162" t="n">
        <v>16262702242</v>
      </c>
      <c r="X105" s="163" t="s">
        <v>445</v>
      </c>
      <c r="Y105" s="164" t="s">
        <v>446</v>
      </c>
      <c r="Z105" s="164" t="s">
        <v>447</v>
      </c>
      <c r="AA105" s="164" t="n">
        <v>89333</v>
      </c>
      <c r="AB105" s="164"/>
      <c r="AE105" s="156" t="s">
        <v>185</v>
      </c>
      <c r="AF105" s="161" t="n">
        <v>47</v>
      </c>
      <c r="AG105" s="162" t="n">
        <v>16262702169</v>
      </c>
      <c r="AH105" s="163" t="s">
        <v>309</v>
      </c>
      <c r="AI105" s="164" t="s">
        <v>310</v>
      </c>
      <c r="AJ105" s="164" t="s">
        <v>311</v>
      </c>
      <c r="AK105" s="164"/>
      <c r="AL105" s="163" t="s">
        <v>309</v>
      </c>
      <c r="AM105" s="161" t="n">
        <v>47</v>
      </c>
      <c r="AN105" s="156" t="s">
        <v>185</v>
      </c>
      <c r="AO105" s="164" t="n">
        <v>89289</v>
      </c>
      <c r="AP105" s="164"/>
    </row>
    <row r="106" customFormat="false" ht="14.25" hidden="false" customHeight="false" outlineLevel="0" collapsed="false">
      <c r="A106" s="156" t="s">
        <v>192</v>
      </c>
      <c r="B106" s="161" t="n">
        <v>95</v>
      </c>
      <c r="C106" s="162" t="n">
        <v>16262731190</v>
      </c>
      <c r="D106" s="163" t="s">
        <v>531</v>
      </c>
      <c r="E106" s="164" t="s">
        <v>532</v>
      </c>
      <c r="F106" s="164" t="s">
        <v>533</v>
      </c>
      <c r="G106" s="164" t="n">
        <v>89248</v>
      </c>
      <c r="H106" s="164"/>
      <c r="K106" s="156" t="s">
        <v>185</v>
      </c>
      <c r="L106" s="161" t="n">
        <v>103</v>
      </c>
      <c r="M106" s="162" t="n">
        <v>16262731348</v>
      </c>
      <c r="N106" s="163" t="s">
        <v>402</v>
      </c>
      <c r="O106" s="164" t="s">
        <v>403</v>
      </c>
      <c r="P106" s="164" t="s">
        <v>404</v>
      </c>
      <c r="Q106" s="164" t="n">
        <v>88808</v>
      </c>
      <c r="R106" s="164"/>
      <c r="U106" s="156" t="s">
        <v>192</v>
      </c>
      <c r="V106" s="161" t="n">
        <v>29</v>
      </c>
      <c r="W106" s="162" t="n">
        <v>16262791495</v>
      </c>
      <c r="X106" s="163" t="s">
        <v>378</v>
      </c>
      <c r="Y106" s="164" t="s">
        <v>379</v>
      </c>
      <c r="Z106" s="164" t="s">
        <v>380</v>
      </c>
      <c r="AA106" s="164" t="n">
        <v>89350</v>
      </c>
      <c r="AB106" s="164"/>
      <c r="AE106" s="156" t="s">
        <v>192</v>
      </c>
      <c r="AF106" s="161" t="n">
        <v>99</v>
      </c>
      <c r="AG106" s="162" t="n">
        <v>16262731277</v>
      </c>
      <c r="AH106" s="163" t="s">
        <v>537</v>
      </c>
      <c r="AI106" s="164" t="s">
        <v>538</v>
      </c>
      <c r="AJ106" s="164" t="s">
        <v>539</v>
      </c>
      <c r="AK106" s="164"/>
      <c r="AL106" s="163" t="s">
        <v>537</v>
      </c>
      <c r="AM106" s="161" t="n">
        <v>99</v>
      </c>
      <c r="AN106" s="156" t="s">
        <v>192</v>
      </c>
      <c r="AO106" s="164" t="n">
        <v>89299</v>
      </c>
      <c r="AP106" s="164"/>
    </row>
    <row r="107" customFormat="false" ht="14.25" hidden="false" customHeight="false" outlineLevel="0" collapsed="false">
      <c r="A107" s="156" t="s">
        <v>192</v>
      </c>
      <c r="B107" s="161" t="n">
        <v>97</v>
      </c>
      <c r="C107" s="162" t="n">
        <v>16262731196</v>
      </c>
      <c r="D107" s="163" t="s">
        <v>462</v>
      </c>
      <c r="E107" s="164" t="s">
        <v>463</v>
      </c>
      <c r="F107" s="164" t="s">
        <v>464</v>
      </c>
      <c r="G107" s="164" t="n">
        <v>88830</v>
      </c>
      <c r="H107" s="164"/>
      <c r="K107" s="156" t="s">
        <v>192</v>
      </c>
      <c r="L107" s="161" t="n">
        <v>104</v>
      </c>
      <c r="M107" s="162" t="n">
        <v>16262731355</v>
      </c>
      <c r="N107" s="163" t="s">
        <v>424</v>
      </c>
      <c r="O107" s="164" t="s">
        <v>425</v>
      </c>
      <c r="P107" s="164" t="s">
        <v>426</v>
      </c>
      <c r="Q107" s="164" t="n">
        <v>88708</v>
      </c>
      <c r="R107" s="164"/>
      <c r="U107" s="156" t="s">
        <v>192</v>
      </c>
      <c r="V107" s="161" t="n">
        <v>30</v>
      </c>
      <c r="W107" s="162" t="n">
        <v>16262791497</v>
      </c>
      <c r="X107" s="163" t="s">
        <v>193</v>
      </c>
      <c r="Y107" s="164" t="s">
        <v>194</v>
      </c>
      <c r="Z107" s="164" t="s">
        <v>195</v>
      </c>
      <c r="AA107" s="164" t="n">
        <v>89356</v>
      </c>
      <c r="AB107" s="164" t="s">
        <v>196</v>
      </c>
      <c r="AE107" s="156" t="s">
        <v>185</v>
      </c>
      <c r="AF107" s="161" t="n">
        <v>15</v>
      </c>
      <c r="AG107" s="162" t="n">
        <v>16262791251</v>
      </c>
      <c r="AH107" s="163" t="s">
        <v>224</v>
      </c>
      <c r="AI107" s="164" t="s">
        <v>225</v>
      </c>
      <c r="AJ107" s="164" t="s">
        <v>226</v>
      </c>
      <c r="AK107" s="164"/>
      <c r="AL107" s="163" t="s">
        <v>224</v>
      </c>
      <c r="AM107" s="161" t="n">
        <v>15</v>
      </c>
      <c r="AN107" s="156" t="s">
        <v>185</v>
      </c>
      <c r="AO107" s="164" t="n">
        <v>89314</v>
      </c>
      <c r="AP107" s="164"/>
    </row>
    <row r="108" customFormat="false" ht="14.25" hidden="false" customHeight="false" outlineLevel="0" collapsed="false">
      <c r="A108" s="156" t="s">
        <v>192</v>
      </c>
      <c r="B108" s="161" t="n">
        <v>98</v>
      </c>
      <c r="C108" s="162" t="n">
        <v>16262731206</v>
      </c>
      <c r="D108" s="163" t="s">
        <v>534</v>
      </c>
      <c r="E108" s="164" t="s">
        <v>535</v>
      </c>
      <c r="F108" s="164" t="s">
        <v>536</v>
      </c>
      <c r="G108" s="164" t="n">
        <v>89427</v>
      </c>
      <c r="H108" s="164"/>
      <c r="K108" s="156" t="s">
        <v>185</v>
      </c>
      <c r="L108" s="161" t="n">
        <v>105</v>
      </c>
      <c r="M108" s="162" t="n">
        <v>16262731357</v>
      </c>
      <c r="N108" s="163" t="s">
        <v>412</v>
      </c>
      <c r="O108" s="164" t="s">
        <v>413</v>
      </c>
      <c r="P108" s="164" t="s">
        <v>414</v>
      </c>
      <c r="Q108" s="164" t="n">
        <v>88991</v>
      </c>
      <c r="R108" s="164"/>
      <c r="U108" s="156" t="s">
        <v>192</v>
      </c>
      <c r="V108" s="161" t="n">
        <v>81</v>
      </c>
      <c r="W108" s="162" t="n">
        <v>16262711627</v>
      </c>
      <c r="X108" s="163" t="s">
        <v>272</v>
      </c>
      <c r="Y108" s="164" t="s">
        <v>273</v>
      </c>
      <c r="Z108" s="164" t="s">
        <v>274</v>
      </c>
      <c r="AA108" s="164" t="n">
        <v>89372</v>
      </c>
      <c r="AB108" s="164" t="s">
        <v>275</v>
      </c>
      <c r="AE108" s="156" t="s">
        <v>192</v>
      </c>
      <c r="AF108" s="161" t="n">
        <v>50</v>
      </c>
      <c r="AG108" s="162" t="n">
        <v>16262702242</v>
      </c>
      <c r="AH108" s="163" t="s">
        <v>445</v>
      </c>
      <c r="AI108" s="164" t="s">
        <v>446</v>
      </c>
      <c r="AJ108" s="164" t="s">
        <v>447</v>
      </c>
      <c r="AK108" s="164"/>
      <c r="AL108" s="163" t="s">
        <v>445</v>
      </c>
      <c r="AM108" s="161" t="n">
        <v>50</v>
      </c>
      <c r="AN108" s="156" t="s">
        <v>192</v>
      </c>
      <c r="AO108" s="164" t="n">
        <v>89333</v>
      </c>
      <c r="AP108" s="164"/>
    </row>
    <row r="109" customFormat="false" ht="14.25" hidden="false" customHeight="false" outlineLevel="0" collapsed="false">
      <c r="A109" s="156" t="s">
        <v>192</v>
      </c>
      <c r="B109" s="161" t="n">
        <v>99</v>
      </c>
      <c r="C109" s="162" t="n">
        <v>16262731277</v>
      </c>
      <c r="D109" s="163" t="s">
        <v>537</v>
      </c>
      <c r="E109" s="164" t="s">
        <v>538</v>
      </c>
      <c r="F109" s="164" t="s">
        <v>539</v>
      </c>
      <c r="G109" s="164" t="n">
        <v>89299</v>
      </c>
      <c r="H109" s="164"/>
      <c r="K109" s="156" t="s">
        <v>192</v>
      </c>
      <c r="L109" s="161" t="n">
        <v>106</v>
      </c>
      <c r="M109" s="162" t="n">
        <v>16262731360</v>
      </c>
      <c r="N109" s="163" t="s">
        <v>282</v>
      </c>
      <c r="O109" s="164" t="s">
        <v>283</v>
      </c>
      <c r="P109" s="164" t="s">
        <v>284</v>
      </c>
      <c r="Q109" s="164" t="n">
        <v>88228</v>
      </c>
      <c r="R109" s="164"/>
      <c r="U109" s="156" t="s">
        <v>192</v>
      </c>
      <c r="V109" s="161" t="n">
        <v>84</v>
      </c>
      <c r="W109" s="162" t="n">
        <v>16262711786</v>
      </c>
      <c r="X109" s="163" t="s">
        <v>516</v>
      </c>
      <c r="Y109" s="164" t="s">
        <v>517</v>
      </c>
      <c r="Z109" s="164" t="s">
        <v>518</v>
      </c>
      <c r="AA109" s="164" t="n">
        <v>89375</v>
      </c>
      <c r="AB109" s="164"/>
      <c r="AE109" s="156" t="s">
        <v>192</v>
      </c>
      <c r="AF109" s="161" t="n">
        <v>29</v>
      </c>
      <c r="AG109" s="162" t="n">
        <v>16262791495</v>
      </c>
      <c r="AH109" s="163" t="s">
        <v>378</v>
      </c>
      <c r="AI109" s="164" t="s">
        <v>379</v>
      </c>
      <c r="AJ109" s="164" t="s">
        <v>380</v>
      </c>
      <c r="AK109" s="164"/>
      <c r="AL109" s="163" t="s">
        <v>378</v>
      </c>
      <c r="AM109" s="161" t="n">
        <v>29</v>
      </c>
      <c r="AN109" s="156" t="s">
        <v>192</v>
      </c>
      <c r="AO109" s="164" t="n">
        <v>89350</v>
      </c>
      <c r="AP109" s="164"/>
    </row>
    <row r="110" customFormat="false" ht="14.25" hidden="false" customHeight="false" outlineLevel="0" collapsed="false">
      <c r="A110" s="156" t="s">
        <v>192</v>
      </c>
      <c r="B110" s="161" t="n">
        <v>100</v>
      </c>
      <c r="C110" s="162" t="n">
        <v>16262731280</v>
      </c>
      <c r="D110" s="163" t="s">
        <v>387</v>
      </c>
      <c r="E110" s="164" t="s">
        <v>388</v>
      </c>
      <c r="F110" s="164" t="s">
        <v>389</v>
      </c>
      <c r="G110" s="164" t="n">
        <v>88617</v>
      </c>
      <c r="H110" s="164"/>
      <c r="K110" s="156" t="s">
        <v>192</v>
      </c>
      <c r="L110" s="161" t="n">
        <v>107</v>
      </c>
      <c r="M110" s="162" t="n">
        <v>16262731362</v>
      </c>
      <c r="N110" s="163" t="s">
        <v>525</v>
      </c>
      <c r="O110" s="164" t="s">
        <v>526</v>
      </c>
      <c r="P110" s="164" t="s">
        <v>527</v>
      </c>
      <c r="Q110" s="164" t="n">
        <v>89232</v>
      </c>
      <c r="R110" s="164"/>
      <c r="U110" s="175" t="s">
        <v>192</v>
      </c>
      <c r="V110" s="176" t="n">
        <v>119</v>
      </c>
      <c r="W110" s="177" t="n">
        <v>16262731597</v>
      </c>
      <c r="X110" s="178" t="s">
        <v>540</v>
      </c>
      <c r="Y110" s="179" t="s">
        <v>541</v>
      </c>
      <c r="Z110" s="179" t="s">
        <v>542</v>
      </c>
      <c r="AA110" s="180" t="n">
        <v>89376</v>
      </c>
      <c r="AB110" s="180"/>
      <c r="AE110" s="156" t="s">
        <v>192</v>
      </c>
      <c r="AF110" s="161" t="n">
        <v>30</v>
      </c>
      <c r="AG110" s="162" t="n">
        <v>16262791497</v>
      </c>
      <c r="AH110" s="163" t="s">
        <v>193</v>
      </c>
      <c r="AI110" s="164" t="s">
        <v>194</v>
      </c>
      <c r="AJ110" s="164" t="s">
        <v>195</v>
      </c>
      <c r="AK110" s="164"/>
      <c r="AL110" s="163" t="s">
        <v>193</v>
      </c>
      <c r="AM110" s="161" t="n">
        <v>30</v>
      </c>
      <c r="AN110" s="156" t="s">
        <v>192</v>
      </c>
      <c r="AO110" s="164" t="n">
        <v>89356</v>
      </c>
      <c r="AP110" s="164" t="s">
        <v>196</v>
      </c>
    </row>
    <row r="111" customFormat="false" ht="14.25" hidden="false" customHeight="false" outlineLevel="0" collapsed="false">
      <c r="A111" s="156" t="s">
        <v>192</v>
      </c>
      <c r="B111" s="161" t="n">
        <v>101</v>
      </c>
      <c r="C111" s="162" t="n">
        <v>16262731299</v>
      </c>
      <c r="D111" s="163" t="s">
        <v>495</v>
      </c>
      <c r="E111" s="164" t="s">
        <v>496</v>
      </c>
      <c r="F111" s="164" t="s">
        <v>497</v>
      </c>
      <c r="G111" s="164" t="n">
        <v>89007</v>
      </c>
      <c r="H111" s="164"/>
      <c r="K111" s="156" t="s">
        <v>192</v>
      </c>
      <c r="L111" s="161" t="n">
        <v>108</v>
      </c>
      <c r="M111" s="162" t="n">
        <v>16262731371</v>
      </c>
      <c r="N111" s="163" t="s">
        <v>522</v>
      </c>
      <c r="O111" s="164" t="s">
        <v>523</v>
      </c>
      <c r="P111" s="164" t="s">
        <v>524</v>
      </c>
      <c r="Q111" s="164" t="n">
        <v>89220</v>
      </c>
      <c r="R111" s="164"/>
      <c r="U111" s="156" t="s">
        <v>185</v>
      </c>
      <c r="V111" s="161" t="n">
        <v>72</v>
      </c>
      <c r="W111" s="162" t="n">
        <v>16262711299</v>
      </c>
      <c r="X111" s="163" t="s">
        <v>354</v>
      </c>
      <c r="Y111" s="164" t="s">
        <v>355</v>
      </c>
      <c r="Z111" s="164" t="s">
        <v>356</v>
      </c>
      <c r="AA111" s="164" t="n">
        <v>89392</v>
      </c>
      <c r="AB111" s="164"/>
      <c r="AE111" s="156" t="s">
        <v>192</v>
      </c>
      <c r="AF111" s="161" t="n">
        <v>81</v>
      </c>
      <c r="AG111" s="162" t="n">
        <v>16262711627</v>
      </c>
      <c r="AH111" s="163" t="s">
        <v>272</v>
      </c>
      <c r="AI111" s="164" t="s">
        <v>273</v>
      </c>
      <c r="AJ111" s="164" t="s">
        <v>274</v>
      </c>
      <c r="AK111" s="164"/>
      <c r="AL111" s="163" t="s">
        <v>272</v>
      </c>
      <c r="AM111" s="161" t="n">
        <v>81</v>
      </c>
      <c r="AN111" s="156" t="s">
        <v>192</v>
      </c>
      <c r="AO111" s="164" t="n">
        <v>89372</v>
      </c>
      <c r="AP111" s="164" t="s">
        <v>275</v>
      </c>
    </row>
    <row r="112" customFormat="false" ht="14.25" hidden="false" customHeight="false" outlineLevel="0" collapsed="false">
      <c r="A112" s="156" t="s">
        <v>192</v>
      </c>
      <c r="B112" s="161" t="n">
        <v>104</v>
      </c>
      <c r="C112" s="162" t="n">
        <v>16262731355</v>
      </c>
      <c r="D112" s="163" t="s">
        <v>424</v>
      </c>
      <c r="E112" s="164" t="s">
        <v>425</v>
      </c>
      <c r="F112" s="164" t="s">
        <v>426</v>
      </c>
      <c r="G112" s="164" t="n">
        <v>88708</v>
      </c>
      <c r="H112" s="164"/>
      <c r="K112" s="156" t="s">
        <v>185</v>
      </c>
      <c r="L112" s="161" t="n">
        <v>109</v>
      </c>
      <c r="M112" s="162" t="n">
        <v>16262731373</v>
      </c>
      <c r="N112" s="163" t="s">
        <v>418</v>
      </c>
      <c r="O112" s="164" t="s">
        <v>419</v>
      </c>
      <c r="P112" s="164" t="s">
        <v>420</v>
      </c>
      <c r="Q112" s="164" t="n">
        <v>88910</v>
      </c>
      <c r="R112" s="164"/>
      <c r="U112" s="156" t="s">
        <v>192</v>
      </c>
      <c r="V112" s="161" t="n">
        <v>120</v>
      </c>
      <c r="W112" s="162" t="n">
        <v>16262731606</v>
      </c>
      <c r="X112" s="163" t="s">
        <v>543</v>
      </c>
      <c r="Y112" s="164" t="s">
        <v>544</v>
      </c>
      <c r="Z112" s="164" t="s">
        <v>545</v>
      </c>
      <c r="AA112" s="164" t="n">
        <v>89394</v>
      </c>
      <c r="AB112" s="181"/>
      <c r="AE112" s="156" t="s">
        <v>192</v>
      </c>
      <c r="AF112" s="161" t="n">
        <v>84</v>
      </c>
      <c r="AG112" s="162" t="n">
        <v>16262711786</v>
      </c>
      <c r="AH112" s="163" t="s">
        <v>516</v>
      </c>
      <c r="AI112" s="164" t="s">
        <v>517</v>
      </c>
      <c r="AJ112" s="164" t="s">
        <v>518</v>
      </c>
      <c r="AK112" s="164"/>
      <c r="AL112" s="163" t="s">
        <v>516</v>
      </c>
      <c r="AM112" s="161" t="n">
        <v>84</v>
      </c>
      <c r="AN112" s="156" t="s">
        <v>192</v>
      </c>
      <c r="AO112" s="164" t="n">
        <v>89375</v>
      </c>
      <c r="AP112" s="164"/>
    </row>
    <row r="113" customFormat="false" ht="14.25" hidden="false" customHeight="false" outlineLevel="0" collapsed="false">
      <c r="A113" s="156" t="s">
        <v>192</v>
      </c>
      <c r="B113" s="161" t="n">
        <v>106</v>
      </c>
      <c r="C113" s="162" t="n">
        <v>16262731360</v>
      </c>
      <c r="D113" s="163" t="s">
        <v>282</v>
      </c>
      <c r="E113" s="164" t="s">
        <v>283</v>
      </c>
      <c r="F113" s="164" t="s">
        <v>284</v>
      </c>
      <c r="G113" s="164" t="n">
        <v>88228</v>
      </c>
      <c r="H113" s="164"/>
      <c r="K113" s="156" t="s">
        <v>192</v>
      </c>
      <c r="L113" s="161" t="n">
        <v>110</v>
      </c>
      <c r="M113" s="162" t="n">
        <v>16262731383</v>
      </c>
      <c r="N113" s="163" t="s">
        <v>480</v>
      </c>
      <c r="O113" s="164" t="s">
        <v>481</v>
      </c>
      <c r="P113" s="164" t="s">
        <v>482</v>
      </c>
      <c r="Q113" s="164" t="n">
        <v>88944</v>
      </c>
      <c r="R113" s="164"/>
      <c r="U113" s="156" t="s">
        <v>192</v>
      </c>
      <c r="V113" s="161" t="n">
        <v>54</v>
      </c>
      <c r="W113" s="162" t="n">
        <v>16262702413</v>
      </c>
      <c r="X113" s="163" t="s">
        <v>465</v>
      </c>
      <c r="Y113" s="164" t="s">
        <v>466</v>
      </c>
      <c r="Z113" s="164" t="s">
        <v>467</v>
      </c>
      <c r="AA113" s="164" t="n">
        <v>89407</v>
      </c>
      <c r="AB113" s="164"/>
      <c r="AE113" s="175" t="s">
        <v>192</v>
      </c>
      <c r="AF113" s="176" t="n">
        <v>119</v>
      </c>
      <c r="AG113" s="177" t="n">
        <v>16262731597</v>
      </c>
      <c r="AH113" s="178" t="s">
        <v>540</v>
      </c>
      <c r="AI113" s="179" t="s">
        <v>541</v>
      </c>
      <c r="AJ113" s="179" t="s">
        <v>542</v>
      </c>
      <c r="AK113" s="179"/>
      <c r="AL113" s="178" t="s">
        <v>540</v>
      </c>
      <c r="AM113" s="176" t="n">
        <v>119</v>
      </c>
      <c r="AN113" s="175" t="s">
        <v>192</v>
      </c>
      <c r="AO113" s="178" t="n">
        <v>89376</v>
      </c>
      <c r="AP113" s="180"/>
    </row>
    <row r="114" customFormat="false" ht="14.25" hidden="false" customHeight="false" outlineLevel="0" collapsed="false">
      <c r="A114" s="156" t="s">
        <v>192</v>
      </c>
      <c r="B114" s="161" t="n">
        <v>107</v>
      </c>
      <c r="C114" s="162" t="n">
        <v>16262731362</v>
      </c>
      <c r="D114" s="163" t="s">
        <v>525</v>
      </c>
      <c r="E114" s="164" t="s">
        <v>526</v>
      </c>
      <c r="F114" s="164" t="s">
        <v>527</v>
      </c>
      <c r="G114" s="164" t="n">
        <v>89232</v>
      </c>
      <c r="H114" s="164"/>
      <c r="K114" s="156" t="s">
        <v>192</v>
      </c>
      <c r="L114" s="161" t="n">
        <v>111</v>
      </c>
      <c r="M114" s="162" t="n">
        <v>16262731428</v>
      </c>
      <c r="N114" s="163" t="s">
        <v>513</v>
      </c>
      <c r="O114" s="164" t="s">
        <v>514</v>
      </c>
      <c r="P114" s="164" t="s">
        <v>515</v>
      </c>
      <c r="Q114" s="164" t="n">
        <v>89159</v>
      </c>
      <c r="R114" s="164"/>
      <c r="U114" s="156" t="s">
        <v>192</v>
      </c>
      <c r="V114" s="161" t="n">
        <v>98</v>
      </c>
      <c r="W114" s="162" t="n">
        <v>16262731206</v>
      </c>
      <c r="X114" s="163" t="s">
        <v>534</v>
      </c>
      <c r="Y114" s="164" t="s">
        <v>535</v>
      </c>
      <c r="Z114" s="164" t="s">
        <v>536</v>
      </c>
      <c r="AA114" s="164" t="n">
        <v>89427</v>
      </c>
      <c r="AB114" s="164"/>
      <c r="AE114" s="156" t="s">
        <v>185</v>
      </c>
      <c r="AF114" s="161" t="n">
        <v>72</v>
      </c>
      <c r="AG114" s="162" t="n">
        <v>16262711299</v>
      </c>
      <c r="AH114" s="163" t="s">
        <v>354</v>
      </c>
      <c r="AI114" s="164" t="s">
        <v>355</v>
      </c>
      <c r="AJ114" s="164" t="s">
        <v>356</v>
      </c>
      <c r="AK114" s="164"/>
      <c r="AL114" s="163" t="s">
        <v>354</v>
      </c>
      <c r="AM114" s="161" t="n">
        <v>72</v>
      </c>
      <c r="AN114" s="156" t="s">
        <v>185</v>
      </c>
      <c r="AO114" s="164" t="n">
        <v>89392</v>
      </c>
      <c r="AP114" s="164"/>
    </row>
    <row r="115" customFormat="false" ht="14.25" hidden="false" customHeight="false" outlineLevel="0" collapsed="false">
      <c r="A115" s="156" t="s">
        <v>192</v>
      </c>
      <c r="B115" s="161" t="n">
        <v>108</v>
      </c>
      <c r="C115" s="162" t="n">
        <v>16262731371</v>
      </c>
      <c r="D115" s="163" t="s">
        <v>522</v>
      </c>
      <c r="E115" s="164" t="s">
        <v>523</v>
      </c>
      <c r="F115" s="164" t="s">
        <v>524</v>
      </c>
      <c r="G115" s="164" t="n">
        <v>89220</v>
      </c>
      <c r="H115" s="164"/>
      <c r="K115" s="156" t="s">
        <v>192</v>
      </c>
      <c r="L115" s="161" t="n">
        <v>112</v>
      </c>
      <c r="M115" s="162" t="n">
        <v>16262731446</v>
      </c>
      <c r="N115" s="163" t="s">
        <v>519</v>
      </c>
      <c r="O115" s="164" t="s">
        <v>520</v>
      </c>
      <c r="P115" s="164" t="s">
        <v>521</v>
      </c>
      <c r="Q115" s="164" t="n">
        <v>89212</v>
      </c>
      <c r="R115" s="164"/>
      <c r="U115" s="156" t="s">
        <v>192</v>
      </c>
      <c r="V115" s="161" t="n">
        <v>58</v>
      </c>
      <c r="W115" s="162" t="n">
        <v>16262702490</v>
      </c>
      <c r="X115" s="163" t="s">
        <v>471</v>
      </c>
      <c r="Y115" s="164" t="s">
        <v>472</v>
      </c>
      <c r="Z115" s="164" t="s">
        <v>473</v>
      </c>
      <c r="AA115" s="164" t="n">
        <v>89440</v>
      </c>
      <c r="AB115" s="164"/>
      <c r="AE115" s="156" t="s">
        <v>192</v>
      </c>
      <c r="AF115" s="161" t="n">
        <v>120</v>
      </c>
      <c r="AG115" s="162" t="n">
        <v>16262731606</v>
      </c>
      <c r="AH115" s="163" t="s">
        <v>543</v>
      </c>
      <c r="AI115" s="164" t="s">
        <v>544</v>
      </c>
      <c r="AJ115" s="164" t="s">
        <v>545</v>
      </c>
      <c r="AK115" s="164"/>
      <c r="AL115" s="163" t="s">
        <v>543</v>
      </c>
      <c r="AM115" s="161" t="n">
        <v>120</v>
      </c>
      <c r="AN115" s="156" t="s">
        <v>192</v>
      </c>
      <c r="AO115" s="164" t="n">
        <v>89394</v>
      </c>
      <c r="AP115" s="181"/>
    </row>
    <row r="116" customFormat="false" ht="14.25" hidden="false" customHeight="false" outlineLevel="0" collapsed="false">
      <c r="A116" s="156" t="s">
        <v>192</v>
      </c>
      <c r="B116" s="161" t="n">
        <v>110</v>
      </c>
      <c r="C116" s="162" t="n">
        <v>16262731383</v>
      </c>
      <c r="D116" s="163" t="s">
        <v>480</v>
      </c>
      <c r="E116" s="164" t="s">
        <v>481</v>
      </c>
      <c r="F116" s="164" t="s">
        <v>482</v>
      </c>
      <c r="G116" s="164" t="n">
        <v>88944</v>
      </c>
      <c r="H116" s="164"/>
      <c r="K116" s="156" t="s">
        <v>192</v>
      </c>
      <c r="L116" s="161" t="n">
        <v>113</v>
      </c>
      <c r="M116" s="162" t="n">
        <v>16262731488</v>
      </c>
      <c r="N116" s="163" t="s">
        <v>456</v>
      </c>
      <c r="O116" s="164" t="s">
        <v>457</v>
      </c>
      <c r="P116" s="164" t="s">
        <v>458</v>
      </c>
      <c r="Q116" s="164" t="n">
        <v>88828</v>
      </c>
      <c r="R116" s="164"/>
      <c r="U116" s="156" t="s">
        <v>192</v>
      </c>
      <c r="V116" s="161" t="n">
        <v>51</v>
      </c>
      <c r="W116" s="162" t="n">
        <v>16262702264</v>
      </c>
      <c r="X116" s="163" t="s">
        <v>448</v>
      </c>
      <c r="Y116" s="164" t="s">
        <v>449</v>
      </c>
      <c r="Z116" s="164" t="s">
        <v>450</v>
      </c>
      <c r="AA116" s="164" t="n">
        <v>89441</v>
      </c>
      <c r="AB116" s="164" t="s">
        <v>451</v>
      </c>
      <c r="AE116" s="156" t="s">
        <v>192</v>
      </c>
      <c r="AF116" s="161" t="n">
        <v>54</v>
      </c>
      <c r="AG116" s="162" t="n">
        <v>16262702413</v>
      </c>
      <c r="AH116" s="163" t="s">
        <v>465</v>
      </c>
      <c r="AI116" s="164" t="s">
        <v>466</v>
      </c>
      <c r="AJ116" s="164" t="s">
        <v>467</v>
      </c>
      <c r="AK116" s="164"/>
      <c r="AL116" s="163" t="s">
        <v>465</v>
      </c>
      <c r="AM116" s="161" t="n">
        <v>54</v>
      </c>
      <c r="AN116" s="156" t="s">
        <v>192</v>
      </c>
      <c r="AO116" s="164" t="n">
        <v>89407</v>
      </c>
      <c r="AP116" s="164"/>
    </row>
    <row r="117" customFormat="false" ht="14.25" hidden="false" customHeight="false" outlineLevel="0" collapsed="false">
      <c r="A117" s="156" t="s">
        <v>192</v>
      </c>
      <c r="B117" s="161" t="n">
        <v>111</v>
      </c>
      <c r="C117" s="162" t="n">
        <v>16262731428</v>
      </c>
      <c r="D117" s="163" t="s">
        <v>513</v>
      </c>
      <c r="E117" s="164" t="s">
        <v>514</v>
      </c>
      <c r="F117" s="164" t="s">
        <v>515</v>
      </c>
      <c r="G117" s="164" t="n">
        <v>89159</v>
      </c>
      <c r="H117" s="164"/>
      <c r="K117" s="156" t="s">
        <v>185</v>
      </c>
      <c r="L117" s="161" t="n">
        <v>114</v>
      </c>
      <c r="M117" s="162" t="n">
        <v>16262731492</v>
      </c>
      <c r="N117" s="163" t="s">
        <v>318</v>
      </c>
      <c r="O117" s="164" t="s">
        <v>319</v>
      </c>
      <c r="P117" s="164" t="s">
        <v>320</v>
      </c>
      <c r="Q117" s="164" t="n">
        <v>88469</v>
      </c>
      <c r="R117" s="164"/>
      <c r="U117" s="156" t="s">
        <v>185</v>
      </c>
      <c r="V117" s="161" t="n">
        <v>17</v>
      </c>
      <c r="W117" s="162" t="n">
        <v>16262791256</v>
      </c>
      <c r="X117" s="163" t="s">
        <v>233</v>
      </c>
      <c r="Y117" s="164" t="s">
        <v>234</v>
      </c>
      <c r="Z117" s="164" t="s">
        <v>235</v>
      </c>
      <c r="AA117" s="164" t="n">
        <v>89446</v>
      </c>
      <c r="AB117" s="164"/>
      <c r="AE117" s="156" t="s">
        <v>192</v>
      </c>
      <c r="AF117" s="161" t="n">
        <v>52</v>
      </c>
      <c r="AG117" s="162" t="n">
        <v>16262702313</v>
      </c>
      <c r="AH117" s="163" t="s">
        <v>452</v>
      </c>
      <c r="AI117" s="164" t="s">
        <v>453</v>
      </c>
      <c r="AJ117" s="164" t="s">
        <v>454</v>
      </c>
      <c r="AK117" s="164"/>
      <c r="AL117" s="163" t="s">
        <v>452</v>
      </c>
      <c r="AM117" s="161" t="n">
        <v>52</v>
      </c>
      <c r="AN117" s="156" t="s">
        <v>192</v>
      </c>
      <c r="AO117" s="165" t="n">
        <v>89410</v>
      </c>
      <c r="AP117" s="164" t="s">
        <v>455</v>
      </c>
    </row>
    <row r="118" customFormat="false" ht="14.25" hidden="false" customHeight="false" outlineLevel="0" collapsed="false">
      <c r="A118" s="156" t="s">
        <v>192</v>
      </c>
      <c r="B118" s="161" t="n">
        <v>112</v>
      </c>
      <c r="C118" s="162" t="n">
        <v>16262731446</v>
      </c>
      <c r="D118" s="163" t="s">
        <v>519</v>
      </c>
      <c r="E118" s="164" t="s">
        <v>520</v>
      </c>
      <c r="F118" s="164" t="s">
        <v>521</v>
      </c>
      <c r="G118" s="164" t="n">
        <v>89212</v>
      </c>
      <c r="H118" s="164"/>
      <c r="K118" s="156" t="s">
        <v>192</v>
      </c>
      <c r="L118" s="161" t="n">
        <v>115</v>
      </c>
      <c r="M118" s="162" t="n">
        <v>16262731518</v>
      </c>
      <c r="N118" s="163" t="s">
        <v>215</v>
      </c>
      <c r="O118" s="164" t="s">
        <v>216</v>
      </c>
      <c r="P118" s="164" t="s">
        <v>217</v>
      </c>
      <c r="Q118" s="164" t="n">
        <v>88181</v>
      </c>
      <c r="R118" s="164"/>
      <c r="U118" s="156" t="s">
        <v>192</v>
      </c>
      <c r="V118" s="161" t="n">
        <v>91</v>
      </c>
      <c r="W118" s="162" t="n">
        <v>16262721462</v>
      </c>
      <c r="X118" s="163" t="s">
        <v>528</v>
      </c>
      <c r="Y118" s="164" t="s">
        <v>529</v>
      </c>
      <c r="Z118" s="164" t="s">
        <v>530</v>
      </c>
      <c r="AA118" s="164" t="n">
        <v>89447</v>
      </c>
      <c r="AB118" s="164"/>
      <c r="AE118" s="156" t="s">
        <v>192</v>
      </c>
      <c r="AF118" s="161" t="n">
        <v>98</v>
      </c>
      <c r="AG118" s="162" t="n">
        <v>16262731206</v>
      </c>
      <c r="AH118" s="163" t="s">
        <v>534</v>
      </c>
      <c r="AI118" s="164" t="s">
        <v>535</v>
      </c>
      <c r="AJ118" s="164" t="s">
        <v>536</v>
      </c>
      <c r="AK118" s="164"/>
      <c r="AL118" s="163" t="s">
        <v>534</v>
      </c>
      <c r="AM118" s="161" t="n">
        <v>98</v>
      </c>
      <c r="AN118" s="156" t="s">
        <v>192</v>
      </c>
      <c r="AO118" s="164" t="n">
        <v>89427</v>
      </c>
      <c r="AP118" s="164"/>
    </row>
    <row r="119" customFormat="false" ht="14.25" hidden="false" customHeight="false" outlineLevel="0" collapsed="false">
      <c r="A119" s="156" t="s">
        <v>192</v>
      </c>
      <c r="B119" s="161" t="n">
        <v>113</v>
      </c>
      <c r="C119" s="162" t="n">
        <v>16262731488</v>
      </c>
      <c r="D119" s="163" t="s">
        <v>456</v>
      </c>
      <c r="E119" s="164" t="s">
        <v>457</v>
      </c>
      <c r="F119" s="164" t="s">
        <v>458</v>
      </c>
      <c r="G119" s="164" t="n">
        <v>88828</v>
      </c>
      <c r="H119" s="164"/>
      <c r="K119" s="169" t="s">
        <v>185</v>
      </c>
      <c r="L119" s="170" t="n">
        <v>116</v>
      </c>
      <c r="M119" s="171" t="n">
        <v>16262731334</v>
      </c>
      <c r="N119" s="172" t="n">
        <v>31334</v>
      </c>
      <c r="O119" s="173" t="n">
        <v>230334</v>
      </c>
      <c r="P119" s="173" t="n">
        <v>3334</v>
      </c>
      <c r="Q119" s="164" t="n">
        <v>88490</v>
      </c>
      <c r="R119" s="164"/>
      <c r="U119" s="156" t="s">
        <v>192</v>
      </c>
      <c r="V119" s="161" t="n">
        <v>77</v>
      </c>
      <c r="W119" s="162" t="n">
        <v>16262711439</v>
      </c>
      <c r="X119" s="163" t="s">
        <v>501</v>
      </c>
      <c r="Y119" s="164" t="s">
        <v>502</v>
      </c>
      <c r="Z119" s="164" t="s">
        <v>503</v>
      </c>
      <c r="AA119" s="164" t="n">
        <v>89770</v>
      </c>
      <c r="AB119" s="164"/>
      <c r="AE119" s="156" t="s">
        <v>192</v>
      </c>
      <c r="AF119" s="161" t="n">
        <v>65</v>
      </c>
      <c r="AG119" s="162" t="n">
        <v>16262711172</v>
      </c>
      <c r="AH119" s="163" t="s">
        <v>408</v>
      </c>
      <c r="AI119" s="164" t="s">
        <v>409</v>
      </c>
      <c r="AJ119" s="164" t="s">
        <v>410</v>
      </c>
      <c r="AK119" s="164"/>
      <c r="AL119" s="163" t="s">
        <v>408</v>
      </c>
      <c r="AM119" s="161" t="n">
        <v>65</v>
      </c>
      <c r="AN119" s="156" t="s">
        <v>192</v>
      </c>
      <c r="AO119" s="165" t="n">
        <v>89438</v>
      </c>
      <c r="AP119" s="164" t="s">
        <v>411</v>
      </c>
    </row>
    <row r="120" customFormat="false" ht="14.25" hidden="false" customHeight="false" outlineLevel="0" collapsed="false">
      <c r="A120" s="156" t="s">
        <v>192</v>
      </c>
      <c r="B120" s="161" t="n">
        <v>115</v>
      </c>
      <c r="C120" s="162" t="n">
        <v>16262731518</v>
      </c>
      <c r="D120" s="163" t="s">
        <v>215</v>
      </c>
      <c r="E120" s="164" t="s">
        <v>216</v>
      </c>
      <c r="F120" s="164" t="s">
        <v>217</v>
      </c>
      <c r="G120" s="164" t="n">
        <v>88181</v>
      </c>
      <c r="H120" s="164"/>
      <c r="K120" s="156" t="s">
        <v>192</v>
      </c>
      <c r="L120" s="161" t="n">
        <v>117</v>
      </c>
      <c r="M120" s="162" t="n">
        <v>16262731541</v>
      </c>
      <c r="N120" s="163" t="s">
        <v>442</v>
      </c>
      <c r="O120" s="164" t="s">
        <v>443</v>
      </c>
      <c r="P120" s="164" t="s">
        <v>444</v>
      </c>
      <c r="Q120" s="164" t="n">
        <v>88790</v>
      </c>
      <c r="R120" s="164"/>
      <c r="U120" s="156" t="s">
        <v>192</v>
      </c>
      <c r="V120" s="161" t="n">
        <v>35</v>
      </c>
      <c r="W120" s="162" t="n">
        <v>16262791605</v>
      </c>
      <c r="X120" s="163" t="s">
        <v>405</v>
      </c>
      <c r="Y120" s="164" t="s">
        <v>406</v>
      </c>
      <c r="Z120" s="164" t="s">
        <v>407</v>
      </c>
      <c r="AA120" s="164" t="n">
        <v>89772</v>
      </c>
      <c r="AB120" s="164"/>
      <c r="AE120" s="156" t="s">
        <v>192</v>
      </c>
      <c r="AF120" s="161" t="n">
        <v>58</v>
      </c>
      <c r="AG120" s="162" t="n">
        <v>16262702490</v>
      </c>
      <c r="AH120" s="163" t="s">
        <v>471</v>
      </c>
      <c r="AI120" s="164" t="s">
        <v>472</v>
      </c>
      <c r="AJ120" s="164" t="s">
        <v>473</v>
      </c>
      <c r="AK120" s="164"/>
      <c r="AL120" s="163" t="s">
        <v>471</v>
      </c>
      <c r="AM120" s="161" t="n">
        <v>58</v>
      </c>
      <c r="AN120" s="156" t="s">
        <v>192</v>
      </c>
      <c r="AO120" s="164" t="n">
        <v>89440</v>
      </c>
      <c r="AP120" s="164"/>
    </row>
    <row r="121" customFormat="false" ht="14.25" hidden="false" customHeight="false" outlineLevel="0" collapsed="false">
      <c r="A121" s="156" t="s">
        <v>192</v>
      </c>
      <c r="B121" s="161" t="n">
        <v>117</v>
      </c>
      <c r="C121" s="162" t="n">
        <v>16262731541</v>
      </c>
      <c r="D121" s="163" t="s">
        <v>442</v>
      </c>
      <c r="E121" s="164" t="s">
        <v>443</v>
      </c>
      <c r="F121" s="164" t="s">
        <v>444</v>
      </c>
      <c r="G121" s="164" t="n">
        <v>88790</v>
      </c>
      <c r="H121" s="164"/>
      <c r="K121" s="156" t="s">
        <v>185</v>
      </c>
      <c r="L121" s="161" t="n">
        <v>118</v>
      </c>
      <c r="M121" s="162" t="n">
        <v>16262731584</v>
      </c>
      <c r="N121" s="163" t="s">
        <v>345</v>
      </c>
      <c r="O121" s="164" t="s">
        <v>346</v>
      </c>
      <c r="P121" s="164" t="s">
        <v>347</v>
      </c>
      <c r="Q121" s="164" t="n">
        <v>88529</v>
      </c>
      <c r="R121" s="174"/>
      <c r="U121" s="156" t="s">
        <v>192</v>
      </c>
      <c r="V121" s="161" t="n">
        <v>52</v>
      </c>
      <c r="W121" s="162" t="n">
        <v>16262702313</v>
      </c>
      <c r="X121" s="163" t="s">
        <v>452</v>
      </c>
      <c r="Y121" s="164" t="s">
        <v>453</v>
      </c>
      <c r="Z121" s="164" t="s">
        <v>454</v>
      </c>
      <c r="AA121" s="164" t="n">
        <v>89784</v>
      </c>
      <c r="AB121" s="164" t="s">
        <v>455</v>
      </c>
      <c r="AE121" s="156" t="s">
        <v>192</v>
      </c>
      <c r="AF121" s="161" t="n">
        <v>51</v>
      </c>
      <c r="AG121" s="162" t="n">
        <v>16262702264</v>
      </c>
      <c r="AH121" s="163" t="s">
        <v>448</v>
      </c>
      <c r="AI121" s="164" t="s">
        <v>449</v>
      </c>
      <c r="AJ121" s="164" t="s">
        <v>450</v>
      </c>
      <c r="AK121" s="164"/>
      <c r="AL121" s="163" t="s">
        <v>448</v>
      </c>
      <c r="AM121" s="161" t="n">
        <v>51</v>
      </c>
      <c r="AN121" s="156" t="s">
        <v>192</v>
      </c>
      <c r="AO121" s="164" t="n">
        <v>89441</v>
      </c>
      <c r="AP121" s="164" t="s">
        <v>451</v>
      </c>
    </row>
    <row r="122" customFormat="false" ht="14.25" hidden="false" customHeight="false" outlineLevel="0" collapsed="false">
      <c r="A122" s="175" t="s">
        <v>192</v>
      </c>
      <c r="B122" s="176" t="n">
        <v>119</v>
      </c>
      <c r="C122" s="177" t="n">
        <v>16262731597</v>
      </c>
      <c r="D122" s="178" t="s">
        <v>540</v>
      </c>
      <c r="E122" s="179" t="s">
        <v>541</v>
      </c>
      <c r="F122" s="179" t="s">
        <v>542</v>
      </c>
      <c r="G122" s="180" t="n">
        <v>89376</v>
      </c>
      <c r="H122" s="180"/>
      <c r="K122" s="175" t="s">
        <v>192</v>
      </c>
      <c r="L122" s="176" t="n">
        <v>119</v>
      </c>
      <c r="M122" s="177" t="n">
        <v>16262731597</v>
      </c>
      <c r="N122" s="178" t="s">
        <v>540</v>
      </c>
      <c r="O122" s="179" t="s">
        <v>541</v>
      </c>
      <c r="P122" s="179" t="s">
        <v>542</v>
      </c>
      <c r="Q122" s="180" t="n">
        <v>89376</v>
      </c>
      <c r="R122" s="180"/>
      <c r="U122" s="156" t="s">
        <v>192</v>
      </c>
      <c r="V122" s="161" t="n">
        <v>80</v>
      </c>
      <c r="W122" s="162" t="n">
        <v>16262711577</v>
      </c>
      <c r="X122" s="163" t="s">
        <v>510</v>
      </c>
      <c r="Y122" s="164" t="s">
        <v>511</v>
      </c>
      <c r="Z122" s="164" t="s">
        <v>512</v>
      </c>
      <c r="AA122" s="164" t="n">
        <v>89791</v>
      </c>
      <c r="AB122" s="164"/>
      <c r="AE122" s="156" t="s">
        <v>185</v>
      </c>
      <c r="AF122" s="161" t="n">
        <v>17</v>
      </c>
      <c r="AG122" s="162" t="n">
        <v>16262791256</v>
      </c>
      <c r="AH122" s="163" t="s">
        <v>233</v>
      </c>
      <c r="AI122" s="164" t="s">
        <v>234</v>
      </c>
      <c r="AJ122" s="164" t="s">
        <v>235</v>
      </c>
      <c r="AK122" s="164"/>
      <c r="AL122" s="163" t="s">
        <v>233</v>
      </c>
      <c r="AM122" s="161" t="n">
        <v>17</v>
      </c>
      <c r="AN122" s="156" t="s">
        <v>185</v>
      </c>
      <c r="AO122" s="164" t="n">
        <v>89446</v>
      </c>
      <c r="AP122" s="164"/>
    </row>
    <row r="123" customFormat="false" ht="14.25" hidden="false" customHeight="false" outlineLevel="0" collapsed="false">
      <c r="A123" s="156" t="s">
        <v>192</v>
      </c>
      <c r="B123" s="161" t="n">
        <v>120</v>
      </c>
      <c r="C123" s="162" t="n">
        <v>16262731606</v>
      </c>
      <c r="D123" s="163" t="s">
        <v>543</v>
      </c>
      <c r="E123" s="164" t="s">
        <v>544</v>
      </c>
      <c r="F123" s="164" t="s">
        <v>545</v>
      </c>
      <c r="G123" s="164" t="n">
        <v>89394</v>
      </c>
      <c r="H123" s="181"/>
      <c r="K123" s="156" t="s">
        <v>192</v>
      </c>
      <c r="L123" s="161" t="n">
        <v>120</v>
      </c>
      <c r="M123" s="162" t="n">
        <v>16262731606</v>
      </c>
      <c r="N123" s="163" t="s">
        <v>543</v>
      </c>
      <c r="O123" s="164" t="s">
        <v>544</v>
      </c>
      <c r="P123" s="164" t="s">
        <v>545</v>
      </c>
      <c r="Q123" s="164" t="n">
        <v>89394</v>
      </c>
      <c r="R123" s="181"/>
      <c r="U123" s="156" t="s">
        <v>192</v>
      </c>
      <c r="V123" s="161" t="n">
        <v>24</v>
      </c>
      <c r="W123" s="162" t="n">
        <v>16262791413</v>
      </c>
      <c r="X123" s="163" t="s">
        <v>342</v>
      </c>
      <c r="Y123" s="164" t="s">
        <v>343</v>
      </c>
      <c r="Z123" s="164" t="s">
        <v>344</v>
      </c>
      <c r="AA123" s="164" t="n">
        <v>89792</v>
      </c>
      <c r="AB123" s="164"/>
      <c r="AE123" s="156" t="s">
        <v>192</v>
      </c>
      <c r="AF123" s="161" t="n">
        <v>91</v>
      </c>
      <c r="AG123" s="162" t="n">
        <v>16262721462</v>
      </c>
      <c r="AH123" s="163" t="s">
        <v>528</v>
      </c>
      <c r="AI123" s="164" t="s">
        <v>529</v>
      </c>
      <c r="AJ123" s="164" t="s">
        <v>530</v>
      </c>
      <c r="AK123" s="164"/>
      <c r="AL123" s="163" t="s">
        <v>528</v>
      </c>
      <c r="AM123" s="161" t="n">
        <v>91</v>
      </c>
      <c r="AN123" s="156" t="s">
        <v>192</v>
      </c>
      <c r="AO123" s="164" t="n">
        <v>89447</v>
      </c>
      <c r="AP123" s="164"/>
    </row>
    <row r="124" customFormat="false" ht="14.25" hidden="false" customHeight="false" outlineLevel="0" collapsed="false">
      <c r="A124" s="182"/>
      <c r="B124" s="183"/>
      <c r="C124" s="183"/>
      <c r="D124" s="183"/>
      <c r="E124" s="183"/>
      <c r="F124" s="183"/>
      <c r="G124" s="184"/>
      <c r="H124" s="184"/>
      <c r="U124" s="156" t="s">
        <v>192</v>
      </c>
      <c r="V124" s="161" t="n">
        <v>65</v>
      </c>
      <c r="W124" s="162" t="n">
        <v>16262711172</v>
      </c>
      <c r="X124" s="163" t="s">
        <v>408</v>
      </c>
      <c r="Y124" s="164" t="s">
        <v>409</v>
      </c>
      <c r="Z124" s="164" t="s">
        <v>410</v>
      </c>
      <c r="AA124" s="165" t="n">
        <v>89438</v>
      </c>
      <c r="AB124" s="164" t="s">
        <v>411</v>
      </c>
      <c r="AE124" s="156" t="s">
        <v>192</v>
      </c>
      <c r="AF124" s="161" t="n">
        <v>77</v>
      </c>
      <c r="AG124" s="162" t="n">
        <v>16262711439</v>
      </c>
      <c r="AH124" s="163" t="s">
        <v>501</v>
      </c>
      <c r="AI124" s="164" t="s">
        <v>502</v>
      </c>
      <c r="AJ124" s="164" t="s">
        <v>503</v>
      </c>
      <c r="AK124" s="164"/>
      <c r="AL124" s="163" t="s">
        <v>501</v>
      </c>
      <c r="AM124" s="161" t="n">
        <v>77</v>
      </c>
      <c r="AN124" s="156" t="s">
        <v>192</v>
      </c>
      <c r="AO124" s="164" t="n">
        <v>89770</v>
      </c>
      <c r="AP124" s="164"/>
    </row>
    <row r="125" customFormat="false" ht="14.25" hidden="false" customHeight="false" outlineLevel="0" collapsed="false">
      <c r="A125" s="185" t="s">
        <v>185</v>
      </c>
      <c r="B125" s="186" t="n">
        <v>116</v>
      </c>
      <c r="C125" s="187" t="n">
        <v>16262731536</v>
      </c>
      <c r="D125" s="188" t="s">
        <v>546</v>
      </c>
      <c r="E125" s="189" t="s">
        <v>547</v>
      </c>
      <c r="F125" s="189" t="s">
        <v>548</v>
      </c>
      <c r="G125" s="189"/>
      <c r="H125" s="189"/>
      <c r="U125" s="156" t="s">
        <v>192</v>
      </c>
      <c r="V125" s="161" t="n">
        <v>30</v>
      </c>
      <c r="W125" s="162" t="n">
        <v>16262791497</v>
      </c>
      <c r="X125" s="163" t="s">
        <v>193</v>
      </c>
      <c r="Y125" s="164" t="s">
        <v>194</v>
      </c>
      <c r="Z125" s="164" t="s">
        <v>195</v>
      </c>
      <c r="AA125" s="165" t="n">
        <v>88158</v>
      </c>
      <c r="AB125" s="164" t="s">
        <v>196</v>
      </c>
      <c r="AE125" s="156" t="s">
        <v>192</v>
      </c>
      <c r="AF125" s="161" t="n">
        <v>35</v>
      </c>
      <c r="AG125" s="162" t="n">
        <v>16262791605</v>
      </c>
      <c r="AH125" s="163" t="s">
        <v>405</v>
      </c>
      <c r="AI125" s="164" t="s">
        <v>406</v>
      </c>
      <c r="AJ125" s="164" t="s">
        <v>407</v>
      </c>
      <c r="AK125" s="164"/>
      <c r="AL125" s="163" t="s">
        <v>405</v>
      </c>
      <c r="AM125" s="161" t="n">
        <v>35</v>
      </c>
      <c r="AN125" s="156" t="s">
        <v>192</v>
      </c>
      <c r="AO125" s="164" t="n">
        <v>89772</v>
      </c>
      <c r="AP125" s="164"/>
    </row>
    <row r="126" customFormat="false" ht="14.25" hidden="false" customHeight="false" outlineLevel="0" collapsed="false">
      <c r="A126" s="185" t="s">
        <v>192</v>
      </c>
      <c r="B126" s="186" t="n">
        <v>34</v>
      </c>
      <c r="C126" s="187" t="n">
        <v>16262791600</v>
      </c>
      <c r="D126" s="188" t="s">
        <v>549</v>
      </c>
      <c r="E126" s="189" t="s">
        <v>550</v>
      </c>
      <c r="F126" s="189" t="s">
        <v>551</v>
      </c>
      <c r="G126" s="189"/>
      <c r="H126" s="189"/>
      <c r="U126" s="156" t="s">
        <v>192</v>
      </c>
      <c r="V126" s="161" t="n">
        <v>81</v>
      </c>
      <c r="W126" s="162" t="n">
        <v>16262711627</v>
      </c>
      <c r="X126" s="163" t="s">
        <v>272</v>
      </c>
      <c r="Y126" s="164" t="s">
        <v>273</v>
      </c>
      <c r="Z126" s="164" t="s">
        <v>274</v>
      </c>
      <c r="AA126" s="165" t="n">
        <v>88217</v>
      </c>
      <c r="AB126" s="164" t="s">
        <v>275</v>
      </c>
      <c r="AE126" s="156" t="s">
        <v>192</v>
      </c>
      <c r="AF126" s="161" t="n">
        <v>52</v>
      </c>
      <c r="AG126" s="162" t="n">
        <v>16262702313</v>
      </c>
      <c r="AH126" s="163" t="s">
        <v>452</v>
      </c>
      <c r="AI126" s="164" t="s">
        <v>453</v>
      </c>
      <c r="AJ126" s="164" t="s">
        <v>454</v>
      </c>
      <c r="AK126" s="164"/>
      <c r="AL126" s="163" t="s">
        <v>452</v>
      </c>
      <c r="AM126" s="161" t="n">
        <v>52</v>
      </c>
      <c r="AN126" s="156" t="s">
        <v>192</v>
      </c>
      <c r="AO126" s="164" t="n">
        <v>89784</v>
      </c>
      <c r="AP126" s="164" t="s">
        <v>455</v>
      </c>
    </row>
    <row r="127" customFormat="false" ht="14.25" hidden="false" customHeight="false" outlineLevel="0" collapsed="false">
      <c r="A127" s="182"/>
      <c r="B127" s="183"/>
      <c r="C127" s="182"/>
      <c r="D127" s="182"/>
      <c r="E127" s="182"/>
      <c r="F127" s="190"/>
      <c r="U127" s="156" t="s">
        <v>192</v>
      </c>
      <c r="V127" s="161" t="n">
        <v>51</v>
      </c>
      <c r="W127" s="162" t="n">
        <v>16262702264</v>
      </c>
      <c r="X127" s="163" t="s">
        <v>448</v>
      </c>
      <c r="Y127" s="164" t="s">
        <v>449</v>
      </c>
      <c r="Z127" s="164" t="s">
        <v>450</v>
      </c>
      <c r="AA127" s="165" t="n">
        <v>89059</v>
      </c>
      <c r="AB127" s="164" t="s">
        <v>451</v>
      </c>
      <c r="AE127" s="156" t="s">
        <v>192</v>
      </c>
      <c r="AF127" s="161" t="n">
        <v>80</v>
      </c>
      <c r="AG127" s="162" t="n">
        <v>16262711577</v>
      </c>
      <c r="AH127" s="163" t="s">
        <v>510</v>
      </c>
      <c r="AI127" s="164" t="s">
        <v>511</v>
      </c>
      <c r="AJ127" s="164" t="s">
        <v>512</v>
      </c>
      <c r="AK127" s="164"/>
      <c r="AL127" s="163" t="s">
        <v>510</v>
      </c>
      <c r="AM127" s="161" t="n">
        <v>80</v>
      </c>
      <c r="AN127" s="156" t="s">
        <v>192</v>
      </c>
      <c r="AO127" s="164" t="n">
        <v>89791</v>
      </c>
      <c r="AP127" s="164"/>
    </row>
    <row r="128" customFormat="false" ht="14.25" hidden="false" customHeight="false" outlineLevel="0" collapsed="false">
      <c r="A128" s="182"/>
      <c r="B128" s="183"/>
      <c r="C128" s="182"/>
      <c r="D128" s="182"/>
      <c r="E128" s="182"/>
      <c r="F128" s="184"/>
      <c r="G128" s="191"/>
      <c r="H128" s="191"/>
      <c r="U128" s="156" t="s">
        <v>192</v>
      </c>
      <c r="V128" s="161" t="n">
        <v>52</v>
      </c>
      <c r="W128" s="162" t="n">
        <v>16262702313</v>
      </c>
      <c r="X128" s="163" t="s">
        <v>452</v>
      </c>
      <c r="Y128" s="164" t="s">
        <v>453</v>
      </c>
      <c r="Z128" s="164" t="s">
        <v>454</v>
      </c>
      <c r="AA128" s="165" t="n">
        <v>89410</v>
      </c>
      <c r="AB128" s="164" t="s">
        <v>455</v>
      </c>
      <c r="AE128" s="156" t="s">
        <v>192</v>
      </c>
      <c r="AF128" s="161" t="n">
        <v>24</v>
      </c>
      <c r="AG128" s="162" t="n">
        <v>16262791413</v>
      </c>
      <c r="AH128" s="163" t="s">
        <v>342</v>
      </c>
      <c r="AI128" s="164" t="s">
        <v>343</v>
      </c>
      <c r="AJ128" s="164" t="s">
        <v>344</v>
      </c>
      <c r="AK128" s="164"/>
      <c r="AL128" s="163" t="s">
        <v>342</v>
      </c>
      <c r="AM128" s="161" t="n">
        <v>24</v>
      </c>
      <c r="AN128" s="156" t="s">
        <v>192</v>
      </c>
      <c r="AO128" s="164" t="n">
        <v>89792</v>
      </c>
      <c r="AP128" s="164"/>
    </row>
    <row r="129" customFormat="false" ht="14.25" hidden="false" customHeight="false" outlineLevel="0" collapsed="false">
      <c r="A129" s="192"/>
      <c r="C129" s="1"/>
      <c r="D129" s="151"/>
    </row>
    <row r="133" customFormat="false" ht="14.25" hidden="false" customHeight="false" outlineLevel="0" collapsed="false">
      <c r="G133" s="193"/>
      <c r="H133" s="193"/>
    </row>
    <row r="134" customFormat="false" ht="14.25" hidden="false" customHeight="false" outlineLevel="0" collapsed="false">
      <c r="G134" s="184"/>
      <c r="H134" s="184"/>
    </row>
    <row r="135" customFormat="false" ht="14.25" hidden="false" customHeight="false" outlineLevel="0" collapsed="false">
      <c r="G135" s="190"/>
      <c r="H135" s="190"/>
    </row>
    <row r="136" customFormat="false" ht="14.25" hidden="false" customHeight="false" outlineLevel="0" collapsed="false">
      <c r="G136" s="184"/>
      <c r="H136" s="18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43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O21" activeCellId="0" sqref="O21"/>
    </sheetView>
  </sheetViews>
  <sheetFormatPr defaultColWidth="11.562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.56"/>
    <col collapsed="false" customWidth="true" hidden="false" outlineLevel="0" max="3" min="3" style="1" width="10.44"/>
    <col collapsed="false" customWidth="true" hidden="false" outlineLevel="0" max="4" min="4" style="1" width="8.56"/>
    <col collapsed="false" customWidth="true" hidden="false" outlineLevel="0" max="5" min="5" style="1" width="7.33"/>
    <col collapsed="false" customWidth="true" hidden="false" outlineLevel="0" max="6" min="6" style="1" width="15"/>
    <col collapsed="false" customWidth="true" hidden="false" outlineLevel="0" max="8" min="7" style="1" width="8.34"/>
    <col collapsed="false" customWidth="true" hidden="false" outlineLevel="0" max="9" min="9" style="1" width="6.33"/>
    <col collapsed="false" customWidth="true" hidden="false" outlineLevel="0" max="10" min="10" style="1" width="8.34"/>
    <col collapsed="false" customWidth="true" hidden="false" outlineLevel="0" max="11" min="11" style="1" width="20.33"/>
    <col collapsed="false" customWidth="true" hidden="false" outlineLevel="0" max="12" min="12" style="1" width="6.33"/>
    <col collapsed="false" customWidth="true" hidden="false" outlineLevel="0" max="13" min="13" style="1" width="8.56"/>
    <col collapsed="false" customWidth="true" hidden="false" outlineLevel="0" max="14" min="14" style="1" width="7.88"/>
  </cols>
  <sheetData>
    <row r="1" customFormat="false" ht="41.75" hidden="false" customHeight="false" outlineLevel="0" collapsed="false">
      <c r="A1" s="28" t="s">
        <v>552</v>
      </c>
      <c r="B1" s="28" t="s">
        <v>553</v>
      </c>
      <c r="C1" s="29" t="s">
        <v>554</v>
      </c>
      <c r="D1" s="29" t="s">
        <v>555</v>
      </c>
      <c r="E1" s="29" t="s">
        <v>556</v>
      </c>
      <c r="F1" s="28" t="s">
        <v>557</v>
      </c>
      <c r="G1" s="29" t="s">
        <v>558</v>
      </c>
      <c r="H1" s="194" t="s">
        <v>559</v>
      </c>
      <c r="I1" s="194" t="s">
        <v>560</v>
      </c>
      <c r="J1" s="194" t="s">
        <v>561</v>
      </c>
      <c r="K1" s="28" t="s">
        <v>562</v>
      </c>
      <c r="L1" s="28" t="s">
        <v>563</v>
      </c>
      <c r="M1" s="29" t="s">
        <v>555</v>
      </c>
      <c r="N1" s="194" t="s">
        <v>564</v>
      </c>
      <c r="O1" s="195"/>
    </row>
    <row r="2" customFormat="false" ht="14.25" hidden="false" customHeight="false" outlineLevel="0" collapsed="false">
      <c r="A2" s="1" t="n">
        <v>56</v>
      </c>
      <c r="B2" s="1" t="s">
        <v>565</v>
      </c>
      <c r="C2" s="1" t="s">
        <v>566</v>
      </c>
      <c r="D2" s="196" t="n">
        <v>2568</v>
      </c>
      <c r="E2" s="196" t="s">
        <v>51</v>
      </c>
      <c r="F2" s="197" t="s">
        <v>567</v>
      </c>
      <c r="G2" s="198" t="s">
        <v>568</v>
      </c>
      <c r="H2" s="163" t="s">
        <v>381</v>
      </c>
      <c r="I2" s="161" t="n">
        <v>44</v>
      </c>
      <c r="J2" s="156" t="s">
        <v>192</v>
      </c>
      <c r="K2" s="199" t="n">
        <v>45435.3938194444</v>
      </c>
      <c r="L2" s="1" t="n">
        <v>1</v>
      </c>
      <c r="M2" s="196" t="n">
        <v>2568</v>
      </c>
      <c r="N2" s="1" t="n">
        <v>1</v>
      </c>
    </row>
    <row r="3" customFormat="false" ht="14.25" hidden="false" customHeight="false" outlineLevel="0" collapsed="false">
      <c r="A3" s="1" t="n">
        <v>57</v>
      </c>
      <c r="B3" s="1" t="s">
        <v>565</v>
      </c>
      <c r="C3" s="1" t="s">
        <v>566</v>
      </c>
      <c r="D3" s="196" t="n">
        <v>2568</v>
      </c>
      <c r="E3" s="196" t="s">
        <v>51</v>
      </c>
      <c r="F3" s="197" t="s">
        <v>567</v>
      </c>
      <c r="G3" s="198" t="s">
        <v>568</v>
      </c>
      <c r="H3" s="163" t="s">
        <v>381</v>
      </c>
      <c r="I3" s="161" t="n">
        <v>44</v>
      </c>
      <c r="J3" s="156" t="s">
        <v>192</v>
      </c>
      <c r="K3" s="199" t="n">
        <v>45435.3938425926</v>
      </c>
      <c r="L3" s="1" t="n">
        <v>0</v>
      </c>
      <c r="M3" s="196" t="n">
        <v>2568</v>
      </c>
      <c r="N3" s="1" t="n">
        <v>2</v>
      </c>
    </row>
    <row r="4" customFormat="false" ht="14.25" hidden="false" customHeight="false" outlineLevel="0" collapsed="false">
      <c r="A4" s="1" t="n">
        <v>58</v>
      </c>
      <c r="B4" s="1" t="s">
        <v>565</v>
      </c>
      <c r="C4" s="1" t="s">
        <v>566</v>
      </c>
      <c r="D4" s="196" t="n">
        <v>2568</v>
      </c>
      <c r="E4" s="196" t="s">
        <v>51</v>
      </c>
      <c r="F4" s="197" t="s">
        <v>567</v>
      </c>
      <c r="G4" s="198" t="s">
        <v>568</v>
      </c>
      <c r="H4" s="163" t="s">
        <v>381</v>
      </c>
      <c r="I4" s="161" t="n">
        <v>44</v>
      </c>
      <c r="J4" s="156" t="s">
        <v>192</v>
      </c>
      <c r="K4" s="199" t="n">
        <v>45435.3941203704</v>
      </c>
      <c r="L4" s="1" t="n">
        <v>0</v>
      </c>
      <c r="M4" s="196" t="n">
        <v>2568</v>
      </c>
      <c r="N4" s="1" t="n">
        <v>3</v>
      </c>
    </row>
    <row r="5" customFormat="false" ht="14.25" hidden="false" customHeight="false" outlineLevel="0" collapsed="false">
      <c r="A5" s="1" t="n">
        <v>59</v>
      </c>
      <c r="B5" s="1" t="s">
        <v>565</v>
      </c>
      <c r="C5" s="1" t="s">
        <v>566</v>
      </c>
      <c r="D5" s="196" t="n">
        <v>2568</v>
      </c>
      <c r="E5" s="196" t="s">
        <v>51</v>
      </c>
      <c r="F5" s="197" t="s">
        <v>567</v>
      </c>
      <c r="G5" s="198" t="s">
        <v>568</v>
      </c>
      <c r="H5" s="163" t="s">
        <v>381</v>
      </c>
      <c r="I5" s="161" t="n">
        <v>44</v>
      </c>
      <c r="J5" s="156" t="s">
        <v>192</v>
      </c>
      <c r="K5" s="199" t="n">
        <v>45435.3941319444</v>
      </c>
      <c r="L5" s="1" t="n">
        <v>0</v>
      </c>
      <c r="M5" s="196" t="n">
        <v>2568</v>
      </c>
      <c r="N5" s="1" t="n">
        <v>4</v>
      </c>
    </row>
    <row r="6" customFormat="false" ht="14.25" hidden="false" customHeight="false" outlineLevel="0" collapsed="false">
      <c r="A6" s="1" t="n">
        <v>60</v>
      </c>
      <c r="B6" s="1" t="s">
        <v>565</v>
      </c>
      <c r="C6" s="1" t="s">
        <v>566</v>
      </c>
      <c r="D6" s="196" t="n">
        <v>2568</v>
      </c>
      <c r="E6" s="196" t="s">
        <v>51</v>
      </c>
      <c r="F6" s="197" t="s">
        <v>567</v>
      </c>
      <c r="G6" s="198" t="s">
        <v>568</v>
      </c>
      <c r="H6" s="163" t="s">
        <v>381</v>
      </c>
      <c r="I6" s="161" t="n">
        <v>44</v>
      </c>
      <c r="J6" s="156" t="s">
        <v>192</v>
      </c>
      <c r="K6" s="199" t="n">
        <v>45435.394537037</v>
      </c>
      <c r="L6" s="1" t="n">
        <v>1</v>
      </c>
      <c r="M6" s="196" t="n">
        <v>2568</v>
      </c>
      <c r="N6" s="1" t="n">
        <v>5</v>
      </c>
    </row>
    <row r="7" customFormat="false" ht="14.25" hidden="false" customHeight="false" outlineLevel="0" collapsed="false">
      <c r="A7" s="1" t="n">
        <v>61</v>
      </c>
      <c r="B7" s="1" t="s">
        <v>565</v>
      </c>
      <c r="C7" s="1" t="s">
        <v>566</v>
      </c>
      <c r="D7" s="196" t="n">
        <v>2568</v>
      </c>
      <c r="E7" s="196" t="s">
        <v>51</v>
      </c>
      <c r="F7" s="197" t="s">
        <v>567</v>
      </c>
      <c r="G7" s="198" t="s">
        <v>568</v>
      </c>
      <c r="H7" s="163" t="s">
        <v>381</v>
      </c>
      <c r="I7" s="161" t="n">
        <v>44</v>
      </c>
      <c r="J7" s="156" t="s">
        <v>192</v>
      </c>
      <c r="K7" s="199" t="n">
        <v>45435.3945601852</v>
      </c>
      <c r="L7" s="1" t="n">
        <v>8</v>
      </c>
      <c r="M7" s="196" t="n">
        <v>2568</v>
      </c>
      <c r="N7" s="1" t="n">
        <v>6</v>
      </c>
    </row>
    <row r="8" customFormat="false" ht="14.25" hidden="false" customHeight="false" outlineLevel="0" collapsed="false">
      <c r="A8" s="1" t="n">
        <v>62</v>
      </c>
      <c r="B8" s="1" t="s">
        <v>565</v>
      </c>
      <c r="C8" s="1" t="s">
        <v>566</v>
      </c>
      <c r="D8" s="196" t="n">
        <v>2568</v>
      </c>
      <c r="E8" s="196" t="s">
        <v>51</v>
      </c>
      <c r="F8" s="197" t="s">
        <v>569</v>
      </c>
      <c r="G8" s="198" t="s">
        <v>570</v>
      </c>
      <c r="H8" s="163" t="s">
        <v>279</v>
      </c>
      <c r="I8" s="161" t="n">
        <v>12</v>
      </c>
      <c r="J8" s="156" t="s">
        <v>192</v>
      </c>
      <c r="K8" s="199" t="n">
        <v>45435.3974768519</v>
      </c>
      <c r="L8" s="1" t="n">
        <v>1</v>
      </c>
      <c r="M8" s="196" t="n">
        <v>2568</v>
      </c>
      <c r="N8" s="1" t="n">
        <v>7</v>
      </c>
    </row>
    <row r="9" customFormat="false" ht="14.25" hidden="false" customHeight="false" outlineLevel="0" collapsed="false">
      <c r="A9" s="1" t="n">
        <v>63</v>
      </c>
      <c r="B9" s="1" t="s">
        <v>565</v>
      </c>
      <c r="C9" s="1" t="s">
        <v>566</v>
      </c>
      <c r="D9" s="196" t="n">
        <v>2568</v>
      </c>
      <c r="E9" s="196" t="s">
        <v>51</v>
      </c>
      <c r="F9" s="197" t="s">
        <v>571</v>
      </c>
      <c r="G9" s="198" t="s">
        <v>572</v>
      </c>
      <c r="H9" s="163" t="s">
        <v>209</v>
      </c>
      <c r="I9" s="161" t="n">
        <v>18</v>
      </c>
      <c r="J9" s="156" t="s">
        <v>192</v>
      </c>
      <c r="K9" s="199" t="n">
        <v>45435.4004513889</v>
      </c>
      <c r="L9" s="1" t="n">
        <v>1</v>
      </c>
      <c r="M9" s="196" t="n">
        <v>2568</v>
      </c>
      <c r="N9" s="1" t="n">
        <v>8</v>
      </c>
    </row>
    <row r="10" customFormat="false" ht="14.25" hidden="false" customHeight="false" outlineLevel="0" collapsed="false">
      <c r="A10" s="1" t="n">
        <v>64</v>
      </c>
      <c r="B10" s="1" t="s">
        <v>565</v>
      </c>
      <c r="C10" s="1" t="s">
        <v>566</v>
      </c>
      <c r="D10" s="196" t="n">
        <v>2568</v>
      </c>
      <c r="E10" s="196" t="s">
        <v>51</v>
      </c>
      <c r="F10" s="197" t="s">
        <v>573</v>
      </c>
      <c r="G10" s="198" t="s">
        <v>574</v>
      </c>
      <c r="H10" s="163" t="s">
        <v>477</v>
      </c>
      <c r="I10" s="161" t="n">
        <v>61</v>
      </c>
      <c r="J10" s="156" t="s">
        <v>192</v>
      </c>
      <c r="K10" s="199" t="n">
        <v>45435.4250347222</v>
      </c>
      <c r="L10" s="10" t="n">
        <v>397</v>
      </c>
      <c r="M10" s="196" t="n">
        <v>2568</v>
      </c>
      <c r="N10" s="1" t="n">
        <v>9</v>
      </c>
    </row>
    <row r="11" customFormat="false" ht="14.25" hidden="false" customHeight="false" outlineLevel="0" collapsed="false">
      <c r="A11" s="1" t="n">
        <v>65</v>
      </c>
      <c r="B11" s="1" t="s">
        <v>565</v>
      </c>
      <c r="C11" s="1" t="s">
        <v>566</v>
      </c>
      <c r="D11" s="196" t="n">
        <v>2568</v>
      </c>
      <c r="E11" s="196" t="s">
        <v>51</v>
      </c>
      <c r="F11" s="197" t="s">
        <v>575</v>
      </c>
      <c r="G11" s="198" t="s">
        <v>576</v>
      </c>
      <c r="H11" s="163" t="s">
        <v>366</v>
      </c>
      <c r="I11" s="161" t="n">
        <v>28</v>
      </c>
      <c r="J11" s="156" t="s">
        <v>192</v>
      </c>
      <c r="K11" s="199" t="n">
        <v>45435.4390046296</v>
      </c>
      <c r="L11" s="1" t="n">
        <v>0</v>
      </c>
      <c r="M11" s="196" t="n">
        <v>2568</v>
      </c>
      <c r="N11" s="1" t="n">
        <v>10</v>
      </c>
    </row>
    <row r="12" customFormat="false" ht="14.25" hidden="false" customHeight="false" outlineLevel="0" collapsed="false">
      <c r="A12" s="1" t="n">
        <v>66</v>
      </c>
      <c r="B12" s="1" t="s">
        <v>565</v>
      </c>
      <c r="C12" s="1" t="s">
        <v>566</v>
      </c>
      <c r="D12" s="196" t="n">
        <v>2568</v>
      </c>
      <c r="E12" s="196" t="s">
        <v>51</v>
      </c>
      <c r="F12" s="197" t="s">
        <v>575</v>
      </c>
      <c r="G12" s="198" t="s">
        <v>576</v>
      </c>
      <c r="H12" s="163" t="s">
        <v>366</v>
      </c>
      <c r="I12" s="161" t="n">
        <v>28</v>
      </c>
      <c r="J12" s="156" t="s">
        <v>192</v>
      </c>
      <c r="K12" s="199" t="n">
        <v>45435.4390162037</v>
      </c>
      <c r="L12" s="1" t="n">
        <v>1</v>
      </c>
      <c r="M12" s="196" t="n">
        <v>2568</v>
      </c>
      <c r="N12" s="1" t="n">
        <v>11</v>
      </c>
    </row>
    <row r="13" customFormat="false" ht="14.25" hidden="false" customHeight="false" outlineLevel="0" collapsed="false">
      <c r="A13" s="1" t="n">
        <v>67</v>
      </c>
      <c r="B13" s="1" t="s">
        <v>565</v>
      </c>
      <c r="C13" s="1" t="s">
        <v>566</v>
      </c>
      <c r="D13" s="196" t="n">
        <v>2568</v>
      </c>
      <c r="E13" s="196" t="s">
        <v>51</v>
      </c>
      <c r="F13" s="197" t="s">
        <v>575</v>
      </c>
      <c r="G13" s="198" t="s">
        <v>576</v>
      </c>
      <c r="H13" s="163" t="s">
        <v>366</v>
      </c>
      <c r="I13" s="161" t="n">
        <v>28</v>
      </c>
      <c r="J13" s="156" t="s">
        <v>192</v>
      </c>
      <c r="K13" s="199" t="n">
        <v>45435.4392013889</v>
      </c>
      <c r="L13" s="1" t="n">
        <v>1</v>
      </c>
      <c r="M13" s="196" t="n">
        <v>2568</v>
      </c>
      <c r="N13" s="1" t="n">
        <v>12</v>
      </c>
    </row>
    <row r="14" customFormat="false" ht="14.25" hidden="false" customHeight="false" outlineLevel="0" collapsed="false">
      <c r="A14" s="1" t="n">
        <v>68</v>
      </c>
      <c r="B14" s="1" t="s">
        <v>565</v>
      </c>
      <c r="C14" s="1" t="s">
        <v>566</v>
      </c>
      <c r="D14" s="196" t="n">
        <v>2568</v>
      </c>
      <c r="E14" s="196" t="s">
        <v>51</v>
      </c>
      <c r="F14" s="197" t="s">
        <v>571</v>
      </c>
      <c r="G14" s="198" t="s">
        <v>572</v>
      </c>
      <c r="H14" s="163" t="s">
        <v>209</v>
      </c>
      <c r="I14" s="161" t="n">
        <v>18</v>
      </c>
      <c r="J14" s="156" t="s">
        <v>192</v>
      </c>
      <c r="K14" s="199" t="n">
        <v>45435.4640393519</v>
      </c>
      <c r="L14" s="1" t="n">
        <v>1</v>
      </c>
      <c r="M14" s="196" t="n">
        <v>2568</v>
      </c>
      <c r="N14" s="1" t="n">
        <v>13</v>
      </c>
    </row>
    <row r="15" customFormat="false" ht="14.25" hidden="false" customHeight="false" outlineLevel="0" collapsed="false">
      <c r="A15" s="1" t="n">
        <v>69</v>
      </c>
      <c r="B15" s="1" t="s">
        <v>565</v>
      </c>
      <c r="C15" s="1" t="s">
        <v>566</v>
      </c>
      <c r="D15" s="196" t="n">
        <v>2568</v>
      </c>
      <c r="E15" s="196" t="s">
        <v>51</v>
      </c>
      <c r="F15" s="197" t="s">
        <v>571</v>
      </c>
      <c r="G15" s="198" t="s">
        <v>572</v>
      </c>
      <c r="H15" s="163" t="s">
        <v>209</v>
      </c>
      <c r="I15" s="161" t="n">
        <v>18</v>
      </c>
      <c r="J15" s="156" t="s">
        <v>192</v>
      </c>
      <c r="K15" s="199" t="n">
        <v>45435.4640509259</v>
      </c>
      <c r="L15" s="1" t="n">
        <v>0</v>
      </c>
      <c r="M15" s="196" t="n">
        <v>2568</v>
      </c>
      <c r="N15" s="1" t="n">
        <v>14</v>
      </c>
    </row>
    <row r="16" customFormat="false" ht="14.25" hidden="false" customHeight="false" outlineLevel="0" collapsed="false">
      <c r="A16" s="1" t="n">
        <v>70</v>
      </c>
      <c r="B16" s="1" t="s">
        <v>565</v>
      </c>
      <c r="C16" s="1" t="s">
        <v>566</v>
      </c>
      <c r="D16" s="196" t="n">
        <v>2568</v>
      </c>
      <c r="E16" s="196" t="s">
        <v>51</v>
      </c>
      <c r="F16" s="197" t="s">
        <v>577</v>
      </c>
      <c r="G16" s="198" t="s">
        <v>578</v>
      </c>
      <c r="H16" s="163" t="s">
        <v>427</v>
      </c>
      <c r="I16" s="161" t="n">
        <v>48</v>
      </c>
      <c r="J16" s="156" t="s">
        <v>192</v>
      </c>
      <c r="K16" s="199" t="n">
        <v>45435.483912037</v>
      </c>
      <c r="L16" s="1" t="n">
        <v>0</v>
      </c>
      <c r="M16" s="196" t="n">
        <v>2568</v>
      </c>
      <c r="N16" s="1" t="n">
        <v>15</v>
      </c>
    </row>
    <row r="17" customFormat="false" ht="14.25" hidden="false" customHeight="false" outlineLevel="0" collapsed="false">
      <c r="A17" s="1" t="n">
        <v>71</v>
      </c>
      <c r="B17" s="1" t="s">
        <v>565</v>
      </c>
      <c r="C17" s="1" t="s">
        <v>566</v>
      </c>
      <c r="D17" s="196" t="n">
        <v>2568</v>
      </c>
      <c r="E17" s="196" t="s">
        <v>51</v>
      </c>
      <c r="F17" s="197" t="s">
        <v>579</v>
      </c>
      <c r="G17" s="198" t="s">
        <v>580</v>
      </c>
      <c r="H17" s="163" t="s">
        <v>465</v>
      </c>
      <c r="I17" s="161" t="n">
        <v>54</v>
      </c>
      <c r="J17" s="156" t="s">
        <v>192</v>
      </c>
      <c r="K17" s="199" t="n">
        <v>45435.4959722222</v>
      </c>
      <c r="L17" s="1" t="n">
        <v>1</v>
      </c>
      <c r="M17" s="196" t="n">
        <v>2568</v>
      </c>
      <c r="N17" s="1" t="n">
        <v>16</v>
      </c>
    </row>
    <row r="18" customFormat="false" ht="14.25" hidden="false" customHeight="false" outlineLevel="0" collapsed="false">
      <c r="A18" s="1" t="n">
        <v>72</v>
      </c>
      <c r="B18" s="1" t="s">
        <v>565</v>
      </c>
      <c r="C18" s="1" t="s">
        <v>566</v>
      </c>
      <c r="D18" s="196" t="n">
        <v>2568</v>
      </c>
      <c r="E18" s="196" t="s">
        <v>51</v>
      </c>
      <c r="F18" s="197" t="s">
        <v>581</v>
      </c>
      <c r="G18" s="198" t="s">
        <v>582</v>
      </c>
      <c r="H18" s="163" t="s">
        <v>378</v>
      </c>
      <c r="I18" s="161" t="n">
        <v>29</v>
      </c>
      <c r="J18" s="156" t="s">
        <v>192</v>
      </c>
      <c r="K18" s="199" t="n">
        <v>45435.5585763889</v>
      </c>
      <c r="L18" s="1" t="n">
        <v>0</v>
      </c>
      <c r="M18" s="196" t="n">
        <v>2568</v>
      </c>
      <c r="N18" s="1" t="n">
        <v>17</v>
      </c>
    </row>
    <row r="19" customFormat="false" ht="14.25" hidden="false" customHeight="false" outlineLevel="0" collapsed="false">
      <c r="A19" s="1" t="n">
        <v>73</v>
      </c>
      <c r="B19" s="1" t="s">
        <v>565</v>
      </c>
      <c r="C19" s="1" t="s">
        <v>566</v>
      </c>
      <c r="D19" s="196" t="n">
        <v>2568</v>
      </c>
      <c r="E19" s="196" t="s">
        <v>51</v>
      </c>
      <c r="F19" s="197" t="s">
        <v>581</v>
      </c>
      <c r="G19" s="198" t="s">
        <v>582</v>
      </c>
      <c r="H19" s="163" t="s">
        <v>378</v>
      </c>
      <c r="I19" s="161" t="n">
        <v>29</v>
      </c>
      <c r="J19" s="156" t="s">
        <v>192</v>
      </c>
      <c r="K19" s="199" t="n">
        <v>45435.5950925926</v>
      </c>
      <c r="L19" s="1" t="n">
        <v>0</v>
      </c>
      <c r="M19" s="196" t="n">
        <v>2568</v>
      </c>
      <c r="N19" s="1" t="n">
        <v>18</v>
      </c>
    </row>
    <row r="20" customFormat="false" ht="14.25" hidden="false" customHeight="false" outlineLevel="0" collapsed="false">
      <c r="A20" s="1" t="n">
        <v>74</v>
      </c>
      <c r="B20" s="1" t="s">
        <v>565</v>
      </c>
      <c r="C20" s="1" t="s">
        <v>566</v>
      </c>
      <c r="D20" s="196" t="n">
        <v>2568</v>
      </c>
      <c r="E20" s="196" t="s">
        <v>51</v>
      </c>
      <c r="F20" s="197" t="s">
        <v>581</v>
      </c>
      <c r="G20" s="198" t="s">
        <v>582</v>
      </c>
      <c r="H20" s="163" t="s">
        <v>378</v>
      </c>
      <c r="I20" s="161" t="n">
        <v>29</v>
      </c>
      <c r="J20" s="156" t="s">
        <v>192</v>
      </c>
      <c r="K20" s="199" t="n">
        <v>45435.5951041667</v>
      </c>
      <c r="L20" s="1" t="n">
        <v>40</v>
      </c>
      <c r="M20" s="196" t="n">
        <v>2568</v>
      </c>
      <c r="N20" s="1" t="n">
        <v>19</v>
      </c>
    </row>
    <row r="21" customFormat="false" ht="14.25" hidden="false" customHeight="false" outlineLevel="0" collapsed="false">
      <c r="A21" s="1" t="n">
        <v>75</v>
      </c>
      <c r="B21" s="1" t="s">
        <v>565</v>
      </c>
      <c r="C21" s="1" t="s">
        <v>566</v>
      </c>
      <c r="D21" s="196" t="n">
        <v>2568</v>
      </c>
      <c r="E21" s="196" t="s">
        <v>51</v>
      </c>
      <c r="F21" s="197" t="s">
        <v>573</v>
      </c>
      <c r="G21" s="198" t="s">
        <v>574</v>
      </c>
      <c r="H21" s="163" t="s">
        <v>477</v>
      </c>
      <c r="I21" s="161" t="n">
        <v>61</v>
      </c>
      <c r="J21" s="156" t="s">
        <v>192</v>
      </c>
      <c r="K21" s="199" t="n">
        <v>45435.6130555556</v>
      </c>
      <c r="L21" s="1" t="n">
        <v>0</v>
      </c>
      <c r="M21" s="196" t="n">
        <v>2568</v>
      </c>
      <c r="N21" s="1" t="n">
        <v>20</v>
      </c>
    </row>
    <row r="22" customFormat="false" ht="14.25" hidden="false" customHeight="false" outlineLevel="0" collapsed="false">
      <c r="A22" s="1" t="n">
        <v>76</v>
      </c>
      <c r="B22" s="1" t="s">
        <v>565</v>
      </c>
      <c r="C22" s="1" t="s">
        <v>566</v>
      </c>
      <c r="D22" s="196" t="n">
        <v>2568</v>
      </c>
      <c r="E22" s="196" t="s">
        <v>51</v>
      </c>
      <c r="F22" s="197" t="s">
        <v>583</v>
      </c>
      <c r="G22" s="198" t="s">
        <v>584</v>
      </c>
      <c r="H22" s="163" t="s">
        <v>303</v>
      </c>
      <c r="I22" s="161" t="n">
        <v>16</v>
      </c>
      <c r="J22" s="156" t="s">
        <v>192</v>
      </c>
      <c r="K22" s="199" t="n">
        <v>45435.6150810185</v>
      </c>
      <c r="L22" s="1" t="n">
        <v>1</v>
      </c>
      <c r="M22" s="196" t="n">
        <v>2568</v>
      </c>
      <c r="N22" s="1" t="n">
        <v>21</v>
      </c>
    </row>
    <row r="23" customFormat="false" ht="14.25" hidden="false" customHeight="false" outlineLevel="0" collapsed="false">
      <c r="A23" s="1" t="n">
        <v>77</v>
      </c>
      <c r="B23" s="1" t="s">
        <v>565</v>
      </c>
      <c r="C23" s="1" t="s">
        <v>566</v>
      </c>
      <c r="D23" s="196" t="n">
        <v>2568</v>
      </c>
      <c r="E23" s="196" t="s">
        <v>51</v>
      </c>
      <c r="F23" s="197" t="s">
        <v>583</v>
      </c>
      <c r="G23" s="198" t="s">
        <v>584</v>
      </c>
      <c r="H23" s="163" t="s">
        <v>303</v>
      </c>
      <c r="I23" s="161" t="n">
        <v>16</v>
      </c>
      <c r="J23" s="156" t="s">
        <v>192</v>
      </c>
      <c r="K23" s="199" t="n">
        <v>45435.6150925926</v>
      </c>
      <c r="L23" s="1" t="n">
        <v>1</v>
      </c>
      <c r="M23" s="196" t="n">
        <v>2568</v>
      </c>
      <c r="N23" s="1" t="n">
        <v>22</v>
      </c>
    </row>
    <row r="24" customFormat="false" ht="14.25" hidden="false" customHeight="false" outlineLevel="0" collapsed="false">
      <c r="A24" s="1" t="n">
        <v>78</v>
      </c>
      <c r="B24" s="1" t="s">
        <v>565</v>
      </c>
      <c r="C24" s="1" t="s">
        <v>566</v>
      </c>
      <c r="D24" s="196" t="n">
        <v>2568</v>
      </c>
      <c r="E24" s="196" t="s">
        <v>51</v>
      </c>
      <c r="F24" s="197" t="s">
        <v>585</v>
      </c>
      <c r="G24" s="198" t="s">
        <v>586</v>
      </c>
      <c r="H24" s="163" t="s">
        <v>384</v>
      </c>
      <c r="I24" s="161" t="n">
        <v>62</v>
      </c>
      <c r="J24" s="156" t="s">
        <v>192</v>
      </c>
      <c r="K24" s="199" t="n">
        <v>45435.6290046296</v>
      </c>
      <c r="L24" s="1" t="n">
        <v>0</v>
      </c>
      <c r="M24" s="196" t="n">
        <v>2568</v>
      </c>
      <c r="N24" s="1" t="n">
        <v>23</v>
      </c>
    </row>
    <row r="25" customFormat="false" ht="14.25" hidden="false" customHeight="false" outlineLevel="0" collapsed="false">
      <c r="A25" s="1" t="n">
        <v>79</v>
      </c>
      <c r="B25" s="1" t="s">
        <v>565</v>
      </c>
      <c r="C25" s="1" t="s">
        <v>566</v>
      </c>
      <c r="D25" s="196" t="n">
        <v>2568</v>
      </c>
      <c r="E25" s="196" t="s">
        <v>51</v>
      </c>
      <c r="F25" s="197" t="s">
        <v>581</v>
      </c>
      <c r="G25" s="198" t="s">
        <v>582</v>
      </c>
      <c r="H25" s="163" t="s">
        <v>378</v>
      </c>
      <c r="I25" s="161" t="n">
        <v>29</v>
      </c>
      <c r="J25" s="156" t="s">
        <v>192</v>
      </c>
      <c r="K25" s="199" t="n">
        <v>45435.6313541667</v>
      </c>
      <c r="L25" s="1" t="n">
        <v>0</v>
      </c>
      <c r="M25" s="196" t="n">
        <v>2568</v>
      </c>
      <c r="N25" s="1" t="n">
        <v>24</v>
      </c>
    </row>
    <row r="26" customFormat="false" ht="14.25" hidden="false" customHeight="false" outlineLevel="0" collapsed="false">
      <c r="A26" s="1" t="n">
        <v>80</v>
      </c>
      <c r="B26" s="1" t="s">
        <v>565</v>
      </c>
      <c r="C26" s="1" t="s">
        <v>566</v>
      </c>
      <c r="D26" s="196" t="n">
        <v>2568</v>
      </c>
      <c r="E26" s="196" t="s">
        <v>51</v>
      </c>
      <c r="F26" s="197" t="s">
        <v>587</v>
      </c>
      <c r="G26" s="198" t="s">
        <v>588</v>
      </c>
      <c r="H26" s="163" t="s">
        <v>442</v>
      </c>
      <c r="I26" s="161" t="n">
        <v>117</v>
      </c>
      <c r="J26" s="156" t="s">
        <v>192</v>
      </c>
      <c r="K26" s="199" t="n">
        <v>45435.6325462963</v>
      </c>
      <c r="L26" s="1" t="n">
        <v>0</v>
      </c>
      <c r="M26" s="196" t="n">
        <v>2568</v>
      </c>
      <c r="N26" s="1" t="n">
        <v>25</v>
      </c>
    </row>
    <row r="27" customFormat="false" ht="14.25" hidden="false" customHeight="false" outlineLevel="0" collapsed="false">
      <c r="A27" s="1" t="n">
        <v>81</v>
      </c>
      <c r="B27" s="1" t="s">
        <v>565</v>
      </c>
      <c r="C27" s="1" t="s">
        <v>566</v>
      </c>
      <c r="D27" s="196" t="n">
        <v>2568</v>
      </c>
      <c r="E27" s="196" t="s">
        <v>51</v>
      </c>
      <c r="F27" s="197" t="s">
        <v>587</v>
      </c>
      <c r="G27" s="198" t="s">
        <v>588</v>
      </c>
      <c r="H27" s="163" t="s">
        <v>442</v>
      </c>
      <c r="I27" s="161" t="n">
        <v>117</v>
      </c>
      <c r="J27" s="156" t="s">
        <v>192</v>
      </c>
      <c r="K27" s="199" t="n">
        <v>45435.6325578704</v>
      </c>
      <c r="L27" s="1" t="n">
        <v>3</v>
      </c>
      <c r="M27" s="196" t="n">
        <v>2568</v>
      </c>
      <c r="N27" s="1" t="n">
        <v>26</v>
      </c>
    </row>
    <row r="28" customFormat="false" ht="14.25" hidden="false" customHeight="false" outlineLevel="0" collapsed="false">
      <c r="A28" s="1" t="n">
        <v>82</v>
      </c>
      <c r="B28" s="1" t="s">
        <v>565</v>
      </c>
      <c r="C28" s="1" t="s">
        <v>566</v>
      </c>
      <c r="D28" s="196" t="n">
        <v>2568</v>
      </c>
      <c r="E28" s="196" t="s">
        <v>51</v>
      </c>
      <c r="F28" s="197" t="s">
        <v>587</v>
      </c>
      <c r="G28" s="198" t="s">
        <v>588</v>
      </c>
      <c r="H28" s="163" t="s">
        <v>442</v>
      </c>
      <c r="I28" s="161" t="n">
        <v>117</v>
      </c>
      <c r="J28" s="156" t="s">
        <v>192</v>
      </c>
      <c r="K28" s="199" t="n">
        <v>45435.6326041667</v>
      </c>
      <c r="L28" s="1" t="n">
        <v>1</v>
      </c>
      <c r="M28" s="196" t="n">
        <v>2568</v>
      </c>
      <c r="N28" s="1" t="n">
        <v>27</v>
      </c>
    </row>
    <row r="29" customFormat="false" ht="14.25" hidden="false" customHeight="false" outlineLevel="0" collapsed="false">
      <c r="A29" s="1" t="n">
        <v>83</v>
      </c>
      <c r="B29" s="1" t="s">
        <v>565</v>
      </c>
      <c r="C29" s="1" t="s">
        <v>566</v>
      </c>
      <c r="D29" s="196" t="n">
        <v>2568</v>
      </c>
      <c r="E29" s="196" t="s">
        <v>51</v>
      </c>
      <c r="F29" s="197" t="s">
        <v>571</v>
      </c>
      <c r="G29" s="198" t="s">
        <v>572</v>
      </c>
      <c r="H29" s="163" t="s">
        <v>209</v>
      </c>
      <c r="I29" s="161" t="n">
        <v>18</v>
      </c>
      <c r="J29" s="156" t="s">
        <v>192</v>
      </c>
      <c r="K29" s="199" t="n">
        <v>45435.6341087963</v>
      </c>
      <c r="L29" s="10" t="n">
        <v>108</v>
      </c>
      <c r="M29" s="196" t="n">
        <v>2568</v>
      </c>
      <c r="N29" s="1" t="n">
        <v>28</v>
      </c>
    </row>
    <row r="30" customFormat="false" ht="14.25" hidden="false" customHeight="false" outlineLevel="0" collapsed="false">
      <c r="A30" s="1" t="n">
        <v>84</v>
      </c>
      <c r="B30" s="1" t="s">
        <v>565</v>
      </c>
      <c r="C30" s="1" t="s">
        <v>566</v>
      </c>
      <c r="D30" s="196" t="n">
        <v>2568</v>
      </c>
      <c r="E30" s="196" t="s">
        <v>51</v>
      </c>
      <c r="F30" s="197" t="s">
        <v>577</v>
      </c>
      <c r="G30" s="198" t="s">
        <v>578</v>
      </c>
      <c r="H30" s="163" t="s">
        <v>427</v>
      </c>
      <c r="I30" s="161" t="n">
        <v>48</v>
      </c>
      <c r="J30" s="156" t="s">
        <v>192</v>
      </c>
      <c r="K30" s="199" t="n">
        <v>45435.6364351852</v>
      </c>
      <c r="L30" s="1" t="n">
        <v>1</v>
      </c>
      <c r="M30" s="196" t="n">
        <v>2568</v>
      </c>
      <c r="N30" s="1" t="n">
        <v>29</v>
      </c>
    </row>
    <row r="31" customFormat="false" ht="14.25" hidden="false" customHeight="false" outlineLevel="0" collapsed="false">
      <c r="A31" s="1" t="n">
        <v>85</v>
      </c>
      <c r="B31" s="1" t="s">
        <v>565</v>
      </c>
      <c r="C31" s="1" t="s">
        <v>566</v>
      </c>
      <c r="D31" s="196" t="n">
        <v>2568</v>
      </c>
      <c r="E31" s="196" t="s">
        <v>51</v>
      </c>
      <c r="F31" s="197" t="s">
        <v>577</v>
      </c>
      <c r="G31" s="198" t="s">
        <v>578</v>
      </c>
      <c r="H31" s="163" t="s">
        <v>427</v>
      </c>
      <c r="I31" s="161" t="n">
        <v>48</v>
      </c>
      <c r="J31" s="156" t="s">
        <v>192</v>
      </c>
      <c r="K31" s="199" t="n">
        <v>45435.6364467593</v>
      </c>
      <c r="L31" s="1" t="n">
        <v>1</v>
      </c>
      <c r="M31" s="196" t="n">
        <v>2568</v>
      </c>
      <c r="N31" s="1" t="n">
        <v>30</v>
      </c>
    </row>
    <row r="32" customFormat="false" ht="14.25" hidden="false" customHeight="false" outlineLevel="0" collapsed="false">
      <c r="A32" s="1" t="n">
        <v>86</v>
      </c>
      <c r="B32" s="1" t="s">
        <v>565</v>
      </c>
      <c r="C32" s="1" t="s">
        <v>566</v>
      </c>
      <c r="D32" s="196" t="n">
        <v>2568</v>
      </c>
      <c r="E32" s="196" t="s">
        <v>51</v>
      </c>
      <c r="F32" s="197" t="s">
        <v>577</v>
      </c>
      <c r="G32" s="198" t="s">
        <v>578</v>
      </c>
      <c r="H32" s="163" t="s">
        <v>427</v>
      </c>
      <c r="I32" s="161" t="n">
        <v>48</v>
      </c>
      <c r="J32" s="156" t="s">
        <v>192</v>
      </c>
      <c r="K32" s="199" t="n">
        <v>45435.6364699074</v>
      </c>
      <c r="L32" s="1" t="n">
        <v>2</v>
      </c>
      <c r="M32" s="196" t="n">
        <v>2568</v>
      </c>
      <c r="N32" s="1" t="n">
        <v>31</v>
      </c>
    </row>
    <row r="33" customFormat="false" ht="14.25" hidden="false" customHeight="false" outlineLevel="0" collapsed="false">
      <c r="A33" s="1" t="n">
        <v>87</v>
      </c>
      <c r="B33" s="1" t="s">
        <v>565</v>
      </c>
      <c r="C33" s="1" t="s">
        <v>566</v>
      </c>
      <c r="D33" s="196" t="n">
        <v>2568</v>
      </c>
      <c r="E33" s="196" t="s">
        <v>51</v>
      </c>
      <c r="F33" s="197" t="s">
        <v>577</v>
      </c>
      <c r="G33" s="198" t="s">
        <v>578</v>
      </c>
      <c r="H33" s="163" t="s">
        <v>427</v>
      </c>
      <c r="I33" s="161" t="n">
        <v>48</v>
      </c>
      <c r="J33" s="156" t="s">
        <v>192</v>
      </c>
      <c r="K33" s="199" t="n">
        <v>45435.6386689815</v>
      </c>
      <c r="L33" s="1" t="n">
        <v>1</v>
      </c>
      <c r="M33" s="196" t="n">
        <v>2568</v>
      </c>
      <c r="N33" s="1" t="n">
        <v>32</v>
      </c>
    </row>
    <row r="34" customFormat="false" ht="14.25" hidden="false" customHeight="false" outlineLevel="0" collapsed="false">
      <c r="A34" s="1" t="n">
        <v>88</v>
      </c>
      <c r="B34" s="1" t="s">
        <v>565</v>
      </c>
      <c r="C34" s="1" t="s">
        <v>566</v>
      </c>
      <c r="D34" s="196" t="n">
        <v>2568</v>
      </c>
      <c r="E34" s="196" t="s">
        <v>51</v>
      </c>
      <c r="F34" s="197" t="s">
        <v>589</v>
      </c>
      <c r="G34" s="198" t="s">
        <v>590</v>
      </c>
      <c r="H34" s="163" t="s">
        <v>474</v>
      </c>
      <c r="I34" s="161" t="n">
        <v>87</v>
      </c>
      <c r="J34" s="156" t="s">
        <v>192</v>
      </c>
      <c r="K34" s="199" t="n">
        <v>45435.6465972222</v>
      </c>
      <c r="L34" s="10" t="n">
        <v>734</v>
      </c>
      <c r="M34" s="196" t="n">
        <v>2568</v>
      </c>
      <c r="N34" s="1" t="n">
        <v>33</v>
      </c>
    </row>
    <row r="35" customFormat="false" ht="14.25" hidden="false" customHeight="false" outlineLevel="0" collapsed="false">
      <c r="A35" s="1" t="n">
        <v>89</v>
      </c>
      <c r="B35" s="1" t="s">
        <v>565</v>
      </c>
      <c r="C35" s="1" t="s">
        <v>566</v>
      </c>
      <c r="D35" s="196" t="n">
        <v>2568</v>
      </c>
      <c r="E35" s="196" t="s">
        <v>51</v>
      </c>
      <c r="F35" s="197" t="s">
        <v>591</v>
      </c>
      <c r="G35" s="198" t="s">
        <v>592</v>
      </c>
      <c r="H35" s="163" t="s">
        <v>415</v>
      </c>
      <c r="I35" s="161" t="n">
        <v>75</v>
      </c>
      <c r="J35" s="156" t="s">
        <v>192</v>
      </c>
      <c r="K35" s="199" t="n">
        <v>45435.6551041667</v>
      </c>
      <c r="L35" s="1" t="n">
        <v>0</v>
      </c>
      <c r="M35" s="196" t="n">
        <v>2568</v>
      </c>
      <c r="N35" s="1" t="n">
        <v>34</v>
      </c>
    </row>
    <row r="36" customFormat="false" ht="14.25" hidden="false" customHeight="false" outlineLevel="0" collapsed="false">
      <c r="A36" s="1" t="n">
        <v>90</v>
      </c>
      <c r="B36" s="1" t="s">
        <v>565</v>
      </c>
      <c r="C36" s="1" t="s">
        <v>566</v>
      </c>
      <c r="D36" s="196" t="n">
        <v>2568</v>
      </c>
      <c r="E36" s="196" t="s">
        <v>51</v>
      </c>
      <c r="F36" s="197" t="s">
        <v>591</v>
      </c>
      <c r="G36" s="198" t="s">
        <v>592</v>
      </c>
      <c r="H36" s="163" t="s">
        <v>415</v>
      </c>
      <c r="I36" s="161" t="n">
        <v>75</v>
      </c>
      <c r="J36" s="156" t="s">
        <v>192</v>
      </c>
      <c r="K36" s="199" t="n">
        <v>45435.6599189815</v>
      </c>
      <c r="L36" s="1" t="n">
        <v>0</v>
      </c>
      <c r="M36" s="196" t="n">
        <v>2568</v>
      </c>
      <c r="N36" s="1" t="n">
        <v>35</v>
      </c>
    </row>
    <row r="37" customFormat="false" ht="14.25" hidden="false" customHeight="false" outlineLevel="0" collapsed="false">
      <c r="A37" s="1" t="n">
        <v>91</v>
      </c>
      <c r="B37" s="1" t="s">
        <v>565</v>
      </c>
      <c r="C37" s="1" t="s">
        <v>566</v>
      </c>
      <c r="D37" s="196" t="n">
        <v>2568</v>
      </c>
      <c r="E37" s="196" t="s">
        <v>51</v>
      </c>
      <c r="F37" s="197" t="s">
        <v>591</v>
      </c>
      <c r="G37" s="198" t="s">
        <v>592</v>
      </c>
      <c r="H37" s="163" t="s">
        <v>415</v>
      </c>
      <c r="I37" s="161" t="n">
        <v>75</v>
      </c>
      <c r="J37" s="156" t="s">
        <v>192</v>
      </c>
      <c r="K37" s="199" t="n">
        <v>45435.6604861111</v>
      </c>
      <c r="L37" s="1" t="n">
        <v>1</v>
      </c>
      <c r="M37" s="196" t="n">
        <v>2568</v>
      </c>
      <c r="N37" s="1" t="n">
        <v>36</v>
      </c>
    </row>
    <row r="38" customFormat="false" ht="14.25" hidden="false" customHeight="false" outlineLevel="0" collapsed="false">
      <c r="A38" s="1" t="n">
        <v>92</v>
      </c>
      <c r="B38" s="1" t="s">
        <v>565</v>
      </c>
      <c r="C38" s="1" t="s">
        <v>566</v>
      </c>
      <c r="D38" s="196" t="n">
        <v>2568</v>
      </c>
      <c r="E38" s="196" t="s">
        <v>51</v>
      </c>
      <c r="F38" s="197" t="s">
        <v>591</v>
      </c>
      <c r="G38" s="198" t="s">
        <v>592</v>
      </c>
      <c r="H38" s="163" t="s">
        <v>415</v>
      </c>
      <c r="I38" s="161" t="n">
        <v>75</v>
      </c>
      <c r="J38" s="156" t="s">
        <v>192</v>
      </c>
      <c r="K38" s="199" t="n">
        <v>45435.6612731482</v>
      </c>
      <c r="L38" s="1" t="n">
        <v>0</v>
      </c>
      <c r="M38" s="196" t="n">
        <v>2568</v>
      </c>
      <c r="N38" s="1" t="n">
        <v>37</v>
      </c>
    </row>
    <row r="39" customFormat="false" ht="14.25" hidden="false" customHeight="false" outlineLevel="0" collapsed="false">
      <c r="A39" s="1" t="n">
        <v>93</v>
      </c>
      <c r="B39" s="1" t="s">
        <v>565</v>
      </c>
      <c r="C39" s="1" t="s">
        <v>566</v>
      </c>
      <c r="D39" s="196" t="n">
        <v>2568</v>
      </c>
      <c r="E39" s="196" t="s">
        <v>51</v>
      </c>
      <c r="F39" s="197" t="s">
        <v>591</v>
      </c>
      <c r="G39" s="198" t="s">
        <v>592</v>
      </c>
      <c r="H39" s="163" t="s">
        <v>415</v>
      </c>
      <c r="I39" s="161" t="n">
        <v>75</v>
      </c>
      <c r="J39" s="156" t="s">
        <v>192</v>
      </c>
      <c r="K39" s="199" t="n">
        <v>45435.6636226852</v>
      </c>
      <c r="L39" s="10" t="n">
        <v>421</v>
      </c>
      <c r="M39" s="196" t="n">
        <v>2568</v>
      </c>
      <c r="N39" s="1" t="n">
        <v>38</v>
      </c>
    </row>
    <row r="40" customFormat="false" ht="14.25" hidden="false" customHeight="false" outlineLevel="0" collapsed="false">
      <c r="A40" s="1" t="n">
        <v>94</v>
      </c>
      <c r="B40" s="1" t="s">
        <v>565</v>
      </c>
      <c r="C40" s="1" t="s">
        <v>566</v>
      </c>
      <c r="D40" s="196" t="n">
        <v>2568</v>
      </c>
      <c r="E40" s="196" t="s">
        <v>51</v>
      </c>
      <c r="F40" s="197" t="s">
        <v>593</v>
      </c>
      <c r="G40" s="198" t="s">
        <v>594</v>
      </c>
      <c r="H40" s="163" t="s">
        <v>495</v>
      </c>
      <c r="I40" s="161" t="n">
        <v>101</v>
      </c>
      <c r="J40" s="156" t="s">
        <v>192</v>
      </c>
      <c r="K40" s="199" t="n">
        <v>45435.669224537</v>
      </c>
      <c r="L40" s="1" t="n">
        <v>0</v>
      </c>
      <c r="M40" s="196" t="n">
        <v>2568</v>
      </c>
      <c r="N40" s="1" t="n">
        <v>39</v>
      </c>
    </row>
    <row r="41" customFormat="false" ht="14.25" hidden="false" customHeight="false" outlineLevel="0" collapsed="false">
      <c r="A41" s="1" t="n">
        <v>95</v>
      </c>
      <c r="B41" s="1" t="s">
        <v>565</v>
      </c>
      <c r="C41" s="1" t="s">
        <v>566</v>
      </c>
      <c r="D41" s="196" t="n">
        <v>2568</v>
      </c>
      <c r="E41" s="196" t="s">
        <v>51</v>
      </c>
      <c r="F41" s="197" t="s">
        <v>591</v>
      </c>
      <c r="G41" s="198" t="s">
        <v>592</v>
      </c>
      <c r="H41" s="163" t="s">
        <v>415</v>
      </c>
      <c r="I41" s="161" t="n">
        <v>75</v>
      </c>
      <c r="J41" s="156" t="s">
        <v>192</v>
      </c>
      <c r="K41" s="199" t="n">
        <v>45435.6707060185</v>
      </c>
      <c r="L41" s="1" t="n">
        <v>1</v>
      </c>
      <c r="M41" s="196" t="n">
        <v>2568</v>
      </c>
      <c r="N41" s="1" t="n">
        <v>40</v>
      </c>
    </row>
    <row r="42" customFormat="false" ht="14.25" hidden="false" customHeight="false" outlineLevel="0" collapsed="false">
      <c r="A42" s="1" t="n">
        <v>96</v>
      </c>
      <c r="B42" s="1" t="s">
        <v>565</v>
      </c>
      <c r="C42" s="1" t="s">
        <v>566</v>
      </c>
      <c r="D42" s="196" t="n">
        <v>2568</v>
      </c>
      <c r="E42" s="196" t="s">
        <v>51</v>
      </c>
      <c r="F42" s="197" t="s">
        <v>591</v>
      </c>
      <c r="G42" s="198" t="s">
        <v>592</v>
      </c>
      <c r="H42" s="163" t="s">
        <v>415</v>
      </c>
      <c r="I42" s="161" t="n">
        <v>75</v>
      </c>
      <c r="J42" s="156" t="s">
        <v>192</v>
      </c>
      <c r="K42" s="199" t="n">
        <v>45435.6712268519</v>
      </c>
      <c r="L42" s="1" t="n">
        <v>0</v>
      </c>
      <c r="M42" s="196" t="n">
        <v>2568</v>
      </c>
      <c r="N42" s="1" t="n">
        <v>41</v>
      </c>
    </row>
    <row r="43" customFormat="false" ht="14.25" hidden="false" customHeight="false" outlineLevel="0" collapsed="false">
      <c r="A43" s="1" t="n">
        <v>97</v>
      </c>
      <c r="B43" s="1" t="s">
        <v>565</v>
      </c>
      <c r="C43" s="1" t="s">
        <v>566</v>
      </c>
      <c r="D43" s="196" t="n">
        <v>2568</v>
      </c>
      <c r="E43" s="196" t="s">
        <v>51</v>
      </c>
      <c r="F43" s="197" t="s">
        <v>577</v>
      </c>
      <c r="G43" s="198" t="s">
        <v>578</v>
      </c>
      <c r="H43" s="163" t="s">
        <v>427</v>
      </c>
      <c r="I43" s="161" t="n">
        <v>48</v>
      </c>
      <c r="J43" s="156" t="s">
        <v>192</v>
      </c>
      <c r="K43" s="199" t="n">
        <v>45435.6758333333</v>
      </c>
      <c r="L43" s="1" t="n">
        <v>1</v>
      </c>
      <c r="M43" s="196" t="n">
        <v>2568</v>
      </c>
      <c r="N43" s="1" t="n">
        <v>42</v>
      </c>
    </row>
    <row r="44" customFormat="false" ht="14.25" hidden="false" customHeight="false" outlineLevel="0" collapsed="false">
      <c r="A44" s="1" t="n">
        <v>98</v>
      </c>
      <c r="B44" s="1" t="s">
        <v>565</v>
      </c>
      <c r="C44" s="1" t="s">
        <v>566</v>
      </c>
      <c r="D44" s="196" t="n">
        <v>2568</v>
      </c>
      <c r="E44" s="196" t="s">
        <v>51</v>
      </c>
      <c r="F44" s="197" t="s">
        <v>577</v>
      </c>
      <c r="G44" s="198" t="s">
        <v>578</v>
      </c>
      <c r="H44" s="163" t="s">
        <v>427</v>
      </c>
      <c r="I44" s="161" t="n">
        <v>48</v>
      </c>
      <c r="J44" s="156" t="s">
        <v>192</v>
      </c>
      <c r="K44" s="199" t="n">
        <v>45435.6758564815</v>
      </c>
      <c r="L44" s="1" t="n">
        <v>0</v>
      </c>
      <c r="M44" s="196" t="n">
        <v>2568</v>
      </c>
      <c r="N44" s="1" t="n">
        <v>43</v>
      </c>
    </row>
    <row r="45" customFormat="false" ht="14.25" hidden="false" customHeight="false" outlineLevel="0" collapsed="false">
      <c r="A45" s="1" t="n">
        <v>99</v>
      </c>
      <c r="B45" s="1" t="s">
        <v>565</v>
      </c>
      <c r="C45" s="1" t="s">
        <v>566</v>
      </c>
      <c r="D45" s="196" t="n">
        <v>2568</v>
      </c>
      <c r="E45" s="196" t="s">
        <v>51</v>
      </c>
      <c r="F45" s="197" t="s">
        <v>595</v>
      </c>
      <c r="G45" s="198" t="s">
        <v>596</v>
      </c>
      <c r="H45" s="163" t="s">
        <v>534</v>
      </c>
      <c r="I45" s="161" t="n">
        <v>98</v>
      </c>
      <c r="J45" s="156" t="s">
        <v>192</v>
      </c>
      <c r="K45" s="199" t="n">
        <v>45435.6821643519</v>
      </c>
      <c r="L45" s="1" t="n">
        <v>1</v>
      </c>
      <c r="M45" s="196" t="n">
        <v>2568</v>
      </c>
      <c r="N45" s="1" t="n">
        <v>44</v>
      </c>
    </row>
    <row r="46" customFormat="false" ht="14.25" hidden="false" customHeight="false" outlineLevel="0" collapsed="false">
      <c r="A46" s="1" t="n">
        <v>100</v>
      </c>
      <c r="B46" s="1" t="s">
        <v>565</v>
      </c>
      <c r="C46" s="1" t="s">
        <v>566</v>
      </c>
      <c r="D46" s="196" t="n">
        <v>2568</v>
      </c>
      <c r="E46" s="196" t="s">
        <v>51</v>
      </c>
      <c r="F46" s="197" t="s">
        <v>595</v>
      </c>
      <c r="G46" s="198" t="s">
        <v>596</v>
      </c>
      <c r="H46" s="163" t="s">
        <v>534</v>
      </c>
      <c r="I46" s="161" t="n">
        <v>98</v>
      </c>
      <c r="J46" s="156" t="s">
        <v>192</v>
      </c>
      <c r="K46" s="199" t="n">
        <v>45435.6821759259</v>
      </c>
      <c r="L46" s="1" t="n">
        <v>2</v>
      </c>
      <c r="M46" s="196" t="n">
        <v>2568</v>
      </c>
      <c r="N46" s="1" t="n">
        <v>45</v>
      </c>
    </row>
    <row r="47" customFormat="false" ht="14.25" hidden="false" customHeight="false" outlineLevel="0" collapsed="false">
      <c r="A47" s="1" t="n">
        <v>101</v>
      </c>
      <c r="B47" s="1" t="s">
        <v>565</v>
      </c>
      <c r="C47" s="1" t="s">
        <v>566</v>
      </c>
      <c r="D47" s="196" t="n">
        <v>2568</v>
      </c>
      <c r="E47" s="196" t="s">
        <v>51</v>
      </c>
      <c r="F47" s="197" t="s">
        <v>595</v>
      </c>
      <c r="G47" s="198" t="s">
        <v>596</v>
      </c>
      <c r="H47" s="163" t="s">
        <v>534</v>
      </c>
      <c r="I47" s="161" t="n">
        <v>98</v>
      </c>
      <c r="J47" s="156" t="s">
        <v>192</v>
      </c>
      <c r="K47" s="199" t="n">
        <v>45435.6847106482</v>
      </c>
      <c r="L47" s="10" t="n">
        <v>114</v>
      </c>
      <c r="M47" s="196" t="n">
        <v>2568</v>
      </c>
      <c r="N47" s="1" t="n">
        <v>46</v>
      </c>
    </row>
    <row r="48" customFormat="false" ht="14.25" hidden="false" customHeight="false" outlineLevel="0" collapsed="false">
      <c r="A48" s="1" t="n">
        <v>102</v>
      </c>
      <c r="B48" s="1" t="s">
        <v>565</v>
      </c>
      <c r="C48" s="1" t="s">
        <v>566</v>
      </c>
      <c r="D48" s="196" t="n">
        <v>2568</v>
      </c>
      <c r="E48" s="196" t="s">
        <v>51</v>
      </c>
      <c r="F48" s="197" t="s">
        <v>597</v>
      </c>
      <c r="G48" s="198" t="s">
        <v>598</v>
      </c>
      <c r="H48" s="163" t="s">
        <v>393</v>
      </c>
      <c r="I48" s="161" t="n">
        <v>83</v>
      </c>
      <c r="J48" s="156" t="s">
        <v>192</v>
      </c>
      <c r="K48" s="199" t="n">
        <v>45435.698587963</v>
      </c>
      <c r="L48" s="1" t="n">
        <v>0</v>
      </c>
      <c r="M48" s="196" t="n">
        <v>2568</v>
      </c>
      <c r="N48" s="1" t="n">
        <v>47</v>
      </c>
    </row>
    <row r="49" customFormat="false" ht="14.25" hidden="false" customHeight="false" outlineLevel="0" collapsed="false">
      <c r="A49" s="1" t="n">
        <v>103</v>
      </c>
      <c r="B49" s="1" t="s">
        <v>565</v>
      </c>
      <c r="C49" s="1" t="s">
        <v>566</v>
      </c>
      <c r="D49" s="196" t="n">
        <v>2568</v>
      </c>
      <c r="E49" s="196" t="s">
        <v>51</v>
      </c>
      <c r="F49" s="197" t="s">
        <v>597</v>
      </c>
      <c r="G49" s="198" t="s">
        <v>598</v>
      </c>
      <c r="H49" s="163" t="s">
        <v>393</v>
      </c>
      <c r="I49" s="161" t="n">
        <v>83</v>
      </c>
      <c r="J49" s="156" t="s">
        <v>192</v>
      </c>
      <c r="K49" s="199" t="n">
        <v>45435.698599537</v>
      </c>
      <c r="L49" s="1" t="n">
        <v>1</v>
      </c>
      <c r="M49" s="196" t="n">
        <v>2568</v>
      </c>
      <c r="N49" s="1" t="n">
        <v>48</v>
      </c>
    </row>
    <row r="50" customFormat="false" ht="14.25" hidden="false" customHeight="false" outlineLevel="0" collapsed="false">
      <c r="A50" s="1" t="n">
        <v>104</v>
      </c>
      <c r="B50" s="1" t="s">
        <v>565</v>
      </c>
      <c r="C50" s="1" t="s">
        <v>566</v>
      </c>
      <c r="D50" s="196" t="n">
        <v>2568</v>
      </c>
      <c r="E50" s="196" t="s">
        <v>51</v>
      </c>
      <c r="F50" s="197" t="s">
        <v>599</v>
      </c>
      <c r="G50" s="198" t="s">
        <v>600</v>
      </c>
      <c r="H50" s="163" t="s">
        <v>236</v>
      </c>
      <c r="I50" s="161" t="n">
        <v>7</v>
      </c>
      <c r="J50" s="156" t="s">
        <v>192</v>
      </c>
      <c r="K50" s="199" t="n">
        <v>45435.7126851852</v>
      </c>
      <c r="L50" s="1" t="n">
        <v>1</v>
      </c>
      <c r="M50" s="196" t="n">
        <v>2568</v>
      </c>
      <c r="N50" s="1" t="n">
        <v>49</v>
      </c>
    </row>
    <row r="51" customFormat="false" ht="14.25" hidden="false" customHeight="false" outlineLevel="0" collapsed="false">
      <c r="A51" s="1" t="n">
        <v>105</v>
      </c>
      <c r="B51" s="1" t="s">
        <v>565</v>
      </c>
      <c r="C51" s="1" t="s">
        <v>566</v>
      </c>
      <c r="D51" s="196" t="n">
        <v>2568</v>
      </c>
      <c r="E51" s="196" t="s">
        <v>51</v>
      </c>
      <c r="F51" s="197" t="s">
        <v>575</v>
      </c>
      <c r="G51" s="198" t="s">
        <v>576</v>
      </c>
      <c r="H51" s="163" t="s">
        <v>366</v>
      </c>
      <c r="I51" s="161" t="n">
        <v>28</v>
      </c>
      <c r="J51" s="156" t="s">
        <v>192</v>
      </c>
      <c r="K51" s="199" t="n">
        <v>45435.7697106482</v>
      </c>
      <c r="L51" s="1" t="n">
        <v>2</v>
      </c>
      <c r="M51" s="196" t="n">
        <v>2568</v>
      </c>
      <c r="N51" s="1" t="n">
        <v>50</v>
      </c>
    </row>
    <row r="52" customFormat="false" ht="14.25" hidden="false" customHeight="false" outlineLevel="0" collapsed="false">
      <c r="A52" s="1" t="n">
        <v>106</v>
      </c>
      <c r="B52" s="1" t="s">
        <v>565</v>
      </c>
      <c r="C52" s="1" t="s">
        <v>566</v>
      </c>
      <c r="D52" s="196" t="n">
        <v>2568</v>
      </c>
      <c r="E52" s="196" t="s">
        <v>51</v>
      </c>
      <c r="F52" s="197" t="s">
        <v>601</v>
      </c>
      <c r="G52" s="198" t="s">
        <v>602</v>
      </c>
      <c r="H52" s="163" t="s">
        <v>480</v>
      </c>
      <c r="I52" s="161" t="n">
        <v>110</v>
      </c>
      <c r="J52" s="156" t="s">
        <v>192</v>
      </c>
      <c r="K52" s="199" t="n">
        <v>45435.7751041667</v>
      </c>
      <c r="L52" s="1" t="n">
        <v>1</v>
      </c>
      <c r="M52" s="196" t="n">
        <v>2568</v>
      </c>
      <c r="N52" s="1" t="n">
        <v>51</v>
      </c>
    </row>
    <row r="53" customFormat="false" ht="14.25" hidden="false" customHeight="false" outlineLevel="0" collapsed="false">
      <c r="A53" s="1" t="n">
        <v>107</v>
      </c>
      <c r="B53" s="1" t="s">
        <v>565</v>
      </c>
      <c r="C53" s="1" t="s">
        <v>566</v>
      </c>
      <c r="D53" s="196" t="n">
        <v>2568</v>
      </c>
      <c r="E53" s="196" t="s">
        <v>51</v>
      </c>
      <c r="F53" s="197" t="s">
        <v>601</v>
      </c>
      <c r="G53" s="198" t="s">
        <v>602</v>
      </c>
      <c r="H53" s="163" t="s">
        <v>480</v>
      </c>
      <c r="I53" s="161" t="n">
        <v>110</v>
      </c>
      <c r="J53" s="156" t="s">
        <v>192</v>
      </c>
      <c r="K53" s="199" t="n">
        <v>45435.7751157407</v>
      </c>
      <c r="L53" s="1" t="n">
        <v>1</v>
      </c>
      <c r="M53" s="196" t="n">
        <v>2568</v>
      </c>
      <c r="N53" s="1" t="n">
        <v>52</v>
      </c>
    </row>
    <row r="54" customFormat="false" ht="14.25" hidden="false" customHeight="false" outlineLevel="0" collapsed="false">
      <c r="A54" s="1" t="n">
        <v>108</v>
      </c>
      <c r="B54" s="1" t="s">
        <v>565</v>
      </c>
      <c r="C54" s="1" t="s">
        <v>566</v>
      </c>
      <c r="D54" s="196" t="n">
        <v>2568</v>
      </c>
      <c r="E54" s="196" t="s">
        <v>51</v>
      </c>
      <c r="F54" s="197" t="s">
        <v>599</v>
      </c>
      <c r="G54" s="198" t="s">
        <v>600</v>
      </c>
      <c r="H54" s="163" t="s">
        <v>236</v>
      </c>
      <c r="I54" s="161" t="n">
        <v>7</v>
      </c>
      <c r="J54" s="156" t="s">
        <v>192</v>
      </c>
      <c r="K54" s="199" t="n">
        <v>45435.7821412037</v>
      </c>
      <c r="L54" s="1" t="n">
        <v>1</v>
      </c>
      <c r="M54" s="196" t="n">
        <v>2568</v>
      </c>
      <c r="N54" s="1" t="n">
        <v>53</v>
      </c>
    </row>
    <row r="55" customFormat="false" ht="14.25" hidden="false" customHeight="false" outlineLevel="0" collapsed="false">
      <c r="A55" s="1" t="n">
        <v>109</v>
      </c>
      <c r="B55" s="1" t="s">
        <v>565</v>
      </c>
      <c r="C55" s="1" t="s">
        <v>566</v>
      </c>
      <c r="D55" s="196" t="n">
        <v>2568</v>
      </c>
      <c r="E55" s="196" t="s">
        <v>51</v>
      </c>
      <c r="F55" s="197" t="s">
        <v>603</v>
      </c>
      <c r="G55" s="198" t="s">
        <v>604</v>
      </c>
      <c r="H55" s="163" t="s">
        <v>489</v>
      </c>
      <c r="I55" s="161" t="n">
        <v>82</v>
      </c>
      <c r="J55" s="156" t="s">
        <v>192</v>
      </c>
      <c r="K55" s="199" t="n">
        <v>45435.7838541667</v>
      </c>
      <c r="L55" s="1" t="n">
        <v>0</v>
      </c>
      <c r="M55" s="196" t="n">
        <v>2568</v>
      </c>
      <c r="N55" s="1" t="n">
        <v>54</v>
      </c>
    </row>
    <row r="56" customFormat="false" ht="14.25" hidden="false" customHeight="false" outlineLevel="0" collapsed="false">
      <c r="A56" s="1" t="n">
        <v>110</v>
      </c>
      <c r="B56" s="1" t="s">
        <v>565</v>
      </c>
      <c r="C56" s="1" t="s">
        <v>566</v>
      </c>
      <c r="D56" s="196" t="n">
        <v>2568</v>
      </c>
      <c r="E56" s="196" t="s">
        <v>51</v>
      </c>
      <c r="F56" s="197" t="s">
        <v>575</v>
      </c>
      <c r="G56" s="198" t="s">
        <v>576</v>
      </c>
      <c r="H56" s="163" t="s">
        <v>366</v>
      </c>
      <c r="I56" s="161" t="n">
        <v>28</v>
      </c>
      <c r="J56" s="156" t="s">
        <v>192</v>
      </c>
      <c r="K56" s="199" t="n">
        <v>45435.7864699074</v>
      </c>
      <c r="L56" s="10" t="n">
        <v>197</v>
      </c>
      <c r="M56" s="196" t="n">
        <v>2568</v>
      </c>
      <c r="N56" s="1" t="n">
        <v>55</v>
      </c>
    </row>
    <row r="57" customFormat="false" ht="14.25" hidden="false" customHeight="false" outlineLevel="0" collapsed="false">
      <c r="A57" s="1" t="n">
        <v>111</v>
      </c>
      <c r="B57" s="1" t="s">
        <v>565</v>
      </c>
      <c r="C57" s="1" t="s">
        <v>566</v>
      </c>
      <c r="D57" s="196" t="n">
        <v>2568</v>
      </c>
      <c r="E57" s="196" t="s">
        <v>51</v>
      </c>
      <c r="F57" s="197" t="s">
        <v>575</v>
      </c>
      <c r="G57" s="198" t="s">
        <v>576</v>
      </c>
      <c r="H57" s="163" t="s">
        <v>366</v>
      </c>
      <c r="I57" s="161" t="n">
        <v>28</v>
      </c>
      <c r="J57" s="156" t="s">
        <v>192</v>
      </c>
      <c r="K57" s="199" t="n">
        <v>45435.7887731481</v>
      </c>
      <c r="L57" s="1" t="n">
        <v>33</v>
      </c>
      <c r="M57" s="196" t="n">
        <v>2568</v>
      </c>
      <c r="N57" s="1" t="n">
        <v>56</v>
      </c>
    </row>
    <row r="58" customFormat="false" ht="14.25" hidden="false" customHeight="false" outlineLevel="0" collapsed="false">
      <c r="A58" s="1" t="n">
        <v>112</v>
      </c>
      <c r="B58" s="1" t="s">
        <v>565</v>
      </c>
      <c r="C58" s="1" t="s">
        <v>566</v>
      </c>
      <c r="D58" s="196" t="n">
        <v>2568</v>
      </c>
      <c r="E58" s="196" t="s">
        <v>51</v>
      </c>
      <c r="F58" s="197" t="s">
        <v>597</v>
      </c>
      <c r="G58" s="198" t="s">
        <v>598</v>
      </c>
      <c r="H58" s="163" t="s">
        <v>393</v>
      </c>
      <c r="I58" s="161" t="n">
        <v>83</v>
      </c>
      <c r="J58" s="156" t="s">
        <v>192</v>
      </c>
      <c r="K58" s="199" t="n">
        <v>45435.7913310185</v>
      </c>
      <c r="L58" s="1" t="n">
        <v>1</v>
      </c>
      <c r="M58" s="196" t="n">
        <v>2568</v>
      </c>
      <c r="N58" s="1" t="n">
        <v>57</v>
      </c>
    </row>
    <row r="59" customFormat="false" ht="14.25" hidden="false" customHeight="false" outlineLevel="0" collapsed="false">
      <c r="A59" s="1" t="n">
        <v>113</v>
      </c>
      <c r="B59" s="1" t="s">
        <v>565</v>
      </c>
      <c r="C59" s="1" t="s">
        <v>566</v>
      </c>
      <c r="D59" s="196" t="n">
        <v>2568</v>
      </c>
      <c r="E59" s="196" t="s">
        <v>51</v>
      </c>
      <c r="F59" s="197" t="s">
        <v>597</v>
      </c>
      <c r="G59" s="198" t="s">
        <v>598</v>
      </c>
      <c r="H59" s="163" t="s">
        <v>393</v>
      </c>
      <c r="I59" s="161" t="n">
        <v>83</v>
      </c>
      <c r="J59" s="156" t="s">
        <v>192</v>
      </c>
      <c r="K59" s="199" t="n">
        <v>45435.8058333333</v>
      </c>
      <c r="L59" s="1" t="n">
        <v>1</v>
      </c>
      <c r="M59" s="196" t="n">
        <v>2568</v>
      </c>
      <c r="N59" s="1" t="n">
        <v>58</v>
      </c>
    </row>
    <row r="60" customFormat="false" ht="14.25" hidden="false" customHeight="false" outlineLevel="0" collapsed="false">
      <c r="A60" s="1" t="n">
        <v>114</v>
      </c>
      <c r="B60" s="1" t="s">
        <v>565</v>
      </c>
      <c r="C60" s="1" t="s">
        <v>566</v>
      </c>
      <c r="D60" s="196" t="n">
        <v>2568</v>
      </c>
      <c r="E60" s="196" t="s">
        <v>51</v>
      </c>
      <c r="F60" s="197" t="s">
        <v>575</v>
      </c>
      <c r="G60" s="198" t="s">
        <v>576</v>
      </c>
      <c r="H60" s="163" t="s">
        <v>366</v>
      </c>
      <c r="I60" s="161" t="n">
        <v>28</v>
      </c>
      <c r="J60" s="156" t="s">
        <v>192</v>
      </c>
      <c r="K60" s="199" t="n">
        <v>45435.8173032407</v>
      </c>
      <c r="L60" s="10" t="n">
        <v>806</v>
      </c>
      <c r="M60" s="196" t="n">
        <v>2568</v>
      </c>
      <c r="N60" s="1" t="n">
        <v>59</v>
      </c>
    </row>
    <row r="61" customFormat="false" ht="14.25" hidden="false" customHeight="false" outlineLevel="0" collapsed="false">
      <c r="A61" s="1" t="n">
        <v>115</v>
      </c>
      <c r="B61" s="1" t="s">
        <v>565</v>
      </c>
      <c r="C61" s="1" t="s">
        <v>566</v>
      </c>
      <c r="D61" s="196" t="n">
        <v>2568</v>
      </c>
      <c r="E61" s="196" t="s">
        <v>51</v>
      </c>
      <c r="F61" s="197" t="s">
        <v>599</v>
      </c>
      <c r="G61" s="198" t="s">
        <v>600</v>
      </c>
      <c r="H61" s="163" t="s">
        <v>236</v>
      </c>
      <c r="I61" s="161" t="n">
        <v>7</v>
      </c>
      <c r="J61" s="156" t="s">
        <v>192</v>
      </c>
      <c r="K61" s="199" t="n">
        <v>45435.8270023148</v>
      </c>
      <c r="L61" s="1" t="n">
        <v>2</v>
      </c>
      <c r="M61" s="196" t="n">
        <v>2568</v>
      </c>
      <c r="N61" s="1" t="n">
        <v>60</v>
      </c>
    </row>
    <row r="62" customFormat="false" ht="14.25" hidden="false" customHeight="false" outlineLevel="0" collapsed="false">
      <c r="A62" s="1" t="n">
        <v>116</v>
      </c>
      <c r="B62" s="1" t="s">
        <v>565</v>
      </c>
      <c r="C62" s="1" t="s">
        <v>566</v>
      </c>
      <c r="D62" s="196" t="n">
        <v>2568</v>
      </c>
      <c r="E62" s="196" t="s">
        <v>51</v>
      </c>
      <c r="F62" s="197" t="s">
        <v>599</v>
      </c>
      <c r="G62" s="198" t="s">
        <v>600</v>
      </c>
      <c r="H62" s="163" t="s">
        <v>236</v>
      </c>
      <c r="I62" s="161" t="n">
        <v>7</v>
      </c>
      <c r="J62" s="156" t="s">
        <v>192</v>
      </c>
      <c r="K62" s="199" t="n">
        <v>45435.8293518519</v>
      </c>
      <c r="L62" s="1" t="n">
        <v>0</v>
      </c>
      <c r="M62" s="196" t="n">
        <v>2568</v>
      </c>
      <c r="N62" s="1" t="n">
        <v>61</v>
      </c>
    </row>
    <row r="63" customFormat="false" ht="14.25" hidden="false" customHeight="false" outlineLevel="0" collapsed="false">
      <c r="A63" s="1" t="n">
        <v>117</v>
      </c>
      <c r="B63" s="1" t="s">
        <v>565</v>
      </c>
      <c r="C63" s="1" t="s">
        <v>566</v>
      </c>
      <c r="D63" s="196" t="n">
        <v>2568</v>
      </c>
      <c r="E63" s="196" t="s">
        <v>51</v>
      </c>
      <c r="F63" s="197" t="s">
        <v>601</v>
      </c>
      <c r="G63" s="198" t="s">
        <v>602</v>
      </c>
      <c r="H63" s="163" t="s">
        <v>480</v>
      </c>
      <c r="I63" s="161" t="n">
        <v>110</v>
      </c>
      <c r="J63" s="156" t="s">
        <v>192</v>
      </c>
      <c r="K63" s="199" t="n">
        <v>45435.8332060185</v>
      </c>
      <c r="L63" s="1" t="n">
        <v>1</v>
      </c>
      <c r="M63" s="196" t="n">
        <v>2568</v>
      </c>
      <c r="N63" s="1" t="n">
        <v>62</v>
      </c>
    </row>
    <row r="64" customFormat="false" ht="14.25" hidden="false" customHeight="false" outlineLevel="0" collapsed="false">
      <c r="A64" s="1" t="n">
        <v>118</v>
      </c>
      <c r="B64" s="1" t="s">
        <v>565</v>
      </c>
      <c r="C64" s="1" t="s">
        <v>566</v>
      </c>
      <c r="D64" s="196" t="n">
        <v>2568</v>
      </c>
      <c r="E64" s="196" t="s">
        <v>51</v>
      </c>
      <c r="F64" s="197" t="s">
        <v>601</v>
      </c>
      <c r="G64" s="198" t="s">
        <v>602</v>
      </c>
      <c r="H64" s="163" t="s">
        <v>480</v>
      </c>
      <c r="I64" s="161" t="n">
        <v>110</v>
      </c>
      <c r="J64" s="156" t="s">
        <v>192</v>
      </c>
      <c r="K64" s="199" t="n">
        <v>45435.8335069444</v>
      </c>
      <c r="L64" s="1" t="n">
        <v>1</v>
      </c>
      <c r="M64" s="196" t="n">
        <v>2568</v>
      </c>
      <c r="N64" s="1" t="n">
        <v>63</v>
      </c>
    </row>
    <row r="65" customFormat="false" ht="14.25" hidden="false" customHeight="false" outlineLevel="0" collapsed="false">
      <c r="A65" s="1" t="n">
        <v>119</v>
      </c>
      <c r="B65" s="1" t="s">
        <v>565</v>
      </c>
      <c r="C65" s="1" t="s">
        <v>566</v>
      </c>
      <c r="D65" s="196" t="n">
        <v>2568</v>
      </c>
      <c r="E65" s="196" t="s">
        <v>51</v>
      </c>
      <c r="F65" s="197" t="s">
        <v>599</v>
      </c>
      <c r="G65" s="198" t="s">
        <v>600</v>
      </c>
      <c r="H65" s="163" t="s">
        <v>236</v>
      </c>
      <c r="I65" s="161" t="n">
        <v>7</v>
      </c>
      <c r="J65" s="156" t="s">
        <v>192</v>
      </c>
      <c r="K65" s="199" t="n">
        <v>45435.8383449074</v>
      </c>
      <c r="L65" s="1" t="n">
        <v>0</v>
      </c>
      <c r="M65" s="196" t="n">
        <v>2568</v>
      </c>
      <c r="N65" s="1" t="n">
        <v>64</v>
      </c>
    </row>
    <row r="66" customFormat="false" ht="14.25" hidden="false" customHeight="false" outlineLevel="0" collapsed="false">
      <c r="A66" s="1" t="n">
        <v>120</v>
      </c>
      <c r="B66" s="1" t="s">
        <v>565</v>
      </c>
      <c r="C66" s="1" t="s">
        <v>566</v>
      </c>
      <c r="D66" s="196" t="n">
        <v>2568</v>
      </c>
      <c r="E66" s="196" t="s">
        <v>51</v>
      </c>
      <c r="F66" s="197" t="s">
        <v>575</v>
      </c>
      <c r="G66" s="198" t="s">
        <v>576</v>
      </c>
      <c r="H66" s="163" t="s">
        <v>366</v>
      </c>
      <c r="I66" s="161" t="n">
        <v>28</v>
      </c>
      <c r="J66" s="156" t="s">
        <v>192</v>
      </c>
      <c r="K66" s="199" t="n">
        <v>45435.8472106482</v>
      </c>
      <c r="L66" s="1" t="n">
        <v>1</v>
      </c>
      <c r="M66" s="196" t="n">
        <v>2568</v>
      </c>
      <c r="N66" s="1" t="n">
        <v>65</v>
      </c>
    </row>
    <row r="67" customFormat="false" ht="14.25" hidden="false" customHeight="false" outlineLevel="0" collapsed="false">
      <c r="A67" s="1" t="n">
        <v>121</v>
      </c>
      <c r="B67" s="1" t="s">
        <v>565</v>
      </c>
      <c r="C67" s="1" t="s">
        <v>566</v>
      </c>
      <c r="D67" s="196" t="n">
        <v>2568</v>
      </c>
      <c r="E67" s="196" t="s">
        <v>51</v>
      </c>
      <c r="F67" s="197" t="s">
        <v>599</v>
      </c>
      <c r="G67" s="198" t="s">
        <v>600</v>
      </c>
      <c r="H67" s="163" t="s">
        <v>236</v>
      </c>
      <c r="I67" s="161" t="n">
        <v>7</v>
      </c>
      <c r="J67" s="156" t="s">
        <v>192</v>
      </c>
      <c r="K67" s="199" t="n">
        <v>45435.8514236111</v>
      </c>
      <c r="L67" s="1" t="n">
        <v>0</v>
      </c>
      <c r="M67" s="196" t="n">
        <v>2568</v>
      </c>
      <c r="N67" s="1" t="n">
        <v>66</v>
      </c>
    </row>
    <row r="68" customFormat="false" ht="14.25" hidden="false" customHeight="false" outlineLevel="0" collapsed="false">
      <c r="A68" s="1" t="n">
        <v>122</v>
      </c>
      <c r="B68" s="1" t="s">
        <v>565</v>
      </c>
      <c r="C68" s="1" t="s">
        <v>566</v>
      </c>
      <c r="D68" s="196" t="n">
        <v>2568</v>
      </c>
      <c r="E68" s="196" t="s">
        <v>51</v>
      </c>
      <c r="F68" s="197" t="s">
        <v>605</v>
      </c>
      <c r="G68" s="198" t="s">
        <v>606</v>
      </c>
      <c r="H68" s="163" t="s">
        <v>456</v>
      </c>
      <c r="I68" s="161" t="n">
        <v>113</v>
      </c>
      <c r="J68" s="156" t="s">
        <v>192</v>
      </c>
      <c r="K68" s="199" t="n">
        <v>45435.8542939815</v>
      </c>
      <c r="L68" s="1" t="n">
        <v>0</v>
      </c>
      <c r="M68" s="196" t="n">
        <v>2568</v>
      </c>
      <c r="N68" s="1" t="n">
        <v>67</v>
      </c>
    </row>
    <row r="69" customFormat="false" ht="14.25" hidden="false" customHeight="false" outlineLevel="0" collapsed="false">
      <c r="A69" s="1" t="n">
        <v>123</v>
      </c>
      <c r="B69" s="1" t="s">
        <v>565</v>
      </c>
      <c r="C69" s="1" t="s">
        <v>566</v>
      </c>
      <c r="D69" s="196" t="n">
        <v>2568</v>
      </c>
      <c r="E69" s="196" t="s">
        <v>51</v>
      </c>
      <c r="F69" s="197" t="s">
        <v>605</v>
      </c>
      <c r="G69" s="198" t="s">
        <v>606</v>
      </c>
      <c r="H69" s="163" t="s">
        <v>456</v>
      </c>
      <c r="I69" s="161" t="n">
        <v>113</v>
      </c>
      <c r="J69" s="156" t="s">
        <v>192</v>
      </c>
      <c r="K69" s="199" t="n">
        <v>45435.8543171296</v>
      </c>
      <c r="L69" s="1" t="n">
        <v>0</v>
      </c>
      <c r="M69" s="196" t="n">
        <v>2568</v>
      </c>
      <c r="N69" s="1" t="n">
        <v>68</v>
      </c>
    </row>
    <row r="70" customFormat="false" ht="14.25" hidden="false" customHeight="false" outlineLevel="0" collapsed="false">
      <c r="A70" s="1" t="n">
        <v>124</v>
      </c>
      <c r="B70" s="1" t="s">
        <v>565</v>
      </c>
      <c r="C70" s="1" t="s">
        <v>566</v>
      </c>
      <c r="D70" s="196" t="n">
        <v>2568</v>
      </c>
      <c r="E70" s="196" t="s">
        <v>51</v>
      </c>
      <c r="F70" s="197" t="s">
        <v>599</v>
      </c>
      <c r="G70" s="198" t="s">
        <v>600</v>
      </c>
      <c r="H70" s="163" t="s">
        <v>236</v>
      </c>
      <c r="I70" s="161" t="n">
        <v>7</v>
      </c>
      <c r="J70" s="156" t="s">
        <v>192</v>
      </c>
      <c r="K70" s="199" t="n">
        <v>45435.8567361111</v>
      </c>
      <c r="L70" s="1" t="n">
        <v>0</v>
      </c>
      <c r="M70" s="196" t="n">
        <v>2568</v>
      </c>
      <c r="N70" s="1" t="n">
        <v>69</v>
      </c>
    </row>
    <row r="71" customFormat="false" ht="14.25" hidden="false" customHeight="false" outlineLevel="0" collapsed="false">
      <c r="A71" s="1" t="n">
        <v>125</v>
      </c>
      <c r="B71" s="1" t="s">
        <v>565</v>
      </c>
      <c r="C71" s="1" t="s">
        <v>566</v>
      </c>
      <c r="D71" s="196" t="n">
        <v>2568</v>
      </c>
      <c r="E71" s="196" t="s">
        <v>51</v>
      </c>
      <c r="F71" s="197" t="s">
        <v>599</v>
      </c>
      <c r="G71" s="198" t="s">
        <v>600</v>
      </c>
      <c r="H71" s="163" t="s">
        <v>236</v>
      </c>
      <c r="I71" s="161" t="n">
        <v>7</v>
      </c>
      <c r="J71" s="156" t="s">
        <v>192</v>
      </c>
      <c r="K71" s="199" t="n">
        <v>45435.8567476852</v>
      </c>
      <c r="L71" s="1" t="n">
        <v>0</v>
      </c>
      <c r="M71" s="196" t="n">
        <v>2568</v>
      </c>
      <c r="N71" s="1" t="n">
        <v>70</v>
      </c>
    </row>
    <row r="72" customFormat="false" ht="14.25" hidden="false" customHeight="false" outlineLevel="0" collapsed="false">
      <c r="A72" s="1" t="n">
        <v>126</v>
      </c>
      <c r="B72" s="1" t="s">
        <v>565</v>
      </c>
      <c r="C72" s="1" t="s">
        <v>566</v>
      </c>
      <c r="D72" s="196" t="n">
        <v>2568</v>
      </c>
      <c r="E72" s="196" t="s">
        <v>51</v>
      </c>
      <c r="F72" s="197" t="s">
        <v>607</v>
      </c>
      <c r="G72" s="198" t="s">
        <v>608</v>
      </c>
      <c r="H72" s="163" t="s">
        <v>342</v>
      </c>
      <c r="I72" s="161" t="n">
        <v>24</v>
      </c>
      <c r="J72" s="156" t="s">
        <v>192</v>
      </c>
      <c r="K72" s="199" t="n">
        <v>45435.8646643519</v>
      </c>
      <c r="L72" s="1" t="n">
        <v>1</v>
      </c>
      <c r="M72" s="196" t="n">
        <v>2568</v>
      </c>
      <c r="N72" s="1" t="n">
        <v>71</v>
      </c>
    </row>
    <row r="73" customFormat="false" ht="14.25" hidden="false" customHeight="false" outlineLevel="0" collapsed="false">
      <c r="A73" s="1" t="n">
        <v>127</v>
      </c>
      <c r="B73" s="1" t="s">
        <v>565</v>
      </c>
      <c r="C73" s="1" t="s">
        <v>566</v>
      </c>
      <c r="D73" s="196" t="n">
        <v>2568</v>
      </c>
      <c r="E73" s="196" t="s">
        <v>51</v>
      </c>
      <c r="F73" s="197" t="s">
        <v>599</v>
      </c>
      <c r="G73" s="198" t="s">
        <v>600</v>
      </c>
      <c r="H73" s="163" t="s">
        <v>236</v>
      </c>
      <c r="I73" s="161" t="n">
        <v>7</v>
      </c>
      <c r="J73" s="156" t="s">
        <v>192</v>
      </c>
      <c r="K73" s="199" t="n">
        <v>45435.8660300926</v>
      </c>
      <c r="L73" s="1" t="n">
        <v>1</v>
      </c>
      <c r="M73" s="196" t="n">
        <v>2568</v>
      </c>
      <c r="N73" s="1" t="n">
        <v>72</v>
      </c>
    </row>
    <row r="74" customFormat="false" ht="14.25" hidden="false" customHeight="false" outlineLevel="0" collapsed="false">
      <c r="A74" s="1" t="n">
        <v>128</v>
      </c>
      <c r="B74" s="1" t="s">
        <v>565</v>
      </c>
      <c r="C74" s="1" t="s">
        <v>566</v>
      </c>
      <c r="D74" s="196" t="n">
        <v>2568</v>
      </c>
      <c r="E74" s="196" t="s">
        <v>51</v>
      </c>
      <c r="F74" s="197" t="s">
        <v>599</v>
      </c>
      <c r="G74" s="198" t="s">
        <v>600</v>
      </c>
      <c r="H74" s="163" t="s">
        <v>236</v>
      </c>
      <c r="I74" s="161" t="n">
        <v>7</v>
      </c>
      <c r="J74" s="156" t="s">
        <v>192</v>
      </c>
      <c r="K74" s="199" t="n">
        <v>45435.8660416667</v>
      </c>
      <c r="L74" s="1" t="n">
        <v>1</v>
      </c>
      <c r="M74" s="196" t="n">
        <v>2568</v>
      </c>
      <c r="N74" s="1" t="n">
        <v>73</v>
      </c>
    </row>
    <row r="75" customFormat="false" ht="14.25" hidden="false" customHeight="false" outlineLevel="0" collapsed="false">
      <c r="A75" s="1" t="n">
        <v>129</v>
      </c>
      <c r="B75" s="1" t="s">
        <v>565</v>
      </c>
      <c r="C75" s="1" t="s">
        <v>566</v>
      </c>
      <c r="D75" s="196" t="n">
        <v>2568</v>
      </c>
      <c r="E75" s="196" t="s">
        <v>51</v>
      </c>
      <c r="F75" s="197" t="s">
        <v>599</v>
      </c>
      <c r="G75" s="198" t="s">
        <v>600</v>
      </c>
      <c r="H75" s="163" t="s">
        <v>236</v>
      </c>
      <c r="I75" s="161" t="n">
        <v>7</v>
      </c>
      <c r="J75" s="156" t="s">
        <v>192</v>
      </c>
      <c r="K75" s="199" t="n">
        <v>45435.8670833333</v>
      </c>
      <c r="L75" s="1" t="n">
        <v>0</v>
      </c>
      <c r="M75" s="196" t="n">
        <v>2568</v>
      </c>
      <c r="N75" s="1" t="n">
        <v>74</v>
      </c>
    </row>
    <row r="76" customFormat="false" ht="14.25" hidden="false" customHeight="false" outlineLevel="0" collapsed="false">
      <c r="A76" s="1" t="n">
        <v>130</v>
      </c>
      <c r="B76" s="1" t="s">
        <v>565</v>
      </c>
      <c r="C76" s="1" t="s">
        <v>566</v>
      </c>
      <c r="D76" s="196" t="n">
        <v>2568</v>
      </c>
      <c r="E76" s="196" t="s">
        <v>51</v>
      </c>
      <c r="F76" s="197" t="s">
        <v>599</v>
      </c>
      <c r="G76" s="198" t="s">
        <v>600</v>
      </c>
      <c r="H76" s="163" t="s">
        <v>236</v>
      </c>
      <c r="I76" s="161" t="n">
        <v>7</v>
      </c>
      <c r="J76" s="156" t="s">
        <v>192</v>
      </c>
      <c r="K76" s="199" t="n">
        <v>45435.8671064815</v>
      </c>
      <c r="L76" s="1" t="n">
        <v>0</v>
      </c>
      <c r="M76" s="196" t="n">
        <v>2568</v>
      </c>
      <c r="N76" s="1" t="n">
        <v>75</v>
      </c>
    </row>
    <row r="77" customFormat="false" ht="14.25" hidden="false" customHeight="false" outlineLevel="0" collapsed="false">
      <c r="A77" s="1" t="n">
        <v>131</v>
      </c>
      <c r="B77" s="1" t="s">
        <v>565</v>
      </c>
      <c r="C77" s="1" t="s">
        <v>566</v>
      </c>
      <c r="D77" s="196" t="n">
        <v>2568</v>
      </c>
      <c r="E77" s="196" t="s">
        <v>51</v>
      </c>
      <c r="F77" s="197" t="s">
        <v>599</v>
      </c>
      <c r="G77" s="198" t="s">
        <v>600</v>
      </c>
      <c r="H77" s="163" t="s">
        <v>236</v>
      </c>
      <c r="I77" s="161" t="n">
        <v>7</v>
      </c>
      <c r="J77" s="156" t="s">
        <v>192</v>
      </c>
      <c r="K77" s="199" t="n">
        <v>45435.8700115741</v>
      </c>
      <c r="L77" s="1" t="n">
        <v>1</v>
      </c>
      <c r="M77" s="196" t="n">
        <v>2568</v>
      </c>
      <c r="N77" s="1" t="n">
        <v>76</v>
      </c>
    </row>
    <row r="78" customFormat="false" ht="14.25" hidden="false" customHeight="false" outlineLevel="0" collapsed="false">
      <c r="A78" s="1" t="n">
        <v>132</v>
      </c>
      <c r="B78" s="1" t="s">
        <v>565</v>
      </c>
      <c r="C78" s="1" t="s">
        <v>566</v>
      </c>
      <c r="D78" s="196" t="n">
        <v>2568</v>
      </c>
      <c r="E78" s="196" t="s">
        <v>51</v>
      </c>
      <c r="F78" s="197" t="s">
        <v>575</v>
      </c>
      <c r="G78" s="198" t="s">
        <v>576</v>
      </c>
      <c r="H78" s="163" t="s">
        <v>366</v>
      </c>
      <c r="I78" s="161" t="n">
        <v>28</v>
      </c>
      <c r="J78" s="156" t="s">
        <v>192</v>
      </c>
      <c r="K78" s="199" t="n">
        <v>45435.8813425926</v>
      </c>
      <c r="L78" s="1" t="n">
        <v>1</v>
      </c>
      <c r="M78" s="196" t="n">
        <v>2568</v>
      </c>
      <c r="N78" s="1" t="n">
        <v>77</v>
      </c>
    </row>
    <row r="79" customFormat="false" ht="14.25" hidden="false" customHeight="false" outlineLevel="0" collapsed="false">
      <c r="A79" s="1" t="n">
        <v>133</v>
      </c>
      <c r="B79" s="1" t="s">
        <v>565</v>
      </c>
      <c r="C79" s="1" t="s">
        <v>566</v>
      </c>
      <c r="D79" s="196" t="n">
        <v>2568</v>
      </c>
      <c r="E79" s="196" t="s">
        <v>51</v>
      </c>
      <c r="F79" s="197" t="s">
        <v>609</v>
      </c>
      <c r="G79" s="198" t="s">
        <v>610</v>
      </c>
      <c r="H79" s="163" t="s">
        <v>486</v>
      </c>
      <c r="I79" s="161" t="n">
        <v>69</v>
      </c>
      <c r="J79" s="156" t="s">
        <v>192</v>
      </c>
      <c r="K79" s="199" t="n">
        <v>45435.8860648148</v>
      </c>
      <c r="L79" s="1" t="n">
        <v>0</v>
      </c>
      <c r="M79" s="196" t="n">
        <v>2568</v>
      </c>
      <c r="N79" s="1" t="n">
        <v>78</v>
      </c>
    </row>
    <row r="80" customFormat="false" ht="14.25" hidden="false" customHeight="false" outlineLevel="0" collapsed="false">
      <c r="A80" s="1" t="n">
        <v>134</v>
      </c>
      <c r="B80" s="1" t="s">
        <v>565</v>
      </c>
      <c r="C80" s="1" t="s">
        <v>566</v>
      </c>
      <c r="D80" s="196" t="n">
        <v>2568</v>
      </c>
      <c r="E80" s="196" t="s">
        <v>51</v>
      </c>
      <c r="F80" s="197" t="s">
        <v>609</v>
      </c>
      <c r="G80" s="198" t="s">
        <v>610</v>
      </c>
      <c r="H80" s="163" t="s">
        <v>486</v>
      </c>
      <c r="I80" s="161" t="n">
        <v>69</v>
      </c>
      <c r="J80" s="156" t="s">
        <v>192</v>
      </c>
      <c r="K80" s="199" t="n">
        <v>45435.9163425926</v>
      </c>
      <c r="L80" s="1" t="n">
        <v>1</v>
      </c>
      <c r="M80" s="196" t="n">
        <v>2568</v>
      </c>
      <c r="N80" s="1" t="n">
        <v>79</v>
      </c>
    </row>
    <row r="81" customFormat="false" ht="14.25" hidden="false" customHeight="false" outlineLevel="0" collapsed="false">
      <c r="A81" s="1" t="n">
        <v>135</v>
      </c>
      <c r="B81" s="1" t="s">
        <v>565</v>
      </c>
      <c r="C81" s="1" t="s">
        <v>566</v>
      </c>
      <c r="D81" s="196" t="n">
        <v>2568</v>
      </c>
      <c r="E81" s="196" t="s">
        <v>51</v>
      </c>
      <c r="F81" s="197" t="s">
        <v>595</v>
      </c>
      <c r="G81" s="198" t="s">
        <v>596</v>
      </c>
      <c r="H81" s="163" t="s">
        <v>534</v>
      </c>
      <c r="I81" s="161" t="n">
        <v>98</v>
      </c>
      <c r="J81" s="156" t="s">
        <v>192</v>
      </c>
      <c r="K81" s="199" t="n">
        <v>45435.9530902778</v>
      </c>
      <c r="L81" s="1" t="n">
        <v>2</v>
      </c>
      <c r="M81" s="196" t="n">
        <v>2568</v>
      </c>
      <c r="N81" s="1" t="n">
        <v>80</v>
      </c>
    </row>
    <row r="82" customFormat="false" ht="14.25" hidden="false" customHeight="false" outlineLevel="0" collapsed="false">
      <c r="A82" s="1" t="n">
        <v>136</v>
      </c>
      <c r="B82" s="1" t="s">
        <v>565</v>
      </c>
      <c r="C82" s="1" t="s">
        <v>566</v>
      </c>
      <c r="D82" s="196" t="n">
        <v>2568</v>
      </c>
      <c r="E82" s="196" t="s">
        <v>51</v>
      </c>
      <c r="F82" s="197" t="s">
        <v>595</v>
      </c>
      <c r="G82" s="198" t="s">
        <v>596</v>
      </c>
      <c r="H82" s="163" t="s">
        <v>534</v>
      </c>
      <c r="I82" s="161" t="n">
        <v>98</v>
      </c>
      <c r="J82" s="156" t="s">
        <v>192</v>
      </c>
      <c r="K82" s="199" t="n">
        <v>45435.9539236111</v>
      </c>
      <c r="L82" s="1" t="n">
        <v>2</v>
      </c>
      <c r="M82" s="196" t="n">
        <v>2568</v>
      </c>
      <c r="N82" s="1" t="n">
        <v>81</v>
      </c>
    </row>
    <row r="83" customFormat="false" ht="14.25" hidden="false" customHeight="false" outlineLevel="0" collapsed="false">
      <c r="A83" s="1" t="n">
        <v>137</v>
      </c>
      <c r="B83" s="1" t="s">
        <v>565</v>
      </c>
      <c r="C83" s="1" t="s">
        <v>566</v>
      </c>
      <c r="D83" s="196" t="n">
        <v>2568</v>
      </c>
      <c r="E83" s="196" t="s">
        <v>51</v>
      </c>
      <c r="F83" s="197" t="s">
        <v>595</v>
      </c>
      <c r="G83" s="198" t="s">
        <v>596</v>
      </c>
      <c r="H83" s="163" t="s">
        <v>534</v>
      </c>
      <c r="I83" s="161" t="n">
        <v>98</v>
      </c>
      <c r="J83" s="156" t="s">
        <v>192</v>
      </c>
      <c r="K83" s="199" t="n">
        <v>45435.9547453704</v>
      </c>
      <c r="L83" s="1" t="n">
        <v>1</v>
      </c>
      <c r="M83" s="196" t="n">
        <v>2568</v>
      </c>
      <c r="N83" s="1" t="n">
        <v>82</v>
      </c>
    </row>
    <row r="84" customFormat="false" ht="14.25" hidden="false" customHeight="false" outlineLevel="0" collapsed="false">
      <c r="A84" s="1" t="n">
        <v>138</v>
      </c>
      <c r="B84" s="1" t="s">
        <v>565</v>
      </c>
      <c r="C84" s="1" t="s">
        <v>566</v>
      </c>
      <c r="D84" s="196" t="n">
        <v>2568</v>
      </c>
      <c r="E84" s="196" t="s">
        <v>51</v>
      </c>
      <c r="F84" s="197" t="s">
        <v>595</v>
      </c>
      <c r="G84" s="198" t="s">
        <v>596</v>
      </c>
      <c r="H84" s="163" t="s">
        <v>534</v>
      </c>
      <c r="I84" s="161" t="n">
        <v>98</v>
      </c>
      <c r="J84" s="156" t="s">
        <v>192</v>
      </c>
      <c r="K84" s="199" t="n">
        <v>45435.9559259259</v>
      </c>
      <c r="L84" s="1" t="n">
        <v>0</v>
      </c>
      <c r="M84" s="196" t="n">
        <v>2568</v>
      </c>
      <c r="N84" s="1" t="n">
        <v>83</v>
      </c>
    </row>
    <row r="85" customFormat="false" ht="14.25" hidden="false" customHeight="false" outlineLevel="0" collapsed="false">
      <c r="A85" s="1" t="n">
        <v>139</v>
      </c>
      <c r="B85" s="1" t="s">
        <v>565</v>
      </c>
      <c r="C85" s="1" t="s">
        <v>566</v>
      </c>
      <c r="D85" s="196" t="n">
        <v>2568</v>
      </c>
      <c r="E85" s="196" t="s">
        <v>51</v>
      </c>
      <c r="F85" s="197" t="s">
        <v>595</v>
      </c>
      <c r="G85" s="198" t="s">
        <v>596</v>
      </c>
      <c r="H85" s="163" t="s">
        <v>534</v>
      </c>
      <c r="I85" s="161" t="n">
        <v>98</v>
      </c>
      <c r="J85" s="156" t="s">
        <v>192</v>
      </c>
      <c r="K85" s="199" t="n">
        <v>45435.957037037</v>
      </c>
      <c r="L85" s="1" t="n">
        <v>1</v>
      </c>
      <c r="M85" s="196" t="n">
        <v>2568</v>
      </c>
      <c r="N85" s="1" t="n">
        <v>84</v>
      </c>
    </row>
    <row r="86" customFormat="false" ht="14.25" hidden="false" customHeight="false" outlineLevel="0" collapsed="false">
      <c r="A86" s="1" t="n">
        <v>140</v>
      </c>
      <c r="B86" s="1" t="s">
        <v>565</v>
      </c>
      <c r="C86" s="1" t="s">
        <v>566</v>
      </c>
      <c r="D86" s="196" t="n">
        <v>2568</v>
      </c>
      <c r="E86" s="196" t="s">
        <v>51</v>
      </c>
      <c r="F86" s="197" t="s">
        <v>595</v>
      </c>
      <c r="G86" s="198" t="s">
        <v>596</v>
      </c>
      <c r="H86" s="163" t="s">
        <v>534</v>
      </c>
      <c r="I86" s="161" t="n">
        <v>98</v>
      </c>
      <c r="J86" s="156" t="s">
        <v>192</v>
      </c>
      <c r="K86" s="199" t="n">
        <v>45435.9570486111</v>
      </c>
      <c r="L86" s="1" t="n">
        <v>1</v>
      </c>
      <c r="M86" s="196" t="n">
        <v>2568</v>
      </c>
      <c r="N86" s="1" t="n">
        <v>85</v>
      </c>
    </row>
    <row r="87" customFormat="false" ht="14.25" hidden="false" customHeight="false" outlineLevel="0" collapsed="false">
      <c r="A87" s="1" t="n">
        <v>141</v>
      </c>
      <c r="B87" s="1" t="s">
        <v>565</v>
      </c>
      <c r="C87" s="1" t="s">
        <v>566</v>
      </c>
      <c r="D87" s="196" t="n">
        <v>2568</v>
      </c>
      <c r="E87" s="196" t="s">
        <v>51</v>
      </c>
      <c r="F87" s="197" t="s">
        <v>595</v>
      </c>
      <c r="G87" s="198" t="s">
        <v>596</v>
      </c>
      <c r="H87" s="163" t="s">
        <v>534</v>
      </c>
      <c r="I87" s="161" t="n">
        <v>98</v>
      </c>
      <c r="J87" s="156" t="s">
        <v>192</v>
      </c>
      <c r="K87" s="199" t="n">
        <v>45435.9800694444</v>
      </c>
      <c r="L87" s="1" t="n">
        <v>1</v>
      </c>
      <c r="M87" s="196" t="n">
        <v>2568</v>
      </c>
      <c r="N87" s="1" t="n">
        <v>86</v>
      </c>
    </row>
    <row r="88" customFormat="false" ht="14.25" hidden="false" customHeight="false" outlineLevel="0" collapsed="false">
      <c r="A88" s="1" t="n">
        <v>142</v>
      </c>
      <c r="B88" s="1" t="s">
        <v>565</v>
      </c>
      <c r="C88" s="1" t="s">
        <v>566</v>
      </c>
      <c r="D88" s="196" t="n">
        <v>2568</v>
      </c>
      <c r="E88" s="196" t="s">
        <v>51</v>
      </c>
      <c r="F88" s="197" t="s">
        <v>595</v>
      </c>
      <c r="G88" s="198" t="s">
        <v>596</v>
      </c>
      <c r="H88" s="163" t="s">
        <v>534</v>
      </c>
      <c r="I88" s="161" t="n">
        <v>98</v>
      </c>
      <c r="J88" s="156" t="s">
        <v>192</v>
      </c>
      <c r="K88" s="199" t="n">
        <v>45435.983275463</v>
      </c>
      <c r="L88" s="1" t="n">
        <v>1</v>
      </c>
      <c r="M88" s="196" t="n">
        <v>2568</v>
      </c>
      <c r="N88" s="1" t="n">
        <v>87</v>
      </c>
    </row>
    <row r="89" customFormat="false" ht="14.25" hidden="false" customHeight="false" outlineLevel="0" collapsed="false">
      <c r="A89" s="1" t="n">
        <v>143</v>
      </c>
      <c r="B89" s="1" t="s">
        <v>565</v>
      </c>
      <c r="C89" s="1" t="s">
        <v>566</v>
      </c>
      <c r="D89" s="196" t="n">
        <v>2568</v>
      </c>
      <c r="E89" s="196" t="s">
        <v>51</v>
      </c>
      <c r="F89" s="197" t="s">
        <v>595</v>
      </c>
      <c r="G89" s="198" t="s">
        <v>596</v>
      </c>
      <c r="H89" s="163" t="s">
        <v>534</v>
      </c>
      <c r="I89" s="161" t="n">
        <v>98</v>
      </c>
      <c r="J89" s="156" t="s">
        <v>192</v>
      </c>
      <c r="K89" s="199" t="n">
        <v>45435.9845949074</v>
      </c>
      <c r="L89" s="1" t="n">
        <v>1</v>
      </c>
      <c r="M89" s="196" t="n">
        <v>2568</v>
      </c>
      <c r="N89" s="1" t="n">
        <v>88</v>
      </c>
    </row>
    <row r="90" customFormat="false" ht="14.25" hidden="false" customHeight="false" outlineLevel="0" collapsed="false">
      <c r="A90" s="1" t="n">
        <v>144</v>
      </c>
      <c r="B90" s="1" t="s">
        <v>565</v>
      </c>
      <c r="C90" s="1" t="s">
        <v>566</v>
      </c>
      <c r="D90" s="196" t="n">
        <v>2568</v>
      </c>
      <c r="E90" s="196" t="s">
        <v>51</v>
      </c>
      <c r="F90" s="197" t="s">
        <v>575</v>
      </c>
      <c r="G90" s="198" t="s">
        <v>576</v>
      </c>
      <c r="H90" s="163" t="s">
        <v>366</v>
      </c>
      <c r="I90" s="161" t="n">
        <v>28</v>
      </c>
      <c r="J90" s="156" t="s">
        <v>192</v>
      </c>
      <c r="K90" s="199" t="n">
        <v>45435.9853587963</v>
      </c>
      <c r="L90" s="1" t="n">
        <v>21</v>
      </c>
      <c r="M90" s="196" t="n">
        <v>2568</v>
      </c>
      <c r="N90" s="1" t="n">
        <v>89</v>
      </c>
    </row>
    <row r="91" customFormat="false" ht="14.25" hidden="false" customHeight="false" outlineLevel="0" collapsed="false">
      <c r="A91" s="1" t="n">
        <v>145</v>
      </c>
      <c r="B91" s="1" t="s">
        <v>565</v>
      </c>
      <c r="C91" s="1" t="s">
        <v>566</v>
      </c>
      <c r="D91" s="196" t="n">
        <v>2568</v>
      </c>
      <c r="E91" s="196" t="s">
        <v>51</v>
      </c>
      <c r="F91" s="197" t="s">
        <v>575</v>
      </c>
      <c r="G91" s="198" t="s">
        <v>576</v>
      </c>
      <c r="H91" s="163" t="s">
        <v>366</v>
      </c>
      <c r="I91" s="161" t="n">
        <v>28</v>
      </c>
      <c r="J91" s="156" t="s">
        <v>192</v>
      </c>
      <c r="K91" s="199" t="n">
        <v>45435.985625</v>
      </c>
      <c r="L91" s="1" t="n">
        <v>1</v>
      </c>
      <c r="M91" s="196" t="n">
        <v>2568</v>
      </c>
      <c r="N91" s="1" t="n">
        <v>90</v>
      </c>
    </row>
    <row r="92" customFormat="false" ht="14.25" hidden="false" customHeight="false" outlineLevel="0" collapsed="false">
      <c r="A92" s="1" t="n">
        <v>146</v>
      </c>
      <c r="B92" s="1" t="s">
        <v>565</v>
      </c>
      <c r="C92" s="1" t="s">
        <v>566</v>
      </c>
      <c r="D92" s="196" t="n">
        <v>2568</v>
      </c>
      <c r="E92" s="196" t="s">
        <v>51</v>
      </c>
      <c r="F92" s="197" t="s">
        <v>575</v>
      </c>
      <c r="G92" s="198" t="s">
        <v>576</v>
      </c>
      <c r="H92" s="163" t="s">
        <v>366</v>
      </c>
      <c r="I92" s="161" t="n">
        <v>28</v>
      </c>
      <c r="J92" s="156" t="s">
        <v>192</v>
      </c>
      <c r="K92" s="199" t="n">
        <v>45435.989224537</v>
      </c>
      <c r="L92" s="1" t="n">
        <v>1</v>
      </c>
      <c r="M92" s="196" t="n">
        <v>2568</v>
      </c>
      <c r="N92" s="1" t="n">
        <v>91</v>
      </c>
    </row>
    <row r="93" customFormat="false" ht="14.25" hidden="false" customHeight="false" outlineLevel="0" collapsed="false">
      <c r="A93" s="1" t="n">
        <v>147</v>
      </c>
      <c r="B93" s="1" t="s">
        <v>565</v>
      </c>
      <c r="C93" s="1" t="s">
        <v>566</v>
      </c>
      <c r="D93" s="196" t="n">
        <v>2568</v>
      </c>
      <c r="E93" s="196" t="s">
        <v>51</v>
      </c>
      <c r="F93" s="197" t="s">
        <v>577</v>
      </c>
      <c r="G93" s="198" t="s">
        <v>578</v>
      </c>
      <c r="H93" s="163" t="s">
        <v>427</v>
      </c>
      <c r="I93" s="161" t="n">
        <v>48</v>
      </c>
      <c r="J93" s="156" t="s">
        <v>192</v>
      </c>
      <c r="K93" s="199" t="n">
        <v>45435.9907523148</v>
      </c>
      <c r="L93" s="1" t="n">
        <v>1</v>
      </c>
      <c r="M93" s="196" t="n">
        <v>2568</v>
      </c>
      <c r="N93" s="1" t="n">
        <v>92</v>
      </c>
    </row>
    <row r="94" customFormat="false" ht="14.25" hidden="false" customHeight="false" outlineLevel="0" collapsed="false">
      <c r="A94" s="1" t="n">
        <v>148</v>
      </c>
      <c r="B94" s="1" t="s">
        <v>565</v>
      </c>
      <c r="C94" s="1" t="s">
        <v>566</v>
      </c>
      <c r="D94" s="196" t="n">
        <v>2568</v>
      </c>
      <c r="E94" s="196" t="s">
        <v>51</v>
      </c>
      <c r="F94" s="197" t="s">
        <v>577</v>
      </c>
      <c r="G94" s="198" t="s">
        <v>578</v>
      </c>
      <c r="H94" s="163" t="s">
        <v>427</v>
      </c>
      <c r="I94" s="161" t="n">
        <v>48</v>
      </c>
      <c r="J94" s="156" t="s">
        <v>192</v>
      </c>
      <c r="K94" s="199" t="n">
        <v>45435.9915046296</v>
      </c>
      <c r="L94" s="1" t="n">
        <v>1</v>
      </c>
      <c r="M94" s="196" t="n">
        <v>2568</v>
      </c>
      <c r="N94" s="1" t="n">
        <v>93</v>
      </c>
    </row>
    <row r="95" customFormat="false" ht="14.25" hidden="false" customHeight="false" outlineLevel="0" collapsed="false">
      <c r="A95" s="1" t="n">
        <v>149</v>
      </c>
      <c r="B95" s="1" t="s">
        <v>565</v>
      </c>
      <c r="C95" s="1" t="s">
        <v>566</v>
      </c>
      <c r="D95" s="196" t="n">
        <v>2568</v>
      </c>
      <c r="E95" s="196" t="s">
        <v>51</v>
      </c>
      <c r="F95" s="197" t="s">
        <v>597</v>
      </c>
      <c r="G95" s="198" t="s">
        <v>598</v>
      </c>
      <c r="H95" s="163" t="s">
        <v>393</v>
      </c>
      <c r="I95" s="161" t="n">
        <v>83</v>
      </c>
      <c r="J95" s="156" t="s">
        <v>192</v>
      </c>
      <c r="K95" s="199" t="n">
        <v>45435.9923611111</v>
      </c>
      <c r="L95" s="1" t="n">
        <v>1</v>
      </c>
      <c r="M95" s="196" t="n">
        <v>2568</v>
      </c>
      <c r="N95" s="1" t="n">
        <v>94</v>
      </c>
    </row>
    <row r="96" customFormat="false" ht="14.25" hidden="false" customHeight="false" outlineLevel="0" collapsed="false">
      <c r="A96" s="1" t="n">
        <v>150</v>
      </c>
      <c r="B96" s="1" t="s">
        <v>565</v>
      </c>
      <c r="C96" s="1" t="s">
        <v>566</v>
      </c>
      <c r="D96" s="196" t="n">
        <v>2568</v>
      </c>
      <c r="E96" s="196" t="s">
        <v>51</v>
      </c>
      <c r="F96" s="197" t="s">
        <v>587</v>
      </c>
      <c r="G96" s="198" t="s">
        <v>588</v>
      </c>
      <c r="H96" s="163" t="s">
        <v>442</v>
      </c>
      <c r="I96" s="161" t="n">
        <v>117</v>
      </c>
      <c r="J96" s="156" t="s">
        <v>192</v>
      </c>
      <c r="K96" s="199" t="n">
        <v>45436.0352893519</v>
      </c>
      <c r="L96" s="1" t="n">
        <v>0</v>
      </c>
      <c r="M96" s="196" t="n">
        <v>2568</v>
      </c>
      <c r="N96" s="1" t="n">
        <v>95</v>
      </c>
    </row>
    <row r="97" customFormat="false" ht="14.25" hidden="false" customHeight="false" outlineLevel="0" collapsed="false">
      <c r="A97" s="1" t="n">
        <v>151</v>
      </c>
      <c r="B97" s="1" t="s">
        <v>565</v>
      </c>
      <c r="C97" s="1" t="s">
        <v>566</v>
      </c>
      <c r="D97" s="196" t="n">
        <v>2568</v>
      </c>
      <c r="E97" s="196" t="s">
        <v>51</v>
      </c>
      <c r="F97" s="197" t="s">
        <v>587</v>
      </c>
      <c r="G97" s="198" t="s">
        <v>588</v>
      </c>
      <c r="H97" s="163" t="s">
        <v>442</v>
      </c>
      <c r="I97" s="161" t="n">
        <v>117</v>
      </c>
      <c r="J97" s="156" t="s">
        <v>192</v>
      </c>
      <c r="K97" s="199" t="n">
        <v>45436.0353009259</v>
      </c>
      <c r="L97" s="1" t="n">
        <v>0</v>
      </c>
      <c r="M97" s="196" t="n">
        <v>2568</v>
      </c>
      <c r="N97" s="1" t="n">
        <v>96</v>
      </c>
    </row>
    <row r="98" customFormat="false" ht="14.25" hidden="false" customHeight="false" outlineLevel="0" collapsed="false">
      <c r="A98" s="1" t="n">
        <v>152</v>
      </c>
      <c r="B98" s="1" t="s">
        <v>565</v>
      </c>
      <c r="C98" s="1" t="s">
        <v>566</v>
      </c>
      <c r="D98" s="196" t="n">
        <v>2568</v>
      </c>
      <c r="E98" s="196" t="s">
        <v>51</v>
      </c>
      <c r="F98" s="197" t="s">
        <v>587</v>
      </c>
      <c r="G98" s="198" t="s">
        <v>588</v>
      </c>
      <c r="H98" s="163" t="s">
        <v>442</v>
      </c>
      <c r="I98" s="161" t="n">
        <v>117</v>
      </c>
      <c r="J98" s="156" t="s">
        <v>192</v>
      </c>
      <c r="K98" s="199" t="n">
        <v>45436.036724537</v>
      </c>
      <c r="L98" s="1" t="n">
        <v>0</v>
      </c>
      <c r="M98" s="196" t="n">
        <v>2568</v>
      </c>
      <c r="N98" s="1" t="n">
        <v>97</v>
      </c>
    </row>
    <row r="99" customFormat="false" ht="14.25" hidden="false" customHeight="false" outlineLevel="0" collapsed="false">
      <c r="A99" s="1" t="n">
        <v>153</v>
      </c>
      <c r="B99" s="1" t="s">
        <v>565</v>
      </c>
      <c r="C99" s="1" t="s">
        <v>566</v>
      </c>
      <c r="D99" s="196" t="n">
        <v>2568</v>
      </c>
      <c r="E99" s="196" t="s">
        <v>51</v>
      </c>
      <c r="F99" s="197" t="s">
        <v>587</v>
      </c>
      <c r="G99" s="198" t="s">
        <v>588</v>
      </c>
      <c r="H99" s="163" t="s">
        <v>442</v>
      </c>
      <c r="I99" s="161" t="n">
        <v>117</v>
      </c>
      <c r="J99" s="156" t="s">
        <v>192</v>
      </c>
      <c r="K99" s="199" t="n">
        <v>45436.0385069444</v>
      </c>
      <c r="L99" s="1" t="n">
        <v>1</v>
      </c>
      <c r="M99" s="196" t="n">
        <v>2568</v>
      </c>
      <c r="N99" s="1" t="n">
        <v>98</v>
      </c>
    </row>
    <row r="100" customFormat="false" ht="14.25" hidden="false" customHeight="false" outlineLevel="0" collapsed="false">
      <c r="A100" s="1" t="n">
        <v>154</v>
      </c>
      <c r="B100" s="1" t="s">
        <v>565</v>
      </c>
      <c r="C100" s="1" t="s">
        <v>566</v>
      </c>
      <c r="D100" s="196" t="n">
        <v>2568</v>
      </c>
      <c r="E100" s="196" t="s">
        <v>51</v>
      </c>
      <c r="F100" s="197" t="s">
        <v>595</v>
      </c>
      <c r="G100" s="198" t="s">
        <v>596</v>
      </c>
      <c r="H100" s="163" t="s">
        <v>534</v>
      </c>
      <c r="I100" s="161" t="n">
        <v>98</v>
      </c>
      <c r="J100" s="156" t="s">
        <v>192</v>
      </c>
      <c r="K100" s="199" t="n">
        <v>45436.0481597222</v>
      </c>
      <c r="L100" s="1" t="n">
        <v>1</v>
      </c>
      <c r="M100" s="196" t="n">
        <v>2568</v>
      </c>
      <c r="N100" s="1" t="n">
        <v>99</v>
      </c>
    </row>
    <row r="101" customFormat="false" ht="14.25" hidden="false" customHeight="false" outlineLevel="0" collapsed="false">
      <c r="A101" s="1" t="n">
        <v>155</v>
      </c>
      <c r="B101" s="1" t="s">
        <v>565</v>
      </c>
      <c r="C101" s="1" t="s">
        <v>566</v>
      </c>
      <c r="D101" s="196" t="n">
        <v>2568</v>
      </c>
      <c r="E101" s="196" t="s">
        <v>51</v>
      </c>
      <c r="F101" s="197" t="s">
        <v>587</v>
      </c>
      <c r="G101" s="198" t="s">
        <v>588</v>
      </c>
      <c r="H101" s="163" t="s">
        <v>442</v>
      </c>
      <c r="I101" s="161" t="n">
        <v>117</v>
      </c>
      <c r="J101" s="156" t="s">
        <v>192</v>
      </c>
      <c r="K101" s="199" t="n">
        <v>45436.050775463</v>
      </c>
      <c r="L101" s="1" t="n">
        <v>0</v>
      </c>
      <c r="M101" s="196" t="n">
        <v>2568</v>
      </c>
      <c r="N101" s="1" t="n">
        <v>100</v>
      </c>
    </row>
    <row r="102" customFormat="false" ht="14.25" hidden="false" customHeight="false" outlineLevel="0" collapsed="false">
      <c r="A102" s="1" t="n">
        <v>156</v>
      </c>
      <c r="B102" s="1" t="s">
        <v>565</v>
      </c>
      <c r="C102" s="1" t="s">
        <v>566</v>
      </c>
      <c r="D102" s="196" t="n">
        <v>2568</v>
      </c>
      <c r="E102" s="196" t="s">
        <v>51</v>
      </c>
      <c r="F102" s="197" t="s">
        <v>611</v>
      </c>
      <c r="G102" s="198" t="s">
        <v>612</v>
      </c>
      <c r="H102" s="163" t="s">
        <v>333</v>
      </c>
      <c r="I102" s="161" t="n">
        <v>21</v>
      </c>
      <c r="J102" s="156" t="s">
        <v>192</v>
      </c>
      <c r="K102" s="199" t="n">
        <v>45436.1617476852</v>
      </c>
      <c r="L102" s="1" t="n">
        <v>0</v>
      </c>
      <c r="M102" s="196" t="n">
        <v>2568</v>
      </c>
      <c r="N102" s="1" t="n">
        <v>101</v>
      </c>
    </row>
    <row r="103" customFormat="false" ht="14.25" hidden="false" customHeight="false" outlineLevel="0" collapsed="false">
      <c r="A103" s="1" t="n">
        <v>157</v>
      </c>
      <c r="B103" s="1" t="s">
        <v>565</v>
      </c>
      <c r="C103" s="1" t="s">
        <v>566</v>
      </c>
      <c r="D103" s="196" t="n">
        <v>2568</v>
      </c>
      <c r="E103" s="196" t="s">
        <v>51</v>
      </c>
      <c r="F103" s="197" t="s">
        <v>611</v>
      </c>
      <c r="G103" s="198" t="s">
        <v>612</v>
      </c>
      <c r="H103" s="163" t="s">
        <v>333</v>
      </c>
      <c r="I103" s="161" t="n">
        <v>21</v>
      </c>
      <c r="J103" s="156" t="s">
        <v>192</v>
      </c>
      <c r="K103" s="199" t="n">
        <v>45436.1637037037</v>
      </c>
      <c r="L103" s="1" t="n">
        <v>2</v>
      </c>
      <c r="M103" s="196" t="n">
        <v>2568</v>
      </c>
      <c r="N103" s="1" t="n">
        <v>102</v>
      </c>
    </row>
    <row r="104" customFormat="false" ht="14.25" hidden="false" customHeight="false" outlineLevel="0" collapsed="false">
      <c r="A104" s="1" t="n">
        <v>158</v>
      </c>
      <c r="B104" s="1" t="s">
        <v>565</v>
      </c>
      <c r="C104" s="1" t="s">
        <v>566</v>
      </c>
      <c r="D104" s="196" t="n">
        <v>2568</v>
      </c>
      <c r="E104" s="196" t="s">
        <v>51</v>
      </c>
      <c r="F104" s="197" t="s">
        <v>611</v>
      </c>
      <c r="G104" s="198" t="s">
        <v>612</v>
      </c>
      <c r="H104" s="163" t="s">
        <v>333</v>
      </c>
      <c r="I104" s="161" t="n">
        <v>21</v>
      </c>
      <c r="J104" s="156" t="s">
        <v>192</v>
      </c>
      <c r="K104" s="199" t="n">
        <v>45436.1653703704</v>
      </c>
      <c r="L104" s="1" t="n">
        <v>1</v>
      </c>
      <c r="M104" s="196" t="n">
        <v>2568</v>
      </c>
      <c r="N104" s="1" t="n">
        <v>103</v>
      </c>
    </row>
    <row r="105" customFormat="false" ht="14.25" hidden="false" customHeight="false" outlineLevel="0" collapsed="false">
      <c r="A105" s="1" t="n">
        <v>159</v>
      </c>
      <c r="B105" s="1" t="s">
        <v>565</v>
      </c>
      <c r="C105" s="1" t="s">
        <v>566</v>
      </c>
      <c r="D105" s="196" t="n">
        <v>2568</v>
      </c>
      <c r="E105" s="196" t="s">
        <v>51</v>
      </c>
      <c r="F105" s="197" t="s">
        <v>611</v>
      </c>
      <c r="G105" s="198" t="s">
        <v>612</v>
      </c>
      <c r="H105" s="163" t="s">
        <v>333</v>
      </c>
      <c r="I105" s="161" t="n">
        <v>21</v>
      </c>
      <c r="J105" s="156" t="s">
        <v>192</v>
      </c>
      <c r="K105" s="199" t="n">
        <v>45436.1663194444</v>
      </c>
      <c r="L105" s="1" t="n">
        <v>1</v>
      </c>
      <c r="M105" s="196" t="n">
        <v>2568</v>
      </c>
      <c r="N105" s="1" t="n">
        <v>104</v>
      </c>
    </row>
    <row r="106" customFormat="false" ht="14.25" hidden="false" customHeight="false" outlineLevel="0" collapsed="false">
      <c r="A106" s="1" t="n">
        <v>160</v>
      </c>
      <c r="B106" s="1" t="s">
        <v>565</v>
      </c>
      <c r="C106" s="1" t="s">
        <v>566</v>
      </c>
      <c r="D106" s="196" t="n">
        <v>2568</v>
      </c>
      <c r="E106" s="196" t="s">
        <v>51</v>
      </c>
      <c r="F106" s="197" t="s">
        <v>611</v>
      </c>
      <c r="G106" s="198" t="s">
        <v>612</v>
      </c>
      <c r="H106" s="163" t="s">
        <v>333</v>
      </c>
      <c r="I106" s="161" t="n">
        <v>21</v>
      </c>
      <c r="J106" s="156" t="s">
        <v>192</v>
      </c>
      <c r="K106" s="199" t="n">
        <v>45436.166875</v>
      </c>
      <c r="L106" s="1" t="n">
        <v>1</v>
      </c>
      <c r="M106" s="196" t="n">
        <v>2568</v>
      </c>
      <c r="N106" s="1" t="n">
        <v>105</v>
      </c>
    </row>
    <row r="107" customFormat="false" ht="14.25" hidden="false" customHeight="false" outlineLevel="0" collapsed="false">
      <c r="A107" s="1" t="n">
        <v>161</v>
      </c>
      <c r="B107" s="1" t="s">
        <v>565</v>
      </c>
      <c r="C107" s="1" t="s">
        <v>566</v>
      </c>
      <c r="D107" s="196" t="n">
        <v>2568</v>
      </c>
      <c r="E107" s="196" t="s">
        <v>51</v>
      </c>
      <c r="F107" s="197" t="s">
        <v>611</v>
      </c>
      <c r="G107" s="198" t="s">
        <v>612</v>
      </c>
      <c r="H107" s="163" t="s">
        <v>333</v>
      </c>
      <c r="I107" s="161" t="n">
        <v>21</v>
      </c>
      <c r="J107" s="156" t="s">
        <v>192</v>
      </c>
      <c r="K107" s="199" t="n">
        <v>45436.1685648148</v>
      </c>
      <c r="L107" s="1" t="n">
        <v>1</v>
      </c>
      <c r="M107" s="196" t="n">
        <v>2568</v>
      </c>
      <c r="N107" s="1" t="n">
        <v>106</v>
      </c>
    </row>
    <row r="108" customFormat="false" ht="14.25" hidden="false" customHeight="false" outlineLevel="0" collapsed="false">
      <c r="A108" s="1" t="n">
        <v>162</v>
      </c>
      <c r="B108" s="1" t="s">
        <v>565</v>
      </c>
      <c r="C108" s="1" t="s">
        <v>566</v>
      </c>
      <c r="D108" s="196" t="n">
        <v>2568</v>
      </c>
      <c r="E108" s="196" t="s">
        <v>51</v>
      </c>
      <c r="F108" s="197" t="s">
        <v>611</v>
      </c>
      <c r="G108" s="198" t="s">
        <v>612</v>
      </c>
      <c r="H108" s="163" t="s">
        <v>333</v>
      </c>
      <c r="I108" s="161" t="n">
        <v>21</v>
      </c>
      <c r="J108" s="156" t="s">
        <v>192</v>
      </c>
      <c r="K108" s="199" t="n">
        <v>45436.168587963</v>
      </c>
      <c r="L108" s="1" t="n">
        <v>0</v>
      </c>
      <c r="M108" s="196" t="n">
        <v>2568</v>
      </c>
      <c r="N108" s="1" t="n">
        <v>107</v>
      </c>
    </row>
    <row r="109" customFormat="false" ht="14.25" hidden="false" customHeight="false" outlineLevel="0" collapsed="false">
      <c r="A109" s="1" t="n">
        <v>163</v>
      </c>
      <c r="B109" s="1" t="s">
        <v>565</v>
      </c>
      <c r="C109" s="1" t="s">
        <v>566</v>
      </c>
      <c r="D109" s="196" t="n">
        <v>2568</v>
      </c>
      <c r="E109" s="196" t="s">
        <v>51</v>
      </c>
      <c r="F109" s="197" t="s">
        <v>611</v>
      </c>
      <c r="G109" s="198" t="s">
        <v>612</v>
      </c>
      <c r="H109" s="163" t="s">
        <v>333</v>
      </c>
      <c r="I109" s="161" t="n">
        <v>21</v>
      </c>
      <c r="J109" s="156" t="s">
        <v>192</v>
      </c>
      <c r="K109" s="199" t="n">
        <v>45436.1700347222</v>
      </c>
      <c r="L109" s="1" t="n">
        <v>1</v>
      </c>
      <c r="M109" s="196" t="n">
        <v>2568</v>
      </c>
      <c r="N109" s="1" t="n">
        <v>108</v>
      </c>
    </row>
    <row r="110" customFormat="false" ht="14.25" hidden="false" customHeight="false" outlineLevel="0" collapsed="false">
      <c r="A110" s="1" t="n">
        <v>164</v>
      </c>
      <c r="B110" s="1" t="s">
        <v>565</v>
      </c>
      <c r="C110" s="1" t="s">
        <v>566</v>
      </c>
      <c r="D110" s="196" t="n">
        <v>2568</v>
      </c>
      <c r="E110" s="196" t="s">
        <v>51</v>
      </c>
      <c r="F110" s="197" t="s">
        <v>611</v>
      </c>
      <c r="G110" s="198" t="s">
        <v>612</v>
      </c>
      <c r="H110" s="163" t="s">
        <v>333</v>
      </c>
      <c r="I110" s="161" t="n">
        <v>21</v>
      </c>
      <c r="J110" s="156" t="s">
        <v>192</v>
      </c>
      <c r="K110" s="199" t="n">
        <v>45436.1700462963</v>
      </c>
      <c r="L110" s="1" t="n">
        <v>1</v>
      </c>
      <c r="M110" s="196" t="n">
        <v>2568</v>
      </c>
      <c r="N110" s="1" t="n">
        <v>109</v>
      </c>
    </row>
    <row r="111" customFormat="false" ht="14.25" hidden="false" customHeight="false" outlineLevel="0" collapsed="false">
      <c r="A111" s="1" t="n">
        <v>165</v>
      </c>
      <c r="B111" s="1" t="s">
        <v>565</v>
      </c>
      <c r="C111" s="1" t="s">
        <v>566</v>
      </c>
      <c r="D111" s="196" t="n">
        <v>2568</v>
      </c>
      <c r="E111" s="196" t="s">
        <v>51</v>
      </c>
      <c r="F111" s="197" t="s">
        <v>611</v>
      </c>
      <c r="G111" s="198" t="s">
        <v>612</v>
      </c>
      <c r="H111" s="163" t="s">
        <v>333</v>
      </c>
      <c r="I111" s="161" t="n">
        <v>21</v>
      </c>
      <c r="J111" s="156" t="s">
        <v>192</v>
      </c>
      <c r="K111" s="199" t="n">
        <v>45436.1711805556</v>
      </c>
      <c r="L111" s="1" t="n">
        <v>0</v>
      </c>
      <c r="M111" s="196" t="n">
        <v>2568</v>
      </c>
      <c r="N111" s="1" t="n">
        <v>110</v>
      </c>
    </row>
    <row r="112" customFormat="false" ht="14.25" hidden="false" customHeight="false" outlineLevel="0" collapsed="false">
      <c r="A112" s="1" t="n">
        <v>166</v>
      </c>
      <c r="B112" s="1" t="s">
        <v>565</v>
      </c>
      <c r="C112" s="1" t="s">
        <v>566</v>
      </c>
      <c r="D112" s="196" t="n">
        <v>2568</v>
      </c>
      <c r="E112" s="196" t="s">
        <v>51</v>
      </c>
      <c r="F112" s="197" t="s">
        <v>611</v>
      </c>
      <c r="G112" s="198" t="s">
        <v>612</v>
      </c>
      <c r="H112" s="163" t="s">
        <v>333</v>
      </c>
      <c r="I112" s="161" t="n">
        <v>21</v>
      </c>
      <c r="J112" s="156" t="s">
        <v>192</v>
      </c>
      <c r="K112" s="199" t="n">
        <v>45436.1729976852</v>
      </c>
      <c r="L112" s="1" t="n">
        <v>1</v>
      </c>
      <c r="M112" s="196" t="n">
        <v>2568</v>
      </c>
      <c r="N112" s="1" t="n">
        <v>111</v>
      </c>
    </row>
    <row r="113" customFormat="false" ht="14.25" hidden="false" customHeight="false" outlineLevel="0" collapsed="false">
      <c r="A113" s="1" t="n">
        <v>167</v>
      </c>
      <c r="B113" s="1" t="s">
        <v>565</v>
      </c>
      <c r="C113" s="1" t="s">
        <v>566</v>
      </c>
      <c r="D113" s="196" t="n">
        <v>2568</v>
      </c>
      <c r="E113" s="196" t="s">
        <v>51</v>
      </c>
      <c r="F113" s="197" t="s">
        <v>611</v>
      </c>
      <c r="G113" s="198" t="s">
        <v>612</v>
      </c>
      <c r="H113" s="163" t="s">
        <v>333</v>
      </c>
      <c r="I113" s="161" t="n">
        <v>21</v>
      </c>
      <c r="J113" s="156" t="s">
        <v>192</v>
      </c>
      <c r="K113" s="199" t="n">
        <v>45436.1730092593</v>
      </c>
      <c r="L113" s="1" t="n">
        <v>0</v>
      </c>
      <c r="M113" s="196" t="n">
        <v>2568</v>
      </c>
      <c r="N113" s="1" t="n">
        <v>112</v>
      </c>
    </row>
    <row r="114" customFormat="false" ht="14.25" hidden="false" customHeight="false" outlineLevel="0" collapsed="false">
      <c r="A114" s="1" t="n">
        <v>168</v>
      </c>
      <c r="B114" s="1" t="s">
        <v>565</v>
      </c>
      <c r="C114" s="1" t="s">
        <v>566</v>
      </c>
      <c r="D114" s="196" t="n">
        <v>2568</v>
      </c>
      <c r="E114" s="196" t="s">
        <v>51</v>
      </c>
      <c r="F114" s="197" t="s">
        <v>611</v>
      </c>
      <c r="G114" s="198" t="s">
        <v>612</v>
      </c>
      <c r="H114" s="163" t="s">
        <v>333</v>
      </c>
      <c r="I114" s="161" t="n">
        <v>21</v>
      </c>
      <c r="J114" s="156" t="s">
        <v>192</v>
      </c>
      <c r="K114" s="199" t="n">
        <v>45436.1730208333</v>
      </c>
      <c r="L114" s="1" t="n">
        <v>1</v>
      </c>
      <c r="M114" s="196" t="n">
        <v>2568</v>
      </c>
      <c r="N114" s="1" t="n">
        <v>113</v>
      </c>
    </row>
    <row r="115" customFormat="false" ht="14.25" hidden="false" customHeight="false" outlineLevel="0" collapsed="false">
      <c r="A115" s="1" t="n">
        <v>169</v>
      </c>
      <c r="B115" s="1" t="s">
        <v>565</v>
      </c>
      <c r="C115" s="1" t="s">
        <v>566</v>
      </c>
      <c r="D115" s="196" t="n">
        <v>2568</v>
      </c>
      <c r="E115" s="196" t="s">
        <v>51</v>
      </c>
      <c r="F115" s="197" t="s">
        <v>613</v>
      </c>
      <c r="G115" s="198" t="s">
        <v>614</v>
      </c>
      <c r="H115" s="163" t="s">
        <v>387</v>
      </c>
      <c r="I115" s="161" t="n">
        <v>100</v>
      </c>
      <c r="J115" s="156" t="s">
        <v>192</v>
      </c>
      <c r="K115" s="199" t="n">
        <v>45436.1764814815</v>
      </c>
      <c r="L115" s="1" t="n">
        <v>0</v>
      </c>
      <c r="M115" s="196" t="n">
        <v>2568</v>
      </c>
      <c r="N115" s="1" t="n">
        <v>114</v>
      </c>
    </row>
    <row r="116" customFormat="false" ht="14.25" hidden="false" customHeight="false" outlineLevel="0" collapsed="false">
      <c r="A116" s="1" t="n">
        <v>170</v>
      </c>
      <c r="B116" s="1" t="s">
        <v>565</v>
      </c>
      <c r="C116" s="1" t="s">
        <v>566</v>
      </c>
      <c r="D116" s="196" t="n">
        <v>2568</v>
      </c>
      <c r="E116" s="196" t="s">
        <v>51</v>
      </c>
      <c r="F116" s="197" t="s">
        <v>611</v>
      </c>
      <c r="G116" s="198" t="s">
        <v>612</v>
      </c>
      <c r="H116" s="163" t="s">
        <v>333</v>
      </c>
      <c r="I116" s="161" t="n">
        <v>21</v>
      </c>
      <c r="J116" s="156" t="s">
        <v>192</v>
      </c>
      <c r="K116" s="199" t="n">
        <v>45436.1822337963</v>
      </c>
      <c r="L116" s="1" t="n">
        <v>1</v>
      </c>
      <c r="M116" s="196" t="n">
        <v>2568</v>
      </c>
      <c r="N116" s="1" t="n">
        <v>115</v>
      </c>
    </row>
    <row r="117" customFormat="false" ht="14.25" hidden="false" customHeight="false" outlineLevel="0" collapsed="false">
      <c r="A117" s="1" t="n">
        <v>171</v>
      </c>
      <c r="B117" s="1" t="s">
        <v>565</v>
      </c>
      <c r="C117" s="1" t="s">
        <v>566</v>
      </c>
      <c r="D117" s="196" t="n">
        <v>2568</v>
      </c>
      <c r="E117" s="196" t="s">
        <v>51</v>
      </c>
      <c r="F117" s="197" t="s">
        <v>611</v>
      </c>
      <c r="G117" s="198" t="s">
        <v>612</v>
      </c>
      <c r="H117" s="163" t="s">
        <v>333</v>
      </c>
      <c r="I117" s="161" t="n">
        <v>21</v>
      </c>
      <c r="J117" s="156" t="s">
        <v>192</v>
      </c>
      <c r="K117" s="199" t="n">
        <v>45436.1827314815</v>
      </c>
      <c r="L117" s="1" t="n">
        <v>1</v>
      </c>
      <c r="M117" s="196" t="n">
        <v>2568</v>
      </c>
      <c r="N117" s="1" t="n">
        <v>116</v>
      </c>
    </row>
    <row r="118" customFormat="false" ht="14.25" hidden="false" customHeight="false" outlineLevel="0" collapsed="false">
      <c r="A118" s="1" t="n">
        <v>172</v>
      </c>
      <c r="B118" s="1" t="s">
        <v>565</v>
      </c>
      <c r="C118" s="1" t="s">
        <v>566</v>
      </c>
      <c r="D118" s="196" t="n">
        <v>2568</v>
      </c>
      <c r="E118" s="196" t="s">
        <v>51</v>
      </c>
      <c r="F118" s="197" t="s">
        <v>595</v>
      </c>
      <c r="G118" s="198" t="s">
        <v>596</v>
      </c>
      <c r="H118" s="163" t="s">
        <v>534</v>
      </c>
      <c r="I118" s="161" t="n">
        <v>98</v>
      </c>
      <c r="J118" s="156" t="s">
        <v>192</v>
      </c>
      <c r="K118" s="199" t="n">
        <v>45436.1846759259</v>
      </c>
      <c r="L118" s="1" t="n">
        <v>0</v>
      </c>
      <c r="M118" s="196" t="n">
        <v>2568</v>
      </c>
      <c r="N118" s="1" t="n">
        <v>117</v>
      </c>
    </row>
    <row r="119" customFormat="false" ht="14.25" hidden="false" customHeight="false" outlineLevel="0" collapsed="false">
      <c r="A119" s="1" t="n">
        <v>173</v>
      </c>
      <c r="B119" s="1" t="s">
        <v>565</v>
      </c>
      <c r="C119" s="1" t="s">
        <v>566</v>
      </c>
      <c r="D119" s="196" t="n">
        <v>2568</v>
      </c>
      <c r="E119" s="196" t="s">
        <v>51</v>
      </c>
      <c r="F119" s="197" t="s">
        <v>595</v>
      </c>
      <c r="G119" s="198" t="s">
        <v>596</v>
      </c>
      <c r="H119" s="163" t="s">
        <v>534</v>
      </c>
      <c r="I119" s="161" t="n">
        <v>98</v>
      </c>
      <c r="J119" s="156" t="s">
        <v>192</v>
      </c>
      <c r="K119" s="199" t="n">
        <v>45436.1846875</v>
      </c>
      <c r="L119" s="1" t="n">
        <v>1</v>
      </c>
      <c r="M119" s="196" t="n">
        <v>2568</v>
      </c>
      <c r="N119" s="1" t="n">
        <v>118</v>
      </c>
    </row>
    <row r="120" customFormat="false" ht="14.25" hidden="false" customHeight="false" outlineLevel="0" collapsed="false">
      <c r="A120" s="1" t="n">
        <v>174</v>
      </c>
      <c r="B120" s="1" t="s">
        <v>565</v>
      </c>
      <c r="C120" s="1" t="s">
        <v>566</v>
      </c>
      <c r="D120" s="196" t="n">
        <v>2568</v>
      </c>
      <c r="E120" s="196" t="s">
        <v>51</v>
      </c>
      <c r="F120" s="197" t="s">
        <v>595</v>
      </c>
      <c r="G120" s="198" t="s">
        <v>596</v>
      </c>
      <c r="H120" s="163" t="s">
        <v>534</v>
      </c>
      <c r="I120" s="161" t="n">
        <v>98</v>
      </c>
      <c r="J120" s="156" t="s">
        <v>192</v>
      </c>
      <c r="K120" s="199" t="n">
        <v>45436.1851967593</v>
      </c>
      <c r="L120" s="10" t="n">
        <v>54</v>
      </c>
      <c r="M120" s="196" t="n">
        <v>2568</v>
      </c>
      <c r="N120" s="1" t="n">
        <v>119</v>
      </c>
    </row>
    <row r="121" customFormat="false" ht="14.25" hidden="false" customHeight="false" outlineLevel="0" collapsed="false">
      <c r="A121" s="1" t="n">
        <v>175</v>
      </c>
      <c r="B121" s="1" t="s">
        <v>565</v>
      </c>
      <c r="C121" s="1" t="s">
        <v>566</v>
      </c>
      <c r="D121" s="196" t="n">
        <v>2568</v>
      </c>
      <c r="E121" s="196" t="s">
        <v>51</v>
      </c>
      <c r="F121" s="197" t="s">
        <v>603</v>
      </c>
      <c r="G121" s="198" t="s">
        <v>604</v>
      </c>
      <c r="H121" s="163" t="s">
        <v>489</v>
      </c>
      <c r="I121" s="161" t="n">
        <v>82</v>
      </c>
      <c r="J121" s="156" t="s">
        <v>192</v>
      </c>
      <c r="K121" s="199" t="n">
        <v>45436.2746064815</v>
      </c>
      <c r="L121" s="1" t="n">
        <v>0</v>
      </c>
      <c r="M121" s="196" t="n">
        <v>2568</v>
      </c>
      <c r="N121" s="1" t="n">
        <v>120</v>
      </c>
    </row>
    <row r="122" customFormat="false" ht="14.25" hidden="false" customHeight="false" outlineLevel="0" collapsed="false">
      <c r="A122" s="1" t="n">
        <v>176</v>
      </c>
      <c r="B122" s="1" t="s">
        <v>565</v>
      </c>
      <c r="C122" s="1" t="s">
        <v>566</v>
      </c>
      <c r="D122" s="196" t="n">
        <v>2568</v>
      </c>
      <c r="E122" s="196" t="s">
        <v>51</v>
      </c>
      <c r="F122" s="197" t="s">
        <v>603</v>
      </c>
      <c r="G122" s="198" t="s">
        <v>604</v>
      </c>
      <c r="H122" s="163" t="s">
        <v>489</v>
      </c>
      <c r="I122" s="161" t="n">
        <v>82</v>
      </c>
      <c r="J122" s="156" t="s">
        <v>192</v>
      </c>
      <c r="K122" s="199" t="n">
        <v>45436.2786574074</v>
      </c>
      <c r="L122" s="1" t="n">
        <v>0</v>
      </c>
      <c r="M122" s="196" t="n">
        <v>2568</v>
      </c>
      <c r="N122" s="1" t="n">
        <v>121</v>
      </c>
    </row>
    <row r="123" customFormat="false" ht="14.25" hidden="false" customHeight="false" outlineLevel="0" collapsed="false">
      <c r="A123" s="1" t="n">
        <v>14</v>
      </c>
      <c r="B123" s="1" t="s">
        <v>615</v>
      </c>
      <c r="C123" s="1" t="s">
        <v>616</v>
      </c>
      <c r="D123" s="196" t="n">
        <v>2568</v>
      </c>
      <c r="E123" s="196" t="s">
        <v>51</v>
      </c>
      <c r="F123" s="198" t="s">
        <v>617</v>
      </c>
      <c r="G123" s="198" t="s">
        <v>618</v>
      </c>
      <c r="H123" s="163" t="s">
        <v>306</v>
      </c>
      <c r="I123" s="161" t="n">
        <v>96</v>
      </c>
      <c r="J123" s="156" t="s">
        <v>185</v>
      </c>
      <c r="K123" s="200" t="n">
        <v>45436.5506018519</v>
      </c>
      <c r="L123" s="1" t="n">
        <v>1</v>
      </c>
      <c r="M123" s="196" t="n">
        <v>2568</v>
      </c>
      <c r="N123" s="1" t="n">
        <v>122</v>
      </c>
    </row>
    <row r="124" customFormat="false" ht="14.25" hidden="false" customHeight="false" outlineLevel="0" collapsed="false">
      <c r="A124" s="1" t="n">
        <v>15</v>
      </c>
      <c r="B124" s="1" t="s">
        <v>615</v>
      </c>
      <c r="C124" s="1" t="s">
        <v>616</v>
      </c>
      <c r="D124" s="196" t="n">
        <v>2568</v>
      </c>
      <c r="E124" s="196" t="s">
        <v>51</v>
      </c>
      <c r="F124" s="198" t="s">
        <v>617</v>
      </c>
      <c r="G124" s="198" t="s">
        <v>618</v>
      </c>
      <c r="H124" s="163" t="s">
        <v>306</v>
      </c>
      <c r="I124" s="161" t="n">
        <v>96</v>
      </c>
      <c r="J124" s="156" t="s">
        <v>185</v>
      </c>
      <c r="K124" s="200" t="n">
        <v>45436.5506134259</v>
      </c>
      <c r="L124" s="1" t="n">
        <v>1</v>
      </c>
      <c r="M124" s="196" t="n">
        <v>2568</v>
      </c>
      <c r="N124" s="1" t="n">
        <v>123</v>
      </c>
    </row>
    <row r="125" customFormat="false" ht="14.25" hidden="false" customHeight="false" outlineLevel="0" collapsed="false">
      <c r="A125" s="1" t="n">
        <v>16</v>
      </c>
      <c r="B125" s="1" t="s">
        <v>615</v>
      </c>
      <c r="C125" s="1" t="s">
        <v>616</v>
      </c>
      <c r="D125" s="196" t="n">
        <v>2568</v>
      </c>
      <c r="E125" s="196" t="s">
        <v>51</v>
      </c>
      <c r="F125" s="201" t="n">
        <v>200025889213</v>
      </c>
      <c r="G125" s="198" t="s">
        <v>619</v>
      </c>
      <c r="H125" s="178" t="s">
        <v>390</v>
      </c>
      <c r="I125" s="176" t="n">
        <v>94</v>
      </c>
      <c r="J125" s="175" t="s">
        <v>185</v>
      </c>
      <c r="K125" s="200" t="n">
        <v>45437.2937615741</v>
      </c>
      <c r="L125" s="1" t="n">
        <v>1</v>
      </c>
      <c r="M125" s="196" t="n">
        <v>2568</v>
      </c>
      <c r="N125" s="1" t="n">
        <v>124</v>
      </c>
    </row>
    <row r="126" customFormat="false" ht="14.25" hidden="false" customHeight="false" outlineLevel="0" collapsed="false">
      <c r="A126" s="1" t="n">
        <v>17</v>
      </c>
      <c r="B126" s="1" t="s">
        <v>615</v>
      </c>
      <c r="C126" s="1" t="s">
        <v>616</v>
      </c>
      <c r="D126" s="196" t="n">
        <v>2568</v>
      </c>
      <c r="E126" s="196" t="s">
        <v>51</v>
      </c>
      <c r="F126" s="201" t="n">
        <v>200025889213</v>
      </c>
      <c r="G126" s="198" t="s">
        <v>619</v>
      </c>
      <c r="H126" s="178" t="s">
        <v>390</v>
      </c>
      <c r="I126" s="176" t="n">
        <v>94</v>
      </c>
      <c r="J126" s="175" t="s">
        <v>185</v>
      </c>
      <c r="K126" s="200" t="n">
        <v>45437.2937731482</v>
      </c>
      <c r="L126" s="1" t="n">
        <v>2</v>
      </c>
      <c r="M126" s="196" t="n">
        <v>2568</v>
      </c>
      <c r="N126" s="1" t="n">
        <v>125</v>
      </c>
    </row>
    <row r="127" customFormat="false" ht="14.25" hidden="false" customHeight="false" outlineLevel="0" collapsed="false">
      <c r="A127" s="1" t="n">
        <v>18</v>
      </c>
      <c r="B127" s="1" t="s">
        <v>615</v>
      </c>
      <c r="C127" s="1" t="s">
        <v>616</v>
      </c>
      <c r="D127" s="196" t="n">
        <v>2568</v>
      </c>
      <c r="E127" s="196" t="s">
        <v>51</v>
      </c>
      <c r="F127" s="201" t="n">
        <v>200025889213</v>
      </c>
      <c r="G127" s="198" t="s">
        <v>619</v>
      </c>
      <c r="H127" s="178" t="s">
        <v>390</v>
      </c>
      <c r="I127" s="176" t="n">
        <v>94</v>
      </c>
      <c r="J127" s="175" t="s">
        <v>185</v>
      </c>
      <c r="K127" s="200" t="n">
        <v>45437.2945949074</v>
      </c>
      <c r="L127" s="1" t="n">
        <v>0</v>
      </c>
      <c r="M127" s="196" t="n">
        <v>2568</v>
      </c>
      <c r="N127" s="1" t="n">
        <v>126</v>
      </c>
    </row>
    <row r="128" customFormat="false" ht="14.25" hidden="false" customHeight="false" outlineLevel="0" collapsed="false">
      <c r="A128" s="1" t="n">
        <v>19</v>
      </c>
      <c r="B128" s="1" t="s">
        <v>615</v>
      </c>
      <c r="C128" s="1" t="s">
        <v>616</v>
      </c>
      <c r="D128" s="196" t="n">
        <v>2568</v>
      </c>
      <c r="E128" s="196" t="s">
        <v>51</v>
      </c>
      <c r="F128" s="201" t="n">
        <v>200025889213</v>
      </c>
      <c r="G128" s="198" t="s">
        <v>619</v>
      </c>
      <c r="H128" s="178" t="s">
        <v>390</v>
      </c>
      <c r="I128" s="176" t="n">
        <v>94</v>
      </c>
      <c r="J128" s="175" t="s">
        <v>185</v>
      </c>
      <c r="K128" s="200" t="n">
        <v>45437.2946064815</v>
      </c>
      <c r="L128" s="1" t="n">
        <v>1</v>
      </c>
      <c r="M128" s="196" t="n">
        <v>2568</v>
      </c>
      <c r="N128" s="1" t="n">
        <v>127</v>
      </c>
    </row>
    <row r="129" customFormat="false" ht="14.25" hidden="false" customHeight="false" outlineLevel="0" collapsed="false">
      <c r="A129" s="1" t="n">
        <v>20</v>
      </c>
      <c r="B129" s="1" t="s">
        <v>615</v>
      </c>
      <c r="C129" s="1" t="s">
        <v>616</v>
      </c>
      <c r="D129" s="196" t="n">
        <v>2568</v>
      </c>
      <c r="E129" s="196" t="s">
        <v>51</v>
      </c>
      <c r="F129" s="201" t="n">
        <v>200025889213</v>
      </c>
      <c r="G129" s="198" t="s">
        <v>619</v>
      </c>
      <c r="H129" s="178" t="s">
        <v>390</v>
      </c>
      <c r="I129" s="176" t="n">
        <v>94</v>
      </c>
      <c r="J129" s="175" t="s">
        <v>185</v>
      </c>
      <c r="K129" s="200" t="n">
        <v>45437.2951967593</v>
      </c>
      <c r="L129" s="1" t="n">
        <v>0</v>
      </c>
      <c r="M129" s="196" t="n">
        <v>2568</v>
      </c>
      <c r="N129" s="1" t="n">
        <v>128</v>
      </c>
    </row>
    <row r="130" customFormat="false" ht="14.25" hidden="false" customHeight="false" outlineLevel="0" collapsed="false">
      <c r="A130" s="1" t="n">
        <v>21</v>
      </c>
      <c r="B130" s="1" t="s">
        <v>615</v>
      </c>
      <c r="C130" s="1" t="s">
        <v>616</v>
      </c>
      <c r="D130" s="196" t="n">
        <v>2568</v>
      </c>
      <c r="E130" s="196" t="s">
        <v>51</v>
      </c>
      <c r="F130" s="201" t="n">
        <v>200025889213</v>
      </c>
      <c r="G130" s="198" t="s">
        <v>619</v>
      </c>
      <c r="H130" s="178" t="s">
        <v>390</v>
      </c>
      <c r="I130" s="176" t="n">
        <v>94</v>
      </c>
      <c r="J130" s="175" t="s">
        <v>185</v>
      </c>
      <c r="K130" s="200" t="n">
        <v>45437.295625</v>
      </c>
      <c r="L130" s="1" t="n">
        <v>2</v>
      </c>
      <c r="M130" s="196" t="n">
        <v>2568</v>
      </c>
      <c r="N130" s="1" t="n">
        <v>129</v>
      </c>
    </row>
    <row r="131" customFormat="false" ht="14.25" hidden="false" customHeight="false" outlineLevel="0" collapsed="false">
      <c r="A131" s="1" t="n">
        <v>22</v>
      </c>
      <c r="B131" s="1" t="s">
        <v>615</v>
      </c>
      <c r="C131" s="1" t="s">
        <v>616</v>
      </c>
      <c r="D131" s="196" t="n">
        <v>2568</v>
      </c>
      <c r="E131" s="196" t="s">
        <v>51</v>
      </c>
      <c r="F131" s="201" t="n">
        <v>200025889213</v>
      </c>
      <c r="G131" s="198" t="s">
        <v>619</v>
      </c>
      <c r="H131" s="178" t="s">
        <v>390</v>
      </c>
      <c r="I131" s="176" t="n">
        <v>94</v>
      </c>
      <c r="J131" s="175" t="s">
        <v>185</v>
      </c>
      <c r="K131" s="200" t="n">
        <v>45437.2962615741</v>
      </c>
      <c r="L131" s="1" t="n">
        <v>30</v>
      </c>
      <c r="M131" s="196" t="n">
        <v>2568</v>
      </c>
      <c r="N131" s="1" t="n">
        <v>130</v>
      </c>
    </row>
    <row r="132" customFormat="false" ht="14.25" hidden="false" customHeight="false" outlineLevel="0" collapsed="false">
      <c r="A132" s="1" t="n">
        <v>23</v>
      </c>
      <c r="B132" s="1" t="s">
        <v>615</v>
      </c>
      <c r="C132" s="1" t="s">
        <v>616</v>
      </c>
      <c r="D132" s="196" t="n">
        <v>2568</v>
      </c>
      <c r="E132" s="196" t="s">
        <v>51</v>
      </c>
      <c r="F132" s="201" t="n">
        <v>200025889213</v>
      </c>
      <c r="G132" s="198" t="s">
        <v>619</v>
      </c>
      <c r="H132" s="178" t="s">
        <v>390</v>
      </c>
      <c r="I132" s="176" t="n">
        <v>94</v>
      </c>
      <c r="J132" s="175" t="s">
        <v>185</v>
      </c>
      <c r="K132" s="200" t="n">
        <v>45437.2966203704</v>
      </c>
      <c r="L132" s="1" t="n">
        <v>0</v>
      </c>
      <c r="M132" s="196" t="n">
        <v>2568</v>
      </c>
      <c r="N132" s="1" t="n">
        <v>131</v>
      </c>
    </row>
    <row r="133" customFormat="false" ht="14.25" hidden="false" customHeight="false" outlineLevel="0" collapsed="false">
      <c r="A133" s="1" t="n">
        <v>24</v>
      </c>
      <c r="B133" s="1" t="s">
        <v>615</v>
      </c>
      <c r="C133" s="1" t="s">
        <v>616</v>
      </c>
      <c r="D133" s="196" t="n">
        <v>2568</v>
      </c>
      <c r="E133" s="196" t="s">
        <v>51</v>
      </c>
      <c r="F133" s="201" t="n">
        <v>200025889213</v>
      </c>
      <c r="G133" s="198" t="s">
        <v>619</v>
      </c>
      <c r="H133" s="178" t="s">
        <v>390</v>
      </c>
      <c r="I133" s="176" t="n">
        <v>94</v>
      </c>
      <c r="J133" s="175" t="s">
        <v>185</v>
      </c>
      <c r="K133" s="200" t="n">
        <v>45437.2972685185</v>
      </c>
      <c r="L133" s="1" t="n">
        <v>2</v>
      </c>
      <c r="M133" s="196" t="n">
        <v>2568</v>
      </c>
      <c r="N133" s="1" t="n">
        <v>132</v>
      </c>
    </row>
    <row r="134" customFormat="false" ht="14.25" hidden="false" customHeight="false" outlineLevel="0" collapsed="false">
      <c r="A134" s="1" t="n">
        <v>25</v>
      </c>
      <c r="B134" s="1" t="s">
        <v>615</v>
      </c>
      <c r="C134" s="1" t="s">
        <v>616</v>
      </c>
      <c r="D134" s="196" t="n">
        <v>2568</v>
      </c>
      <c r="E134" s="196" t="s">
        <v>51</v>
      </c>
      <c r="F134" s="201" t="n">
        <v>200025889213</v>
      </c>
      <c r="G134" s="198" t="s">
        <v>619</v>
      </c>
      <c r="H134" s="178" t="s">
        <v>390</v>
      </c>
      <c r="I134" s="176" t="n">
        <v>94</v>
      </c>
      <c r="J134" s="175" t="s">
        <v>185</v>
      </c>
      <c r="K134" s="200" t="n">
        <v>45437.2996990741</v>
      </c>
      <c r="L134" s="1" t="n">
        <v>0</v>
      </c>
      <c r="M134" s="196" t="n">
        <v>2568</v>
      </c>
      <c r="N134" s="1" t="n">
        <v>133</v>
      </c>
    </row>
    <row r="135" customFormat="false" ht="14.25" hidden="false" customHeight="false" outlineLevel="0" collapsed="false">
      <c r="A135" s="1" t="n">
        <v>26</v>
      </c>
      <c r="B135" s="1" t="s">
        <v>615</v>
      </c>
      <c r="C135" s="1" t="s">
        <v>616</v>
      </c>
      <c r="D135" s="196" t="n">
        <v>2568</v>
      </c>
      <c r="E135" s="196" t="s">
        <v>51</v>
      </c>
      <c r="F135" s="201" t="n">
        <v>200025889213</v>
      </c>
      <c r="G135" s="198" t="s">
        <v>619</v>
      </c>
      <c r="H135" s="178" t="s">
        <v>390</v>
      </c>
      <c r="I135" s="176" t="n">
        <v>94</v>
      </c>
      <c r="J135" s="175" t="s">
        <v>185</v>
      </c>
      <c r="K135" s="200" t="n">
        <v>45437.2997106482</v>
      </c>
      <c r="L135" s="1" t="n">
        <v>0</v>
      </c>
      <c r="M135" s="196" t="n">
        <v>2568</v>
      </c>
      <c r="N135" s="1" t="n">
        <v>134</v>
      </c>
    </row>
    <row r="136" customFormat="false" ht="14.25" hidden="false" customHeight="false" outlineLevel="0" collapsed="false">
      <c r="A136" s="1" t="n">
        <v>27</v>
      </c>
      <c r="B136" s="1" t="s">
        <v>615</v>
      </c>
      <c r="C136" s="1" t="s">
        <v>616</v>
      </c>
      <c r="D136" s="196" t="n">
        <v>2568</v>
      </c>
      <c r="E136" s="196" t="s">
        <v>51</v>
      </c>
      <c r="F136" s="201" t="n">
        <v>200025889213</v>
      </c>
      <c r="G136" s="198" t="s">
        <v>619</v>
      </c>
      <c r="H136" s="178" t="s">
        <v>390</v>
      </c>
      <c r="I136" s="176" t="n">
        <v>94</v>
      </c>
      <c r="J136" s="175" t="s">
        <v>185</v>
      </c>
      <c r="K136" s="200" t="n">
        <v>45437.299849537</v>
      </c>
      <c r="L136" s="1" t="n">
        <v>1</v>
      </c>
      <c r="M136" s="196" t="n">
        <v>2568</v>
      </c>
      <c r="N136" s="1" t="n">
        <v>135</v>
      </c>
    </row>
    <row r="137" customFormat="false" ht="14.25" hidden="false" customHeight="false" outlineLevel="0" collapsed="false">
      <c r="A137" s="1" t="n">
        <v>28</v>
      </c>
      <c r="B137" s="1" t="s">
        <v>615</v>
      </c>
      <c r="C137" s="1" t="s">
        <v>616</v>
      </c>
      <c r="D137" s="196" t="n">
        <v>2568</v>
      </c>
      <c r="E137" s="196" t="s">
        <v>51</v>
      </c>
      <c r="F137" s="201" t="n">
        <v>200025889213</v>
      </c>
      <c r="G137" s="198" t="s">
        <v>619</v>
      </c>
      <c r="H137" s="178" t="s">
        <v>390</v>
      </c>
      <c r="I137" s="176" t="n">
        <v>94</v>
      </c>
      <c r="J137" s="175" t="s">
        <v>185</v>
      </c>
      <c r="K137" s="200" t="n">
        <v>45437.3031944444</v>
      </c>
      <c r="L137" s="1" t="n">
        <v>1</v>
      </c>
      <c r="M137" s="196" t="n">
        <v>2568</v>
      </c>
      <c r="N137" s="1" t="n">
        <v>136</v>
      </c>
    </row>
    <row r="138" customFormat="false" ht="14.25" hidden="false" customHeight="false" outlineLevel="0" collapsed="false">
      <c r="A138" s="1" t="n">
        <v>29</v>
      </c>
      <c r="B138" s="1" t="s">
        <v>615</v>
      </c>
      <c r="C138" s="1" t="s">
        <v>616</v>
      </c>
      <c r="D138" s="196" t="n">
        <v>2568</v>
      </c>
      <c r="E138" s="196" t="s">
        <v>51</v>
      </c>
      <c r="F138" s="201" t="n">
        <v>200025889213</v>
      </c>
      <c r="G138" s="198" t="s">
        <v>619</v>
      </c>
      <c r="H138" s="178" t="s">
        <v>390</v>
      </c>
      <c r="I138" s="176" t="n">
        <v>94</v>
      </c>
      <c r="J138" s="175" t="s">
        <v>185</v>
      </c>
      <c r="K138" s="200" t="n">
        <v>45437.3063541667</v>
      </c>
      <c r="L138" s="1" t="n">
        <v>1</v>
      </c>
      <c r="M138" s="196" t="n">
        <v>2568</v>
      </c>
      <c r="N138" s="1" t="n">
        <v>137</v>
      </c>
    </row>
    <row r="139" customFormat="false" ht="14.25" hidden="false" customHeight="false" outlineLevel="0" collapsed="false">
      <c r="A139" s="1" t="n">
        <v>30</v>
      </c>
      <c r="B139" s="1" t="s">
        <v>615</v>
      </c>
      <c r="C139" s="1" t="s">
        <v>616</v>
      </c>
      <c r="D139" s="196" t="n">
        <v>2568</v>
      </c>
      <c r="E139" s="196" t="s">
        <v>51</v>
      </c>
      <c r="F139" s="201" t="n">
        <v>200025889213</v>
      </c>
      <c r="G139" s="198" t="s">
        <v>619</v>
      </c>
      <c r="H139" s="178" t="s">
        <v>390</v>
      </c>
      <c r="I139" s="176" t="n">
        <v>94</v>
      </c>
      <c r="J139" s="175" t="s">
        <v>185</v>
      </c>
      <c r="K139" s="200" t="n">
        <v>45437.3068981482</v>
      </c>
      <c r="L139" s="1" t="n">
        <v>1</v>
      </c>
      <c r="M139" s="196" t="n">
        <v>2568</v>
      </c>
      <c r="N139" s="1" t="n">
        <v>138</v>
      </c>
    </row>
    <row r="140" customFormat="false" ht="14.25" hidden="false" customHeight="false" outlineLevel="0" collapsed="false">
      <c r="A140" s="1" t="n">
        <v>31</v>
      </c>
      <c r="B140" s="1" t="s">
        <v>615</v>
      </c>
      <c r="C140" s="1" t="s">
        <v>616</v>
      </c>
      <c r="D140" s="196" t="n">
        <v>2568</v>
      </c>
      <c r="E140" s="196" t="s">
        <v>51</v>
      </c>
      <c r="F140" s="201" t="n">
        <v>200025889213</v>
      </c>
      <c r="G140" s="198" t="s">
        <v>619</v>
      </c>
      <c r="H140" s="178" t="s">
        <v>390</v>
      </c>
      <c r="I140" s="176" t="n">
        <v>94</v>
      </c>
      <c r="J140" s="175" t="s">
        <v>185</v>
      </c>
      <c r="K140" s="200" t="n">
        <v>45437.3075462963</v>
      </c>
      <c r="L140" s="1" t="n">
        <v>1</v>
      </c>
      <c r="M140" s="196" t="n">
        <v>2568</v>
      </c>
      <c r="N140" s="1" t="n">
        <v>139</v>
      </c>
    </row>
    <row r="141" customFormat="false" ht="14.25" hidden="false" customHeight="false" outlineLevel="0" collapsed="false">
      <c r="A141" s="1" t="n">
        <v>32</v>
      </c>
      <c r="B141" s="1" t="s">
        <v>615</v>
      </c>
      <c r="C141" s="1" t="s">
        <v>616</v>
      </c>
      <c r="D141" s="196" t="n">
        <v>2568</v>
      </c>
      <c r="E141" s="196" t="s">
        <v>51</v>
      </c>
      <c r="F141" s="201" t="n">
        <v>200025889213</v>
      </c>
      <c r="G141" s="198" t="s">
        <v>619</v>
      </c>
      <c r="H141" s="178" t="s">
        <v>390</v>
      </c>
      <c r="I141" s="176" t="n">
        <v>94</v>
      </c>
      <c r="J141" s="175" t="s">
        <v>185</v>
      </c>
      <c r="K141" s="200" t="n">
        <v>45437.3080324074</v>
      </c>
      <c r="L141" s="10" t="n">
        <v>97</v>
      </c>
      <c r="M141" s="196" t="n">
        <v>2568</v>
      </c>
      <c r="N141" s="1" t="n">
        <v>140</v>
      </c>
    </row>
    <row r="142" customFormat="false" ht="14.25" hidden="false" customHeight="false" outlineLevel="0" collapsed="false">
      <c r="A142" s="1" t="n">
        <v>33</v>
      </c>
      <c r="B142" s="1" t="s">
        <v>615</v>
      </c>
      <c r="C142" s="1" t="s">
        <v>616</v>
      </c>
      <c r="D142" s="196" t="n">
        <v>2568</v>
      </c>
      <c r="E142" s="196" t="s">
        <v>51</v>
      </c>
      <c r="F142" s="198" t="s">
        <v>620</v>
      </c>
      <c r="G142" s="198" t="s">
        <v>619</v>
      </c>
      <c r="H142" s="178" t="s">
        <v>390</v>
      </c>
      <c r="I142" s="176" t="n">
        <v>94</v>
      </c>
      <c r="J142" s="175" t="s">
        <v>185</v>
      </c>
      <c r="K142" s="200" t="n">
        <v>45437.7108912037</v>
      </c>
      <c r="L142" s="1" t="n">
        <v>28</v>
      </c>
      <c r="M142" s="196" t="n">
        <v>2568</v>
      </c>
      <c r="N142" s="1" t="n">
        <v>141</v>
      </c>
    </row>
    <row r="143" customFormat="false" ht="14.25" hidden="false" customHeight="false" outlineLevel="0" collapsed="false">
      <c r="A143" s="1" t="n">
        <v>34</v>
      </c>
      <c r="B143" s="1" t="s">
        <v>615</v>
      </c>
      <c r="C143" s="1" t="s">
        <v>616</v>
      </c>
      <c r="D143" s="196" t="n">
        <v>2568</v>
      </c>
      <c r="E143" s="196" t="s">
        <v>51</v>
      </c>
      <c r="F143" s="198" t="s">
        <v>620</v>
      </c>
      <c r="G143" s="198" t="s">
        <v>619</v>
      </c>
      <c r="H143" s="178" t="s">
        <v>390</v>
      </c>
      <c r="I143" s="176" t="n">
        <v>94</v>
      </c>
      <c r="J143" s="175" t="s">
        <v>185</v>
      </c>
      <c r="K143" s="200" t="n">
        <v>45437.7112152778</v>
      </c>
      <c r="L143" s="1" t="n">
        <v>1</v>
      </c>
      <c r="M143" s="196" t="n">
        <v>2568</v>
      </c>
      <c r="N143" s="1" t="n">
        <v>142</v>
      </c>
    </row>
    <row r="144" customFormat="false" ht="14.25" hidden="false" customHeight="false" outlineLevel="0" collapsed="false">
      <c r="A144" s="1" t="n">
        <v>35</v>
      </c>
      <c r="B144" s="1" t="s">
        <v>615</v>
      </c>
      <c r="C144" s="1" t="s">
        <v>616</v>
      </c>
      <c r="D144" s="196" t="n">
        <v>2568</v>
      </c>
      <c r="E144" s="196" t="s">
        <v>51</v>
      </c>
      <c r="F144" s="198" t="n">
        <v>200025889213</v>
      </c>
      <c r="G144" s="198" t="s">
        <v>619</v>
      </c>
      <c r="H144" s="178" t="s">
        <v>390</v>
      </c>
      <c r="I144" s="176" t="n">
        <v>94</v>
      </c>
      <c r="J144" s="175" t="s">
        <v>185</v>
      </c>
      <c r="K144" s="200" t="n">
        <v>45437.7377893519</v>
      </c>
      <c r="L144" s="1" t="n">
        <v>1</v>
      </c>
      <c r="M144" s="196" t="n">
        <v>2568</v>
      </c>
      <c r="N144" s="1" t="n">
        <v>143</v>
      </c>
    </row>
    <row r="145" customFormat="false" ht="14.25" hidden="false" customHeight="false" outlineLevel="0" collapsed="false">
      <c r="A145" s="1" t="n">
        <v>36</v>
      </c>
      <c r="B145" s="1" t="s">
        <v>615</v>
      </c>
      <c r="C145" s="1" t="s">
        <v>616</v>
      </c>
      <c r="D145" s="196" t="n">
        <v>2568</v>
      </c>
      <c r="E145" s="196" t="s">
        <v>51</v>
      </c>
      <c r="F145" s="198" t="n">
        <v>200025889213</v>
      </c>
      <c r="G145" s="198" t="s">
        <v>619</v>
      </c>
      <c r="H145" s="178" t="s">
        <v>390</v>
      </c>
      <c r="I145" s="176" t="n">
        <v>94</v>
      </c>
      <c r="J145" s="175" t="s">
        <v>185</v>
      </c>
      <c r="K145" s="200" t="n">
        <v>45437.7390162037</v>
      </c>
      <c r="L145" s="1" t="n">
        <v>1</v>
      </c>
      <c r="M145" s="196" t="n">
        <v>2568</v>
      </c>
      <c r="N145" s="1" t="n">
        <v>144</v>
      </c>
    </row>
    <row r="146" customFormat="false" ht="14.25" hidden="false" customHeight="false" outlineLevel="0" collapsed="false">
      <c r="A146" s="1" t="n">
        <v>37</v>
      </c>
      <c r="B146" s="1" t="s">
        <v>615</v>
      </c>
      <c r="C146" s="1" t="s">
        <v>616</v>
      </c>
      <c r="D146" s="196" t="n">
        <v>2568</v>
      </c>
      <c r="E146" s="196" t="s">
        <v>51</v>
      </c>
      <c r="F146" s="198" t="s">
        <v>620</v>
      </c>
      <c r="G146" s="198" t="s">
        <v>619</v>
      </c>
      <c r="H146" s="178" t="s">
        <v>390</v>
      </c>
      <c r="I146" s="176" t="n">
        <v>94</v>
      </c>
      <c r="J146" s="175" t="s">
        <v>185</v>
      </c>
      <c r="K146" s="200" t="n">
        <v>45437.7397800926</v>
      </c>
      <c r="L146" s="1" t="n">
        <v>1</v>
      </c>
      <c r="M146" s="196" t="n">
        <v>2568</v>
      </c>
      <c r="N146" s="1" t="n">
        <v>145</v>
      </c>
    </row>
    <row r="147" customFormat="false" ht="14.25" hidden="false" customHeight="false" outlineLevel="0" collapsed="false">
      <c r="A147" s="1" t="n">
        <v>38</v>
      </c>
      <c r="B147" s="1" t="s">
        <v>615</v>
      </c>
      <c r="C147" s="1" t="s">
        <v>616</v>
      </c>
      <c r="D147" s="196" t="n">
        <v>2568</v>
      </c>
      <c r="E147" s="196" t="s">
        <v>51</v>
      </c>
      <c r="F147" s="198" t="s">
        <v>620</v>
      </c>
      <c r="G147" s="198" t="s">
        <v>619</v>
      </c>
      <c r="H147" s="178" t="s">
        <v>390</v>
      </c>
      <c r="I147" s="176" t="n">
        <v>94</v>
      </c>
      <c r="J147" s="175" t="s">
        <v>185</v>
      </c>
      <c r="K147" s="200" t="n">
        <v>45437.7411574074</v>
      </c>
      <c r="L147" s="1" t="n">
        <v>2</v>
      </c>
      <c r="M147" s="196" t="n">
        <v>2568</v>
      </c>
      <c r="N147" s="1" t="n">
        <v>146</v>
      </c>
    </row>
    <row r="148" customFormat="false" ht="14.25" hidden="false" customHeight="false" outlineLevel="0" collapsed="false">
      <c r="A148" s="1" t="n">
        <v>39</v>
      </c>
      <c r="B148" s="1" t="s">
        <v>615</v>
      </c>
      <c r="C148" s="1" t="s">
        <v>616</v>
      </c>
      <c r="D148" s="196" t="n">
        <v>2568</v>
      </c>
      <c r="E148" s="196" t="s">
        <v>51</v>
      </c>
      <c r="F148" s="198" t="s">
        <v>620</v>
      </c>
      <c r="G148" s="198" t="s">
        <v>619</v>
      </c>
      <c r="H148" s="178" t="s">
        <v>390</v>
      </c>
      <c r="I148" s="176" t="n">
        <v>94</v>
      </c>
      <c r="J148" s="175" t="s">
        <v>185</v>
      </c>
      <c r="K148" s="200" t="n">
        <v>45437.7418865741</v>
      </c>
      <c r="L148" s="1" t="n">
        <v>1</v>
      </c>
      <c r="M148" s="196" t="n">
        <v>2568</v>
      </c>
      <c r="N148" s="1" t="n">
        <v>147</v>
      </c>
    </row>
    <row r="149" customFormat="false" ht="14.25" hidden="false" customHeight="false" outlineLevel="0" collapsed="false">
      <c r="A149" s="1" t="n">
        <v>40</v>
      </c>
      <c r="B149" s="1" t="s">
        <v>615</v>
      </c>
      <c r="C149" s="1" t="s">
        <v>616</v>
      </c>
      <c r="D149" s="196" t="n">
        <v>2568</v>
      </c>
      <c r="E149" s="196" t="s">
        <v>51</v>
      </c>
      <c r="F149" s="198" t="n">
        <v>200025889213</v>
      </c>
      <c r="G149" s="198" t="s">
        <v>619</v>
      </c>
      <c r="H149" s="178" t="s">
        <v>390</v>
      </c>
      <c r="I149" s="176" t="n">
        <v>94</v>
      </c>
      <c r="J149" s="175" t="s">
        <v>185</v>
      </c>
      <c r="K149" s="200" t="n">
        <v>45437.7427314815</v>
      </c>
      <c r="L149" s="1" t="n">
        <v>1</v>
      </c>
      <c r="M149" s="196" t="n">
        <v>2568</v>
      </c>
      <c r="N149" s="1" t="n">
        <v>148</v>
      </c>
    </row>
    <row r="150" customFormat="false" ht="14.25" hidden="false" customHeight="false" outlineLevel="0" collapsed="false">
      <c r="A150" s="1" t="n">
        <v>41</v>
      </c>
      <c r="B150" s="1" t="s">
        <v>615</v>
      </c>
      <c r="C150" s="1" t="s">
        <v>616</v>
      </c>
      <c r="D150" s="196" t="n">
        <v>2568</v>
      </c>
      <c r="E150" s="196" t="s">
        <v>51</v>
      </c>
      <c r="F150" s="198" t="s">
        <v>620</v>
      </c>
      <c r="G150" s="198" t="s">
        <v>619</v>
      </c>
      <c r="H150" s="178" t="s">
        <v>390</v>
      </c>
      <c r="I150" s="176" t="n">
        <v>94</v>
      </c>
      <c r="J150" s="175" t="s">
        <v>185</v>
      </c>
      <c r="K150" s="200" t="n">
        <v>45437.7427430556</v>
      </c>
      <c r="L150" s="1" t="n">
        <v>0</v>
      </c>
      <c r="M150" s="196" t="n">
        <v>2568</v>
      </c>
      <c r="N150" s="1" t="n">
        <v>149</v>
      </c>
    </row>
    <row r="151" customFormat="false" ht="14.25" hidden="false" customHeight="false" outlineLevel="0" collapsed="false">
      <c r="A151" s="1" t="n">
        <v>42</v>
      </c>
      <c r="B151" s="1" t="s">
        <v>615</v>
      </c>
      <c r="C151" s="1" t="s">
        <v>616</v>
      </c>
      <c r="D151" s="196" t="n">
        <v>2568</v>
      </c>
      <c r="E151" s="196" t="s">
        <v>51</v>
      </c>
      <c r="F151" s="198" t="n">
        <v>200025889213</v>
      </c>
      <c r="G151" s="198" t="s">
        <v>619</v>
      </c>
      <c r="H151" s="178" t="s">
        <v>390</v>
      </c>
      <c r="I151" s="176" t="n">
        <v>94</v>
      </c>
      <c r="J151" s="175" t="s">
        <v>185</v>
      </c>
      <c r="K151" s="200" t="n">
        <v>45437.9635416667</v>
      </c>
      <c r="L151" s="1" t="n">
        <v>0</v>
      </c>
      <c r="M151" s="196" t="n">
        <v>2568</v>
      </c>
      <c r="N151" s="1" t="n">
        <v>150</v>
      </c>
    </row>
    <row r="152" customFormat="false" ht="14.25" hidden="false" customHeight="false" outlineLevel="0" collapsed="false">
      <c r="A152" s="1" t="n">
        <v>43</v>
      </c>
      <c r="B152" s="1" t="s">
        <v>615</v>
      </c>
      <c r="C152" s="1" t="s">
        <v>616</v>
      </c>
      <c r="D152" s="196" t="n">
        <v>2568</v>
      </c>
      <c r="E152" s="196" t="s">
        <v>51</v>
      </c>
      <c r="F152" s="198" t="n">
        <v>200025889213</v>
      </c>
      <c r="G152" s="198" t="s">
        <v>619</v>
      </c>
      <c r="H152" s="178" t="s">
        <v>390</v>
      </c>
      <c r="I152" s="176" t="n">
        <v>94</v>
      </c>
      <c r="J152" s="175" t="s">
        <v>185</v>
      </c>
      <c r="K152" s="200" t="n">
        <v>45437.9638657407</v>
      </c>
      <c r="L152" s="1" t="n">
        <v>2</v>
      </c>
      <c r="M152" s="196" t="n">
        <v>2568</v>
      </c>
      <c r="N152" s="1" t="n">
        <v>151</v>
      </c>
    </row>
    <row r="153" customFormat="false" ht="14.25" hidden="false" customHeight="false" outlineLevel="0" collapsed="false">
      <c r="A153" s="1" t="n">
        <v>44</v>
      </c>
      <c r="B153" s="1" t="s">
        <v>615</v>
      </c>
      <c r="C153" s="1" t="s">
        <v>616</v>
      </c>
      <c r="D153" s="196" t="n">
        <v>2568</v>
      </c>
      <c r="E153" s="196" t="s">
        <v>51</v>
      </c>
      <c r="F153" s="198" t="s">
        <v>620</v>
      </c>
      <c r="G153" s="198" t="s">
        <v>619</v>
      </c>
      <c r="H153" s="178" t="s">
        <v>390</v>
      </c>
      <c r="I153" s="176" t="n">
        <v>94</v>
      </c>
      <c r="J153" s="175" t="s">
        <v>185</v>
      </c>
      <c r="K153" s="200" t="n">
        <v>45437.9654050926</v>
      </c>
      <c r="L153" s="1" t="n">
        <v>2</v>
      </c>
      <c r="M153" s="196" t="n">
        <v>2568</v>
      </c>
      <c r="N153" s="1" t="n">
        <v>152</v>
      </c>
    </row>
    <row r="154" customFormat="false" ht="14.25" hidden="false" customHeight="false" outlineLevel="0" collapsed="false">
      <c r="A154" s="1" t="n">
        <v>45</v>
      </c>
      <c r="B154" s="1" t="s">
        <v>615</v>
      </c>
      <c r="C154" s="1" t="s">
        <v>616</v>
      </c>
      <c r="D154" s="196" t="n">
        <v>2568</v>
      </c>
      <c r="E154" s="196" t="s">
        <v>51</v>
      </c>
      <c r="F154" s="198" t="s">
        <v>620</v>
      </c>
      <c r="G154" s="198" t="s">
        <v>619</v>
      </c>
      <c r="H154" s="178" t="s">
        <v>390</v>
      </c>
      <c r="I154" s="176" t="n">
        <v>94</v>
      </c>
      <c r="J154" s="175" t="s">
        <v>185</v>
      </c>
      <c r="K154" s="200" t="n">
        <v>45437.9670138889</v>
      </c>
      <c r="L154" s="1" t="n">
        <v>1</v>
      </c>
      <c r="M154" s="196" t="n">
        <v>2568</v>
      </c>
      <c r="N154" s="1" t="n">
        <v>153</v>
      </c>
    </row>
    <row r="155" customFormat="false" ht="14.25" hidden="false" customHeight="false" outlineLevel="0" collapsed="false">
      <c r="A155" s="1" t="n">
        <v>46</v>
      </c>
      <c r="B155" s="1" t="s">
        <v>615</v>
      </c>
      <c r="C155" s="1" t="s">
        <v>616</v>
      </c>
      <c r="D155" s="196" t="n">
        <v>2568</v>
      </c>
      <c r="E155" s="196" t="s">
        <v>51</v>
      </c>
      <c r="F155" s="198" t="s">
        <v>620</v>
      </c>
      <c r="G155" s="198" t="s">
        <v>619</v>
      </c>
      <c r="H155" s="178" t="s">
        <v>390</v>
      </c>
      <c r="I155" s="176" t="n">
        <v>94</v>
      </c>
      <c r="J155" s="175" t="s">
        <v>185</v>
      </c>
      <c r="K155" s="200" t="n">
        <v>45437.9711805556</v>
      </c>
      <c r="L155" s="1" t="n">
        <v>4</v>
      </c>
      <c r="M155" s="196" t="n">
        <v>2568</v>
      </c>
      <c r="N155" s="1" t="n">
        <v>154</v>
      </c>
    </row>
    <row r="156" customFormat="false" ht="14.25" hidden="false" customHeight="false" outlineLevel="0" collapsed="false">
      <c r="A156" s="1" t="n">
        <v>47</v>
      </c>
      <c r="B156" s="1" t="s">
        <v>615</v>
      </c>
      <c r="C156" s="1" t="s">
        <v>616</v>
      </c>
      <c r="D156" s="196" t="n">
        <v>2568</v>
      </c>
      <c r="E156" s="196" t="s">
        <v>51</v>
      </c>
      <c r="F156" s="198" t="n">
        <v>200025889213</v>
      </c>
      <c r="G156" s="198" t="s">
        <v>619</v>
      </c>
      <c r="H156" s="178" t="s">
        <v>390</v>
      </c>
      <c r="I156" s="176" t="n">
        <v>94</v>
      </c>
      <c r="J156" s="175" t="s">
        <v>185</v>
      </c>
      <c r="K156" s="200" t="n">
        <v>45437.9744675926</v>
      </c>
      <c r="L156" s="1" t="n">
        <v>1</v>
      </c>
      <c r="M156" s="196" t="n">
        <v>2568</v>
      </c>
      <c r="N156" s="1" t="n">
        <v>155</v>
      </c>
    </row>
    <row r="157" customFormat="false" ht="14.25" hidden="false" customHeight="false" outlineLevel="0" collapsed="false">
      <c r="A157" s="1" t="n">
        <v>259</v>
      </c>
      <c r="B157" s="1" t="s">
        <v>621</v>
      </c>
      <c r="C157" s="1" t="s">
        <v>622</v>
      </c>
      <c r="D157" s="196" t="n">
        <v>2568</v>
      </c>
      <c r="E157" s="196" t="s">
        <v>51</v>
      </c>
      <c r="F157" s="201" t="n">
        <v>200025889375</v>
      </c>
      <c r="G157" s="198" t="s">
        <v>623</v>
      </c>
      <c r="H157" s="163" t="s">
        <v>516</v>
      </c>
      <c r="I157" s="161" t="n">
        <v>84</v>
      </c>
      <c r="J157" s="156" t="s">
        <v>192</v>
      </c>
      <c r="K157" s="200" t="n">
        <v>45442.5783217593</v>
      </c>
      <c r="L157" s="10" t="n">
        <v>7793</v>
      </c>
      <c r="M157" s="196" t="n">
        <v>2568</v>
      </c>
      <c r="N157" s="1" t="n">
        <v>156</v>
      </c>
    </row>
    <row r="158" customFormat="false" ht="14.25" hidden="false" customHeight="false" outlineLevel="0" collapsed="false">
      <c r="A158" s="1" t="n">
        <v>16</v>
      </c>
      <c r="B158" s="1" t="s">
        <v>624</v>
      </c>
      <c r="C158" s="1" t="s">
        <v>625</v>
      </c>
      <c r="D158" s="196" t="n">
        <v>2568</v>
      </c>
      <c r="E158" s="196" t="s">
        <v>51</v>
      </c>
      <c r="F158" s="201" t="n">
        <v>200025888748</v>
      </c>
      <c r="G158" s="198" t="s">
        <v>626</v>
      </c>
      <c r="H158" s="163" t="s">
        <v>430</v>
      </c>
      <c r="I158" s="161" t="n">
        <v>85</v>
      </c>
      <c r="J158" s="156" t="s">
        <v>192</v>
      </c>
      <c r="K158" s="200" t="n">
        <v>45450.6723148148</v>
      </c>
      <c r="L158" s="201" t="n">
        <v>1</v>
      </c>
      <c r="M158" s="196" t="n">
        <v>2568</v>
      </c>
      <c r="N158" s="1" t="n">
        <v>157</v>
      </c>
    </row>
    <row r="159" customFormat="false" ht="14.25" hidden="false" customHeight="false" outlineLevel="0" collapsed="false">
      <c r="A159" s="1" t="n">
        <v>17</v>
      </c>
      <c r="B159" s="1" t="s">
        <v>624</v>
      </c>
      <c r="C159" s="1" t="s">
        <v>625</v>
      </c>
      <c r="D159" s="196" t="n">
        <v>2568</v>
      </c>
      <c r="E159" s="196" t="s">
        <v>51</v>
      </c>
      <c r="F159" s="201" t="n">
        <v>200025889232</v>
      </c>
      <c r="G159" s="198" t="s">
        <v>627</v>
      </c>
      <c r="H159" s="163" t="s">
        <v>525</v>
      </c>
      <c r="I159" s="161" t="n">
        <v>107</v>
      </c>
      <c r="J159" s="156" t="s">
        <v>192</v>
      </c>
      <c r="K159" s="200" t="n">
        <v>45450.6730787037</v>
      </c>
      <c r="L159" s="201" t="n">
        <v>1</v>
      </c>
      <c r="M159" s="196" t="n">
        <v>2568</v>
      </c>
      <c r="N159" s="1" t="n">
        <v>158</v>
      </c>
    </row>
    <row r="160" customFormat="false" ht="14.25" hidden="false" customHeight="false" outlineLevel="0" collapsed="false">
      <c r="A160" s="1" t="n">
        <v>18</v>
      </c>
      <c r="B160" s="1" t="s">
        <v>624</v>
      </c>
      <c r="C160" s="1" t="s">
        <v>625</v>
      </c>
      <c r="D160" s="196" t="n">
        <v>2568</v>
      </c>
      <c r="E160" s="196" t="s">
        <v>51</v>
      </c>
      <c r="F160" s="201" t="n">
        <v>200025888995</v>
      </c>
      <c r="G160" s="198" t="s">
        <v>628</v>
      </c>
      <c r="H160" s="163" t="s">
        <v>483</v>
      </c>
      <c r="I160" s="161" t="n">
        <v>67</v>
      </c>
      <c r="J160" s="156" t="s">
        <v>192</v>
      </c>
      <c r="K160" s="200" t="n">
        <v>45450.9187037037</v>
      </c>
      <c r="L160" s="201" t="n">
        <v>30</v>
      </c>
      <c r="M160" s="196" t="n">
        <v>2568</v>
      </c>
      <c r="N160" s="1" t="n">
        <v>159</v>
      </c>
    </row>
    <row r="161" customFormat="false" ht="14.25" hidden="false" customHeight="false" outlineLevel="0" collapsed="false">
      <c r="A161" s="1" t="n">
        <v>19</v>
      </c>
      <c r="B161" s="1" t="s">
        <v>624</v>
      </c>
      <c r="C161" s="1" t="s">
        <v>625</v>
      </c>
      <c r="D161" s="196" t="n">
        <v>2568</v>
      </c>
      <c r="E161" s="196" t="s">
        <v>51</v>
      </c>
      <c r="F161" s="201" t="n">
        <v>200025888995</v>
      </c>
      <c r="G161" s="198" t="s">
        <v>628</v>
      </c>
      <c r="H161" s="163" t="s">
        <v>483</v>
      </c>
      <c r="I161" s="161" t="n">
        <v>67</v>
      </c>
      <c r="J161" s="156" t="s">
        <v>192</v>
      </c>
      <c r="K161" s="200" t="n">
        <v>45450.9401157407</v>
      </c>
      <c r="L161" s="201" t="n">
        <v>0</v>
      </c>
      <c r="M161" s="196" t="n">
        <v>2568</v>
      </c>
      <c r="N161" s="1" t="n">
        <v>160</v>
      </c>
    </row>
    <row r="162" customFormat="false" ht="14.25" hidden="false" customHeight="false" outlineLevel="0" collapsed="false">
      <c r="A162" s="1" t="n">
        <v>20</v>
      </c>
      <c r="B162" s="1" t="s">
        <v>624</v>
      </c>
      <c r="C162" s="1" t="s">
        <v>625</v>
      </c>
      <c r="D162" s="196" t="n">
        <v>2568</v>
      </c>
      <c r="E162" s="196" t="s">
        <v>51</v>
      </c>
      <c r="F162" s="201" t="n">
        <v>200025888995</v>
      </c>
      <c r="G162" s="198" t="s">
        <v>628</v>
      </c>
      <c r="H162" s="163" t="s">
        <v>483</v>
      </c>
      <c r="I162" s="161" t="n">
        <v>67</v>
      </c>
      <c r="J162" s="156" t="s">
        <v>192</v>
      </c>
      <c r="K162" s="200" t="n">
        <v>45450.9989351852</v>
      </c>
      <c r="L162" s="201" t="n">
        <v>0</v>
      </c>
      <c r="M162" s="196" t="n">
        <v>2568</v>
      </c>
      <c r="N162" s="1" t="n">
        <v>161</v>
      </c>
    </row>
    <row r="163" customFormat="false" ht="14.25" hidden="false" customHeight="false" outlineLevel="0" collapsed="false">
      <c r="A163" s="1" t="n">
        <v>21</v>
      </c>
      <c r="B163" s="1" t="s">
        <v>624</v>
      </c>
      <c r="C163" s="1" t="s">
        <v>625</v>
      </c>
      <c r="D163" s="196" t="n">
        <v>2568</v>
      </c>
      <c r="E163" s="196" t="s">
        <v>51</v>
      </c>
      <c r="F163" s="201" t="n">
        <v>200025888995</v>
      </c>
      <c r="G163" s="198" t="s">
        <v>628</v>
      </c>
      <c r="H163" s="163" t="s">
        <v>483</v>
      </c>
      <c r="I163" s="161" t="n">
        <v>67</v>
      </c>
      <c r="J163" s="156" t="s">
        <v>192</v>
      </c>
      <c r="K163" s="200" t="n">
        <v>45451.0272222222</v>
      </c>
      <c r="L163" s="201" t="n">
        <v>0</v>
      </c>
      <c r="M163" s="196" t="n">
        <v>2568</v>
      </c>
      <c r="N163" s="1" t="n">
        <v>162</v>
      </c>
    </row>
    <row r="164" customFormat="false" ht="14.25" hidden="false" customHeight="false" outlineLevel="0" collapsed="false">
      <c r="A164" s="1" t="n">
        <v>22</v>
      </c>
      <c r="B164" s="1" t="s">
        <v>624</v>
      </c>
      <c r="C164" s="1" t="s">
        <v>625</v>
      </c>
      <c r="D164" s="196" t="n">
        <v>2568</v>
      </c>
      <c r="E164" s="196" t="s">
        <v>51</v>
      </c>
      <c r="F164" s="201" t="n">
        <v>200025888995</v>
      </c>
      <c r="G164" s="198" t="s">
        <v>628</v>
      </c>
      <c r="H164" s="163" t="s">
        <v>483</v>
      </c>
      <c r="I164" s="161" t="n">
        <v>67</v>
      </c>
      <c r="J164" s="156" t="s">
        <v>192</v>
      </c>
      <c r="K164" s="200" t="n">
        <v>45451.0677777778</v>
      </c>
      <c r="L164" s="201" t="n">
        <v>1</v>
      </c>
      <c r="M164" s="196" t="n">
        <v>2568</v>
      </c>
      <c r="N164" s="1" t="n">
        <v>163</v>
      </c>
    </row>
    <row r="165" customFormat="false" ht="14.25" hidden="false" customHeight="false" outlineLevel="0" collapsed="false">
      <c r="A165" s="1" t="n">
        <v>23</v>
      </c>
      <c r="B165" s="1" t="s">
        <v>624</v>
      </c>
      <c r="C165" s="1" t="s">
        <v>625</v>
      </c>
      <c r="D165" s="196" t="n">
        <v>2568</v>
      </c>
      <c r="E165" s="196" t="s">
        <v>51</v>
      </c>
      <c r="F165" s="201" t="n">
        <v>200025888995</v>
      </c>
      <c r="G165" s="198" t="s">
        <v>628</v>
      </c>
      <c r="H165" s="163" t="s">
        <v>483</v>
      </c>
      <c r="I165" s="161" t="n">
        <v>67</v>
      </c>
      <c r="J165" s="156" t="s">
        <v>192</v>
      </c>
      <c r="K165" s="200" t="n">
        <v>45451.1184143519</v>
      </c>
      <c r="L165" s="201" t="n">
        <v>0</v>
      </c>
      <c r="M165" s="196" t="n">
        <v>2568</v>
      </c>
      <c r="N165" s="1" t="n">
        <v>164</v>
      </c>
    </row>
    <row r="166" customFormat="false" ht="14.25" hidden="false" customHeight="false" outlineLevel="0" collapsed="false">
      <c r="A166" s="1" t="n">
        <v>24</v>
      </c>
      <c r="B166" s="1" t="s">
        <v>624</v>
      </c>
      <c r="C166" s="1" t="s">
        <v>625</v>
      </c>
      <c r="D166" s="196" t="n">
        <v>2568</v>
      </c>
      <c r="E166" s="196" t="s">
        <v>51</v>
      </c>
      <c r="F166" s="201" t="n">
        <v>200025888995</v>
      </c>
      <c r="G166" s="198" t="s">
        <v>628</v>
      </c>
      <c r="H166" s="163" t="s">
        <v>483</v>
      </c>
      <c r="I166" s="161" t="n">
        <v>67</v>
      </c>
      <c r="J166" s="156" t="s">
        <v>192</v>
      </c>
      <c r="K166" s="200" t="n">
        <v>45451.1562962963</v>
      </c>
      <c r="L166" s="1" t="n">
        <v>0</v>
      </c>
      <c r="M166" s="196" t="n">
        <v>2568</v>
      </c>
      <c r="N166" s="1" t="n">
        <v>165</v>
      </c>
    </row>
    <row r="167" customFormat="false" ht="14.25" hidden="false" customHeight="false" outlineLevel="0" collapsed="false">
      <c r="A167" s="1" t="n">
        <v>25</v>
      </c>
      <c r="B167" s="1" t="s">
        <v>624</v>
      </c>
      <c r="C167" s="1" t="s">
        <v>625</v>
      </c>
      <c r="D167" s="196" t="n">
        <v>2568</v>
      </c>
      <c r="E167" s="196" t="s">
        <v>51</v>
      </c>
      <c r="F167" s="201" t="n">
        <v>200025888995</v>
      </c>
      <c r="G167" s="198" t="s">
        <v>628</v>
      </c>
      <c r="H167" s="163" t="s">
        <v>483</v>
      </c>
      <c r="I167" s="161" t="n">
        <v>67</v>
      </c>
      <c r="J167" s="156" t="s">
        <v>192</v>
      </c>
      <c r="K167" s="200" t="n">
        <v>45451.2814351852</v>
      </c>
      <c r="L167" s="1" t="n">
        <v>1</v>
      </c>
      <c r="M167" s="196" t="n">
        <v>2568</v>
      </c>
      <c r="N167" s="1" t="n">
        <v>166</v>
      </c>
    </row>
    <row r="168" customFormat="false" ht="14.25" hidden="false" customHeight="false" outlineLevel="0" collapsed="false">
      <c r="A168" s="1" t="n">
        <v>26</v>
      </c>
      <c r="B168" s="1" t="s">
        <v>624</v>
      </c>
      <c r="C168" s="1" t="s">
        <v>625</v>
      </c>
      <c r="D168" s="196" t="n">
        <v>2568</v>
      </c>
      <c r="E168" s="196" t="s">
        <v>51</v>
      </c>
      <c r="F168" s="201" t="n">
        <v>200025888995</v>
      </c>
      <c r="G168" s="198" t="s">
        <v>628</v>
      </c>
      <c r="H168" s="163" t="s">
        <v>483</v>
      </c>
      <c r="I168" s="161" t="n">
        <v>67</v>
      </c>
      <c r="J168" s="156" t="s">
        <v>192</v>
      </c>
      <c r="K168" s="200" t="n">
        <v>45451.2814467593</v>
      </c>
      <c r="L168" s="1" t="n">
        <v>0</v>
      </c>
      <c r="M168" s="196" t="n">
        <v>2568</v>
      </c>
      <c r="N168" s="1" t="n">
        <v>167</v>
      </c>
    </row>
    <row r="169" customFormat="false" ht="14.25" hidden="false" customHeight="false" outlineLevel="0" collapsed="false">
      <c r="A169" s="1" t="n">
        <v>27</v>
      </c>
      <c r="B169" s="1" t="s">
        <v>624</v>
      </c>
      <c r="C169" s="1" t="s">
        <v>625</v>
      </c>
      <c r="D169" s="196" t="n">
        <v>2568</v>
      </c>
      <c r="E169" s="196" t="s">
        <v>51</v>
      </c>
      <c r="F169" s="201" t="n">
        <v>200025888995</v>
      </c>
      <c r="G169" s="198" t="s">
        <v>628</v>
      </c>
      <c r="H169" s="163" t="s">
        <v>483</v>
      </c>
      <c r="I169" s="161" t="n">
        <v>67</v>
      </c>
      <c r="J169" s="156" t="s">
        <v>192</v>
      </c>
      <c r="K169" s="200" t="n">
        <v>45451.2814583333</v>
      </c>
      <c r="L169" s="1" t="n">
        <v>0</v>
      </c>
      <c r="M169" s="196" t="n">
        <v>2568</v>
      </c>
      <c r="N169" s="1" t="n">
        <v>168</v>
      </c>
    </row>
    <row r="170" customFormat="false" ht="14.25" hidden="false" customHeight="false" outlineLevel="0" collapsed="false">
      <c r="A170" s="1" t="n">
        <v>28</v>
      </c>
      <c r="B170" s="1" t="s">
        <v>624</v>
      </c>
      <c r="C170" s="1" t="s">
        <v>625</v>
      </c>
      <c r="D170" s="196" t="n">
        <v>2568</v>
      </c>
      <c r="E170" s="196" t="s">
        <v>51</v>
      </c>
      <c r="F170" s="201" t="n">
        <v>200025888995</v>
      </c>
      <c r="G170" s="198" t="s">
        <v>628</v>
      </c>
      <c r="H170" s="163" t="s">
        <v>483</v>
      </c>
      <c r="I170" s="161" t="n">
        <v>67</v>
      </c>
      <c r="J170" s="156" t="s">
        <v>192</v>
      </c>
      <c r="K170" s="200" t="n">
        <v>45451.3648958333</v>
      </c>
      <c r="L170" s="1" t="n">
        <v>1</v>
      </c>
      <c r="M170" s="196" t="n">
        <v>2568</v>
      </c>
      <c r="N170" s="1" t="n">
        <v>169</v>
      </c>
    </row>
    <row r="171" customFormat="false" ht="14.25" hidden="false" customHeight="false" outlineLevel="0" collapsed="false">
      <c r="A171" s="1" t="n">
        <v>29</v>
      </c>
      <c r="B171" s="1" t="s">
        <v>624</v>
      </c>
      <c r="C171" s="1" t="s">
        <v>625</v>
      </c>
      <c r="D171" s="196" t="n">
        <v>2568</v>
      </c>
      <c r="E171" s="196" t="s">
        <v>51</v>
      </c>
      <c r="F171" s="201" t="n">
        <v>200025888995</v>
      </c>
      <c r="G171" s="198" t="s">
        <v>628</v>
      </c>
      <c r="H171" s="163" t="s">
        <v>483</v>
      </c>
      <c r="I171" s="161" t="n">
        <v>67</v>
      </c>
      <c r="J171" s="156" t="s">
        <v>192</v>
      </c>
      <c r="K171" s="200" t="n">
        <v>45451.3649305556</v>
      </c>
      <c r="L171" s="1" t="n">
        <v>1</v>
      </c>
      <c r="M171" s="196" t="n">
        <v>2568</v>
      </c>
      <c r="N171" s="1" t="n">
        <v>170</v>
      </c>
    </row>
    <row r="172" customFormat="false" ht="14.25" hidden="false" customHeight="false" outlineLevel="0" collapsed="false">
      <c r="A172" s="1" t="n">
        <v>30</v>
      </c>
      <c r="B172" s="1" t="s">
        <v>624</v>
      </c>
      <c r="C172" s="1" t="s">
        <v>625</v>
      </c>
      <c r="D172" s="196" t="n">
        <v>2568</v>
      </c>
      <c r="E172" s="196" t="s">
        <v>51</v>
      </c>
      <c r="F172" s="201" t="n">
        <v>200025888995</v>
      </c>
      <c r="G172" s="198" t="s">
        <v>628</v>
      </c>
      <c r="H172" s="163" t="s">
        <v>483</v>
      </c>
      <c r="I172" s="161" t="n">
        <v>67</v>
      </c>
      <c r="J172" s="156" t="s">
        <v>192</v>
      </c>
      <c r="K172" s="200" t="n">
        <v>45451.4232407407</v>
      </c>
      <c r="L172" s="1" t="n">
        <v>0</v>
      </c>
      <c r="M172" s="196" t="n">
        <v>2568</v>
      </c>
      <c r="N172" s="1" t="n">
        <v>171</v>
      </c>
    </row>
    <row r="173" customFormat="false" ht="14.25" hidden="false" customHeight="false" outlineLevel="0" collapsed="false">
      <c r="A173" s="1" t="n">
        <v>31</v>
      </c>
      <c r="B173" s="1" t="s">
        <v>624</v>
      </c>
      <c r="C173" s="1" t="s">
        <v>625</v>
      </c>
      <c r="D173" s="196" t="n">
        <v>2568</v>
      </c>
      <c r="E173" s="196" t="s">
        <v>51</v>
      </c>
      <c r="F173" s="201" t="n">
        <v>200025888299</v>
      </c>
      <c r="G173" s="198" t="s">
        <v>629</v>
      </c>
      <c r="H173" s="163" t="s">
        <v>312</v>
      </c>
      <c r="I173" s="161" t="n">
        <v>43</v>
      </c>
      <c r="J173" s="156" t="s">
        <v>192</v>
      </c>
      <c r="K173" s="200" t="n">
        <v>45451.4464699074</v>
      </c>
      <c r="L173" s="1" t="n">
        <v>0</v>
      </c>
      <c r="M173" s="196" t="n">
        <v>2568</v>
      </c>
      <c r="N173" s="1" t="n">
        <v>172</v>
      </c>
    </row>
    <row r="174" customFormat="false" ht="14.25" hidden="false" customHeight="false" outlineLevel="0" collapsed="false">
      <c r="A174" s="1" t="n">
        <v>32</v>
      </c>
      <c r="B174" s="1" t="s">
        <v>624</v>
      </c>
      <c r="C174" s="1" t="s">
        <v>625</v>
      </c>
      <c r="D174" s="196" t="n">
        <v>2568</v>
      </c>
      <c r="E174" s="196" t="s">
        <v>51</v>
      </c>
      <c r="F174" s="201" t="n">
        <v>200025888299</v>
      </c>
      <c r="G174" s="198" t="s">
        <v>629</v>
      </c>
      <c r="H174" s="163" t="s">
        <v>312</v>
      </c>
      <c r="I174" s="161" t="n">
        <v>43</v>
      </c>
      <c r="J174" s="156" t="s">
        <v>192</v>
      </c>
      <c r="K174" s="200" t="n">
        <v>45451.4464814815</v>
      </c>
      <c r="L174" s="1" t="n">
        <v>1</v>
      </c>
      <c r="M174" s="196" t="n">
        <v>2568</v>
      </c>
      <c r="N174" s="1" t="n">
        <v>173</v>
      </c>
    </row>
    <row r="175" customFormat="false" ht="14.25" hidden="false" customHeight="false" outlineLevel="0" collapsed="false">
      <c r="A175" s="1" t="n">
        <v>33</v>
      </c>
      <c r="B175" s="1" t="s">
        <v>624</v>
      </c>
      <c r="C175" s="1" t="s">
        <v>625</v>
      </c>
      <c r="D175" s="196" t="n">
        <v>2568</v>
      </c>
      <c r="E175" s="196" t="s">
        <v>51</v>
      </c>
      <c r="F175" s="201" t="n">
        <v>200025888299</v>
      </c>
      <c r="G175" s="198" t="s">
        <v>629</v>
      </c>
      <c r="H175" s="163" t="s">
        <v>312</v>
      </c>
      <c r="I175" s="161" t="n">
        <v>43</v>
      </c>
      <c r="J175" s="156" t="s">
        <v>192</v>
      </c>
      <c r="K175" s="200" t="n">
        <v>45451.4468171296</v>
      </c>
      <c r="L175" s="1" t="n">
        <v>1</v>
      </c>
      <c r="M175" s="196" t="n">
        <v>2568</v>
      </c>
      <c r="N175" s="1" t="n">
        <v>174</v>
      </c>
    </row>
    <row r="176" customFormat="false" ht="14.25" hidden="false" customHeight="false" outlineLevel="0" collapsed="false">
      <c r="A176" s="1" t="n">
        <v>34</v>
      </c>
      <c r="B176" s="1" t="s">
        <v>624</v>
      </c>
      <c r="C176" s="1" t="s">
        <v>625</v>
      </c>
      <c r="D176" s="196" t="n">
        <v>2568</v>
      </c>
      <c r="E176" s="196" t="s">
        <v>51</v>
      </c>
      <c r="F176" s="201" t="n">
        <v>200025888299</v>
      </c>
      <c r="G176" s="198" t="s">
        <v>629</v>
      </c>
      <c r="H176" s="163" t="s">
        <v>312</v>
      </c>
      <c r="I176" s="161" t="n">
        <v>43</v>
      </c>
      <c r="J176" s="156" t="s">
        <v>192</v>
      </c>
      <c r="K176" s="200" t="n">
        <v>45451.4647337963</v>
      </c>
      <c r="L176" s="1" t="n">
        <v>1</v>
      </c>
      <c r="M176" s="196" t="n">
        <v>2568</v>
      </c>
      <c r="N176" s="1" t="n">
        <v>175</v>
      </c>
    </row>
    <row r="177" customFormat="false" ht="14.25" hidden="false" customHeight="false" outlineLevel="0" collapsed="false">
      <c r="A177" s="1" t="n">
        <v>35</v>
      </c>
      <c r="B177" s="1" t="s">
        <v>624</v>
      </c>
      <c r="C177" s="1" t="s">
        <v>625</v>
      </c>
      <c r="D177" s="196" t="n">
        <v>2568</v>
      </c>
      <c r="E177" s="196" t="s">
        <v>51</v>
      </c>
      <c r="F177" s="201" t="n">
        <v>200025888299</v>
      </c>
      <c r="G177" s="198" t="s">
        <v>629</v>
      </c>
      <c r="H177" s="163" t="s">
        <v>312</v>
      </c>
      <c r="I177" s="161" t="n">
        <v>43</v>
      </c>
      <c r="J177" s="156" t="s">
        <v>192</v>
      </c>
      <c r="K177" s="200" t="n">
        <v>45451.4733564815</v>
      </c>
      <c r="L177" s="1" t="n">
        <v>1</v>
      </c>
      <c r="M177" s="196" t="n">
        <v>2568</v>
      </c>
      <c r="N177" s="1" t="n">
        <v>176</v>
      </c>
    </row>
    <row r="178" customFormat="false" ht="14.25" hidden="false" customHeight="false" outlineLevel="0" collapsed="false">
      <c r="A178" s="1" t="n">
        <v>36</v>
      </c>
      <c r="B178" s="1" t="s">
        <v>624</v>
      </c>
      <c r="C178" s="1" t="s">
        <v>625</v>
      </c>
      <c r="D178" s="196" t="n">
        <v>2568</v>
      </c>
      <c r="E178" s="196" t="s">
        <v>51</v>
      </c>
      <c r="F178" s="201" t="n">
        <v>200025888299</v>
      </c>
      <c r="G178" s="198" t="s">
        <v>629</v>
      </c>
      <c r="H178" s="163" t="s">
        <v>312</v>
      </c>
      <c r="I178" s="161" t="n">
        <v>43</v>
      </c>
      <c r="J178" s="156" t="s">
        <v>192</v>
      </c>
      <c r="K178" s="200" t="n">
        <v>45451.4733912037</v>
      </c>
      <c r="L178" s="1" t="n">
        <v>0</v>
      </c>
      <c r="M178" s="196" t="n">
        <v>2568</v>
      </c>
      <c r="N178" s="1" t="n">
        <v>177</v>
      </c>
    </row>
    <row r="179" customFormat="false" ht="14.25" hidden="false" customHeight="false" outlineLevel="0" collapsed="false">
      <c r="A179" s="1" t="n">
        <v>37</v>
      </c>
      <c r="B179" s="1" t="s">
        <v>624</v>
      </c>
      <c r="C179" s="1" t="s">
        <v>625</v>
      </c>
      <c r="D179" s="196" t="n">
        <v>2568</v>
      </c>
      <c r="E179" s="196" t="s">
        <v>51</v>
      </c>
      <c r="F179" s="201" t="n">
        <v>200025888299</v>
      </c>
      <c r="G179" s="198" t="s">
        <v>629</v>
      </c>
      <c r="H179" s="163" t="s">
        <v>312</v>
      </c>
      <c r="I179" s="161" t="n">
        <v>43</v>
      </c>
      <c r="J179" s="156" t="s">
        <v>192</v>
      </c>
      <c r="K179" s="200" t="n">
        <v>45451.5322222222</v>
      </c>
      <c r="L179" s="1" t="n">
        <v>1</v>
      </c>
      <c r="M179" s="196" t="n">
        <v>2568</v>
      </c>
      <c r="N179" s="1" t="n">
        <v>178</v>
      </c>
    </row>
    <row r="180" customFormat="false" ht="14.25" hidden="false" customHeight="false" outlineLevel="0" collapsed="false">
      <c r="A180" s="1" t="n">
        <v>38</v>
      </c>
      <c r="B180" s="1" t="s">
        <v>624</v>
      </c>
      <c r="C180" s="1" t="s">
        <v>625</v>
      </c>
      <c r="D180" s="196" t="n">
        <v>2568</v>
      </c>
      <c r="E180" s="196" t="s">
        <v>51</v>
      </c>
      <c r="F180" s="201" t="n">
        <v>200025888299</v>
      </c>
      <c r="G180" s="198" t="s">
        <v>629</v>
      </c>
      <c r="H180" s="163" t="s">
        <v>312</v>
      </c>
      <c r="I180" s="161" t="n">
        <v>43</v>
      </c>
      <c r="J180" s="156" t="s">
        <v>192</v>
      </c>
      <c r="K180" s="200" t="n">
        <v>45451.5326388889</v>
      </c>
      <c r="L180" s="1" t="n">
        <v>1</v>
      </c>
      <c r="M180" s="196" t="n">
        <v>2568</v>
      </c>
      <c r="N180" s="1" t="n">
        <v>179</v>
      </c>
    </row>
    <row r="181" customFormat="false" ht="14.25" hidden="false" customHeight="false" outlineLevel="0" collapsed="false">
      <c r="A181" s="1" t="n">
        <v>39</v>
      </c>
      <c r="B181" s="1" t="s">
        <v>624</v>
      </c>
      <c r="C181" s="1" t="s">
        <v>625</v>
      </c>
      <c r="D181" s="196" t="n">
        <v>2568</v>
      </c>
      <c r="E181" s="196" t="s">
        <v>51</v>
      </c>
      <c r="F181" s="201" t="n">
        <v>200025888299</v>
      </c>
      <c r="G181" s="198" t="s">
        <v>629</v>
      </c>
      <c r="H181" s="163" t="s">
        <v>312</v>
      </c>
      <c r="I181" s="161" t="n">
        <v>43</v>
      </c>
      <c r="J181" s="156" t="s">
        <v>192</v>
      </c>
      <c r="K181" s="200" t="n">
        <v>45451.5346990741</v>
      </c>
      <c r="L181" s="1" t="n">
        <v>2</v>
      </c>
      <c r="M181" s="196" t="n">
        <v>2568</v>
      </c>
      <c r="N181" s="1" t="n">
        <v>180</v>
      </c>
    </row>
    <row r="182" customFormat="false" ht="14.25" hidden="false" customHeight="false" outlineLevel="0" collapsed="false">
      <c r="A182" s="1" t="n">
        <v>40</v>
      </c>
      <c r="B182" s="1" t="s">
        <v>624</v>
      </c>
      <c r="C182" s="1" t="s">
        <v>625</v>
      </c>
      <c r="D182" s="196" t="n">
        <v>2568</v>
      </c>
      <c r="E182" s="196" t="s">
        <v>51</v>
      </c>
      <c r="F182" s="201" t="n">
        <v>200025888299</v>
      </c>
      <c r="G182" s="198" t="s">
        <v>629</v>
      </c>
      <c r="H182" s="163" t="s">
        <v>312</v>
      </c>
      <c r="I182" s="161" t="n">
        <v>43</v>
      </c>
      <c r="J182" s="156" t="s">
        <v>192</v>
      </c>
      <c r="K182" s="200" t="n">
        <v>45451.5625925926</v>
      </c>
      <c r="L182" s="1" t="n">
        <v>0</v>
      </c>
      <c r="M182" s="196" t="n">
        <v>2568</v>
      </c>
      <c r="N182" s="1" t="n">
        <v>181</v>
      </c>
    </row>
    <row r="183" customFormat="false" ht="14.25" hidden="false" customHeight="false" outlineLevel="0" collapsed="false">
      <c r="A183" s="1" t="n">
        <v>41</v>
      </c>
      <c r="B183" s="1" t="s">
        <v>624</v>
      </c>
      <c r="C183" s="1" t="s">
        <v>625</v>
      </c>
      <c r="D183" s="196" t="n">
        <v>2568</v>
      </c>
      <c r="E183" s="196" t="s">
        <v>51</v>
      </c>
      <c r="F183" s="201" t="n">
        <v>200025888995</v>
      </c>
      <c r="G183" s="198" t="s">
        <v>628</v>
      </c>
      <c r="H183" s="163" t="s">
        <v>483</v>
      </c>
      <c r="I183" s="161" t="n">
        <v>67</v>
      </c>
      <c r="J183" s="156" t="s">
        <v>192</v>
      </c>
      <c r="K183" s="200" t="n">
        <v>45451.5659722222</v>
      </c>
      <c r="L183" s="1" t="n">
        <v>1</v>
      </c>
      <c r="M183" s="196" t="n">
        <v>2568</v>
      </c>
      <c r="N183" s="1" t="n">
        <v>182</v>
      </c>
    </row>
    <row r="184" customFormat="false" ht="14.25" hidden="false" customHeight="false" outlineLevel="0" collapsed="false">
      <c r="A184" s="1" t="n">
        <v>42</v>
      </c>
      <c r="B184" s="1" t="s">
        <v>624</v>
      </c>
      <c r="C184" s="1" t="s">
        <v>625</v>
      </c>
      <c r="D184" s="196" t="n">
        <v>2568</v>
      </c>
      <c r="E184" s="196" t="s">
        <v>51</v>
      </c>
      <c r="F184" s="201" t="n">
        <v>200025888299</v>
      </c>
      <c r="G184" s="198" t="s">
        <v>629</v>
      </c>
      <c r="H184" s="163" t="s">
        <v>312</v>
      </c>
      <c r="I184" s="161" t="n">
        <v>43</v>
      </c>
      <c r="J184" s="156" t="s">
        <v>192</v>
      </c>
      <c r="K184" s="200" t="n">
        <v>45451.5754282407</v>
      </c>
      <c r="L184" s="10" t="n">
        <v>2051</v>
      </c>
      <c r="M184" s="196" t="n">
        <v>2568</v>
      </c>
      <c r="N184" s="1" t="n">
        <v>183</v>
      </c>
    </row>
    <row r="185" customFormat="false" ht="14.25" hidden="false" customHeight="false" outlineLevel="0" collapsed="false">
      <c r="A185" s="1" t="n">
        <v>43</v>
      </c>
      <c r="B185" s="1" t="s">
        <v>624</v>
      </c>
      <c r="C185" s="1" t="s">
        <v>625</v>
      </c>
      <c r="D185" s="196" t="n">
        <v>2568</v>
      </c>
      <c r="E185" s="196" t="s">
        <v>51</v>
      </c>
      <c r="F185" s="201" t="n">
        <v>200025888299</v>
      </c>
      <c r="G185" s="198" t="s">
        <v>629</v>
      </c>
      <c r="H185" s="163" t="s">
        <v>312</v>
      </c>
      <c r="I185" s="161" t="n">
        <v>43</v>
      </c>
      <c r="J185" s="156" t="s">
        <v>192</v>
      </c>
      <c r="K185" s="200" t="n">
        <v>45451.6280439815</v>
      </c>
      <c r="L185" s="1" t="n">
        <v>1</v>
      </c>
      <c r="M185" s="196" t="n">
        <v>2568</v>
      </c>
      <c r="N185" s="1" t="n">
        <v>184</v>
      </c>
    </row>
    <row r="186" customFormat="false" ht="14.25" hidden="false" customHeight="false" outlineLevel="0" collapsed="false">
      <c r="A186" s="1" t="n">
        <v>44</v>
      </c>
      <c r="B186" s="1" t="s">
        <v>624</v>
      </c>
      <c r="C186" s="1" t="s">
        <v>625</v>
      </c>
      <c r="D186" s="196" t="n">
        <v>2568</v>
      </c>
      <c r="E186" s="196" t="s">
        <v>51</v>
      </c>
      <c r="F186" s="201" t="n">
        <v>200025888158</v>
      </c>
      <c r="G186" s="198" t="s">
        <v>630</v>
      </c>
      <c r="H186" s="163" t="s">
        <v>193</v>
      </c>
      <c r="I186" s="161" t="n">
        <v>30</v>
      </c>
      <c r="J186" s="156" t="s">
        <v>192</v>
      </c>
      <c r="K186" s="200" t="n">
        <v>45452.0107175926</v>
      </c>
      <c r="L186" s="1" t="n">
        <v>1</v>
      </c>
      <c r="M186" s="196" t="n">
        <v>2568</v>
      </c>
      <c r="N186" s="1" t="n">
        <v>185</v>
      </c>
    </row>
    <row r="187" customFormat="false" ht="14.25" hidden="false" customHeight="false" outlineLevel="0" collapsed="false">
      <c r="A187" s="1" t="n">
        <v>45</v>
      </c>
      <c r="B187" s="1" t="s">
        <v>624</v>
      </c>
      <c r="C187" s="1" t="s">
        <v>625</v>
      </c>
      <c r="D187" s="196" t="n">
        <v>2568</v>
      </c>
      <c r="E187" s="196" t="s">
        <v>51</v>
      </c>
      <c r="F187" s="201" t="n">
        <v>200025888158</v>
      </c>
      <c r="G187" s="198" t="s">
        <v>630</v>
      </c>
      <c r="H187" s="163" t="s">
        <v>193</v>
      </c>
      <c r="I187" s="161" t="n">
        <v>30</v>
      </c>
      <c r="J187" s="156" t="s">
        <v>192</v>
      </c>
      <c r="K187" s="200" t="n">
        <v>45452.0107291667</v>
      </c>
      <c r="L187" s="10" t="n">
        <v>1335</v>
      </c>
      <c r="M187" s="196" t="n">
        <v>2568</v>
      </c>
      <c r="N187" s="1" t="n">
        <v>186</v>
      </c>
    </row>
    <row r="188" customFormat="false" ht="14.25" hidden="false" customHeight="false" outlineLevel="0" collapsed="false">
      <c r="A188" s="1" t="n">
        <v>46</v>
      </c>
      <c r="B188" s="1" t="s">
        <v>624</v>
      </c>
      <c r="C188" s="1" t="s">
        <v>625</v>
      </c>
      <c r="D188" s="196" t="n">
        <v>2568</v>
      </c>
      <c r="E188" s="196" t="s">
        <v>51</v>
      </c>
      <c r="F188" s="201" t="n">
        <v>200025888158</v>
      </c>
      <c r="G188" s="198" t="s">
        <v>630</v>
      </c>
      <c r="H188" s="163" t="s">
        <v>193</v>
      </c>
      <c r="I188" s="161" t="n">
        <v>30</v>
      </c>
      <c r="J188" s="156" t="s">
        <v>192</v>
      </c>
      <c r="K188" s="200" t="n">
        <v>45452.1212152778</v>
      </c>
      <c r="L188" s="10" t="n">
        <v>794</v>
      </c>
      <c r="M188" s="196" t="n">
        <v>2568</v>
      </c>
      <c r="N188" s="1" t="n">
        <v>187</v>
      </c>
    </row>
    <row r="189" customFormat="false" ht="14.25" hidden="false" customHeight="false" outlineLevel="0" collapsed="false">
      <c r="A189" s="1" t="n">
        <v>47</v>
      </c>
      <c r="B189" s="1" t="s">
        <v>624</v>
      </c>
      <c r="C189" s="1" t="s">
        <v>625</v>
      </c>
      <c r="D189" s="196" t="n">
        <v>2568</v>
      </c>
      <c r="E189" s="196" t="s">
        <v>51</v>
      </c>
      <c r="F189" s="201" t="n">
        <v>200025888158</v>
      </c>
      <c r="G189" s="198" t="s">
        <v>630</v>
      </c>
      <c r="H189" s="163" t="s">
        <v>193</v>
      </c>
      <c r="I189" s="161" t="n">
        <v>30</v>
      </c>
      <c r="J189" s="156" t="s">
        <v>192</v>
      </c>
      <c r="K189" s="200" t="n">
        <v>45452.2334143519</v>
      </c>
      <c r="L189" s="1" t="n">
        <v>0</v>
      </c>
      <c r="M189" s="196" t="n">
        <v>2568</v>
      </c>
      <c r="N189" s="1" t="n">
        <v>188</v>
      </c>
    </row>
    <row r="190" customFormat="false" ht="14.25" hidden="false" customHeight="false" outlineLevel="0" collapsed="false">
      <c r="A190" s="1" t="n">
        <v>48</v>
      </c>
      <c r="B190" s="1" t="s">
        <v>624</v>
      </c>
      <c r="C190" s="1" t="s">
        <v>625</v>
      </c>
      <c r="D190" s="196" t="n">
        <v>2568</v>
      </c>
      <c r="E190" s="196" t="s">
        <v>51</v>
      </c>
      <c r="F190" s="201" t="n">
        <v>200025888181</v>
      </c>
      <c r="G190" s="198" t="s">
        <v>631</v>
      </c>
      <c r="H190" s="163" t="s">
        <v>215</v>
      </c>
      <c r="I190" s="161" t="n">
        <v>115</v>
      </c>
      <c r="J190" s="156" t="s">
        <v>192</v>
      </c>
      <c r="K190" s="200" t="n">
        <v>45452.2856828704</v>
      </c>
      <c r="L190" s="1" t="n">
        <v>1</v>
      </c>
      <c r="M190" s="196" t="n">
        <v>2568</v>
      </c>
      <c r="N190" s="1" t="n">
        <v>189</v>
      </c>
    </row>
    <row r="191" customFormat="false" ht="14.25" hidden="false" customHeight="false" outlineLevel="0" collapsed="false">
      <c r="A191" s="1" t="n">
        <v>49</v>
      </c>
      <c r="B191" s="1" t="s">
        <v>624</v>
      </c>
      <c r="C191" s="1" t="s">
        <v>625</v>
      </c>
      <c r="D191" s="196" t="n">
        <v>2568</v>
      </c>
      <c r="E191" s="196" t="s">
        <v>51</v>
      </c>
      <c r="F191" s="201" t="n">
        <v>200025888181</v>
      </c>
      <c r="G191" s="198" t="s">
        <v>631</v>
      </c>
      <c r="H191" s="163" t="s">
        <v>215</v>
      </c>
      <c r="I191" s="161" t="n">
        <v>115</v>
      </c>
      <c r="J191" s="156" t="s">
        <v>192</v>
      </c>
      <c r="K191" s="200" t="n">
        <v>45452.2900578704</v>
      </c>
      <c r="L191" s="1" t="n">
        <v>1</v>
      </c>
      <c r="M191" s="196" t="n">
        <v>2568</v>
      </c>
      <c r="N191" s="1" t="n">
        <v>190</v>
      </c>
    </row>
    <row r="192" customFormat="false" ht="14.25" hidden="false" customHeight="false" outlineLevel="0" collapsed="false">
      <c r="A192" s="1" t="n">
        <v>50</v>
      </c>
      <c r="B192" s="1" t="s">
        <v>624</v>
      </c>
      <c r="C192" s="1" t="s">
        <v>625</v>
      </c>
      <c r="D192" s="196" t="n">
        <v>2568</v>
      </c>
      <c r="E192" s="196" t="s">
        <v>51</v>
      </c>
      <c r="F192" s="201" t="n">
        <v>200025888158</v>
      </c>
      <c r="G192" s="198" t="s">
        <v>630</v>
      </c>
      <c r="H192" s="163" t="s">
        <v>193</v>
      </c>
      <c r="I192" s="161" t="n">
        <v>30</v>
      </c>
      <c r="J192" s="156" t="s">
        <v>192</v>
      </c>
      <c r="K192" s="200" t="n">
        <v>45452.3320601852</v>
      </c>
      <c r="L192" s="1" t="n">
        <v>0</v>
      </c>
      <c r="M192" s="196" t="n">
        <v>2568</v>
      </c>
      <c r="N192" s="1" t="n">
        <v>191</v>
      </c>
    </row>
    <row r="193" customFormat="false" ht="14.25" hidden="false" customHeight="false" outlineLevel="0" collapsed="false">
      <c r="A193" s="1" t="n">
        <v>51</v>
      </c>
      <c r="B193" s="1" t="s">
        <v>624</v>
      </c>
      <c r="C193" s="1" t="s">
        <v>625</v>
      </c>
      <c r="D193" s="196" t="n">
        <v>2568</v>
      </c>
      <c r="E193" s="196" t="s">
        <v>51</v>
      </c>
      <c r="F193" s="201" t="n">
        <v>200025888158</v>
      </c>
      <c r="G193" s="198" t="s">
        <v>630</v>
      </c>
      <c r="H193" s="163" t="s">
        <v>193</v>
      </c>
      <c r="I193" s="161" t="n">
        <v>30</v>
      </c>
      <c r="J193" s="156" t="s">
        <v>192</v>
      </c>
      <c r="K193" s="200" t="n">
        <v>45452.3320601852</v>
      </c>
      <c r="L193" s="1" t="n">
        <v>5</v>
      </c>
      <c r="M193" s="196" t="n">
        <v>2568</v>
      </c>
      <c r="N193" s="1" t="n">
        <v>192</v>
      </c>
    </row>
    <row r="194" customFormat="false" ht="14.25" hidden="false" customHeight="false" outlineLevel="0" collapsed="false">
      <c r="A194" s="1" t="n">
        <v>52</v>
      </c>
      <c r="B194" s="1" t="s">
        <v>624</v>
      </c>
      <c r="C194" s="1" t="s">
        <v>625</v>
      </c>
      <c r="D194" s="196" t="n">
        <v>2568</v>
      </c>
      <c r="E194" s="196" t="s">
        <v>51</v>
      </c>
      <c r="F194" s="201" t="n">
        <v>200025889314</v>
      </c>
      <c r="G194" s="198" t="s">
        <v>632</v>
      </c>
      <c r="H194" s="163" t="s">
        <v>224</v>
      </c>
      <c r="I194" s="161" t="n">
        <v>15</v>
      </c>
      <c r="J194" s="156" t="s">
        <v>185</v>
      </c>
      <c r="K194" s="200" t="n">
        <v>45452.3796875</v>
      </c>
      <c r="L194" s="1" t="n">
        <v>0</v>
      </c>
      <c r="M194" s="196" t="n">
        <v>2568</v>
      </c>
      <c r="N194" s="1" t="n">
        <v>193</v>
      </c>
    </row>
    <row r="195" customFormat="false" ht="14.25" hidden="false" customHeight="false" outlineLevel="0" collapsed="false">
      <c r="A195" s="1" t="n">
        <v>53</v>
      </c>
      <c r="B195" s="1" t="s">
        <v>624</v>
      </c>
      <c r="C195" s="1" t="s">
        <v>625</v>
      </c>
      <c r="D195" s="196" t="n">
        <v>2568</v>
      </c>
      <c r="E195" s="196" t="s">
        <v>51</v>
      </c>
      <c r="F195" s="201" t="n">
        <v>200025889314</v>
      </c>
      <c r="G195" s="198" t="s">
        <v>632</v>
      </c>
      <c r="H195" s="163" t="s">
        <v>224</v>
      </c>
      <c r="I195" s="161" t="n">
        <v>15</v>
      </c>
      <c r="J195" s="156" t="s">
        <v>185</v>
      </c>
      <c r="K195" s="200" t="n">
        <v>45452.3796990741</v>
      </c>
      <c r="L195" s="1" t="n">
        <v>0</v>
      </c>
      <c r="M195" s="196" t="n">
        <v>2568</v>
      </c>
      <c r="N195" s="1" t="n">
        <v>194</v>
      </c>
    </row>
    <row r="196" customFormat="false" ht="14.25" hidden="false" customHeight="false" outlineLevel="0" collapsed="false">
      <c r="A196" s="1" t="n">
        <v>54</v>
      </c>
      <c r="B196" s="1" t="s">
        <v>624</v>
      </c>
      <c r="C196" s="1" t="s">
        <v>625</v>
      </c>
      <c r="D196" s="196" t="n">
        <v>2568</v>
      </c>
      <c r="E196" s="196" t="s">
        <v>51</v>
      </c>
      <c r="F196" s="201" t="n">
        <v>200025889314</v>
      </c>
      <c r="G196" s="198" t="s">
        <v>632</v>
      </c>
      <c r="H196" s="163" t="s">
        <v>224</v>
      </c>
      <c r="I196" s="161" t="n">
        <v>15</v>
      </c>
      <c r="J196" s="156" t="s">
        <v>185</v>
      </c>
      <c r="K196" s="200" t="n">
        <v>45452.3797106482</v>
      </c>
      <c r="L196" s="1" t="n">
        <v>0</v>
      </c>
      <c r="M196" s="196" t="n">
        <v>2568</v>
      </c>
      <c r="N196" s="1" t="n">
        <v>195</v>
      </c>
    </row>
    <row r="197" customFormat="false" ht="14.25" hidden="false" customHeight="false" outlineLevel="0" collapsed="false">
      <c r="A197" s="1" t="n">
        <v>55</v>
      </c>
      <c r="B197" s="1" t="s">
        <v>624</v>
      </c>
      <c r="C197" s="1" t="s">
        <v>625</v>
      </c>
      <c r="D197" s="196" t="n">
        <v>2568</v>
      </c>
      <c r="E197" s="196" t="s">
        <v>51</v>
      </c>
      <c r="F197" s="201" t="n">
        <v>200025889314</v>
      </c>
      <c r="G197" s="198" t="s">
        <v>632</v>
      </c>
      <c r="H197" s="163" t="s">
        <v>224</v>
      </c>
      <c r="I197" s="161" t="n">
        <v>15</v>
      </c>
      <c r="J197" s="156" t="s">
        <v>185</v>
      </c>
      <c r="K197" s="200" t="n">
        <v>45452.3860763889</v>
      </c>
      <c r="L197" s="1" t="n">
        <v>1</v>
      </c>
      <c r="M197" s="196" t="n">
        <v>2568</v>
      </c>
      <c r="N197" s="1" t="n">
        <v>196</v>
      </c>
    </row>
    <row r="198" customFormat="false" ht="14.25" hidden="false" customHeight="false" outlineLevel="0" collapsed="false">
      <c r="A198" s="1" t="n">
        <v>56</v>
      </c>
      <c r="B198" s="1" t="s">
        <v>624</v>
      </c>
      <c r="C198" s="1" t="s">
        <v>625</v>
      </c>
      <c r="D198" s="196" t="n">
        <v>2568</v>
      </c>
      <c r="E198" s="196" t="s">
        <v>51</v>
      </c>
      <c r="F198" s="201" t="n">
        <v>200025889314</v>
      </c>
      <c r="G198" s="198" t="s">
        <v>632</v>
      </c>
      <c r="H198" s="163" t="s">
        <v>224</v>
      </c>
      <c r="I198" s="161" t="n">
        <v>15</v>
      </c>
      <c r="J198" s="156" t="s">
        <v>185</v>
      </c>
      <c r="K198" s="200" t="n">
        <v>45452.386087963</v>
      </c>
      <c r="L198" s="1" t="n">
        <v>1</v>
      </c>
      <c r="M198" s="196" t="n">
        <v>2568</v>
      </c>
      <c r="N198" s="1" t="n">
        <v>197</v>
      </c>
    </row>
    <row r="199" customFormat="false" ht="14.25" hidden="false" customHeight="false" outlineLevel="0" collapsed="false">
      <c r="A199" s="1" t="n">
        <v>57</v>
      </c>
      <c r="B199" s="1" t="s">
        <v>624</v>
      </c>
      <c r="C199" s="1" t="s">
        <v>625</v>
      </c>
      <c r="D199" s="196" t="n">
        <v>2568</v>
      </c>
      <c r="E199" s="196" t="s">
        <v>51</v>
      </c>
      <c r="F199" s="201" t="n">
        <v>200025889314</v>
      </c>
      <c r="G199" s="198" t="s">
        <v>632</v>
      </c>
      <c r="H199" s="163" t="s">
        <v>224</v>
      </c>
      <c r="I199" s="161" t="n">
        <v>15</v>
      </c>
      <c r="J199" s="156" t="s">
        <v>185</v>
      </c>
      <c r="K199" s="200" t="n">
        <v>45452.3917013889</v>
      </c>
      <c r="L199" s="1" t="n">
        <v>2</v>
      </c>
      <c r="M199" s="196" t="n">
        <v>2568</v>
      </c>
      <c r="N199" s="1" t="n">
        <v>198</v>
      </c>
    </row>
    <row r="200" customFormat="false" ht="14.25" hidden="false" customHeight="false" outlineLevel="0" collapsed="false">
      <c r="A200" s="1" t="n">
        <v>58</v>
      </c>
      <c r="B200" s="1" t="s">
        <v>624</v>
      </c>
      <c r="C200" s="1" t="s">
        <v>625</v>
      </c>
      <c r="D200" s="196" t="n">
        <v>2568</v>
      </c>
      <c r="E200" s="196" t="s">
        <v>51</v>
      </c>
      <c r="F200" s="201" t="n">
        <v>200025889314</v>
      </c>
      <c r="G200" s="198" t="s">
        <v>632</v>
      </c>
      <c r="H200" s="163" t="s">
        <v>224</v>
      </c>
      <c r="I200" s="161" t="n">
        <v>15</v>
      </c>
      <c r="J200" s="156" t="s">
        <v>185</v>
      </c>
      <c r="K200" s="200" t="n">
        <v>45452.3919444445</v>
      </c>
      <c r="L200" s="1" t="n">
        <v>0</v>
      </c>
      <c r="M200" s="196" t="n">
        <v>2568</v>
      </c>
      <c r="N200" s="1" t="n">
        <v>199</v>
      </c>
    </row>
    <row r="201" customFormat="false" ht="14.25" hidden="false" customHeight="false" outlineLevel="0" collapsed="false">
      <c r="A201" s="1" t="n">
        <v>59</v>
      </c>
      <c r="B201" s="1" t="s">
        <v>624</v>
      </c>
      <c r="C201" s="1" t="s">
        <v>625</v>
      </c>
      <c r="D201" s="196" t="n">
        <v>2568</v>
      </c>
      <c r="E201" s="196" t="s">
        <v>51</v>
      </c>
      <c r="F201" s="201" t="n">
        <v>200025889314</v>
      </c>
      <c r="G201" s="198" t="s">
        <v>632</v>
      </c>
      <c r="H201" s="163" t="s">
        <v>224</v>
      </c>
      <c r="I201" s="161" t="n">
        <v>15</v>
      </c>
      <c r="J201" s="156" t="s">
        <v>185</v>
      </c>
      <c r="K201" s="200" t="n">
        <v>45452.3919675926</v>
      </c>
      <c r="L201" s="10" t="n">
        <v>112</v>
      </c>
      <c r="M201" s="196" t="n">
        <v>2568</v>
      </c>
      <c r="N201" s="1" t="n">
        <v>200</v>
      </c>
    </row>
    <row r="202" customFormat="false" ht="14.25" hidden="false" customHeight="false" outlineLevel="0" collapsed="false">
      <c r="A202" s="1" t="n">
        <v>60</v>
      </c>
      <c r="B202" s="1" t="s">
        <v>624</v>
      </c>
      <c r="C202" s="1" t="s">
        <v>625</v>
      </c>
      <c r="D202" s="196" t="n">
        <v>2568</v>
      </c>
      <c r="E202" s="196" t="s">
        <v>51</v>
      </c>
      <c r="F202" s="201" t="n">
        <v>200025889314</v>
      </c>
      <c r="G202" s="198" t="s">
        <v>632</v>
      </c>
      <c r="H202" s="163" t="s">
        <v>224</v>
      </c>
      <c r="I202" s="161" t="n">
        <v>15</v>
      </c>
      <c r="J202" s="156" t="s">
        <v>185</v>
      </c>
      <c r="K202" s="200" t="n">
        <v>45452.395150463</v>
      </c>
      <c r="L202" s="1" t="n">
        <v>0</v>
      </c>
      <c r="M202" s="196" t="n">
        <v>2568</v>
      </c>
      <c r="N202" s="1" t="n">
        <v>201</v>
      </c>
    </row>
    <row r="203" customFormat="false" ht="14.25" hidden="false" customHeight="false" outlineLevel="0" collapsed="false">
      <c r="A203" s="1" t="n">
        <v>61</v>
      </c>
      <c r="B203" s="1" t="s">
        <v>624</v>
      </c>
      <c r="C203" s="1" t="s">
        <v>625</v>
      </c>
      <c r="D203" s="196" t="n">
        <v>2568</v>
      </c>
      <c r="E203" s="196" t="s">
        <v>51</v>
      </c>
      <c r="F203" s="201" t="n">
        <v>200025889314</v>
      </c>
      <c r="G203" s="198" t="s">
        <v>632</v>
      </c>
      <c r="H203" s="163" t="s">
        <v>224</v>
      </c>
      <c r="I203" s="161" t="n">
        <v>15</v>
      </c>
      <c r="J203" s="156" t="s">
        <v>185</v>
      </c>
      <c r="K203" s="200" t="n">
        <v>45452.397025463</v>
      </c>
      <c r="L203" s="10" t="n">
        <v>1141</v>
      </c>
      <c r="M203" s="196" t="n">
        <v>2568</v>
      </c>
      <c r="N203" s="1" t="n">
        <v>202</v>
      </c>
    </row>
    <row r="204" customFormat="false" ht="14.25" hidden="false" customHeight="false" outlineLevel="0" collapsed="false">
      <c r="A204" s="1" t="n">
        <v>62</v>
      </c>
      <c r="B204" s="1" t="s">
        <v>624</v>
      </c>
      <c r="C204" s="1" t="s">
        <v>625</v>
      </c>
      <c r="D204" s="196" t="n">
        <v>2568</v>
      </c>
      <c r="E204" s="196" t="s">
        <v>51</v>
      </c>
      <c r="F204" s="201" t="n">
        <v>200025889051</v>
      </c>
      <c r="G204" s="198" t="s">
        <v>633</v>
      </c>
      <c r="H204" s="163" t="s">
        <v>269</v>
      </c>
      <c r="I204" s="161" t="n">
        <v>26</v>
      </c>
      <c r="J204" s="156" t="s">
        <v>185</v>
      </c>
      <c r="K204" s="200" t="n">
        <v>45452.4431712963</v>
      </c>
      <c r="L204" s="1" t="n">
        <v>0</v>
      </c>
      <c r="M204" s="196" t="n">
        <v>2568</v>
      </c>
      <c r="N204" s="1" t="n">
        <v>203</v>
      </c>
    </row>
    <row r="205" customFormat="false" ht="14.25" hidden="false" customHeight="false" outlineLevel="0" collapsed="false">
      <c r="A205" s="1" t="n">
        <v>63</v>
      </c>
      <c r="B205" s="1" t="s">
        <v>624</v>
      </c>
      <c r="C205" s="1" t="s">
        <v>625</v>
      </c>
      <c r="D205" s="196" t="n">
        <v>2568</v>
      </c>
      <c r="E205" s="196" t="s">
        <v>51</v>
      </c>
      <c r="F205" s="201" t="n">
        <v>200025888485</v>
      </c>
      <c r="G205" s="198" t="s">
        <v>634</v>
      </c>
      <c r="H205" s="163" t="s">
        <v>327</v>
      </c>
      <c r="I205" s="161" t="n">
        <v>93</v>
      </c>
      <c r="J205" s="156" t="s">
        <v>185</v>
      </c>
      <c r="K205" s="200" t="n">
        <v>45452.6128472222</v>
      </c>
      <c r="L205" s="1" t="n">
        <v>0</v>
      </c>
      <c r="M205" s="196" t="n">
        <v>2568</v>
      </c>
      <c r="N205" s="1" t="n">
        <v>204</v>
      </c>
    </row>
    <row r="206" customFormat="false" ht="14.25" hidden="false" customHeight="false" outlineLevel="0" collapsed="false">
      <c r="A206" s="1" t="n">
        <v>64</v>
      </c>
      <c r="B206" s="1" t="s">
        <v>624</v>
      </c>
      <c r="C206" s="1" t="s">
        <v>625</v>
      </c>
      <c r="D206" s="196" t="n">
        <v>2568</v>
      </c>
      <c r="E206" s="196" t="s">
        <v>51</v>
      </c>
      <c r="F206" s="201" t="n">
        <v>200025888910</v>
      </c>
      <c r="G206" s="198" t="s">
        <v>635</v>
      </c>
      <c r="H206" s="163" t="s">
        <v>418</v>
      </c>
      <c r="I206" s="161" t="n">
        <v>109</v>
      </c>
      <c r="J206" s="156" t="s">
        <v>185</v>
      </c>
      <c r="K206" s="200" t="n">
        <v>45453.1711574074</v>
      </c>
      <c r="L206" s="1" t="n">
        <v>0</v>
      </c>
      <c r="M206" s="196" t="n">
        <v>2568</v>
      </c>
      <c r="N206" s="1" t="n">
        <v>205</v>
      </c>
    </row>
    <row r="207" customFormat="false" ht="14.25" hidden="false" customHeight="false" outlineLevel="0" collapsed="false">
      <c r="A207" s="1" t="n">
        <v>65</v>
      </c>
      <c r="B207" s="1" t="s">
        <v>624</v>
      </c>
      <c r="C207" s="1" t="s">
        <v>625</v>
      </c>
      <c r="D207" s="196" t="n">
        <v>2568</v>
      </c>
      <c r="E207" s="196" t="s">
        <v>51</v>
      </c>
      <c r="F207" s="201" t="n">
        <v>200025889446</v>
      </c>
      <c r="G207" s="198" t="s">
        <v>636</v>
      </c>
      <c r="H207" s="163" t="s">
        <v>233</v>
      </c>
      <c r="I207" s="161" t="n">
        <v>17</v>
      </c>
      <c r="J207" s="156" t="s">
        <v>185</v>
      </c>
      <c r="K207" s="200" t="n">
        <v>45453.6467824074</v>
      </c>
      <c r="L207" s="1" t="n">
        <v>1</v>
      </c>
      <c r="M207" s="196" t="n">
        <v>2568</v>
      </c>
      <c r="N207" s="1" t="n">
        <v>206</v>
      </c>
    </row>
    <row r="208" customFormat="false" ht="14.25" hidden="false" customHeight="false" outlineLevel="0" collapsed="false">
      <c r="A208" s="1" t="n">
        <v>59</v>
      </c>
      <c r="B208" s="1" t="s">
        <v>637</v>
      </c>
      <c r="C208" s="1" t="s">
        <v>638</v>
      </c>
      <c r="D208" s="196" t="n">
        <v>2568</v>
      </c>
      <c r="E208" s="196" t="s">
        <v>51</v>
      </c>
      <c r="F208" s="198" t="n">
        <v>200025889159</v>
      </c>
      <c r="G208" s="198" t="s">
        <v>639</v>
      </c>
      <c r="H208" s="163" t="s">
        <v>513</v>
      </c>
      <c r="I208" s="161" t="n">
        <v>111</v>
      </c>
      <c r="J208" s="156" t="s">
        <v>192</v>
      </c>
      <c r="K208" s="200" t="n">
        <v>45455.4956712963</v>
      </c>
      <c r="L208" s="1" t="n">
        <v>1</v>
      </c>
      <c r="M208" s="196" t="n">
        <v>2568</v>
      </c>
      <c r="N208" s="1" t="n">
        <v>207</v>
      </c>
    </row>
    <row r="209" customFormat="false" ht="14.25" hidden="false" customHeight="false" outlineLevel="0" collapsed="false">
      <c r="A209" s="1" t="n">
        <v>60</v>
      </c>
      <c r="B209" s="1" t="s">
        <v>637</v>
      </c>
      <c r="C209" s="1" t="s">
        <v>638</v>
      </c>
      <c r="D209" s="196" t="n">
        <v>2568</v>
      </c>
      <c r="E209" s="196" t="s">
        <v>51</v>
      </c>
      <c r="F209" s="198" t="n">
        <v>200025889159</v>
      </c>
      <c r="G209" s="198" t="s">
        <v>639</v>
      </c>
      <c r="H209" s="163" t="s">
        <v>513</v>
      </c>
      <c r="I209" s="161" t="n">
        <v>111</v>
      </c>
      <c r="J209" s="156" t="s">
        <v>192</v>
      </c>
      <c r="K209" s="200" t="n">
        <v>45455.4956828704</v>
      </c>
      <c r="L209" s="1" t="n">
        <v>0</v>
      </c>
      <c r="M209" s="196" t="n">
        <v>2568</v>
      </c>
      <c r="N209" s="1" t="n">
        <v>208</v>
      </c>
    </row>
    <row r="210" customFormat="false" ht="14.25" hidden="false" customHeight="false" outlineLevel="0" collapsed="false">
      <c r="A210" s="1" t="n">
        <v>61</v>
      </c>
      <c r="B210" s="1" t="s">
        <v>637</v>
      </c>
      <c r="C210" s="1" t="s">
        <v>638</v>
      </c>
      <c r="D210" s="196" t="n">
        <v>2568</v>
      </c>
      <c r="E210" s="196" t="s">
        <v>51</v>
      </c>
      <c r="F210" s="198" t="n">
        <v>200025888479</v>
      </c>
      <c r="G210" s="198" t="s">
        <v>640</v>
      </c>
      <c r="H210" s="163" t="s">
        <v>254</v>
      </c>
      <c r="I210" s="161" t="n">
        <v>9</v>
      </c>
      <c r="J210" s="156" t="s">
        <v>192</v>
      </c>
      <c r="K210" s="200" t="n">
        <v>45455.547650463</v>
      </c>
      <c r="L210" s="10" t="n">
        <v>2630</v>
      </c>
      <c r="M210" s="196" t="n">
        <v>2568</v>
      </c>
      <c r="N210" s="1" t="n">
        <v>209</v>
      </c>
    </row>
    <row r="211" customFormat="false" ht="14.25" hidden="false" customHeight="false" outlineLevel="0" collapsed="false">
      <c r="A211" s="1" t="n">
        <v>62</v>
      </c>
      <c r="B211" s="1" t="s">
        <v>637</v>
      </c>
      <c r="C211" s="1" t="s">
        <v>638</v>
      </c>
      <c r="D211" s="196" t="n">
        <v>2568</v>
      </c>
      <c r="E211" s="196" t="s">
        <v>51</v>
      </c>
      <c r="F211" s="198" t="n">
        <v>200025889154</v>
      </c>
      <c r="G211" s="198" t="s">
        <v>641</v>
      </c>
      <c r="H211" s="172" t="n">
        <v>91178</v>
      </c>
      <c r="I211" s="170" t="n">
        <v>34</v>
      </c>
      <c r="J211" s="169" t="s">
        <v>192</v>
      </c>
      <c r="K211" s="200" t="n">
        <v>45455.6119328704</v>
      </c>
      <c r="L211" s="1" t="n">
        <v>0</v>
      </c>
      <c r="M211" s="196" t="n">
        <v>2568</v>
      </c>
      <c r="N211" s="1" t="n">
        <v>210</v>
      </c>
    </row>
    <row r="212" customFormat="false" ht="14.25" hidden="false" customHeight="false" outlineLevel="0" collapsed="false">
      <c r="A212" s="1" t="n">
        <v>63</v>
      </c>
      <c r="B212" s="1" t="s">
        <v>637</v>
      </c>
      <c r="C212" s="1" t="s">
        <v>638</v>
      </c>
      <c r="D212" s="196" t="n">
        <v>2568</v>
      </c>
      <c r="E212" s="196" t="s">
        <v>51</v>
      </c>
      <c r="F212" s="198" t="n">
        <v>200025889154</v>
      </c>
      <c r="G212" s="198" t="s">
        <v>641</v>
      </c>
      <c r="H212" s="172" t="n">
        <v>91178</v>
      </c>
      <c r="I212" s="170" t="n">
        <v>34</v>
      </c>
      <c r="J212" s="169" t="s">
        <v>192</v>
      </c>
      <c r="K212" s="200" t="n">
        <v>45455.6119444444</v>
      </c>
      <c r="L212" s="1" t="n">
        <v>1</v>
      </c>
      <c r="M212" s="196" t="n">
        <v>2568</v>
      </c>
      <c r="N212" s="1" t="n">
        <v>211</v>
      </c>
    </row>
    <row r="213" customFormat="false" ht="14.25" hidden="false" customHeight="false" outlineLevel="0" collapsed="false">
      <c r="A213" s="1" t="n">
        <v>64</v>
      </c>
      <c r="B213" s="1" t="s">
        <v>637</v>
      </c>
      <c r="C213" s="1" t="s">
        <v>638</v>
      </c>
      <c r="D213" s="196" t="n">
        <v>2568</v>
      </c>
      <c r="E213" s="196" t="s">
        <v>51</v>
      </c>
      <c r="F213" s="198" t="n">
        <v>200025889154</v>
      </c>
      <c r="G213" s="198" t="s">
        <v>641</v>
      </c>
      <c r="H213" s="172" t="n">
        <v>91178</v>
      </c>
      <c r="I213" s="170" t="n">
        <v>34</v>
      </c>
      <c r="J213" s="169" t="s">
        <v>192</v>
      </c>
      <c r="K213" s="200" t="n">
        <v>45455.6121064815</v>
      </c>
      <c r="L213" s="1" t="n">
        <v>2</v>
      </c>
      <c r="M213" s="196" t="n">
        <v>2568</v>
      </c>
      <c r="N213" s="1" t="n">
        <v>212</v>
      </c>
    </row>
    <row r="214" customFormat="false" ht="14.25" hidden="false" customHeight="false" outlineLevel="0" collapsed="false">
      <c r="A214" s="1" t="n">
        <v>65</v>
      </c>
      <c r="B214" s="1" t="s">
        <v>637</v>
      </c>
      <c r="C214" s="1" t="s">
        <v>638</v>
      </c>
      <c r="D214" s="196" t="n">
        <v>2568</v>
      </c>
      <c r="E214" s="196" t="s">
        <v>51</v>
      </c>
      <c r="F214" s="198" t="n">
        <v>200025889154</v>
      </c>
      <c r="G214" s="198" t="s">
        <v>641</v>
      </c>
      <c r="H214" s="172" t="n">
        <v>91178</v>
      </c>
      <c r="I214" s="170" t="n">
        <v>34</v>
      </c>
      <c r="J214" s="169" t="s">
        <v>192</v>
      </c>
      <c r="K214" s="200" t="n">
        <v>45455.6122685185</v>
      </c>
      <c r="L214" s="1" t="n">
        <v>0</v>
      </c>
      <c r="M214" s="196" t="n">
        <v>2568</v>
      </c>
      <c r="N214" s="1" t="n">
        <v>213</v>
      </c>
    </row>
    <row r="215" customFormat="false" ht="14.25" hidden="false" customHeight="false" outlineLevel="0" collapsed="false">
      <c r="A215" s="1" t="n">
        <v>66</v>
      </c>
      <c r="B215" s="1" t="s">
        <v>637</v>
      </c>
      <c r="C215" s="1" t="s">
        <v>638</v>
      </c>
      <c r="D215" s="196" t="n">
        <v>2568</v>
      </c>
      <c r="E215" s="196" t="s">
        <v>51</v>
      </c>
      <c r="F215" s="198" t="n">
        <v>200025889154</v>
      </c>
      <c r="G215" s="198" t="s">
        <v>641</v>
      </c>
      <c r="H215" s="172" t="n">
        <v>91178</v>
      </c>
      <c r="I215" s="170" t="n">
        <v>34</v>
      </c>
      <c r="J215" s="169" t="s">
        <v>192</v>
      </c>
      <c r="K215" s="200" t="n">
        <v>45455.612349537</v>
      </c>
      <c r="L215" s="1" t="n">
        <v>3</v>
      </c>
      <c r="M215" s="196" t="n">
        <v>2568</v>
      </c>
      <c r="N215" s="1" t="n">
        <v>214</v>
      </c>
    </row>
    <row r="216" customFormat="false" ht="14.25" hidden="false" customHeight="false" outlineLevel="0" collapsed="false">
      <c r="A216" s="1" t="n">
        <v>67</v>
      </c>
      <c r="B216" s="1" t="s">
        <v>637</v>
      </c>
      <c r="C216" s="1" t="s">
        <v>638</v>
      </c>
      <c r="D216" s="196" t="n">
        <v>2568</v>
      </c>
      <c r="E216" s="196" t="s">
        <v>51</v>
      </c>
      <c r="F216" s="198" t="n">
        <v>200025889154</v>
      </c>
      <c r="G216" s="198" t="s">
        <v>641</v>
      </c>
      <c r="H216" s="172" t="n">
        <v>91178</v>
      </c>
      <c r="I216" s="170" t="n">
        <v>34</v>
      </c>
      <c r="J216" s="169" t="s">
        <v>192</v>
      </c>
      <c r="K216" s="200" t="n">
        <v>45455.6124421296</v>
      </c>
      <c r="L216" s="1" t="n">
        <v>1</v>
      </c>
      <c r="M216" s="196" t="n">
        <v>2568</v>
      </c>
      <c r="N216" s="1" t="n">
        <v>215</v>
      </c>
    </row>
    <row r="217" customFormat="false" ht="14.25" hidden="false" customHeight="false" outlineLevel="0" collapsed="false">
      <c r="A217" s="1" t="n">
        <v>68</v>
      </c>
      <c r="B217" s="1" t="s">
        <v>637</v>
      </c>
      <c r="C217" s="1" t="s">
        <v>638</v>
      </c>
      <c r="D217" s="196" t="n">
        <v>2568</v>
      </c>
      <c r="E217" s="196" t="s">
        <v>51</v>
      </c>
      <c r="F217" s="198" t="n">
        <v>200025889154</v>
      </c>
      <c r="G217" s="198" t="s">
        <v>641</v>
      </c>
      <c r="H217" s="172" t="n">
        <v>91178</v>
      </c>
      <c r="I217" s="170" t="n">
        <v>34</v>
      </c>
      <c r="J217" s="169" t="s">
        <v>192</v>
      </c>
      <c r="K217" s="200" t="n">
        <v>45455.6127199074</v>
      </c>
      <c r="L217" s="1" t="n">
        <v>1</v>
      </c>
      <c r="M217" s="196" t="n">
        <v>2568</v>
      </c>
      <c r="N217" s="1" t="n">
        <v>216</v>
      </c>
    </row>
    <row r="218" customFormat="false" ht="14.25" hidden="false" customHeight="false" outlineLevel="0" collapsed="false">
      <c r="A218" s="1" t="n">
        <v>69</v>
      </c>
      <c r="B218" s="1" t="s">
        <v>637</v>
      </c>
      <c r="C218" s="1" t="s">
        <v>638</v>
      </c>
      <c r="D218" s="196" t="n">
        <v>2568</v>
      </c>
      <c r="E218" s="196" t="s">
        <v>51</v>
      </c>
      <c r="F218" s="198" t="n">
        <v>200025889154</v>
      </c>
      <c r="G218" s="198" t="s">
        <v>641</v>
      </c>
      <c r="H218" s="172" t="n">
        <v>91178</v>
      </c>
      <c r="I218" s="170" t="n">
        <v>34</v>
      </c>
      <c r="J218" s="169" t="s">
        <v>192</v>
      </c>
      <c r="K218" s="200" t="n">
        <v>45455.6233449074</v>
      </c>
      <c r="L218" s="1" t="n">
        <v>1</v>
      </c>
      <c r="M218" s="196" t="n">
        <v>2568</v>
      </c>
      <c r="N218" s="1" t="n">
        <v>217</v>
      </c>
    </row>
    <row r="219" customFormat="false" ht="14.25" hidden="false" customHeight="false" outlineLevel="0" collapsed="false">
      <c r="A219" s="1" t="n">
        <v>70</v>
      </c>
      <c r="B219" s="1" t="s">
        <v>637</v>
      </c>
      <c r="C219" s="1" t="s">
        <v>638</v>
      </c>
      <c r="D219" s="196" t="n">
        <v>2568</v>
      </c>
      <c r="E219" s="196" t="s">
        <v>51</v>
      </c>
      <c r="F219" s="201" t="n">
        <v>200025889154</v>
      </c>
      <c r="G219" s="198" t="s">
        <v>641</v>
      </c>
      <c r="H219" s="172" t="n">
        <v>91178</v>
      </c>
      <c r="I219" s="170" t="n">
        <v>34</v>
      </c>
      <c r="J219" s="169" t="s">
        <v>192</v>
      </c>
      <c r="K219" s="200" t="n">
        <v>45455.6233680556</v>
      </c>
      <c r="L219" s="1" t="n">
        <v>46</v>
      </c>
      <c r="M219" s="196" t="n">
        <v>2568</v>
      </c>
      <c r="N219" s="1" t="n">
        <v>218</v>
      </c>
    </row>
    <row r="220" customFormat="false" ht="14.25" hidden="false" customHeight="false" outlineLevel="0" collapsed="false">
      <c r="A220" s="1" t="n">
        <v>71</v>
      </c>
      <c r="B220" s="1" t="s">
        <v>637</v>
      </c>
      <c r="C220" s="1" t="s">
        <v>638</v>
      </c>
      <c r="D220" s="196" t="n">
        <v>2568</v>
      </c>
      <c r="E220" s="196" t="s">
        <v>51</v>
      </c>
      <c r="F220" s="201" t="n">
        <v>200025889770</v>
      </c>
      <c r="G220" s="198" t="s">
        <v>642</v>
      </c>
      <c r="H220" s="163" t="s">
        <v>501</v>
      </c>
      <c r="I220" s="161" t="n">
        <v>77</v>
      </c>
      <c r="J220" s="156" t="s">
        <v>192</v>
      </c>
      <c r="K220" s="200" t="n">
        <v>45457.0119675926</v>
      </c>
      <c r="L220" s="1" t="n">
        <v>2</v>
      </c>
      <c r="M220" s="196" t="n">
        <v>2568</v>
      </c>
      <c r="N220" s="1" t="n">
        <v>219</v>
      </c>
    </row>
    <row r="221" customFormat="false" ht="14.25" hidden="false" customHeight="false" outlineLevel="0" collapsed="false">
      <c r="A221" s="1" t="n">
        <v>72</v>
      </c>
      <c r="B221" s="1" t="s">
        <v>637</v>
      </c>
      <c r="C221" s="1" t="s">
        <v>638</v>
      </c>
      <c r="D221" s="196" t="n">
        <v>2568</v>
      </c>
      <c r="E221" s="196" t="s">
        <v>51</v>
      </c>
      <c r="F221" s="201" t="n">
        <v>200025889770</v>
      </c>
      <c r="G221" s="198" t="s">
        <v>642</v>
      </c>
      <c r="H221" s="163" t="s">
        <v>501</v>
      </c>
      <c r="I221" s="161" t="n">
        <v>77</v>
      </c>
      <c r="J221" s="156" t="s">
        <v>192</v>
      </c>
      <c r="K221" s="200" t="n">
        <v>45457.0119907407</v>
      </c>
      <c r="L221" s="1" t="n">
        <v>1</v>
      </c>
      <c r="M221" s="196" t="n">
        <v>2568</v>
      </c>
      <c r="N221" s="1" t="n">
        <v>220</v>
      </c>
    </row>
    <row r="222" customFormat="false" ht="14.25" hidden="false" customHeight="false" outlineLevel="0" collapsed="false">
      <c r="A222" s="1" t="n">
        <v>73</v>
      </c>
      <c r="B222" s="1" t="s">
        <v>637</v>
      </c>
      <c r="C222" s="1" t="s">
        <v>638</v>
      </c>
      <c r="D222" s="196" t="n">
        <v>2568</v>
      </c>
      <c r="E222" s="196" t="s">
        <v>51</v>
      </c>
      <c r="F222" s="201" t="n">
        <v>200025889770</v>
      </c>
      <c r="G222" s="198" t="s">
        <v>642</v>
      </c>
      <c r="H222" s="163" t="s">
        <v>501</v>
      </c>
      <c r="I222" s="161" t="n">
        <v>77</v>
      </c>
      <c r="J222" s="156" t="s">
        <v>192</v>
      </c>
      <c r="K222" s="200" t="n">
        <v>45457.0201157407</v>
      </c>
      <c r="L222" s="1" t="n">
        <v>2</v>
      </c>
      <c r="M222" s="196" t="n">
        <v>2568</v>
      </c>
      <c r="N222" s="1" t="n">
        <v>221</v>
      </c>
    </row>
    <row r="223" customFormat="false" ht="14.25" hidden="false" customHeight="false" outlineLevel="0" collapsed="false">
      <c r="A223" s="1" t="n">
        <v>74</v>
      </c>
      <c r="B223" s="1" t="s">
        <v>637</v>
      </c>
      <c r="C223" s="1" t="s">
        <v>638</v>
      </c>
      <c r="D223" s="196" t="n">
        <v>2568</v>
      </c>
      <c r="E223" s="196" t="s">
        <v>51</v>
      </c>
      <c r="F223" s="201" t="n">
        <v>200025889770</v>
      </c>
      <c r="G223" s="198" t="s">
        <v>642</v>
      </c>
      <c r="H223" s="163" t="s">
        <v>501</v>
      </c>
      <c r="I223" s="161" t="n">
        <v>77</v>
      </c>
      <c r="J223" s="156" t="s">
        <v>192</v>
      </c>
      <c r="K223" s="200" t="n">
        <v>45457.0443865741</v>
      </c>
      <c r="L223" s="1" t="n">
        <v>2</v>
      </c>
      <c r="M223" s="196" t="n">
        <v>2568</v>
      </c>
      <c r="N223" s="1" t="n">
        <v>222</v>
      </c>
    </row>
    <row r="224" customFormat="false" ht="14.25" hidden="false" customHeight="false" outlineLevel="0" collapsed="false">
      <c r="A224" s="1" t="n">
        <v>75</v>
      </c>
      <c r="B224" s="1" t="s">
        <v>637</v>
      </c>
      <c r="C224" s="1" t="s">
        <v>638</v>
      </c>
      <c r="D224" s="196" t="n">
        <v>2568</v>
      </c>
      <c r="E224" s="196" t="s">
        <v>51</v>
      </c>
      <c r="F224" s="201" t="n">
        <v>200025889770</v>
      </c>
      <c r="G224" s="198" t="s">
        <v>642</v>
      </c>
      <c r="H224" s="163" t="s">
        <v>501</v>
      </c>
      <c r="I224" s="161" t="n">
        <v>77</v>
      </c>
      <c r="J224" s="156" t="s">
        <v>192</v>
      </c>
      <c r="K224" s="200" t="n">
        <v>45457.0446990741</v>
      </c>
      <c r="L224" s="1" t="n">
        <v>3</v>
      </c>
      <c r="M224" s="196" t="n">
        <v>2568</v>
      </c>
      <c r="N224" s="1" t="n">
        <v>223</v>
      </c>
    </row>
    <row r="225" customFormat="false" ht="14.25" hidden="false" customHeight="false" outlineLevel="0" collapsed="false">
      <c r="A225" s="1" t="n">
        <v>76</v>
      </c>
      <c r="B225" s="1" t="s">
        <v>637</v>
      </c>
      <c r="C225" s="1" t="s">
        <v>638</v>
      </c>
      <c r="D225" s="196" t="n">
        <v>2568</v>
      </c>
      <c r="E225" s="196" t="s">
        <v>51</v>
      </c>
      <c r="F225" s="201" t="n">
        <v>200025889770</v>
      </c>
      <c r="G225" s="198" t="s">
        <v>642</v>
      </c>
      <c r="H225" s="163" t="s">
        <v>501</v>
      </c>
      <c r="I225" s="161" t="n">
        <v>77</v>
      </c>
      <c r="J225" s="156" t="s">
        <v>192</v>
      </c>
      <c r="K225" s="200" t="n">
        <v>45457.0582638889</v>
      </c>
      <c r="L225" s="1" t="n">
        <v>1</v>
      </c>
      <c r="M225" s="196" t="n">
        <v>2568</v>
      </c>
      <c r="N225" s="1" t="n">
        <v>224</v>
      </c>
    </row>
    <row r="226" customFormat="false" ht="14.25" hidden="false" customHeight="false" outlineLevel="0" collapsed="false">
      <c r="A226" s="1" t="n">
        <v>77</v>
      </c>
      <c r="B226" s="1" t="s">
        <v>637</v>
      </c>
      <c r="C226" s="1" t="s">
        <v>638</v>
      </c>
      <c r="D226" s="196" t="n">
        <v>2568</v>
      </c>
      <c r="E226" s="196" t="s">
        <v>51</v>
      </c>
      <c r="F226" s="201" t="n">
        <v>200025889770</v>
      </c>
      <c r="G226" s="198" t="s">
        <v>642</v>
      </c>
      <c r="H226" s="163" t="s">
        <v>501</v>
      </c>
      <c r="I226" s="161" t="n">
        <v>77</v>
      </c>
      <c r="J226" s="156" t="s">
        <v>192</v>
      </c>
      <c r="K226" s="200" t="n">
        <v>45457.058275463</v>
      </c>
      <c r="L226" s="1" t="n">
        <v>0</v>
      </c>
      <c r="M226" s="196" t="n">
        <v>2568</v>
      </c>
      <c r="N226" s="1" t="n">
        <v>225</v>
      </c>
    </row>
    <row r="227" customFormat="false" ht="14.25" hidden="false" customHeight="false" outlineLevel="0" collapsed="false">
      <c r="A227" s="1" t="n">
        <v>78</v>
      </c>
      <c r="B227" s="1" t="s">
        <v>637</v>
      </c>
      <c r="C227" s="1" t="s">
        <v>638</v>
      </c>
      <c r="D227" s="196" t="n">
        <v>2568</v>
      </c>
      <c r="E227" s="196" t="s">
        <v>51</v>
      </c>
      <c r="F227" s="201" t="n">
        <v>200025889770</v>
      </c>
      <c r="G227" s="198" t="s">
        <v>642</v>
      </c>
      <c r="H227" s="163" t="s">
        <v>501</v>
      </c>
      <c r="I227" s="161" t="n">
        <v>77</v>
      </c>
      <c r="J227" s="156" t="s">
        <v>192</v>
      </c>
      <c r="K227" s="200" t="n">
        <v>45457.058287037</v>
      </c>
      <c r="L227" s="1" t="n">
        <v>0</v>
      </c>
      <c r="M227" s="196" t="n">
        <v>2568</v>
      </c>
      <c r="N227" s="1" t="n">
        <v>226</v>
      </c>
    </row>
    <row r="228" customFormat="false" ht="14.25" hidden="false" customHeight="false" outlineLevel="0" collapsed="false">
      <c r="A228" s="1" t="n">
        <v>79</v>
      </c>
      <c r="B228" s="1" t="s">
        <v>637</v>
      </c>
      <c r="C228" s="1" t="s">
        <v>638</v>
      </c>
      <c r="D228" s="196" t="n">
        <v>2568</v>
      </c>
      <c r="E228" s="196" t="s">
        <v>51</v>
      </c>
      <c r="F228" s="201" t="n">
        <v>200025889770</v>
      </c>
      <c r="G228" s="198" t="s">
        <v>642</v>
      </c>
      <c r="H228" s="163" t="s">
        <v>501</v>
      </c>
      <c r="I228" s="161" t="n">
        <v>77</v>
      </c>
      <c r="J228" s="156" t="s">
        <v>192</v>
      </c>
      <c r="K228" s="200" t="n">
        <v>45457.0907175926</v>
      </c>
      <c r="L228" s="1" t="n">
        <v>1</v>
      </c>
      <c r="M228" s="196" t="n">
        <v>2568</v>
      </c>
      <c r="N228" s="1" t="n">
        <v>227</v>
      </c>
    </row>
    <row r="229" customFormat="false" ht="14.25" hidden="false" customHeight="false" outlineLevel="0" collapsed="false">
      <c r="A229" s="1" t="n">
        <v>80</v>
      </c>
      <c r="B229" s="1" t="s">
        <v>637</v>
      </c>
      <c r="C229" s="1" t="s">
        <v>638</v>
      </c>
      <c r="D229" s="196" t="n">
        <v>2568</v>
      </c>
      <c r="E229" s="196" t="s">
        <v>51</v>
      </c>
      <c r="F229" s="201" t="n">
        <v>200025889770</v>
      </c>
      <c r="G229" s="198" t="s">
        <v>642</v>
      </c>
      <c r="H229" s="163" t="s">
        <v>501</v>
      </c>
      <c r="I229" s="161" t="n">
        <v>77</v>
      </c>
      <c r="J229" s="156" t="s">
        <v>192</v>
      </c>
      <c r="K229" s="200" t="n">
        <v>45457.0912268519</v>
      </c>
      <c r="L229" s="1" t="n">
        <v>2</v>
      </c>
      <c r="M229" s="196" t="n">
        <v>2568</v>
      </c>
      <c r="N229" s="1" t="n">
        <v>228</v>
      </c>
    </row>
    <row r="230" customFormat="false" ht="14.25" hidden="false" customHeight="false" outlineLevel="0" collapsed="false">
      <c r="A230" s="1" t="n">
        <v>81</v>
      </c>
      <c r="B230" s="1" t="s">
        <v>637</v>
      </c>
      <c r="C230" s="1" t="s">
        <v>638</v>
      </c>
      <c r="D230" s="196" t="n">
        <v>2568</v>
      </c>
      <c r="E230" s="196" t="s">
        <v>51</v>
      </c>
      <c r="F230" s="201" t="n">
        <v>200025889770</v>
      </c>
      <c r="G230" s="198" t="s">
        <v>642</v>
      </c>
      <c r="H230" s="163" t="s">
        <v>501</v>
      </c>
      <c r="I230" s="161" t="n">
        <v>77</v>
      </c>
      <c r="J230" s="156" t="s">
        <v>192</v>
      </c>
      <c r="K230" s="200" t="n">
        <v>45457.1193865741</v>
      </c>
      <c r="L230" s="1" t="n">
        <v>1</v>
      </c>
      <c r="M230" s="196" t="n">
        <v>2568</v>
      </c>
      <c r="N230" s="1" t="n">
        <v>229</v>
      </c>
    </row>
    <row r="231" customFormat="false" ht="14.25" hidden="false" customHeight="false" outlineLevel="0" collapsed="false">
      <c r="A231" s="1" t="n">
        <v>82</v>
      </c>
      <c r="B231" s="1" t="s">
        <v>637</v>
      </c>
      <c r="C231" s="1" t="s">
        <v>638</v>
      </c>
      <c r="D231" s="196" t="n">
        <v>2568</v>
      </c>
      <c r="E231" s="196" t="s">
        <v>51</v>
      </c>
      <c r="F231" s="201" t="n">
        <v>200025889770</v>
      </c>
      <c r="G231" s="198" t="s">
        <v>642</v>
      </c>
      <c r="H231" s="163" t="s">
        <v>501</v>
      </c>
      <c r="I231" s="161" t="n">
        <v>77</v>
      </c>
      <c r="J231" s="156" t="s">
        <v>192</v>
      </c>
      <c r="K231" s="200" t="n">
        <v>45457.120162037</v>
      </c>
      <c r="L231" s="1" t="n">
        <v>1</v>
      </c>
      <c r="M231" s="196" t="n">
        <v>2568</v>
      </c>
      <c r="N231" s="1" t="n">
        <v>230</v>
      </c>
    </row>
    <row r="232" customFormat="false" ht="14.25" hidden="false" customHeight="false" outlineLevel="0" collapsed="false">
      <c r="A232" s="1" t="n">
        <v>83</v>
      </c>
      <c r="B232" s="1" t="s">
        <v>637</v>
      </c>
      <c r="C232" s="1" t="s">
        <v>638</v>
      </c>
      <c r="D232" s="196" t="n">
        <v>2568</v>
      </c>
      <c r="E232" s="196" t="s">
        <v>51</v>
      </c>
      <c r="F232" s="201" t="n">
        <v>200025889770</v>
      </c>
      <c r="G232" s="198" t="s">
        <v>642</v>
      </c>
      <c r="H232" s="163" t="s">
        <v>501</v>
      </c>
      <c r="I232" s="161" t="n">
        <v>77</v>
      </c>
      <c r="J232" s="156" t="s">
        <v>192</v>
      </c>
      <c r="K232" s="200" t="n">
        <v>45457.1204976852</v>
      </c>
      <c r="L232" s="1" t="n">
        <v>3</v>
      </c>
      <c r="M232" s="196" t="n">
        <v>2568</v>
      </c>
      <c r="N232" s="1" t="n">
        <v>231</v>
      </c>
    </row>
    <row r="233" customFormat="false" ht="14.25" hidden="false" customHeight="false" outlineLevel="0" collapsed="false">
      <c r="A233" s="1" t="n">
        <v>84</v>
      </c>
      <c r="B233" s="1" t="s">
        <v>637</v>
      </c>
      <c r="C233" s="1" t="s">
        <v>638</v>
      </c>
      <c r="D233" s="196" t="n">
        <v>2568</v>
      </c>
      <c r="E233" s="196" t="s">
        <v>51</v>
      </c>
      <c r="F233" s="201" t="n">
        <v>200025889770</v>
      </c>
      <c r="G233" s="198" t="s">
        <v>642</v>
      </c>
      <c r="H233" s="163" t="s">
        <v>501</v>
      </c>
      <c r="I233" s="161" t="n">
        <v>77</v>
      </c>
      <c r="J233" s="156" t="s">
        <v>192</v>
      </c>
      <c r="K233" s="200" t="n">
        <v>45457.1508796296</v>
      </c>
      <c r="L233" s="1" t="n">
        <v>1</v>
      </c>
      <c r="M233" s="196" t="n">
        <v>2568</v>
      </c>
      <c r="N233" s="1" t="n">
        <v>232</v>
      </c>
    </row>
    <row r="234" customFormat="false" ht="14.25" hidden="false" customHeight="false" outlineLevel="0" collapsed="false">
      <c r="A234" s="1" t="n">
        <v>85</v>
      </c>
      <c r="B234" s="1" t="s">
        <v>637</v>
      </c>
      <c r="C234" s="1" t="s">
        <v>638</v>
      </c>
      <c r="D234" s="196" t="n">
        <v>2568</v>
      </c>
      <c r="E234" s="196" t="s">
        <v>51</v>
      </c>
      <c r="F234" s="201" t="n">
        <v>200025889770</v>
      </c>
      <c r="G234" s="198" t="s">
        <v>642</v>
      </c>
      <c r="H234" s="163" t="s">
        <v>501</v>
      </c>
      <c r="I234" s="161" t="n">
        <v>77</v>
      </c>
      <c r="J234" s="156" t="s">
        <v>192</v>
      </c>
      <c r="K234" s="200" t="n">
        <v>45457.1836342593</v>
      </c>
      <c r="L234" s="1" t="n">
        <v>1</v>
      </c>
      <c r="M234" s="196" t="n">
        <v>2568</v>
      </c>
      <c r="N234" s="1" t="n">
        <v>233</v>
      </c>
    </row>
    <row r="235" customFormat="false" ht="14.25" hidden="false" customHeight="false" outlineLevel="0" collapsed="false">
      <c r="A235" s="1" t="n">
        <v>86</v>
      </c>
      <c r="B235" s="1" t="s">
        <v>637</v>
      </c>
      <c r="C235" s="1" t="s">
        <v>638</v>
      </c>
      <c r="D235" s="196" t="n">
        <v>2568</v>
      </c>
      <c r="E235" s="196" t="s">
        <v>51</v>
      </c>
      <c r="F235" s="201" t="n">
        <v>200025889770</v>
      </c>
      <c r="G235" s="198" t="s">
        <v>642</v>
      </c>
      <c r="H235" s="163" t="s">
        <v>501</v>
      </c>
      <c r="I235" s="161" t="n">
        <v>77</v>
      </c>
      <c r="J235" s="156" t="s">
        <v>192</v>
      </c>
      <c r="K235" s="200" t="n">
        <v>45457.1836574074</v>
      </c>
      <c r="L235" s="1" t="n">
        <v>0</v>
      </c>
      <c r="M235" s="196" t="n">
        <v>2568</v>
      </c>
      <c r="N235" s="1" t="n">
        <v>234</v>
      </c>
    </row>
    <row r="236" customFormat="false" ht="14.25" hidden="false" customHeight="false" outlineLevel="0" collapsed="false">
      <c r="A236" s="1" t="n">
        <v>87</v>
      </c>
      <c r="B236" s="1" t="s">
        <v>637</v>
      </c>
      <c r="C236" s="1" t="s">
        <v>638</v>
      </c>
      <c r="D236" s="196" t="n">
        <v>2568</v>
      </c>
      <c r="E236" s="196" t="s">
        <v>51</v>
      </c>
      <c r="F236" s="201" t="n">
        <v>200025889770</v>
      </c>
      <c r="G236" s="198" t="s">
        <v>642</v>
      </c>
      <c r="H236" s="163" t="s">
        <v>501</v>
      </c>
      <c r="I236" s="161" t="n">
        <v>77</v>
      </c>
      <c r="J236" s="156" t="s">
        <v>192</v>
      </c>
      <c r="K236" s="200" t="n">
        <v>45457.2302314815</v>
      </c>
      <c r="L236" s="1" t="n">
        <v>4</v>
      </c>
      <c r="M236" s="196" t="n">
        <v>2568</v>
      </c>
      <c r="N236" s="1" t="n">
        <v>235</v>
      </c>
    </row>
    <row r="237" customFormat="false" ht="14.25" hidden="false" customHeight="false" outlineLevel="0" collapsed="false">
      <c r="A237" s="1" t="n">
        <v>88</v>
      </c>
      <c r="B237" s="1" t="s">
        <v>637</v>
      </c>
      <c r="C237" s="1" t="s">
        <v>638</v>
      </c>
      <c r="D237" s="196" t="n">
        <v>2568</v>
      </c>
      <c r="E237" s="196" t="s">
        <v>51</v>
      </c>
      <c r="F237" s="201" t="n">
        <v>200025889770</v>
      </c>
      <c r="G237" s="198" t="s">
        <v>642</v>
      </c>
      <c r="H237" s="163" t="s">
        <v>501</v>
      </c>
      <c r="I237" s="161" t="n">
        <v>77</v>
      </c>
      <c r="J237" s="156" t="s">
        <v>192</v>
      </c>
      <c r="K237" s="200" t="n">
        <v>45457.2439236111</v>
      </c>
      <c r="L237" s="1" t="n">
        <v>1</v>
      </c>
      <c r="M237" s="196" t="n">
        <v>2568</v>
      </c>
      <c r="N237" s="1" t="n">
        <v>236</v>
      </c>
    </row>
    <row r="238" customFormat="false" ht="14.25" hidden="false" customHeight="false" outlineLevel="0" collapsed="false">
      <c r="A238" s="1" t="n">
        <v>89</v>
      </c>
      <c r="B238" s="1" t="s">
        <v>637</v>
      </c>
      <c r="C238" s="1" t="s">
        <v>638</v>
      </c>
      <c r="D238" s="196" t="n">
        <v>2568</v>
      </c>
      <c r="E238" s="196" t="s">
        <v>51</v>
      </c>
      <c r="F238" s="201" t="n">
        <v>200025889770</v>
      </c>
      <c r="G238" s="198" t="s">
        <v>642</v>
      </c>
      <c r="H238" s="163" t="s">
        <v>501</v>
      </c>
      <c r="I238" s="161" t="n">
        <v>77</v>
      </c>
      <c r="J238" s="156" t="s">
        <v>192</v>
      </c>
      <c r="K238" s="200" t="n">
        <v>45457.2899537037</v>
      </c>
      <c r="L238" s="1" t="n">
        <v>1</v>
      </c>
      <c r="M238" s="196" t="n">
        <v>2568</v>
      </c>
      <c r="N238" s="1" t="n">
        <v>237</v>
      </c>
    </row>
    <row r="239" customFormat="false" ht="14.25" hidden="false" customHeight="false" outlineLevel="0" collapsed="false">
      <c r="A239" s="1" t="n">
        <v>90</v>
      </c>
      <c r="B239" s="1" t="s">
        <v>637</v>
      </c>
      <c r="C239" s="1" t="s">
        <v>638</v>
      </c>
      <c r="D239" s="196" t="n">
        <v>2568</v>
      </c>
      <c r="E239" s="196" t="s">
        <v>51</v>
      </c>
      <c r="F239" s="201" t="n">
        <v>200025889770</v>
      </c>
      <c r="G239" s="198" t="s">
        <v>642</v>
      </c>
      <c r="H239" s="163" t="s">
        <v>501</v>
      </c>
      <c r="I239" s="161" t="n">
        <v>77</v>
      </c>
      <c r="J239" s="156" t="s">
        <v>192</v>
      </c>
      <c r="K239" s="200" t="n">
        <v>45457.2899652778</v>
      </c>
      <c r="L239" s="1" t="n">
        <v>1</v>
      </c>
      <c r="M239" s="196" t="n">
        <v>2568</v>
      </c>
      <c r="N239" s="1" t="n">
        <v>238</v>
      </c>
    </row>
    <row r="240" customFormat="false" ht="14.25" hidden="false" customHeight="false" outlineLevel="0" collapsed="false">
      <c r="A240" s="1" t="n">
        <v>88</v>
      </c>
      <c r="B240" s="1" t="s">
        <v>643</v>
      </c>
      <c r="C240" s="1" t="s">
        <v>644</v>
      </c>
      <c r="D240" s="196" t="n">
        <v>2568</v>
      </c>
      <c r="E240" s="196" t="s">
        <v>51</v>
      </c>
      <c r="F240" s="201" t="n">
        <v>200025888809</v>
      </c>
      <c r="G240" s="198" t="s">
        <v>645</v>
      </c>
      <c r="H240" s="163" t="s">
        <v>186</v>
      </c>
      <c r="I240" s="161" t="n">
        <v>1</v>
      </c>
      <c r="J240" s="156" t="s">
        <v>185</v>
      </c>
      <c r="K240" s="200" t="n">
        <v>45461.4838078704</v>
      </c>
      <c r="L240" s="1" t="n">
        <v>1</v>
      </c>
      <c r="M240" s="196" t="n">
        <v>2568</v>
      </c>
      <c r="N240" s="1" t="n">
        <v>239</v>
      </c>
    </row>
    <row r="241" customFormat="false" ht="14.25" hidden="false" customHeight="false" outlineLevel="0" collapsed="false">
      <c r="A241" s="1" t="n">
        <v>89</v>
      </c>
      <c r="B241" s="1" t="s">
        <v>643</v>
      </c>
      <c r="C241" s="1" t="s">
        <v>644</v>
      </c>
      <c r="D241" s="196" t="n">
        <v>2568</v>
      </c>
      <c r="E241" s="196" t="s">
        <v>51</v>
      </c>
      <c r="F241" s="201" t="n">
        <v>200025888293</v>
      </c>
      <c r="G241" s="198" t="s">
        <v>618</v>
      </c>
      <c r="H241" s="163" t="s">
        <v>306</v>
      </c>
      <c r="I241" s="161" t="n">
        <v>96</v>
      </c>
      <c r="J241" s="156" t="s">
        <v>185</v>
      </c>
      <c r="K241" s="200" t="n">
        <v>45461.7305787037</v>
      </c>
      <c r="L241" s="1" t="n">
        <v>1</v>
      </c>
      <c r="M241" s="196" t="n">
        <v>2568</v>
      </c>
      <c r="N241" s="1" t="n">
        <v>240</v>
      </c>
    </row>
    <row r="242" customFormat="false" ht="14.25" hidden="false" customHeight="false" outlineLevel="0" collapsed="false">
      <c r="A242" s="1" t="n">
        <v>90</v>
      </c>
      <c r="B242" s="1" t="s">
        <v>643</v>
      </c>
      <c r="C242" s="1" t="s">
        <v>644</v>
      </c>
      <c r="D242" s="196" t="n">
        <v>2568</v>
      </c>
      <c r="E242" s="196" t="s">
        <v>51</v>
      </c>
      <c r="F242" s="201" t="n">
        <v>200025888716</v>
      </c>
      <c r="G242" s="198" t="s">
        <v>646</v>
      </c>
      <c r="H242" s="163" t="s">
        <v>336</v>
      </c>
      <c r="I242" s="161" t="n">
        <v>64</v>
      </c>
      <c r="J242" s="156" t="s">
        <v>185</v>
      </c>
      <c r="K242" s="200" t="n">
        <v>45461.7336342593</v>
      </c>
      <c r="L242" s="1" t="n">
        <v>1</v>
      </c>
      <c r="M242" s="196" t="n">
        <v>2568</v>
      </c>
      <c r="N242" s="1" t="n">
        <v>241</v>
      </c>
    </row>
    <row r="243" customFormat="false" ht="14.25" hidden="false" customHeight="false" outlineLevel="0" collapsed="false">
      <c r="A243" s="1" t="n">
        <v>18</v>
      </c>
      <c r="B243" s="1" t="s">
        <v>565</v>
      </c>
      <c r="C243" s="1" t="s">
        <v>566</v>
      </c>
      <c r="D243" s="196" t="n">
        <v>2644</v>
      </c>
      <c r="E243" s="196" t="s">
        <v>51</v>
      </c>
      <c r="F243" s="198" t="s">
        <v>647</v>
      </c>
      <c r="G243" s="198" t="s">
        <v>648</v>
      </c>
      <c r="H243" s="163" t="s">
        <v>294</v>
      </c>
      <c r="I243" s="161" t="n">
        <v>36</v>
      </c>
      <c r="J243" s="156" t="s">
        <v>185</v>
      </c>
      <c r="K243" s="199" t="n">
        <v>45434.2611111111</v>
      </c>
      <c r="L243" s="1" t="n">
        <v>2</v>
      </c>
      <c r="M243" s="196" t="n">
        <v>2644</v>
      </c>
      <c r="N243" s="1" t="n">
        <v>1</v>
      </c>
    </row>
    <row r="244" customFormat="false" ht="14.25" hidden="false" customHeight="false" outlineLevel="0" collapsed="false">
      <c r="A244" s="1" t="n">
        <v>19</v>
      </c>
      <c r="B244" s="1" t="s">
        <v>565</v>
      </c>
      <c r="C244" s="1" t="s">
        <v>566</v>
      </c>
      <c r="D244" s="196" t="n">
        <v>2644</v>
      </c>
      <c r="E244" s="196" t="s">
        <v>51</v>
      </c>
      <c r="F244" s="198" t="s">
        <v>647</v>
      </c>
      <c r="G244" s="198" t="s">
        <v>648</v>
      </c>
      <c r="H244" s="163" t="s">
        <v>294</v>
      </c>
      <c r="I244" s="161" t="n">
        <v>36</v>
      </c>
      <c r="J244" s="156" t="s">
        <v>185</v>
      </c>
      <c r="K244" s="199" t="n">
        <v>45434.2613657407</v>
      </c>
      <c r="L244" s="1" t="n">
        <v>1</v>
      </c>
      <c r="M244" s="196" t="n">
        <v>2644</v>
      </c>
      <c r="N244" s="1" t="n">
        <v>2</v>
      </c>
    </row>
    <row r="245" customFormat="false" ht="14.25" hidden="false" customHeight="false" outlineLevel="0" collapsed="false">
      <c r="A245" s="1" t="n">
        <v>20</v>
      </c>
      <c r="B245" s="1" t="s">
        <v>565</v>
      </c>
      <c r="C245" s="1" t="s">
        <v>566</v>
      </c>
      <c r="D245" s="196" t="n">
        <v>2644</v>
      </c>
      <c r="E245" s="196" t="s">
        <v>51</v>
      </c>
      <c r="F245" s="198" t="s">
        <v>647</v>
      </c>
      <c r="G245" s="198" t="s">
        <v>648</v>
      </c>
      <c r="H245" s="163" t="s">
        <v>294</v>
      </c>
      <c r="I245" s="161" t="n">
        <v>36</v>
      </c>
      <c r="J245" s="156" t="s">
        <v>185</v>
      </c>
      <c r="K245" s="199" t="n">
        <v>45434.2638657407</v>
      </c>
      <c r="L245" s="1" t="n">
        <v>1</v>
      </c>
      <c r="M245" s="196" t="n">
        <v>2644</v>
      </c>
      <c r="N245" s="1" t="n">
        <v>3</v>
      </c>
    </row>
    <row r="246" customFormat="false" ht="14.25" hidden="false" customHeight="false" outlineLevel="0" collapsed="false">
      <c r="A246" s="1" t="n">
        <v>21</v>
      </c>
      <c r="B246" s="1" t="s">
        <v>565</v>
      </c>
      <c r="C246" s="1" t="s">
        <v>566</v>
      </c>
      <c r="D246" s="196" t="n">
        <v>2644</v>
      </c>
      <c r="E246" s="196" t="s">
        <v>51</v>
      </c>
      <c r="F246" s="198" t="s">
        <v>647</v>
      </c>
      <c r="G246" s="198" t="s">
        <v>648</v>
      </c>
      <c r="H246" s="163" t="s">
        <v>294</v>
      </c>
      <c r="I246" s="161" t="n">
        <v>36</v>
      </c>
      <c r="J246" s="156" t="s">
        <v>185</v>
      </c>
      <c r="K246" s="199" t="n">
        <v>45434.268599537</v>
      </c>
      <c r="L246" s="1" t="n">
        <v>0</v>
      </c>
      <c r="M246" s="196" t="n">
        <v>2644</v>
      </c>
      <c r="N246" s="1" t="n">
        <v>4</v>
      </c>
    </row>
    <row r="247" customFormat="false" ht="14.25" hidden="false" customHeight="false" outlineLevel="0" collapsed="false">
      <c r="A247" s="1" t="n">
        <v>22</v>
      </c>
      <c r="B247" s="1" t="s">
        <v>565</v>
      </c>
      <c r="C247" s="1" t="s">
        <v>566</v>
      </c>
      <c r="D247" s="196" t="n">
        <v>2644</v>
      </c>
      <c r="E247" s="196" t="s">
        <v>51</v>
      </c>
      <c r="F247" s="198" t="s">
        <v>647</v>
      </c>
      <c r="G247" s="198" t="s">
        <v>648</v>
      </c>
      <c r="H247" s="163" t="s">
        <v>294</v>
      </c>
      <c r="I247" s="161" t="n">
        <v>36</v>
      </c>
      <c r="J247" s="156" t="s">
        <v>185</v>
      </c>
      <c r="K247" s="199" t="n">
        <v>45434.2686111111</v>
      </c>
      <c r="L247" s="10" t="n">
        <v>91</v>
      </c>
      <c r="M247" s="196" t="n">
        <v>2644</v>
      </c>
      <c r="N247" s="1" t="n">
        <v>5</v>
      </c>
    </row>
    <row r="248" customFormat="false" ht="14.25" hidden="false" customHeight="false" outlineLevel="0" collapsed="false">
      <c r="A248" s="1" t="n">
        <v>23</v>
      </c>
      <c r="B248" s="1" t="s">
        <v>565</v>
      </c>
      <c r="C248" s="1" t="s">
        <v>566</v>
      </c>
      <c r="D248" s="196" t="n">
        <v>2644</v>
      </c>
      <c r="E248" s="196" t="s">
        <v>51</v>
      </c>
      <c r="F248" s="198" t="s">
        <v>649</v>
      </c>
      <c r="G248" s="198" t="s">
        <v>650</v>
      </c>
      <c r="H248" s="163" t="s">
        <v>212</v>
      </c>
      <c r="I248" s="161" t="n">
        <v>5</v>
      </c>
      <c r="J248" s="156" t="s">
        <v>185</v>
      </c>
      <c r="K248" s="199" t="n">
        <v>45434.3279282407</v>
      </c>
      <c r="L248" s="1" t="n">
        <v>1</v>
      </c>
      <c r="M248" s="196" t="n">
        <v>2644</v>
      </c>
      <c r="N248" s="1" t="n">
        <v>6</v>
      </c>
    </row>
    <row r="249" customFormat="false" ht="14.25" hidden="false" customHeight="false" outlineLevel="0" collapsed="false">
      <c r="A249" s="1" t="n">
        <v>24</v>
      </c>
      <c r="B249" s="1" t="s">
        <v>565</v>
      </c>
      <c r="C249" s="1" t="s">
        <v>566</v>
      </c>
      <c r="D249" s="196" t="n">
        <v>2644</v>
      </c>
      <c r="E249" s="196" t="s">
        <v>51</v>
      </c>
      <c r="F249" s="198" t="s">
        <v>649</v>
      </c>
      <c r="G249" s="198" t="s">
        <v>650</v>
      </c>
      <c r="H249" s="163" t="s">
        <v>212</v>
      </c>
      <c r="I249" s="161" t="n">
        <v>5</v>
      </c>
      <c r="J249" s="156" t="s">
        <v>185</v>
      </c>
      <c r="K249" s="199" t="n">
        <v>45434.3284375</v>
      </c>
      <c r="L249" s="1" t="n">
        <v>1</v>
      </c>
      <c r="M249" s="196" t="n">
        <v>2644</v>
      </c>
      <c r="N249" s="1" t="n">
        <v>7</v>
      </c>
    </row>
    <row r="250" customFormat="false" ht="14.25" hidden="false" customHeight="false" outlineLevel="0" collapsed="false">
      <c r="A250" s="1" t="n">
        <v>25</v>
      </c>
      <c r="B250" s="1" t="s">
        <v>565</v>
      </c>
      <c r="C250" s="1" t="s">
        <v>566</v>
      </c>
      <c r="D250" s="196" t="n">
        <v>2644</v>
      </c>
      <c r="E250" s="196" t="s">
        <v>51</v>
      </c>
      <c r="F250" s="198" t="s">
        <v>649</v>
      </c>
      <c r="G250" s="198" t="s">
        <v>650</v>
      </c>
      <c r="H250" s="163" t="s">
        <v>212</v>
      </c>
      <c r="I250" s="161" t="n">
        <v>5</v>
      </c>
      <c r="J250" s="156" t="s">
        <v>185</v>
      </c>
      <c r="K250" s="199" t="n">
        <v>45434.3295601852</v>
      </c>
      <c r="L250" s="1" t="n">
        <v>1</v>
      </c>
      <c r="M250" s="196" t="n">
        <v>2644</v>
      </c>
      <c r="N250" s="1" t="n">
        <v>8</v>
      </c>
    </row>
    <row r="251" customFormat="false" ht="14.25" hidden="false" customHeight="false" outlineLevel="0" collapsed="false">
      <c r="A251" s="1" t="n">
        <v>26</v>
      </c>
      <c r="B251" s="1" t="s">
        <v>565</v>
      </c>
      <c r="C251" s="1" t="s">
        <v>566</v>
      </c>
      <c r="D251" s="196" t="n">
        <v>2644</v>
      </c>
      <c r="E251" s="196" t="s">
        <v>51</v>
      </c>
      <c r="F251" s="198" t="s">
        <v>649</v>
      </c>
      <c r="G251" s="198" t="s">
        <v>650</v>
      </c>
      <c r="H251" s="163" t="s">
        <v>212</v>
      </c>
      <c r="I251" s="161" t="n">
        <v>5</v>
      </c>
      <c r="J251" s="156" t="s">
        <v>185</v>
      </c>
      <c r="K251" s="199" t="n">
        <v>45434.3295717593</v>
      </c>
      <c r="L251" s="1" t="n">
        <v>1</v>
      </c>
      <c r="M251" s="196" t="n">
        <v>2644</v>
      </c>
      <c r="N251" s="1" t="n">
        <v>9</v>
      </c>
    </row>
    <row r="252" customFormat="false" ht="14.25" hidden="false" customHeight="false" outlineLevel="0" collapsed="false">
      <c r="A252" s="1" t="n">
        <v>27</v>
      </c>
      <c r="B252" s="1" t="s">
        <v>565</v>
      </c>
      <c r="C252" s="1" t="s">
        <v>566</v>
      </c>
      <c r="D252" s="196" t="n">
        <v>2644</v>
      </c>
      <c r="E252" s="196" t="s">
        <v>51</v>
      </c>
      <c r="F252" s="198" t="s">
        <v>651</v>
      </c>
      <c r="G252" s="198" t="s">
        <v>652</v>
      </c>
      <c r="H252" s="163" t="s">
        <v>445</v>
      </c>
      <c r="I252" s="161" t="n">
        <v>50</v>
      </c>
      <c r="J252" s="156" t="s">
        <v>192</v>
      </c>
      <c r="K252" s="199" t="n">
        <v>45434.4990393519</v>
      </c>
      <c r="L252" s="1" t="n">
        <v>1</v>
      </c>
      <c r="M252" s="196" t="n">
        <v>2644</v>
      </c>
      <c r="N252" s="1" t="n">
        <v>10</v>
      </c>
    </row>
    <row r="253" customFormat="false" ht="14.25" hidden="false" customHeight="false" outlineLevel="0" collapsed="false">
      <c r="A253" s="1" t="n">
        <v>28</v>
      </c>
      <c r="B253" s="1" t="s">
        <v>565</v>
      </c>
      <c r="C253" s="1" t="s">
        <v>566</v>
      </c>
      <c r="D253" s="196" t="n">
        <v>2644</v>
      </c>
      <c r="E253" s="196" t="s">
        <v>51</v>
      </c>
      <c r="F253" s="198" t="s">
        <v>651</v>
      </c>
      <c r="G253" s="198" t="s">
        <v>652</v>
      </c>
      <c r="H253" s="163" t="s">
        <v>445</v>
      </c>
      <c r="I253" s="161" t="n">
        <v>50</v>
      </c>
      <c r="J253" s="156" t="s">
        <v>192</v>
      </c>
      <c r="K253" s="199" t="n">
        <v>45434.5066087963</v>
      </c>
      <c r="L253" s="1" t="n">
        <v>1</v>
      </c>
      <c r="M253" s="196" t="n">
        <v>2644</v>
      </c>
      <c r="N253" s="1" t="n">
        <v>11</v>
      </c>
    </row>
    <row r="254" customFormat="false" ht="14.25" hidden="false" customHeight="false" outlineLevel="0" collapsed="false">
      <c r="A254" s="1" t="n">
        <v>29</v>
      </c>
      <c r="B254" s="1" t="s">
        <v>565</v>
      </c>
      <c r="C254" s="1" t="s">
        <v>566</v>
      </c>
      <c r="D254" s="196" t="n">
        <v>2644</v>
      </c>
      <c r="E254" s="196" t="s">
        <v>51</v>
      </c>
      <c r="F254" s="197" t="s">
        <v>653</v>
      </c>
      <c r="G254" s="198" t="s">
        <v>654</v>
      </c>
      <c r="H254" s="163" t="s">
        <v>193</v>
      </c>
      <c r="I254" s="161" t="n">
        <v>30</v>
      </c>
      <c r="J254" s="156" t="s">
        <v>192</v>
      </c>
      <c r="K254" s="199" t="n">
        <v>45434.5117708333</v>
      </c>
      <c r="L254" s="1" t="n">
        <v>2</v>
      </c>
      <c r="M254" s="196" t="n">
        <v>2644</v>
      </c>
      <c r="N254" s="1" t="n">
        <v>12</v>
      </c>
    </row>
    <row r="255" customFormat="false" ht="14.25" hidden="false" customHeight="false" outlineLevel="0" collapsed="false">
      <c r="A255" s="1" t="n">
        <v>30</v>
      </c>
      <c r="B255" s="1" t="s">
        <v>565</v>
      </c>
      <c r="C255" s="1" t="s">
        <v>566</v>
      </c>
      <c r="D255" s="196" t="n">
        <v>2644</v>
      </c>
      <c r="E255" s="196" t="s">
        <v>51</v>
      </c>
      <c r="F255" s="197" t="s">
        <v>653</v>
      </c>
      <c r="G255" s="198" t="s">
        <v>654</v>
      </c>
      <c r="H255" s="163" t="s">
        <v>193</v>
      </c>
      <c r="I255" s="161" t="n">
        <v>30</v>
      </c>
      <c r="J255" s="156" t="s">
        <v>192</v>
      </c>
      <c r="K255" s="199" t="n">
        <v>45434.5585300926</v>
      </c>
      <c r="L255" s="1" t="n">
        <v>2</v>
      </c>
      <c r="M255" s="196" t="n">
        <v>2644</v>
      </c>
      <c r="N255" s="1" t="n">
        <v>13</v>
      </c>
    </row>
    <row r="256" customFormat="false" ht="14.25" hidden="false" customHeight="false" outlineLevel="0" collapsed="false">
      <c r="A256" s="1" t="n">
        <v>31</v>
      </c>
      <c r="B256" s="1" t="s">
        <v>565</v>
      </c>
      <c r="C256" s="1" t="s">
        <v>566</v>
      </c>
      <c r="D256" s="196" t="n">
        <v>2644</v>
      </c>
      <c r="E256" s="196" t="s">
        <v>51</v>
      </c>
      <c r="F256" s="197" t="s">
        <v>651</v>
      </c>
      <c r="G256" s="198" t="s">
        <v>652</v>
      </c>
      <c r="H256" s="163" t="s">
        <v>445</v>
      </c>
      <c r="I256" s="161" t="n">
        <v>50</v>
      </c>
      <c r="J256" s="156" t="s">
        <v>192</v>
      </c>
      <c r="K256" s="199" t="n">
        <v>45434.5598726852</v>
      </c>
      <c r="L256" s="1" t="n">
        <v>0</v>
      </c>
      <c r="M256" s="196" t="n">
        <v>2644</v>
      </c>
      <c r="N256" s="1" t="n">
        <v>14</v>
      </c>
    </row>
    <row r="257" customFormat="false" ht="14.25" hidden="false" customHeight="false" outlineLevel="0" collapsed="false">
      <c r="A257" s="1" t="n">
        <v>32</v>
      </c>
      <c r="B257" s="1" t="s">
        <v>565</v>
      </c>
      <c r="C257" s="1" t="s">
        <v>566</v>
      </c>
      <c r="D257" s="196" t="n">
        <v>2644</v>
      </c>
      <c r="E257" s="196" t="s">
        <v>51</v>
      </c>
      <c r="F257" s="197" t="s">
        <v>655</v>
      </c>
      <c r="G257" s="198" t="s">
        <v>656</v>
      </c>
      <c r="H257" s="163" t="s">
        <v>245</v>
      </c>
      <c r="I257" s="161" t="n">
        <v>8</v>
      </c>
      <c r="J257" s="156" t="s">
        <v>192</v>
      </c>
      <c r="K257" s="199" t="n">
        <v>45434.5625347222</v>
      </c>
      <c r="L257" s="1" t="n">
        <v>0</v>
      </c>
      <c r="M257" s="196" t="n">
        <v>2644</v>
      </c>
      <c r="N257" s="1" t="n">
        <v>15</v>
      </c>
    </row>
    <row r="258" customFormat="false" ht="14.25" hidden="false" customHeight="false" outlineLevel="0" collapsed="false">
      <c r="A258" s="1" t="n">
        <v>33</v>
      </c>
      <c r="B258" s="1" t="s">
        <v>565</v>
      </c>
      <c r="C258" s="1" t="s">
        <v>566</v>
      </c>
      <c r="D258" s="196" t="n">
        <v>2644</v>
      </c>
      <c r="E258" s="196" t="s">
        <v>51</v>
      </c>
      <c r="F258" s="197" t="s">
        <v>655</v>
      </c>
      <c r="G258" s="198" t="s">
        <v>656</v>
      </c>
      <c r="H258" s="163" t="s">
        <v>245</v>
      </c>
      <c r="I258" s="161" t="n">
        <v>8</v>
      </c>
      <c r="J258" s="156" t="s">
        <v>192</v>
      </c>
      <c r="K258" s="199" t="n">
        <v>45434.5625462963</v>
      </c>
      <c r="L258" s="1" t="n">
        <v>0</v>
      </c>
      <c r="M258" s="196" t="n">
        <v>2644</v>
      </c>
      <c r="N258" s="1" t="n">
        <v>16</v>
      </c>
    </row>
    <row r="259" customFormat="false" ht="14.25" hidden="false" customHeight="false" outlineLevel="0" collapsed="false">
      <c r="A259" s="1" t="n">
        <v>34</v>
      </c>
      <c r="B259" s="1" t="s">
        <v>565</v>
      </c>
      <c r="C259" s="1" t="s">
        <v>566</v>
      </c>
      <c r="D259" s="196" t="n">
        <v>2644</v>
      </c>
      <c r="E259" s="196" t="s">
        <v>51</v>
      </c>
      <c r="F259" s="197" t="s">
        <v>655</v>
      </c>
      <c r="G259" s="198" t="s">
        <v>656</v>
      </c>
      <c r="H259" s="163" t="s">
        <v>245</v>
      </c>
      <c r="I259" s="161" t="n">
        <v>8</v>
      </c>
      <c r="J259" s="156" t="s">
        <v>192</v>
      </c>
      <c r="K259" s="199" t="n">
        <v>45434.5625462963</v>
      </c>
      <c r="L259" s="1" t="n">
        <v>2</v>
      </c>
      <c r="M259" s="196" t="n">
        <v>2644</v>
      </c>
      <c r="N259" s="1" t="n">
        <v>17</v>
      </c>
    </row>
    <row r="260" customFormat="false" ht="14.25" hidden="false" customHeight="false" outlineLevel="0" collapsed="false">
      <c r="A260" s="1" t="n">
        <v>35</v>
      </c>
      <c r="B260" s="1" t="s">
        <v>565</v>
      </c>
      <c r="C260" s="1" t="s">
        <v>566</v>
      </c>
      <c r="D260" s="196" t="n">
        <v>2644</v>
      </c>
      <c r="E260" s="196" t="s">
        <v>51</v>
      </c>
      <c r="F260" s="197" t="s">
        <v>603</v>
      </c>
      <c r="G260" s="198" t="s">
        <v>604</v>
      </c>
      <c r="H260" s="163" t="s">
        <v>489</v>
      </c>
      <c r="I260" s="161" t="n">
        <v>82</v>
      </c>
      <c r="J260" s="156" t="s">
        <v>192</v>
      </c>
      <c r="K260" s="199" t="n">
        <v>45434.6712847222</v>
      </c>
      <c r="L260" s="1" t="n">
        <v>1</v>
      </c>
      <c r="M260" s="196" t="n">
        <v>2644</v>
      </c>
      <c r="N260" s="1" t="n">
        <v>18</v>
      </c>
    </row>
    <row r="261" customFormat="false" ht="14.25" hidden="false" customHeight="false" outlineLevel="0" collapsed="false">
      <c r="A261" s="1" t="n">
        <v>36</v>
      </c>
      <c r="B261" s="1" t="s">
        <v>565</v>
      </c>
      <c r="C261" s="1" t="s">
        <v>566</v>
      </c>
      <c r="D261" s="196" t="n">
        <v>2644</v>
      </c>
      <c r="E261" s="196" t="s">
        <v>51</v>
      </c>
      <c r="F261" s="197" t="s">
        <v>655</v>
      </c>
      <c r="G261" s="198" t="s">
        <v>656</v>
      </c>
      <c r="H261" s="163" t="s">
        <v>245</v>
      </c>
      <c r="I261" s="161" t="n">
        <v>8</v>
      </c>
      <c r="J261" s="156" t="s">
        <v>192</v>
      </c>
      <c r="K261" s="199" t="n">
        <v>45434.7365856482</v>
      </c>
      <c r="L261" s="1" t="n">
        <v>1</v>
      </c>
      <c r="M261" s="196" t="n">
        <v>2644</v>
      </c>
      <c r="N261" s="1" t="n">
        <v>19</v>
      </c>
    </row>
    <row r="262" customFormat="false" ht="14.25" hidden="false" customHeight="false" outlineLevel="0" collapsed="false">
      <c r="A262" s="1" t="n">
        <v>37</v>
      </c>
      <c r="B262" s="1" t="s">
        <v>565</v>
      </c>
      <c r="C262" s="1" t="s">
        <v>566</v>
      </c>
      <c r="D262" s="196" t="n">
        <v>2644</v>
      </c>
      <c r="E262" s="196" t="s">
        <v>51</v>
      </c>
      <c r="F262" s="197" t="s">
        <v>657</v>
      </c>
      <c r="G262" s="198" t="s">
        <v>627</v>
      </c>
      <c r="H262" s="163" t="s">
        <v>525</v>
      </c>
      <c r="I262" s="161" t="n">
        <v>107</v>
      </c>
      <c r="J262" s="156" t="s">
        <v>192</v>
      </c>
      <c r="K262" s="199" t="n">
        <v>45434.9280092593</v>
      </c>
      <c r="L262" s="1" t="n">
        <v>1</v>
      </c>
      <c r="M262" s="196" t="n">
        <v>2644</v>
      </c>
      <c r="N262" s="1" t="n">
        <v>20</v>
      </c>
    </row>
    <row r="263" customFormat="false" ht="14.25" hidden="false" customHeight="false" outlineLevel="0" collapsed="false">
      <c r="A263" s="1" t="n">
        <v>38</v>
      </c>
      <c r="B263" s="1" t="s">
        <v>565</v>
      </c>
      <c r="C263" s="1" t="s">
        <v>566</v>
      </c>
      <c r="D263" s="196" t="n">
        <v>2644</v>
      </c>
      <c r="E263" s="196" t="s">
        <v>51</v>
      </c>
      <c r="F263" s="197" t="s">
        <v>657</v>
      </c>
      <c r="G263" s="198" t="s">
        <v>627</v>
      </c>
      <c r="H263" s="163" t="s">
        <v>525</v>
      </c>
      <c r="I263" s="161" t="n">
        <v>107</v>
      </c>
      <c r="J263" s="156" t="s">
        <v>192</v>
      </c>
      <c r="K263" s="199" t="n">
        <v>45434.9280439815</v>
      </c>
      <c r="L263" s="1" t="n">
        <v>1</v>
      </c>
      <c r="M263" s="196" t="n">
        <v>2644</v>
      </c>
      <c r="N263" s="1" t="n">
        <v>21</v>
      </c>
    </row>
    <row r="264" customFormat="false" ht="14.25" hidden="false" customHeight="false" outlineLevel="0" collapsed="false">
      <c r="A264" s="1" t="n">
        <v>39</v>
      </c>
      <c r="B264" s="1" t="s">
        <v>565</v>
      </c>
      <c r="C264" s="1" t="s">
        <v>566</v>
      </c>
      <c r="D264" s="196" t="n">
        <v>2644</v>
      </c>
      <c r="E264" s="196" t="s">
        <v>51</v>
      </c>
      <c r="F264" s="197" t="s">
        <v>658</v>
      </c>
      <c r="G264" s="198" t="s">
        <v>659</v>
      </c>
      <c r="H264" s="163" t="s">
        <v>504</v>
      </c>
      <c r="I264" s="161" t="n">
        <v>88</v>
      </c>
      <c r="J264" s="156" t="s">
        <v>192</v>
      </c>
      <c r="K264" s="199" t="n">
        <v>45434.929837963</v>
      </c>
      <c r="L264" s="1" t="n">
        <v>1</v>
      </c>
      <c r="M264" s="196" t="n">
        <v>2644</v>
      </c>
      <c r="N264" s="1" t="n">
        <v>22</v>
      </c>
    </row>
    <row r="265" customFormat="false" ht="14.25" hidden="false" customHeight="false" outlineLevel="0" collapsed="false">
      <c r="A265" s="1" t="n">
        <v>40</v>
      </c>
      <c r="B265" s="1" t="s">
        <v>565</v>
      </c>
      <c r="C265" s="1" t="s">
        <v>566</v>
      </c>
      <c r="D265" s="196" t="n">
        <v>2644</v>
      </c>
      <c r="E265" s="196" t="s">
        <v>51</v>
      </c>
      <c r="F265" s="197" t="s">
        <v>658</v>
      </c>
      <c r="G265" s="198" t="s">
        <v>659</v>
      </c>
      <c r="H265" s="163" t="s">
        <v>504</v>
      </c>
      <c r="I265" s="161" t="n">
        <v>88</v>
      </c>
      <c r="J265" s="156" t="s">
        <v>192</v>
      </c>
      <c r="K265" s="199" t="n">
        <v>45434.9298726852</v>
      </c>
      <c r="L265" s="1" t="n">
        <v>1</v>
      </c>
      <c r="M265" s="196" t="n">
        <v>2644</v>
      </c>
      <c r="N265" s="1" t="n">
        <v>23</v>
      </c>
    </row>
    <row r="266" customFormat="false" ht="14.25" hidden="false" customHeight="false" outlineLevel="0" collapsed="false">
      <c r="A266" s="1" t="n">
        <v>41</v>
      </c>
      <c r="B266" s="1" t="s">
        <v>565</v>
      </c>
      <c r="C266" s="1" t="s">
        <v>566</v>
      </c>
      <c r="D266" s="196" t="n">
        <v>2644</v>
      </c>
      <c r="E266" s="196" t="s">
        <v>51</v>
      </c>
      <c r="F266" s="197" t="s">
        <v>591</v>
      </c>
      <c r="G266" s="198" t="s">
        <v>592</v>
      </c>
      <c r="H266" s="163" t="s">
        <v>415</v>
      </c>
      <c r="I266" s="161" t="n">
        <v>75</v>
      </c>
      <c r="J266" s="156" t="s">
        <v>192</v>
      </c>
      <c r="K266" s="199" t="n">
        <v>45435.0158333333</v>
      </c>
      <c r="L266" s="1" t="n">
        <v>1</v>
      </c>
      <c r="M266" s="196" t="n">
        <v>2644</v>
      </c>
      <c r="N266" s="1" t="n">
        <v>24</v>
      </c>
    </row>
    <row r="267" customFormat="false" ht="14.25" hidden="false" customHeight="false" outlineLevel="0" collapsed="false">
      <c r="A267" s="1" t="n">
        <v>42</v>
      </c>
      <c r="B267" s="1" t="s">
        <v>565</v>
      </c>
      <c r="C267" s="1" t="s">
        <v>566</v>
      </c>
      <c r="D267" s="196" t="n">
        <v>2644</v>
      </c>
      <c r="E267" s="196" t="s">
        <v>51</v>
      </c>
      <c r="F267" s="197" t="s">
        <v>577</v>
      </c>
      <c r="G267" s="198" t="s">
        <v>578</v>
      </c>
      <c r="H267" s="163" t="s">
        <v>427</v>
      </c>
      <c r="I267" s="161" t="n">
        <v>48</v>
      </c>
      <c r="J267" s="156" t="s">
        <v>192</v>
      </c>
      <c r="K267" s="199" t="n">
        <v>45435.0723032407</v>
      </c>
      <c r="L267" s="1" t="n">
        <v>2</v>
      </c>
      <c r="M267" s="196" t="n">
        <v>2644</v>
      </c>
      <c r="N267" s="1" t="n">
        <v>25</v>
      </c>
    </row>
    <row r="268" customFormat="false" ht="14.25" hidden="false" customHeight="false" outlineLevel="0" collapsed="false">
      <c r="A268" s="1" t="n">
        <v>43</v>
      </c>
      <c r="B268" s="1" t="s">
        <v>565</v>
      </c>
      <c r="C268" s="1" t="s">
        <v>566</v>
      </c>
      <c r="D268" s="196" t="n">
        <v>2644</v>
      </c>
      <c r="E268" s="196" t="s">
        <v>51</v>
      </c>
      <c r="F268" s="197" t="s">
        <v>577</v>
      </c>
      <c r="G268" s="198" t="s">
        <v>578</v>
      </c>
      <c r="H268" s="163" t="s">
        <v>427</v>
      </c>
      <c r="I268" s="161" t="n">
        <v>48</v>
      </c>
      <c r="J268" s="156" t="s">
        <v>192</v>
      </c>
      <c r="K268" s="199" t="n">
        <v>45435.0723611111</v>
      </c>
      <c r="L268" s="1" t="n">
        <v>2</v>
      </c>
      <c r="M268" s="196" t="n">
        <v>2644</v>
      </c>
      <c r="N268" s="1" t="n">
        <v>26</v>
      </c>
    </row>
    <row r="269" customFormat="false" ht="14.25" hidden="false" customHeight="false" outlineLevel="0" collapsed="false">
      <c r="A269" s="1" t="n">
        <v>44</v>
      </c>
      <c r="B269" s="1" t="s">
        <v>565</v>
      </c>
      <c r="C269" s="1" t="s">
        <v>566</v>
      </c>
      <c r="D269" s="196" t="n">
        <v>2644</v>
      </c>
      <c r="E269" s="196" t="s">
        <v>51</v>
      </c>
      <c r="F269" s="197" t="s">
        <v>577</v>
      </c>
      <c r="G269" s="198" t="s">
        <v>578</v>
      </c>
      <c r="H269" s="163" t="s">
        <v>427</v>
      </c>
      <c r="I269" s="161" t="n">
        <v>48</v>
      </c>
      <c r="J269" s="156" t="s">
        <v>192</v>
      </c>
      <c r="K269" s="199" t="n">
        <v>45435.0724305556</v>
      </c>
      <c r="L269" s="1" t="n">
        <v>1</v>
      </c>
      <c r="M269" s="196" t="n">
        <v>2644</v>
      </c>
      <c r="N269" s="1" t="n">
        <v>27</v>
      </c>
    </row>
    <row r="270" customFormat="false" ht="14.25" hidden="false" customHeight="false" outlineLevel="0" collapsed="false">
      <c r="A270" s="1" t="n">
        <v>45</v>
      </c>
      <c r="B270" s="1" t="s">
        <v>565</v>
      </c>
      <c r="C270" s="1" t="s">
        <v>566</v>
      </c>
      <c r="D270" s="196" t="n">
        <v>2644</v>
      </c>
      <c r="E270" s="196" t="s">
        <v>51</v>
      </c>
      <c r="F270" s="197" t="s">
        <v>577</v>
      </c>
      <c r="G270" s="198" t="s">
        <v>578</v>
      </c>
      <c r="H270" s="163" t="s">
        <v>427</v>
      </c>
      <c r="I270" s="161" t="n">
        <v>48</v>
      </c>
      <c r="J270" s="156" t="s">
        <v>192</v>
      </c>
      <c r="K270" s="199" t="n">
        <v>45435.0724537037</v>
      </c>
      <c r="L270" s="1" t="n">
        <v>0</v>
      </c>
      <c r="M270" s="196" t="n">
        <v>2644</v>
      </c>
      <c r="N270" s="1" t="n">
        <v>28</v>
      </c>
    </row>
    <row r="271" customFormat="false" ht="14.25" hidden="false" customHeight="false" outlineLevel="0" collapsed="false">
      <c r="A271" s="1" t="n">
        <v>46</v>
      </c>
      <c r="B271" s="1" t="s">
        <v>565</v>
      </c>
      <c r="C271" s="1" t="s">
        <v>566</v>
      </c>
      <c r="D271" s="196" t="n">
        <v>2644</v>
      </c>
      <c r="E271" s="196" t="s">
        <v>51</v>
      </c>
      <c r="F271" s="197" t="s">
        <v>577</v>
      </c>
      <c r="G271" s="198" t="s">
        <v>578</v>
      </c>
      <c r="H271" s="163" t="s">
        <v>427</v>
      </c>
      <c r="I271" s="161" t="n">
        <v>48</v>
      </c>
      <c r="J271" s="156" t="s">
        <v>192</v>
      </c>
      <c r="K271" s="199" t="n">
        <v>45435.0766203704</v>
      </c>
      <c r="L271" s="1" t="n">
        <v>2</v>
      </c>
      <c r="M271" s="196" t="n">
        <v>2644</v>
      </c>
      <c r="N271" s="1" t="n">
        <v>29</v>
      </c>
    </row>
    <row r="272" customFormat="false" ht="14.25" hidden="false" customHeight="false" outlineLevel="0" collapsed="false">
      <c r="A272" s="1" t="n">
        <v>47</v>
      </c>
      <c r="B272" s="1" t="s">
        <v>565</v>
      </c>
      <c r="C272" s="1" t="s">
        <v>566</v>
      </c>
      <c r="D272" s="196" t="n">
        <v>2644</v>
      </c>
      <c r="E272" s="196" t="s">
        <v>51</v>
      </c>
      <c r="F272" s="197" t="s">
        <v>577</v>
      </c>
      <c r="G272" s="198" t="s">
        <v>578</v>
      </c>
      <c r="H272" s="163" t="s">
        <v>427</v>
      </c>
      <c r="I272" s="161" t="n">
        <v>48</v>
      </c>
      <c r="J272" s="156" t="s">
        <v>192</v>
      </c>
      <c r="K272" s="199" t="n">
        <v>45435.0766550926</v>
      </c>
      <c r="L272" s="1" t="n">
        <v>1</v>
      </c>
      <c r="M272" s="196" t="n">
        <v>2644</v>
      </c>
      <c r="N272" s="1" t="n">
        <v>30</v>
      </c>
    </row>
    <row r="273" customFormat="false" ht="14.25" hidden="false" customHeight="false" outlineLevel="0" collapsed="false">
      <c r="A273" s="1" t="n">
        <v>48</v>
      </c>
      <c r="B273" s="1" t="s">
        <v>565</v>
      </c>
      <c r="C273" s="1" t="s">
        <v>566</v>
      </c>
      <c r="D273" s="196" t="n">
        <v>2644</v>
      </c>
      <c r="E273" s="196" t="s">
        <v>51</v>
      </c>
      <c r="F273" s="197" t="s">
        <v>577</v>
      </c>
      <c r="G273" s="198" t="s">
        <v>578</v>
      </c>
      <c r="H273" s="163" t="s">
        <v>427</v>
      </c>
      <c r="I273" s="161" t="n">
        <v>48</v>
      </c>
      <c r="J273" s="156" t="s">
        <v>192</v>
      </c>
      <c r="K273" s="199" t="n">
        <v>45435.0766666667</v>
      </c>
      <c r="L273" s="1" t="n">
        <v>1</v>
      </c>
      <c r="M273" s="196" t="n">
        <v>2644</v>
      </c>
      <c r="N273" s="1" t="n">
        <v>31</v>
      </c>
    </row>
    <row r="274" customFormat="false" ht="14.25" hidden="false" customHeight="false" outlineLevel="0" collapsed="false">
      <c r="A274" s="1" t="n">
        <v>49</v>
      </c>
      <c r="B274" s="1" t="s">
        <v>565</v>
      </c>
      <c r="C274" s="1" t="s">
        <v>566</v>
      </c>
      <c r="D274" s="196" t="n">
        <v>2644</v>
      </c>
      <c r="E274" s="196" t="s">
        <v>51</v>
      </c>
      <c r="F274" s="197" t="s">
        <v>577</v>
      </c>
      <c r="G274" s="198" t="s">
        <v>578</v>
      </c>
      <c r="H274" s="163" t="s">
        <v>427</v>
      </c>
      <c r="I274" s="161" t="n">
        <v>48</v>
      </c>
      <c r="J274" s="156" t="s">
        <v>192</v>
      </c>
      <c r="K274" s="199" t="n">
        <v>45435.0767013889</v>
      </c>
      <c r="L274" s="1" t="n">
        <v>1</v>
      </c>
      <c r="M274" s="196" t="n">
        <v>2644</v>
      </c>
      <c r="N274" s="1" t="n">
        <v>32</v>
      </c>
    </row>
    <row r="275" customFormat="false" ht="14.25" hidden="false" customHeight="false" outlineLevel="0" collapsed="false">
      <c r="A275" s="1" t="n">
        <v>50</v>
      </c>
      <c r="B275" s="1" t="s">
        <v>565</v>
      </c>
      <c r="C275" s="1" t="s">
        <v>566</v>
      </c>
      <c r="D275" s="196" t="n">
        <v>2644</v>
      </c>
      <c r="E275" s="196" t="s">
        <v>51</v>
      </c>
      <c r="F275" s="197" t="s">
        <v>577</v>
      </c>
      <c r="G275" s="198" t="s">
        <v>578</v>
      </c>
      <c r="H275" s="163" t="s">
        <v>427</v>
      </c>
      <c r="I275" s="161" t="n">
        <v>48</v>
      </c>
      <c r="J275" s="156" t="s">
        <v>192</v>
      </c>
      <c r="K275" s="199" t="n">
        <v>45435.0767476852</v>
      </c>
      <c r="L275" s="1" t="n">
        <v>0</v>
      </c>
      <c r="M275" s="196" t="n">
        <v>2644</v>
      </c>
      <c r="N275" s="1" t="n">
        <v>33</v>
      </c>
    </row>
    <row r="276" customFormat="false" ht="14.25" hidden="false" customHeight="false" outlineLevel="0" collapsed="false">
      <c r="A276" s="1" t="n">
        <v>51</v>
      </c>
      <c r="B276" s="1" t="s">
        <v>565</v>
      </c>
      <c r="C276" s="1" t="s">
        <v>566</v>
      </c>
      <c r="D276" s="196" t="n">
        <v>2644</v>
      </c>
      <c r="E276" s="196" t="s">
        <v>51</v>
      </c>
      <c r="F276" s="197" t="s">
        <v>660</v>
      </c>
      <c r="G276" s="198" t="s">
        <v>661</v>
      </c>
      <c r="H276" s="163" t="s">
        <v>421</v>
      </c>
      <c r="I276" s="161" t="n">
        <v>40</v>
      </c>
      <c r="J276" s="156" t="s">
        <v>192</v>
      </c>
      <c r="K276" s="199" t="n">
        <v>45435.1316782407</v>
      </c>
      <c r="L276" s="1" t="n">
        <v>1</v>
      </c>
      <c r="M276" s="196" t="n">
        <v>2644</v>
      </c>
      <c r="N276" s="1" t="n">
        <v>34</v>
      </c>
    </row>
    <row r="277" customFormat="false" ht="14.25" hidden="false" customHeight="false" outlineLevel="0" collapsed="false">
      <c r="A277" s="1" t="n">
        <v>52</v>
      </c>
      <c r="B277" s="1" t="s">
        <v>565</v>
      </c>
      <c r="C277" s="1" t="s">
        <v>566</v>
      </c>
      <c r="D277" s="196" t="n">
        <v>2644</v>
      </c>
      <c r="E277" s="196" t="s">
        <v>51</v>
      </c>
      <c r="F277" s="197" t="s">
        <v>591</v>
      </c>
      <c r="G277" s="198" t="s">
        <v>592</v>
      </c>
      <c r="H277" s="163" t="s">
        <v>415</v>
      </c>
      <c r="I277" s="161" t="n">
        <v>75</v>
      </c>
      <c r="J277" s="156" t="s">
        <v>192</v>
      </c>
      <c r="K277" s="199" t="n">
        <v>45435.1465046296</v>
      </c>
      <c r="L277" s="1" t="n">
        <v>3</v>
      </c>
      <c r="M277" s="196" t="n">
        <v>2644</v>
      </c>
      <c r="N277" s="1" t="n">
        <v>35</v>
      </c>
    </row>
    <row r="278" customFormat="false" ht="14.25" hidden="false" customHeight="false" outlineLevel="0" collapsed="false">
      <c r="A278" s="1" t="n">
        <v>53</v>
      </c>
      <c r="B278" s="1" t="s">
        <v>565</v>
      </c>
      <c r="C278" s="1" t="s">
        <v>566</v>
      </c>
      <c r="D278" s="196" t="n">
        <v>2644</v>
      </c>
      <c r="E278" s="196" t="s">
        <v>51</v>
      </c>
      <c r="F278" s="197" t="s">
        <v>591</v>
      </c>
      <c r="G278" s="198" t="s">
        <v>592</v>
      </c>
      <c r="H278" s="163" t="s">
        <v>415</v>
      </c>
      <c r="I278" s="161" t="n">
        <v>75</v>
      </c>
      <c r="J278" s="156" t="s">
        <v>192</v>
      </c>
      <c r="K278" s="199" t="n">
        <v>45435.1495023148</v>
      </c>
      <c r="L278" s="1" t="n">
        <v>2</v>
      </c>
      <c r="M278" s="196" t="n">
        <v>2644</v>
      </c>
      <c r="N278" s="1" t="n">
        <v>36</v>
      </c>
    </row>
    <row r="279" customFormat="false" ht="14.25" hidden="false" customHeight="false" outlineLevel="0" collapsed="false">
      <c r="A279" s="1" t="n">
        <v>54</v>
      </c>
      <c r="B279" s="1" t="s">
        <v>565</v>
      </c>
      <c r="C279" s="1" t="s">
        <v>566</v>
      </c>
      <c r="D279" s="196" t="n">
        <v>2644</v>
      </c>
      <c r="E279" s="196" t="s">
        <v>51</v>
      </c>
      <c r="F279" s="197" t="s">
        <v>567</v>
      </c>
      <c r="G279" s="198" t="s">
        <v>568</v>
      </c>
      <c r="H279" s="163" t="s">
        <v>381</v>
      </c>
      <c r="I279" s="161" t="n">
        <v>44</v>
      </c>
      <c r="J279" s="156" t="s">
        <v>192</v>
      </c>
      <c r="K279" s="199" t="n">
        <v>45435.1848148148</v>
      </c>
      <c r="L279" s="1" t="n">
        <v>3</v>
      </c>
      <c r="M279" s="196" t="n">
        <v>2644</v>
      </c>
      <c r="N279" s="1" t="n">
        <v>37</v>
      </c>
    </row>
    <row r="280" customFormat="false" ht="14.25" hidden="false" customHeight="false" outlineLevel="0" collapsed="false">
      <c r="A280" s="1" t="n">
        <v>55</v>
      </c>
      <c r="B280" s="1" t="s">
        <v>565</v>
      </c>
      <c r="C280" s="1" t="s">
        <v>566</v>
      </c>
      <c r="D280" s="196" t="n">
        <v>2644</v>
      </c>
      <c r="E280" s="196" t="s">
        <v>51</v>
      </c>
      <c r="F280" s="197" t="s">
        <v>567</v>
      </c>
      <c r="G280" s="198" t="s">
        <v>568</v>
      </c>
      <c r="H280" s="163" t="s">
        <v>381</v>
      </c>
      <c r="I280" s="161" t="n">
        <v>44</v>
      </c>
      <c r="J280" s="156" t="s">
        <v>192</v>
      </c>
      <c r="K280" s="199" t="n">
        <v>45435.184849537</v>
      </c>
      <c r="L280" s="1" t="n">
        <v>0</v>
      </c>
      <c r="M280" s="196" t="n">
        <v>2644</v>
      </c>
      <c r="N280" s="1" t="n">
        <v>38</v>
      </c>
    </row>
    <row r="281" customFormat="false" ht="14.25" hidden="false" customHeight="false" outlineLevel="0" collapsed="false">
      <c r="A281" s="1" t="n">
        <v>22</v>
      </c>
      <c r="B281" s="1" t="s">
        <v>621</v>
      </c>
      <c r="C281" s="1" t="s">
        <v>622</v>
      </c>
      <c r="D281" s="1" t="n">
        <v>11171</v>
      </c>
      <c r="E281" s="1" t="s">
        <v>55</v>
      </c>
      <c r="F281" s="201" t="n">
        <v>200025889333</v>
      </c>
      <c r="G281" s="198" t="s">
        <v>652</v>
      </c>
      <c r="H281" s="163" t="s">
        <v>445</v>
      </c>
      <c r="I281" s="161" t="n">
        <v>50</v>
      </c>
      <c r="J281" s="156" t="s">
        <v>192</v>
      </c>
      <c r="K281" s="200" t="n">
        <v>45433.474212963</v>
      </c>
      <c r="L281" s="1" t="n">
        <v>0</v>
      </c>
      <c r="M281" s="1" t="n">
        <v>11171</v>
      </c>
      <c r="N281" s="1" t="n">
        <v>1</v>
      </c>
    </row>
    <row r="282" customFormat="false" ht="14.25" hidden="false" customHeight="false" outlineLevel="0" collapsed="false">
      <c r="A282" s="1" t="n">
        <v>23</v>
      </c>
      <c r="B282" s="1" t="s">
        <v>621</v>
      </c>
      <c r="C282" s="1" t="s">
        <v>622</v>
      </c>
      <c r="D282" s="1" t="n">
        <v>11171</v>
      </c>
      <c r="E282" s="1" t="s">
        <v>55</v>
      </c>
      <c r="F282" s="201" t="n">
        <v>200025889333</v>
      </c>
      <c r="G282" s="198" t="s">
        <v>652</v>
      </c>
      <c r="H282" s="163" t="s">
        <v>445</v>
      </c>
      <c r="I282" s="161" t="n">
        <v>50</v>
      </c>
      <c r="J282" s="156" t="s">
        <v>192</v>
      </c>
      <c r="K282" s="200" t="n">
        <v>45433.474224537</v>
      </c>
      <c r="L282" s="1" t="n">
        <v>1</v>
      </c>
      <c r="M282" s="1" t="n">
        <v>11171</v>
      </c>
      <c r="N282" s="1" t="n">
        <v>2</v>
      </c>
    </row>
    <row r="283" customFormat="false" ht="14.25" hidden="false" customHeight="false" outlineLevel="0" collapsed="false">
      <c r="A283" s="1" t="n">
        <v>24</v>
      </c>
      <c r="B283" s="1" t="s">
        <v>621</v>
      </c>
      <c r="C283" s="1" t="s">
        <v>622</v>
      </c>
      <c r="D283" s="1" t="n">
        <v>11171</v>
      </c>
      <c r="E283" s="1" t="s">
        <v>55</v>
      </c>
      <c r="F283" s="201" t="n">
        <v>200025889333</v>
      </c>
      <c r="G283" s="198" t="s">
        <v>652</v>
      </c>
      <c r="H283" s="163" t="s">
        <v>445</v>
      </c>
      <c r="I283" s="161" t="n">
        <v>50</v>
      </c>
      <c r="J283" s="156" t="s">
        <v>192</v>
      </c>
      <c r="K283" s="200" t="n">
        <v>45433.474375</v>
      </c>
      <c r="L283" s="1" t="n">
        <v>3</v>
      </c>
      <c r="M283" s="1" t="n">
        <v>11171</v>
      </c>
      <c r="N283" s="1" t="n">
        <v>3</v>
      </c>
    </row>
    <row r="284" customFormat="false" ht="14.25" hidden="false" customHeight="false" outlineLevel="0" collapsed="false">
      <c r="A284" s="1" t="n">
        <v>25</v>
      </c>
      <c r="B284" s="1" t="s">
        <v>621</v>
      </c>
      <c r="C284" s="1" t="s">
        <v>622</v>
      </c>
      <c r="D284" s="1" t="n">
        <v>11171</v>
      </c>
      <c r="E284" s="1" t="s">
        <v>55</v>
      </c>
      <c r="F284" s="201" t="n">
        <v>200025889333</v>
      </c>
      <c r="G284" s="198" t="s">
        <v>652</v>
      </c>
      <c r="H284" s="163" t="s">
        <v>445</v>
      </c>
      <c r="I284" s="161" t="n">
        <v>50</v>
      </c>
      <c r="J284" s="156" t="s">
        <v>192</v>
      </c>
      <c r="K284" s="200" t="n">
        <v>45433.6406944444</v>
      </c>
      <c r="L284" s="1" t="n">
        <v>0</v>
      </c>
      <c r="M284" s="1" t="n">
        <v>11171</v>
      </c>
      <c r="N284" s="1" t="n">
        <v>4</v>
      </c>
    </row>
    <row r="285" customFormat="false" ht="14.25" hidden="false" customHeight="false" outlineLevel="0" collapsed="false">
      <c r="A285" s="1" t="n">
        <v>26</v>
      </c>
      <c r="B285" s="1" t="s">
        <v>621</v>
      </c>
      <c r="C285" s="1" t="s">
        <v>622</v>
      </c>
      <c r="D285" s="1" t="n">
        <v>11171</v>
      </c>
      <c r="E285" s="1" t="s">
        <v>55</v>
      </c>
      <c r="F285" s="201" t="n">
        <v>200025889333</v>
      </c>
      <c r="G285" s="198" t="s">
        <v>652</v>
      </c>
      <c r="H285" s="163" t="s">
        <v>445</v>
      </c>
      <c r="I285" s="161" t="n">
        <v>50</v>
      </c>
      <c r="J285" s="156" t="s">
        <v>192</v>
      </c>
      <c r="K285" s="200" t="n">
        <v>45433.6407060185</v>
      </c>
      <c r="L285" s="1" t="n">
        <v>0</v>
      </c>
      <c r="M285" s="1" t="n">
        <v>11171</v>
      </c>
      <c r="N285" s="1" t="n">
        <v>5</v>
      </c>
    </row>
    <row r="286" customFormat="false" ht="14.25" hidden="false" customHeight="false" outlineLevel="0" collapsed="false">
      <c r="A286" s="1" t="n">
        <v>27</v>
      </c>
      <c r="B286" s="1" t="s">
        <v>621</v>
      </c>
      <c r="C286" s="1" t="s">
        <v>622</v>
      </c>
      <c r="D286" s="1" t="n">
        <v>11171</v>
      </c>
      <c r="E286" s="1" t="s">
        <v>55</v>
      </c>
      <c r="F286" s="201" t="n">
        <v>200025888828</v>
      </c>
      <c r="G286" s="198" t="s">
        <v>606</v>
      </c>
      <c r="H286" s="163" t="s">
        <v>456</v>
      </c>
      <c r="I286" s="161" t="n">
        <v>113</v>
      </c>
      <c r="J286" s="156" t="s">
        <v>192</v>
      </c>
      <c r="K286" s="200" t="n">
        <v>45433.6459143519</v>
      </c>
      <c r="L286" s="1" t="n">
        <v>0</v>
      </c>
      <c r="M286" s="1" t="n">
        <v>11171</v>
      </c>
      <c r="N286" s="1" t="n">
        <v>6</v>
      </c>
    </row>
    <row r="287" customFormat="false" ht="14.25" hidden="false" customHeight="false" outlineLevel="0" collapsed="false">
      <c r="A287" s="1" t="n">
        <v>28</v>
      </c>
      <c r="B287" s="1" t="s">
        <v>621</v>
      </c>
      <c r="C287" s="1" t="s">
        <v>622</v>
      </c>
      <c r="D287" s="1" t="n">
        <v>11171</v>
      </c>
      <c r="E287" s="1" t="s">
        <v>55</v>
      </c>
      <c r="F287" s="201" t="n">
        <v>200025888864</v>
      </c>
      <c r="G287" s="198" t="s">
        <v>590</v>
      </c>
      <c r="H287" s="163" t="s">
        <v>474</v>
      </c>
      <c r="I287" s="161" t="n">
        <v>87</v>
      </c>
      <c r="J287" s="156" t="s">
        <v>192</v>
      </c>
      <c r="K287" s="200" t="n">
        <v>45433.6464814815</v>
      </c>
      <c r="L287" s="1" t="n">
        <v>0</v>
      </c>
      <c r="M287" s="1" t="n">
        <v>11171</v>
      </c>
      <c r="N287" s="1" t="n">
        <v>7</v>
      </c>
    </row>
    <row r="288" customFormat="false" ht="14.25" hidden="false" customHeight="false" outlineLevel="0" collapsed="false">
      <c r="A288" s="1" t="n">
        <v>29</v>
      </c>
      <c r="B288" s="1" t="s">
        <v>621</v>
      </c>
      <c r="C288" s="1" t="s">
        <v>622</v>
      </c>
      <c r="D288" s="1" t="n">
        <v>11171</v>
      </c>
      <c r="E288" s="1" t="s">
        <v>55</v>
      </c>
      <c r="F288" s="201" t="n">
        <v>200025888864</v>
      </c>
      <c r="G288" s="198" t="s">
        <v>590</v>
      </c>
      <c r="H288" s="163" t="s">
        <v>474</v>
      </c>
      <c r="I288" s="161" t="n">
        <v>87</v>
      </c>
      <c r="J288" s="156" t="s">
        <v>192</v>
      </c>
      <c r="K288" s="200" t="n">
        <v>45433.6464930556</v>
      </c>
      <c r="L288" s="1" t="n">
        <v>0</v>
      </c>
      <c r="M288" s="1" t="n">
        <v>11171</v>
      </c>
      <c r="N288" s="1" t="n">
        <v>8</v>
      </c>
    </row>
    <row r="289" customFormat="false" ht="14.25" hidden="false" customHeight="false" outlineLevel="0" collapsed="false">
      <c r="A289" s="1" t="n">
        <v>30</v>
      </c>
      <c r="B289" s="1" t="s">
        <v>621</v>
      </c>
      <c r="C289" s="1" t="s">
        <v>622</v>
      </c>
      <c r="D289" s="1" t="n">
        <v>11171</v>
      </c>
      <c r="E289" s="1" t="s">
        <v>55</v>
      </c>
      <c r="F289" s="201" t="n">
        <v>200025888864</v>
      </c>
      <c r="G289" s="198" t="s">
        <v>590</v>
      </c>
      <c r="H289" s="163" t="s">
        <v>474</v>
      </c>
      <c r="I289" s="161" t="n">
        <v>87</v>
      </c>
      <c r="J289" s="156" t="s">
        <v>192</v>
      </c>
      <c r="K289" s="200" t="n">
        <v>45433.6465046296</v>
      </c>
      <c r="L289" s="1" t="n">
        <v>1</v>
      </c>
      <c r="M289" s="1" t="n">
        <v>11171</v>
      </c>
      <c r="N289" s="1" t="n">
        <v>9</v>
      </c>
    </row>
    <row r="290" customFormat="false" ht="14.25" hidden="false" customHeight="false" outlineLevel="0" collapsed="false">
      <c r="A290" s="1" t="n">
        <v>31</v>
      </c>
      <c r="B290" s="1" t="s">
        <v>621</v>
      </c>
      <c r="C290" s="1" t="s">
        <v>622</v>
      </c>
      <c r="D290" s="1" t="n">
        <v>11171</v>
      </c>
      <c r="E290" s="1" t="s">
        <v>55</v>
      </c>
      <c r="F290" s="201" t="n">
        <v>200025888864</v>
      </c>
      <c r="G290" s="198" t="s">
        <v>590</v>
      </c>
      <c r="H290" s="163" t="s">
        <v>474</v>
      </c>
      <c r="I290" s="161" t="n">
        <v>87</v>
      </c>
      <c r="J290" s="156" t="s">
        <v>192</v>
      </c>
      <c r="K290" s="200" t="n">
        <v>45433.647650463</v>
      </c>
      <c r="L290" s="1" t="n">
        <v>1</v>
      </c>
      <c r="M290" s="1" t="n">
        <v>11171</v>
      </c>
      <c r="N290" s="1" t="n">
        <v>10</v>
      </c>
    </row>
    <row r="291" customFormat="false" ht="14.25" hidden="false" customHeight="false" outlineLevel="0" collapsed="false">
      <c r="A291" s="1" t="n">
        <v>32</v>
      </c>
      <c r="B291" s="1" t="s">
        <v>621</v>
      </c>
      <c r="C291" s="1" t="s">
        <v>622</v>
      </c>
      <c r="D291" s="1" t="n">
        <v>11171</v>
      </c>
      <c r="E291" s="1" t="s">
        <v>55</v>
      </c>
      <c r="F291" s="201" t="n">
        <v>200025889394</v>
      </c>
      <c r="G291" s="198" t="s">
        <v>662</v>
      </c>
      <c r="H291" s="163" t="s">
        <v>543</v>
      </c>
      <c r="I291" s="161" t="n">
        <v>120</v>
      </c>
      <c r="J291" s="156" t="s">
        <v>192</v>
      </c>
      <c r="K291" s="200" t="n">
        <v>45433.7613773148</v>
      </c>
      <c r="L291" s="1" t="n">
        <v>1</v>
      </c>
      <c r="M291" s="1" t="n">
        <v>11171</v>
      </c>
      <c r="N291" s="1" t="n">
        <v>11</v>
      </c>
    </row>
    <row r="292" customFormat="false" ht="14.25" hidden="false" customHeight="false" outlineLevel="0" collapsed="false">
      <c r="A292" s="1" t="n">
        <v>33</v>
      </c>
      <c r="B292" s="1" t="s">
        <v>621</v>
      </c>
      <c r="C292" s="1" t="s">
        <v>622</v>
      </c>
      <c r="D292" s="1" t="n">
        <v>11171</v>
      </c>
      <c r="E292" s="1" t="s">
        <v>55</v>
      </c>
      <c r="F292" s="201" t="n">
        <v>200025889394</v>
      </c>
      <c r="G292" s="198" t="s">
        <v>662</v>
      </c>
      <c r="H292" s="163" t="s">
        <v>543</v>
      </c>
      <c r="I292" s="161" t="n">
        <v>120</v>
      </c>
      <c r="J292" s="156" t="s">
        <v>192</v>
      </c>
      <c r="K292" s="200" t="n">
        <v>45433.761400463</v>
      </c>
      <c r="L292" s="1" t="n">
        <v>1</v>
      </c>
      <c r="M292" s="1" t="n">
        <v>11171</v>
      </c>
      <c r="N292" s="1" t="n">
        <v>12</v>
      </c>
    </row>
    <row r="293" customFormat="false" ht="14.25" hidden="false" customHeight="false" outlineLevel="0" collapsed="false">
      <c r="A293" s="1" t="n">
        <v>34</v>
      </c>
      <c r="B293" s="1" t="s">
        <v>621</v>
      </c>
      <c r="C293" s="1" t="s">
        <v>622</v>
      </c>
      <c r="D293" s="1" t="n">
        <v>11171</v>
      </c>
      <c r="E293" s="1" t="s">
        <v>55</v>
      </c>
      <c r="F293" s="201" t="n">
        <v>200025889394</v>
      </c>
      <c r="G293" s="198" t="s">
        <v>662</v>
      </c>
      <c r="H293" s="163" t="s">
        <v>543</v>
      </c>
      <c r="I293" s="161" t="n">
        <v>120</v>
      </c>
      <c r="J293" s="156" t="s">
        <v>192</v>
      </c>
      <c r="K293" s="200" t="n">
        <v>45433.7614236111</v>
      </c>
      <c r="L293" s="1" t="n">
        <v>1</v>
      </c>
      <c r="M293" s="1" t="n">
        <v>11171</v>
      </c>
      <c r="N293" s="1" t="n">
        <v>13</v>
      </c>
    </row>
    <row r="294" customFormat="false" ht="14.25" hidden="false" customHeight="false" outlineLevel="0" collapsed="false">
      <c r="A294" s="1" t="n">
        <v>35</v>
      </c>
      <c r="B294" s="1" t="s">
        <v>621</v>
      </c>
      <c r="C294" s="1" t="s">
        <v>622</v>
      </c>
      <c r="D294" s="1" t="n">
        <v>11171</v>
      </c>
      <c r="E294" s="1" t="s">
        <v>55</v>
      </c>
      <c r="F294" s="201" t="n">
        <v>200025889394</v>
      </c>
      <c r="G294" s="198" t="s">
        <v>662</v>
      </c>
      <c r="H294" s="163" t="s">
        <v>543</v>
      </c>
      <c r="I294" s="161" t="n">
        <v>120</v>
      </c>
      <c r="J294" s="156" t="s">
        <v>192</v>
      </c>
      <c r="K294" s="200" t="n">
        <v>45433.7614351852</v>
      </c>
      <c r="L294" s="1" t="n">
        <v>0</v>
      </c>
      <c r="M294" s="1" t="n">
        <v>11171</v>
      </c>
      <c r="N294" s="1" t="n">
        <v>14</v>
      </c>
    </row>
    <row r="295" customFormat="false" ht="14.25" hidden="false" customHeight="false" outlineLevel="0" collapsed="false">
      <c r="A295" s="1" t="n">
        <v>36</v>
      </c>
      <c r="B295" s="1" t="s">
        <v>621</v>
      </c>
      <c r="C295" s="1" t="s">
        <v>622</v>
      </c>
      <c r="D295" s="1" t="n">
        <v>11171</v>
      </c>
      <c r="E295" s="1" t="s">
        <v>55</v>
      </c>
      <c r="F295" s="201" t="n">
        <v>200025889394</v>
      </c>
      <c r="G295" s="198" t="s">
        <v>662</v>
      </c>
      <c r="H295" s="163" t="s">
        <v>543</v>
      </c>
      <c r="I295" s="161" t="n">
        <v>120</v>
      </c>
      <c r="J295" s="156" t="s">
        <v>192</v>
      </c>
      <c r="K295" s="200" t="n">
        <v>45433.7614467593</v>
      </c>
      <c r="L295" s="1" t="n">
        <v>1</v>
      </c>
      <c r="M295" s="1" t="n">
        <v>11171</v>
      </c>
      <c r="N295" s="1" t="n">
        <v>15</v>
      </c>
    </row>
    <row r="296" customFormat="false" ht="14.25" hidden="false" customHeight="false" outlineLevel="0" collapsed="false">
      <c r="A296" s="1" t="n">
        <v>37</v>
      </c>
      <c r="B296" s="1" t="s">
        <v>621</v>
      </c>
      <c r="C296" s="1" t="s">
        <v>622</v>
      </c>
      <c r="D296" s="1" t="n">
        <v>11171</v>
      </c>
      <c r="E296" s="1" t="s">
        <v>55</v>
      </c>
      <c r="F296" s="201" t="n">
        <v>200025889394</v>
      </c>
      <c r="G296" s="198" t="s">
        <v>662</v>
      </c>
      <c r="H296" s="163" t="s">
        <v>543</v>
      </c>
      <c r="I296" s="161" t="n">
        <v>120</v>
      </c>
      <c r="J296" s="156" t="s">
        <v>192</v>
      </c>
      <c r="K296" s="200" t="n">
        <v>45433.7629861111</v>
      </c>
      <c r="L296" s="1" t="n">
        <v>7</v>
      </c>
      <c r="M296" s="1" t="n">
        <v>11171</v>
      </c>
      <c r="N296" s="1" t="n">
        <v>16</v>
      </c>
    </row>
    <row r="297" customFormat="false" ht="14.25" hidden="false" customHeight="false" outlineLevel="0" collapsed="false">
      <c r="A297" s="1" t="n">
        <v>38</v>
      </c>
      <c r="B297" s="1" t="s">
        <v>621</v>
      </c>
      <c r="C297" s="1" t="s">
        <v>622</v>
      </c>
      <c r="D297" s="1" t="n">
        <v>11171</v>
      </c>
      <c r="E297" s="1" t="s">
        <v>55</v>
      </c>
      <c r="F297" s="201" t="n">
        <v>200025889394</v>
      </c>
      <c r="G297" s="198" t="s">
        <v>662</v>
      </c>
      <c r="H297" s="163" t="s">
        <v>543</v>
      </c>
      <c r="I297" s="161" t="n">
        <v>120</v>
      </c>
      <c r="J297" s="156" t="s">
        <v>192</v>
      </c>
      <c r="K297" s="200" t="n">
        <v>45433.7630787037</v>
      </c>
      <c r="L297" s="1" t="n">
        <v>1</v>
      </c>
      <c r="M297" s="1" t="n">
        <v>11171</v>
      </c>
      <c r="N297" s="1" t="n">
        <v>17</v>
      </c>
    </row>
    <row r="298" customFormat="false" ht="14.25" hidden="false" customHeight="false" outlineLevel="0" collapsed="false">
      <c r="A298" s="1" t="n">
        <v>39</v>
      </c>
      <c r="B298" s="1" t="s">
        <v>621</v>
      </c>
      <c r="C298" s="1" t="s">
        <v>622</v>
      </c>
      <c r="D298" s="1" t="n">
        <v>11171</v>
      </c>
      <c r="E298" s="1" t="s">
        <v>55</v>
      </c>
      <c r="F298" s="201" t="n">
        <v>200025889394</v>
      </c>
      <c r="G298" s="198" t="s">
        <v>662</v>
      </c>
      <c r="H298" s="163" t="s">
        <v>543</v>
      </c>
      <c r="I298" s="161" t="n">
        <v>120</v>
      </c>
      <c r="J298" s="156" t="s">
        <v>192</v>
      </c>
      <c r="K298" s="200" t="n">
        <v>45433.7634375</v>
      </c>
      <c r="L298" s="1" t="n">
        <v>2</v>
      </c>
      <c r="M298" s="1" t="n">
        <v>11171</v>
      </c>
      <c r="N298" s="1" t="n">
        <v>18</v>
      </c>
    </row>
    <row r="299" customFormat="false" ht="14.25" hidden="false" customHeight="false" outlineLevel="0" collapsed="false">
      <c r="A299" s="1" t="n">
        <v>40</v>
      </c>
      <c r="B299" s="1" t="s">
        <v>621</v>
      </c>
      <c r="C299" s="1" t="s">
        <v>622</v>
      </c>
      <c r="D299" s="1" t="n">
        <v>11171</v>
      </c>
      <c r="E299" s="1" t="s">
        <v>55</v>
      </c>
      <c r="F299" s="201" t="n">
        <v>200025889394</v>
      </c>
      <c r="G299" s="198" t="s">
        <v>662</v>
      </c>
      <c r="H299" s="163" t="s">
        <v>543</v>
      </c>
      <c r="I299" s="161" t="n">
        <v>120</v>
      </c>
      <c r="J299" s="156" t="s">
        <v>192</v>
      </c>
      <c r="K299" s="200" t="n">
        <v>45433.7634722222</v>
      </c>
      <c r="L299" s="1" t="n">
        <v>0</v>
      </c>
      <c r="M299" s="1" t="n">
        <v>11171</v>
      </c>
      <c r="N299" s="1" t="n">
        <v>19</v>
      </c>
    </row>
    <row r="300" customFormat="false" ht="14.25" hidden="false" customHeight="false" outlineLevel="0" collapsed="false">
      <c r="A300" s="1" t="n">
        <v>41</v>
      </c>
      <c r="B300" s="1" t="s">
        <v>621</v>
      </c>
      <c r="C300" s="1" t="s">
        <v>622</v>
      </c>
      <c r="D300" s="1" t="n">
        <v>11171</v>
      </c>
      <c r="E300" s="1" t="s">
        <v>55</v>
      </c>
      <c r="F300" s="201" t="n">
        <v>200025889394</v>
      </c>
      <c r="G300" s="198" t="s">
        <v>662</v>
      </c>
      <c r="H300" s="163" t="s">
        <v>543</v>
      </c>
      <c r="I300" s="161" t="n">
        <v>120</v>
      </c>
      <c r="J300" s="156" t="s">
        <v>192</v>
      </c>
      <c r="K300" s="200" t="n">
        <v>45433.7643171296</v>
      </c>
      <c r="L300" s="1" t="n">
        <v>2</v>
      </c>
      <c r="M300" s="1" t="n">
        <v>11171</v>
      </c>
      <c r="N300" s="1" t="n">
        <v>20</v>
      </c>
    </row>
    <row r="301" customFormat="false" ht="14.25" hidden="false" customHeight="false" outlineLevel="0" collapsed="false">
      <c r="A301" s="1" t="n">
        <v>42</v>
      </c>
      <c r="B301" s="1" t="s">
        <v>621</v>
      </c>
      <c r="C301" s="1" t="s">
        <v>622</v>
      </c>
      <c r="D301" s="1" t="n">
        <v>11171</v>
      </c>
      <c r="E301" s="1" t="s">
        <v>55</v>
      </c>
      <c r="F301" s="201" t="n">
        <v>200025889394</v>
      </c>
      <c r="G301" s="198" t="s">
        <v>662</v>
      </c>
      <c r="H301" s="163" t="s">
        <v>543</v>
      </c>
      <c r="I301" s="161" t="n">
        <v>120</v>
      </c>
      <c r="J301" s="156" t="s">
        <v>192</v>
      </c>
      <c r="K301" s="200" t="n">
        <v>45433.7644097222</v>
      </c>
      <c r="L301" s="1" t="n">
        <v>2</v>
      </c>
      <c r="M301" s="1" t="n">
        <v>11171</v>
      </c>
      <c r="N301" s="1" t="n">
        <v>21</v>
      </c>
    </row>
    <row r="302" customFormat="false" ht="14.25" hidden="false" customHeight="false" outlineLevel="0" collapsed="false">
      <c r="A302" s="1" t="n">
        <v>43</v>
      </c>
      <c r="B302" s="1" t="s">
        <v>621</v>
      </c>
      <c r="C302" s="1" t="s">
        <v>622</v>
      </c>
      <c r="D302" s="1" t="n">
        <v>11171</v>
      </c>
      <c r="E302" s="1" t="s">
        <v>55</v>
      </c>
      <c r="F302" s="201" t="n">
        <v>200025889394</v>
      </c>
      <c r="G302" s="198" t="s">
        <v>662</v>
      </c>
      <c r="H302" s="163" t="s">
        <v>543</v>
      </c>
      <c r="I302" s="161" t="n">
        <v>120</v>
      </c>
      <c r="J302" s="156" t="s">
        <v>192</v>
      </c>
      <c r="K302" s="200" t="n">
        <v>45433.7659722222</v>
      </c>
      <c r="L302" s="1" t="n">
        <v>1</v>
      </c>
      <c r="M302" s="1" t="n">
        <v>11171</v>
      </c>
      <c r="N302" s="1" t="n">
        <v>22</v>
      </c>
    </row>
    <row r="303" customFormat="false" ht="14.25" hidden="false" customHeight="false" outlineLevel="0" collapsed="false">
      <c r="A303" s="1" t="n">
        <v>44</v>
      </c>
      <c r="B303" s="1" t="s">
        <v>621</v>
      </c>
      <c r="C303" s="1" t="s">
        <v>622</v>
      </c>
      <c r="D303" s="1" t="n">
        <v>11171</v>
      </c>
      <c r="E303" s="1" t="s">
        <v>55</v>
      </c>
      <c r="F303" s="201" t="n">
        <v>200025889394</v>
      </c>
      <c r="G303" s="198" t="s">
        <v>662</v>
      </c>
      <c r="H303" s="163" t="s">
        <v>543</v>
      </c>
      <c r="I303" s="161" t="n">
        <v>120</v>
      </c>
      <c r="J303" s="156" t="s">
        <v>192</v>
      </c>
      <c r="K303" s="200" t="n">
        <v>45433.7659837963</v>
      </c>
      <c r="L303" s="1" t="n">
        <v>0</v>
      </c>
      <c r="M303" s="1" t="n">
        <v>11171</v>
      </c>
      <c r="N303" s="1" t="n">
        <v>23</v>
      </c>
    </row>
    <row r="304" customFormat="false" ht="14.25" hidden="false" customHeight="false" outlineLevel="0" collapsed="false">
      <c r="A304" s="1" t="n">
        <v>45</v>
      </c>
      <c r="B304" s="1" t="s">
        <v>621</v>
      </c>
      <c r="C304" s="1" t="s">
        <v>622</v>
      </c>
      <c r="D304" s="1" t="n">
        <v>11171</v>
      </c>
      <c r="E304" s="1" t="s">
        <v>55</v>
      </c>
      <c r="F304" s="201" t="n">
        <v>200025889394</v>
      </c>
      <c r="G304" s="198" t="s">
        <v>662</v>
      </c>
      <c r="H304" s="163" t="s">
        <v>543</v>
      </c>
      <c r="I304" s="161" t="n">
        <v>120</v>
      </c>
      <c r="J304" s="156" t="s">
        <v>192</v>
      </c>
      <c r="K304" s="200" t="n">
        <v>45433.7659837963</v>
      </c>
      <c r="L304" s="1" t="n">
        <v>1</v>
      </c>
      <c r="M304" s="1" t="n">
        <v>11171</v>
      </c>
      <c r="N304" s="1" t="n">
        <v>24</v>
      </c>
    </row>
    <row r="305" customFormat="false" ht="14.25" hidden="false" customHeight="false" outlineLevel="0" collapsed="false">
      <c r="A305" s="1" t="n">
        <v>46</v>
      </c>
      <c r="B305" s="1" t="s">
        <v>621</v>
      </c>
      <c r="C305" s="1" t="s">
        <v>622</v>
      </c>
      <c r="D305" s="1" t="n">
        <v>11171</v>
      </c>
      <c r="E305" s="1" t="s">
        <v>55</v>
      </c>
      <c r="F305" s="201" t="n">
        <v>200025889394</v>
      </c>
      <c r="G305" s="198" t="s">
        <v>662</v>
      </c>
      <c r="H305" s="163" t="s">
        <v>543</v>
      </c>
      <c r="I305" s="161" t="n">
        <v>120</v>
      </c>
      <c r="J305" s="156" t="s">
        <v>192</v>
      </c>
      <c r="K305" s="200" t="n">
        <v>45433.7685416667</v>
      </c>
      <c r="L305" s="1" t="n">
        <v>1</v>
      </c>
      <c r="M305" s="1" t="n">
        <v>11171</v>
      </c>
      <c r="N305" s="1" t="n">
        <v>25</v>
      </c>
    </row>
    <row r="306" customFormat="false" ht="14.25" hidden="false" customHeight="false" outlineLevel="0" collapsed="false">
      <c r="A306" s="1" t="n">
        <v>47</v>
      </c>
      <c r="B306" s="1" t="s">
        <v>621</v>
      </c>
      <c r="C306" s="1" t="s">
        <v>622</v>
      </c>
      <c r="D306" s="1" t="n">
        <v>11171</v>
      </c>
      <c r="E306" s="1" t="s">
        <v>55</v>
      </c>
      <c r="F306" s="201" t="n">
        <v>200025889394</v>
      </c>
      <c r="G306" s="198" t="s">
        <v>662</v>
      </c>
      <c r="H306" s="163" t="s">
        <v>543</v>
      </c>
      <c r="I306" s="161" t="n">
        <v>120</v>
      </c>
      <c r="J306" s="156" t="s">
        <v>192</v>
      </c>
      <c r="K306" s="200" t="n">
        <v>45433.7712962963</v>
      </c>
      <c r="L306" s="1" t="n">
        <v>2</v>
      </c>
      <c r="M306" s="1" t="n">
        <v>11171</v>
      </c>
      <c r="N306" s="1" t="n">
        <v>26</v>
      </c>
    </row>
    <row r="307" customFormat="false" ht="14.25" hidden="false" customHeight="false" outlineLevel="0" collapsed="false">
      <c r="A307" s="1" t="n">
        <v>48</v>
      </c>
      <c r="B307" s="1" t="s">
        <v>621</v>
      </c>
      <c r="C307" s="1" t="s">
        <v>622</v>
      </c>
      <c r="D307" s="1" t="n">
        <v>11171</v>
      </c>
      <c r="E307" s="1" t="s">
        <v>55</v>
      </c>
      <c r="F307" s="201" t="n">
        <v>200025889394</v>
      </c>
      <c r="G307" s="198" t="s">
        <v>662</v>
      </c>
      <c r="H307" s="163" t="s">
        <v>543</v>
      </c>
      <c r="I307" s="161" t="n">
        <v>120</v>
      </c>
      <c r="J307" s="156" t="s">
        <v>192</v>
      </c>
      <c r="K307" s="200" t="n">
        <v>45433.7715046296</v>
      </c>
      <c r="L307" s="1" t="n">
        <v>1</v>
      </c>
      <c r="M307" s="1" t="n">
        <v>11171</v>
      </c>
      <c r="N307" s="1" t="n">
        <v>27</v>
      </c>
    </row>
    <row r="308" customFormat="false" ht="14.25" hidden="false" customHeight="false" outlineLevel="0" collapsed="false">
      <c r="A308" s="1" t="n">
        <v>49</v>
      </c>
      <c r="B308" s="1" t="s">
        <v>621</v>
      </c>
      <c r="C308" s="1" t="s">
        <v>622</v>
      </c>
      <c r="D308" s="1" t="n">
        <v>11171</v>
      </c>
      <c r="E308" s="1" t="s">
        <v>55</v>
      </c>
      <c r="F308" s="201" t="n">
        <v>200025889394</v>
      </c>
      <c r="G308" s="198" t="s">
        <v>662</v>
      </c>
      <c r="H308" s="163" t="s">
        <v>543</v>
      </c>
      <c r="I308" s="161" t="n">
        <v>120</v>
      </c>
      <c r="J308" s="156" t="s">
        <v>192</v>
      </c>
      <c r="K308" s="200" t="n">
        <v>45433.7730671296</v>
      </c>
      <c r="L308" s="1" t="n">
        <v>4</v>
      </c>
      <c r="M308" s="1" t="n">
        <v>11171</v>
      </c>
      <c r="N308" s="1" t="n">
        <v>28</v>
      </c>
    </row>
    <row r="309" customFormat="false" ht="14.25" hidden="false" customHeight="false" outlineLevel="0" collapsed="false">
      <c r="A309" s="1" t="n">
        <v>50</v>
      </c>
      <c r="B309" s="1" t="s">
        <v>621</v>
      </c>
      <c r="C309" s="1" t="s">
        <v>622</v>
      </c>
      <c r="D309" s="1" t="n">
        <v>11171</v>
      </c>
      <c r="E309" s="1" t="s">
        <v>55</v>
      </c>
      <c r="F309" s="201" t="n">
        <v>200025889394</v>
      </c>
      <c r="G309" s="198" t="s">
        <v>662</v>
      </c>
      <c r="H309" s="163" t="s">
        <v>543</v>
      </c>
      <c r="I309" s="161" t="n">
        <v>120</v>
      </c>
      <c r="J309" s="156" t="s">
        <v>192</v>
      </c>
      <c r="K309" s="200" t="n">
        <v>45433.7735532407</v>
      </c>
      <c r="L309" s="1" t="n">
        <v>2</v>
      </c>
      <c r="M309" s="1" t="n">
        <v>11171</v>
      </c>
      <c r="N309" s="1" t="n">
        <v>29</v>
      </c>
    </row>
    <row r="310" customFormat="false" ht="14.25" hidden="false" customHeight="false" outlineLevel="0" collapsed="false">
      <c r="A310" s="1" t="n">
        <v>51</v>
      </c>
      <c r="B310" s="1" t="s">
        <v>621</v>
      </c>
      <c r="C310" s="1" t="s">
        <v>622</v>
      </c>
      <c r="D310" s="1" t="n">
        <v>11171</v>
      </c>
      <c r="E310" s="1" t="s">
        <v>55</v>
      </c>
      <c r="F310" s="201" t="n">
        <v>200025889394</v>
      </c>
      <c r="G310" s="198" t="s">
        <v>662</v>
      </c>
      <c r="H310" s="163" t="s">
        <v>543</v>
      </c>
      <c r="I310" s="161" t="n">
        <v>120</v>
      </c>
      <c r="J310" s="156" t="s">
        <v>192</v>
      </c>
      <c r="K310" s="200" t="n">
        <v>45433.7744675926</v>
      </c>
      <c r="L310" s="1" t="n">
        <v>3</v>
      </c>
      <c r="M310" s="1" t="n">
        <v>11171</v>
      </c>
      <c r="N310" s="1" t="n">
        <v>30</v>
      </c>
    </row>
    <row r="311" customFormat="false" ht="14.25" hidden="false" customHeight="false" outlineLevel="0" collapsed="false">
      <c r="A311" s="1" t="n">
        <v>52</v>
      </c>
      <c r="B311" s="1" t="s">
        <v>621</v>
      </c>
      <c r="C311" s="1" t="s">
        <v>622</v>
      </c>
      <c r="D311" s="1" t="n">
        <v>11171</v>
      </c>
      <c r="E311" s="1" t="s">
        <v>55</v>
      </c>
      <c r="F311" s="201" t="n">
        <v>200025889394</v>
      </c>
      <c r="G311" s="198" t="s">
        <v>662</v>
      </c>
      <c r="H311" s="163" t="s">
        <v>543</v>
      </c>
      <c r="I311" s="161" t="n">
        <v>120</v>
      </c>
      <c r="J311" s="156" t="s">
        <v>192</v>
      </c>
      <c r="K311" s="200" t="n">
        <v>45433.7796296296</v>
      </c>
      <c r="L311" s="1" t="n">
        <v>2</v>
      </c>
      <c r="M311" s="1" t="n">
        <v>11171</v>
      </c>
      <c r="N311" s="1" t="n">
        <v>31</v>
      </c>
    </row>
    <row r="312" customFormat="false" ht="14.25" hidden="false" customHeight="false" outlineLevel="0" collapsed="false">
      <c r="A312" s="1" t="n">
        <v>53</v>
      </c>
      <c r="B312" s="1" t="s">
        <v>621</v>
      </c>
      <c r="C312" s="1" t="s">
        <v>622</v>
      </c>
      <c r="D312" s="1" t="n">
        <v>11171</v>
      </c>
      <c r="E312" s="1" t="s">
        <v>55</v>
      </c>
      <c r="F312" s="201" t="n">
        <v>200025889394</v>
      </c>
      <c r="G312" s="198" t="s">
        <v>662</v>
      </c>
      <c r="H312" s="163" t="s">
        <v>543</v>
      </c>
      <c r="I312" s="161" t="n">
        <v>120</v>
      </c>
      <c r="J312" s="156" t="s">
        <v>192</v>
      </c>
      <c r="K312" s="200" t="n">
        <v>45433.7815856482</v>
      </c>
      <c r="L312" s="1" t="n">
        <v>1</v>
      </c>
      <c r="M312" s="1" t="n">
        <v>11171</v>
      </c>
      <c r="N312" s="1" t="n">
        <v>32</v>
      </c>
    </row>
    <row r="313" customFormat="false" ht="14.25" hidden="false" customHeight="false" outlineLevel="0" collapsed="false">
      <c r="A313" s="1" t="n">
        <v>54</v>
      </c>
      <c r="B313" s="1" t="s">
        <v>621</v>
      </c>
      <c r="C313" s="1" t="s">
        <v>622</v>
      </c>
      <c r="D313" s="1" t="n">
        <v>11171</v>
      </c>
      <c r="E313" s="1" t="s">
        <v>55</v>
      </c>
      <c r="F313" s="201" t="n">
        <v>200025889394</v>
      </c>
      <c r="G313" s="198" t="s">
        <v>662</v>
      </c>
      <c r="H313" s="163" t="s">
        <v>543</v>
      </c>
      <c r="I313" s="161" t="n">
        <v>120</v>
      </c>
      <c r="J313" s="156" t="s">
        <v>192</v>
      </c>
      <c r="K313" s="200" t="n">
        <v>45433.7860300926</v>
      </c>
      <c r="L313" s="1" t="n">
        <v>2</v>
      </c>
      <c r="M313" s="1" t="n">
        <v>11171</v>
      </c>
      <c r="N313" s="1" t="n">
        <v>33</v>
      </c>
    </row>
    <row r="314" customFormat="false" ht="14.25" hidden="false" customHeight="false" outlineLevel="0" collapsed="false">
      <c r="A314" s="1" t="n">
        <v>55</v>
      </c>
      <c r="B314" s="1" t="s">
        <v>621</v>
      </c>
      <c r="C314" s="1" t="s">
        <v>622</v>
      </c>
      <c r="D314" s="1" t="n">
        <v>11171</v>
      </c>
      <c r="E314" s="1" t="s">
        <v>55</v>
      </c>
      <c r="F314" s="201" t="n">
        <v>200025889394</v>
      </c>
      <c r="G314" s="198" t="s">
        <v>662</v>
      </c>
      <c r="H314" s="163" t="s">
        <v>543</v>
      </c>
      <c r="I314" s="161" t="n">
        <v>120</v>
      </c>
      <c r="J314" s="156" t="s">
        <v>192</v>
      </c>
      <c r="K314" s="200" t="n">
        <v>45433.7866666667</v>
      </c>
      <c r="L314" s="1" t="n">
        <v>0</v>
      </c>
      <c r="M314" s="1" t="n">
        <v>11171</v>
      </c>
      <c r="N314" s="1" t="n">
        <v>34</v>
      </c>
    </row>
    <row r="315" customFormat="false" ht="14.25" hidden="false" customHeight="false" outlineLevel="0" collapsed="false">
      <c r="A315" s="1" t="n">
        <v>56</v>
      </c>
      <c r="B315" s="1" t="s">
        <v>621</v>
      </c>
      <c r="C315" s="1" t="s">
        <v>622</v>
      </c>
      <c r="D315" s="1" t="n">
        <v>11171</v>
      </c>
      <c r="E315" s="1" t="s">
        <v>55</v>
      </c>
      <c r="F315" s="201" t="n">
        <v>200025889394</v>
      </c>
      <c r="G315" s="198" t="s">
        <v>662</v>
      </c>
      <c r="H315" s="163" t="s">
        <v>543</v>
      </c>
      <c r="I315" s="161" t="n">
        <v>120</v>
      </c>
      <c r="J315" s="156" t="s">
        <v>192</v>
      </c>
      <c r="K315" s="200" t="n">
        <v>45433.7887268519</v>
      </c>
      <c r="L315" s="1" t="n">
        <v>2</v>
      </c>
      <c r="M315" s="1" t="n">
        <v>11171</v>
      </c>
      <c r="N315" s="1" t="n">
        <v>35</v>
      </c>
    </row>
    <row r="316" customFormat="false" ht="14.25" hidden="false" customHeight="false" outlineLevel="0" collapsed="false">
      <c r="A316" s="1" t="n">
        <v>57</v>
      </c>
      <c r="B316" s="1" t="s">
        <v>621</v>
      </c>
      <c r="C316" s="1" t="s">
        <v>622</v>
      </c>
      <c r="D316" s="1" t="n">
        <v>11171</v>
      </c>
      <c r="E316" s="1" t="s">
        <v>55</v>
      </c>
      <c r="F316" s="201" t="n">
        <v>200025889394</v>
      </c>
      <c r="G316" s="198" t="s">
        <v>662</v>
      </c>
      <c r="H316" s="163" t="s">
        <v>543</v>
      </c>
      <c r="I316" s="161" t="n">
        <v>120</v>
      </c>
      <c r="J316" s="156" t="s">
        <v>192</v>
      </c>
      <c r="K316" s="200" t="n">
        <v>45433.7900578704</v>
      </c>
      <c r="L316" s="1" t="n">
        <v>1</v>
      </c>
      <c r="M316" s="1" t="n">
        <v>11171</v>
      </c>
      <c r="N316" s="1" t="n">
        <v>36</v>
      </c>
    </row>
    <row r="317" customFormat="false" ht="14.25" hidden="false" customHeight="false" outlineLevel="0" collapsed="false">
      <c r="A317" s="1" t="n">
        <v>58</v>
      </c>
      <c r="B317" s="1" t="s">
        <v>621</v>
      </c>
      <c r="C317" s="1" t="s">
        <v>622</v>
      </c>
      <c r="D317" s="1" t="n">
        <v>11171</v>
      </c>
      <c r="E317" s="1" t="s">
        <v>55</v>
      </c>
      <c r="F317" s="201" t="n">
        <v>200025889333</v>
      </c>
      <c r="G317" s="198" t="s">
        <v>652</v>
      </c>
      <c r="H317" s="163" t="s">
        <v>445</v>
      </c>
      <c r="I317" s="161" t="n">
        <v>50</v>
      </c>
      <c r="J317" s="156" t="s">
        <v>192</v>
      </c>
      <c r="K317" s="200" t="n">
        <v>45433.7995717593</v>
      </c>
      <c r="L317" s="1" t="n">
        <v>2</v>
      </c>
      <c r="M317" s="1" t="n">
        <v>11171</v>
      </c>
      <c r="N317" s="1" t="n">
        <v>37</v>
      </c>
    </row>
    <row r="318" customFormat="false" ht="14.25" hidden="false" customHeight="false" outlineLevel="0" collapsed="false">
      <c r="A318" s="1" t="n">
        <v>59</v>
      </c>
      <c r="B318" s="1" t="s">
        <v>621</v>
      </c>
      <c r="C318" s="1" t="s">
        <v>622</v>
      </c>
      <c r="D318" s="1" t="n">
        <v>11171</v>
      </c>
      <c r="E318" s="1" t="s">
        <v>55</v>
      </c>
      <c r="F318" s="201" t="n">
        <v>200025889333</v>
      </c>
      <c r="G318" s="198" t="s">
        <v>652</v>
      </c>
      <c r="H318" s="163" t="s">
        <v>445</v>
      </c>
      <c r="I318" s="161" t="n">
        <v>50</v>
      </c>
      <c r="J318" s="156" t="s">
        <v>192</v>
      </c>
      <c r="K318" s="200" t="n">
        <v>45433.7997222222</v>
      </c>
      <c r="L318" s="1" t="n">
        <v>2</v>
      </c>
      <c r="M318" s="1" t="n">
        <v>11171</v>
      </c>
      <c r="N318" s="1" t="n">
        <v>38</v>
      </c>
    </row>
    <row r="319" customFormat="false" ht="14.25" hidden="false" customHeight="false" outlineLevel="0" collapsed="false">
      <c r="A319" s="1" t="n">
        <v>60</v>
      </c>
      <c r="B319" s="1" t="s">
        <v>621</v>
      </c>
      <c r="C319" s="1" t="s">
        <v>622</v>
      </c>
      <c r="D319" s="1" t="n">
        <v>11171</v>
      </c>
      <c r="E319" s="1" t="s">
        <v>55</v>
      </c>
      <c r="F319" s="201" t="n">
        <v>200025889333</v>
      </c>
      <c r="G319" s="198" t="s">
        <v>652</v>
      </c>
      <c r="H319" s="163" t="s">
        <v>445</v>
      </c>
      <c r="I319" s="161" t="n">
        <v>50</v>
      </c>
      <c r="J319" s="156" t="s">
        <v>192</v>
      </c>
      <c r="K319" s="200" t="n">
        <v>45433.8000347222</v>
      </c>
      <c r="L319" s="1" t="n">
        <v>3</v>
      </c>
      <c r="M319" s="1" t="n">
        <v>11171</v>
      </c>
      <c r="N319" s="1" t="n">
        <v>39</v>
      </c>
    </row>
    <row r="320" customFormat="false" ht="14.25" hidden="false" customHeight="false" outlineLevel="0" collapsed="false">
      <c r="A320" s="1" t="n">
        <v>61</v>
      </c>
      <c r="B320" s="1" t="s">
        <v>621</v>
      </c>
      <c r="C320" s="1" t="s">
        <v>622</v>
      </c>
      <c r="D320" s="1" t="n">
        <v>11171</v>
      </c>
      <c r="E320" s="1" t="s">
        <v>55</v>
      </c>
      <c r="F320" s="201" t="n">
        <v>200025889333</v>
      </c>
      <c r="G320" s="198" t="s">
        <v>652</v>
      </c>
      <c r="H320" s="163" t="s">
        <v>445</v>
      </c>
      <c r="I320" s="161" t="n">
        <v>50</v>
      </c>
      <c r="J320" s="156" t="s">
        <v>192</v>
      </c>
      <c r="K320" s="200" t="n">
        <v>45433.8001967593</v>
      </c>
      <c r="L320" s="1" t="n">
        <v>3</v>
      </c>
      <c r="M320" s="1" t="n">
        <v>11171</v>
      </c>
      <c r="N320" s="1" t="n">
        <v>40</v>
      </c>
    </row>
    <row r="321" customFormat="false" ht="14.25" hidden="false" customHeight="false" outlineLevel="0" collapsed="false">
      <c r="A321" s="1" t="n">
        <v>62</v>
      </c>
      <c r="B321" s="1" t="s">
        <v>621</v>
      </c>
      <c r="C321" s="1" t="s">
        <v>622</v>
      </c>
      <c r="D321" s="1" t="n">
        <v>11171</v>
      </c>
      <c r="E321" s="1" t="s">
        <v>55</v>
      </c>
      <c r="F321" s="201" t="n">
        <v>200025889394</v>
      </c>
      <c r="G321" s="198" t="s">
        <v>662</v>
      </c>
      <c r="H321" s="163" t="s">
        <v>543</v>
      </c>
      <c r="I321" s="161" t="n">
        <v>120</v>
      </c>
      <c r="J321" s="156" t="s">
        <v>192</v>
      </c>
      <c r="K321" s="200" t="n">
        <v>45433.8127430556</v>
      </c>
      <c r="L321" s="1" t="n">
        <v>1</v>
      </c>
      <c r="M321" s="1" t="n">
        <v>11171</v>
      </c>
      <c r="N321" s="1" t="n">
        <v>41</v>
      </c>
    </row>
    <row r="322" customFormat="false" ht="14.25" hidden="false" customHeight="false" outlineLevel="0" collapsed="false">
      <c r="A322" s="1" t="n">
        <v>63</v>
      </c>
      <c r="B322" s="1" t="s">
        <v>621</v>
      </c>
      <c r="C322" s="1" t="s">
        <v>622</v>
      </c>
      <c r="D322" s="1" t="n">
        <v>11171</v>
      </c>
      <c r="E322" s="1" t="s">
        <v>55</v>
      </c>
      <c r="F322" s="201" t="n">
        <v>200025889394</v>
      </c>
      <c r="G322" s="198" t="s">
        <v>662</v>
      </c>
      <c r="H322" s="163" t="s">
        <v>543</v>
      </c>
      <c r="I322" s="161" t="n">
        <v>120</v>
      </c>
      <c r="J322" s="156" t="s">
        <v>192</v>
      </c>
      <c r="K322" s="200" t="n">
        <v>45433.9495717593</v>
      </c>
      <c r="L322" s="1" t="n">
        <v>1</v>
      </c>
      <c r="M322" s="1" t="n">
        <v>11171</v>
      </c>
      <c r="N322" s="1" t="n">
        <v>42</v>
      </c>
    </row>
    <row r="323" customFormat="false" ht="14.25" hidden="false" customHeight="false" outlineLevel="0" collapsed="false">
      <c r="A323" s="1" t="n">
        <v>64</v>
      </c>
      <c r="B323" s="1" t="s">
        <v>621</v>
      </c>
      <c r="C323" s="1" t="s">
        <v>622</v>
      </c>
      <c r="D323" s="1" t="n">
        <v>11171</v>
      </c>
      <c r="E323" s="1" t="s">
        <v>55</v>
      </c>
      <c r="F323" s="201" t="n">
        <v>200025889394</v>
      </c>
      <c r="G323" s="198" t="s">
        <v>662</v>
      </c>
      <c r="H323" s="163" t="s">
        <v>543</v>
      </c>
      <c r="I323" s="161" t="n">
        <v>120</v>
      </c>
      <c r="J323" s="156" t="s">
        <v>192</v>
      </c>
      <c r="K323" s="200" t="n">
        <v>45433.9495949074</v>
      </c>
      <c r="L323" s="1" t="n">
        <v>0</v>
      </c>
      <c r="M323" s="1" t="n">
        <v>11171</v>
      </c>
      <c r="N323" s="1" t="n">
        <v>43</v>
      </c>
    </row>
    <row r="324" customFormat="false" ht="14.25" hidden="false" customHeight="false" outlineLevel="0" collapsed="false">
      <c r="A324" s="1" t="n">
        <v>65</v>
      </c>
      <c r="B324" s="1" t="s">
        <v>621</v>
      </c>
      <c r="C324" s="1" t="s">
        <v>622</v>
      </c>
      <c r="D324" s="1" t="n">
        <v>11171</v>
      </c>
      <c r="E324" s="1" t="s">
        <v>55</v>
      </c>
      <c r="F324" s="201" t="n">
        <v>200025889394</v>
      </c>
      <c r="G324" s="198" t="s">
        <v>662</v>
      </c>
      <c r="H324" s="163" t="s">
        <v>543</v>
      </c>
      <c r="I324" s="161" t="n">
        <v>120</v>
      </c>
      <c r="J324" s="156" t="s">
        <v>192</v>
      </c>
      <c r="K324" s="200" t="n">
        <v>45433.9499537037</v>
      </c>
      <c r="L324" s="1" t="n">
        <v>3</v>
      </c>
      <c r="M324" s="1" t="n">
        <v>11171</v>
      </c>
      <c r="N324" s="1" t="n">
        <v>44</v>
      </c>
    </row>
    <row r="325" customFormat="false" ht="14.25" hidden="false" customHeight="false" outlineLevel="0" collapsed="false">
      <c r="A325" s="1" t="n">
        <v>66</v>
      </c>
      <c r="B325" s="1" t="s">
        <v>621</v>
      </c>
      <c r="C325" s="1" t="s">
        <v>622</v>
      </c>
      <c r="D325" s="1" t="n">
        <v>11171</v>
      </c>
      <c r="E325" s="1" t="s">
        <v>55</v>
      </c>
      <c r="F325" s="201" t="n">
        <v>200025889394</v>
      </c>
      <c r="G325" s="198" t="s">
        <v>662</v>
      </c>
      <c r="H325" s="163" t="s">
        <v>543</v>
      </c>
      <c r="I325" s="161" t="n">
        <v>120</v>
      </c>
      <c r="J325" s="156" t="s">
        <v>192</v>
      </c>
      <c r="K325" s="200" t="n">
        <v>45433.9500462963</v>
      </c>
      <c r="L325" s="1" t="n">
        <v>3</v>
      </c>
      <c r="M325" s="1" t="n">
        <v>11171</v>
      </c>
      <c r="N325" s="1" t="n">
        <v>45</v>
      </c>
    </row>
    <row r="326" customFormat="false" ht="14.25" hidden="false" customHeight="false" outlineLevel="0" collapsed="false">
      <c r="A326" s="1" t="n">
        <v>67</v>
      </c>
      <c r="B326" s="1" t="s">
        <v>621</v>
      </c>
      <c r="C326" s="1" t="s">
        <v>622</v>
      </c>
      <c r="D326" s="1" t="n">
        <v>11171</v>
      </c>
      <c r="E326" s="1" t="s">
        <v>55</v>
      </c>
      <c r="F326" s="201" t="n">
        <v>200025889394</v>
      </c>
      <c r="G326" s="198" t="s">
        <v>662</v>
      </c>
      <c r="H326" s="163" t="s">
        <v>543</v>
      </c>
      <c r="I326" s="161" t="n">
        <v>120</v>
      </c>
      <c r="J326" s="156" t="s">
        <v>192</v>
      </c>
      <c r="K326" s="200" t="n">
        <v>45433.954375</v>
      </c>
      <c r="L326" s="1" t="n">
        <v>1</v>
      </c>
      <c r="M326" s="1" t="n">
        <v>11171</v>
      </c>
      <c r="N326" s="1" t="n">
        <v>46</v>
      </c>
    </row>
    <row r="327" customFormat="false" ht="14.25" hidden="false" customHeight="false" outlineLevel="0" collapsed="false">
      <c r="A327" s="1" t="n">
        <v>68</v>
      </c>
      <c r="B327" s="1" t="s">
        <v>621</v>
      </c>
      <c r="C327" s="1" t="s">
        <v>622</v>
      </c>
      <c r="D327" s="1" t="n">
        <v>11171</v>
      </c>
      <c r="E327" s="1" t="s">
        <v>55</v>
      </c>
      <c r="F327" s="201" t="n">
        <v>200025889394</v>
      </c>
      <c r="G327" s="198" t="s">
        <v>662</v>
      </c>
      <c r="H327" s="163" t="s">
        <v>543</v>
      </c>
      <c r="I327" s="161" t="n">
        <v>120</v>
      </c>
      <c r="J327" s="156" t="s">
        <v>192</v>
      </c>
      <c r="K327" s="200" t="n">
        <v>45433.9546527778</v>
      </c>
      <c r="L327" s="1" t="n">
        <v>1</v>
      </c>
      <c r="M327" s="1" t="n">
        <v>11171</v>
      </c>
      <c r="N327" s="1" t="n">
        <v>47</v>
      </c>
    </row>
    <row r="328" customFormat="false" ht="14.25" hidden="false" customHeight="false" outlineLevel="0" collapsed="false">
      <c r="A328" s="1" t="n">
        <v>69</v>
      </c>
      <c r="B328" s="1" t="s">
        <v>621</v>
      </c>
      <c r="C328" s="1" t="s">
        <v>622</v>
      </c>
      <c r="D328" s="1" t="n">
        <v>11171</v>
      </c>
      <c r="E328" s="1" t="s">
        <v>55</v>
      </c>
      <c r="F328" s="201" t="n">
        <v>200025889333</v>
      </c>
      <c r="G328" s="198" t="s">
        <v>652</v>
      </c>
      <c r="H328" s="163" t="s">
        <v>445</v>
      </c>
      <c r="I328" s="161" t="n">
        <v>50</v>
      </c>
      <c r="J328" s="156" t="s">
        <v>192</v>
      </c>
      <c r="K328" s="200" t="n">
        <v>45434.0159375</v>
      </c>
      <c r="L328" s="1" t="n">
        <v>0</v>
      </c>
      <c r="M328" s="1" t="n">
        <v>11171</v>
      </c>
      <c r="N328" s="1" t="n">
        <v>48</v>
      </c>
    </row>
    <row r="329" customFormat="false" ht="14.25" hidden="false" customHeight="false" outlineLevel="0" collapsed="false">
      <c r="A329" s="1" t="n">
        <v>70</v>
      </c>
      <c r="B329" s="1" t="s">
        <v>621</v>
      </c>
      <c r="C329" s="1" t="s">
        <v>622</v>
      </c>
      <c r="D329" s="1" t="n">
        <v>11171</v>
      </c>
      <c r="E329" s="1" t="s">
        <v>55</v>
      </c>
      <c r="F329" s="201" t="n">
        <v>200025889333</v>
      </c>
      <c r="G329" s="198" t="s">
        <v>652</v>
      </c>
      <c r="H329" s="163" t="s">
        <v>445</v>
      </c>
      <c r="I329" s="161" t="n">
        <v>50</v>
      </c>
      <c r="J329" s="156" t="s">
        <v>192</v>
      </c>
      <c r="K329" s="200" t="n">
        <v>45434.0170601852</v>
      </c>
      <c r="L329" s="1" t="n">
        <v>2</v>
      </c>
      <c r="M329" s="1" t="n">
        <v>11171</v>
      </c>
      <c r="N329" s="1" t="n">
        <v>49</v>
      </c>
    </row>
    <row r="330" customFormat="false" ht="14.25" hidden="false" customHeight="false" outlineLevel="0" collapsed="false">
      <c r="A330" s="1" t="n">
        <v>71</v>
      </c>
      <c r="B330" s="1" t="s">
        <v>621</v>
      </c>
      <c r="C330" s="1" t="s">
        <v>622</v>
      </c>
      <c r="D330" s="1" t="n">
        <v>11171</v>
      </c>
      <c r="E330" s="1" t="s">
        <v>55</v>
      </c>
      <c r="F330" s="201" t="n">
        <v>200025889333</v>
      </c>
      <c r="G330" s="198" t="s">
        <v>652</v>
      </c>
      <c r="H330" s="163" t="s">
        <v>445</v>
      </c>
      <c r="I330" s="161" t="n">
        <v>50</v>
      </c>
      <c r="J330" s="156" t="s">
        <v>192</v>
      </c>
      <c r="K330" s="200" t="n">
        <v>45434.0206597222</v>
      </c>
      <c r="L330" s="1" t="n">
        <v>2</v>
      </c>
      <c r="M330" s="1" t="n">
        <v>11171</v>
      </c>
      <c r="N330" s="1" t="n">
        <v>50</v>
      </c>
    </row>
    <row r="331" customFormat="false" ht="14.25" hidden="false" customHeight="false" outlineLevel="0" collapsed="false">
      <c r="A331" s="1" t="n">
        <v>72</v>
      </c>
      <c r="B331" s="1" t="s">
        <v>621</v>
      </c>
      <c r="C331" s="1" t="s">
        <v>622</v>
      </c>
      <c r="D331" s="1" t="n">
        <v>11171</v>
      </c>
      <c r="E331" s="1" t="s">
        <v>55</v>
      </c>
      <c r="F331" s="201" t="n">
        <v>200025889333</v>
      </c>
      <c r="G331" s="198" t="s">
        <v>652</v>
      </c>
      <c r="H331" s="163" t="s">
        <v>445</v>
      </c>
      <c r="I331" s="161" t="n">
        <v>50</v>
      </c>
      <c r="J331" s="156" t="s">
        <v>192</v>
      </c>
      <c r="K331" s="200" t="n">
        <v>45434.0206944444</v>
      </c>
      <c r="L331" s="1" t="n">
        <v>0</v>
      </c>
      <c r="M331" s="1" t="n">
        <v>11171</v>
      </c>
      <c r="N331" s="1" t="n">
        <v>51</v>
      </c>
    </row>
    <row r="332" customFormat="false" ht="14.25" hidden="false" customHeight="false" outlineLevel="0" collapsed="false">
      <c r="A332" s="1" t="n">
        <v>73</v>
      </c>
      <c r="B332" s="1" t="s">
        <v>621</v>
      </c>
      <c r="C332" s="1" t="s">
        <v>622</v>
      </c>
      <c r="D332" s="1" t="n">
        <v>11171</v>
      </c>
      <c r="E332" s="1" t="s">
        <v>55</v>
      </c>
      <c r="F332" s="201" t="n">
        <v>200025889333</v>
      </c>
      <c r="G332" s="198" t="s">
        <v>652</v>
      </c>
      <c r="H332" s="163" t="s">
        <v>445</v>
      </c>
      <c r="I332" s="161" t="n">
        <v>50</v>
      </c>
      <c r="J332" s="156" t="s">
        <v>192</v>
      </c>
      <c r="K332" s="200" t="n">
        <v>45434.0214699074</v>
      </c>
      <c r="L332" s="1" t="n">
        <v>3</v>
      </c>
      <c r="M332" s="1" t="n">
        <v>11171</v>
      </c>
      <c r="N332" s="1" t="n">
        <v>52</v>
      </c>
    </row>
    <row r="333" customFormat="false" ht="14.25" hidden="false" customHeight="false" outlineLevel="0" collapsed="false">
      <c r="A333" s="1" t="n">
        <v>74</v>
      </c>
      <c r="B333" s="1" t="s">
        <v>621</v>
      </c>
      <c r="C333" s="1" t="s">
        <v>622</v>
      </c>
      <c r="D333" s="1" t="n">
        <v>11171</v>
      </c>
      <c r="E333" s="1" t="s">
        <v>55</v>
      </c>
      <c r="F333" s="201" t="n">
        <v>200025889333</v>
      </c>
      <c r="G333" s="198" t="s">
        <v>652</v>
      </c>
      <c r="H333" s="163" t="s">
        <v>445</v>
      </c>
      <c r="I333" s="161" t="n">
        <v>50</v>
      </c>
      <c r="J333" s="156" t="s">
        <v>192</v>
      </c>
      <c r="K333" s="200" t="n">
        <v>45434.0216203704</v>
      </c>
      <c r="L333" s="1" t="n">
        <v>3</v>
      </c>
      <c r="M333" s="1" t="n">
        <v>11171</v>
      </c>
      <c r="N333" s="1" t="n">
        <v>53</v>
      </c>
    </row>
    <row r="334" customFormat="false" ht="14.25" hidden="false" customHeight="false" outlineLevel="0" collapsed="false">
      <c r="A334" s="1" t="n">
        <v>75</v>
      </c>
      <c r="B334" s="1" t="s">
        <v>621</v>
      </c>
      <c r="C334" s="1" t="s">
        <v>622</v>
      </c>
      <c r="D334" s="1" t="n">
        <v>11171</v>
      </c>
      <c r="E334" s="1" t="s">
        <v>55</v>
      </c>
      <c r="F334" s="201" t="n">
        <v>200025889333</v>
      </c>
      <c r="G334" s="198" t="s">
        <v>652</v>
      </c>
      <c r="H334" s="163" t="s">
        <v>445</v>
      </c>
      <c r="I334" s="161" t="n">
        <v>50</v>
      </c>
      <c r="J334" s="156" t="s">
        <v>192</v>
      </c>
      <c r="K334" s="200" t="n">
        <v>45434.0223611111</v>
      </c>
      <c r="L334" s="1" t="n">
        <v>3</v>
      </c>
      <c r="M334" s="1" t="n">
        <v>11171</v>
      </c>
      <c r="N334" s="1" t="n">
        <v>54</v>
      </c>
    </row>
    <row r="335" customFormat="false" ht="14.25" hidden="false" customHeight="false" outlineLevel="0" collapsed="false">
      <c r="A335" s="1" t="n">
        <v>76</v>
      </c>
      <c r="B335" s="1" t="s">
        <v>621</v>
      </c>
      <c r="C335" s="1" t="s">
        <v>622</v>
      </c>
      <c r="D335" s="1" t="n">
        <v>11171</v>
      </c>
      <c r="E335" s="1" t="s">
        <v>55</v>
      </c>
      <c r="F335" s="201" t="n">
        <v>200025889333</v>
      </c>
      <c r="G335" s="198" t="s">
        <v>652</v>
      </c>
      <c r="H335" s="163" t="s">
        <v>445</v>
      </c>
      <c r="I335" s="161" t="n">
        <v>50</v>
      </c>
      <c r="J335" s="156" t="s">
        <v>192</v>
      </c>
      <c r="K335" s="200" t="n">
        <v>45434.0224537037</v>
      </c>
      <c r="L335" s="1" t="n">
        <v>5</v>
      </c>
      <c r="M335" s="1" t="n">
        <v>11171</v>
      </c>
      <c r="N335" s="1" t="n">
        <v>55</v>
      </c>
    </row>
    <row r="336" customFormat="false" ht="14.25" hidden="false" customHeight="false" outlineLevel="0" collapsed="false">
      <c r="A336" s="1" t="n">
        <v>77</v>
      </c>
      <c r="B336" s="1" t="s">
        <v>621</v>
      </c>
      <c r="C336" s="1" t="s">
        <v>622</v>
      </c>
      <c r="D336" s="1" t="n">
        <v>11171</v>
      </c>
      <c r="E336" s="1" t="s">
        <v>55</v>
      </c>
      <c r="F336" s="201" t="n">
        <v>200025889333</v>
      </c>
      <c r="G336" s="198" t="s">
        <v>652</v>
      </c>
      <c r="H336" s="163" t="s">
        <v>445</v>
      </c>
      <c r="I336" s="161" t="n">
        <v>50</v>
      </c>
      <c r="J336" s="156" t="s">
        <v>192</v>
      </c>
      <c r="K336" s="200" t="n">
        <v>45434.0249768519</v>
      </c>
      <c r="L336" s="1" t="n">
        <v>3</v>
      </c>
      <c r="M336" s="1" t="n">
        <v>11171</v>
      </c>
      <c r="N336" s="1" t="n">
        <v>56</v>
      </c>
    </row>
    <row r="337" customFormat="false" ht="14.25" hidden="false" customHeight="false" outlineLevel="0" collapsed="false">
      <c r="A337" s="1" t="n">
        <v>78</v>
      </c>
      <c r="B337" s="1" t="s">
        <v>621</v>
      </c>
      <c r="C337" s="1" t="s">
        <v>622</v>
      </c>
      <c r="D337" s="1" t="n">
        <v>11171</v>
      </c>
      <c r="E337" s="1" t="s">
        <v>55</v>
      </c>
      <c r="F337" s="201" t="n">
        <v>200025889333</v>
      </c>
      <c r="G337" s="198" t="s">
        <v>652</v>
      </c>
      <c r="H337" s="163" t="s">
        <v>445</v>
      </c>
      <c r="I337" s="161" t="n">
        <v>50</v>
      </c>
      <c r="J337" s="156" t="s">
        <v>192</v>
      </c>
      <c r="K337" s="200" t="n">
        <v>45434.0263078704</v>
      </c>
      <c r="L337" s="1" t="n">
        <v>1</v>
      </c>
      <c r="M337" s="1" t="n">
        <v>11171</v>
      </c>
      <c r="N337" s="1" t="n">
        <v>57</v>
      </c>
    </row>
    <row r="338" customFormat="false" ht="14.25" hidden="false" customHeight="false" outlineLevel="0" collapsed="false">
      <c r="A338" s="1" t="n">
        <v>79</v>
      </c>
      <c r="B338" s="1" t="s">
        <v>621</v>
      </c>
      <c r="C338" s="1" t="s">
        <v>622</v>
      </c>
      <c r="D338" s="1" t="n">
        <v>11171</v>
      </c>
      <c r="E338" s="1" t="s">
        <v>55</v>
      </c>
      <c r="F338" s="201" t="n">
        <v>200025889333</v>
      </c>
      <c r="G338" s="198" t="s">
        <v>652</v>
      </c>
      <c r="H338" s="163" t="s">
        <v>445</v>
      </c>
      <c r="I338" s="161" t="n">
        <v>50</v>
      </c>
      <c r="J338" s="156" t="s">
        <v>192</v>
      </c>
      <c r="K338" s="200" t="n">
        <v>45434.0263194444</v>
      </c>
      <c r="L338" s="1" t="n">
        <v>1</v>
      </c>
      <c r="M338" s="1" t="n">
        <v>11171</v>
      </c>
      <c r="N338" s="1" t="n">
        <v>58</v>
      </c>
    </row>
    <row r="339" customFormat="false" ht="14.25" hidden="false" customHeight="false" outlineLevel="0" collapsed="false">
      <c r="A339" s="1" t="n">
        <v>80</v>
      </c>
      <c r="B339" s="1" t="s">
        <v>621</v>
      </c>
      <c r="C339" s="1" t="s">
        <v>622</v>
      </c>
      <c r="D339" s="1" t="n">
        <v>11171</v>
      </c>
      <c r="E339" s="1" t="s">
        <v>55</v>
      </c>
      <c r="F339" s="201" t="n">
        <v>200025889333</v>
      </c>
      <c r="G339" s="198" t="s">
        <v>652</v>
      </c>
      <c r="H339" s="163" t="s">
        <v>445</v>
      </c>
      <c r="I339" s="161" t="n">
        <v>50</v>
      </c>
      <c r="J339" s="156" t="s">
        <v>192</v>
      </c>
      <c r="K339" s="200" t="n">
        <v>45434.0263310185</v>
      </c>
      <c r="L339" s="1" t="n">
        <v>0</v>
      </c>
      <c r="M339" s="1" t="n">
        <v>11171</v>
      </c>
      <c r="N339" s="1" t="n">
        <v>59</v>
      </c>
    </row>
    <row r="340" customFormat="false" ht="14.25" hidden="false" customHeight="false" outlineLevel="0" collapsed="false">
      <c r="A340" s="1" t="n">
        <v>81</v>
      </c>
      <c r="B340" s="1" t="s">
        <v>621</v>
      </c>
      <c r="C340" s="1" t="s">
        <v>622</v>
      </c>
      <c r="D340" s="1" t="n">
        <v>11171</v>
      </c>
      <c r="E340" s="1" t="s">
        <v>55</v>
      </c>
      <c r="F340" s="201" t="n">
        <v>200025889333</v>
      </c>
      <c r="G340" s="198" t="s">
        <v>652</v>
      </c>
      <c r="H340" s="163" t="s">
        <v>445</v>
      </c>
      <c r="I340" s="161" t="n">
        <v>50</v>
      </c>
      <c r="J340" s="156" t="s">
        <v>192</v>
      </c>
      <c r="K340" s="200" t="n">
        <v>45434.0263425926</v>
      </c>
      <c r="L340" s="1" t="n">
        <v>0</v>
      </c>
      <c r="M340" s="1" t="n">
        <v>11171</v>
      </c>
      <c r="N340" s="1" t="n">
        <v>60</v>
      </c>
    </row>
    <row r="341" customFormat="false" ht="14.25" hidden="false" customHeight="false" outlineLevel="0" collapsed="false">
      <c r="A341" s="1" t="n">
        <v>82</v>
      </c>
      <c r="B341" s="1" t="s">
        <v>621</v>
      </c>
      <c r="C341" s="1" t="s">
        <v>622</v>
      </c>
      <c r="D341" s="1" t="n">
        <v>11171</v>
      </c>
      <c r="E341" s="1" t="s">
        <v>55</v>
      </c>
      <c r="F341" s="201" t="n">
        <v>200025889333</v>
      </c>
      <c r="G341" s="198" t="s">
        <v>652</v>
      </c>
      <c r="H341" s="163" t="s">
        <v>445</v>
      </c>
      <c r="I341" s="161" t="n">
        <v>50</v>
      </c>
      <c r="J341" s="156" t="s">
        <v>192</v>
      </c>
      <c r="K341" s="200" t="n">
        <v>45434.0272569444</v>
      </c>
      <c r="L341" s="1" t="n">
        <v>2</v>
      </c>
      <c r="M341" s="1" t="n">
        <v>11171</v>
      </c>
      <c r="N341" s="1" t="n">
        <v>61</v>
      </c>
    </row>
    <row r="342" customFormat="false" ht="14.25" hidden="false" customHeight="false" outlineLevel="0" collapsed="false">
      <c r="A342" s="1" t="n">
        <v>83</v>
      </c>
      <c r="B342" s="1" t="s">
        <v>621</v>
      </c>
      <c r="C342" s="1" t="s">
        <v>622</v>
      </c>
      <c r="D342" s="1" t="n">
        <v>11171</v>
      </c>
      <c r="E342" s="1" t="s">
        <v>55</v>
      </c>
      <c r="F342" s="201" t="n">
        <v>200025889333</v>
      </c>
      <c r="G342" s="198" t="s">
        <v>652</v>
      </c>
      <c r="H342" s="163" t="s">
        <v>445</v>
      </c>
      <c r="I342" s="161" t="n">
        <v>50</v>
      </c>
      <c r="J342" s="156" t="s">
        <v>192</v>
      </c>
      <c r="K342" s="200" t="n">
        <v>45434.027349537</v>
      </c>
      <c r="L342" s="1" t="n">
        <v>1</v>
      </c>
      <c r="M342" s="1" t="n">
        <v>11171</v>
      </c>
      <c r="N342" s="1" t="n">
        <v>62</v>
      </c>
    </row>
    <row r="343" customFormat="false" ht="14.25" hidden="false" customHeight="false" outlineLevel="0" collapsed="false">
      <c r="A343" s="1" t="n">
        <v>84</v>
      </c>
      <c r="B343" s="1" t="s">
        <v>621</v>
      </c>
      <c r="C343" s="1" t="s">
        <v>622</v>
      </c>
      <c r="D343" s="1" t="n">
        <v>11171</v>
      </c>
      <c r="E343" s="1" t="s">
        <v>55</v>
      </c>
      <c r="F343" s="201" t="n">
        <v>200025889333</v>
      </c>
      <c r="G343" s="198" t="s">
        <v>652</v>
      </c>
      <c r="H343" s="163" t="s">
        <v>445</v>
      </c>
      <c r="I343" s="161" t="n">
        <v>50</v>
      </c>
      <c r="J343" s="156" t="s">
        <v>192</v>
      </c>
      <c r="K343" s="200" t="n">
        <v>45434.0461226852</v>
      </c>
      <c r="L343" s="1" t="n">
        <v>1</v>
      </c>
      <c r="M343" s="1" t="n">
        <v>11171</v>
      </c>
      <c r="N343" s="1" t="n">
        <v>63</v>
      </c>
    </row>
    <row r="344" customFormat="false" ht="14.25" hidden="false" customHeight="false" outlineLevel="0" collapsed="false">
      <c r="A344" s="1" t="n">
        <v>85</v>
      </c>
      <c r="B344" s="1" t="s">
        <v>621</v>
      </c>
      <c r="C344" s="1" t="s">
        <v>622</v>
      </c>
      <c r="D344" s="1" t="n">
        <v>11171</v>
      </c>
      <c r="E344" s="1" t="s">
        <v>55</v>
      </c>
      <c r="F344" s="201" t="n">
        <v>200025889333</v>
      </c>
      <c r="G344" s="198" t="s">
        <v>652</v>
      </c>
      <c r="H344" s="163" t="s">
        <v>445</v>
      </c>
      <c r="I344" s="161" t="n">
        <v>50</v>
      </c>
      <c r="J344" s="156" t="s">
        <v>192</v>
      </c>
      <c r="K344" s="200" t="n">
        <v>45434.1139351852</v>
      </c>
      <c r="L344" s="1" t="n">
        <v>1</v>
      </c>
      <c r="M344" s="1" t="n">
        <v>11171</v>
      </c>
      <c r="N344" s="1" t="n">
        <v>64</v>
      </c>
    </row>
    <row r="345" customFormat="false" ht="14.25" hidden="false" customHeight="false" outlineLevel="0" collapsed="false">
      <c r="A345" s="1" t="n">
        <v>86</v>
      </c>
      <c r="B345" s="1" t="s">
        <v>621</v>
      </c>
      <c r="C345" s="1" t="s">
        <v>622</v>
      </c>
      <c r="D345" s="1" t="n">
        <v>11171</v>
      </c>
      <c r="E345" s="1" t="s">
        <v>55</v>
      </c>
      <c r="F345" s="201" t="n">
        <v>200025889333</v>
      </c>
      <c r="G345" s="198" t="s">
        <v>652</v>
      </c>
      <c r="H345" s="163" t="s">
        <v>445</v>
      </c>
      <c r="I345" s="161" t="n">
        <v>50</v>
      </c>
      <c r="J345" s="156" t="s">
        <v>192</v>
      </c>
      <c r="K345" s="200" t="n">
        <v>45434.1140625</v>
      </c>
      <c r="L345" s="1" t="n">
        <v>2</v>
      </c>
      <c r="M345" s="1" t="n">
        <v>11171</v>
      </c>
      <c r="N345" s="1" t="n">
        <v>65</v>
      </c>
    </row>
    <row r="346" customFormat="false" ht="14.25" hidden="false" customHeight="false" outlineLevel="0" collapsed="false">
      <c r="A346" s="1" t="n">
        <v>87</v>
      </c>
      <c r="B346" s="1" t="s">
        <v>621</v>
      </c>
      <c r="C346" s="1" t="s">
        <v>622</v>
      </c>
      <c r="D346" s="1" t="n">
        <v>11171</v>
      </c>
      <c r="E346" s="1" t="s">
        <v>55</v>
      </c>
      <c r="F346" s="201" t="n">
        <v>200025889333</v>
      </c>
      <c r="G346" s="198" t="s">
        <v>652</v>
      </c>
      <c r="H346" s="163" t="s">
        <v>445</v>
      </c>
      <c r="I346" s="161" t="n">
        <v>50</v>
      </c>
      <c r="J346" s="156" t="s">
        <v>192</v>
      </c>
      <c r="K346" s="200" t="n">
        <v>45434.1143634259</v>
      </c>
      <c r="L346" s="1" t="n">
        <v>1</v>
      </c>
      <c r="M346" s="1" t="n">
        <v>11171</v>
      </c>
      <c r="N346" s="1" t="n">
        <v>66</v>
      </c>
    </row>
    <row r="347" customFormat="false" ht="14.25" hidden="false" customHeight="false" outlineLevel="0" collapsed="false">
      <c r="A347" s="1" t="n">
        <v>88</v>
      </c>
      <c r="B347" s="1" t="s">
        <v>621</v>
      </c>
      <c r="C347" s="1" t="s">
        <v>622</v>
      </c>
      <c r="D347" s="1" t="n">
        <v>11171</v>
      </c>
      <c r="E347" s="1" t="s">
        <v>55</v>
      </c>
      <c r="F347" s="201" t="n">
        <v>200025889333</v>
      </c>
      <c r="G347" s="198" t="s">
        <v>652</v>
      </c>
      <c r="H347" s="163" t="s">
        <v>445</v>
      </c>
      <c r="I347" s="161" t="n">
        <v>50</v>
      </c>
      <c r="J347" s="156" t="s">
        <v>192</v>
      </c>
      <c r="K347" s="200" t="n">
        <v>45434.1178240741</v>
      </c>
      <c r="L347" s="1" t="n">
        <v>3</v>
      </c>
      <c r="M347" s="1" t="n">
        <v>11171</v>
      </c>
      <c r="N347" s="1" t="n">
        <v>67</v>
      </c>
    </row>
    <row r="348" customFormat="false" ht="14.25" hidden="false" customHeight="false" outlineLevel="0" collapsed="false">
      <c r="A348" s="1" t="n">
        <v>89</v>
      </c>
      <c r="B348" s="1" t="s">
        <v>621</v>
      </c>
      <c r="C348" s="1" t="s">
        <v>622</v>
      </c>
      <c r="D348" s="1" t="n">
        <v>11171</v>
      </c>
      <c r="E348" s="1" t="s">
        <v>55</v>
      </c>
      <c r="F348" s="201" t="n">
        <v>200025889333</v>
      </c>
      <c r="G348" s="198" t="s">
        <v>652</v>
      </c>
      <c r="H348" s="163" t="s">
        <v>445</v>
      </c>
      <c r="I348" s="161" t="n">
        <v>50</v>
      </c>
      <c r="J348" s="156" t="s">
        <v>192</v>
      </c>
      <c r="K348" s="200" t="n">
        <v>45434.117974537</v>
      </c>
      <c r="L348" s="1" t="n">
        <v>3</v>
      </c>
      <c r="M348" s="1" t="n">
        <v>11171</v>
      </c>
      <c r="N348" s="1" t="n">
        <v>68</v>
      </c>
    </row>
    <row r="349" customFormat="false" ht="14.25" hidden="false" customHeight="false" outlineLevel="0" collapsed="false">
      <c r="A349" s="1" t="n">
        <v>90</v>
      </c>
      <c r="B349" s="1" t="s">
        <v>621</v>
      </c>
      <c r="C349" s="1" t="s">
        <v>622</v>
      </c>
      <c r="D349" s="1" t="n">
        <v>11171</v>
      </c>
      <c r="E349" s="1" t="s">
        <v>55</v>
      </c>
      <c r="F349" s="201" t="n">
        <v>200025889333</v>
      </c>
      <c r="G349" s="198" t="s">
        <v>652</v>
      </c>
      <c r="H349" s="163" t="s">
        <v>445</v>
      </c>
      <c r="I349" s="161" t="n">
        <v>50</v>
      </c>
      <c r="J349" s="156" t="s">
        <v>192</v>
      </c>
      <c r="K349" s="200" t="n">
        <v>45434.1409490741</v>
      </c>
      <c r="L349" s="1" t="n">
        <v>2</v>
      </c>
      <c r="M349" s="1" t="n">
        <v>11171</v>
      </c>
      <c r="N349" s="1" t="n">
        <v>69</v>
      </c>
    </row>
    <row r="350" customFormat="false" ht="14.25" hidden="false" customHeight="false" outlineLevel="0" collapsed="false">
      <c r="A350" s="1" t="n">
        <v>91</v>
      </c>
      <c r="B350" s="1" t="s">
        <v>621</v>
      </c>
      <c r="C350" s="1" t="s">
        <v>622</v>
      </c>
      <c r="D350" s="1" t="n">
        <v>11171</v>
      </c>
      <c r="E350" s="1" t="s">
        <v>55</v>
      </c>
      <c r="F350" s="201" t="n">
        <v>200025889333</v>
      </c>
      <c r="G350" s="198" t="s">
        <v>652</v>
      </c>
      <c r="H350" s="163" t="s">
        <v>445</v>
      </c>
      <c r="I350" s="161" t="n">
        <v>50</v>
      </c>
      <c r="J350" s="156" t="s">
        <v>192</v>
      </c>
      <c r="K350" s="200" t="n">
        <v>45434.1434143519</v>
      </c>
      <c r="L350" s="1" t="n">
        <v>3</v>
      </c>
      <c r="M350" s="1" t="n">
        <v>11171</v>
      </c>
      <c r="N350" s="1" t="n">
        <v>70</v>
      </c>
    </row>
    <row r="351" customFormat="false" ht="14.25" hidden="false" customHeight="false" outlineLevel="0" collapsed="false">
      <c r="A351" s="1" t="n">
        <v>92</v>
      </c>
      <c r="B351" s="1" t="s">
        <v>621</v>
      </c>
      <c r="C351" s="1" t="s">
        <v>622</v>
      </c>
      <c r="D351" s="1" t="n">
        <v>11171</v>
      </c>
      <c r="E351" s="1" t="s">
        <v>55</v>
      </c>
      <c r="F351" s="201" t="n">
        <v>200025889333</v>
      </c>
      <c r="G351" s="198" t="s">
        <v>652</v>
      </c>
      <c r="H351" s="163" t="s">
        <v>445</v>
      </c>
      <c r="I351" s="161" t="n">
        <v>50</v>
      </c>
      <c r="J351" s="156" t="s">
        <v>192</v>
      </c>
      <c r="K351" s="200" t="n">
        <v>45434.1482175926</v>
      </c>
      <c r="L351" s="1" t="n">
        <v>2</v>
      </c>
      <c r="M351" s="1" t="n">
        <v>11171</v>
      </c>
      <c r="N351" s="1" t="n">
        <v>71</v>
      </c>
    </row>
    <row r="352" customFormat="false" ht="14.25" hidden="false" customHeight="false" outlineLevel="0" collapsed="false">
      <c r="A352" s="1" t="n">
        <v>93</v>
      </c>
      <c r="B352" s="1" t="s">
        <v>621</v>
      </c>
      <c r="C352" s="1" t="s">
        <v>622</v>
      </c>
      <c r="D352" s="1" t="n">
        <v>11171</v>
      </c>
      <c r="E352" s="1" t="s">
        <v>55</v>
      </c>
      <c r="F352" s="201" t="n">
        <v>200025889333</v>
      </c>
      <c r="G352" s="198" t="s">
        <v>652</v>
      </c>
      <c r="H352" s="163" t="s">
        <v>445</v>
      </c>
      <c r="I352" s="161" t="n">
        <v>50</v>
      </c>
      <c r="J352" s="156" t="s">
        <v>192</v>
      </c>
      <c r="K352" s="200" t="n">
        <v>45434.1484490741</v>
      </c>
      <c r="L352" s="1" t="n">
        <v>2</v>
      </c>
      <c r="M352" s="1" t="n">
        <v>11171</v>
      </c>
      <c r="N352" s="1" t="n">
        <v>72</v>
      </c>
    </row>
    <row r="353" customFormat="false" ht="14.25" hidden="false" customHeight="false" outlineLevel="0" collapsed="false">
      <c r="A353" s="1" t="n">
        <v>94</v>
      </c>
      <c r="B353" s="1" t="s">
        <v>621</v>
      </c>
      <c r="C353" s="1" t="s">
        <v>622</v>
      </c>
      <c r="D353" s="1" t="n">
        <v>11171</v>
      </c>
      <c r="E353" s="1" t="s">
        <v>55</v>
      </c>
      <c r="F353" s="201" t="n">
        <v>200025889333</v>
      </c>
      <c r="G353" s="198" t="s">
        <v>652</v>
      </c>
      <c r="H353" s="163" t="s">
        <v>445</v>
      </c>
      <c r="I353" s="161" t="n">
        <v>50</v>
      </c>
      <c r="J353" s="156" t="s">
        <v>192</v>
      </c>
      <c r="K353" s="200" t="n">
        <v>45434.1485763889</v>
      </c>
      <c r="L353" s="1" t="n">
        <v>1</v>
      </c>
      <c r="M353" s="1" t="n">
        <v>11171</v>
      </c>
      <c r="N353" s="1" t="n">
        <v>73</v>
      </c>
    </row>
    <row r="354" customFormat="false" ht="14.25" hidden="false" customHeight="false" outlineLevel="0" collapsed="false">
      <c r="A354" s="1" t="n">
        <v>95</v>
      </c>
      <c r="B354" s="1" t="s">
        <v>621</v>
      </c>
      <c r="C354" s="1" t="s">
        <v>622</v>
      </c>
      <c r="D354" s="1" t="n">
        <v>11171</v>
      </c>
      <c r="E354" s="1" t="s">
        <v>55</v>
      </c>
      <c r="F354" s="201" t="n">
        <v>200025889333</v>
      </c>
      <c r="G354" s="198" t="s">
        <v>652</v>
      </c>
      <c r="H354" s="163" t="s">
        <v>445</v>
      </c>
      <c r="I354" s="161" t="n">
        <v>50</v>
      </c>
      <c r="J354" s="156" t="s">
        <v>192</v>
      </c>
      <c r="K354" s="200" t="n">
        <v>45434.1500810185</v>
      </c>
      <c r="L354" s="1" t="n">
        <v>2</v>
      </c>
      <c r="M354" s="1" t="n">
        <v>11171</v>
      </c>
      <c r="N354" s="1" t="n">
        <v>74</v>
      </c>
    </row>
    <row r="355" customFormat="false" ht="14.25" hidden="false" customHeight="false" outlineLevel="0" collapsed="false">
      <c r="A355" s="1" t="n">
        <v>96</v>
      </c>
      <c r="B355" s="1" t="s">
        <v>621</v>
      </c>
      <c r="C355" s="1" t="s">
        <v>622</v>
      </c>
      <c r="D355" s="1" t="n">
        <v>11171</v>
      </c>
      <c r="E355" s="1" t="s">
        <v>55</v>
      </c>
      <c r="F355" s="201" t="n">
        <v>200025889333</v>
      </c>
      <c r="G355" s="198" t="s">
        <v>652</v>
      </c>
      <c r="H355" s="163" t="s">
        <v>445</v>
      </c>
      <c r="I355" s="161" t="n">
        <v>50</v>
      </c>
      <c r="J355" s="156" t="s">
        <v>192</v>
      </c>
      <c r="K355" s="200" t="n">
        <v>45434.151400463</v>
      </c>
      <c r="L355" s="1" t="n">
        <v>2</v>
      </c>
      <c r="M355" s="1" t="n">
        <v>11171</v>
      </c>
      <c r="N355" s="1" t="n">
        <v>75</v>
      </c>
    </row>
    <row r="356" customFormat="false" ht="14.25" hidden="false" customHeight="false" outlineLevel="0" collapsed="false">
      <c r="A356" s="1" t="n">
        <v>97</v>
      </c>
      <c r="B356" s="1" t="s">
        <v>621</v>
      </c>
      <c r="C356" s="1" t="s">
        <v>622</v>
      </c>
      <c r="D356" s="1" t="n">
        <v>11171</v>
      </c>
      <c r="E356" s="1" t="s">
        <v>55</v>
      </c>
      <c r="F356" s="201" t="n">
        <v>200025889333</v>
      </c>
      <c r="G356" s="198" t="s">
        <v>652</v>
      </c>
      <c r="H356" s="163" t="s">
        <v>445</v>
      </c>
      <c r="I356" s="161" t="n">
        <v>50</v>
      </c>
      <c r="J356" s="156" t="s">
        <v>192</v>
      </c>
      <c r="K356" s="200" t="n">
        <v>45434.1515625</v>
      </c>
      <c r="L356" s="1" t="n">
        <v>1</v>
      </c>
      <c r="M356" s="1" t="n">
        <v>11171</v>
      </c>
      <c r="N356" s="1" t="n">
        <v>76</v>
      </c>
    </row>
    <row r="357" customFormat="false" ht="14.25" hidden="false" customHeight="false" outlineLevel="0" collapsed="false">
      <c r="A357" s="1" t="n">
        <v>98</v>
      </c>
      <c r="B357" s="1" t="s">
        <v>621</v>
      </c>
      <c r="C357" s="1" t="s">
        <v>622</v>
      </c>
      <c r="D357" s="1" t="n">
        <v>11171</v>
      </c>
      <c r="E357" s="1" t="s">
        <v>55</v>
      </c>
      <c r="F357" s="201" t="n">
        <v>200025889333</v>
      </c>
      <c r="G357" s="198" t="s">
        <v>652</v>
      </c>
      <c r="H357" s="163" t="s">
        <v>445</v>
      </c>
      <c r="I357" s="161" t="n">
        <v>50</v>
      </c>
      <c r="J357" s="156" t="s">
        <v>192</v>
      </c>
      <c r="K357" s="200" t="n">
        <v>45434.1536342593</v>
      </c>
      <c r="L357" s="1" t="n">
        <v>2</v>
      </c>
      <c r="M357" s="1" t="n">
        <v>11171</v>
      </c>
      <c r="N357" s="1" t="n">
        <v>77</v>
      </c>
    </row>
    <row r="358" customFormat="false" ht="14.25" hidden="false" customHeight="false" outlineLevel="0" collapsed="false">
      <c r="A358" s="1" t="n">
        <v>99</v>
      </c>
      <c r="B358" s="1" t="s">
        <v>621</v>
      </c>
      <c r="C358" s="1" t="s">
        <v>622</v>
      </c>
      <c r="D358" s="1" t="n">
        <v>11171</v>
      </c>
      <c r="E358" s="1" t="s">
        <v>55</v>
      </c>
      <c r="F358" s="201" t="n">
        <v>200025889333</v>
      </c>
      <c r="G358" s="198" t="s">
        <v>652</v>
      </c>
      <c r="H358" s="163" t="s">
        <v>445</v>
      </c>
      <c r="I358" s="161" t="n">
        <v>50</v>
      </c>
      <c r="J358" s="156" t="s">
        <v>192</v>
      </c>
      <c r="K358" s="200" t="n">
        <v>45434.1550347222</v>
      </c>
      <c r="L358" s="1" t="n">
        <v>0</v>
      </c>
      <c r="M358" s="1" t="n">
        <v>11171</v>
      </c>
      <c r="N358" s="1" t="n">
        <v>78</v>
      </c>
    </row>
    <row r="359" customFormat="false" ht="14.25" hidden="false" customHeight="false" outlineLevel="0" collapsed="false">
      <c r="A359" s="1" t="n">
        <v>100</v>
      </c>
      <c r="B359" s="1" t="s">
        <v>621</v>
      </c>
      <c r="C359" s="1" t="s">
        <v>622</v>
      </c>
      <c r="D359" s="1" t="n">
        <v>11171</v>
      </c>
      <c r="E359" s="1" t="s">
        <v>55</v>
      </c>
      <c r="F359" s="201" t="n">
        <v>200025889333</v>
      </c>
      <c r="G359" s="198" t="s">
        <v>652</v>
      </c>
      <c r="H359" s="163" t="s">
        <v>445</v>
      </c>
      <c r="I359" s="161" t="n">
        <v>50</v>
      </c>
      <c r="J359" s="156" t="s">
        <v>192</v>
      </c>
      <c r="K359" s="200" t="n">
        <v>45434.1550347222</v>
      </c>
      <c r="L359" s="1" t="n">
        <v>2</v>
      </c>
      <c r="M359" s="1" t="n">
        <v>11171</v>
      </c>
      <c r="N359" s="1" t="n">
        <v>79</v>
      </c>
    </row>
    <row r="360" customFormat="false" ht="14.25" hidden="false" customHeight="false" outlineLevel="0" collapsed="false">
      <c r="A360" s="1" t="n">
        <v>101</v>
      </c>
      <c r="B360" s="1" t="s">
        <v>621</v>
      </c>
      <c r="C360" s="1" t="s">
        <v>622</v>
      </c>
      <c r="D360" s="1" t="n">
        <v>11171</v>
      </c>
      <c r="E360" s="1" t="s">
        <v>55</v>
      </c>
      <c r="F360" s="201" t="n">
        <v>200025889333</v>
      </c>
      <c r="G360" s="198" t="s">
        <v>652</v>
      </c>
      <c r="H360" s="163" t="s">
        <v>445</v>
      </c>
      <c r="I360" s="161" t="n">
        <v>50</v>
      </c>
      <c r="J360" s="156" t="s">
        <v>192</v>
      </c>
      <c r="K360" s="200" t="n">
        <v>45434.1550578704</v>
      </c>
      <c r="L360" s="10" t="n">
        <v>255</v>
      </c>
      <c r="M360" s="1" t="n">
        <v>11171</v>
      </c>
      <c r="N360" s="1" t="n">
        <v>80</v>
      </c>
    </row>
    <row r="361" customFormat="false" ht="14.25" hidden="false" customHeight="false" outlineLevel="0" collapsed="false">
      <c r="A361" s="1" t="n">
        <v>102</v>
      </c>
      <c r="B361" s="1" t="s">
        <v>621</v>
      </c>
      <c r="C361" s="1" t="s">
        <v>622</v>
      </c>
      <c r="D361" s="1" t="n">
        <v>11171</v>
      </c>
      <c r="E361" s="1" t="s">
        <v>55</v>
      </c>
      <c r="F361" s="201" t="n">
        <v>200025889333</v>
      </c>
      <c r="G361" s="198" t="s">
        <v>652</v>
      </c>
      <c r="H361" s="163" t="s">
        <v>445</v>
      </c>
      <c r="I361" s="161" t="n">
        <v>50</v>
      </c>
      <c r="J361" s="156" t="s">
        <v>192</v>
      </c>
      <c r="K361" s="200" t="n">
        <v>45434.2645833333</v>
      </c>
      <c r="L361" s="1" t="n">
        <v>2</v>
      </c>
      <c r="M361" s="1" t="n">
        <v>11171</v>
      </c>
      <c r="N361" s="1" t="n">
        <v>81</v>
      </c>
    </row>
    <row r="362" customFormat="false" ht="14.25" hidden="false" customHeight="false" outlineLevel="0" collapsed="false">
      <c r="A362" s="1" t="n">
        <v>103</v>
      </c>
      <c r="B362" s="1" t="s">
        <v>621</v>
      </c>
      <c r="C362" s="1" t="s">
        <v>622</v>
      </c>
      <c r="D362" s="1" t="n">
        <v>11171</v>
      </c>
      <c r="E362" s="1" t="s">
        <v>55</v>
      </c>
      <c r="F362" s="201" t="n">
        <v>200025889333</v>
      </c>
      <c r="G362" s="198" t="s">
        <v>652</v>
      </c>
      <c r="H362" s="163" t="s">
        <v>445</v>
      </c>
      <c r="I362" s="161" t="n">
        <v>50</v>
      </c>
      <c r="J362" s="156" t="s">
        <v>192</v>
      </c>
      <c r="K362" s="200" t="n">
        <v>45434.2649537037</v>
      </c>
      <c r="L362" s="1" t="n">
        <v>0</v>
      </c>
      <c r="M362" s="1" t="n">
        <v>11171</v>
      </c>
      <c r="N362" s="1" t="n">
        <v>82</v>
      </c>
    </row>
    <row r="363" customFormat="false" ht="14.25" hidden="false" customHeight="false" outlineLevel="0" collapsed="false">
      <c r="A363" s="1" t="n">
        <v>104</v>
      </c>
      <c r="B363" s="1" t="s">
        <v>621</v>
      </c>
      <c r="C363" s="1" t="s">
        <v>622</v>
      </c>
      <c r="D363" s="1" t="n">
        <v>11171</v>
      </c>
      <c r="E363" s="1" t="s">
        <v>55</v>
      </c>
      <c r="F363" s="201" t="n">
        <v>200025889333</v>
      </c>
      <c r="G363" s="198" t="s">
        <v>652</v>
      </c>
      <c r="H363" s="163" t="s">
        <v>445</v>
      </c>
      <c r="I363" s="161" t="n">
        <v>50</v>
      </c>
      <c r="J363" s="156" t="s">
        <v>192</v>
      </c>
      <c r="K363" s="200" t="n">
        <v>45434.2649652778</v>
      </c>
      <c r="L363" s="1" t="n">
        <v>2</v>
      </c>
      <c r="M363" s="1" t="n">
        <v>11171</v>
      </c>
      <c r="N363" s="1" t="n">
        <v>83</v>
      </c>
    </row>
    <row r="364" customFormat="false" ht="14.25" hidden="false" customHeight="false" outlineLevel="0" collapsed="false">
      <c r="A364" s="1" t="n">
        <v>105</v>
      </c>
      <c r="B364" s="1" t="s">
        <v>621</v>
      </c>
      <c r="C364" s="1" t="s">
        <v>622</v>
      </c>
      <c r="D364" s="1" t="n">
        <v>11171</v>
      </c>
      <c r="E364" s="1" t="s">
        <v>55</v>
      </c>
      <c r="F364" s="201" t="n">
        <v>200025889333</v>
      </c>
      <c r="G364" s="198" t="s">
        <v>652</v>
      </c>
      <c r="H364" s="163" t="s">
        <v>445</v>
      </c>
      <c r="I364" s="161" t="n">
        <v>50</v>
      </c>
      <c r="J364" s="156" t="s">
        <v>192</v>
      </c>
      <c r="K364" s="200" t="n">
        <v>45434.2649884259</v>
      </c>
      <c r="L364" s="10" t="n">
        <v>233</v>
      </c>
      <c r="M364" s="1" t="n">
        <v>11171</v>
      </c>
      <c r="N364" s="1" t="n">
        <v>84</v>
      </c>
    </row>
    <row r="365" customFormat="false" ht="14.25" hidden="false" customHeight="false" outlineLevel="0" collapsed="false">
      <c r="A365" s="1" t="n">
        <v>106</v>
      </c>
      <c r="B365" s="1" t="s">
        <v>621</v>
      </c>
      <c r="C365" s="1" t="s">
        <v>622</v>
      </c>
      <c r="D365" s="1" t="n">
        <v>11171</v>
      </c>
      <c r="E365" s="1" t="s">
        <v>55</v>
      </c>
      <c r="F365" s="201" t="n">
        <v>200025889333</v>
      </c>
      <c r="G365" s="198" t="s">
        <v>652</v>
      </c>
      <c r="H365" s="163" t="s">
        <v>445</v>
      </c>
      <c r="I365" s="161" t="n">
        <v>50</v>
      </c>
      <c r="J365" s="156" t="s">
        <v>192</v>
      </c>
      <c r="K365" s="200" t="n">
        <v>45434.2681134259</v>
      </c>
      <c r="L365" s="1" t="n">
        <v>2</v>
      </c>
      <c r="M365" s="1" t="n">
        <v>11171</v>
      </c>
      <c r="N365" s="1" t="n">
        <v>85</v>
      </c>
    </row>
    <row r="366" customFormat="false" ht="14.25" hidden="false" customHeight="false" outlineLevel="0" collapsed="false">
      <c r="A366" s="1" t="n">
        <v>107</v>
      </c>
      <c r="B366" s="1" t="s">
        <v>621</v>
      </c>
      <c r="C366" s="1" t="s">
        <v>622</v>
      </c>
      <c r="D366" s="1" t="n">
        <v>11171</v>
      </c>
      <c r="E366" s="1" t="s">
        <v>55</v>
      </c>
      <c r="F366" s="201" t="n">
        <v>200025889333</v>
      </c>
      <c r="G366" s="198" t="s">
        <v>652</v>
      </c>
      <c r="H366" s="163" t="s">
        <v>445</v>
      </c>
      <c r="I366" s="161" t="n">
        <v>50</v>
      </c>
      <c r="J366" s="156" t="s">
        <v>192</v>
      </c>
      <c r="K366" s="200" t="n">
        <v>45434.2691319444</v>
      </c>
      <c r="L366" s="1" t="n">
        <v>0</v>
      </c>
      <c r="M366" s="1" t="n">
        <v>11171</v>
      </c>
      <c r="N366" s="1" t="n">
        <v>86</v>
      </c>
    </row>
    <row r="367" customFormat="false" ht="14.25" hidden="false" customHeight="false" outlineLevel="0" collapsed="false">
      <c r="A367" s="1" t="n">
        <v>108</v>
      </c>
      <c r="B367" s="1" t="s">
        <v>621</v>
      </c>
      <c r="C367" s="1" t="s">
        <v>622</v>
      </c>
      <c r="D367" s="1" t="n">
        <v>11171</v>
      </c>
      <c r="E367" s="1" t="s">
        <v>55</v>
      </c>
      <c r="F367" s="201" t="n">
        <v>200025889333</v>
      </c>
      <c r="G367" s="198" t="s">
        <v>652</v>
      </c>
      <c r="H367" s="163" t="s">
        <v>445</v>
      </c>
      <c r="I367" s="161" t="n">
        <v>50</v>
      </c>
      <c r="J367" s="156" t="s">
        <v>192</v>
      </c>
      <c r="K367" s="200" t="n">
        <v>45434.2691435185</v>
      </c>
      <c r="L367" s="1" t="n">
        <v>0</v>
      </c>
      <c r="M367" s="1" t="n">
        <v>11171</v>
      </c>
      <c r="N367" s="1" t="n">
        <v>87</v>
      </c>
    </row>
    <row r="368" customFormat="false" ht="14.25" hidden="false" customHeight="false" outlineLevel="0" collapsed="false">
      <c r="A368" s="1" t="n">
        <v>109</v>
      </c>
      <c r="B368" s="1" t="s">
        <v>621</v>
      </c>
      <c r="C368" s="1" t="s">
        <v>622</v>
      </c>
      <c r="D368" s="1" t="n">
        <v>11171</v>
      </c>
      <c r="E368" s="1" t="s">
        <v>55</v>
      </c>
      <c r="F368" s="201" t="n">
        <v>200025889333</v>
      </c>
      <c r="G368" s="198" t="s">
        <v>652</v>
      </c>
      <c r="H368" s="163" t="s">
        <v>445</v>
      </c>
      <c r="I368" s="161" t="n">
        <v>50</v>
      </c>
      <c r="J368" s="156" t="s">
        <v>192</v>
      </c>
      <c r="K368" s="200" t="n">
        <v>45434.2703935185</v>
      </c>
      <c r="L368" s="1" t="n">
        <v>0</v>
      </c>
      <c r="M368" s="1" t="n">
        <v>11171</v>
      </c>
      <c r="N368" s="1" t="n">
        <v>88</v>
      </c>
    </row>
    <row r="369" customFormat="false" ht="14.25" hidden="false" customHeight="false" outlineLevel="0" collapsed="false">
      <c r="A369" s="1" t="n">
        <v>110</v>
      </c>
      <c r="B369" s="1" t="s">
        <v>621</v>
      </c>
      <c r="C369" s="1" t="s">
        <v>622</v>
      </c>
      <c r="D369" s="1" t="n">
        <v>11171</v>
      </c>
      <c r="E369" s="1" t="s">
        <v>55</v>
      </c>
      <c r="F369" s="201" t="n">
        <v>200025889333</v>
      </c>
      <c r="G369" s="198" t="s">
        <v>652</v>
      </c>
      <c r="H369" s="163" t="s">
        <v>445</v>
      </c>
      <c r="I369" s="161" t="n">
        <v>50</v>
      </c>
      <c r="J369" s="156" t="s">
        <v>192</v>
      </c>
      <c r="K369" s="200" t="n">
        <v>45434.2703935185</v>
      </c>
      <c r="L369" s="1" t="n">
        <v>2</v>
      </c>
      <c r="M369" s="1" t="n">
        <v>11171</v>
      </c>
      <c r="N369" s="1" t="n">
        <v>89</v>
      </c>
    </row>
    <row r="370" customFormat="false" ht="14.25" hidden="false" customHeight="false" outlineLevel="0" collapsed="false">
      <c r="A370" s="1" t="n">
        <v>111</v>
      </c>
      <c r="B370" s="1" t="s">
        <v>621</v>
      </c>
      <c r="C370" s="1" t="s">
        <v>622</v>
      </c>
      <c r="D370" s="1" t="n">
        <v>11171</v>
      </c>
      <c r="E370" s="1" t="s">
        <v>55</v>
      </c>
      <c r="F370" s="201" t="n">
        <v>200025889333</v>
      </c>
      <c r="G370" s="198" t="s">
        <v>652</v>
      </c>
      <c r="H370" s="163" t="s">
        <v>445</v>
      </c>
      <c r="I370" s="161" t="n">
        <v>50</v>
      </c>
      <c r="J370" s="156" t="s">
        <v>192</v>
      </c>
      <c r="K370" s="200" t="n">
        <v>45434.3297916667</v>
      </c>
      <c r="L370" s="1" t="n">
        <v>2</v>
      </c>
      <c r="M370" s="1" t="n">
        <v>11171</v>
      </c>
      <c r="N370" s="1" t="n">
        <v>90</v>
      </c>
    </row>
    <row r="371" customFormat="false" ht="14.25" hidden="false" customHeight="false" outlineLevel="0" collapsed="false">
      <c r="A371" s="1" t="n">
        <v>112</v>
      </c>
      <c r="B371" s="1" t="s">
        <v>621</v>
      </c>
      <c r="C371" s="1" t="s">
        <v>622</v>
      </c>
      <c r="D371" s="1" t="n">
        <v>11171</v>
      </c>
      <c r="E371" s="1" t="s">
        <v>55</v>
      </c>
      <c r="F371" s="201" t="n">
        <v>200025888221</v>
      </c>
      <c r="G371" s="198" t="s">
        <v>663</v>
      </c>
      <c r="H371" s="163" t="s">
        <v>266</v>
      </c>
      <c r="I371" s="161" t="n">
        <v>42</v>
      </c>
      <c r="J371" s="156" t="s">
        <v>185</v>
      </c>
      <c r="K371" s="200" t="n">
        <v>45434.5105324074</v>
      </c>
      <c r="L371" s="1" t="n">
        <v>3</v>
      </c>
      <c r="M371" s="1" t="n">
        <v>11171</v>
      </c>
      <c r="N371" s="1" t="n">
        <v>91</v>
      </c>
    </row>
    <row r="372" customFormat="false" ht="14.25" hidden="false" customHeight="false" outlineLevel="0" collapsed="false">
      <c r="A372" s="1" t="n">
        <v>113</v>
      </c>
      <c r="B372" s="1" t="s">
        <v>621</v>
      </c>
      <c r="C372" s="1" t="s">
        <v>622</v>
      </c>
      <c r="D372" s="1" t="n">
        <v>11171</v>
      </c>
      <c r="E372" s="1" t="s">
        <v>55</v>
      </c>
      <c r="F372" s="201" t="n">
        <v>200025888221</v>
      </c>
      <c r="G372" s="198" t="s">
        <v>663</v>
      </c>
      <c r="H372" s="163" t="s">
        <v>266</v>
      </c>
      <c r="I372" s="161" t="n">
        <v>42</v>
      </c>
      <c r="J372" s="156" t="s">
        <v>185</v>
      </c>
      <c r="K372" s="200" t="n">
        <v>45434.5951041667</v>
      </c>
      <c r="L372" s="1" t="n">
        <v>2</v>
      </c>
      <c r="M372" s="1" t="n">
        <v>11171</v>
      </c>
      <c r="N372" s="1" t="n">
        <v>92</v>
      </c>
    </row>
    <row r="373" customFormat="false" ht="14.25" hidden="false" customHeight="false" outlineLevel="0" collapsed="false">
      <c r="A373" s="1" t="n">
        <v>114</v>
      </c>
      <c r="B373" s="1" t="s">
        <v>621</v>
      </c>
      <c r="C373" s="1" t="s">
        <v>622</v>
      </c>
      <c r="D373" s="1" t="n">
        <v>11171</v>
      </c>
      <c r="E373" s="1" t="s">
        <v>55</v>
      </c>
      <c r="F373" s="201" t="n">
        <v>200025888469</v>
      </c>
      <c r="G373" s="198" t="s">
        <v>664</v>
      </c>
      <c r="H373" s="163" t="s">
        <v>318</v>
      </c>
      <c r="I373" s="161" t="n">
        <v>114</v>
      </c>
      <c r="J373" s="156" t="s">
        <v>185</v>
      </c>
      <c r="K373" s="200" t="n">
        <v>45434.5965277778</v>
      </c>
      <c r="L373" s="1" t="n">
        <v>0</v>
      </c>
      <c r="M373" s="1" t="n">
        <v>11171</v>
      </c>
      <c r="N373" s="1" t="n">
        <v>93</v>
      </c>
    </row>
    <row r="374" customFormat="false" ht="14.25" hidden="false" customHeight="false" outlineLevel="0" collapsed="false">
      <c r="A374" s="1" t="n">
        <v>115</v>
      </c>
      <c r="B374" s="1" t="s">
        <v>621</v>
      </c>
      <c r="C374" s="1" t="s">
        <v>622</v>
      </c>
      <c r="D374" s="1" t="n">
        <v>11171</v>
      </c>
      <c r="E374" s="1" t="s">
        <v>55</v>
      </c>
      <c r="F374" s="201" t="n">
        <v>200025888469</v>
      </c>
      <c r="G374" s="198" t="s">
        <v>664</v>
      </c>
      <c r="H374" s="163" t="s">
        <v>318</v>
      </c>
      <c r="I374" s="161" t="n">
        <v>114</v>
      </c>
      <c r="J374" s="156" t="s">
        <v>185</v>
      </c>
      <c r="K374" s="200" t="n">
        <v>45434.5968634259</v>
      </c>
      <c r="L374" s="1" t="n">
        <v>1</v>
      </c>
      <c r="M374" s="1" t="n">
        <v>11171</v>
      </c>
      <c r="N374" s="1" t="n">
        <v>94</v>
      </c>
    </row>
    <row r="375" customFormat="false" ht="14.25" hidden="false" customHeight="false" outlineLevel="0" collapsed="false">
      <c r="A375" s="1" t="n">
        <v>116</v>
      </c>
      <c r="B375" s="1" t="s">
        <v>621</v>
      </c>
      <c r="C375" s="1" t="s">
        <v>622</v>
      </c>
      <c r="D375" s="1" t="n">
        <v>11171</v>
      </c>
      <c r="E375" s="1" t="s">
        <v>55</v>
      </c>
      <c r="F375" s="201" t="n">
        <v>200025888527</v>
      </c>
      <c r="G375" s="198" t="s">
        <v>665</v>
      </c>
      <c r="H375" s="163" t="s">
        <v>339</v>
      </c>
      <c r="I375" s="161" t="n">
        <v>92</v>
      </c>
      <c r="J375" s="156" t="s">
        <v>185</v>
      </c>
      <c r="K375" s="200" t="n">
        <v>45434.6269212963</v>
      </c>
      <c r="L375" s="1" t="n">
        <v>0</v>
      </c>
      <c r="M375" s="1" t="n">
        <v>11171</v>
      </c>
      <c r="N375" s="1" t="n">
        <v>95</v>
      </c>
    </row>
    <row r="376" customFormat="false" ht="14.25" hidden="false" customHeight="false" outlineLevel="0" collapsed="false">
      <c r="A376" s="1" t="n">
        <v>117</v>
      </c>
      <c r="B376" s="1" t="s">
        <v>621</v>
      </c>
      <c r="C376" s="1" t="s">
        <v>622</v>
      </c>
      <c r="D376" s="1" t="n">
        <v>11171</v>
      </c>
      <c r="E376" s="1" t="s">
        <v>55</v>
      </c>
      <c r="F376" s="201" t="n">
        <v>200025888527</v>
      </c>
      <c r="G376" s="198" t="s">
        <v>665</v>
      </c>
      <c r="H376" s="163" t="s">
        <v>339</v>
      </c>
      <c r="I376" s="161" t="n">
        <v>92</v>
      </c>
      <c r="J376" s="156" t="s">
        <v>185</v>
      </c>
      <c r="K376" s="200" t="n">
        <v>45434.6563425926</v>
      </c>
      <c r="L376" s="1" t="n">
        <v>1</v>
      </c>
      <c r="M376" s="1" t="n">
        <v>11171</v>
      </c>
      <c r="N376" s="1" t="n">
        <v>96</v>
      </c>
    </row>
    <row r="377" customFormat="false" ht="14.25" hidden="false" customHeight="false" outlineLevel="0" collapsed="false">
      <c r="A377" s="1" t="n">
        <v>118</v>
      </c>
      <c r="B377" s="1" t="s">
        <v>621</v>
      </c>
      <c r="C377" s="1" t="s">
        <v>622</v>
      </c>
      <c r="D377" s="1" t="n">
        <v>11171</v>
      </c>
      <c r="E377" s="1" t="s">
        <v>55</v>
      </c>
      <c r="F377" s="201" t="n">
        <v>200025888527</v>
      </c>
      <c r="G377" s="198" t="s">
        <v>665</v>
      </c>
      <c r="H377" s="163" t="s">
        <v>339</v>
      </c>
      <c r="I377" s="161" t="n">
        <v>92</v>
      </c>
      <c r="J377" s="156" t="s">
        <v>185</v>
      </c>
      <c r="K377" s="200" t="n">
        <v>45434.6563541667</v>
      </c>
      <c r="L377" s="1" t="n">
        <v>2</v>
      </c>
      <c r="M377" s="1" t="n">
        <v>11171</v>
      </c>
      <c r="N377" s="1" t="n">
        <v>97</v>
      </c>
    </row>
    <row r="378" customFormat="false" ht="14.25" hidden="false" customHeight="false" outlineLevel="0" collapsed="false">
      <c r="A378" s="1" t="n">
        <v>119</v>
      </c>
      <c r="B378" s="1" t="s">
        <v>621</v>
      </c>
      <c r="C378" s="1" t="s">
        <v>622</v>
      </c>
      <c r="D378" s="1" t="n">
        <v>11171</v>
      </c>
      <c r="E378" s="1" t="s">
        <v>55</v>
      </c>
      <c r="F378" s="201" t="n">
        <v>200025888527</v>
      </c>
      <c r="G378" s="198" t="s">
        <v>665</v>
      </c>
      <c r="H378" s="163" t="s">
        <v>339</v>
      </c>
      <c r="I378" s="161" t="n">
        <v>92</v>
      </c>
      <c r="J378" s="156" t="s">
        <v>185</v>
      </c>
      <c r="K378" s="200" t="n">
        <v>45434.6581481482</v>
      </c>
      <c r="L378" s="1" t="n">
        <v>3</v>
      </c>
      <c r="M378" s="1" t="n">
        <v>11171</v>
      </c>
      <c r="N378" s="1" t="n">
        <v>98</v>
      </c>
    </row>
    <row r="379" customFormat="false" ht="14.25" hidden="false" customHeight="false" outlineLevel="0" collapsed="false">
      <c r="A379" s="1" t="n">
        <v>120</v>
      </c>
      <c r="B379" s="1" t="s">
        <v>621</v>
      </c>
      <c r="C379" s="1" t="s">
        <v>622</v>
      </c>
      <c r="D379" s="1" t="n">
        <v>11171</v>
      </c>
      <c r="E379" s="1" t="s">
        <v>55</v>
      </c>
      <c r="F379" s="201" t="n">
        <v>200025888527</v>
      </c>
      <c r="G379" s="198" t="s">
        <v>665</v>
      </c>
      <c r="H379" s="163" t="s">
        <v>339</v>
      </c>
      <c r="I379" s="161" t="n">
        <v>92</v>
      </c>
      <c r="J379" s="156" t="s">
        <v>185</v>
      </c>
      <c r="K379" s="200" t="n">
        <v>45434.6599884259</v>
      </c>
      <c r="L379" s="1" t="n">
        <v>2</v>
      </c>
      <c r="M379" s="1" t="n">
        <v>11171</v>
      </c>
      <c r="N379" s="1" t="n">
        <v>99</v>
      </c>
    </row>
    <row r="380" customFormat="false" ht="14.25" hidden="false" customHeight="false" outlineLevel="0" collapsed="false">
      <c r="A380" s="1" t="n">
        <v>121</v>
      </c>
      <c r="B380" s="1" t="s">
        <v>621</v>
      </c>
      <c r="C380" s="1" t="s">
        <v>622</v>
      </c>
      <c r="D380" s="1" t="n">
        <v>11171</v>
      </c>
      <c r="E380" s="1" t="s">
        <v>55</v>
      </c>
      <c r="F380" s="201" t="n">
        <v>200025888527</v>
      </c>
      <c r="G380" s="198" t="s">
        <v>665</v>
      </c>
      <c r="H380" s="163" t="s">
        <v>339</v>
      </c>
      <c r="I380" s="161" t="n">
        <v>92</v>
      </c>
      <c r="J380" s="156" t="s">
        <v>185</v>
      </c>
      <c r="K380" s="200" t="n">
        <v>45434.6711458333</v>
      </c>
      <c r="L380" s="1" t="n">
        <v>1</v>
      </c>
      <c r="M380" s="1" t="n">
        <v>11171</v>
      </c>
      <c r="N380" s="1" t="n">
        <v>100</v>
      </c>
    </row>
    <row r="381" customFormat="false" ht="14.25" hidden="false" customHeight="false" outlineLevel="0" collapsed="false">
      <c r="A381" s="1" t="n">
        <v>122</v>
      </c>
      <c r="B381" s="1" t="s">
        <v>621</v>
      </c>
      <c r="C381" s="1" t="s">
        <v>622</v>
      </c>
      <c r="D381" s="1" t="n">
        <v>11171</v>
      </c>
      <c r="E381" s="1" t="s">
        <v>55</v>
      </c>
      <c r="F381" s="201" t="n">
        <v>200025888527</v>
      </c>
      <c r="G381" s="198" t="s">
        <v>665</v>
      </c>
      <c r="H381" s="163" t="s">
        <v>339</v>
      </c>
      <c r="I381" s="161" t="n">
        <v>92</v>
      </c>
      <c r="J381" s="156" t="s">
        <v>185</v>
      </c>
      <c r="K381" s="200" t="n">
        <v>45434.7257175926</v>
      </c>
      <c r="L381" s="1" t="n">
        <v>3</v>
      </c>
      <c r="M381" s="1" t="n">
        <v>11171</v>
      </c>
      <c r="N381" s="1" t="n">
        <v>101</v>
      </c>
    </row>
    <row r="382" customFormat="false" ht="14.25" hidden="false" customHeight="false" outlineLevel="0" collapsed="false">
      <c r="A382" s="1" t="n">
        <v>123</v>
      </c>
      <c r="B382" s="1" t="s">
        <v>621</v>
      </c>
      <c r="C382" s="1" t="s">
        <v>622</v>
      </c>
      <c r="D382" s="1" t="n">
        <v>11171</v>
      </c>
      <c r="E382" s="1" t="s">
        <v>55</v>
      </c>
      <c r="F382" s="201" t="n">
        <v>200025888916</v>
      </c>
      <c r="G382" s="198" t="s">
        <v>666</v>
      </c>
      <c r="H382" s="163" t="s">
        <v>360</v>
      </c>
      <c r="I382" s="161" t="n">
        <v>73</v>
      </c>
      <c r="J382" s="156" t="s">
        <v>185</v>
      </c>
      <c r="K382" s="200" t="n">
        <v>45434.7562152778</v>
      </c>
      <c r="L382" s="1" t="n">
        <v>3</v>
      </c>
      <c r="M382" s="1" t="n">
        <v>11171</v>
      </c>
      <c r="N382" s="1" t="n">
        <v>102</v>
      </c>
    </row>
    <row r="383" customFormat="false" ht="14.25" hidden="false" customHeight="false" outlineLevel="0" collapsed="false">
      <c r="A383" s="1" t="n">
        <v>124</v>
      </c>
      <c r="B383" s="1" t="s">
        <v>621</v>
      </c>
      <c r="C383" s="1" t="s">
        <v>622</v>
      </c>
      <c r="D383" s="1" t="n">
        <v>11171</v>
      </c>
      <c r="E383" s="1" t="s">
        <v>55</v>
      </c>
      <c r="F383" s="201" t="n">
        <v>200025888916</v>
      </c>
      <c r="G383" s="198" t="s">
        <v>666</v>
      </c>
      <c r="H383" s="163" t="s">
        <v>360</v>
      </c>
      <c r="I383" s="161" t="n">
        <v>73</v>
      </c>
      <c r="J383" s="156" t="s">
        <v>185</v>
      </c>
      <c r="K383" s="200" t="n">
        <v>45434.7570949074</v>
      </c>
      <c r="L383" s="1" t="n">
        <v>3</v>
      </c>
      <c r="M383" s="1" t="n">
        <v>11171</v>
      </c>
      <c r="N383" s="1" t="n">
        <v>103</v>
      </c>
    </row>
    <row r="384" customFormat="false" ht="14.25" hidden="false" customHeight="false" outlineLevel="0" collapsed="false">
      <c r="A384" s="1" t="n">
        <v>125</v>
      </c>
      <c r="B384" s="1" t="s">
        <v>621</v>
      </c>
      <c r="C384" s="1" t="s">
        <v>622</v>
      </c>
      <c r="D384" s="1" t="n">
        <v>11171</v>
      </c>
      <c r="E384" s="1" t="s">
        <v>55</v>
      </c>
      <c r="F384" s="201" t="n">
        <v>200025888916</v>
      </c>
      <c r="G384" s="198" t="s">
        <v>666</v>
      </c>
      <c r="H384" s="163" t="s">
        <v>360</v>
      </c>
      <c r="I384" s="161" t="n">
        <v>73</v>
      </c>
      <c r="J384" s="156" t="s">
        <v>185</v>
      </c>
      <c r="K384" s="200" t="n">
        <v>45434.7578935185</v>
      </c>
      <c r="L384" s="1" t="n">
        <v>1</v>
      </c>
      <c r="M384" s="1" t="n">
        <v>11171</v>
      </c>
      <c r="N384" s="1" t="n">
        <v>104</v>
      </c>
    </row>
    <row r="385" customFormat="false" ht="14.25" hidden="false" customHeight="false" outlineLevel="0" collapsed="false">
      <c r="A385" s="1" t="n">
        <v>126</v>
      </c>
      <c r="B385" s="1" t="s">
        <v>621</v>
      </c>
      <c r="C385" s="1" t="s">
        <v>622</v>
      </c>
      <c r="D385" s="1" t="n">
        <v>11171</v>
      </c>
      <c r="E385" s="1" t="s">
        <v>55</v>
      </c>
      <c r="F385" s="201" t="n">
        <v>200025888916</v>
      </c>
      <c r="G385" s="198" t="s">
        <v>666</v>
      </c>
      <c r="H385" s="163" t="s">
        <v>360</v>
      </c>
      <c r="I385" s="161" t="n">
        <v>73</v>
      </c>
      <c r="J385" s="156" t="s">
        <v>185</v>
      </c>
      <c r="K385" s="200" t="n">
        <v>45434.8180439815</v>
      </c>
      <c r="L385" s="1" t="n">
        <v>0</v>
      </c>
      <c r="M385" s="1" t="n">
        <v>11171</v>
      </c>
      <c r="N385" s="1" t="n">
        <v>105</v>
      </c>
    </row>
    <row r="386" customFormat="false" ht="14.25" hidden="false" customHeight="false" outlineLevel="0" collapsed="false">
      <c r="A386" s="1" t="n">
        <v>127</v>
      </c>
      <c r="B386" s="1" t="s">
        <v>621</v>
      </c>
      <c r="C386" s="1" t="s">
        <v>622</v>
      </c>
      <c r="D386" s="1" t="n">
        <v>11171</v>
      </c>
      <c r="E386" s="1" t="s">
        <v>55</v>
      </c>
      <c r="F386" s="201" t="n">
        <v>200025888916</v>
      </c>
      <c r="G386" s="198" t="s">
        <v>666</v>
      </c>
      <c r="H386" s="163" t="s">
        <v>360</v>
      </c>
      <c r="I386" s="161" t="n">
        <v>73</v>
      </c>
      <c r="J386" s="156" t="s">
        <v>185</v>
      </c>
      <c r="K386" s="200" t="n">
        <v>45434.8322453704</v>
      </c>
      <c r="L386" s="1" t="n">
        <v>2</v>
      </c>
      <c r="M386" s="1" t="n">
        <v>11171</v>
      </c>
      <c r="N386" s="1" t="n">
        <v>106</v>
      </c>
    </row>
    <row r="387" customFormat="false" ht="14.25" hidden="false" customHeight="false" outlineLevel="0" collapsed="false">
      <c r="A387" s="1" t="n">
        <v>128</v>
      </c>
      <c r="B387" s="1" t="s">
        <v>621</v>
      </c>
      <c r="C387" s="1" t="s">
        <v>622</v>
      </c>
      <c r="D387" s="1" t="n">
        <v>11171</v>
      </c>
      <c r="E387" s="1" t="s">
        <v>55</v>
      </c>
      <c r="F387" s="201" t="n">
        <v>200025888916</v>
      </c>
      <c r="G387" s="198" t="s">
        <v>666</v>
      </c>
      <c r="H387" s="163" t="s">
        <v>360</v>
      </c>
      <c r="I387" s="161" t="n">
        <v>73</v>
      </c>
      <c r="J387" s="156" t="s">
        <v>185</v>
      </c>
      <c r="K387" s="200" t="n">
        <v>45434.9561342593</v>
      </c>
      <c r="L387" s="1" t="n">
        <v>1</v>
      </c>
      <c r="M387" s="1" t="n">
        <v>11171</v>
      </c>
      <c r="N387" s="1" t="n">
        <v>107</v>
      </c>
    </row>
    <row r="388" customFormat="false" ht="14.25" hidden="false" customHeight="false" outlineLevel="0" collapsed="false">
      <c r="A388" s="1" t="n">
        <v>129</v>
      </c>
      <c r="B388" s="1" t="s">
        <v>621</v>
      </c>
      <c r="C388" s="1" t="s">
        <v>622</v>
      </c>
      <c r="D388" s="1" t="n">
        <v>11171</v>
      </c>
      <c r="E388" s="1" t="s">
        <v>55</v>
      </c>
      <c r="F388" s="201" t="n">
        <v>200025888916</v>
      </c>
      <c r="G388" s="198" t="s">
        <v>666</v>
      </c>
      <c r="H388" s="163" t="s">
        <v>360</v>
      </c>
      <c r="I388" s="161" t="n">
        <v>73</v>
      </c>
      <c r="J388" s="156" t="s">
        <v>185</v>
      </c>
      <c r="K388" s="200" t="n">
        <v>45434.9561458333</v>
      </c>
      <c r="L388" s="1" t="n">
        <v>1</v>
      </c>
      <c r="M388" s="1" t="n">
        <v>11171</v>
      </c>
      <c r="N388" s="1" t="n">
        <v>108</v>
      </c>
    </row>
    <row r="389" customFormat="false" ht="14.25" hidden="false" customHeight="false" outlineLevel="0" collapsed="false">
      <c r="A389" s="1" t="n">
        <v>130</v>
      </c>
      <c r="B389" s="1" t="s">
        <v>621</v>
      </c>
      <c r="C389" s="1" t="s">
        <v>622</v>
      </c>
      <c r="D389" s="1" t="n">
        <v>11171</v>
      </c>
      <c r="E389" s="1" t="s">
        <v>55</v>
      </c>
      <c r="F389" s="201" t="n">
        <v>200025888916</v>
      </c>
      <c r="G389" s="198" t="s">
        <v>666</v>
      </c>
      <c r="H389" s="163" t="s">
        <v>360</v>
      </c>
      <c r="I389" s="161" t="n">
        <v>73</v>
      </c>
      <c r="J389" s="156" t="s">
        <v>185</v>
      </c>
      <c r="K389" s="200" t="n">
        <v>45434.9561574074</v>
      </c>
      <c r="L389" s="1" t="n">
        <v>4</v>
      </c>
      <c r="M389" s="1" t="n">
        <v>11171</v>
      </c>
      <c r="N389" s="1" t="n">
        <v>109</v>
      </c>
    </row>
    <row r="390" customFormat="false" ht="14.25" hidden="false" customHeight="false" outlineLevel="0" collapsed="false">
      <c r="A390" s="1" t="n">
        <v>131</v>
      </c>
      <c r="B390" s="1" t="s">
        <v>621</v>
      </c>
      <c r="C390" s="1" t="s">
        <v>622</v>
      </c>
      <c r="D390" s="1" t="n">
        <v>11171</v>
      </c>
      <c r="E390" s="1" t="s">
        <v>55</v>
      </c>
      <c r="F390" s="201" t="n">
        <v>200025888665</v>
      </c>
      <c r="G390" s="198" t="s">
        <v>667</v>
      </c>
      <c r="H390" s="163" t="s">
        <v>218</v>
      </c>
      <c r="I390" s="161" t="n">
        <v>11</v>
      </c>
      <c r="J390" s="156" t="s">
        <v>185</v>
      </c>
      <c r="K390" s="200" t="n">
        <v>45434.9603935185</v>
      </c>
      <c r="L390" s="1" t="n">
        <v>2</v>
      </c>
      <c r="M390" s="1" t="n">
        <v>11171</v>
      </c>
      <c r="N390" s="1" t="n">
        <v>110</v>
      </c>
    </row>
    <row r="391" customFormat="false" ht="14.25" hidden="false" customHeight="false" outlineLevel="0" collapsed="false">
      <c r="A391" s="1" t="n">
        <v>132</v>
      </c>
      <c r="B391" s="1" t="s">
        <v>621</v>
      </c>
      <c r="C391" s="1" t="s">
        <v>622</v>
      </c>
      <c r="D391" s="1" t="n">
        <v>11171</v>
      </c>
      <c r="E391" s="1" t="s">
        <v>55</v>
      </c>
      <c r="F391" s="201" t="n">
        <v>200025888221</v>
      </c>
      <c r="G391" s="198" t="s">
        <v>663</v>
      </c>
      <c r="H391" s="163" t="s">
        <v>266</v>
      </c>
      <c r="I391" s="161" t="n">
        <v>42</v>
      </c>
      <c r="J391" s="156" t="s">
        <v>185</v>
      </c>
      <c r="K391" s="200" t="n">
        <v>45434.9783680556</v>
      </c>
      <c r="L391" s="1" t="n">
        <v>3</v>
      </c>
      <c r="M391" s="1" t="n">
        <v>11171</v>
      </c>
      <c r="N391" s="1" t="n">
        <v>111</v>
      </c>
    </row>
    <row r="392" customFormat="false" ht="14.25" hidden="false" customHeight="false" outlineLevel="0" collapsed="false">
      <c r="A392" s="1" t="n">
        <v>133</v>
      </c>
      <c r="B392" s="1" t="s">
        <v>621</v>
      </c>
      <c r="C392" s="1" t="s">
        <v>622</v>
      </c>
      <c r="D392" s="1" t="n">
        <v>11171</v>
      </c>
      <c r="E392" s="1" t="s">
        <v>55</v>
      </c>
      <c r="F392" s="201" t="n">
        <v>200025888916</v>
      </c>
      <c r="G392" s="198" t="s">
        <v>666</v>
      </c>
      <c r="H392" s="163" t="s">
        <v>360</v>
      </c>
      <c r="I392" s="161" t="n">
        <v>73</v>
      </c>
      <c r="J392" s="156" t="s">
        <v>185</v>
      </c>
      <c r="K392" s="200" t="n">
        <v>45435.034212963</v>
      </c>
      <c r="L392" s="1" t="n">
        <v>11</v>
      </c>
      <c r="M392" s="1" t="n">
        <v>11171</v>
      </c>
      <c r="N392" s="1" t="n">
        <v>112</v>
      </c>
    </row>
    <row r="393" customFormat="false" ht="14.25" hidden="false" customHeight="false" outlineLevel="0" collapsed="false">
      <c r="A393" s="1" t="n">
        <v>134</v>
      </c>
      <c r="B393" s="1" t="s">
        <v>621</v>
      </c>
      <c r="C393" s="1" t="s">
        <v>622</v>
      </c>
      <c r="D393" s="1" t="n">
        <v>11171</v>
      </c>
      <c r="E393" s="1" t="s">
        <v>55</v>
      </c>
      <c r="F393" s="201" t="n">
        <v>200025888916</v>
      </c>
      <c r="G393" s="198" t="s">
        <v>666</v>
      </c>
      <c r="H393" s="163" t="s">
        <v>360</v>
      </c>
      <c r="I393" s="161" t="n">
        <v>73</v>
      </c>
      <c r="J393" s="156" t="s">
        <v>185</v>
      </c>
      <c r="K393" s="200" t="n">
        <v>45435.0740046296</v>
      </c>
      <c r="L393" s="1" t="n">
        <v>3</v>
      </c>
      <c r="M393" s="1" t="n">
        <v>11171</v>
      </c>
      <c r="N393" s="1" t="n">
        <v>113</v>
      </c>
    </row>
    <row r="394" customFormat="false" ht="14.25" hidden="false" customHeight="false" outlineLevel="0" collapsed="false">
      <c r="A394" s="1" t="n">
        <v>135</v>
      </c>
      <c r="B394" s="1" t="s">
        <v>621</v>
      </c>
      <c r="C394" s="1" t="s">
        <v>622</v>
      </c>
      <c r="D394" s="1" t="n">
        <v>11171</v>
      </c>
      <c r="E394" s="1" t="s">
        <v>55</v>
      </c>
      <c r="F394" s="201" t="n">
        <v>200025888665</v>
      </c>
      <c r="G394" s="198" t="s">
        <v>667</v>
      </c>
      <c r="H394" s="163" t="s">
        <v>218</v>
      </c>
      <c r="I394" s="161" t="n">
        <v>11</v>
      </c>
      <c r="J394" s="156" t="s">
        <v>185</v>
      </c>
      <c r="K394" s="200" t="n">
        <v>45435.0753240741</v>
      </c>
      <c r="L394" s="1" t="n">
        <v>2</v>
      </c>
      <c r="M394" s="1" t="n">
        <v>11171</v>
      </c>
      <c r="N394" s="1" t="n">
        <v>114</v>
      </c>
    </row>
    <row r="395" customFormat="false" ht="14.25" hidden="false" customHeight="false" outlineLevel="0" collapsed="false">
      <c r="A395" s="1" t="n">
        <v>136</v>
      </c>
      <c r="B395" s="1" t="s">
        <v>621</v>
      </c>
      <c r="C395" s="1" t="s">
        <v>622</v>
      </c>
      <c r="D395" s="1" t="n">
        <v>11171</v>
      </c>
      <c r="E395" s="1" t="s">
        <v>55</v>
      </c>
      <c r="F395" s="201" t="n">
        <v>200025888665</v>
      </c>
      <c r="G395" s="198" t="s">
        <v>667</v>
      </c>
      <c r="H395" s="163" t="s">
        <v>218</v>
      </c>
      <c r="I395" s="161" t="n">
        <v>11</v>
      </c>
      <c r="J395" s="156" t="s">
        <v>185</v>
      </c>
      <c r="K395" s="200" t="n">
        <v>45435.0758796296</v>
      </c>
      <c r="L395" s="1" t="n">
        <v>2</v>
      </c>
      <c r="M395" s="1" t="n">
        <v>11171</v>
      </c>
      <c r="N395" s="1" t="n">
        <v>115</v>
      </c>
    </row>
    <row r="396" customFormat="false" ht="14.25" hidden="false" customHeight="false" outlineLevel="0" collapsed="false">
      <c r="A396" s="1" t="n">
        <v>137</v>
      </c>
      <c r="B396" s="1" t="s">
        <v>621</v>
      </c>
      <c r="C396" s="1" t="s">
        <v>622</v>
      </c>
      <c r="D396" s="1" t="n">
        <v>11171</v>
      </c>
      <c r="E396" s="1" t="s">
        <v>55</v>
      </c>
      <c r="F396" s="201" t="n">
        <v>200025888665</v>
      </c>
      <c r="G396" s="198" t="s">
        <v>667</v>
      </c>
      <c r="H396" s="163" t="s">
        <v>218</v>
      </c>
      <c r="I396" s="161" t="n">
        <v>11</v>
      </c>
      <c r="J396" s="156" t="s">
        <v>185</v>
      </c>
      <c r="K396" s="200" t="n">
        <v>45435.0760648148</v>
      </c>
      <c r="L396" s="1" t="n">
        <v>0</v>
      </c>
      <c r="M396" s="1" t="n">
        <v>11171</v>
      </c>
      <c r="N396" s="1" t="n">
        <v>116</v>
      </c>
    </row>
    <row r="397" customFormat="false" ht="14.25" hidden="false" customHeight="false" outlineLevel="0" collapsed="false">
      <c r="A397" s="1" t="n">
        <v>138</v>
      </c>
      <c r="B397" s="1" t="s">
        <v>621</v>
      </c>
      <c r="C397" s="1" t="s">
        <v>622</v>
      </c>
      <c r="D397" s="1" t="n">
        <v>11171</v>
      </c>
      <c r="E397" s="1" t="s">
        <v>55</v>
      </c>
      <c r="F397" s="201" t="n">
        <v>200025888665</v>
      </c>
      <c r="G397" s="198" t="s">
        <v>667</v>
      </c>
      <c r="H397" s="163" t="s">
        <v>218</v>
      </c>
      <c r="I397" s="161" t="n">
        <v>11</v>
      </c>
      <c r="J397" s="156" t="s">
        <v>185</v>
      </c>
      <c r="K397" s="200" t="n">
        <v>45435.0762962963</v>
      </c>
      <c r="L397" s="1" t="n">
        <v>2</v>
      </c>
      <c r="M397" s="1" t="n">
        <v>11171</v>
      </c>
      <c r="N397" s="1" t="n">
        <v>117</v>
      </c>
    </row>
    <row r="398" customFormat="false" ht="14.25" hidden="false" customHeight="false" outlineLevel="0" collapsed="false">
      <c r="A398" s="1" t="n">
        <v>139</v>
      </c>
      <c r="B398" s="1" t="s">
        <v>621</v>
      </c>
      <c r="C398" s="1" t="s">
        <v>622</v>
      </c>
      <c r="D398" s="1" t="n">
        <v>11171</v>
      </c>
      <c r="E398" s="1" t="s">
        <v>55</v>
      </c>
      <c r="F398" s="201" t="n">
        <v>200025888916</v>
      </c>
      <c r="G398" s="198" t="s">
        <v>666</v>
      </c>
      <c r="H398" s="163" t="s">
        <v>360</v>
      </c>
      <c r="I398" s="161" t="n">
        <v>73</v>
      </c>
      <c r="J398" s="156" t="s">
        <v>185</v>
      </c>
      <c r="K398" s="200" t="n">
        <v>45435.0811574074</v>
      </c>
      <c r="L398" s="1" t="n">
        <v>3</v>
      </c>
      <c r="M398" s="1" t="n">
        <v>11171</v>
      </c>
      <c r="N398" s="1" t="n">
        <v>118</v>
      </c>
    </row>
    <row r="399" customFormat="false" ht="14.25" hidden="false" customHeight="false" outlineLevel="0" collapsed="false">
      <c r="A399" s="1" t="n">
        <v>140</v>
      </c>
      <c r="B399" s="1" t="s">
        <v>621</v>
      </c>
      <c r="C399" s="1" t="s">
        <v>622</v>
      </c>
      <c r="D399" s="1" t="n">
        <v>11171</v>
      </c>
      <c r="E399" s="1" t="s">
        <v>55</v>
      </c>
      <c r="F399" s="201" t="n">
        <v>200025888916</v>
      </c>
      <c r="G399" s="198" t="s">
        <v>666</v>
      </c>
      <c r="H399" s="163" t="s">
        <v>360</v>
      </c>
      <c r="I399" s="161" t="n">
        <v>73</v>
      </c>
      <c r="J399" s="156" t="s">
        <v>185</v>
      </c>
      <c r="K399" s="200" t="n">
        <v>45435.0856828704</v>
      </c>
      <c r="L399" s="1" t="n">
        <v>7</v>
      </c>
      <c r="M399" s="1" t="n">
        <v>11171</v>
      </c>
      <c r="N399" s="1" t="n">
        <v>119</v>
      </c>
    </row>
    <row r="400" customFormat="false" ht="14.25" hidden="false" customHeight="false" outlineLevel="0" collapsed="false">
      <c r="A400" s="1" t="n">
        <v>141</v>
      </c>
      <c r="B400" s="1" t="s">
        <v>621</v>
      </c>
      <c r="C400" s="1" t="s">
        <v>622</v>
      </c>
      <c r="D400" s="1" t="n">
        <v>11171</v>
      </c>
      <c r="E400" s="1" t="s">
        <v>55</v>
      </c>
      <c r="F400" s="201" t="n">
        <v>200025888665</v>
      </c>
      <c r="G400" s="198" t="s">
        <v>667</v>
      </c>
      <c r="H400" s="163" t="s">
        <v>218</v>
      </c>
      <c r="I400" s="161" t="n">
        <v>11</v>
      </c>
      <c r="J400" s="156" t="s">
        <v>185</v>
      </c>
      <c r="K400" s="200" t="n">
        <v>45435.0964583333</v>
      </c>
      <c r="L400" s="1" t="n">
        <v>2</v>
      </c>
      <c r="M400" s="1" t="n">
        <v>11171</v>
      </c>
      <c r="N400" s="1" t="n">
        <v>120</v>
      </c>
    </row>
    <row r="401" customFormat="false" ht="14.25" hidden="false" customHeight="false" outlineLevel="0" collapsed="false">
      <c r="A401" s="1" t="n">
        <v>142</v>
      </c>
      <c r="B401" s="1" t="s">
        <v>621</v>
      </c>
      <c r="C401" s="1" t="s">
        <v>622</v>
      </c>
      <c r="D401" s="1" t="n">
        <v>11171</v>
      </c>
      <c r="E401" s="1" t="s">
        <v>55</v>
      </c>
      <c r="F401" s="201" t="n">
        <v>200025888916</v>
      </c>
      <c r="G401" s="198" t="s">
        <v>666</v>
      </c>
      <c r="H401" s="163" t="s">
        <v>360</v>
      </c>
      <c r="I401" s="161" t="n">
        <v>73</v>
      </c>
      <c r="J401" s="156" t="s">
        <v>185</v>
      </c>
      <c r="K401" s="200" t="n">
        <v>45435.1402430556</v>
      </c>
      <c r="L401" s="1" t="n">
        <v>9</v>
      </c>
      <c r="M401" s="1" t="n">
        <v>11171</v>
      </c>
      <c r="N401" s="1" t="n">
        <v>121</v>
      </c>
    </row>
    <row r="402" customFormat="false" ht="14.25" hidden="false" customHeight="false" outlineLevel="0" collapsed="false">
      <c r="A402" s="1" t="n">
        <v>143</v>
      </c>
      <c r="B402" s="1" t="s">
        <v>621</v>
      </c>
      <c r="C402" s="1" t="s">
        <v>622</v>
      </c>
      <c r="D402" s="1" t="n">
        <v>11171</v>
      </c>
      <c r="E402" s="1" t="s">
        <v>55</v>
      </c>
      <c r="F402" s="201" t="n">
        <v>200025888916</v>
      </c>
      <c r="G402" s="198" t="s">
        <v>666</v>
      </c>
      <c r="H402" s="163" t="s">
        <v>360</v>
      </c>
      <c r="I402" s="161" t="n">
        <v>73</v>
      </c>
      <c r="J402" s="156" t="s">
        <v>185</v>
      </c>
      <c r="K402" s="200" t="n">
        <v>45435.1699421296</v>
      </c>
      <c r="L402" s="1" t="n">
        <v>3</v>
      </c>
      <c r="M402" s="1" t="n">
        <v>11171</v>
      </c>
      <c r="N402" s="1" t="n">
        <v>122</v>
      </c>
    </row>
    <row r="403" customFormat="false" ht="14.25" hidden="false" customHeight="false" outlineLevel="0" collapsed="false">
      <c r="A403" s="1" t="n">
        <v>144</v>
      </c>
      <c r="B403" s="1" t="s">
        <v>621</v>
      </c>
      <c r="C403" s="1" t="s">
        <v>622</v>
      </c>
      <c r="D403" s="1" t="n">
        <v>11171</v>
      </c>
      <c r="E403" s="1" t="s">
        <v>55</v>
      </c>
      <c r="F403" s="201" t="n">
        <v>200025888485</v>
      </c>
      <c r="G403" s="198" t="s">
        <v>634</v>
      </c>
      <c r="H403" s="163" t="s">
        <v>327</v>
      </c>
      <c r="I403" s="161" t="n">
        <v>93</v>
      </c>
      <c r="J403" s="156" t="s">
        <v>185</v>
      </c>
      <c r="K403" s="200" t="n">
        <v>45435.1764351852</v>
      </c>
      <c r="L403" s="1" t="n">
        <v>2</v>
      </c>
      <c r="M403" s="1" t="n">
        <v>11171</v>
      </c>
      <c r="N403" s="1" t="n">
        <v>123</v>
      </c>
    </row>
    <row r="404" customFormat="false" ht="14.25" hidden="false" customHeight="false" outlineLevel="0" collapsed="false">
      <c r="A404" s="1" t="n">
        <v>145</v>
      </c>
      <c r="B404" s="1" t="s">
        <v>621</v>
      </c>
      <c r="C404" s="1" t="s">
        <v>622</v>
      </c>
      <c r="D404" s="1" t="n">
        <v>11171</v>
      </c>
      <c r="E404" s="1" t="s">
        <v>55</v>
      </c>
      <c r="F404" s="201" t="n">
        <v>200025888485</v>
      </c>
      <c r="G404" s="198" t="s">
        <v>634</v>
      </c>
      <c r="H404" s="163" t="s">
        <v>327</v>
      </c>
      <c r="I404" s="161" t="n">
        <v>93</v>
      </c>
      <c r="J404" s="156" t="s">
        <v>185</v>
      </c>
      <c r="K404" s="200" t="n">
        <v>45435.1770833333</v>
      </c>
      <c r="L404" s="1" t="n">
        <v>0</v>
      </c>
      <c r="M404" s="1" t="n">
        <v>11171</v>
      </c>
      <c r="N404" s="1" t="n">
        <v>124</v>
      </c>
    </row>
    <row r="405" customFormat="false" ht="14.25" hidden="false" customHeight="false" outlineLevel="0" collapsed="false">
      <c r="A405" s="1" t="n">
        <v>146</v>
      </c>
      <c r="B405" s="1" t="s">
        <v>621</v>
      </c>
      <c r="C405" s="1" t="s">
        <v>622</v>
      </c>
      <c r="D405" s="1" t="n">
        <v>11171</v>
      </c>
      <c r="E405" s="1" t="s">
        <v>55</v>
      </c>
      <c r="F405" s="201" t="n">
        <v>200025888485</v>
      </c>
      <c r="G405" s="198" t="s">
        <v>634</v>
      </c>
      <c r="H405" s="163" t="s">
        <v>327</v>
      </c>
      <c r="I405" s="161" t="n">
        <v>93</v>
      </c>
      <c r="J405" s="156" t="s">
        <v>185</v>
      </c>
      <c r="K405" s="200" t="n">
        <v>45435.1770949074</v>
      </c>
      <c r="L405" s="1" t="n">
        <v>1</v>
      </c>
      <c r="M405" s="1" t="n">
        <v>11171</v>
      </c>
      <c r="N405" s="1" t="n">
        <v>125</v>
      </c>
    </row>
    <row r="406" customFormat="false" ht="14.25" hidden="false" customHeight="false" outlineLevel="0" collapsed="false">
      <c r="A406" s="1" t="n">
        <v>147</v>
      </c>
      <c r="B406" s="1" t="s">
        <v>621</v>
      </c>
      <c r="C406" s="1" t="s">
        <v>622</v>
      </c>
      <c r="D406" s="1" t="n">
        <v>11171</v>
      </c>
      <c r="E406" s="1" t="s">
        <v>55</v>
      </c>
      <c r="F406" s="201" t="n">
        <v>200025888485</v>
      </c>
      <c r="G406" s="198" t="s">
        <v>634</v>
      </c>
      <c r="H406" s="163" t="s">
        <v>327</v>
      </c>
      <c r="I406" s="161" t="n">
        <v>93</v>
      </c>
      <c r="J406" s="156" t="s">
        <v>185</v>
      </c>
      <c r="K406" s="200" t="n">
        <v>45435.1778240741</v>
      </c>
      <c r="L406" s="1" t="n">
        <v>0</v>
      </c>
      <c r="M406" s="1" t="n">
        <v>11171</v>
      </c>
      <c r="N406" s="1" t="n">
        <v>126</v>
      </c>
    </row>
    <row r="407" customFormat="false" ht="14.25" hidden="false" customHeight="false" outlineLevel="0" collapsed="false">
      <c r="A407" s="1" t="n">
        <v>148</v>
      </c>
      <c r="B407" s="1" t="s">
        <v>621</v>
      </c>
      <c r="C407" s="1" t="s">
        <v>622</v>
      </c>
      <c r="D407" s="1" t="n">
        <v>11171</v>
      </c>
      <c r="E407" s="1" t="s">
        <v>55</v>
      </c>
      <c r="F407" s="201" t="n">
        <v>200025888485</v>
      </c>
      <c r="G407" s="198" t="s">
        <v>634</v>
      </c>
      <c r="H407" s="163" t="s">
        <v>327</v>
      </c>
      <c r="I407" s="161" t="n">
        <v>93</v>
      </c>
      <c r="J407" s="156" t="s">
        <v>185</v>
      </c>
      <c r="K407" s="200" t="n">
        <v>45435.1778356481</v>
      </c>
      <c r="L407" s="1" t="n">
        <v>0</v>
      </c>
      <c r="M407" s="1" t="n">
        <v>11171</v>
      </c>
      <c r="N407" s="1" t="n">
        <v>127</v>
      </c>
    </row>
    <row r="408" customFormat="false" ht="14.25" hidden="false" customHeight="false" outlineLevel="0" collapsed="false">
      <c r="A408" s="1" t="n">
        <v>149</v>
      </c>
      <c r="B408" s="1" t="s">
        <v>621</v>
      </c>
      <c r="C408" s="1" t="s">
        <v>622</v>
      </c>
      <c r="D408" s="1" t="n">
        <v>11171</v>
      </c>
      <c r="E408" s="1" t="s">
        <v>55</v>
      </c>
      <c r="F408" s="201" t="n">
        <v>200025888485</v>
      </c>
      <c r="G408" s="198" t="s">
        <v>634</v>
      </c>
      <c r="H408" s="163" t="s">
        <v>327</v>
      </c>
      <c r="I408" s="161" t="n">
        <v>93</v>
      </c>
      <c r="J408" s="156" t="s">
        <v>185</v>
      </c>
      <c r="K408" s="200" t="n">
        <v>45435.1889236111</v>
      </c>
      <c r="L408" s="1" t="n">
        <v>2</v>
      </c>
      <c r="M408" s="1" t="n">
        <v>11171</v>
      </c>
      <c r="N408" s="1" t="n">
        <v>128</v>
      </c>
    </row>
    <row r="409" customFormat="false" ht="14.25" hidden="false" customHeight="false" outlineLevel="0" collapsed="false">
      <c r="A409" s="1" t="n">
        <v>150</v>
      </c>
      <c r="B409" s="1" t="s">
        <v>621</v>
      </c>
      <c r="C409" s="1" t="s">
        <v>622</v>
      </c>
      <c r="D409" s="1" t="n">
        <v>11171</v>
      </c>
      <c r="E409" s="1" t="s">
        <v>55</v>
      </c>
      <c r="F409" s="201" t="n">
        <v>200025888485</v>
      </c>
      <c r="G409" s="198" t="s">
        <v>634</v>
      </c>
      <c r="H409" s="163" t="s">
        <v>327</v>
      </c>
      <c r="I409" s="161" t="n">
        <v>93</v>
      </c>
      <c r="J409" s="156" t="s">
        <v>185</v>
      </c>
      <c r="K409" s="200" t="n">
        <v>45435.1908564815</v>
      </c>
      <c r="L409" s="1" t="n">
        <v>3</v>
      </c>
      <c r="M409" s="1" t="n">
        <v>11171</v>
      </c>
      <c r="N409" s="1" t="n">
        <v>129</v>
      </c>
    </row>
    <row r="410" customFormat="false" ht="14.25" hidden="false" customHeight="false" outlineLevel="0" collapsed="false">
      <c r="A410" s="1" t="n">
        <v>151</v>
      </c>
      <c r="B410" s="1" t="s">
        <v>621</v>
      </c>
      <c r="C410" s="1" t="s">
        <v>622</v>
      </c>
      <c r="D410" s="1" t="n">
        <v>11171</v>
      </c>
      <c r="E410" s="1" t="s">
        <v>55</v>
      </c>
      <c r="F410" s="201" t="n">
        <v>200025888665</v>
      </c>
      <c r="G410" s="198" t="s">
        <v>667</v>
      </c>
      <c r="H410" s="163" t="s">
        <v>218</v>
      </c>
      <c r="I410" s="161" t="n">
        <v>11</v>
      </c>
      <c r="J410" s="156" t="s">
        <v>185</v>
      </c>
      <c r="K410" s="200" t="n">
        <v>45435.1917592593</v>
      </c>
      <c r="L410" s="1" t="n">
        <v>3</v>
      </c>
      <c r="M410" s="1" t="n">
        <v>11171</v>
      </c>
      <c r="N410" s="1" t="n">
        <v>130</v>
      </c>
    </row>
    <row r="411" customFormat="false" ht="14.25" hidden="false" customHeight="false" outlineLevel="0" collapsed="false">
      <c r="A411" s="1" t="n">
        <v>152</v>
      </c>
      <c r="B411" s="1" t="s">
        <v>621</v>
      </c>
      <c r="C411" s="1" t="s">
        <v>622</v>
      </c>
      <c r="D411" s="1" t="n">
        <v>11171</v>
      </c>
      <c r="E411" s="1" t="s">
        <v>55</v>
      </c>
      <c r="F411" s="201" t="n">
        <v>200025888527</v>
      </c>
      <c r="G411" s="198" t="s">
        <v>665</v>
      </c>
      <c r="H411" s="163" t="s">
        <v>339</v>
      </c>
      <c r="I411" s="161" t="n">
        <v>92</v>
      </c>
      <c r="J411" s="156" t="s">
        <v>185</v>
      </c>
      <c r="K411" s="200" t="n">
        <v>45435.1961111111</v>
      </c>
      <c r="L411" s="1" t="n">
        <v>3</v>
      </c>
      <c r="M411" s="1" t="n">
        <v>11171</v>
      </c>
      <c r="N411" s="1" t="n">
        <v>131</v>
      </c>
    </row>
    <row r="412" customFormat="false" ht="14.25" hidden="false" customHeight="false" outlineLevel="0" collapsed="false">
      <c r="A412" s="1" t="n">
        <v>153</v>
      </c>
      <c r="B412" s="1" t="s">
        <v>621</v>
      </c>
      <c r="C412" s="1" t="s">
        <v>622</v>
      </c>
      <c r="D412" s="1" t="n">
        <v>11171</v>
      </c>
      <c r="E412" s="1" t="s">
        <v>55</v>
      </c>
      <c r="F412" s="201" t="n">
        <v>200025888256</v>
      </c>
      <c r="G412" s="198" t="s">
        <v>668</v>
      </c>
      <c r="H412" s="163" t="s">
        <v>291</v>
      </c>
      <c r="I412" s="161" t="n">
        <v>68</v>
      </c>
      <c r="J412" s="156" t="s">
        <v>185</v>
      </c>
      <c r="K412" s="200" t="n">
        <v>45435.1986689815</v>
      </c>
      <c r="L412" s="1" t="n">
        <v>2</v>
      </c>
      <c r="M412" s="1" t="n">
        <v>11171</v>
      </c>
      <c r="N412" s="1" t="n">
        <v>132</v>
      </c>
    </row>
    <row r="413" customFormat="false" ht="14.25" hidden="false" customHeight="false" outlineLevel="0" collapsed="false">
      <c r="A413" s="1" t="n">
        <v>154</v>
      </c>
      <c r="B413" s="1" t="s">
        <v>621</v>
      </c>
      <c r="C413" s="1" t="s">
        <v>622</v>
      </c>
      <c r="D413" s="1" t="n">
        <v>11171</v>
      </c>
      <c r="E413" s="1" t="s">
        <v>55</v>
      </c>
      <c r="F413" s="201" t="n">
        <v>200025888665</v>
      </c>
      <c r="G413" s="198" t="s">
        <v>667</v>
      </c>
      <c r="H413" s="163" t="s">
        <v>218</v>
      </c>
      <c r="I413" s="161" t="n">
        <v>11</v>
      </c>
      <c r="J413" s="156" t="s">
        <v>185</v>
      </c>
      <c r="K413" s="200" t="n">
        <v>45435.2000115741</v>
      </c>
      <c r="L413" s="1" t="n">
        <v>3</v>
      </c>
      <c r="M413" s="1" t="n">
        <v>11171</v>
      </c>
      <c r="N413" s="1" t="n">
        <v>133</v>
      </c>
    </row>
    <row r="414" customFormat="false" ht="14.25" hidden="false" customHeight="false" outlineLevel="0" collapsed="false">
      <c r="A414" s="1" t="n">
        <v>155</v>
      </c>
      <c r="B414" s="1" t="s">
        <v>621</v>
      </c>
      <c r="C414" s="1" t="s">
        <v>622</v>
      </c>
      <c r="D414" s="1" t="n">
        <v>11171</v>
      </c>
      <c r="E414" s="1" t="s">
        <v>55</v>
      </c>
      <c r="F414" s="201" t="n">
        <v>200025888665</v>
      </c>
      <c r="G414" s="198" t="s">
        <v>667</v>
      </c>
      <c r="H414" s="163" t="s">
        <v>218</v>
      </c>
      <c r="I414" s="161" t="n">
        <v>11</v>
      </c>
      <c r="J414" s="156" t="s">
        <v>185</v>
      </c>
      <c r="K414" s="200" t="n">
        <v>45435.2001736111</v>
      </c>
      <c r="L414" s="1" t="n">
        <v>1</v>
      </c>
      <c r="M414" s="1" t="n">
        <v>11171</v>
      </c>
      <c r="N414" s="1" t="n">
        <v>134</v>
      </c>
    </row>
    <row r="415" customFormat="false" ht="14.25" hidden="false" customHeight="false" outlineLevel="0" collapsed="false">
      <c r="A415" s="1" t="n">
        <v>156</v>
      </c>
      <c r="B415" s="1" t="s">
        <v>621</v>
      </c>
      <c r="C415" s="1" t="s">
        <v>622</v>
      </c>
      <c r="D415" s="1" t="n">
        <v>11171</v>
      </c>
      <c r="E415" s="1" t="s">
        <v>55</v>
      </c>
      <c r="F415" s="201" t="n">
        <v>200025888485</v>
      </c>
      <c r="G415" s="198" t="s">
        <v>634</v>
      </c>
      <c r="H415" s="163" t="s">
        <v>327</v>
      </c>
      <c r="I415" s="161" t="n">
        <v>93</v>
      </c>
      <c r="J415" s="156" t="s">
        <v>185</v>
      </c>
      <c r="K415" s="200" t="n">
        <v>45435.2036226852</v>
      </c>
      <c r="L415" s="1" t="n">
        <v>2</v>
      </c>
      <c r="M415" s="1" t="n">
        <v>11171</v>
      </c>
      <c r="N415" s="1" t="n">
        <v>135</v>
      </c>
    </row>
    <row r="416" customFormat="false" ht="14.25" hidden="false" customHeight="false" outlineLevel="0" collapsed="false">
      <c r="A416" s="1" t="n">
        <v>157</v>
      </c>
      <c r="B416" s="1" t="s">
        <v>621</v>
      </c>
      <c r="C416" s="1" t="s">
        <v>622</v>
      </c>
      <c r="D416" s="1" t="n">
        <v>11171</v>
      </c>
      <c r="E416" s="1" t="s">
        <v>55</v>
      </c>
      <c r="F416" s="201" t="n">
        <v>200025888485</v>
      </c>
      <c r="G416" s="198" t="s">
        <v>634</v>
      </c>
      <c r="H416" s="163" t="s">
        <v>327</v>
      </c>
      <c r="I416" s="161" t="n">
        <v>93</v>
      </c>
      <c r="J416" s="156" t="s">
        <v>185</v>
      </c>
      <c r="K416" s="200" t="n">
        <v>45435.2062615741</v>
      </c>
      <c r="L416" s="1" t="n">
        <v>3</v>
      </c>
      <c r="M416" s="1" t="n">
        <v>11171</v>
      </c>
      <c r="N416" s="1" t="n">
        <v>136</v>
      </c>
    </row>
    <row r="417" customFormat="false" ht="14.25" hidden="false" customHeight="false" outlineLevel="0" collapsed="false">
      <c r="A417" s="1" t="n">
        <v>158</v>
      </c>
      <c r="B417" s="1" t="s">
        <v>621</v>
      </c>
      <c r="C417" s="1" t="s">
        <v>622</v>
      </c>
      <c r="D417" s="1" t="n">
        <v>11171</v>
      </c>
      <c r="E417" s="1" t="s">
        <v>55</v>
      </c>
      <c r="F417" s="201" t="n">
        <v>200025888916</v>
      </c>
      <c r="G417" s="198" t="s">
        <v>666</v>
      </c>
      <c r="H417" s="163" t="s">
        <v>360</v>
      </c>
      <c r="I417" s="161" t="n">
        <v>73</v>
      </c>
      <c r="J417" s="156" t="s">
        <v>185</v>
      </c>
      <c r="K417" s="200" t="n">
        <v>45435.2085532407</v>
      </c>
      <c r="L417" s="1" t="n">
        <v>2</v>
      </c>
      <c r="M417" s="1" t="n">
        <v>11171</v>
      </c>
      <c r="N417" s="1" t="n">
        <v>137</v>
      </c>
    </row>
    <row r="418" customFormat="false" ht="14.25" hidden="false" customHeight="false" outlineLevel="0" collapsed="false">
      <c r="A418" s="1" t="n">
        <v>159</v>
      </c>
      <c r="B418" s="1" t="s">
        <v>621</v>
      </c>
      <c r="C418" s="1" t="s">
        <v>622</v>
      </c>
      <c r="D418" s="1" t="n">
        <v>11171</v>
      </c>
      <c r="E418" s="1" t="s">
        <v>55</v>
      </c>
      <c r="F418" s="201" t="n">
        <v>200025888485</v>
      </c>
      <c r="G418" s="198" t="s">
        <v>634</v>
      </c>
      <c r="H418" s="163" t="s">
        <v>327</v>
      </c>
      <c r="I418" s="161" t="n">
        <v>93</v>
      </c>
      <c r="J418" s="156" t="s">
        <v>185</v>
      </c>
      <c r="K418" s="200" t="n">
        <v>45435.280625</v>
      </c>
      <c r="L418" s="1" t="n">
        <v>3</v>
      </c>
      <c r="M418" s="1" t="n">
        <v>11171</v>
      </c>
      <c r="N418" s="1" t="n">
        <v>138</v>
      </c>
    </row>
    <row r="419" customFormat="false" ht="14.25" hidden="false" customHeight="false" outlineLevel="0" collapsed="false">
      <c r="A419" s="1" t="n">
        <v>160</v>
      </c>
      <c r="B419" s="1" t="s">
        <v>621</v>
      </c>
      <c r="C419" s="1" t="s">
        <v>622</v>
      </c>
      <c r="D419" s="1" t="n">
        <v>11171</v>
      </c>
      <c r="E419" s="1" t="s">
        <v>55</v>
      </c>
      <c r="F419" s="201" t="n">
        <v>200025888665</v>
      </c>
      <c r="G419" s="198" t="s">
        <v>667</v>
      </c>
      <c r="H419" s="163" t="s">
        <v>218</v>
      </c>
      <c r="I419" s="161" t="n">
        <v>11</v>
      </c>
      <c r="J419" s="156" t="s">
        <v>185</v>
      </c>
      <c r="K419" s="200" t="n">
        <v>45435.307025463</v>
      </c>
      <c r="L419" s="1" t="n">
        <v>1</v>
      </c>
      <c r="M419" s="1" t="n">
        <v>11171</v>
      </c>
      <c r="N419" s="1" t="n">
        <v>139</v>
      </c>
    </row>
    <row r="420" customFormat="false" ht="14.25" hidden="false" customHeight="false" outlineLevel="0" collapsed="false">
      <c r="A420" s="1" t="n">
        <v>161</v>
      </c>
      <c r="B420" s="1" t="s">
        <v>621</v>
      </c>
      <c r="C420" s="1" t="s">
        <v>622</v>
      </c>
      <c r="D420" s="1" t="n">
        <v>11171</v>
      </c>
      <c r="E420" s="1" t="s">
        <v>55</v>
      </c>
      <c r="F420" s="201" t="n">
        <v>200025888665</v>
      </c>
      <c r="G420" s="198" t="s">
        <v>667</v>
      </c>
      <c r="H420" s="163" t="s">
        <v>218</v>
      </c>
      <c r="I420" s="161" t="n">
        <v>11</v>
      </c>
      <c r="J420" s="156" t="s">
        <v>185</v>
      </c>
      <c r="K420" s="200" t="n">
        <v>45435.307037037</v>
      </c>
      <c r="L420" s="1" t="n">
        <v>2</v>
      </c>
      <c r="M420" s="1" t="n">
        <v>11171</v>
      </c>
      <c r="N420" s="1" t="n">
        <v>140</v>
      </c>
    </row>
    <row r="421" customFormat="false" ht="14.25" hidden="false" customHeight="false" outlineLevel="0" collapsed="false">
      <c r="A421" s="1" t="n">
        <v>162</v>
      </c>
      <c r="B421" s="1" t="s">
        <v>621</v>
      </c>
      <c r="C421" s="1" t="s">
        <v>622</v>
      </c>
      <c r="D421" s="1" t="n">
        <v>11171</v>
      </c>
      <c r="E421" s="1" t="s">
        <v>55</v>
      </c>
      <c r="F421" s="201" t="n">
        <v>200025888665</v>
      </c>
      <c r="G421" s="198" t="s">
        <v>667</v>
      </c>
      <c r="H421" s="163" t="s">
        <v>218</v>
      </c>
      <c r="I421" s="161" t="n">
        <v>11</v>
      </c>
      <c r="J421" s="156" t="s">
        <v>185</v>
      </c>
      <c r="K421" s="200" t="n">
        <v>45435.3070601852</v>
      </c>
      <c r="L421" s="1" t="n">
        <v>1</v>
      </c>
      <c r="M421" s="1" t="n">
        <v>11171</v>
      </c>
      <c r="N421" s="1" t="n">
        <v>141</v>
      </c>
    </row>
    <row r="422" customFormat="false" ht="14.25" hidden="false" customHeight="false" outlineLevel="0" collapsed="false">
      <c r="A422" s="1" t="n">
        <v>163</v>
      </c>
      <c r="B422" s="1" t="s">
        <v>621</v>
      </c>
      <c r="C422" s="1" t="s">
        <v>622</v>
      </c>
      <c r="D422" s="1" t="n">
        <v>11171</v>
      </c>
      <c r="E422" s="1" t="s">
        <v>55</v>
      </c>
      <c r="F422" s="201" t="n">
        <v>200025888665</v>
      </c>
      <c r="G422" s="198" t="s">
        <v>667</v>
      </c>
      <c r="H422" s="163" t="s">
        <v>218</v>
      </c>
      <c r="I422" s="161" t="n">
        <v>11</v>
      </c>
      <c r="J422" s="156" t="s">
        <v>185</v>
      </c>
      <c r="K422" s="200" t="n">
        <v>45435.3070717593</v>
      </c>
      <c r="L422" s="1" t="n">
        <v>0</v>
      </c>
      <c r="M422" s="1" t="n">
        <v>11171</v>
      </c>
      <c r="N422" s="1" t="n">
        <v>142</v>
      </c>
    </row>
    <row r="423" customFormat="false" ht="14.25" hidden="false" customHeight="false" outlineLevel="0" collapsed="false">
      <c r="A423" s="1" t="n">
        <v>164</v>
      </c>
      <c r="B423" s="1" t="s">
        <v>621</v>
      </c>
      <c r="C423" s="1" t="s">
        <v>622</v>
      </c>
      <c r="D423" s="1" t="n">
        <v>11171</v>
      </c>
      <c r="E423" s="1" t="s">
        <v>55</v>
      </c>
      <c r="F423" s="201" t="n">
        <v>200025888665</v>
      </c>
      <c r="G423" s="198" t="s">
        <v>667</v>
      </c>
      <c r="H423" s="163" t="s">
        <v>218</v>
      </c>
      <c r="I423" s="161" t="n">
        <v>11</v>
      </c>
      <c r="J423" s="156" t="s">
        <v>185</v>
      </c>
      <c r="K423" s="200" t="n">
        <v>45435.3080439815</v>
      </c>
      <c r="L423" s="1" t="n">
        <v>3</v>
      </c>
      <c r="M423" s="1" t="n">
        <v>11171</v>
      </c>
      <c r="N423" s="1" t="n">
        <v>143</v>
      </c>
    </row>
    <row r="424" customFormat="false" ht="14.25" hidden="false" customHeight="false" outlineLevel="0" collapsed="false">
      <c r="A424" s="1" t="n">
        <v>165</v>
      </c>
      <c r="B424" s="1" t="s">
        <v>621</v>
      </c>
      <c r="C424" s="1" t="s">
        <v>622</v>
      </c>
      <c r="D424" s="1" t="n">
        <v>11171</v>
      </c>
      <c r="E424" s="1" t="s">
        <v>55</v>
      </c>
      <c r="F424" s="201" t="n">
        <v>200025888256</v>
      </c>
      <c r="G424" s="198" t="s">
        <v>668</v>
      </c>
      <c r="H424" s="163" t="s">
        <v>291</v>
      </c>
      <c r="I424" s="161" t="n">
        <v>68</v>
      </c>
      <c r="J424" s="156" t="s">
        <v>185</v>
      </c>
      <c r="K424" s="200" t="n">
        <v>45435.3095601852</v>
      </c>
      <c r="L424" s="1" t="n">
        <v>4</v>
      </c>
      <c r="M424" s="1" t="n">
        <v>11171</v>
      </c>
      <c r="N424" s="1" t="n">
        <v>144</v>
      </c>
    </row>
    <row r="425" customFormat="false" ht="14.25" hidden="false" customHeight="false" outlineLevel="0" collapsed="false">
      <c r="A425" s="1" t="n">
        <v>166</v>
      </c>
      <c r="B425" s="1" t="s">
        <v>621</v>
      </c>
      <c r="C425" s="1" t="s">
        <v>622</v>
      </c>
      <c r="D425" s="1" t="n">
        <v>11171</v>
      </c>
      <c r="E425" s="1" t="s">
        <v>55</v>
      </c>
      <c r="F425" s="201" t="n">
        <v>200025888485</v>
      </c>
      <c r="G425" s="198" t="s">
        <v>634</v>
      </c>
      <c r="H425" s="163" t="s">
        <v>327</v>
      </c>
      <c r="I425" s="161" t="n">
        <v>93</v>
      </c>
      <c r="J425" s="156" t="s">
        <v>185</v>
      </c>
      <c r="K425" s="200" t="n">
        <v>45435.3110185185</v>
      </c>
      <c r="L425" s="1" t="n">
        <v>2</v>
      </c>
      <c r="M425" s="1" t="n">
        <v>11171</v>
      </c>
      <c r="N425" s="1" t="n">
        <v>145</v>
      </c>
    </row>
    <row r="426" customFormat="false" ht="14.25" hidden="false" customHeight="false" outlineLevel="0" collapsed="false">
      <c r="A426" s="1" t="n">
        <v>167</v>
      </c>
      <c r="B426" s="1" t="s">
        <v>621</v>
      </c>
      <c r="C426" s="1" t="s">
        <v>622</v>
      </c>
      <c r="D426" s="1" t="n">
        <v>11171</v>
      </c>
      <c r="E426" s="1" t="s">
        <v>55</v>
      </c>
      <c r="F426" s="201" t="n">
        <v>200025888485</v>
      </c>
      <c r="G426" s="198" t="s">
        <v>634</v>
      </c>
      <c r="H426" s="163" t="s">
        <v>327</v>
      </c>
      <c r="I426" s="161" t="n">
        <v>93</v>
      </c>
      <c r="J426" s="156" t="s">
        <v>185</v>
      </c>
      <c r="K426" s="200" t="n">
        <v>45435.3112384259</v>
      </c>
      <c r="L426" s="1" t="n">
        <v>2</v>
      </c>
      <c r="M426" s="1" t="n">
        <v>11171</v>
      </c>
      <c r="N426" s="1" t="n">
        <v>146</v>
      </c>
    </row>
    <row r="427" customFormat="false" ht="14.25" hidden="false" customHeight="false" outlineLevel="0" collapsed="false">
      <c r="A427" s="1" t="n">
        <v>168</v>
      </c>
      <c r="B427" s="1" t="s">
        <v>621</v>
      </c>
      <c r="C427" s="1" t="s">
        <v>622</v>
      </c>
      <c r="D427" s="1" t="n">
        <v>11171</v>
      </c>
      <c r="E427" s="1" t="s">
        <v>55</v>
      </c>
      <c r="F427" s="201" t="n">
        <v>200025888485</v>
      </c>
      <c r="G427" s="198" t="s">
        <v>634</v>
      </c>
      <c r="H427" s="163" t="s">
        <v>327</v>
      </c>
      <c r="I427" s="161" t="n">
        <v>93</v>
      </c>
      <c r="J427" s="156" t="s">
        <v>185</v>
      </c>
      <c r="K427" s="200" t="n">
        <v>45435.3119444444</v>
      </c>
      <c r="L427" s="1" t="n">
        <v>1</v>
      </c>
      <c r="M427" s="1" t="n">
        <v>11171</v>
      </c>
      <c r="N427" s="1" t="n">
        <v>147</v>
      </c>
    </row>
    <row r="428" customFormat="false" ht="14.25" hidden="false" customHeight="false" outlineLevel="0" collapsed="false">
      <c r="A428" s="1" t="n">
        <v>169</v>
      </c>
      <c r="B428" s="1" t="s">
        <v>621</v>
      </c>
      <c r="C428" s="1" t="s">
        <v>622</v>
      </c>
      <c r="D428" s="1" t="n">
        <v>11171</v>
      </c>
      <c r="E428" s="1" t="s">
        <v>55</v>
      </c>
      <c r="F428" s="201" t="n">
        <v>200025888485</v>
      </c>
      <c r="G428" s="198" t="s">
        <v>634</v>
      </c>
      <c r="H428" s="163" t="s">
        <v>327</v>
      </c>
      <c r="I428" s="161" t="n">
        <v>93</v>
      </c>
      <c r="J428" s="156" t="s">
        <v>185</v>
      </c>
      <c r="K428" s="200" t="n">
        <v>45435.3119560185</v>
      </c>
      <c r="L428" s="1" t="n">
        <v>1</v>
      </c>
      <c r="M428" s="1" t="n">
        <v>11171</v>
      </c>
      <c r="N428" s="1" t="n">
        <v>148</v>
      </c>
    </row>
    <row r="429" customFormat="false" ht="14.25" hidden="false" customHeight="false" outlineLevel="0" collapsed="false">
      <c r="A429" s="1" t="n">
        <v>170</v>
      </c>
      <c r="B429" s="1" t="s">
        <v>621</v>
      </c>
      <c r="C429" s="1" t="s">
        <v>622</v>
      </c>
      <c r="D429" s="1" t="n">
        <v>11171</v>
      </c>
      <c r="E429" s="1" t="s">
        <v>55</v>
      </c>
      <c r="F429" s="201" t="n">
        <v>200025888485</v>
      </c>
      <c r="G429" s="198" t="s">
        <v>634</v>
      </c>
      <c r="H429" s="163" t="s">
        <v>327</v>
      </c>
      <c r="I429" s="161" t="n">
        <v>93</v>
      </c>
      <c r="J429" s="156" t="s">
        <v>185</v>
      </c>
      <c r="K429" s="200" t="n">
        <v>45435.3131597222</v>
      </c>
      <c r="L429" s="1" t="n">
        <v>1</v>
      </c>
      <c r="M429" s="1" t="n">
        <v>11171</v>
      </c>
      <c r="N429" s="1" t="n">
        <v>149</v>
      </c>
    </row>
    <row r="430" customFormat="false" ht="14.25" hidden="false" customHeight="false" outlineLevel="0" collapsed="false">
      <c r="A430" s="1" t="n">
        <v>171</v>
      </c>
      <c r="B430" s="1" t="s">
        <v>621</v>
      </c>
      <c r="C430" s="1" t="s">
        <v>622</v>
      </c>
      <c r="D430" s="1" t="n">
        <v>11171</v>
      </c>
      <c r="E430" s="1" t="s">
        <v>55</v>
      </c>
      <c r="F430" s="201" t="n">
        <v>200025888485</v>
      </c>
      <c r="G430" s="198" t="s">
        <v>634</v>
      </c>
      <c r="H430" s="163" t="s">
        <v>327</v>
      </c>
      <c r="I430" s="161" t="n">
        <v>93</v>
      </c>
      <c r="J430" s="156" t="s">
        <v>185</v>
      </c>
      <c r="K430" s="200" t="n">
        <v>45435.3155324074</v>
      </c>
      <c r="L430" s="1" t="n">
        <v>3</v>
      </c>
      <c r="M430" s="1" t="n">
        <v>11171</v>
      </c>
      <c r="N430" s="1" t="n">
        <v>150</v>
      </c>
    </row>
    <row r="431" customFormat="false" ht="14.25" hidden="false" customHeight="false" outlineLevel="0" collapsed="false">
      <c r="A431" s="1" t="n">
        <v>172</v>
      </c>
      <c r="B431" s="1" t="s">
        <v>621</v>
      </c>
      <c r="C431" s="1" t="s">
        <v>622</v>
      </c>
      <c r="D431" s="1" t="n">
        <v>11171</v>
      </c>
      <c r="E431" s="1" t="s">
        <v>55</v>
      </c>
      <c r="F431" s="201" t="n">
        <v>200025888485</v>
      </c>
      <c r="G431" s="198" t="s">
        <v>634</v>
      </c>
      <c r="H431" s="163" t="s">
        <v>327</v>
      </c>
      <c r="I431" s="161" t="n">
        <v>93</v>
      </c>
      <c r="J431" s="156" t="s">
        <v>185</v>
      </c>
      <c r="K431" s="200" t="n">
        <v>45435.3161574074</v>
      </c>
      <c r="L431" s="1" t="n">
        <v>1</v>
      </c>
      <c r="M431" s="1" t="n">
        <v>11171</v>
      </c>
      <c r="N431" s="1" t="n">
        <v>151</v>
      </c>
    </row>
    <row r="432" customFormat="false" ht="14.25" hidden="false" customHeight="false" outlineLevel="0" collapsed="false">
      <c r="A432" s="1" t="n">
        <v>173</v>
      </c>
      <c r="B432" s="1" t="s">
        <v>621</v>
      </c>
      <c r="C432" s="1" t="s">
        <v>622</v>
      </c>
      <c r="D432" s="1" t="n">
        <v>11171</v>
      </c>
      <c r="E432" s="1" t="s">
        <v>55</v>
      </c>
      <c r="F432" s="201" t="n">
        <v>200025888485</v>
      </c>
      <c r="G432" s="198" t="s">
        <v>634</v>
      </c>
      <c r="H432" s="163" t="s">
        <v>327</v>
      </c>
      <c r="I432" s="161" t="n">
        <v>93</v>
      </c>
      <c r="J432" s="156" t="s">
        <v>185</v>
      </c>
      <c r="K432" s="200" t="n">
        <v>45435.3161689815</v>
      </c>
      <c r="L432" s="1" t="n">
        <v>1</v>
      </c>
      <c r="M432" s="1" t="n">
        <v>11171</v>
      </c>
      <c r="N432" s="1" t="n">
        <v>152</v>
      </c>
    </row>
    <row r="433" customFormat="false" ht="14.25" hidden="false" customHeight="false" outlineLevel="0" collapsed="false">
      <c r="A433" s="1" t="n">
        <v>174</v>
      </c>
      <c r="B433" s="1" t="s">
        <v>621</v>
      </c>
      <c r="C433" s="1" t="s">
        <v>622</v>
      </c>
      <c r="D433" s="1" t="n">
        <v>11171</v>
      </c>
      <c r="E433" s="1" t="s">
        <v>55</v>
      </c>
      <c r="F433" s="201" t="n">
        <v>200025888485</v>
      </c>
      <c r="G433" s="198" t="s">
        <v>634</v>
      </c>
      <c r="H433" s="163" t="s">
        <v>327</v>
      </c>
      <c r="I433" s="161" t="n">
        <v>93</v>
      </c>
      <c r="J433" s="156" t="s">
        <v>185</v>
      </c>
      <c r="K433" s="200" t="n">
        <v>45435.3162268519</v>
      </c>
      <c r="L433" s="1" t="n">
        <v>1</v>
      </c>
      <c r="M433" s="1" t="n">
        <v>11171</v>
      </c>
      <c r="N433" s="1" t="n">
        <v>153</v>
      </c>
    </row>
    <row r="434" customFormat="false" ht="14.25" hidden="false" customHeight="false" outlineLevel="0" collapsed="false">
      <c r="A434" s="1" t="n">
        <v>175</v>
      </c>
      <c r="B434" s="1" t="s">
        <v>621</v>
      </c>
      <c r="C434" s="1" t="s">
        <v>622</v>
      </c>
      <c r="D434" s="1" t="n">
        <v>11171</v>
      </c>
      <c r="E434" s="1" t="s">
        <v>55</v>
      </c>
      <c r="F434" s="201" t="n">
        <v>200025888485</v>
      </c>
      <c r="G434" s="198" t="s">
        <v>634</v>
      </c>
      <c r="H434" s="163" t="s">
        <v>327</v>
      </c>
      <c r="I434" s="161" t="n">
        <v>93</v>
      </c>
      <c r="J434" s="156" t="s">
        <v>185</v>
      </c>
      <c r="K434" s="200" t="n">
        <v>45435.3173842593</v>
      </c>
      <c r="L434" s="1" t="n">
        <v>2</v>
      </c>
      <c r="M434" s="1" t="n">
        <v>11171</v>
      </c>
      <c r="N434" s="1" t="n">
        <v>154</v>
      </c>
    </row>
    <row r="435" customFormat="false" ht="14.25" hidden="false" customHeight="false" outlineLevel="0" collapsed="false">
      <c r="A435" s="1" t="n">
        <v>176</v>
      </c>
      <c r="B435" s="1" t="s">
        <v>621</v>
      </c>
      <c r="C435" s="1" t="s">
        <v>622</v>
      </c>
      <c r="D435" s="1" t="n">
        <v>11171</v>
      </c>
      <c r="E435" s="1" t="s">
        <v>55</v>
      </c>
      <c r="F435" s="201" t="n">
        <v>200025888916</v>
      </c>
      <c r="G435" s="198" t="s">
        <v>666</v>
      </c>
      <c r="H435" s="163" t="s">
        <v>360</v>
      </c>
      <c r="I435" s="161" t="n">
        <v>73</v>
      </c>
      <c r="J435" s="156" t="s">
        <v>185</v>
      </c>
      <c r="K435" s="200" t="n">
        <v>45435.3179398148</v>
      </c>
      <c r="L435" s="1" t="n">
        <v>2</v>
      </c>
      <c r="M435" s="1" t="n">
        <v>11171</v>
      </c>
      <c r="N435" s="1" t="n">
        <v>155</v>
      </c>
    </row>
    <row r="436" customFormat="false" ht="14.25" hidden="false" customHeight="false" outlineLevel="0" collapsed="false">
      <c r="A436" s="1" t="n">
        <v>177</v>
      </c>
      <c r="B436" s="1" t="s">
        <v>621</v>
      </c>
      <c r="C436" s="1" t="s">
        <v>622</v>
      </c>
      <c r="D436" s="1" t="n">
        <v>11171</v>
      </c>
      <c r="E436" s="1" t="s">
        <v>55</v>
      </c>
      <c r="F436" s="201" t="n">
        <v>200025888665</v>
      </c>
      <c r="G436" s="198" t="s">
        <v>667</v>
      </c>
      <c r="H436" s="163" t="s">
        <v>218</v>
      </c>
      <c r="I436" s="161" t="n">
        <v>11</v>
      </c>
      <c r="J436" s="156" t="s">
        <v>185</v>
      </c>
      <c r="K436" s="200" t="n">
        <v>45435.320162037</v>
      </c>
      <c r="L436" s="1" t="n">
        <v>3</v>
      </c>
      <c r="M436" s="1" t="n">
        <v>11171</v>
      </c>
      <c r="N436" s="1" t="n">
        <v>156</v>
      </c>
    </row>
    <row r="437" customFormat="false" ht="14.25" hidden="false" customHeight="false" outlineLevel="0" collapsed="false">
      <c r="A437" s="1" t="n">
        <v>178</v>
      </c>
      <c r="B437" s="1" t="s">
        <v>621</v>
      </c>
      <c r="C437" s="1" t="s">
        <v>622</v>
      </c>
      <c r="D437" s="1" t="n">
        <v>11171</v>
      </c>
      <c r="E437" s="1" t="s">
        <v>55</v>
      </c>
      <c r="F437" s="201" t="n">
        <v>200025888256</v>
      </c>
      <c r="G437" s="198" t="s">
        <v>668</v>
      </c>
      <c r="H437" s="163" t="s">
        <v>291</v>
      </c>
      <c r="I437" s="161" t="n">
        <v>68</v>
      </c>
      <c r="J437" s="156" t="s">
        <v>185</v>
      </c>
      <c r="K437" s="200" t="n">
        <v>45435.322349537</v>
      </c>
      <c r="L437" s="1" t="n">
        <v>2</v>
      </c>
      <c r="M437" s="1" t="n">
        <v>11171</v>
      </c>
      <c r="N437" s="1" t="n">
        <v>157</v>
      </c>
    </row>
    <row r="438" customFormat="false" ht="14.25" hidden="false" customHeight="false" outlineLevel="0" collapsed="false">
      <c r="A438" s="1" t="n">
        <v>179</v>
      </c>
      <c r="B438" s="1" t="s">
        <v>621</v>
      </c>
      <c r="C438" s="1" t="s">
        <v>622</v>
      </c>
      <c r="D438" s="1" t="n">
        <v>11171</v>
      </c>
      <c r="E438" s="1" t="s">
        <v>55</v>
      </c>
      <c r="F438" s="201" t="n">
        <v>200025888485</v>
      </c>
      <c r="G438" s="198" t="s">
        <v>634</v>
      </c>
      <c r="H438" s="163" t="s">
        <v>327</v>
      </c>
      <c r="I438" s="161" t="n">
        <v>93</v>
      </c>
      <c r="J438" s="156" t="s">
        <v>185</v>
      </c>
      <c r="K438" s="200" t="n">
        <v>45435.3401967593</v>
      </c>
      <c r="L438" s="1" t="n">
        <v>3</v>
      </c>
      <c r="M438" s="1" t="n">
        <v>11171</v>
      </c>
      <c r="N438" s="1" t="n">
        <v>158</v>
      </c>
    </row>
    <row r="439" customFormat="false" ht="14.25" hidden="false" customHeight="false" outlineLevel="0" collapsed="false">
      <c r="A439" s="1" t="n">
        <v>180</v>
      </c>
      <c r="B439" s="1" t="s">
        <v>621</v>
      </c>
      <c r="C439" s="1" t="s">
        <v>622</v>
      </c>
      <c r="D439" s="1" t="n">
        <v>11171</v>
      </c>
      <c r="E439" s="1" t="s">
        <v>55</v>
      </c>
      <c r="F439" s="201" t="n">
        <v>200025888256</v>
      </c>
      <c r="G439" s="198" t="s">
        <v>668</v>
      </c>
      <c r="H439" s="163" t="s">
        <v>291</v>
      </c>
      <c r="I439" s="161" t="n">
        <v>68</v>
      </c>
      <c r="J439" s="156" t="s">
        <v>185</v>
      </c>
      <c r="K439" s="200" t="n">
        <v>45435.42125</v>
      </c>
      <c r="L439" s="1" t="n">
        <v>3</v>
      </c>
      <c r="M439" s="1" t="n">
        <v>11171</v>
      </c>
      <c r="N439" s="1" t="n">
        <v>159</v>
      </c>
    </row>
    <row r="440" customFormat="false" ht="14.25" hidden="false" customHeight="false" outlineLevel="0" collapsed="false">
      <c r="A440" s="1" t="n">
        <v>181</v>
      </c>
      <c r="B440" s="1" t="s">
        <v>621</v>
      </c>
      <c r="C440" s="1" t="s">
        <v>622</v>
      </c>
      <c r="D440" s="1" t="n">
        <v>11171</v>
      </c>
      <c r="E440" s="1" t="s">
        <v>55</v>
      </c>
      <c r="F440" s="201" t="n">
        <v>200025888485</v>
      </c>
      <c r="G440" s="198" t="s">
        <v>634</v>
      </c>
      <c r="H440" s="163" t="s">
        <v>327</v>
      </c>
      <c r="I440" s="161" t="n">
        <v>93</v>
      </c>
      <c r="J440" s="156" t="s">
        <v>185</v>
      </c>
      <c r="K440" s="200" t="n">
        <v>45435.4257060185</v>
      </c>
      <c r="L440" s="1" t="n">
        <v>3</v>
      </c>
      <c r="M440" s="1" t="n">
        <v>11171</v>
      </c>
      <c r="N440" s="1" t="n">
        <v>160</v>
      </c>
    </row>
    <row r="441" customFormat="false" ht="14.25" hidden="false" customHeight="false" outlineLevel="0" collapsed="false">
      <c r="A441" s="1" t="n">
        <v>182</v>
      </c>
      <c r="B441" s="1" t="s">
        <v>621</v>
      </c>
      <c r="C441" s="1" t="s">
        <v>622</v>
      </c>
      <c r="D441" s="1" t="n">
        <v>11171</v>
      </c>
      <c r="E441" s="1" t="s">
        <v>55</v>
      </c>
      <c r="F441" s="201" t="n">
        <v>200025888256</v>
      </c>
      <c r="G441" s="198" t="s">
        <v>668</v>
      </c>
      <c r="H441" s="163" t="s">
        <v>291</v>
      </c>
      <c r="I441" s="161" t="n">
        <v>68</v>
      </c>
      <c r="J441" s="156" t="s">
        <v>185</v>
      </c>
      <c r="K441" s="200" t="n">
        <v>45435.4442824074</v>
      </c>
      <c r="L441" s="1" t="n">
        <v>3</v>
      </c>
      <c r="M441" s="1" t="n">
        <v>11171</v>
      </c>
      <c r="N441" s="1" t="n">
        <v>161</v>
      </c>
    </row>
    <row r="442" customFormat="false" ht="14.25" hidden="false" customHeight="false" outlineLevel="0" collapsed="false">
      <c r="A442" s="1" t="n">
        <v>183</v>
      </c>
      <c r="B442" s="1" t="s">
        <v>621</v>
      </c>
      <c r="C442" s="1" t="s">
        <v>622</v>
      </c>
      <c r="D442" s="1" t="n">
        <v>11171</v>
      </c>
      <c r="E442" s="1" t="s">
        <v>55</v>
      </c>
      <c r="F442" s="201" t="n">
        <v>200025888256</v>
      </c>
      <c r="G442" s="198" t="s">
        <v>668</v>
      </c>
      <c r="H442" s="163" t="s">
        <v>291</v>
      </c>
      <c r="I442" s="161" t="n">
        <v>68</v>
      </c>
      <c r="J442" s="156" t="s">
        <v>185</v>
      </c>
      <c r="K442" s="200" t="n">
        <v>45435.4474768519</v>
      </c>
      <c r="L442" s="1" t="n">
        <v>2</v>
      </c>
      <c r="M442" s="1" t="n">
        <v>11171</v>
      </c>
      <c r="N442" s="1" t="n">
        <v>162</v>
      </c>
    </row>
    <row r="443" customFormat="false" ht="14.25" hidden="false" customHeight="false" outlineLevel="0" collapsed="false">
      <c r="A443" s="1" t="n">
        <v>184</v>
      </c>
      <c r="B443" s="1" t="s">
        <v>621</v>
      </c>
      <c r="C443" s="1" t="s">
        <v>622</v>
      </c>
      <c r="D443" s="1" t="n">
        <v>11171</v>
      </c>
      <c r="E443" s="1" t="s">
        <v>55</v>
      </c>
      <c r="F443" s="201" t="n">
        <v>200025888637</v>
      </c>
      <c r="G443" s="198" t="s">
        <v>669</v>
      </c>
      <c r="H443" s="163" t="s">
        <v>206</v>
      </c>
      <c r="I443" s="161" t="n">
        <v>4</v>
      </c>
      <c r="J443" s="156" t="s">
        <v>185</v>
      </c>
      <c r="K443" s="200" t="n">
        <v>45435.4481597222</v>
      </c>
      <c r="L443" s="1" t="n">
        <v>6</v>
      </c>
      <c r="M443" s="1" t="n">
        <v>11171</v>
      </c>
      <c r="N443" s="1" t="n">
        <v>163</v>
      </c>
    </row>
    <row r="444" customFormat="false" ht="14.25" hidden="false" customHeight="false" outlineLevel="0" collapsed="false">
      <c r="A444" s="1" t="n">
        <v>185</v>
      </c>
      <c r="B444" s="1" t="s">
        <v>621</v>
      </c>
      <c r="C444" s="1" t="s">
        <v>622</v>
      </c>
      <c r="D444" s="1" t="n">
        <v>11171</v>
      </c>
      <c r="E444" s="1" t="s">
        <v>55</v>
      </c>
      <c r="F444" s="201" t="n">
        <v>200025888716</v>
      </c>
      <c r="G444" s="198" t="s">
        <v>646</v>
      </c>
      <c r="H444" s="163" t="s">
        <v>336</v>
      </c>
      <c r="I444" s="161" t="n">
        <v>64</v>
      </c>
      <c r="J444" s="156" t="s">
        <v>185</v>
      </c>
      <c r="K444" s="200" t="n">
        <v>45435.4538425926</v>
      </c>
      <c r="L444" s="1" t="n">
        <v>3</v>
      </c>
      <c r="M444" s="1" t="n">
        <v>11171</v>
      </c>
      <c r="N444" s="1" t="n">
        <v>164</v>
      </c>
    </row>
    <row r="445" customFormat="false" ht="14.25" hidden="false" customHeight="false" outlineLevel="0" collapsed="false">
      <c r="A445" s="1" t="n">
        <v>186</v>
      </c>
      <c r="B445" s="1" t="s">
        <v>621</v>
      </c>
      <c r="C445" s="1" t="s">
        <v>622</v>
      </c>
      <c r="D445" s="1" t="n">
        <v>11171</v>
      </c>
      <c r="E445" s="1" t="s">
        <v>55</v>
      </c>
      <c r="F445" s="201" t="n">
        <v>200025888716</v>
      </c>
      <c r="G445" s="198" t="s">
        <v>646</v>
      </c>
      <c r="H445" s="163" t="s">
        <v>336</v>
      </c>
      <c r="I445" s="161" t="n">
        <v>64</v>
      </c>
      <c r="J445" s="156" t="s">
        <v>185</v>
      </c>
      <c r="K445" s="200" t="n">
        <v>45435.4549305556</v>
      </c>
      <c r="L445" s="1" t="n">
        <v>0</v>
      </c>
      <c r="M445" s="1" t="n">
        <v>11171</v>
      </c>
      <c r="N445" s="1" t="n">
        <v>165</v>
      </c>
    </row>
    <row r="446" customFormat="false" ht="14.25" hidden="false" customHeight="false" outlineLevel="0" collapsed="false">
      <c r="A446" s="1" t="n">
        <v>187</v>
      </c>
      <c r="B446" s="1" t="s">
        <v>621</v>
      </c>
      <c r="C446" s="1" t="s">
        <v>622</v>
      </c>
      <c r="D446" s="1" t="n">
        <v>11171</v>
      </c>
      <c r="E446" s="1" t="s">
        <v>55</v>
      </c>
      <c r="F446" s="201" t="n">
        <v>200025888485</v>
      </c>
      <c r="G446" s="198" t="s">
        <v>634</v>
      </c>
      <c r="H446" s="163" t="s">
        <v>327</v>
      </c>
      <c r="I446" s="161" t="n">
        <v>93</v>
      </c>
      <c r="J446" s="156" t="s">
        <v>185</v>
      </c>
      <c r="K446" s="200" t="n">
        <v>45435.4573958333</v>
      </c>
      <c r="L446" s="1" t="n">
        <v>2</v>
      </c>
      <c r="M446" s="1" t="n">
        <v>11171</v>
      </c>
      <c r="N446" s="1" t="n">
        <v>166</v>
      </c>
    </row>
    <row r="447" customFormat="false" ht="14.25" hidden="false" customHeight="false" outlineLevel="0" collapsed="false">
      <c r="A447" s="1" t="n">
        <v>188</v>
      </c>
      <c r="B447" s="1" t="s">
        <v>621</v>
      </c>
      <c r="C447" s="1" t="s">
        <v>622</v>
      </c>
      <c r="D447" s="1" t="n">
        <v>11171</v>
      </c>
      <c r="E447" s="1" t="s">
        <v>55</v>
      </c>
      <c r="F447" s="201" t="n">
        <v>200025888485</v>
      </c>
      <c r="G447" s="198" t="s">
        <v>634</v>
      </c>
      <c r="H447" s="163" t="s">
        <v>327</v>
      </c>
      <c r="I447" s="161" t="n">
        <v>93</v>
      </c>
      <c r="J447" s="156" t="s">
        <v>185</v>
      </c>
      <c r="K447" s="200" t="n">
        <v>45435.4582291667</v>
      </c>
      <c r="L447" s="1" t="n">
        <v>3</v>
      </c>
      <c r="M447" s="1" t="n">
        <v>11171</v>
      </c>
      <c r="N447" s="1" t="n">
        <v>167</v>
      </c>
    </row>
    <row r="448" customFormat="false" ht="14.25" hidden="false" customHeight="false" outlineLevel="0" collapsed="false">
      <c r="A448" s="1" t="n">
        <v>189</v>
      </c>
      <c r="B448" s="1" t="s">
        <v>621</v>
      </c>
      <c r="C448" s="1" t="s">
        <v>622</v>
      </c>
      <c r="D448" s="1" t="n">
        <v>11171</v>
      </c>
      <c r="E448" s="1" t="s">
        <v>55</v>
      </c>
      <c r="F448" s="201" t="n">
        <v>200025888173</v>
      </c>
      <c r="G448" s="198" t="s">
        <v>670</v>
      </c>
      <c r="H448" s="163" t="s">
        <v>189</v>
      </c>
      <c r="I448" s="161" t="n">
        <v>63</v>
      </c>
      <c r="J448" s="156" t="s">
        <v>185</v>
      </c>
      <c r="K448" s="200" t="n">
        <v>45435.4608796296</v>
      </c>
      <c r="L448" s="1" t="n">
        <v>2</v>
      </c>
      <c r="M448" s="1" t="n">
        <v>11171</v>
      </c>
      <c r="N448" s="1" t="n">
        <v>168</v>
      </c>
    </row>
    <row r="449" customFormat="false" ht="14.25" hidden="false" customHeight="false" outlineLevel="0" collapsed="false">
      <c r="A449" s="1" t="n">
        <v>190</v>
      </c>
      <c r="B449" s="1" t="s">
        <v>621</v>
      </c>
      <c r="C449" s="1" t="s">
        <v>622</v>
      </c>
      <c r="D449" s="1" t="n">
        <v>11171</v>
      </c>
      <c r="E449" s="1" t="s">
        <v>55</v>
      </c>
      <c r="F449" s="201" t="n">
        <v>200025888264</v>
      </c>
      <c r="G449" s="198" t="s">
        <v>650</v>
      </c>
      <c r="H449" s="163" t="s">
        <v>212</v>
      </c>
      <c r="I449" s="161" t="n">
        <v>5</v>
      </c>
      <c r="J449" s="156" t="s">
        <v>185</v>
      </c>
      <c r="K449" s="200" t="n">
        <v>45435.4618518519</v>
      </c>
      <c r="L449" s="1" t="n">
        <v>0</v>
      </c>
      <c r="M449" s="1" t="n">
        <v>11171</v>
      </c>
      <c r="N449" s="1" t="n">
        <v>169</v>
      </c>
    </row>
    <row r="450" customFormat="false" ht="14.25" hidden="false" customHeight="false" outlineLevel="0" collapsed="false">
      <c r="A450" s="1" t="n">
        <v>191</v>
      </c>
      <c r="B450" s="1" t="s">
        <v>621</v>
      </c>
      <c r="C450" s="1" t="s">
        <v>622</v>
      </c>
      <c r="D450" s="1" t="n">
        <v>11171</v>
      </c>
      <c r="E450" s="1" t="s">
        <v>55</v>
      </c>
      <c r="F450" s="201" t="n">
        <v>200025888264</v>
      </c>
      <c r="G450" s="198" t="s">
        <v>650</v>
      </c>
      <c r="H450" s="163" t="s">
        <v>212</v>
      </c>
      <c r="I450" s="161" t="n">
        <v>5</v>
      </c>
      <c r="J450" s="156" t="s">
        <v>185</v>
      </c>
      <c r="K450" s="200" t="n">
        <v>45435.4618634259</v>
      </c>
      <c r="L450" s="1" t="n">
        <v>2</v>
      </c>
      <c r="M450" s="1" t="n">
        <v>11171</v>
      </c>
      <c r="N450" s="1" t="n">
        <v>170</v>
      </c>
    </row>
    <row r="451" customFormat="false" ht="14.25" hidden="false" customHeight="false" outlineLevel="0" collapsed="false">
      <c r="A451" s="1" t="n">
        <v>192</v>
      </c>
      <c r="B451" s="1" t="s">
        <v>621</v>
      </c>
      <c r="C451" s="1" t="s">
        <v>622</v>
      </c>
      <c r="D451" s="1" t="n">
        <v>11171</v>
      </c>
      <c r="E451" s="1" t="s">
        <v>55</v>
      </c>
      <c r="F451" s="201" t="n">
        <v>200025888264</v>
      </c>
      <c r="G451" s="198" t="s">
        <v>650</v>
      </c>
      <c r="H451" s="163" t="s">
        <v>212</v>
      </c>
      <c r="I451" s="161" t="n">
        <v>5</v>
      </c>
      <c r="J451" s="156" t="s">
        <v>185</v>
      </c>
      <c r="K451" s="200" t="n">
        <v>45435.4629398148</v>
      </c>
      <c r="L451" s="1" t="n">
        <v>2</v>
      </c>
      <c r="M451" s="1" t="n">
        <v>11171</v>
      </c>
      <c r="N451" s="1" t="n">
        <v>171</v>
      </c>
    </row>
    <row r="452" customFormat="false" ht="14.25" hidden="false" customHeight="false" outlineLevel="0" collapsed="false">
      <c r="A452" s="1" t="n">
        <v>193</v>
      </c>
      <c r="B452" s="1" t="s">
        <v>621</v>
      </c>
      <c r="C452" s="1" t="s">
        <v>622</v>
      </c>
      <c r="D452" s="1" t="n">
        <v>11171</v>
      </c>
      <c r="E452" s="1" t="s">
        <v>55</v>
      </c>
      <c r="F452" s="201" t="n">
        <v>200025888264</v>
      </c>
      <c r="G452" s="198" t="s">
        <v>650</v>
      </c>
      <c r="H452" s="163" t="s">
        <v>212</v>
      </c>
      <c r="I452" s="161" t="n">
        <v>5</v>
      </c>
      <c r="J452" s="156" t="s">
        <v>185</v>
      </c>
      <c r="K452" s="200" t="n">
        <v>45435.4630902778</v>
      </c>
      <c r="L452" s="1" t="n">
        <v>1</v>
      </c>
      <c r="M452" s="1" t="n">
        <v>11171</v>
      </c>
      <c r="N452" s="1" t="n">
        <v>172</v>
      </c>
    </row>
    <row r="453" customFormat="false" ht="14.25" hidden="false" customHeight="false" outlineLevel="0" collapsed="false">
      <c r="A453" s="1" t="n">
        <v>194</v>
      </c>
      <c r="B453" s="1" t="s">
        <v>621</v>
      </c>
      <c r="C453" s="1" t="s">
        <v>622</v>
      </c>
      <c r="D453" s="1" t="n">
        <v>11171</v>
      </c>
      <c r="E453" s="1" t="s">
        <v>55</v>
      </c>
      <c r="F453" s="201" t="n">
        <v>200025888677</v>
      </c>
      <c r="G453" s="198" t="s">
        <v>671</v>
      </c>
      <c r="H453" s="163" t="s">
        <v>348</v>
      </c>
      <c r="I453" s="161" t="n">
        <v>70</v>
      </c>
      <c r="J453" s="156" t="s">
        <v>185</v>
      </c>
      <c r="K453" s="200" t="n">
        <v>45435.4655555556</v>
      </c>
      <c r="L453" s="1" t="n">
        <v>0</v>
      </c>
      <c r="M453" s="1" t="n">
        <v>11171</v>
      </c>
      <c r="N453" s="1" t="n">
        <v>173</v>
      </c>
    </row>
    <row r="454" customFormat="false" ht="14.25" hidden="false" customHeight="false" outlineLevel="0" collapsed="false">
      <c r="A454" s="1" t="n">
        <v>195</v>
      </c>
      <c r="B454" s="1" t="s">
        <v>621</v>
      </c>
      <c r="C454" s="1" t="s">
        <v>622</v>
      </c>
      <c r="D454" s="1" t="n">
        <v>11171</v>
      </c>
      <c r="E454" s="1" t="s">
        <v>55</v>
      </c>
      <c r="F454" s="201" t="n">
        <v>200025888716</v>
      </c>
      <c r="G454" s="198" t="s">
        <v>646</v>
      </c>
      <c r="H454" s="163" t="s">
        <v>336</v>
      </c>
      <c r="I454" s="161" t="n">
        <v>64</v>
      </c>
      <c r="J454" s="156" t="s">
        <v>185</v>
      </c>
      <c r="K454" s="200" t="n">
        <v>45435.491400463</v>
      </c>
      <c r="L454" s="1" t="n">
        <v>2</v>
      </c>
      <c r="M454" s="1" t="n">
        <v>11171</v>
      </c>
      <c r="N454" s="1" t="n">
        <v>174</v>
      </c>
    </row>
    <row r="455" customFormat="false" ht="14.25" hidden="false" customHeight="false" outlineLevel="0" collapsed="false">
      <c r="A455" s="1" t="n">
        <v>196</v>
      </c>
      <c r="B455" s="1" t="s">
        <v>621</v>
      </c>
      <c r="C455" s="1" t="s">
        <v>622</v>
      </c>
      <c r="D455" s="1" t="n">
        <v>11171</v>
      </c>
      <c r="E455" s="1" t="s">
        <v>55</v>
      </c>
      <c r="F455" s="201" t="n">
        <v>200025888256</v>
      </c>
      <c r="G455" s="198" t="s">
        <v>668</v>
      </c>
      <c r="H455" s="163" t="s">
        <v>291</v>
      </c>
      <c r="I455" s="161" t="n">
        <v>68</v>
      </c>
      <c r="J455" s="156" t="s">
        <v>185</v>
      </c>
      <c r="K455" s="200" t="n">
        <v>45435.5750578704</v>
      </c>
      <c r="L455" s="1" t="n">
        <v>3</v>
      </c>
      <c r="M455" s="1" t="n">
        <v>11171</v>
      </c>
      <c r="N455" s="1" t="n">
        <v>175</v>
      </c>
    </row>
    <row r="456" customFormat="false" ht="14.25" hidden="false" customHeight="false" outlineLevel="0" collapsed="false">
      <c r="A456" s="1" t="n">
        <v>197</v>
      </c>
      <c r="B456" s="1" t="s">
        <v>621</v>
      </c>
      <c r="C456" s="1" t="s">
        <v>622</v>
      </c>
      <c r="D456" s="1" t="n">
        <v>11171</v>
      </c>
      <c r="E456" s="1" t="s">
        <v>55</v>
      </c>
      <c r="F456" s="201" t="n">
        <v>200025888955</v>
      </c>
      <c r="G456" s="198" t="s">
        <v>672</v>
      </c>
      <c r="H456" s="163" t="s">
        <v>285</v>
      </c>
      <c r="I456" s="161" t="n">
        <v>32</v>
      </c>
      <c r="J456" s="156" t="s">
        <v>185</v>
      </c>
      <c r="K456" s="200" t="n">
        <v>45435.6068055556</v>
      </c>
      <c r="L456" s="1" t="n">
        <v>2</v>
      </c>
      <c r="M456" s="1" t="n">
        <v>11171</v>
      </c>
      <c r="N456" s="1" t="n">
        <v>176</v>
      </c>
    </row>
    <row r="457" customFormat="false" ht="14.25" hidden="false" customHeight="false" outlineLevel="0" collapsed="false">
      <c r="A457" s="1" t="n">
        <v>198</v>
      </c>
      <c r="B457" s="1" t="s">
        <v>621</v>
      </c>
      <c r="C457" s="1" t="s">
        <v>622</v>
      </c>
      <c r="D457" s="1" t="n">
        <v>11171</v>
      </c>
      <c r="E457" s="1" t="s">
        <v>55</v>
      </c>
      <c r="F457" s="201" t="n">
        <v>200025889289</v>
      </c>
      <c r="G457" s="198" t="s">
        <v>673</v>
      </c>
      <c r="H457" s="163" t="s">
        <v>309</v>
      </c>
      <c r="I457" s="161" t="n">
        <v>47</v>
      </c>
      <c r="J457" s="156" t="s">
        <v>185</v>
      </c>
      <c r="K457" s="200" t="n">
        <v>45435.6096990741</v>
      </c>
      <c r="L457" s="1" t="n">
        <v>2</v>
      </c>
      <c r="M457" s="1" t="n">
        <v>11171</v>
      </c>
      <c r="N457" s="1" t="n">
        <v>177</v>
      </c>
    </row>
    <row r="458" customFormat="false" ht="14.25" hidden="false" customHeight="false" outlineLevel="0" collapsed="false">
      <c r="A458" s="1" t="n">
        <v>199</v>
      </c>
      <c r="B458" s="1" t="s">
        <v>621</v>
      </c>
      <c r="C458" s="1" t="s">
        <v>622</v>
      </c>
      <c r="D458" s="1" t="n">
        <v>11171</v>
      </c>
      <c r="E458" s="1" t="s">
        <v>55</v>
      </c>
      <c r="F458" s="201" t="n">
        <v>200025888955</v>
      </c>
      <c r="G458" s="198" t="s">
        <v>672</v>
      </c>
      <c r="H458" s="163" t="s">
        <v>285</v>
      </c>
      <c r="I458" s="161" t="n">
        <v>32</v>
      </c>
      <c r="J458" s="156" t="s">
        <v>185</v>
      </c>
      <c r="K458" s="200" t="n">
        <v>45435.6110532407</v>
      </c>
      <c r="L458" s="1" t="n">
        <v>5</v>
      </c>
      <c r="M458" s="1" t="n">
        <v>11171</v>
      </c>
      <c r="N458" s="1" t="n">
        <v>178</v>
      </c>
    </row>
    <row r="459" customFormat="false" ht="14.25" hidden="false" customHeight="false" outlineLevel="0" collapsed="false">
      <c r="A459" s="1" t="n">
        <v>200</v>
      </c>
      <c r="B459" s="1" t="s">
        <v>621</v>
      </c>
      <c r="C459" s="1" t="s">
        <v>622</v>
      </c>
      <c r="D459" s="1" t="n">
        <v>11171</v>
      </c>
      <c r="E459" s="1" t="s">
        <v>55</v>
      </c>
      <c r="F459" s="201" t="n">
        <v>200025888256</v>
      </c>
      <c r="G459" s="198" t="s">
        <v>668</v>
      </c>
      <c r="H459" s="163" t="s">
        <v>291</v>
      </c>
      <c r="I459" s="161" t="n">
        <v>68</v>
      </c>
      <c r="J459" s="156" t="s">
        <v>185</v>
      </c>
      <c r="K459" s="200" t="n">
        <v>45435.6120717593</v>
      </c>
      <c r="L459" s="1" t="n">
        <v>2</v>
      </c>
      <c r="M459" s="1" t="n">
        <v>11171</v>
      </c>
      <c r="N459" s="1" t="n">
        <v>179</v>
      </c>
    </row>
    <row r="460" customFormat="false" ht="14.25" hidden="false" customHeight="false" outlineLevel="0" collapsed="false">
      <c r="A460" s="1" t="n">
        <v>201</v>
      </c>
      <c r="B460" s="1" t="s">
        <v>621</v>
      </c>
      <c r="C460" s="1" t="s">
        <v>622</v>
      </c>
      <c r="D460" s="1" t="n">
        <v>11171</v>
      </c>
      <c r="E460" s="1" t="s">
        <v>55</v>
      </c>
      <c r="F460" s="201" t="n">
        <v>200025888637</v>
      </c>
      <c r="G460" s="198" t="s">
        <v>669</v>
      </c>
      <c r="H460" s="163" t="s">
        <v>206</v>
      </c>
      <c r="I460" s="161" t="n">
        <v>4</v>
      </c>
      <c r="J460" s="156" t="s">
        <v>185</v>
      </c>
      <c r="K460" s="200" t="n">
        <v>45435.6144560185</v>
      </c>
      <c r="L460" s="1" t="n">
        <v>3</v>
      </c>
      <c r="M460" s="1" t="n">
        <v>11171</v>
      </c>
      <c r="N460" s="1" t="n">
        <v>180</v>
      </c>
    </row>
    <row r="461" customFormat="false" ht="14.25" hidden="false" customHeight="false" outlineLevel="0" collapsed="false">
      <c r="A461" s="1" t="n">
        <v>202</v>
      </c>
      <c r="B461" s="1" t="s">
        <v>621</v>
      </c>
      <c r="C461" s="1" t="s">
        <v>622</v>
      </c>
      <c r="D461" s="1" t="n">
        <v>11171</v>
      </c>
      <c r="E461" s="1" t="s">
        <v>55</v>
      </c>
      <c r="F461" s="201" t="n">
        <v>200025888637</v>
      </c>
      <c r="G461" s="198" t="s">
        <v>669</v>
      </c>
      <c r="H461" s="163" t="s">
        <v>206</v>
      </c>
      <c r="I461" s="161" t="n">
        <v>4</v>
      </c>
      <c r="J461" s="156" t="s">
        <v>185</v>
      </c>
      <c r="K461" s="200" t="n">
        <v>45435.6148148148</v>
      </c>
      <c r="L461" s="1" t="n">
        <v>3</v>
      </c>
      <c r="M461" s="1" t="n">
        <v>11171</v>
      </c>
      <c r="N461" s="1" t="n">
        <v>181</v>
      </c>
    </row>
    <row r="462" customFormat="false" ht="14.25" hidden="false" customHeight="false" outlineLevel="0" collapsed="false">
      <c r="A462" s="1" t="n">
        <v>203</v>
      </c>
      <c r="B462" s="1" t="s">
        <v>621</v>
      </c>
      <c r="C462" s="1" t="s">
        <v>622</v>
      </c>
      <c r="D462" s="1" t="n">
        <v>11171</v>
      </c>
      <c r="E462" s="1" t="s">
        <v>55</v>
      </c>
      <c r="F462" s="201" t="n">
        <v>200025888485</v>
      </c>
      <c r="G462" s="198" t="s">
        <v>634</v>
      </c>
      <c r="H462" s="163" t="s">
        <v>327</v>
      </c>
      <c r="I462" s="161" t="n">
        <v>93</v>
      </c>
      <c r="J462" s="156" t="s">
        <v>185</v>
      </c>
      <c r="K462" s="200" t="n">
        <v>45435.6160763889</v>
      </c>
      <c r="L462" s="1" t="n">
        <v>2</v>
      </c>
      <c r="M462" s="1" t="n">
        <v>11171</v>
      </c>
      <c r="N462" s="1" t="n">
        <v>182</v>
      </c>
    </row>
    <row r="463" customFormat="false" ht="14.25" hidden="false" customHeight="false" outlineLevel="0" collapsed="false">
      <c r="A463" s="1" t="n">
        <v>204</v>
      </c>
      <c r="B463" s="1" t="s">
        <v>621</v>
      </c>
      <c r="C463" s="1" t="s">
        <v>622</v>
      </c>
      <c r="D463" s="1" t="n">
        <v>11171</v>
      </c>
      <c r="E463" s="1" t="s">
        <v>55</v>
      </c>
      <c r="F463" s="201" t="n">
        <v>200025888716</v>
      </c>
      <c r="G463" s="198" t="s">
        <v>646</v>
      </c>
      <c r="H463" s="163" t="s">
        <v>336</v>
      </c>
      <c r="I463" s="161" t="n">
        <v>64</v>
      </c>
      <c r="J463" s="156" t="s">
        <v>185</v>
      </c>
      <c r="K463" s="200" t="n">
        <v>45435.6170023148</v>
      </c>
      <c r="L463" s="1" t="n">
        <v>2</v>
      </c>
      <c r="M463" s="1" t="n">
        <v>11171</v>
      </c>
      <c r="N463" s="1" t="n">
        <v>183</v>
      </c>
    </row>
    <row r="464" customFormat="false" ht="14.25" hidden="false" customHeight="false" outlineLevel="0" collapsed="false">
      <c r="A464" s="1" t="n">
        <v>205</v>
      </c>
      <c r="B464" s="1" t="s">
        <v>621</v>
      </c>
      <c r="C464" s="1" t="s">
        <v>622</v>
      </c>
      <c r="D464" s="1" t="n">
        <v>11171</v>
      </c>
      <c r="E464" s="1" t="s">
        <v>55</v>
      </c>
      <c r="F464" s="201" t="n">
        <v>200025888955</v>
      </c>
      <c r="G464" s="198" t="s">
        <v>672</v>
      </c>
      <c r="H464" s="163" t="s">
        <v>285</v>
      </c>
      <c r="I464" s="161" t="n">
        <v>32</v>
      </c>
      <c r="J464" s="156" t="s">
        <v>185</v>
      </c>
      <c r="K464" s="200" t="n">
        <v>45435.6180671296</v>
      </c>
      <c r="L464" s="1" t="n">
        <v>2</v>
      </c>
      <c r="M464" s="1" t="n">
        <v>11171</v>
      </c>
      <c r="N464" s="1" t="n">
        <v>184</v>
      </c>
    </row>
    <row r="465" customFormat="false" ht="14.25" hidden="false" customHeight="false" outlineLevel="0" collapsed="false">
      <c r="A465" s="1" t="n">
        <v>206</v>
      </c>
      <c r="B465" s="1" t="s">
        <v>621</v>
      </c>
      <c r="C465" s="1" t="s">
        <v>622</v>
      </c>
      <c r="D465" s="1" t="n">
        <v>11171</v>
      </c>
      <c r="E465" s="1" t="s">
        <v>55</v>
      </c>
      <c r="F465" s="201" t="n">
        <v>200025888860</v>
      </c>
      <c r="G465" s="198" t="s">
        <v>674</v>
      </c>
      <c r="H465" s="163" t="s">
        <v>197</v>
      </c>
      <c r="I465" s="161" t="n">
        <v>3</v>
      </c>
      <c r="J465" s="156" t="s">
        <v>185</v>
      </c>
      <c r="K465" s="200" t="n">
        <v>45435.6208217593</v>
      </c>
      <c r="L465" s="1" t="n">
        <v>2</v>
      </c>
      <c r="M465" s="1" t="n">
        <v>11171</v>
      </c>
      <c r="N465" s="1" t="n">
        <v>185</v>
      </c>
    </row>
    <row r="466" customFormat="false" ht="14.25" hidden="false" customHeight="false" outlineLevel="0" collapsed="false">
      <c r="A466" s="1" t="n">
        <v>207</v>
      </c>
      <c r="B466" s="1" t="s">
        <v>621</v>
      </c>
      <c r="C466" s="1" t="s">
        <v>622</v>
      </c>
      <c r="D466" s="1" t="n">
        <v>11171</v>
      </c>
      <c r="E466" s="1" t="s">
        <v>55</v>
      </c>
      <c r="F466" s="201" t="n">
        <v>200025889051</v>
      </c>
      <c r="G466" s="198" t="s">
        <v>633</v>
      </c>
      <c r="H466" s="163" t="s">
        <v>269</v>
      </c>
      <c r="I466" s="161" t="n">
        <v>26</v>
      </c>
      <c r="J466" s="156" t="s">
        <v>185</v>
      </c>
      <c r="K466" s="200" t="n">
        <v>45435.6218171296</v>
      </c>
      <c r="L466" s="1" t="n">
        <v>2</v>
      </c>
      <c r="M466" s="1" t="n">
        <v>11171</v>
      </c>
      <c r="N466" s="1" t="n">
        <v>186</v>
      </c>
    </row>
    <row r="467" customFormat="false" ht="14.25" hidden="false" customHeight="false" outlineLevel="0" collapsed="false">
      <c r="A467" s="1" t="n">
        <v>208</v>
      </c>
      <c r="B467" s="1" t="s">
        <v>621</v>
      </c>
      <c r="C467" s="1" t="s">
        <v>622</v>
      </c>
      <c r="D467" s="1" t="n">
        <v>11171</v>
      </c>
      <c r="E467" s="1" t="s">
        <v>55</v>
      </c>
      <c r="F467" s="201" t="n">
        <v>200025888256</v>
      </c>
      <c r="G467" s="198" t="s">
        <v>668</v>
      </c>
      <c r="H467" s="163" t="s">
        <v>291</v>
      </c>
      <c r="I467" s="161" t="n">
        <v>68</v>
      </c>
      <c r="J467" s="156" t="s">
        <v>185</v>
      </c>
      <c r="K467" s="200" t="n">
        <v>45435.6718287037</v>
      </c>
      <c r="L467" s="1" t="n">
        <v>0</v>
      </c>
      <c r="M467" s="1" t="n">
        <v>11171</v>
      </c>
      <c r="N467" s="1" t="n">
        <v>187</v>
      </c>
    </row>
    <row r="468" customFormat="false" ht="14.25" hidden="false" customHeight="false" outlineLevel="0" collapsed="false">
      <c r="A468" s="1" t="n">
        <v>209</v>
      </c>
      <c r="B468" s="1" t="s">
        <v>621</v>
      </c>
      <c r="C468" s="1" t="s">
        <v>622</v>
      </c>
      <c r="D468" s="1" t="n">
        <v>11171</v>
      </c>
      <c r="E468" s="1" t="s">
        <v>55</v>
      </c>
      <c r="F468" s="201" t="n">
        <v>200025889392</v>
      </c>
      <c r="G468" s="198" t="s">
        <v>675</v>
      </c>
      <c r="H468" s="163" t="s">
        <v>354</v>
      </c>
      <c r="I468" s="161" t="n">
        <v>72</v>
      </c>
      <c r="J468" s="156" t="s">
        <v>185</v>
      </c>
      <c r="K468" s="200" t="n">
        <v>45435.6723148148</v>
      </c>
      <c r="L468" s="1" t="n">
        <v>2</v>
      </c>
      <c r="M468" s="1" t="n">
        <v>11171</v>
      </c>
      <c r="N468" s="1" t="n">
        <v>188</v>
      </c>
    </row>
    <row r="469" customFormat="false" ht="14.25" hidden="false" customHeight="false" outlineLevel="0" collapsed="false">
      <c r="A469" s="1" t="n">
        <v>210</v>
      </c>
      <c r="B469" s="1" t="s">
        <v>621</v>
      </c>
      <c r="C469" s="1" t="s">
        <v>622</v>
      </c>
      <c r="D469" s="1" t="n">
        <v>11171</v>
      </c>
      <c r="E469" s="1" t="s">
        <v>55</v>
      </c>
      <c r="F469" s="201" t="n">
        <v>200025888256</v>
      </c>
      <c r="G469" s="198" t="s">
        <v>668</v>
      </c>
      <c r="H469" s="163" t="s">
        <v>291</v>
      </c>
      <c r="I469" s="161" t="n">
        <v>68</v>
      </c>
      <c r="J469" s="156" t="s">
        <v>185</v>
      </c>
      <c r="K469" s="200" t="n">
        <v>45435.6760185185</v>
      </c>
      <c r="L469" s="1" t="n">
        <v>1</v>
      </c>
      <c r="M469" s="1" t="n">
        <v>11171</v>
      </c>
      <c r="N469" s="1" t="n">
        <v>189</v>
      </c>
    </row>
    <row r="470" customFormat="false" ht="14.25" hidden="false" customHeight="false" outlineLevel="0" collapsed="false">
      <c r="A470" s="1" t="n">
        <v>211</v>
      </c>
      <c r="B470" s="1" t="s">
        <v>621</v>
      </c>
      <c r="C470" s="1" t="s">
        <v>622</v>
      </c>
      <c r="D470" s="1" t="n">
        <v>11171</v>
      </c>
      <c r="E470" s="1" t="s">
        <v>55</v>
      </c>
      <c r="F470" s="201" t="n">
        <v>200025888256</v>
      </c>
      <c r="G470" s="198" t="s">
        <v>668</v>
      </c>
      <c r="H470" s="163" t="s">
        <v>291</v>
      </c>
      <c r="I470" s="161" t="n">
        <v>68</v>
      </c>
      <c r="J470" s="156" t="s">
        <v>185</v>
      </c>
      <c r="K470" s="200" t="n">
        <v>45435.6760300926</v>
      </c>
      <c r="L470" s="1" t="n">
        <v>1</v>
      </c>
      <c r="M470" s="1" t="n">
        <v>11171</v>
      </c>
      <c r="N470" s="1" t="n">
        <v>190</v>
      </c>
    </row>
    <row r="471" customFormat="false" ht="14.25" hidden="false" customHeight="false" outlineLevel="0" collapsed="false">
      <c r="A471" s="1" t="n">
        <v>212</v>
      </c>
      <c r="B471" s="1" t="s">
        <v>621</v>
      </c>
      <c r="C471" s="1" t="s">
        <v>622</v>
      </c>
      <c r="D471" s="1" t="n">
        <v>11171</v>
      </c>
      <c r="E471" s="1" t="s">
        <v>55</v>
      </c>
      <c r="F471" s="201" t="n">
        <v>200025888174</v>
      </c>
      <c r="G471" s="198" t="s">
        <v>676</v>
      </c>
      <c r="H471" s="163" t="s">
        <v>203</v>
      </c>
      <c r="I471" s="161" t="n">
        <v>45</v>
      </c>
      <c r="J471" s="156" t="s">
        <v>185</v>
      </c>
      <c r="K471" s="200" t="n">
        <v>45435.6792939815</v>
      </c>
      <c r="L471" s="1" t="n">
        <v>2</v>
      </c>
      <c r="M471" s="1" t="n">
        <v>11171</v>
      </c>
      <c r="N471" s="1" t="n">
        <v>191</v>
      </c>
    </row>
    <row r="472" customFormat="false" ht="14.25" hidden="false" customHeight="false" outlineLevel="0" collapsed="false">
      <c r="A472" s="1" t="n">
        <v>213</v>
      </c>
      <c r="B472" s="1" t="s">
        <v>621</v>
      </c>
      <c r="C472" s="1" t="s">
        <v>622</v>
      </c>
      <c r="D472" s="1" t="n">
        <v>11171</v>
      </c>
      <c r="E472" s="1" t="s">
        <v>55</v>
      </c>
      <c r="F472" s="201" t="n">
        <v>200025888174</v>
      </c>
      <c r="G472" s="198" t="s">
        <v>676</v>
      </c>
      <c r="H472" s="163" t="s">
        <v>203</v>
      </c>
      <c r="I472" s="161" t="n">
        <v>45</v>
      </c>
      <c r="J472" s="156" t="s">
        <v>185</v>
      </c>
      <c r="K472" s="200" t="n">
        <v>45435.6807638889</v>
      </c>
      <c r="L472" s="1" t="n">
        <v>0</v>
      </c>
      <c r="M472" s="1" t="n">
        <v>11171</v>
      </c>
      <c r="N472" s="1" t="n">
        <v>192</v>
      </c>
    </row>
    <row r="473" customFormat="false" ht="14.25" hidden="false" customHeight="false" outlineLevel="0" collapsed="false">
      <c r="A473" s="1" t="n">
        <v>214</v>
      </c>
      <c r="B473" s="1" t="s">
        <v>621</v>
      </c>
      <c r="C473" s="1" t="s">
        <v>622</v>
      </c>
      <c r="D473" s="1" t="n">
        <v>11171</v>
      </c>
      <c r="E473" s="1" t="s">
        <v>55</v>
      </c>
      <c r="F473" s="201" t="n">
        <v>200025888174</v>
      </c>
      <c r="G473" s="198" t="s">
        <v>676</v>
      </c>
      <c r="H473" s="163" t="s">
        <v>203</v>
      </c>
      <c r="I473" s="161" t="n">
        <v>45</v>
      </c>
      <c r="J473" s="156" t="s">
        <v>185</v>
      </c>
      <c r="K473" s="200" t="n">
        <v>45435.680775463</v>
      </c>
      <c r="L473" s="1" t="n">
        <v>1</v>
      </c>
      <c r="M473" s="1" t="n">
        <v>11171</v>
      </c>
      <c r="N473" s="1" t="n">
        <v>193</v>
      </c>
    </row>
    <row r="474" customFormat="false" ht="14.25" hidden="false" customHeight="false" outlineLevel="0" collapsed="false">
      <c r="A474" s="1" t="n">
        <v>215</v>
      </c>
      <c r="B474" s="1" t="s">
        <v>621</v>
      </c>
      <c r="C474" s="1" t="s">
        <v>622</v>
      </c>
      <c r="D474" s="1" t="n">
        <v>11171</v>
      </c>
      <c r="E474" s="1" t="s">
        <v>55</v>
      </c>
      <c r="F474" s="201" t="n">
        <v>200025888221</v>
      </c>
      <c r="G474" s="198" t="s">
        <v>663</v>
      </c>
      <c r="H474" s="163" t="s">
        <v>266</v>
      </c>
      <c r="I474" s="161" t="n">
        <v>42</v>
      </c>
      <c r="J474" s="156" t="s">
        <v>185</v>
      </c>
      <c r="K474" s="200" t="n">
        <v>45435.6828472222</v>
      </c>
      <c r="L474" s="1" t="n">
        <v>1</v>
      </c>
      <c r="M474" s="1" t="n">
        <v>11171</v>
      </c>
      <c r="N474" s="1" t="n">
        <v>194</v>
      </c>
    </row>
    <row r="475" customFormat="false" ht="14.25" hidden="false" customHeight="false" outlineLevel="0" collapsed="false">
      <c r="A475" s="1" t="n">
        <v>216</v>
      </c>
      <c r="B475" s="1" t="s">
        <v>621</v>
      </c>
      <c r="C475" s="1" t="s">
        <v>622</v>
      </c>
      <c r="D475" s="1" t="n">
        <v>11171</v>
      </c>
      <c r="E475" s="1" t="s">
        <v>55</v>
      </c>
      <c r="F475" s="201" t="n">
        <v>200025888256</v>
      </c>
      <c r="G475" s="198" t="s">
        <v>668</v>
      </c>
      <c r="H475" s="163" t="s">
        <v>291</v>
      </c>
      <c r="I475" s="161" t="n">
        <v>68</v>
      </c>
      <c r="J475" s="156" t="s">
        <v>185</v>
      </c>
      <c r="K475" s="200" t="n">
        <v>45435.6835532407</v>
      </c>
      <c r="L475" s="1" t="n">
        <v>3</v>
      </c>
      <c r="M475" s="1" t="n">
        <v>11171</v>
      </c>
      <c r="N475" s="1" t="n">
        <v>195</v>
      </c>
    </row>
    <row r="476" customFormat="false" ht="14.25" hidden="false" customHeight="false" outlineLevel="0" collapsed="false">
      <c r="A476" s="1" t="n">
        <v>217</v>
      </c>
      <c r="B476" s="1" t="s">
        <v>621</v>
      </c>
      <c r="C476" s="1" t="s">
        <v>622</v>
      </c>
      <c r="D476" s="1" t="n">
        <v>11171</v>
      </c>
      <c r="E476" s="1" t="s">
        <v>55</v>
      </c>
      <c r="F476" s="201" t="n">
        <v>200025889262</v>
      </c>
      <c r="G476" s="198" t="s">
        <v>677</v>
      </c>
      <c r="H476" s="163" t="s">
        <v>375</v>
      </c>
      <c r="I476" s="161" t="n">
        <v>90</v>
      </c>
      <c r="J476" s="156" t="s">
        <v>185</v>
      </c>
      <c r="K476" s="200" t="n">
        <v>45435.6844560185</v>
      </c>
      <c r="L476" s="1" t="n">
        <v>1</v>
      </c>
      <c r="M476" s="1" t="n">
        <v>11171</v>
      </c>
      <c r="N476" s="1" t="n">
        <v>196</v>
      </c>
    </row>
    <row r="477" customFormat="false" ht="14.25" hidden="false" customHeight="false" outlineLevel="0" collapsed="false">
      <c r="A477" s="1" t="n">
        <v>218</v>
      </c>
      <c r="B477" s="1" t="s">
        <v>621</v>
      </c>
      <c r="C477" s="1" t="s">
        <v>622</v>
      </c>
      <c r="D477" s="1" t="n">
        <v>11171</v>
      </c>
      <c r="E477" s="1" t="s">
        <v>55</v>
      </c>
      <c r="F477" s="201" t="n">
        <v>200025888256</v>
      </c>
      <c r="G477" s="198" t="s">
        <v>668</v>
      </c>
      <c r="H477" s="163" t="s">
        <v>291</v>
      </c>
      <c r="I477" s="161" t="n">
        <v>68</v>
      </c>
      <c r="J477" s="156" t="s">
        <v>185</v>
      </c>
      <c r="K477" s="200" t="n">
        <v>45435.687037037</v>
      </c>
      <c r="L477" s="1" t="n">
        <v>3</v>
      </c>
      <c r="M477" s="1" t="n">
        <v>11171</v>
      </c>
      <c r="N477" s="1" t="n">
        <v>197</v>
      </c>
    </row>
    <row r="478" customFormat="false" ht="14.25" hidden="false" customHeight="false" outlineLevel="0" collapsed="false">
      <c r="A478" s="1" t="n">
        <v>219</v>
      </c>
      <c r="B478" s="1" t="s">
        <v>621</v>
      </c>
      <c r="C478" s="1" t="s">
        <v>622</v>
      </c>
      <c r="D478" s="1" t="n">
        <v>11171</v>
      </c>
      <c r="E478" s="1" t="s">
        <v>55</v>
      </c>
      <c r="F478" s="201" t="n">
        <v>200025888256</v>
      </c>
      <c r="G478" s="198" t="s">
        <v>668</v>
      </c>
      <c r="H478" s="163" t="s">
        <v>291</v>
      </c>
      <c r="I478" s="161" t="n">
        <v>68</v>
      </c>
      <c r="J478" s="156" t="s">
        <v>185</v>
      </c>
      <c r="K478" s="200" t="n">
        <v>45435.6878240741</v>
      </c>
      <c r="L478" s="1" t="n">
        <v>2</v>
      </c>
      <c r="M478" s="1" t="n">
        <v>11171</v>
      </c>
      <c r="N478" s="1" t="n">
        <v>198</v>
      </c>
    </row>
    <row r="479" customFormat="false" ht="14.25" hidden="false" customHeight="false" outlineLevel="0" collapsed="false">
      <c r="A479" s="1" t="n">
        <v>220</v>
      </c>
      <c r="B479" s="1" t="s">
        <v>621</v>
      </c>
      <c r="C479" s="1" t="s">
        <v>622</v>
      </c>
      <c r="D479" s="1" t="n">
        <v>11171</v>
      </c>
      <c r="E479" s="1" t="s">
        <v>55</v>
      </c>
      <c r="F479" s="201" t="n">
        <v>200025889217</v>
      </c>
      <c r="G479" s="198" t="s">
        <v>678</v>
      </c>
      <c r="H479" s="163" t="s">
        <v>315</v>
      </c>
      <c r="I479" s="161" t="n">
        <v>49</v>
      </c>
      <c r="J479" s="156" t="s">
        <v>185</v>
      </c>
      <c r="K479" s="200" t="n">
        <v>45435.7118402778</v>
      </c>
      <c r="L479" s="1" t="n">
        <v>1</v>
      </c>
      <c r="M479" s="1" t="n">
        <v>11171</v>
      </c>
      <c r="N479" s="1" t="n">
        <v>199</v>
      </c>
    </row>
    <row r="480" customFormat="false" ht="14.25" hidden="false" customHeight="false" outlineLevel="0" collapsed="false">
      <c r="A480" s="1" t="n">
        <v>221</v>
      </c>
      <c r="B480" s="1" t="s">
        <v>621</v>
      </c>
      <c r="C480" s="1" t="s">
        <v>622</v>
      </c>
      <c r="D480" s="1" t="n">
        <v>11171</v>
      </c>
      <c r="E480" s="1" t="s">
        <v>55</v>
      </c>
      <c r="F480" s="201" t="n">
        <v>200025888174</v>
      </c>
      <c r="G480" s="198" t="s">
        <v>676</v>
      </c>
      <c r="H480" s="163" t="s">
        <v>203</v>
      </c>
      <c r="I480" s="161" t="n">
        <v>45</v>
      </c>
      <c r="J480" s="156" t="s">
        <v>185</v>
      </c>
      <c r="K480" s="200" t="n">
        <v>45435.7268055556</v>
      </c>
      <c r="L480" s="1" t="n">
        <v>5</v>
      </c>
      <c r="M480" s="1" t="n">
        <v>11171</v>
      </c>
      <c r="N480" s="1" t="n">
        <v>200</v>
      </c>
    </row>
    <row r="481" customFormat="false" ht="14.25" hidden="false" customHeight="false" outlineLevel="0" collapsed="false">
      <c r="A481" s="1" t="n">
        <v>222</v>
      </c>
      <c r="B481" s="1" t="s">
        <v>621</v>
      </c>
      <c r="C481" s="1" t="s">
        <v>622</v>
      </c>
      <c r="D481" s="1" t="n">
        <v>11171</v>
      </c>
      <c r="E481" s="1" t="s">
        <v>55</v>
      </c>
      <c r="F481" s="201" t="n">
        <v>200025888256</v>
      </c>
      <c r="G481" s="198" t="s">
        <v>668</v>
      </c>
      <c r="H481" s="163" t="s">
        <v>291</v>
      </c>
      <c r="I481" s="161" t="n">
        <v>68</v>
      </c>
      <c r="J481" s="156" t="s">
        <v>185</v>
      </c>
      <c r="K481" s="200" t="n">
        <v>45435.7320023148</v>
      </c>
      <c r="L481" s="1" t="n">
        <v>4</v>
      </c>
      <c r="M481" s="1" t="n">
        <v>11171</v>
      </c>
      <c r="N481" s="1" t="n">
        <v>201</v>
      </c>
    </row>
    <row r="482" customFormat="false" ht="14.25" hidden="false" customHeight="false" outlineLevel="0" collapsed="false">
      <c r="A482" s="1" t="n">
        <v>223</v>
      </c>
      <c r="B482" s="1" t="s">
        <v>621</v>
      </c>
      <c r="C482" s="1" t="s">
        <v>622</v>
      </c>
      <c r="D482" s="1" t="n">
        <v>11171</v>
      </c>
      <c r="E482" s="1" t="s">
        <v>55</v>
      </c>
      <c r="F482" s="201" t="n">
        <v>200025888910</v>
      </c>
      <c r="G482" s="198" t="s">
        <v>635</v>
      </c>
      <c r="H482" s="163" t="s">
        <v>418</v>
      </c>
      <c r="I482" s="161" t="n">
        <v>109</v>
      </c>
      <c r="J482" s="156" t="s">
        <v>185</v>
      </c>
      <c r="K482" s="200" t="n">
        <v>45435.7329166667</v>
      </c>
      <c r="L482" s="1" t="n">
        <v>2</v>
      </c>
      <c r="M482" s="1" t="n">
        <v>11171</v>
      </c>
      <c r="N482" s="1" t="n">
        <v>202</v>
      </c>
    </row>
    <row r="483" customFormat="false" ht="14.25" hidden="false" customHeight="false" outlineLevel="0" collapsed="false">
      <c r="A483" s="1" t="n">
        <v>224</v>
      </c>
      <c r="B483" s="1" t="s">
        <v>621</v>
      </c>
      <c r="C483" s="1" t="s">
        <v>622</v>
      </c>
      <c r="D483" s="1" t="n">
        <v>11171</v>
      </c>
      <c r="E483" s="1" t="s">
        <v>55</v>
      </c>
      <c r="F483" s="201" t="n">
        <v>200025888955</v>
      </c>
      <c r="G483" s="198" t="s">
        <v>672</v>
      </c>
      <c r="H483" s="163" t="s">
        <v>285</v>
      </c>
      <c r="I483" s="161" t="n">
        <v>32</v>
      </c>
      <c r="J483" s="156" t="s">
        <v>185</v>
      </c>
      <c r="K483" s="200" t="n">
        <v>45435.7351041667</v>
      </c>
      <c r="L483" s="1" t="n">
        <v>2</v>
      </c>
      <c r="M483" s="1" t="n">
        <v>11171</v>
      </c>
      <c r="N483" s="1" t="n">
        <v>203</v>
      </c>
    </row>
    <row r="484" customFormat="false" ht="14.25" hidden="false" customHeight="false" outlineLevel="0" collapsed="false">
      <c r="A484" s="1" t="n">
        <v>225</v>
      </c>
      <c r="B484" s="1" t="s">
        <v>621</v>
      </c>
      <c r="C484" s="1" t="s">
        <v>622</v>
      </c>
      <c r="D484" s="1" t="n">
        <v>11171</v>
      </c>
      <c r="E484" s="1" t="s">
        <v>55</v>
      </c>
      <c r="F484" s="201" t="n">
        <v>200025888490</v>
      </c>
      <c r="G484" s="198" t="s">
        <v>679</v>
      </c>
      <c r="H484" s="172" t="n">
        <v>31334</v>
      </c>
      <c r="I484" s="170" t="n">
        <v>116</v>
      </c>
      <c r="J484" s="169" t="s">
        <v>185</v>
      </c>
      <c r="K484" s="200" t="n">
        <v>45435.7361111111</v>
      </c>
      <c r="L484" s="1" t="n">
        <v>1</v>
      </c>
      <c r="M484" s="1" t="n">
        <v>11171</v>
      </c>
      <c r="N484" s="1" t="n">
        <v>204</v>
      </c>
    </row>
    <row r="485" customFormat="false" ht="14.25" hidden="false" customHeight="false" outlineLevel="0" collapsed="false">
      <c r="A485" s="1" t="n">
        <v>226</v>
      </c>
      <c r="B485" s="1" t="s">
        <v>621</v>
      </c>
      <c r="C485" s="1" t="s">
        <v>622</v>
      </c>
      <c r="D485" s="1" t="n">
        <v>11171</v>
      </c>
      <c r="E485" s="1" t="s">
        <v>55</v>
      </c>
      <c r="F485" s="201" t="n">
        <v>200025889154</v>
      </c>
      <c r="G485" s="198" t="s">
        <v>641</v>
      </c>
      <c r="H485" s="172" t="n">
        <v>91178</v>
      </c>
      <c r="I485" s="170" t="n">
        <v>34</v>
      </c>
      <c r="J485" s="169" t="s">
        <v>192</v>
      </c>
      <c r="K485" s="200" t="n">
        <v>45436.7791782407</v>
      </c>
      <c r="L485" s="1" t="n">
        <v>5</v>
      </c>
      <c r="M485" s="1" t="n">
        <v>11171</v>
      </c>
      <c r="N485" s="1" t="n">
        <v>205</v>
      </c>
    </row>
    <row r="486" customFormat="false" ht="14.25" hidden="false" customHeight="false" outlineLevel="0" collapsed="false">
      <c r="A486" s="1" t="n">
        <v>227</v>
      </c>
      <c r="B486" s="1" t="s">
        <v>621</v>
      </c>
      <c r="C486" s="1" t="s">
        <v>622</v>
      </c>
      <c r="D486" s="1" t="n">
        <v>11171</v>
      </c>
      <c r="E486" s="1" t="s">
        <v>55</v>
      </c>
      <c r="F486" s="201" t="n">
        <v>200025889154</v>
      </c>
      <c r="G486" s="198" t="s">
        <v>641</v>
      </c>
      <c r="H486" s="172" t="n">
        <v>91178</v>
      </c>
      <c r="I486" s="170" t="n">
        <v>34</v>
      </c>
      <c r="J486" s="169" t="s">
        <v>192</v>
      </c>
      <c r="K486" s="200" t="n">
        <v>45436.7806828704</v>
      </c>
      <c r="L486" s="1" t="n">
        <v>2</v>
      </c>
      <c r="M486" s="1" t="n">
        <v>11171</v>
      </c>
      <c r="N486" s="1" t="n">
        <v>206</v>
      </c>
    </row>
    <row r="487" customFormat="false" ht="14.25" hidden="false" customHeight="false" outlineLevel="0" collapsed="false">
      <c r="A487" s="1" t="n">
        <v>228</v>
      </c>
      <c r="B487" s="1" t="s">
        <v>621</v>
      </c>
      <c r="C487" s="1" t="s">
        <v>622</v>
      </c>
      <c r="D487" s="1" t="n">
        <v>11171</v>
      </c>
      <c r="E487" s="1" t="s">
        <v>55</v>
      </c>
      <c r="F487" s="201" t="n">
        <v>200025889154</v>
      </c>
      <c r="G487" s="198" t="s">
        <v>641</v>
      </c>
      <c r="H487" s="172" t="n">
        <v>91178</v>
      </c>
      <c r="I487" s="170" t="n">
        <v>34</v>
      </c>
      <c r="J487" s="169" t="s">
        <v>192</v>
      </c>
      <c r="K487" s="200" t="n">
        <v>45436.7813773148</v>
      </c>
      <c r="L487" s="1" t="n">
        <v>9</v>
      </c>
      <c r="M487" s="1" t="n">
        <v>11171</v>
      </c>
      <c r="N487" s="1" t="n">
        <v>207</v>
      </c>
    </row>
    <row r="488" customFormat="false" ht="14.25" hidden="false" customHeight="false" outlineLevel="0" collapsed="false">
      <c r="A488" s="1" t="n">
        <v>229</v>
      </c>
      <c r="B488" s="1" t="s">
        <v>621</v>
      </c>
      <c r="C488" s="1" t="s">
        <v>622</v>
      </c>
      <c r="D488" s="1" t="n">
        <v>11171</v>
      </c>
      <c r="E488" s="1" t="s">
        <v>55</v>
      </c>
      <c r="F488" s="201" t="n">
        <v>200025889154</v>
      </c>
      <c r="G488" s="198" t="s">
        <v>641</v>
      </c>
      <c r="H488" s="172" t="n">
        <v>91178</v>
      </c>
      <c r="I488" s="170" t="n">
        <v>34</v>
      </c>
      <c r="J488" s="169" t="s">
        <v>192</v>
      </c>
      <c r="K488" s="200" t="n">
        <v>45436.8488657407</v>
      </c>
      <c r="L488" s="1" t="n">
        <v>2</v>
      </c>
      <c r="M488" s="1" t="n">
        <v>11171</v>
      </c>
      <c r="N488" s="1" t="n">
        <v>208</v>
      </c>
    </row>
    <row r="489" customFormat="false" ht="14.25" hidden="false" customHeight="false" outlineLevel="0" collapsed="false">
      <c r="A489" s="1" t="n">
        <v>230</v>
      </c>
      <c r="B489" s="1" t="s">
        <v>621</v>
      </c>
      <c r="C489" s="1" t="s">
        <v>622</v>
      </c>
      <c r="D489" s="1" t="n">
        <v>11171</v>
      </c>
      <c r="E489" s="1" t="s">
        <v>55</v>
      </c>
      <c r="F489" s="201" t="n">
        <v>200025889154</v>
      </c>
      <c r="G489" s="198" t="s">
        <v>641</v>
      </c>
      <c r="H489" s="172" t="n">
        <v>91178</v>
      </c>
      <c r="I489" s="170" t="n">
        <v>34</v>
      </c>
      <c r="J489" s="169" t="s">
        <v>192</v>
      </c>
      <c r="K489" s="200" t="n">
        <v>45436.9282523148</v>
      </c>
      <c r="L489" s="1" t="n">
        <v>2</v>
      </c>
      <c r="M489" s="1" t="n">
        <v>11171</v>
      </c>
      <c r="N489" s="1" t="n">
        <v>209</v>
      </c>
    </row>
    <row r="490" customFormat="false" ht="14.25" hidden="false" customHeight="false" outlineLevel="0" collapsed="false">
      <c r="A490" s="1" t="n">
        <v>231</v>
      </c>
      <c r="B490" s="1" t="s">
        <v>621</v>
      </c>
      <c r="C490" s="1" t="s">
        <v>622</v>
      </c>
      <c r="D490" s="1" t="n">
        <v>11171</v>
      </c>
      <c r="E490" s="1" t="s">
        <v>55</v>
      </c>
      <c r="F490" s="201" t="n">
        <v>200025889154</v>
      </c>
      <c r="G490" s="198" t="s">
        <v>641</v>
      </c>
      <c r="H490" s="172" t="n">
        <v>91178</v>
      </c>
      <c r="I490" s="170" t="n">
        <v>34</v>
      </c>
      <c r="J490" s="169" t="s">
        <v>192</v>
      </c>
      <c r="K490" s="200" t="n">
        <v>45436.9336111111</v>
      </c>
      <c r="L490" s="1" t="n">
        <v>5</v>
      </c>
      <c r="M490" s="1" t="n">
        <v>11171</v>
      </c>
      <c r="N490" s="1" t="n">
        <v>210</v>
      </c>
    </row>
    <row r="491" customFormat="false" ht="14.25" hidden="false" customHeight="false" outlineLevel="0" collapsed="false">
      <c r="A491" s="1" t="n">
        <v>232</v>
      </c>
      <c r="B491" s="1" t="s">
        <v>621</v>
      </c>
      <c r="C491" s="1" t="s">
        <v>622</v>
      </c>
      <c r="D491" s="1" t="n">
        <v>11171</v>
      </c>
      <c r="E491" s="1" t="s">
        <v>55</v>
      </c>
      <c r="F491" s="201" t="n">
        <v>200025889154</v>
      </c>
      <c r="G491" s="198" t="s">
        <v>641</v>
      </c>
      <c r="H491" s="172" t="n">
        <v>91178</v>
      </c>
      <c r="I491" s="170" t="n">
        <v>34</v>
      </c>
      <c r="J491" s="169" t="s">
        <v>192</v>
      </c>
      <c r="K491" s="200" t="n">
        <v>45436.9355092593</v>
      </c>
      <c r="L491" s="1" t="n">
        <v>2</v>
      </c>
      <c r="M491" s="1" t="n">
        <v>11171</v>
      </c>
      <c r="N491" s="1" t="n">
        <v>211</v>
      </c>
    </row>
    <row r="492" customFormat="false" ht="14.25" hidden="false" customHeight="false" outlineLevel="0" collapsed="false">
      <c r="A492" s="1" t="n">
        <v>233</v>
      </c>
      <c r="B492" s="1" t="s">
        <v>621</v>
      </c>
      <c r="C492" s="1" t="s">
        <v>622</v>
      </c>
      <c r="D492" s="1" t="n">
        <v>11171</v>
      </c>
      <c r="E492" s="1" t="s">
        <v>55</v>
      </c>
      <c r="F492" s="201" t="n">
        <v>200025889154</v>
      </c>
      <c r="G492" s="198" t="s">
        <v>641</v>
      </c>
      <c r="H492" s="172" t="n">
        <v>91178</v>
      </c>
      <c r="I492" s="170" t="n">
        <v>34</v>
      </c>
      <c r="J492" s="169" t="s">
        <v>192</v>
      </c>
      <c r="K492" s="200" t="n">
        <v>45436.9558912037</v>
      </c>
      <c r="L492" s="1" t="n">
        <v>2</v>
      </c>
      <c r="M492" s="1" t="n">
        <v>11171</v>
      </c>
      <c r="N492" s="1" t="n">
        <v>212</v>
      </c>
    </row>
    <row r="493" customFormat="false" ht="14.25" hidden="false" customHeight="false" outlineLevel="0" collapsed="false">
      <c r="A493" s="1" t="n">
        <v>234</v>
      </c>
      <c r="B493" s="1" t="s">
        <v>621</v>
      </c>
      <c r="C493" s="1" t="s">
        <v>622</v>
      </c>
      <c r="D493" s="1" t="n">
        <v>11171</v>
      </c>
      <c r="E493" s="1" t="s">
        <v>55</v>
      </c>
      <c r="F493" s="201" t="n">
        <v>200025888228</v>
      </c>
      <c r="G493" s="198" t="s">
        <v>680</v>
      </c>
      <c r="H493" s="163" t="s">
        <v>282</v>
      </c>
      <c r="I493" s="161" t="n">
        <v>106</v>
      </c>
      <c r="J493" s="156" t="s">
        <v>192</v>
      </c>
      <c r="K493" s="200" t="n">
        <v>45437.1995023148</v>
      </c>
      <c r="L493" s="1" t="n">
        <v>4</v>
      </c>
      <c r="M493" s="1" t="n">
        <v>11171</v>
      </c>
      <c r="N493" s="1" t="n">
        <v>213</v>
      </c>
    </row>
    <row r="494" customFormat="false" ht="14.25" hidden="false" customHeight="false" outlineLevel="0" collapsed="false">
      <c r="A494" s="1" t="n">
        <v>235</v>
      </c>
      <c r="B494" s="1" t="s">
        <v>621</v>
      </c>
      <c r="C494" s="1" t="s">
        <v>622</v>
      </c>
      <c r="D494" s="1" t="n">
        <v>11171</v>
      </c>
      <c r="E494" s="1" t="s">
        <v>55</v>
      </c>
      <c r="F494" s="201" t="n">
        <v>200025888228</v>
      </c>
      <c r="G494" s="198" t="s">
        <v>680</v>
      </c>
      <c r="H494" s="163" t="s">
        <v>282</v>
      </c>
      <c r="I494" s="161" t="n">
        <v>106</v>
      </c>
      <c r="J494" s="156" t="s">
        <v>192</v>
      </c>
      <c r="K494" s="200" t="n">
        <v>45437.2010069444</v>
      </c>
      <c r="L494" s="1" t="n">
        <v>4</v>
      </c>
      <c r="M494" s="1" t="n">
        <v>11171</v>
      </c>
      <c r="N494" s="1" t="n">
        <v>214</v>
      </c>
    </row>
    <row r="495" customFormat="false" ht="14.25" hidden="false" customHeight="false" outlineLevel="0" collapsed="false">
      <c r="A495" s="1" t="n">
        <v>236</v>
      </c>
      <c r="B495" s="1" t="s">
        <v>621</v>
      </c>
      <c r="C495" s="1" t="s">
        <v>622</v>
      </c>
      <c r="D495" s="1" t="n">
        <v>11171</v>
      </c>
      <c r="E495" s="1" t="s">
        <v>55</v>
      </c>
      <c r="F495" s="201" t="n">
        <v>200025888228</v>
      </c>
      <c r="G495" s="198" t="s">
        <v>680</v>
      </c>
      <c r="H495" s="163" t="s">
        <v>282</v>
      </c>
      <c r="I495" s="161" t="n">
        <v>106</v>
      </c>
      <c r="J495" s="156" t="s">
        <v>192</v>
      </c>
      <c r="K495" s="200" t="n">
        <v>45437.2059259259</v>
      </c>
      <c r="L495" s="1" t="n">
        <v>3</v>
      </c>
      <c r="M495" s="1" t="n">
        <v>11171</v>
      </c>
      <c r="N495" s="1" t="n">
        <v>215</v>
      </c>
    </row>
    <row r="496" customFormat="false" ht="14.25" hidden="false" customHeight="false" outlineLevel="0" collapsed="false">
      <c r="A496" s="1" t="n">
        <v>237</v>
      </c>
      <c r="B496" s="1" t="s">
        <v>621</v>
      </c>
      <c r="C496" s="1" t="s">
        <v>622</v>
      </c>
      <c r="D496" s="1" t="n">
        <v>11171</v>
      </c>
      <c r="E496" s="1" t="s">
        <v>55</v>
      </c>
      <c r="F496" s="201" t="n">
        <v>200025888228</v>
      </c>
      <c r="G496" s="198" t="s">
        <v>680</v>
      </c>
      <c r="H496" s="163" t="s">
        <v>282</v>
      </c>
      <c r="I496" s="161" t="n">
        <v>106</v>
      </c>
      <c r="J496" s="156" t="s">
        <v>192</v>
      </c>
      <c r="K496" s="200" t="n">
        <v>45437.2088541667</v>
      </c>
      <c r="L496" s="1" t="n">
        <v>2</v>
      </c>
      <c r="M496" s="1" t="n">
        <v>11171</v>
      </c>
      <c r="N496" s="1" t="n">
        <v>216</v>
      </c>
    </row>
    <row r="497" customFormat="false" ht="14.25" hidden="false" customHeight="false" outlineLevel="0" collapsed="false">
      <c r="A497" s="1" t="n">
        <v>119</v>
      </c>
      <c r="B497" s="1" t="s">
        <v>681</v>
      </c>
      <c r="C497" s="1" t="s">
        <v>682</v>
      </c>
      <c r="D497" s="1" t="n">
        <v>11171</v>
      </c>
      <c r="E497" s="1" t="s">
        <v>55</v>
      </c>
      <c r="F497" s="201" t="n">
        <v>200025889212</v>
      </c>
      <c r="G497" s="198" t="s">
        <v>683</v>
      </c>
      <c r="H497" s="163" t="s">
        <v>519</v>
      </c>
      <c r="I497" s="161" t="n">
        <v>112</v>
      </c>
      <c r="J497" s="156" t="s">
        <v>192</v>
      </c>
      <c r="K497" s="200" t="n">
        <v>45437.5852199074</v>
      </c>
      <c r="L497" s="1" t="n">
        <v>0</v>
      </c>
      <c r="M497" s="1" t="n">
        <v>11171</v>
      </c>
      <c r="N497" s="1" t="n">
        <v>217</v>
      </c>
    </row>
    <row r="498" customFormat="false" ht="14.25" hidden="false" customHeight="false" outlineLevel="0" collapsed="false">
      <c r="A498" s="1" t="n">
        <v>120</v>
      </c>
      <c r="B498" s="1" t="s">
        <v>681</v>
      </c>
      <c r="C498" s="1" t="s">
        <v>682</v>
      </c>
      <c r="D498" s="1" t="n">
        <v>11171</v>
      </c>
      <c r="E498" s="1" t="s">
        <v>55</v>
      </c>
      <c r="F498" s="201" t="n">
        <v>200025889213</v>
      </c>
      <c r="G498" s="198" t="s">
        <v>619</v>
      </c>
      <c r="H498" s="178" t="s">
        <v>390</v>
      </c>
      <c r="I498" s="176" t="n">
        <v>94</v>
      </c>
      <c r="J498" s="175" t="s">
        <v>185</v>
      </c>
      <c r="K498" s="200" t="n">
        <v>45438.3819675926</v>
      </c>
      <c r="L498" s="1" t="n">
        <v>0</v>
      </c>
      <c r="M498" s="1" t="n">
        <v>11171</v>
      </c>
      <c r="N498" s="1" t="n">
        <v>218</v>
      </c>
    </row>
    <row r="499" customFormat="false" ht="14.25" hidden="false" customHeight="false" outlineLevel="0" collapsed="false">
      <c r="A499" s="1" t="n">
        <v>11</v>
      </c>
      <c r="B499" s="1" t="s">
        <v>684</v>
      </c>
      <c r="C499" s="1" t="s">
        <v>685</v>
      </c>
      <c r="D499" s="1" t="n">
        <v>11171</v>
      </c>
      <c r="E499" s="1" t="s">
        <v>55</v>
      </c>
      <c r="F499" s="201" t="n">
        <v>200025888708</v>
      </c>
      <c r="G499" s="198" t="s">
        <v>686</v>
      </c>
      <c r="H499" s="163" t="s">
        <v>424</v>
      </c>
      <c r="I499" s="161" t="n">
        <v>104</v>
      </c>
      <c r="J499" s="156" t="s">
        <v>192</v>
      </c>
      <c r="K499" s="200" t="n">
        <v>45445.5759837963</v>
      </c>
      <c r="L499" s="1" t="n">
        <v>1</v>
      </c>
      <c r="M499" s="1" t="n">
        <v>11171</v>
      </c>
      <c r="N499" s="1" t="n">
        <v>219</v>
      </c>
    </row>
    <row r="500" customFormat="false" ht="14.25" hidden="false" customHeight="false" outlineLevel="0" collapsed="false">
      <c r="A500" s="1" t="n">
        <v>19</v>
      </c>
      <c r="B500" s="1" t="s">
        <v>643</v>
      </c>
      <c r="C500" s="1" t="s">
        <v>644</v>
      </c>
      <c r="D500" s="1" t="n">
        <v>11171</v>
      </c>
      <c r="E500" s="1" t="s">
        <v>55</v>
      </c>
      <c r="F500" s="201" t="n">
        <v>200025889149</v>
      </c>
      <c r="G500" s="198" t="s">
        <v>687</v>
      </c>
      <c r="H500" s="163" t="s">
        <v>459</v>
      </c>
      <c r="I500" s="161" t="n">
        <v>53</v>
      </c>
      <c r="J500" s="156" t="s">
        <v>192</v>
      </c>
      <c r="K500" s="200" t="n">
        <v>45447.6194560185</v>
      </c>
      <c r="L500" s="1" t="n">
        <v>2</v>
      </c>
      <c r="M500" s="1" t="n">
        <v>11171</v>
      </c>
      <c r="N500" s="1" t="n">
        <v>220</v>
      </c>
    </row>
    <row r="501" customFormat="false" ht="14.25" hidden="false" customHeight="false" outlineLevel="0" collapsed="false">
      <c r="A501" s="1" t="n">
        <v>20</v>
      </c>
      <c r="B501" s="1" t="s">
        <v>643</v>
      </c>
      <c r="C501" s="1" t="s">
        <v>644</v>
      </c>
      <c r="D501" s="1" t="n">
        <v>11171</v>
      </c>
      <c r="E501" s="1" t="s">
        <v>55</v>
      </c>
      <c r="F501" s="201" t="n">
        <v>200025889149</v>
      </c>
      <c r="G501" s="198" t="s">
        <v>687</v>
      </c>
      <c r="H501" s="163" t="s">
        <v>459</v>
      </c>
      <c r="I501" s="161" t="n">
        <v>53</v>
      </c>
      <c r="J501" s="156" t="s">
        <v>192</v>
      </c>
      <c r="K501" s="200" t="n">
        <v>45447.6204398148</v>
      </c>
      <c r="L501" s="1" t="n">
        <v>1</v>
      </c>
      <c r="M501" s="1" t="n">
        <v>11171</v>
      </c>
      <c r="N501" s="1" t="n">
        <v>221</v>
      </c>
    </row>
    <row r="502" customFormat="false" ht="14.25" hidden="false" customHeight="false" outlineLevel="0" collapsed="false">
      <c r="A502" s="1" t="n">
        <v>21</v>
      </c>
      <c r="B502" s="1" t="s">
        <v>643</v>
      </c>
      <c r="C502" s="1" t="s">
        <v>644</v>
      </c>
      <c r="D502" s="1" t="n">
        <v>11171</v>
      </c>
      <c r="E502" s="1" t="s">
        <v>55</v>
      </c>
      <c r="F502" s="201" t="n">
        <v>200025889149</v>
      </c>
      <c r="G502" s="198" t="s">
        <v>687</v>
      </c>
      <c r="H502" s="163" t="s">
        <v>459</v>
      </c>
      <c r="I502" s="161" t="n">
        <v>53</v>
      </c>
      <c r="J502" s="156" t="s">
        <v>192</v>
      </c>
      <c r="K502" s="200" t="n">
        <v>45447.6209953704</v>
      </c>
      <c r="L502" s="1" t="n">
        <v>2</v>
      </c>
      <c r="M502" s="1" t="n">
        <v>11171</v>
      </c>
      <c r="N502" s="1" t="n">
        <v>222</v>
      </c>
    </row>
    <row r="503" customFormat="false" ht="14.25" hidden="false" customHeight="false" outlineLevel="0" collapsed="false">
      <c r="A503" s="1" t="n">
        <v>22</v>
      </c>
      <c r="B503" s="1" t="s">
        <v>643</v>
      </c>
      <c r="C503" s="1" t="s">
        <v>644</v>
      </c>
      <c r="D503" s="1" t="n">
        <v>11171</v>
      </c>
      <c r="E503" s="1" t="s">
        <v>55</v>
      </c>
      <c r="F503" s="201" t="n">
        <v>200025889149</v>
      </c>
      <c r="G503" s="198" t="s">
        <v>687</v>
      </c>
      <c r="H503" s="163" t="s">
        <v>459</v>
      </c>
      <c r="I503" s="161" t="n">
        <v>53</v>
      </c>
      <c r="J503" s="156" t="s">
        <v>192</v>
      </c>
      <c r="K503" s="200" t="n">
        <v>45447.6215393519</v>
      </c>
      <c r="L503" s="1" t="n">
        <v>2</v>
      </c>
      <c r="M503" s="1" t="n">
        <v>11171</v>
      </c>
      <c r="N503" s="1" t="n">
        <v>223</v>
      </c>
    </row>
    <row r="504" customFormat="false" ht="14.25" hidden="false" customHeight="false" outlineLevel="0" collapsed="false">
      <c r="A504" s="1" t="n">
        <v>23</v>
      </c>
      <c r="B504" s="1" t="s">
        <v>643</v>
      </c>
      <c r="C504" s="1" t="s">
        <v>644</v>
      </c>
      <c r="D504" s="1" t="n">
        <v>11171</v>
      </c>
      <c r="E504" s="1" t="s">
        <v>55</v>
      </c>
      <c r="F504" s="201" t="n">
        <v>200025889149</v>
      </c>
      <c r="G504" s="198" t="s">
        <v>687</v>
      </c>
      <c r="H504" s="163" t="s">
        <v>459</v>
      </c>
      <c r="I504" s="161" t="n">
        <v>53</v>
      </c>
      <c r="J504" s="156" t="s">
        <v>192</v>
      </c>
      <c r="K504" s="200" t="n">
        <v>45447.7995486111</v>
      </c>
      <c r="L504" s="1" t="n">
        <v>2</v>
      </c>
      <c r="M504" s="1" t="n">
        <v>11171</v>
      </c>
      <c r="N504" s="1" t="n">
        <v>224</v>
      </c>
    </row>
    <row r="505" customFormat="false" ht="14.25" hidden="false" customHeight="false" outlineLevel="0" collapsed="false">
      <c r="A505" s="1" t="n">
        <v>24</v>
      </c>
      <c r="B505" s="1" t="s">
        <v>643</v>
      </c>
      <c r="C505" s="1" t="s">
        <v>644</v>
      </c>
      <c r="D505" s="1" t="n">
        <v>11171</v>
      </c>
      <c r="E505" s="1" t="s">
        <v>55</v>
      </c>
      <c r="F505" s="201" t="n">
        <v>200025889149</v>
      </c>
      <c r="G505" s="198" t="s">
        <v>687</v>
      </c>
      <c r="H505" s="163" t="s">
        <v>459</v>
      </c>
      <c r="I505" s="161" t="n">
        <v>53</v>
      </c>
      <c r="J505" s="156" t="s">
        <v>192</v>
      </c>
      <c r="K505" s="200" t="n">
        <v>45447.7997800926</v>
      </c>
      <c r="L505" s="1" t="n">
        <v>2</v>
      </c>
      <c r="M505" s="1" t="n">
        <v>11171</v>
      </c>
      <c r="N505" s="1" t="n">
        <v>225</v>
      </c>
    </row>
    <row r="506" customFormat="false" ht="14.25" hidden="false" customHeight="false" outlineLevel="0" collapsed="false">
      <c r="A506" s="1" t="n">
        <v>25</v>
      </c>
      <c r="B506" s="1" t="s">
        <v>643</v>
      </c>
      <c r="C506" s="1" t="s">
        <v>644</v>
      </c>
      <c r="D506" s="1" t="n">
        <v>11171</v>
      </c>
      <c r="E506" s="1" t="s">
        <v>55</v>
      </c>
      <c r="F506" s="201" t="n">
        <v>200025889276</v>
      </c>
      <c r="G506" s="198" t="s">
        <v>574</v>
      </c>
      <c r="H506" s="163" t="s">
        <v>477</v>
      </c>
      <c r="I506" s="161" t="n">
        <v>61</v>
      </c>
      <c r="J506" s="156" t="s">
        <v>192</v>
      </c>
      <c r="K506" s="200" t="n">
        <v>45447.8016550926</v>
      </c>
      <c r="L506" s="1" t="n">
        <v>0</v>
      </c>
      <c r="M506" s="1" t="n">
        <v>11171</v>
      </c>
      <c r="N506" s="1" t="n">
        <v>226</v>
      </c>
    </row>
    <row r="507" customFormat="false" ht="14.25" hidden="false" customHeight="false" outlineLevel="0" collapsed="false">
      <c r="A507" s="1" t="n">
        <v>26</v>
      </c>
      <c r="B507" s="1" t="s">
        <v>643</v>
      </c>
      <c r="C507" s="1" t="s">
        <v>644</v>
      </c>
      <c r="D507" s="1" t="n">
        <v>11171</v>
      </c>
      <c r="E507" s="1" t="s">
        <v>55</v>
      </c>
      <c r="F507" s="201" t="n">
        <v>200025889149</v>
      </c>
      <c r="G507" s="198" t="s">
        <v>687</v>
      </c>
      <c r="H507" s="163" t="s">
        <v>459</v>
      </c>
      <c r="I507" s="161" t="n">
        <v>53</v>
      </c>
      <c r="J507" s="156" t="s">
        <v>192</v>
      </c>
      <c r="K507" s="200" t="n">
        <v>45447.8024421296</v>
      </c>
      <c r="L507" s="1" t="n">
        <v>1</v>
      </c>
      <c r="M507" s="1" t="n">
        <v>11171</v>
      </c>
      <c r="N507" s="1" t="n">
        <v>227</v>
      </c>
    </row>
    <row r="508" customFormat="false" ht="14.25" hidden="false" customHeight="false" outlineLevel="0" collapsed="false">
      <c r="A508" s="1" t="n">
        <v>27</v>
      </c>
      <c r="B508" s="1" t="s">
        <v>643</v>
      </c>
      <c r="C508" s="1" t="s">
        <v>644</v>
      </c>
      <c r="D508" s="1" t="n">
        <v>11171</v>
      </c>
      <c r="E508" s="1" t="s">
        <v>55</v>
      </c>
      <c r="F508" s="201" t="n">
        <v>200025889149</v>
      </c>
      <c r="G508" s="198" t="s">
        <v>687</v>
      </c>
      <c r="H508" s="163" t="s">
        <v>459</v>
      </c>
      <c r="I508" s="161" t="n">
        <v>53</v>
      </c>
      <c r="J508" s="156" t="s">
        <v>192</v>
      </c>
      <c r="K508" s="200" t="n">
        <v>45447.8771296296</v>
      </c>
      <c r="L508" s="1" t="n">
        <v>2</v>
      </c>
      <c r="M508" s="1" t="n">
        <v>11171</v>
      </c>
      <c r="N508" s="1" t="n">
        <v>228</v>
      </c>
    </row>
    <row r="509" customFormat="false" ht="14.25" hidden="false" customHeight="false" outlineLevel="0" collapsed="false">
      <c r="A509" s="1" t="n">
        <v>28</v>
      </c>
      <c r="B509" s="1" t="s">
        <v>643</v>
      </c>
      <c r="C509" s="1" t="s">
        <v>644</v>
      </c>
      <c r="D509" s="1" t="n">
        <v>11171</v>
      </c>
      <c r="E509" s="1" t="s">
        <v>55</v>
      </c>
      <c r="F509" s="201" t="n">
        <v>200025889149</v>
      </c>
      <c r="G509" s="198" t="s">
        <v>687</v>
      </c>
      <c r="H509" s="163" t="s">
        <v>459</v>
      </c>
      <c r="I509" s="161" t="n">
        <v>53</v>
      </c>
      <c r="J509" s="156" t="s">
        <v>192</v>
      </c>
      <c r="K509" s="200" t="n">
        <v>45447.8777662037</v>
      </c>
      <c r="L509" s="1" t="n">
        <v>2</v>
      </c>
      <c r="M509" s="1" t="n">
        <v>11171</v>
      </c>
      <c r="N509" s="1" t="n">
        <v>229</v>
      </c>
    </row>
    <row r="510" customFormat="false" ht="14.25" hidden="false" customHeight="false" outlineLevel="0" collapsed="false">
      <c r="A510" s="1" t="n">
        <v>29</v>
      </c>
      <c r="B510" s="1" t="s">
        <v>643</v>
      </c>
      <c r="C510" s="1" t="s">
        <v>644</v>
      </c>
      <c r="D510" s="1" t="n">
        <v>11171</v>
      </c>
      <c r="E510" s="1" t="s">
        <v>55</v>
      </c>
      <c r="F510" s="201" t="n">
        <v>200025889149</v>
      </c>
      <c r="G510" s="198" t="s">
        <v>687</v>
      </c>
      <c r="H510" s="163" t="s">
        <v>459</v>
      </c>
      <c r="I510" s="161" t="n">
        <v>53</v>
      </c>
      <c r="J510" s="156" t="s">
        <v>192</v>
      </c>
      <c r="K510" s="200" t="n">
        <v>45447.8830671296</v>
      </c>
      <c r="L510" s="1" t="n">
        <v>1</v>
      </c>
      <c r="M510" s="1" t="n">
        <v>11171</v>
      </c>
      <c r="N510" s="1" t="n">
        <v>230</v>
      </c>
    </row>
    <row r="511" customFormat="false" ht="14.25" hidden="false" customHeight="false" outlineLevel="0" collapsed="false">
      <c r="A511" s="1" t="n">
        <v>30</v>
      </c>
      <c r="B511" s="1" t="s">
        <v>643</v>
      </c>
      <c r="C511" s="1" t="s">
        <v>644</v>
      </c>
      <c r="D511" s="1" t="n">
        <v>11171</v>
      </c>
      <c r="E511" s="1" t="s">
        <v>55</v>
      </c>
      <c r="F511" s="201" t="n">
        <v>200025889149</v>
      </c>
      <c r="G511" s="198" t="s">
        <v>687</v>
      </c>
      <c r="H511" s="163" t="s">
        <v>459</v>
      </c>
      <c r="I511" s="161" t="n">
        <v>53</v>
      </c>
      <c r="J511" s="156" t="s">
        <v>192</v>
      </c>
      <c r="K511" s="200" t="n">
        <v>45447.8830787037</v>
      </c>
      <c r="L511" s="1" t="n">
        <v>2</v>
      </c>
      <c r="M511" s="1" t="n">
        <v>11171</v>
      </c>
      <c r="N511" s="1" t="n">
        <v>231</v>
      </c>
    </row>
    <row r="512" customFormat="false" ht="14.25" hidden="false" customHeight="false" outlineLevel="0" collapsed="false">
      <c r="A512" s="1" t="n">
        <v>31</v>
      </c>
      <c r="B512" s="1" t="s">
        <v>643</v>
      </c>
      <c r="C512" s="1" t="s">
        <v>644</v>
      </c>
      <c r="D512" s="1" t="n">
        <v>11171</v>
      </c>
      <c r="E512" s="1" t="s">
        <v>55</v>
      </c>
      <c r="F512" s="201" t="n">
        <v>200025889149</v>
      </c>
      <c r="G512" s="198" t="s">
        <v>687</v>
      </c>
      <c r="H512" s="163" t="s">
        <v>459</v>
      </c>
      <c r="I512" s="161" t="n">
        <v>53</v>
      </c>
      <c r="J512" s="156" t="s">
        <v>192</v>
      </c>
      <c r="K512" s="200" t="n">
        <v>45447.8831134259</v>
      </c>
      <c r="L512" s="1" t="n">
        <v>2</v>
      </c>
      <c r="M512" s="1" t="n">
        <v>11171</v>
      </c>
      <c r="N512" s="1" t="n">
        <v>232</v>
      </c>
    </row>
    <row r="513" customFormat="false" ht="14.25" hidden="false" customHeight="false" outlineLevel="0" collapsed="false">
      <c r="A513" s="1" t="n">
        <v>32</v>
      </c>
      <c r="B513" s="1" t="s">
        <v>643</v>
      </c>
      <c r="C513" s="1" t="s">
        <v>644</v>
      </c>
      <c r="D513" s="1" t="n">
        <v>11171</v>
      </c>
      <c r="E513" s="1" t="s">
        <v>55</v>
      </c>
      <c r="F513" s="201" t="n">
        <v>200025889149</v>
      </c>
      <c r="G513" s="198" t="s">
        <v>687</v>
      </c>
      <c r="H513" s="163" t="s">
        <v>459</v>
      </c>
      <c r="I513" s="161" t="n">
        <v>53</v>
      </c>
      <c r="J513" s="156" t="s">
        <v>192</v>
      </c>
      <c r="K513" s="200" t="n">
        <v>45447.9740162037</v>
      </c>
      <c r="L513" s="1" t="n">
        <v>2</v>
      </c>
      <c r="M513" s="1" t="n">
        <v>11171</v>
      </c>
      <c r="N513" s="1" t="n">
        <v>233</v>
      </c>
    </row>
    <row r="514" customFormat="false" ht="14.25" hidden="false" customHeight="false" outlineLevel="0" collapsed="false">
      <c r="A514" s="1" t="n">
        <v>33</v>
      </c>
      <c r="B514" s="1" t="s">
        <v>643</v>
      </c>
      <c r="C514" s="1" t="s">
        <v>644</v>
      </c>
      <c r="D514" s="1" t="n">
        <v>11171</v>
      </c>
      <c r="E514" s="1" t="s">
        <v>55</v>
      </c>
      <c r="F514" s="201" t="n">
        <v>200025889149</v>
      </c>
      <c r="G514" s="198" t="s">
        <v>687</v>
      </c>
      <c r="H514" s="163" t="s">
        <v>459</v>
      </c>
      <c r="I514" s="161" t="n">
        <v>53</v>
      </c>
      <c r="J514" s="156" t="s">
        <v>192</v>
      </c>
      <c r="K514" s="200" t="n">
        <v>45447.9883333333</v>
      </c>
      <c r="L514" s="1" t="n">
        <v>5</v>
      </c>
      <c r="M514" s="1" t="n">
        <v>11171</v>
      </c>
      <c r="N514" s="1" t="n">
        <v>234</v>
      </c>
    </row>
    <row r="515" customFormat="false" ht="14.25" hidden="false" customHeight="false" outlineLevel="0" collapsed="false">
      <c r="A515" s="1" t="n">
        <v>34</v>
      </c>
      <c r="B515" s="1" t="s">
        <v>643</v>
      </c>
      <c r="C515" s="1" t="s">
        <v>644</v>
      </c>
      <c r="D515" s="1" t="n">
        <v>11171</v>
      </c>
      <c r="E515" s="1" t="s">
        <v>55</v>
      </c>
      <c r="F515" s="201" t="n">
        <v>200025889149</v>
      </c>
      <c r="G515" s="198" t="s">
        <v>687</v>
      </c>
      <c r="H515" s="163" t="s">
        <v>459</v>
      </c>
      <c r="I515" s="161" t="n">
        <v>53</v>
      </c>
      <c r="J515" s="156" t="s">
        <v>192</v>
      </c>
      <c r="K515" s="200" t="n">
        <v>45447.9921296296</v>
      </c>
      <c r="L515" s="1" t="n">
        <v>1</v>
      </c>
      <c r="M515" s="1" t="n">
        <v>11171</v>
      </c>
      <c r="N515" s="1" t="n">
        <v>235</v>
      </c>
    </row>
    <row r="516" customFormat="false" ht="14.25" hidden="false" customHeight="false" outlineLevel="0" collapsed="false">
      <c r="A516" s="1" t="n">
        <v>35</v>
      </c>
      <c r="B516" s="1" t="s">
        <v>643</v>
      </c>
      <c r="C516" s="1" t="s">
        <v>644</v>
      </c>
      <c r="D516" s="1" t="n">
        <v>11171</v>
      </c>
      <c r="E516" s="1" t="s">
        <v>55</v>
      </c>
      <c r="F516" s="201" t="n">
        <v>200025889149</v>
      </c>
      <c r="G516" s="198" t="s">
        <v>687</v>
      </c>
      <c r="H516" s="163" t="s">
        <v>459</v>
      </c>
      <c r="I516" s="161" t="n">
        <v>53</v>
      </c>
      <c r="J516" s="156" t="s">
        <v>192</v>
      </c>
      <c r="K516" s="200" t="n">
        <v>45447.9921412037</v>
      </c>
      <c r="L516" s="1" t="n">
        <v>2</v>
      </c>
      <c r="M516" s="1" t="n">
        <v>11171</v>
      </c>
      <c r="N516" s="1" t="n">
        <v>236</v>
      </c>
    </row>
    <row r="517" customFormat="false" ht="14.25" hidden="false" customHeight="false" outlineLevel="0" collapsed="false">
      <c r="A517" s="1" t="n">
        <v>36</v>
      </c>
      <c r="B517" s="1" t="s">
        <v>643</v>
      </c>
      <c r="C517" s="1" t="s">
        <v>644</v>
      </c>
      <c r="D517" s="1" t="n">
        <v>11171</v>
      </c>
      <c r="E517" s="1" t="s">
        <v>55</v>
      </c>
      <c r="F517" s="201" t="n">
        <v>200025889149</v>
      </c>
      <c r="G517" s="198" t="s">
        <v>687</v>
      </c>
      <c r="H517" s="163" t="s">
        <v>459</v>
      </c>
      <c r="I517" s="161" t="n">
        <v>53</v>
      </c>
      <c r="J517" s="156" t="s">
        <v>192</v>
      </c>
      <c r="K517" s="200" t="n">
        <v>45447.9952546296</v>
      </c>
      <c r="L517" s="1" t="n">
        <v>1</v>
      </c>
      <c r="M517" s="1" t="n">
        <v>11171</v>
      </c>
      <c r="N517" s="1" t="n">
        <v>237</v>
      </c>
    </row>
    <row r="518" customFormat="false" ht="14.25" hidden="false" customHeight="false" outlineLevel="0" collapsed="false">
      <c r="A518" s="1" t="n">
        <v>37</v>
      </c>
      <c r="B518" s="1" t="s">
        <v>643</v>
      </c>
      <c r="C518" s="1" t="s">
        <v>644</v>
      </c>
      <c r="D518" s="1" t="n">
        <v>11171</v>
      </c>
      <c r="E518" s="1" t="s">
        <v>55</v>
      </c>
      <c r="F518" s="201" t="n">
        <v>200025889149</v>
      </c>
      <c r="G518" s="198" t="s">
        <v>687</v>
      </c>
      <c r="H518" s="163" t="s">
        <v>459</v>
      </c>
      <c r="I518" s="161" t="n">
        <v>53</v>
      </c>
      <c r="J518" s="156" t="s">
        <v>192</v>
      </c>
      <c r="K518" s="200" t="n">
        <v>45448.116412037</v>
      </c>
      <c r="L518" s="1" t="n">
        <v>0</v>
      </c>
      <c r="M518" s="1" t="n">
        <v>11171</v>
      </c>
      <c r="N518" s="1" t="n">
        <v>238</v>
      </c>
    </row>
    <row r="519" customFormat="false" ht="14.25" hidden="false" customHeight="false" outlineLevel="0" collapsed="false">
      <c r="A519" s="1" t="n">
        <v>38</v>
      </c>
      <c r="B519" s="1" t="s">
        <v>643</v>
      </c>
      <c r="C519" s="1" t="s">
        <v>644</v>
      </c>
      <c r="D519" s="1" t="n">
        <v>11171</v>
      </c>
      <c r="E519" s="1" t="s">
        <v>55</v>
      </c>
      <c r="F519" s="201" t="n">
        <v>200025889149</v>
      </c>
      <c r="G519" s="198" t="s">
        <v>687</v>
      </c>
      <c r="H519" s="163" t="s">
        <v>459</v>
      </c>
      <c r="I519" s="161" t="n">
        <v>53</v>
      </c>
      <c r="J519" s="156" t="s">
        <v>192</v>
      </c>
      <c r="K519" s="200" t="n">
        <v>45448.1192476852</v>
      </c>
      <c r="L519" s="1" t="n">
        <v>1</v>
      </c>
      <c r="M519" s="1" t="n">
        <v>11171</v>
      </c>
      <c r="N519" s="1" t="n">
        <v>239</v>
      </c>
    </row>
    <row r="520" customFormat="false" ht="14.25" hidden="false" customHeight="false" outlineLevel="0" collapsed="false">
      <c r="A520" s="1" t="n">
        <v>39</v>
      </c>
      <c r="B520" s="1" t="s">
        <v>643</v>
      </c>
      <c r="C520" s="1" t="s">
        <v>644</v>
      </c>
      <c r="D520" s="1" t="n">
        <v>11171</v>
      </c>
      <c r="E520" s="1" t="s">
        <v>55</v>
      </c>
      <c r="F520" s="201" t="n">
        <v>200025889149</v>
      </c>
      <c r="G520" s="198" t="s">
        <v>687</v>
      </c>
      <c r="H520" s="163" t="s">
        <v>459</v>
      </c>
      <c r="I520" s="161" t="n">
        <v>53</v>
      </c>
      <c r="J520" s="156" t="s">
        <v>192</v>
      </c>
      <c r="K520" s="200" t="n">
        <v>45448.1210532407</v>
      </c>
      <c r="L520" s="1" t="n">
        <v>1</v>
      </c>
      <c r="M520" s="1" t="n">
        <v>11171</v>
      </c>
      <c r="N520" s="1" t="n">
        <v>240</v>
      </c>
    </row>
    <row r="521" customFormat="false" ht="14.25" hidden="false" customHeight="false" outlineLevel="0" collapsed="false">
      <c r="A521" s="1" t="n">
        <v>40</v>
      </c>
      <c r="B521" s="1" t="s">
        <v>643</v>
      </c>
      <c r="C521" s="1" t="s">
        <v>644</v>
      </c>
      <c r="D521" s="1" t="n">
        <v>11171</v>
      </c>
      <c r="E521" s="1" t="s">
        <v>55</v>
      </c>
      <c r="F521" s="201" t="n">
        <v>200025889149</v>
      </c>
      <c r="G521" s="198" t="s">
        <v>687</v>
      </c>
      <c r="H521" s="163" t="s">
        <v>459</v>
      </c>
      <c r="I521" s="161" t="n">
        <v>53</v>
      </c>
      <c r="J521" s="156" t="s">
        <v>192</v>
      </c>
      <c r="K521" s="200" t="n">
        <v>45448.1210763889</v>
      </c>
      <c r="L521" s="1" t="n">
        <v>2</v>
      </c>
      <c r="M521" s="1" t="n">
        <v>11171</v>
      </c>
      <c r="N521" s="1" t="n">
        <v>241</v>
      </c>
    </row>
    <row r="522" customFormat="false" ht="14.25" hidden="false" customHeight="false" outlineLevel="0" collapsed="false">
      <c r="A522" s="1" t="n">
        <v>41</v>
      </c>
      <c r="B522" s="1" t="s">
        <v>643</v>
      </c>
      <c r="C522" s="1" t="s">
        <v>644</v>
      </c>
      <c r="D522" s="1" t="n">
        <v>11171</v>
      </c>
      <c r="E522" s="1" t="s">
        <v>55</v>
      </c>
      <c r="F522" s="201" t="n">
        <v>200025889149</v>
      </c>
      <c r="G522" s="198" t="s">
        <v>687</v>
      </c>
      <c r="H522" s="163" t="s">
        <v>459</v>
      </c>
      <c r="I522" s="161" t="n">
        <v>53</v>
      </c>
      <c r="J522" s="156" t="s">
        <v>192</v>
      </c>
      <c r="K522" s="200" t="n">
        <v>45448.2337847222</v>
      </c>
      <c r="L522" s="1" t="n">
        <v>21</v>
      </c>
      <c r="M522" s="1" t="n">
        <v>11171</v>
      </c>
      <c r="N522" s="1" t="n">
        <v>242</v>
      </c>
    </row>
    <row r="523" customFormat="false" ht="14.25" hidden="false" customHeight="false" outlineLevel="0" collapsed="false">
      <c r="A523" s="1" t="n">
        <v>10</v>
      </c>
      <c r="B523" s="1" t="s">
        <v>565</v>
      </c>
      <c r="C523" s="1" t="s">
        <v>566</v>
      </c>
      <c r="D523" s="1" t="n">
        <v>11171</v>
      </c>
      <c r="E523" s="1" t="s">
        <v>55</v>
      </c>
      <c r="F523" s="198" t="n">
        <v>200025888677</v>
      </c>
      <c r="G523" s="198" t="s">
        <v>671</v>
      </c>
      <c r="H523" s="163" t="s">
        <v>348</v>
      </c>
      <c r="I523" s="161" t="n">
        <v>70</v>
      </c>
      <c r="J523" s="156" t="s">
        <v>185</v>
      </c>
      <c r="K523" s="199" t="n">
        <v>45451.2759259259</v>
      </c>
      <c r="L523" s="1" t="n">
        <v>0</v>
      </c>
      <c r="M523" s="1" t="n">
        <v>11171</v>
      </c>
      <c r="N523" s="1" t="n">
        <v>243</v>
      </c>
    </row>
    <row r="524" customFormat="false" ht="14.25" hidden="false" customHeight="false" outlineLevel="0" collapsed="false">
      <c r="A524" s="1" t="n">
        <v>11</v>
      </c>
      <c r="B524" s="1" t="s">
        <v>565</v>
      </c>
      <c r="C524" s="1" t="s">
        <v>566</v>
      </c>
      <c r="D524" s="1" t="n">
        <v>11171</v>
      </c>
      <c r="E524" s="1" t="s">
        <v>55</v>
      </c>
      <c r="F524" s="198" t="n">
        <v>200025888485</v>
      </c>
      <c r="G524" s="198" t="s">
        <v>634</v>
      </c>
      <c r="H524" s="163" t="s">
        <v>327</v>
      </c>
      <c r="I524" s="161" t="n">
        <v>93</v>
      </c>
      <c r="J524" s="156" t="s">
        <v>185</v>
      </c>
      <c r="K524" s="199" t="n">
        <v>45451.603912037</v>
      </c>
      <c r="L524" s="1" t="n">
        <v>2</v>
      </c>
      <c r="M524" s="1" t="n">
        <v>11171</v>
      </c>
      <c r="N524" s="1" t="n">
        <v>244</v>
      </c>
    </row>
    <row r="525" customFormat="false" ht="14.25" hidden="false" customHeight="false" outlineLevel="0" collapsed="false">
      <c r="A525" s="1" t="n">
        <v>12</v>
      </c>
      <c r="B525" s="1" t="s">
        <v>565</v>
      </c>
      <c r="C525" s="1" t="s">
        <v>566</v>
      </c>
      <c r="D525" s="1" t="n">
        <v>11171</v>
      </c>
      <c r="E525" s="1" t="s">
        <v>55</v>
      </c>
      <c r="F525" s="198" t="n">
        <v>200025888485</v>
      </c>
      <c r="G525" s="198" t="s">
        <v>634</v>
      </c>
      <c r="H525" s="163" t="s">
        <v>327</v>
      </c>
      <c r="I525" s="161" t="n">
        <v>93</v>
      </c>
      <c r="J525" s="156" t="s">
        <v>185</v>
      </c>
      <c r="K525" s="199" t="n">
        <v>45451.6347337963</v>
      </c>
      <c r="L525" s="1" t="n">
        <v>3</v>
      </c>
      <c r="M525" s="1" t="n">
        <v>11171</v>
      </c>
      <c r="N525" s="1" t="n">
        <v>245</v>
      </c>
    </row>
    <row r="526" customFormat="false" ht="14.25" hidden="false" customHeight="false" outlineLevel="0" collapsed="false">
      <c r="A526" s="1" t="n">
        <v>13</v>
      </c>
      <c r="B526" s="1" t="s">
        <v>565</v>
      </c>
      <c r="C526" s="1" t="s">
        <v>566</v>
      </c>
      <c r="D526" s="1" t="n">
        <v>11171</v>
      </c>
      <c r="E526" s="1" t="s">
        <v>55</v>
      </c>
      <c r="F526" s="198" t="n">
        <v>200025889314</v>
      </c>
      <c r="G526" s="198" t="s">
        <v>632</v>
      </c>
      <c r="H526" s="163" t="s">
        <v>224</v>
      </c>
      <c r="I526" s="161" t="n">
        <v>15</v>
      </c>
      <c r="J526" s="156" t="s">
        <v>185</v>
      </c>
      <c r="K526" s="199" t="n">
        <v>45451.9299537037</v>
      </c>
      <c r="L526" s="1" t="n">
        <v>39</v>
      </c>
      <c r="M526" s="1" t="n">
        <v>11171</v>
      </c>
      <c r="N526" s="1" t="n">
        <v>246</v>
      </c>
    </row>
    <row r="527" customFormat="false" ht="14.25" hidden="false" customHeight="false" outlineLevel="0" collapsed="false">
      <c r="A527" s="1" t="n">
        <v>14</v>
      </c>
      <c r="B527" s="1" t="s">
        <v>565</v>
      </c>
      <c r="C527" s="1" t="s">
        <v>566</v>
      </c>
      <c r="D527" s="1" t="n">
        <v>11171</v>
      </c>
      <c r="E527" s="1" t="s">
        <v>55</v>
      </c>
      <c r="F527" s="198" t="n">
        <v>200025889314</v>
      </c>
      <c r="G527" s="198" t="s">
        <v>632</v>
      </c>
      <c r="H527" s="163" t="s">
        <v>224</v>
      </c>
      <c r="I527" s="161" t="n">
        <v>15</v>
      </c>
      <c r="J527" s="156" t="s">
        <v>185</v>
      </c>
      <c r="K527" s="199" t="n">
        <v>45451.9305555556</v>
      </c>
      <c r="L527" s="1" t="n">
        <v>1</v>
      </c>
      <c r="M527" s="1" t="n">
        <v>11171</v>
      </c>
      <c r="N527" s="1" t="n">
        <v>247</v>
      </c>
    </row>
    <row r="528" customFormat="false" ht="14.25" hidden="false" customHeight="false" outlineLevel="0" collapsed="false">
      <c r="A528" s="1" t="n">
        <v>15</v>
      </c>
      <c r="B528" s="1" t="s">
        <v>565</v>
      </c>
      <c r="C528" s="1" t="s">
        <v>566</v>
      </c>
      <c r="D528" s="1" t="n">
        <v>11171</v>
      </c>
      <c r="E528" s="1" t="s">
        <v>55</v>
      </c>
      <c r="F528" s="198" t="n">
        <v>200025889314</v>
      </c>
      <c r="G528" s="198" t="s">
        <v>632</v>
      </c>
      <c r="H528" s="163" t="s">
        <v>224</v>
      </c>
      <c r="I528" s="161" t="n">
        <v>15</v>
      </c>
      <c r="J528" s="156" t="s">
        <v>185</v>
      </c>
      <c r="K528" s="199" t="n">
        <v>45451.9306712963</v>
      </c>
      <c r="L528" s="1" t="n">
        <v>0</v>
      </c>
      <c r="M528" s="1" t="n">
        <v>11171</v>
      </c>
      <c r="N528" s="1" t="n">
        <v>248</v>
      </c>
    </row>
    <row r="529" customFormat="false" ht="14.25" hidden="false" customHeight="false" outlineLevel="0" collapsed="false">
      <c r="A529" s="1" t="n">
        <v>16</v>
      </c>
      <c r="B529" s="1" t="s">
        <v>565</v>
      </c>
      <c r="C529" s="1" t="s">
        <v>566</v>
      </c>
      <c r="D529" s="1" t="n">
        <v>11171</v>
      </c>
      <c r="E529" s="1" t="s">
        <v>55</v>
      </c>
      <c r="F529" s="198" t="n">
        <v>200025889314</v>
      </c>
      <c r="G529" s="198" t="s">
        <v>632</v>
      </c>
      <c r="H529" s="163" t="s">
        <v>224</v>
      </c>
      <c r="I529" s="161" t="n">
        <v>15</v>
      </c>
      <c r="J529" s="156" t="s">
        <v>185</v>
      </c>
      <c r="K529" s="199" t="n">
        <v>45451.9308101852</v>
      </c>
      <c r="L529" s="1" t="n">
        <v>0</v>
      </c>
      <c r="M529" s="1" t="n">
        <v>11171</v>
      </c>
      <c r="N529" s="1" t="n">
        <v>249</v>
      </c>
    </row>
    <row r="530" customFormat="false" ht="14.25" hidden="false" customHeight="false" outlineLevel="0" collapsed="false">
      <c r="A530" s="1" t="n">
        <v>17</v>
      </c>
      <c r="B530" s="1" t="s">
        <v>565</v>
      </c>
      <c r="C530" s="1" t="s">
        <v>566</v>
      </c>
      <c r="D530" s="1" t="n">
        <v>11171</v>
      </c>
      <c r="E530" s="1" t="s">
        <v>55</v>
      </c>
      <c r="F530" s="198" t="n">
        <v>200025889314</v>
      </c>
      <c r="G530" s="198" t="s">
        <v>632</v>
      </c>
      <c r="H530" s="163" t="s">
        <v>224</v>
      </c>
      <c r="I530" s="161" t="n">
        <v>15</v>
      </c>
      <c r="J530" s="156" t="s">
        <v>185</v>
      </c>
      <c r="K530" s="199" t="n">
        <v>45451.9311111111</v>
      </c>
      <c r="L530" s="1" t="n">
        <v>1</v>
      </c>
      <c r="M530" s="1" t="n">
        <v>11171</v>
      </c>
      <c r="N530" s="1" t="n">
        <v>250</v>
      </c>
    </row>
    <row r="531" customFormat="false" ht="14.25" hidden="false" customHeight="false" outlineLevel="0" collapsed="false">
      <c r="A531" s="1" t="n">
        <v>18</v>
      </c>
      <c r="B531" s="1" t="s">
        <v>565</v>
      </c>
      <c r="C531" s="1" t="s">
        <v>566</v>
      </c>
      <c r="D531" s="1" t="n">
        <v>11171</v>
      </c>
      <c r="E531" s="1" t="s">
        <v>55</v>
      </c>
      <c r="F531" s="198" t="n">
        <v>200025889314</v>
      </c>
      <c r="G531" s="198" t="s">
        <v>632</v>
      </c>
      <c r="H531" s="163" t="s">
        <v>224</v>
      </c>
      <c r="I531" s="161" t="n">
        <v>15</v>
      </c>
      <c r="J531" s="156" t="s">
        <v>185</v>
      </c>
      <c r="K531" s="199" t="n">
        <v>45451.9323611111</v>
      </c>
      <c r="L531" s="1" t="n">
        <v>0</v>
      </c>
      <c r="M531" s="1" t="n">
        <v>11171</v>
      </c>
      <c r="N531" s="1" t="n">
        <v>251</v>
      </c>
    </row>
    <row r="532" customFormat="false" ht="14.25" hidden="false" customHeight="false" outlineLevel="0" collapsed="false">
      <c r="A532" s="1" t="n">
        <v>19</v>
      </c>
      <c r="B532" s="1" t="s">
        <v>565</v>
      </c>
      <c r="C532" s="1" t="s">
        <v>566</v>
      </c>
      <c r="D532" s="1" t="n">
        <v>11171</v>
      </c>
      <c r="E532" s="1" t="s">
        <v>55</v>
      </c>
      <c r="F532" s="198" t="n">
        <v>200025889314</v>
      </c>
      <c r="G532" s="198" t="s">
        <v>632</v>
      </c>
      <c r="H532" s="163" t="s">
        <v>224</v>
      </c>
      <c r="I532" s="161" t="n">
        <v>15</v>
      </c>
      <c r="J532" s="156" t="s">
        <v>185</v>
      </c>
      <c r="K532" s="199" t="n">
        <v>45452.0999305556</v>
      </c>
      <c r="L532" s="1" t="n">
        <v>1</v>
      </c>
      <c r="M532" s="1" t="n">
        <v>11171</v>
      </c>
      <c r="N532" s="1" t="n">
        <v>252</v>
      </c>
    </row>
    <row r="533" customFormat="false" ht="14.25" hidden="false" customHeight="false" outlineLevel="0" collapsed="false">
      <c r="A533" s="1" t="n">
        <v>20</v>
      </c>
      <c r="B533" s="1" t="s">
        <v>565</v>
      </c>
      <c r="C533" s="1" t="s">
        <v>566</v>
      </c>
      <c r="D533" s="1" t="n">
        <v>11171</v>
      </c>
      <c r="E533" s="1" t="s">
        <v>55</v>
      </c>
      <c r="F533" s="198" t="n">
        <v>200025889314</v>
      </c>
      <c r="G533" s="198" t="s">
        <v>632</v>
      </c>
      <c r="H533" s="163" t="s">
        <v>224</v>
      </c>
      <c r="I533" s="161" t="n">
        <v>15</v>
      </c>
      <c r="J533" s="156" t="s">
        <v>185</v>
      </c>
      <c r="K533" s="199" t="n">
        <v>45452.1390277778</v>
      </c>
      <c r="L533" s="1" t="n">
        <v>1</v>
      </c>
      <c r="M533" s="1" t="n">
        <v>11171</v>
      </c>
      <c r="N533" s="1" t="n">
        <v>253</v>
      </c>
    </row>
    <row r="534" customFormat="false" ht="14.25" hidden="false" customHeight="false" outlineLevel="0" collapsed="false">
      <c r="A534" s="1" t="n">
        <v>21</v>
      </c>
      <c r="B534" s="1" t="s">
        <v>565</v>
      </c>
      <c r="C534" s="1" t="s">
        <v>566</v>
      </c>
      <c r="D534" s="1" t="n">
        <v>11171</v>
      </c>
      <c r="E534" s="1" t="s">
        <v>55</v>
      </c>
      <c r="F534" s="198" t="n">
        <v>200025889314</v>
      </c>
      <c r="G534" s="198" t="s">
        <v>632</v>
      </c>
      <c r="H534" s="163" t="s">
        <v>224</v>
      </c>
      <c r="I534" s="161" t="n">
        <v>15</v>
      </c>
      <c r="J534" s="156" t="s">
        <v>185</v>
      </c>
      <c r="K534" s="199" t="n">
        <v>45452.1393865741</v>
      </c>
      <c r="L534" s="1" t="n">
        <v>1</v>
      </c>
      <c r="M534" s="1" t="n">
        <v>11171</v>
      </c>
      <c r="N534" s="1" t="n">
        <v>254</v>
      </c>
    </row>
    <row r="535" customFormat="false" ht="14.25" hidden="false" customHeight="false" outlineLevel="0" collapsed="false">
      <c r="A535" s="1" t="n">
        <v>22</v>
      </c>
      <c r="B535" s="1" t="s">
        <v>565</v>
      </c>
      <c r="C535" s="1" t="s">
        <v>566</v>
      </c>
      <c r="D535" s="1" t="n">
        <v>11171</v>
      </c>
      <c r="E535" s="1" t="s">
        <v>55</v>
      </c>
      <c r="F535" s="198" t="n">
        <v>200025889314</v>
      </c>
      <c r="G535" s="198" t="s">
        <v>632</v>
      </c>
      <c r="H535" s="163" t="s">
        <v>224</v>
      </c>
      <c r="I535" s="161" t="n">
        <v>15</v>
      </c>
      <c r="J535" s="156" t="s">
        <v>185</v>
      </c>
      <c r="K535" s="199" t="n">
        <v>45452.1395833333</v>
      </c>
      <c r="L535" s="1" t="n">
        <v>2</v>
      </c>
      <c r="M535" s="1" t="n">
        <v>11171</v>
      </c>
      <c r="N535" s="1" t="n">
        <v>255</v>
      </c>
    </row>
    <row r="536" customFormat="false" ht="14.25" hidden="false" customHeight="false" outlineLevel="0" collapsed="false">
      <c r="A536" s="1" t="n">
        <v>23</v>
      </c>
      <c r="B536" s="1" t="s">
        <v>565</v>
      </c>
      <c r="C536" s="1" t="s">
        <v>566</v>
      </c>
      <c r="D536" s="1" t="n">
        <v>11171</v>
      </c>
      <c r="E536" s="1" t="s">
        <v>55</v>
      </c>
      <c r="F536" s="198" t="n">
        <v>200025889314</v>
      </c>
      <c r="G536" s="198" t="s">
        <v>632</v>
      </c>
      <c r="H536" s="163" t="s">
        <v>224</v>
      </c>
      <c r="I536" s="161" t="n">
        <v>15</v>
      </c>
      <c r="J536" s="156" t="s">
        <v>185</v>
      </c>
      <c r="K536" s="199" t="n">
        <v>45452.1399768519</v>
      </c>
      <c r="L536" s="1" t="n">
        <v>2</v>
      </c>
      <c r="M536" s="1" t="n">
        <v>11171</v>
      </c>
      <c r="N536" s="1" t="n">
        <v>256</v>
      </c>
    </row>
    <row r="537" customFormat="false" ht="14.25" hidden="false" customHeight="false" outlineLevel="0" collapsed="false">
      <c r="A537" s="1" t="n">
        <v>24</v>
      </c>
      <c r="B537" s="1" t="s">
        <v>565</v>
      </c>
      <c r="C537" s="1" t="s">
        <v>566</v>
      </c>
      <c r="D537" s="1" t="n">
        <v>11171</v>
      </c>
      <c r="E537" s="1" t="s">
        <v>55</v>
      </c>
      <c r="F537" s="198" t="n">
        <v>200025889314</v>
      </c>
      <c r="G537" s="198" t="s">
        <v>632</v>
      </c>
      <c r="H537" s="163" t="s">
        <v>224</v>
      </c>
      <c r="I537" s="161" t="n">
        <v>15</v>
      </c>
      <c r="J537" s="156" t="s">
        <v>185</v>
      </c>
      <c r="K537" s="199" t="n">
        <v>45452.1402314815</v>
      </c>
      <c r="L537" s="1" t="n">
        <v>1</v>
      </c>
      <c r="M537" s="1" t="n">
        <v>11171</v>
      </c>
      <c r="N537" s="1" t="n">
        <v>257</v>
      </c>
    </row>
    <row r="538" customFormat="false" ht="14.25" hidden="false" customHeight="false" outlineLevel="0" collapsed="false">
      <c r="A538" s="1" t="n">
        <v>25</v>
      </c>
      <c r="B538" s="1" t="s">
        <v>565</v>
      </c>
      <c r="C538" s="1" t="s">
        <v>566</v>
      </c>
      <c r="D538" s="1" t="n">
        <v>11171</v>
      </c>
      <c r="E538" s="1" t="s">
        <v>55</v>
      </c>
      <c r="F538" s="198" t="n">
        <v>200025889314</v>
      </c>
      <c r="G538" s="198" t="s">
        <v>632</v>
      </c>
      <c r="H538" s="163" t="s">
        <v>224</v>
      </c>
      <c r="I538" s="161" t="n">
        <v>15</v>
      </c>
      <c r="J538" s="156" t="s">
        <v>185</v>
      </c>
      <c r="K538" s="199" t="n">
        <v>45452.1402546296</v>
      </c>
      <c r="L538" s="1" t="n">
        <v>1</v>
      </c>
      <c r="M538" s="1" t="n">
        <v>11171</v>
      </c>
      <c r="N538" s="1" t="n">
        <v>258</v>
      </c>
    </row>
    <row r="539" customFormat="false" ht="14.25" hidden="false" customHeight="false" outlineLevel="0" collapsed="false">
      <c r="A539" s="1" t="n">
        <v>26</v>
      </c>
      <c r="B539" s="1" t="s">
        <v>565</v>
      </c>
      <c r="C539" s="1" t="s">
        <v>566</v>
      </c>
      <c r="D539" s="1" t="n">
        <v>11171</v>
      </c>
      <c r="E539" s="1" t="s">
        <v>55</v>
      </c>
      <c r="F539" s="198" t="n">
        <v>200025889314</v>
      </c>
      <c r="G539" s="198" t="s">
        <v>632</v>
      </c>
      <c r="H539" s="163" t="s">
        <v>224</v>
      </c>
      <c r="I539" s="161" t="n">
        <v>15</v>
      </c>
      <c r="J539" s="156" t="s">
        <v>185</v>
      </c>
      <c r="K539" s="199" t="n">
        <v>45452.1402662037</v>
      </c>
      <c r="L539" s="1" t="n">
        <v>0</v>
      </c>
      <c r="M539" s="1" t="n">
        <v>11171</v>
      </c>
      <c r="N539" s="1" t="n">
        <v>259</v>
      </c>
    </row>
    <row r="540" customFormat="false" ht="14.25" hidden="false" customHeight="false" outlineLevel="0" collapsed="false">
      <c r="A540" s="1" t="n">
        <v>27</v>
      </c>
      <c r="B540" s="1" t="s">
        <v>565</v>
      </c>
      <c r="C540" s="1" t="s">
        <v>566</v>
      </c>
      <c r="D540" s="1" t="n">
        <v>11171</v>
      </c>
      <c r="E540" s="1" t="s">
        <v>55</v>
      </c>
      <c r="F540" s="198" t="n">
        <v>200025889314</v>
      </c>
      <c r="G540" s="198" t="s">
        <v>632</v>
      </c>
      <c r="H540" s="163" t="s">
        <v>224</v>
      </c>
      <c r="I540" s="161" t="n">
        <v>15</v>
      </c>
      <c r="J540" s="156" t="s">
        <v>185</v>
      </c>
      <c r="K540" s="199" t="n">
        <v>45452.1421064815</v>
      </c>
      <c r="L540" s="1" t="n">
        <v>35</v>
      </c>
      <c r="M540" s="1" t="n">
        <v>11171</v>
      </c>
      <c r="N540" s="1" t="n">
        <v>260</v>
      </c>
    </row>
    <row r="541" customFormat="false" ht="14.25" hidden="false" customHeight="false" outlineLevel="0" collapsed="false">
      <c r="A541" s="1" t="n">
        <v>28</v>
      </c>
      <c r="B541" s="1" t="s">
        <v>565</v>
      </c>
      <c r="C541" s="1" t="s">
        <v>566</v>
      </c>
      <c r="D541" s="1" t="n">
        <v>11171</v>
      </c>
      <c r="E541" s="1" t="s">
        <v>55</v>
      </c>
      <c r="F541" s="198" t="n">
        <v>200025889314</v>
      </c>
      <c r="G541" s="198" t="s">
        <v>632</v>
      </c>
      <c r="H541" s="163" t="s">
        <v>224</v>
      </c>
      <c r="I541" s="161" t="n">
        <v>15</v>
      </c>
      <c r="J541" s="156" t="s">
        <v>185</v>
      </c>
      <c r="K541" s="199" t="n">
        <v>45452.1425115741</v>
      </c>
      <c r="L541" s="1" t="n">
        <v>1</v>
      </c>
      <c r="M541" s="1" t="n">
        <v>11171</v>
      </c>
      <c r="N541" s="1" t="n">
        <v>261</v>
      </c>
    </row>
    <row r="542" customFormat="false" ht="14.25" hidden="false" customHeight="false" outlineLevel="0" collapsed="false">
      <c r="A542" s="1" t="n">
        <v>29</v>
      </c>
      <c r="B542" s="1" t="s">
        <v>565</v>
      </c>
      <c r="C542" s="1" t="s">
        <v>566</v>
      </c>
      <c r="D542" s="1" t="n">
        <v>11171</v>
      </c>
      <c r="E542" s="1" t="s">
        <v>55</v>
      </c>
      <c r="F542" s="198" t="n">
        <v>200025889314</v>
      </c>
      <c r="G542" s="198" t="s">
        <v>632</v>
      </c>
      <c r="H542" s="163" t="s">
        <v>224</v>
      </c>
      <c r="I542" s="161" t="n">
        <v>15</v>
      </c>
      <c r="J542" s="156" t="s">
        <v>185</v>
      </c>
      <c r="K542" s="199" t="n">
        <v>45452.1426388889</v>
      </c>
      <c r="L542" s="1" t="n">
        <v>1</v>
      </c>
      <c r="M542" s="1" t="n">
        <v>11171</v>
      </c>
      <c r="N542" s="1" t="n">
        <v>262</v>
      </c>
    </row>
    <row r="543" customFormat="false" ht="14.25" hidden="false" customHeight="false" outlineLevel="0" collapsed="false">
      <c r="A543" s="1" t="n">
        <v>30</v>
      </c>
      <c r="B543" s="1" t="s">
        <v>565</v>
      </c>
      <c r="C543" s="1" t="s">
        <v>566</v>
      </c>
      <c r="D543" s="1" t="n">
        <v>11171</v>
      </c>
      <c r="E543" s="1" t="s">
        <v>55</v>
      </c>
      <c r="F543" s="198" t="n">
        <v>200025889314</v>
      </c>
      <c r="G543" s="198" t="s">
        <v>632</v>
      </c>
      <c r="H543" s="163" t="s">
        <v>224</v>
      </c>
      <c r="I543" s="161" t="n">
        <v>15</v>
      </c>
      <c r="J543" s="156" t="s">
        <v>185</v>
      </c>
      <c r="K543" s="199" t="n">
        <v>45452.1434722222</v>
      </c>
      <c r="L543" s="1" t="n">
        <v>0</v>
      </c>
      <c r="M543" s="1" t="n">
        <v>11171</v>
      </c>
      <c r="N543" s="1" t="n">
        <v>263</v>
      </c>
    </row>
    <row r="544" customFormat="false" ht="14.25" hidden="false" customHeight="false" outlineLevel="0" collapsed="false">
      <c r="A544" s="1" t="n">
        <v>31</v>
      </c>
      <c r="B544" s="1" t="s">
        <v>565</v>
      </c>
      <c r="C544" s="1" t="s">
        <v>566</v>
      </c>
      <c r="D544" s="1" t="n">
        <v>11171</v>
      </c>
      <c r="E544" s="1" t="s">
        <v>55</v>
      </c>
      <c r="F544" s="198" t="n">
        <v>200025889314</v>
      </c>
      <c r="G544" s="198" t="s">
        <v>632</v>
      </c>
      <c r="H544" s="163" t="s">
        <v>224</v>
      </c>
      <c r="I544" s="161" t="n">
        <v>15</v>
      </c>
      <c r="J544" s="156" t="s">
        <v>185</v>
      </c>
      <c r="K544" s="199" t="n">
        <v>45452.144837963</v>
      </c>
      <c r="L544" s="1" t="n">
        <v>0</v>
      </c>
      <c r="M544" s="1" t="n">
        <v>11171</v>
      </c>
      <c r="N544" s="1" t="n">
        <v>264</v>
      </c>
    </row>
    <row r="545" customFormat="false" ht="14.25" hidden="false" customHeight="false" outlineLevel="0" collapsed="false">
      <c r="A545" s="1" t="n">
        <v>32</v>
      </c>
      <c r="B545" s="1" t="s">
        <v>565</v>
      </c>
      <c r="C545" s="1" t="s">
        <v>566</v>
      </c>
      <c r="D545" s="1" t="n">
        <v>11171</v>
      </c>
      <c r="E545" s="1" t="s">
        <v>55</v>
      </c>
      <c r="F545" s="198" t="n">
        <v>200025889314</v>
      </c>
      <c r="G545" s="198" t="s">
        <v>632</v>
      </c>
      <c r="H545" s="163" t="s">
        <v>224</v>
      </c>
      <c r="I545" s="161" t="n">
        <v>15</v>
      </c>
      <c r="J545" s="156" t="s">
        <v>185</v>
      </c>
      <c r="K545" s="199" t="n">
        <v>45452.1450694444</v>
      </c>
      <c r="L545" s="1" t="n">
        <v>0</v>
      </c>
      <c r="M545" s="1" t="n">
        <v>11171</v>
      </c>
      <c r="N545" s="1" t="n">
        <v>265</v>
      </c>
    </row>
    <row r="546" customFormat="false" ht="14.25" hidden="false" customHeight="false" outlineLevel="0" collapsed="false">
      <c r="A546" s="1" t="n">
        <v>33</v>
      </c>
      <c r="B546" s="1" t="s">
        <v>565</v>
      </c>
      <c r="C546" s="1" t="s">
        <v>566</v>
      </c>
      <c r="D546" s="1" t="n">
        <v>11171</v>
      </c>
      <c r="E546" s="1" t="s">
        <v>55</v>
      </c>
      <c r="F546" s="198" t="n">
        <v>200025889314</v>
      </c>
      <c r="G546" s="198" t="s">
        <v>632</v>
      </c>
      <c r="H546" s="163" t="s">
        <v>224</v>
      </c>
      <c r="I546" s="161" t="n">
        <v>15</v>
      </c>
      <c r="J546" s="156" t="s">
        <v>185</v>
      </c>
      <c r="K546" s="199" t="n">
        <v>45452.1470138889</v>
      </c>
      <c r="L546" s="1" t="n">
        <v>2</v>
      </c>
      <c r="M546" s="1" t="n">
        <v>11171</v>
      </c>
      <c r="N546" s="1" t="n">
        <v>266</v>
      </c>
    </row>
    <row r="547" customFormat="false" ht="14.25" hidden="false" customHeight="false" outlineLevel="0" collapsed="false">
      <c r="A547" s="1" t="n">
        <v>34</v>
      </c>
      <c r="B547" s="1" t="s">
        <v>565</v>
      </c>
      <c r="C547" s="1" t="s">
        <v>566</v>
      </c>
      <c r="D547" s="1" t="n">
        <v>11171</v>
      </c>
      <c r="E547" s="1" t="s">
        <v>55</v>
      </c>
      <c r="F547" s="198" t="n">
        <v>200025889314</v>
      </c>
      <c r="G547" s="198" t="s">
        <v>632</v>
      </c>
      <c r="H547" s="163" t="s">
        <v>224</v>
      </c>
      <c r="I547" s="161" t="n">
        <v>15</v>
      </c>
      <c r="J547" s="156" t="s">
        <v>185</v>
      </c>
      <c r="K547" s="199" t="n">
        <v>45452.1615509259</v>
      </c>
      <c r="L547" s="1" t="n">
        <v>0</v>
      </c>
      <c r="M547" s="1" t="n">
        <v>11171</v>
      </c>
      <c r="N547" s="1" t="n">
        <v>267</v>
      </c>
    </row>
    <row r="548" customFormat="false" ht="14.25" hidden="false" customHeight="false" outlineLevel="0" collapsed="false">
      <c r="A548" s="1" t="n">
        <v>35</v>
      </c>
      <c r="B548" s="1" t="s">
        <v>565</v>
      </c>
      <c r="C548" s="1" t="s">
        <v>566</v>
      </c>
      <c r="D548" s="1" t="n">
        <v>11171</v>
      </c>
      <c r="E548" s="1" t="s">
        <v>55</v>
      </c>
      <c r="F548" s="198" t="n">
        <v>200025889314</v>
      </c>
      <c r="G548" s="198" t="s">
        <v>632</v>
      </c>
      <c r="H548" s="163" t="s">
        <v>224</v>
      </c>
      <c r="I548" s="161" t="n">
        <v>15</v>
      </c>
      <c r="J548" s="156" t="s">
        <v>185</v>
      </c>
      <c r="K548" s="199" t="n">
        <v>45452.1615509259</v>
      </c>
      <c r="L548" s="1" t="n">
        <v>2</v>
      </c>
      <c r="M548" s="1" t="n">
        <v>11171</v>
      </c>
      <c r="N548" s="1" t="n">
        <v>268</v>
      </c>
    </row>
    <row r="549" customFormat="false" ht="14.25" hidden="false" customHeight="false" outlineLevel="0" collapsed="false">
      <c r="A549" s="1" t="n">
        <v>36</v>
      </c>
      <c r="B549" s="1" t="s">
        <v>565</v>
      </c>
      <c r="C549" s="1" t="s">
        <v>566</v>
      </c>
      <c r="D549" s="1" t="n">
        <v>11171</v>
      </c>
      <c r="E549" s="1" t="s">
        <v>55</v>
      </c>
      <c r="F549" s="198" t="n">
        <v>200025889314</v>
      </c>
      <c r="G549" s="198" t="s">
        <v>632</v>
      </c>
      <c r="H549" s="163" t="s">
        <v>224</v>
      </c>
      <c r="I549" s="161" t="n">
        <v>15</v>
      </c>
      <c r="J549" s="156" t="s">
        <v>185</v>
      </c>
      <c r="K549" s="199" t="n">
        <v>45452.1639467593</v>
      </c>
      <c r="L549" s="1" t="n">
        <v>1</v>
      </c>
      <c r="M549" s="1" t="n">
        <v>11171</v>
      </c>
      <c r="N549" s="1" t="n">
        <v>269</v>
      </c>
    </row>
    <row r="550" customFormat="false" ht="14.25" hidden="false" customHeight="false" outlineLevel="0" collapsed="false">
      <c r="A550" s="1" t="n">
        <v>37</v>
      </c>
      <c r="B550" s="1" t="s">
        <v>565</v>
      </c>
      <c r="C550" s="1" t="s">
        <v>566</v>
      </c>
      <c r="D550" s="1" t="n">
        <v>11171</v>
      </c>
      <c r="E550" s="1" t="s">
        <v>55</v>
      </c>
      <c r="F550" s="198" t="n">
        <v>200025889314</v>
      </c>
      <c r="G550" s="198" t="s">
        <v>632</v>
      </c>
      <c r="H550" s="163" t="s">
        <v>224</v>
      </c>
      <c r="I550" s="161" t="n">
        <v>15</v>
      </c>
      <c r="J550" s="156" t="s">
        <v>185</v>
      </c>
      <c r="K550" s="199" t="n">
        <v>45452.164837963</v>
      </c>
      <c r="L550" s="1" t="n">
        <v>1</v>
      </c>
      <c r="M550" s="1" t="n">
        <v>11171</v>
      </c>
      <c r="N550" s="1" t="n">
        <v>270</v>
      </c>
    </row>
    <row r="551" customFormat="false" ht="14.25" hidden="false" customHeight="false" outlineLevel="0" collapsed="false">
      <c r="A551" s="1" t="n">
        <v>38</v>
      </c>
      <c r="B551" s="1" t="s">
        <v>565</v>
      </c>
      <c r="C551" s="1" t="s">
        <v>566</v>
      </c>
      <c r="D551" s="1" t="n">
        <v>11171</v>
      </c>
      <c r="E551" s="1" t="s">
        <v>55</v>
      </c>
      <c r="F551" s="198" t="n">
        <v>200025889314</v>
      </c>
      <c r="G551" s="198" t="s">
        <v>632</v>
      </c>
      <c r="H551" s="163" t="s">
        <v>224</v>
      </c>
      <c r="I551" s="161" t="n">
        <v>15</v>
      </c>
      <c r="J551" s="156" t="s">
        <v>185</v>
      </c>
      <c r="K551" s="199" t="n">
        <v>45452.1668981482</v>
      </c>
      <c r="L551" s="1" t="n">
        <v>2</v>
      </c>
      <c r="M551" s="1" t="n">
        <v>11171</v>
      </c>
      <c r="N551" s="1" t="n">
        <v>271</v>
      </c>
    </row>
    <row r="552" customFormat="false" ht="14.25" hidden="false" customHeight="false" outlineLevel="0" collapsed="false">
      <c r="A552" s="1" t="n">
        <v>39</v>
      </c>
      <c r="B552" s="1" t="s">
        <v>565</v>
      </c>
      <c r="C552" s="1" t="s">
        <v>566</v>
      </c>
      <c r="D552" s="1" t="n">
        <v>11171</v>
      </c>
      <c r="E552" s="1" t="s">
        <v>55</v>
      </c>
      <c r="F552" s="198" t="n">
        <v>200025889314</v>
      </c>
      <c r="G552" s="198" t="s">
        <v>632</v>
      </c>
      <c r="H552" s="163" t="s">
        <v>224</v>
      </c>
      <c r="I552" s="161" t="n">
        <v>15</v>
      </c>
      <c r="J552" s="156" t="s">
        <v>185</v>
      </c>
      <c r="K552" s="199" t="n">
        <v>45452.167349537</v>
      </c>
      <c r="L552" s="1" t="n">
        <v>0</v>
      </c>
      <c r="M552" s="1" t="n">
        <v>11171</v>
      </c>
      <c r="N552" s="1" t="n">
        <v>272</v>
      </c>
    </row>
    <row r="553" customFormat="false" ht="14.25" hidden="false" customHeight="false" outlineLevel="0" collapsed="false">
      <c r="A553" s="1" t="n">
        <v>40</v>
      </c>
      <c r="B553" s="1" t="s">
        <v>565</v>
      </c>
      <c r="C553" s="1" t="s">
        <v>566</v>
      </c>
      <c r="D553" s="1" t="n">
        <v>11171</v>
      </c>
      <c r="E553" s="1" t="s">
        <v>55</v>
      </c>
      <c r="F553" s="198" t="n">
        <v>200025889314</v>
      </c>
      <c r="G553" s="198" t="s">
        <v>632</v>
      </c>
      <c r="H553" s="163" t="s">
        <v>224</v>
      </c>
      <c r="I553" s="161" t="n">
        <v>15</v>
      </c>
      <c r="J553" s="156" t="s">
        <v>185</v>
      </c>
      <c r="K553" s="199" t="n">
        <v>45452.1673611111</v>
      </c>
      <c r="L553" s="1" t="n">
        <v>0</v>
      </c>
      <c r="M553" s="1" t="n">
        <v>11171</v>
      </c>
      <c r="N553" s="1" t="n">
        <v>273</v>
      </c>
    </row>
    <row r="554" customFormat="false" ht="14.25" hidden="false" customHeight="false" outlineLevel="0" collapsed="false">
      <c r="A554" s="1" t="n">
        <v>41</v>
      </c>
      <c r="B554" s="1" t="s">
        <v>565</v>
      </c>
      <c r="C554" s="1" t="s">
        <v>566</v>
      </c>
      <c r="D554" s="1" t="n">
        <v>11171</v>
      </c>
      <c r="E554" s="1" t="s">
        <v>55</v>
      </c>
      <c r="F554" s="198" t="n">
        <v>200025889314</v>
      </c>
      <c r="G554" s="198" t="s">
        <v>632</v>
      </c>
      <c r="H554" s="163" t="s">
        <v>224</v>
      </c>
      <c r="I554" s="161" t="n">
        <v>15</v>
      </c>
      <c r="J554" s="156" t="s">
        <v>185</v>
      </c>
      <c r="K554" s="199" t="n">
        <v>45452.1682291667</v>
      </c>
      <c r="L554" s="1" t="n">
        <v>0</v>
      </c>
      <c r="M554" s="1" t="n">
        <v>11171</v>
      </c>
      <c r="N554" s="1" t="n">
        <v>274</v>
      </c>
    </row>
    <row r="555" customFormat="false" ht="14.25" hidden="false" customHeight="false" outlineLevel="0" collapsed="false">
      <c r="A555" s="1" t="n">
        <v>42</v>
      </c>
      <c r="B555" s="1" t="s">
        <v>565</v>
      </c>
      <c r="C555" s="1" t="s">
        <v>566</v>
      </c>
      <c r="D555" s="1" t="n">
        <v>11171</v>
      </c>
      <c r="E555" s="1" t="s">
        <v>55</v>
      </c>
      <c r="F555" s="198" t="n">
        <v>200025889314</v>
      </c>
      <c r="G555" s="198" t="s">
        <v>632</v>
      </c>
      <c r="H555" s="163" t="s">
        <v>224</v>
      </c>
      <c r="I555" s="161" t="n">
        <v>15</v>
      </c>
      <c r="J555" s="156" t="s">
        <v>185</v>
      </c>
      <c r="K555" s="199" t="n">
        <v>45452.1696180556</v>
      </c>
      <c r="L555" s="1" t="n">
        <v>1</v>
      </c>
      <c r="M555" s="1" t="n">
        <v>11171</v>
      </c>
      <c r="N555" s="1" t="n">
        <v>275</v>
      </c>
    </row>
    <row r="556" customFormat="false" ht="14.25" hidden="false" customHeight="false" outlineLevel="0" collapsed="false">
      <c r="A556" s="1" t="n">
        <v>43</v>
      </c>
      <c r="B556" s="1" t="s">
        <v>565</v>
      </c>
      <c r="C556" s="1" t="s">
        <v>566</v>
      </c>
      <c r="D556" s="1" t="n">
        <v>11171</v>
      </c>
      <c r="E556" s="1" t="s">
        <v>55</v>
      </c>
      <c r="F556" s="198" t="n">
        <v>200025889314</v>
      </c>
      <c r="G556" s="198" t="s">
        <v>632</v>
      </c>
      <c r="H556" s="163" t="s">
        <v>224</v>
      </c>
      <c r="I556" s="161" t="n">
        <v>15</v>
      </c>
      <c r="J556" s="156" t="s">
        <v>185</v>
      </c>
      <c r="K556" s="199" t="n">
        <v>45452.1696527778</v>
      </c>
      <c r="L556" s="1" t="n">
        <v>40</v>
      </c>
      <c r="M556" s="1" t="n">
        <v>11171</v>
      </c>
      <c r="N556" s="1" t="n">
        <v>276</v>
      </c>
    </row>
    <row r="557" customFormat="false" ht="14.25" hidden="false" customHeight="false" outlineLevel="0" collapsed="false">
      <c r="A557" s="1" t="n">
        <v>44</v>
      </c>
      <c r="B557" s="1" t="s">
        <v>565</v>
      </c>
      <c r="C557" s="1" t="s">
        <v>566</v>
      </c>
      <c r="D557" s="1" t="n">
        <v>11171</v>
      </c>
      <c r="E557" s="1" t="s">
        <v>55</v>
      </c>
      <c r="F557" s="198" t="n">
        <v>200025889314</v>
      </c>
      <c r="G557" s="198" t="s">
        <v>632</v>
      </c>
      <c r="H557" s="163" t="s">
        <v>224</v>
      </c>
      <c r="I557" s="161" t="n">
        <v>15</v>
      </c>
      <c r="J557" s="156" t="s">
        <v>185</v>
      </c>
      <c r="K557" s="199" t="n">
        <v>45452.1707638889</v>
      </c>
      <c r="L557" s="1" t="n">
        <v>1</v>
      </c>
      <c r="M557" s="1" t="n">
        <v>11171</v>
      </c>
      <c r="N557" s="1" t="n">
        <v>277</v>
      </c>
    </row>
    <row r="558" customFormat="false" ht="14.25" hidden="false" customHeight="false" outlineLevel="0" collapsed="false">
      <c r="A558" s="1" t="n">
        <v>45</v>
      </c>
      <c r="B558" s="1" t="s">
        <v>565</v>
      </c>
      <c r="C558" s="1" t="s">
        <v>566</v>
      </c>
      <c r="D558" s="1" t="n">
        <v>11171</v>
      </c>
      <c r="E558" s="1" t="s">
        <v>55</v>
      </c>
      <c r="F558" s="198" t="n">
        <v>200025889314</v>
      </c>
      <c r="G558" s="198" t="s">
        <v>632</v>
      </c>
      <c r="H558" s="163" t="s">
        <v>224</v>
      </c>
      <c r="I558" s="161" t="n">
        <v>15</v>
      </c>
      <c r="J558" s="156" t="s">
        <v>185</v>
      </c>
      <c r="K558" s="199" t="n">
        <v>45452.1711458333</v>
      </c>
      <c r="L558" s="1" t="n">
        <v>2</v>
      </c>
      <c r="M558" s="1" t="n">
        <v>11171</v>
      </c>
      <c r="N558" s="1" t="n">
        <v>278</v>
      </c>
    </row>
    <row r="559" customFormat="false" ht="14.25" hidden="false" customHeight="false" outlineLevel="0" collapsed="false">
      <c r="A559" s="1" t="n">
        <v>46</v>
      </c>
      <c r="B559" s="1" t="s">
        <v>565</v>
      </c>
      <c r="C559" s="1" t="s">
        <v>566</v>
      </c>
      <c r="D559" s="1" t="n">
        <v>11171</v>
      </c>
      <c r="E559" s="1" t="s">
        <v>55</v>
      </c>
      <c r="F559" s="198" t="n">
        <v>200025889314</v>
      </c>
      <c r="G559" s="198" t="s">
        <v>632</v>
      </c>
      <c r="H559" s="163" t="s">
        <v>224</v>
      </c>
      <c r="I559" s="161" t="n">
        <v>15</v>
      </c>
      <c r="J559" s="156" t="s">
        <v>185</v>
      </c>
      <c r="K559" s="199" t="n">
        <v>45452.1714814815</v>
      </c>
      <c r="L559" s="1" t="n">
        <v>1</v>
      </c>
      <c r="M559" s="1" t="n">
        <v>11171</v>
      </c>
      <c r="N559" s="1" t="n">
        <v>279</v>
      </c>
    </row>
    <row r="560" customFormat="false" ht="14.25" hidden="false" customHeight="false" outlineLevel="0" collapsed="false">
      <c r="A560" s="1" t="n">
        <v>47</v>
      </c>
      <c r="B560" s="1" t="s">
        <v>565</v>
      </c>
      <c r="C560" s="1" t="s">
        <v>566</v>
      </c>
      <c r="D560" s="1" t="n">
        <v>11171</v>
      </c>
      <c r="E560" s="1" t="s">
        <v>55</v>
      </c>
      <c r="F560" s="198" t="n">
        <v>200025889314</v>
      </c>
      <c r="G560" s="198" t="s">
        <v>632</v>
      </c>
      <c r="H560" s="163" t="s">
        <v>224</v>
      </c>
      <c r="I560" s="161" t="n">
        <v>15</v>
      </c>
      <c r="J560" s="156" t="s">
        <v>185</v>
      </c>
      <c r="K560" s="199" t="n">
        <v>45452.1724768519</v>
      </c>
      <c r="L560" s="1" t="n">
        <v>2</v>
      </c>
      <c r="M560" s="1" t="n">
        <v>11171</v>
      </c>
      <c r="N560" s="1" t="n">
        <v>280</v>
      </c>
    </row>
    <row r="561" customFormat="false" ht="14.25" hidden="false" customHeight="false" outlineLevel="0" collapsed="false">
      <c r="A561" s="1" t="n">
        <v>48</v>
      </c>
      <c r="B561" s="1" t="s">
        <v>565</v>
      </c>
      <c r="C561" s="1" t="s">
        <v>566</v>
      </c>
      <c r="D561" s="1" t="n">
        <v>11171</v>
      </c>
      <c r="E561" s="1" t="s">
        <v>55</v>
      </c>
      <c r="F561" s="198" t="n">
        <v>200025889314</v>
      </c>
      <c r="G561" s="198" t="s">
        <v>632</v>
      </c>
      <c r="H561" s="163" t="s">
        <v>224</v>
      </c>
      <c r="I561" s="161" t="n">
        <v>15</v>
      </c>
      <c r="J561" s="156" t="s">
        <v>185</v>
      </c>
      <c r="K561" s="199" t="n">
        <v>45452.1739351852</v>
      </c>
      <c r="L561" s="1" t="n">
        <v>0</v>
      </c>
      <c r="M561" s="1" t="n">
        <v>11171</v>
      </c>
      <c r="N561" s="1" t="n">
        <v>281</v>
      </c>
    </row>
    <row r="562" customFormat="false" ht="14.25" hidden="false" customHeight="false" outlineLevel="0" collapsed="false">
      <c r="A562" s="1" t="n">
        <v>49</v>
      </c>
      <c r="B562" s="1" t="s">
        <v>565</v>
      </c>
      <c r="C562" s="1" t="s">
        <v>566</v>
      </c>
      <c r="D562" s="1" t="n">
        <v>11171</v>
      </c>
      <c r="E562" s="1" t="s">
        <v>55</v>
      </c>
      <c r="F562" s="198" t="n">
        <v>200025889314</v>
      </c>
      <c r="G562" s="198" t="s">
        <v>632</v>
      </c>
      <c r="H562" s="163" t="s">
        <v>224</v>
      </c>
      <c r="I562" s="161" t="n">
        <v>15</v>
      </c>
      <c r="J562" s="156" t="s">
        <v>185</v>
      </c>
      <c r="K562" s="199" t="n">
        <v>45452.1739467593</v>
      </c>
      <c r="L562" s="1" t="n">
        <v>1</v>
      </c>
      <c r="M562" s="1" t="n">
        <v>11171</v>
      </c>
      <c r="N562" s="1" t="n">
        <v>282</v>
      </c>
    </row>
    <row r="563" customFormat="false" ht="14.25" hidden="false" customHeight="false" outlineLevel="0" collapsed="false">
      <c r="A563" s="1" t="n">
        <v>50</v>
      </c>
      <c r="B563" s="1" t="s">
        <v>565</v>
      </c>
      <c r="C563" s="1" t="s">
        <v>566</v>
      </c>
      <c r="D563" s="1" t="n">
        <v>11171</v>
      </c>
      <c r="E563" s="1" t="s">
        <v>55</v>
      </c>
      <c r="F563" s="198" t="n">
        <v>200025889314</v>
      </c>
      <c r="G563" s="198" t="s">
        <v>632</v>
      </c>
      <c r="H563" s="163" t="s">
        <v>224</v>
      </c>
      <c r="I563" s="161" t="n">
        <v>15</v>
      </c>
      <c r="J563" s="156" t="s">
        <v>185</v>
      </c>
      <c r="K563" s="199" t="n">
        <v>45452.174849537</v>
      </c>
      <c r="L563" s="1" t="n">
        <v>1</v>
      </c>
      <c r="M563" s="1" t="n">
        <v>11171</v>
      </c>
      <c r="N563" s="1" t="n">
        <v>283</v>
      </c>
    </row>
    <row r="564" customFormat="false" ht="14.25" hidden="false" customHeight="false" outlineLevel="0" collapsed="false">
      <c r="A564" s="1" t="n">
        <v>51</v>
      </c>
      <c r="B564" s="1" t="s">
        <v>565</v>
      </c>
      <c r="C564" s="1" t="s">
        <v>566</v>
      </c>
      <c r="D564" s="1" t="n">
        <v>11171</v>
      </c>
      <c r="E564" s="1" t="s">
        <v>55</v>
      </c>
      <c r="F564" s="198" t="n">
        <v>200025889051</v>
      </c>
      <c r="G564" s="198" t="s">
        <v>633</v>
      </c>
      <c r="H564" s="163" t="s">
        <v>269</v>
      </c>
      <c r="I564" s="161" t="n">
        <v>26</v>
      </c>
      <c r="J564" s="156" t="s">
        <v>185</v>
      </c>
      <c r="K564" s="199" t="n">
        <v>45452.3428819444</v>
      </c>
      <c r="L564" s="1" t="n">
        <v>0</v>
      </c>
      <c r="M564" s="1" t="n">
        <v>11171</v>
      </c>
      <c r="N564" s="1" t="n">
        <v>284</v>
      </c>
    </row>
    <row r="565" customFormat="false" ht="14.25" hidden="false" customHeight="false" outlineLevel="0" collapsed="false">
      <c r="A565" s="1" t="n">
        <v>52</v>
      </c>
      <c r="B565" s="1" t="s">
        <v>565</v>
      </c>
      <c r="C565" s="1" t="s">
        <v>566</v>
      </c>
      <c r="D565" s="1" t="n">
        <v>11171</v>
      </c>
      <c r="E565" s="1" t="s">
        <v>55</v>
      </c>
      <c r="F565" s="198" t="n">
        <v>200025889051</v>
      </c>
      <c r="G565" s="198" t="s">
        <v>633</v>
      </c>
      <c r="H565" s="163" t="s">
        <v>269</v>
      </c>
      <c r="I565" s="161" t="n">
        <v>26</v>
      </c>
      <c r="J565" s="156" t="s">
        <v>185</v>
      </c>
      <c r="K565" s="199" t="n">
        <v>45452.3428935185</v>
      </c>
      <c r="L565" s="1" t="n">
        <v>0</v>
      </c>
      <c r="M565" s="1" t="n">
        <v>11171</v>
      </c>
      <c r="N565" s="1" t="n">
        <v>285</v>
      </c>
    </row>
    <row r="566" customFormat="false" ht="14.25" hidden="false" customHeight="false" outlineLevel="0" collapsed="false">
      <c r="A566" s="1" t="n">
        <v>53</v>
      </c>
      <c r="B566" s="1" t="s">
        <v>565</v>
      </c>
      <c r="C566" s="1" t="s">
        <v>566</v>
      </c>
      <c r="D566" s="1" t="n">
        <v>11171</v>
      </c>
      <c r="E566" s="1" t="s">
        <v>55</v>
      </c>
      <c r="F566" s="198" t="n">
        <v>200025889051</v>
      </c>
      <c r="G566" s="198" t="s">
        <v>633</v>
      </c>
      <c r="H566" s="163" t="s">
        <v>269</v>
      </c>
      <c r="I566" s="161" t="n">
        <v>26</v>
      </c>
      <c r="J566" s="156" t="s">
        <v>185</v>
      </c>
      <c r="K566" s="199" t="n">
        <v>45452.3428935185</v>
      </c>
      <c r="L566" s="1" t="n">
        <v>3</v>
      </c>
      <c r="M566" s="1" t="n">
        <v>11171</v>
      </c>
      <c r="N566" s="1" t="n">
        <v>286</v>
      </c>
    </row>
    <row r="567" customFormat="false" ht="14.25" hidden="false" customHeight="false" outlineLevel="0" collapsed="false">
      <c r="A567" s="1" t="n">
        <v>54</v>
      </c>
      <c r="B567" s="1" t="s">
        <v>565</v>
      </c>
      <c r="C567" s="1" t="s">
        <v>566</v>
      </c>
      <c r="D567" s="1" t="n">
        <v>11171</v>
      </c>
      <c r="E567" s="1" t="s">
        <v>55</v>
      </c>
      <c r="F567" s="198" t="n">
        <v>200025889051</v>
      </c>
      <c r="G567" s="198" t="s">
        <v>633</v>
      </c>
      <c r="H567" s="163" t="s">
        <v>269</v>
      </c>
      <c r="I567" s="161" t="n">
        <v>26</v>
      </c>
      <c r="J567" s="156" t="s">
        <v>185</v>
      </c>
      <c r="K567" s="199" t="n">
        <v>45452.3435300926</v>
      </c>
      <c r="L567" s="1" t="n">
        <v>2</v>
      </c>
      <c r="M567" s="1" t="n">
        <v>11171</v>
      </c>
      <c r="N567" s="1" t="n">
        <v>287</v>
      </c>
    </row>
    <row r="568" customFormat="false" ht="14.25" hidden="false" customHeight="false" outlineLevel="0" collapsed="false">
      <c r="A568" s="1" t="n">
        <v>55</v>
      </c>
      <c r="B568" s="1" t="s">
        <v>565</v>
      </c>
      <c r="C568" s="1" t="s">
        <v>566</v>
      </c>
      <c r="D568" s="1" t="n">
        <v>11171</v>
      </c>
      <c r="E568" s="1" t="s">
        <v>55</v>
      </c>
      <c r="F568" s="198" t="n">
        <v>200025889051</v>
      </c>
      <c r="G568" s="198" t="s">
        <v>633</v>
      </c>
      <c r="H568" s="163" t="s">
        <v>269</v>
      </c>
      <c r="I568" s="161" t="n">
        <v>26</v>
      </c>
      <c r="J568" s="156" t="s">
        <v>185</v>
      </c>
      <c r="K568" s="199" t="n">
        <v>45452.3438078704</v>
      </c>
      <c r="L568" s="1" t="n">
        <v>1</v>
      </c>
      <c r="M568" s="1" t="n">
        <v>11171</v>
      </c>
      <c r="N568" s="1" t="n">
        <v>288</v>
      </c>
    </row>
    <row r="569" customFormat="false" ht="14.25" hidden="false" customHeight="false" outlineLevel="0" collapsed="false">
      <c r="A569" s="1" t="n">
        <v>56</v>
      </c>
      <c r="B569" s="1" t="s">
        <v>565</v>
      </c>
      <c r="C569" s="1" t="s">
        <v>566</v>
      </c>
      <c r="D569" s="1" t="n">
        <v>11171</v>
      </c>
      <c r="E569" s="1" t="s">
        <v>55</v>
      </c>
      <c r="F569" s="198" t="n">
        <v>200025889051</v>
      </c>
      <c r="G569" s="198" t="s">
        <v>633</v>
      </c>
      <c r="H569" s="163" t="s">
        <v>269</v>
      </c>
      <c r="I569" s="161" t="n">
        <v>26</v>
      </c>
      <c r="J569" s="156" t="s">
        <v>185</v>
      </c>
      <c r="K569" s="199" t="n">
        <v>45452.3439351852</v>
      </c>
      <c r="L569" s="1" t="n">
        <v>4</v>
      </c>
      <c r="M569" s="1" t="n">
        <v>11171</v>
      </c>
      <c r="N569" s="1" t="n">
        <v>289</v>
      </c>
    </row>
    <row r="570" customFormat="false" ht="14.25" hidden="false" customHeight="false" outlineLevel="0" collapsed="false">
      <c r="A570" s="1" t="n">
        <v>57</v>
      </c>
      <c r="B570" s="1" t="s">
        <v>565</v>
      </c>
      <c r="C570" s="1" t="s">
        <v>566</v>
      </c>
      <c r="D570" s="1" t="n">
        <v>11171</v>
      </c>
      <c r="E570" s="1" t="s">
        <v>55</v>
      </c>
      <c r="F570" s="198" t="n">
        <v>200025889051</v>
      </c>
      <c r="G570" s="198" t="s">
        <v>633</v>
      </c>
      <c r="H570" s="163" t="s">
        <v>269</v>
      </c>
      <c r="I570" s="161" t="n">
        <v>26</v>
      </c>
      <c r="J570" s="156" t="s">
        <v>185</v>
      </c>
      <c r="K570" s="199" t="n">
        <v>45452.3443287037</v>
      </c>
      <c r="L570" s="1" t="n">
        <v>0</v>
      </c>
      <c r="M570" s="1" t="n">
        <v>11171</v>
      </c>
      <c r="N570" s="1" t="n">
        <v>290</v>
      </c>
    </row>
    <row r="571" customFormat="false" ht="14.25" hidden="false" customHeight="false" outlineLevel="0" collapsed="false">
      <c r="A571" s="1" t="n">
        <v>58</v>
      </c>
      <c r="B571" s="1" t="s">
        <v>565</v>
      </c>
      <c r="C571" s="1" t="s">
        <v>566</v>
      </c>
      <c r="D571" s="1" t="n">
        <v>11171</v>
      </c>
      <c r="E571" s="1" t="s">
        <v>55</v>
      </c>
      <c r="F571" s="198" t="n">
        <v>200025889051</v>
      </c>
      <c r="G571" s="198" t="s">
        <v>633</v>
      </c>
      <c r="H571" s="163" t="s">
        <v>269</v>
      </c>
      <c r="I571" s="161" t="n">
        <v>26</v>
      </c>
      <c r="J571" s="156" t="s">
        <v>185</v>
      </c>
      <c r="K571" s="199" t="n">
        <v>45452.3443402778</v>
      </c>
      <c r="L571" s="1" t="n">
        <v>1</v>
      </c>
      <c r="M571" s="1" t="n">
        <v>11171</v>
      </c>
      <c r="N571" s="1" t="n">
        <v>291</v>
      </c>
    </row>
    <row r="572" customFormat="false" ht="14.25" hidden="false" customHeight="false" outlineLevel="0" collapsed="false">
      <c r="A572" s="1" t="n">
        <v>59</v>
      </c>
      <c r="B572" s="1" t="s">
        <v>565</v>
      </c>
      <c r="C572" s="1" t="s">
        <v>566</v>
      </c>
      <c r="D572" s="1" t="n">
        <v>11171</v>
      </c>
      <c r="E572" s="1" t="s">
        <v>55</v>
      </c>
      <c r="F572" s="198" t="n">
        <v>200025889051</v>
      </c>
      <c r="G572" s="198" t="s">
        <v>633</v>
      </c>
      <c r="H572" s="163" t="s">
        <v>269</v>
      </c>
      <c r="I572" s="161" t="n">
        <v>26</v>
      </c>
      <c r="J572" s="156" t="s">
        <v>185</v>
      </c>
      <c r="K572" s="199" t="n">
        <v>45452.345625</v>
      </c>
      <c r="L572" s="1" t="n">
        <v>0</v>
      </c>
      <c r="M572" s="1" t="n">
        <v>11171</v>
      </c>
      <c r="N572" s="1" t="n">
        <v>292</v>
      </c>
    </row>
    <row r="573" customFormat="false" ht="14.25" hidden="false" customHeight="false" outlineLevel="0" collapsed="false">
      <c r="A573" s="1" t="n">
        <v>60</v>
      </c>
      <c r="B573" s="1" t="s">
        <v>565</v>
      </c>
      <c r="C573" s="1" t="s">
        <v>566</v>
      </c>
      <c r="D573" s="1" t="n">
        <v>11171</v>
      </c>
      <c r="E573" s="1" t="s">
        <v>55</v>
      </c>
      <c r="F573" s="198" t="n">
        <v>200025889051</v>
      </c>
      <c r="G573" s="198" t="s">
        <v>633</v>
      </c>
      <c r="H573" s="163" t="s">
        <v>269</v>
      </c>
      <c r="I573" s="161" t="n">
        <v>26</v>
      </c>
      <c r="J573" s="156" t="s">
        <v>185</v>
      </c>
      <c r="K573" s="199" t="n">
        <v>45452.3456365741</v>
      </c>
      <c r="L573" s="1" t="n">
        <v>0</v>
      </c>
      <c r="M573" s="1" t="n">
        <v>11171</v>
      </c>
      <c r="N573" s="1" t="n">
        <v>293</v>
      </c>
    </row>
    <row r="574" customFormat="false" ht="14.25" hidden="false" customHeight="false" outlineLevel="0" collapsed="false">
      <c r="A574" s="1" t="n">
        <v>61</v>
      </c>
      <c r="B574" s="1" t="s">
        <v>565</v>
      </c>
      <c r="C574" s="1" t="s">
        <v>566</v>
      </c>
      <c r="D574" s="1" t="n">
        <v>11171</v>
      </c>
      <c r="E574" s="1" t="s">
        <v>55</v>
      </c>
      <c r="F574" s="198" t="n">
        <v>200025889051</v>
      </c>
      <c r="G574" s="198" t="s">
        <v>633</v>
      </c>
      <c r="H574" s="163" t="s">
        <v>269</v>
      </c>
      <c r="I574" s="161" t="n">
        <v>26</v>
      </c>
      <c r="J574" s="156" t="s">
        <v>185</v>
      </c>
      <c r="K574" s="199" t="n">
        <v>45452.3457291667</v>
      </c>
      <c r="L574" s="1" t="n">
        <v>0</v>
      </c>
      <c r="M574" s="1" t="n">
        <v>11171</v>
      </c>
      <c r="N574" s="1" t="n">
        <v>294</v>
      </c>
    </row>
    <row r="575" customFormat="false" ht="14.25" hidden="false" customHeight="false" outlineLevel="0" collapsed="false">
      <c r="A575" s="1" t="n">
        <v>62</v>
      </c>
      <c r="B575" s="1" t="s">
        <v>565</v>
      </c>
      <c r="C575" s="1" t="s">
        <v>566</v>
      </c>
      <c r="D575" s="1" t="n">
        <v>11171</v>
      </c>
      <c r="E575" s="1" t="s">
        <v>55</v>
      </c>
      <c r="F575" s="198" t="n">
        <v>200025889051</v>
      </c>
      <c r="G575" s="198" t="s">
        <v>633</v>
      </c>
      <c r="H575" s="163" t="s">
        <v>269</v>
      </c>
      <c r="I575" s="161" t="n">
        <v>26</v>
      </c>
      <c r="J575" s="156" t="s">
        <v>185</v>
      </c>
      <c r="K575" s="199" t="n">
        <v>45452.34625</v>
      </c>
      <c r="L575" s="1" t="n">
        <v>3</v>
      </c>
      <c r="M575" s="1" t="n">
        <v>11171</v>
      </c>
      <c r="N575" s="1" t="n">
        <v>295</v>
      </c>
    </row>
    <row r="576" customFormat="false" ht="14.25" hidden="false" customHeight="false" outlineLevel="0" collapsed="false">
      <c r="A576" s="1" t="n">
        <v>63</v>
      </c>
      <c r="B576" s="1" t="s">
        <v>565</v>
      </c>
      <c r="C576" s="1" t="s">
        <v>566</v>
      </c>
      <c r="D576" s="1" t="n">
        <v>11171</v>
      </c>
      <c r="E576" s="1" t="s">
        <v>55</v>
      </c>
      <c r="F576" s="198" t="n">
        <v>200025889051</v>
      </c>
      <c r="G576" s="198" t="s">
        <v>633</v>
      </c>
      <c r="H576" s="163" t="s">
        <v>269</v>
      </c>
      <c r="I576" s="161" t="n">
        <v>26</v>
      </c>
      <c r="J576" s="156" t="s">
        <v>185</v>
      </c>
      <c r="K576" s="199" t="n">
        <v>45452.347025463</v>
      </c>
      <c r="L576" s="1" t="n">
        <v>9</v>
      </c>
      <c r="M576" s="1" t="n">
        <v>11171</v>
      </c>
      <c r="N576" s="1" t="n">
        <v>296</v>
      </c>
    </row>
    <row r="577" customFormat="false" ht="14.25" hidden="false" customHeight="false" outlineLevel="0" collapsed="false">
      <c r="A577" s="1" t="n">
        <v>64</v>
      </c>
      <c r="B577" s="1" t="s">
        <v>565</v>
      </c>
      <c r="C577" s="1" t="s">
        <v>566</v>
      </c>
      <c r="D577" s="1" t="n">
        <v>11171</v>
      </c>
      <c r="E577" s="1" t="s">
        <v>55</v>
      </c>
      <c r="F577" s="198" t="n">
        <v>200025888864</v>
      </c>
      <c r="G577" s="198" t="s">
        <v>590</v>
      </c>
      <c r="H577" s="163" t="s">
        <v>474</v>
      </c>
      <c r="I577" s="161" t="n">
        <v>87</v>
      </c>
      <c r="J577" s="156" t="s">
        <v>192</v>
      </c>
      <c r="K577" s="199" t="n">
        <v>45452.378125</v>
      </c>
      <c r="L577" s="1" t="n">
        <v>0</v>
      </c>
      <c r="M577" s="1" t="n">
        <v>11171</v>
      </c>
      <c r="N577" s="1" t="n">
        <v>297</v>
      </c>
    </row>
    <row r="578" customFormat="false" ht="14.25" hidden="false" customHeight="false" outlineLevel="0" collapsed="false">
      <c r="A578" s="1" t="n">
        <v>65</v>
      </c>
      <c r="B578" s="1" t="s">
        <v>565</v>
      </c>
      <c r="C578" s="1" t="s">
        <v>566</v>
      </c>
      <c r="D578" s="1" t="n">
        <v>11171</v>
      </c>
      <c r="E578" s="1" t="s">
        <v>55</v>
      </c>
      <c r="F578" s="198" t="n">
        <v>200025888864</v>
      </c>
      <c r="G578" s="198" t="s">
        <v>590</v>
      </c>
      <c r="H578" s="163" t="s">
        <v>474</v>
      </c>
      <c r="I578" s="161" t="n">
        <v>87</v>
      </c>
      <c r="J578" s="156" t="s">
        <v>192</v>
      </c>
      <c r="K578" s="199" t="n">
        <v>45452.3781365741</v>
      </c>
      <c r="L578" s="1" t="n">
        <v>0</v>
      </c>
      <c r="M578" s="1" t="n">
        <v>11171</v>
      </c>
      <c r="N578" s="1" t="n">
        <v>298</v>
      </c>
    </row>
    <row r="579" customFormat="false" ht="14.25" hidden="false" customHeight="false" outlineLevel="0" collapsed="false">
      <c r="A579" s="1" t="n">
        <v>66</v>
      </c>
      <c r="B579" s="1" t="s">
        <v>565</v>
      </c>
      <c r="C579" s="1" t="s">
        <v>566</v>
      </c>
      <c r="D579" s="1" t="n">
        <v>11171</v>
      </c>
      <c r="E579" s="1" t="s">
        <v>55</v>
      </c>
      <c r="F579" s="198" t="n">
        <v>200025888158</v>
      </c>
      <c r="G579" s="198" t="s">
        <v>630</v>
      </c>
      <c r="H579" s="163" t="s">
        <v>193</v>
      </c>
      <c r="I579" s="161" t="n">
        <v>30</v>
      </c>
      <c r="J579" s="156" t="s">
        <v>192</v>
      </c>
      <c r="K579" s="199" t="n">
        <v>45452.3797800926</v>
      </c>
      <c r="L579" s="1" t="n">
        <v>1</v>
      </c>
      <c r="M579" s="1" t="n">
        <v>11171</v>
      </c>
      <c r="N579" s="1" t="n">
        <v>299</v>
      </c>
    </row>
    <row r="580" customFormat="false" ht="14.25" hidden="false" customHeight="false" outlineLevel="0" collapsed="false">
      <c r="A580" s="1" t="n">
        <v>67</v>
      </c>
      <c r="B580" s="1" t="s">
        <v>565</v>
      </c>
      <c r="C580" s="1" t="s">
        <v>566</v>
      </c>
      <c r="D580" s="1" t="n">
        <v>11171</v>
      </c>
      <c r="E580" s="1" t="s">
        <v>55</v>
      </c>
      <c r="F580" s="198" t="n">
        <v>200025888158</v>
      </c>
      <c r="G580" s="198" t="s">
        <v>630</v>
      </c>
      <c r="H580" s="163" t="s">
        <v>193</v>
      </c>
      <c r="I580" s="161" t="n">
        <v>30</v>
      </c>
      <c r="J580" s="156" t="s">
        <v>192</v>
      </c>
      <c r="K580" s="199" t="n">
        <v>45452.3800115741</v>
      </c>
      <c r="L580" s="1" t="n">
        <v>3</v>
      </c>
      <c r="M580" s="1" t="n">
        <v>11171</v>
      </c>
      <c r="N580" s="1" t="n">
        <v>300</v>
      </c>
    </row>
    <row r="581" customFormat="false" ht="14.25" hidden="false" customHeight="false" outlineLevel="0" collapsed="false">
      <c r="A581" s="1" t="n">
        <v>68</v>
      </c>
      <c r="B581" s="1" t="s">
        <v>565</v>
      </c>
      <c r="C581" s="1" t="s">
        <v>566</v>
      </c>
      <c r="D581" s="1" t="n">
        <v>11171</v>
      </c>
      <c r="E581" s="1" t="s">
        <v>55</v>
      </c>
      <c r="F581" s="198" t="n">
        <v>200025888995</v>
      </c>
      <c r="G581" s="198" t="s">
        <v>628</v>
      </c>
      <c r="H581" s="163" t="s">
        <v>483</v>
      </c>
      <c r="I581" s="161" t="n">
        <v>67</v>
      </c>
      <c r="J581" s="156" t="s">
        <v>192</v>
      </c>
      <c r="K581" s="199" t="n">
        <v>45452.3809722222</v>
      </c>
      <c r="L581" s="1" t="n">
        <v>2</v>
      </c>
      <c r="M581" s="1" t="n">
        <v>11171</v>
      </c>
      <c r="N581" s="1" t="n">
        <v>301</v>
      </c>
    </row>
    <row r="582" customFormat="false" ht="14.25" hidden="false" customHeight="false" outlineLevel="0" collapsed="false">
      <c r="A582" s="1" t="n">
        <v>69</v>
      </c>
      <c r="B582" s="1" t="s">
        <v>565</v>
      </c>
      <c r="C582" s="1" t="s">
        <v>566</v>
      </c>
      <c r="D582" s="1" t="n">
        <v>11171</v>
      </c>
      <c r="E582" s="1" t="s">
        <v>55</v>
      </c>
      <c r="F582" s="198" t="n">
        <v>200025888995</v>
      </c>
      <c r="G582" s="198" t="s">
        <v>628</v>
      </c>
      <c r="H582" s="163" t="s">
        <v>483</v>
      </c>
      <c r="I582" s="161" t="n">
        <v>67</v>
      </c>
      <c r="J582" s="156" t="s">
        <v>192</v>
      </c>
      <c r="K582" s="199" t="n">
        <v>45452.3809953704</v>
      </c>
      <c r="L582" s="1" t="n">
        <v>0</v>
      </c>
      <c r="M582" s="1" t="n">
        <v>11171</v>
      </c>
      <c r="N582" s="1" t="n">
        <v>302</v>
      </c>
    </row>
    <row r="583" customFormat="false" ht="14.25" hidden="false" customHeight="false" outlineLevel="0" collapsed="false">
      <c r="A583" s="1" t="n">
        <v>70</v>
      </c>
      <c r="B583" s="1" t="s">
        <v>565</v>
      </c>
      <c r="C583" s="1" t="s">
        <v>566</v>
      </c>
      <c r="D583" s="1" t="n">
        <v>11171</v>
      </c>
      <c r="E583" s="1" t="s">
        <v>55</v>
      </c>
      <c r="F583" s="198" t="n">
        <v>200025888995</v>
      </c>
      <c r="G583" s="198" t="s">
        <v>628</v>
      </c>
      <c r="H583" s="163" t="s">
        <v>483</v>
      </c>
      <c r="I583" s="161" t="n">
        <v>67</v>
      </c>
      <c r="J583" s="156" t="s">
        <v>192</v>
      </c>
      <c r="K583" s="199" t="n">
        <v>45452.3809953704</v>
      </c>
      <c r="L583" s="1" t="n">
        <v>1</v>
      </c>
      <c r="M583" s="1" t="n">
        <v>11171</v>
      </c>
      <c r="N583" s="1" t="n">
        <v>303</v>
      </c>
    </row>
    <row r="584" customFormat="false" ht="14.25" hidden="false" customHeight="false" outlineLevel="0" collapsed="false">
      <c r="A584" s="1" t="n">
        <v>71</v>
      </c>
      <c r="B584" s="1" t="s">
        <v>565</v>
      </c>
      <c r="C584" s="1" t="s">
        <v>566</v>
      </c>
      <c r="D584" s="1" t="n">
        <v>11171</v>
      </c>
      <c r="E584" s="1" t="s">
        <v>55</v>
      </c>
      <c r="F584" s="198" t="n">
        <v>200025888158</v>
      </c>
      <c r="G584" s="198" t="s">
        <v>630</v>
      </c>
      <c r="H584" s="163" t="s">
        <v>193</v>
      </c>
      <c r="I584" s="161" t="n">
        <v>30</v>
      </c>
      <c r="J584" s="156" t="s">
        <v>192</v>
      </c>
      <c r="K584" s="199" t="n">
        <v>45452.3821296296</v>
      </c>
      <c r="L584" s="1" t="n">
        <v>1</v>
      </c>
      <c r="M584" s="1" t="n">
        <v>11171</v>
      </c>
      <c r="N584" s="1" t="n">
        <v>304</v>
      </c>
    </row>
    <row r="585" customFormat="false" ht="14.25" hidden="false" customHeight="false" outlineLevel="0" collapsed="false">
      <c r="A585" s="1" t="n">
        <v>72</v>
      </c>
      <c r="B585" s="1" t="s">
        <v>565</v>
      </c>
      <c r="C585" s="1" t="s">
        <v>566</v>
      </c>
      <c r="D585" s="1" t="n">
        <v>11171</v>
      </c>
      <c r="E585" s="1" t="s">
        <v>55</v>
      </c>
      <c r="F585" s="198" t="n">
        <v>200025888864</v>
      </c>
      <c r="G585" s="198" t="s">
        <v>590</v>
      </c>
      <c r="H585" s="163" t="s">
        <v>474</v>
      </c>
      <c r="I585" s="161" t="n">
        <v>87</v>
      </c>
      <c r="J585" s="156" t="s">
        <v>192</v>
      </c>
      <c r="K585" s="199" t="n">
        <v>45452.3881018519</v>
      </c>
      <c r="L585" s="1" t="n">
        <v>2</v>
      </c>
      <c r="M585" s="1" t="n">
        <v>11171</v>
      </c>
      <c r="N585" s="1" t="n">
        <v>305</v>
      </c>
    </row>
    <row r="586" customFormat="false" ht="14.25" hidden="false" customHeight="false" outlineLevel="0" collapsed="false">
      <c r="A586" s="1" t="n">
        <v>73</v>
      </c>
      <c r="B586" s="1" t="s">
        <v>565</v>
      </c>
      <c r="C586" s="1" t="s">
        <v>566</v>
      </c>
      <c r="D586" s="1" t="n">
        <v>11171</v>
      </c>
      <c r="E586" s="1" t="s">
        <v>55</v>
      </c>
      <c r="F586" s="198" t="n">
        <v>200025888864</v>
      </c>
      <c r="G586" s="198" t="s">
        <v>590</v>
      </c>
      <c r="H586" s="163" t="s">
        <v>474</v>
      </c>
      <c r="I586" s="161" t="n">
        <v>87</v>
      </c>
      <c r="J586" s="156" t="s">
        <v>192</v>
      </c>
      <c r="K586" s="199" t="n">
        <v>45452.4020486111</v>
      </c>
      <c r="L586" s="1" t="n">
        <v>1</v>
      </c>
      <c r="M586" s="1" t="n">
        <v>11171</v>
      </c>
      <c r="N586" s="1" t="n">
        <v>306</v>
      </c>
    </row>
    <row r="587" customFormat="false" ht="14.25" hidden="false" customHeight="false" outlineLevel="0" collapsed="false">
      <c r="A587" s="1" t="n">
        <v>74</v>
      </c>
      <c r="B587" s="1" t="s">
        <v>565</v>
      </c>
      <c r="C587" s="1" t="s">
        <v>566</v>
      </c>
      <c r="D587" s="1" t="n">
        <v>11171</v>
      </c>
      <c r="E587" s="1" t="s">
        <v>55</v>
      </c>
      <c r="F587" s="198" t="n">
        <v>200025888864</v>
      </c>
      <c r="G587" s="198" t="s">
        <v>590</v>
      </c>
      <c r="H587" s="163" t="s">
        <v>474</v>
      </c>
      <c r="I587" s="161" t="n">
        <v>87</v>
      </c>
      <c r="J587" s="156" t="s">
        <v>192</v>
      </c>
      <c r="K587" s="199" t="n">
        <v>45452.4020601852</v>
      </c>
      <c r="L587" s="1" t="n">
        <v>1</v>
      </c>
      <c r="M587" s="1" t="n">
        <v>11171</v>
      </c>
      <c r="N587" s="1" t="n">
        <v>307</v>
      </c>
    </row>
    <row r="588" customFormat="false" ht="14.25" hidden="false" customHeight="false" outlineLevel="0" collapsed="false">
      <c r="A588" s="1" t="n">
        <v>75</v>
      </c>
      <c r="B588" s="1" t="s">
        <v>565</v>
      </c>
      <c r="C588" s="1" t="s">
        <v>566</v>
      </c>
      <c r="D588" s="1" t="n">
        <v>11171</v>
      </c>
      <c r="E588" s="1" t="s">
        <v>55</v>
      </c>
      <c r="F588" s="198" t="n">
        <v>200025888864</v>
      </c>
      <c r="G588" s="198" t="s">
        <v>590</v>
      </c>
      <c r="H588" s="163" t="s">
        <v>474</v>
      </c>
      <c r="I588" s="161" t="n">
        <v>87</v>
      </c>
      <c r="J588" s="156" t="s">
        <v>192</v>
      </c>
      <c r="K588" s="199" t="n">
        <v>45452.4022916667</v>
      </c>
      <c r="L588" s="1" t="n">
        <v>0</v>
      </c>
      <c r="M588" s="1" t="n">
        <v>11171</v>
      </c>
      <c r="N588" s="1" t="n">
        <v>308</v>
      </c>
    </row>
    <row r="589" customFormat="false" ht="14.25" hidden="false" customHeight="false" outlineLevel="0" collapsed="false">
      <c r="A589" s="1" t="n">
        <v>76</v>
      </c>
      <c r="B589" s="1" t="s">
        <v>565</v>
      </c>
      <c r="C589" s="1" t="s">
        <v>566</v>
      </c>
      <c r="D589" s="1" t="n">
        <v>11171</v>
      </c>
      <c r="E589" s="1" t="s">
        <v>55</v>
      </c>
      <c r="F589" s="198" t="n">
        <v>200025888864</v>
      </c>
      <c r="G589" s="198" t="s">
        <v>590</v>
      </c>
      <c r="H589" s="163" t="s">
        <v>474</v>
      </c>
      <c r="I589" s="161" t="n">
        <v>87</v>
      </c>
      <c r="J589" s="156" t="s">
        <v>192</v>
      </c>
      <c r="K589" s="199" t="n">
        <v>45452.4023032407</v>
      </c>
      <c r="L589" s="1" t="n">
        <v>0</v>
      </c>
      <c r="M589" s="1" t="n">
        <v>11171</v>
      </c>
      <c r="N589" s="1" t="n">
        <v>309</v>
      </c>
    </row>
    <row r="590" customFormat="false" ht="14.25" hidden="false" customHeight="false" outlineLevel="0" collapsed="false">
      <c r="A590" s="1" t="n">
        <v>77</v>
      </c>
      <c r="B590" s="1" t="s">
        <v>565</v>
      </c>
      <c r="C590" s="1" t="s">
        <v>566</v>
      </c>
      <c r="D590" s="1" t="n">
        <v>11171</v>
      </c>
      <c r="E590" s="1" t="s">
        <v>55</v>
      </c>
      <c r="F590" s="198" t="n">
        <v>200025888864</v>
      </c>
      <c r="G590" s="198" t="s">
        <v>590</v>
      </c>
      <c r="H590" s="163" t="s">
        <v>474</v>
      </c>
      <c r="I590" s="161" t="n">
        <v>87</v>
      </c>
      <c r="J590" s="156" t="s">
        <v>192</v>
      </c>
      <c r="K590" s="199" t="n">
        <v>45452.4046412037</v>
      </c>
      <c r="L590" s="1" t="n">
        <v>0</v>
      </c>
      <c r="M590" s="1" t="n">
        <v>11171</v>
      </c>
      <c r="N590" s="1" t="n">
        <v>310</v>
      </c>
    </row>
    <row r="591" customFormat="false" ht="14.25" hidden="false" customHeight="false" outlineLevel="0" collapsed="false">
      <c r="A591" s="1" t="n">
        <v>78</v>
      </c>
      <c r="B591" s="1" t="s">
        <v>565</v>
      </c>
      <c r="C591" s="1" t="s">
        <v>566</v>
      </c>
      <c r="D591" s="1" t="n">
        <v>11171</v>
      </c>
      <c r="E591" s="1" t="s">
        <v>55</v>
      </c>
      <c r="F591" s="198" t="n">
        <v>200025888864</v>
      </c>
      <c r="G591" s="198" t="s">
        <v>590</v>
      </c>
      <c r="H591" s="163" t="s">
        <v>474</v>
      </c>
      <c r="I591" s="161" t="n">
        <v>87</v>
      </c>
      <c r="J591" s="156" t="s">
        <v>192</v>
      </c>
      <c r="K591" s="199" t="n">
        <v>45452.4056365741</v>
      </c>
      <c r="L591" s="1" t="n">
        <v>0</v>
      </c>
      <c r="M591" s="1" t="n">
        <v>11171</v>
      </c>
      <c r="N591" s="1" t="n">
        <v>311</v>
      </c>
    </row>
    <row r="592" customFormat="false" ht="14.25" hidden="false" customHeight="false" outlineLevel="0" collapsed="false">
      <c r="A592" s="1" t="n">
        <v>79</v>
      </c>
      <c r="B592" s="1" t="s">
        <v>565</v>
      </c>
      <c r="C592" s="1" t="s">
        <v>566</v>
      </c>
      <c r="D592" s="1" t="n">
        <v>11171</v>
      </c>
      <c r="E592" s="1" t="s">
        <v>55</v>
      </c>
      <c r="F592" s="198" t="n">
        <v>200025888181</v>
      </c>
      <c r="G592" s="198" t="s">
        <v>631</v>
      </c>
      <c r="H592" s="163" t="s">
        <v>215</v>
      </c>
      <c r="I592" s="161" t="n">
        <v>115</v>
      </c>
      <c r="J592" s="156" t="s">
        <v>192</v>
      </c>
      <c r="K592" s="199" t="n">
        <v>45452.4097569444</v>
      </c>
      <c r="L592" s="1" t="n">
        <v>0</v>
      </c>
      <c r="M592" s="1" t="n">
        <v>11171</v>
      </c>
      <c r="N592" s="1" t="n">
        <v>312</v>
      </c>
    </row>
    <row r="593" customFormat="false" ht="14.25" hidden="false" customHeight="false" outlineLevel="0" collapsed="false">
      <c r="A593" s="1" t="n">
        <v>80</v>
      </c>
      <c r="B593" s="1" t="s">
        <v>565</v>
      </c>
      <c r="C593" s="1" t="s">
        <v>566</v>
      </c>
      <c r="D593" s="1" t="n">
        <v>11171</v>
      </c>
      <c r="E593" s="1" t="s">
        <v>55</v>
      </c>
      <c r="F593" s="198" t="n">
        <v>200025888864</v>
      </c>
      <c r="G593" s="198" t="s">
        <v>590</v>
      </c>
      <c r="H593" s="163" t="s">
        <v>474</v>
      </c>
      <c r="I593" s="161" t="n">
        <v>87</v>
      </c>
      <c r="J593" s="156" t="s">
        <v>192</v>
      </c>
      <c r="K593" s="199" t="n">
        <v>45452.4393981482</v>
      </c>
      <c r="L593" s="1" t="n">
        <v>1</v>
      </c>
      <c r="M593" s="1" t="n">
        <v>11171</v>
      </c>
      <c r="N593" s="1" t="n">
        <v>313</v>
      </c>
    </row>
    <row r="594" customFormat="false" ht="14.25" hidden="false" customHeight="false" outlineLevel="0" collapsed="false">
      <c r="A594" s="1" t="n">
        <v>81</v>
      </c>
      <c r="B594" s="1" t="s">
        <v>565</v>
      </c>
      <c r="C594" s="1" t="s">
        <v>566</v>
      </c>
      <c r="D594" s="1" t="n">
        <v>11171</v>
      </c>
      <c r="E594" s="1" t="s">
        <v>55</v>
      </c>
      <c r="F594" s="198" t="n">
        <v>200025889163</v>
      </c>
      <c r="G594" s="198" t="s">
        <v>612</v>
      </c>
      <c r="H594" s="163" t="s">
        <v>333</v>
      </c>
      <c r="I594" s="161" t="n">
        <v>21</v>
      </c>
      <c r="J594" s="156" t="s">
        <v>192</v>
      </c>
      <c r="K594" s="199" t="n">
        <v>45452.4423726852</v>
      </c>
      <c r="L594" s="1" t="n">
        <v>1</v>
      </c>
      <c r="M594" s="1" t="n">
        <v>11171</v>
      </c>
      <c r="N594" s="1" t="n">
        <v>314</v>
      </c>
    </row>
    <row r="595" customFormat="false" ht="14.25" hidden="false" customHeight="false" outlineLevel="0" collapsed="false">
      <c r="A595" s="1" t="n">
        <v>82</v>
      </c>
      <c r="B595" s="1" t="s">
        <v>565</v>
      </c>
      <c r="C595" s="1" t="s">
        <v>566</v>
      </c>
      <c r="D595" s="1" t="n">
        <v>11171</v>
      </c>
      <c r="E595" s="1" t="s">
        <v>55</v>
      </c>
      <c r="F595" s="198" t="n">
        <v>200025889163</v>
      </c>
      <c r="G595" s="198" t="s">
        <v>612</v>
      </c>
      <c r="H595" s="163" t="s">
        <v>333</v>
      </c>
      <c r="I595" s="161" t="n">
        <v>21</v>
      </c>
      <c r="J595" s="156" t="s">
        <v>192</v>
      </c>
      <c r="K595" s="199" t="n">
        <v>45452.4522337963</v>
      </c>
      <c r="L595" s="1" t="n">
        <v>2</v>
      </c>
      <c r="M595" s="1" t="n">
        <v>11171</v>
      </c>
      <c r="N595" s="1" t="n">
        <v>315</v>
      </c>
    </row>
    <row r="596" customFormat="false" ht="14.25" hidden="false" customHeight="false" outlineLevel="0" collapsed="false">
      <c r="A596" s="1" t="n">
        <v>83</v>
      </c>
      <c r="B596" s="1" t="s">
        <v>565</v>
      </c>
      <c r="C596" s="1" t="s">
        <v>566</v>
      </c>
      <c r="D596" s="1" t="n">
        <v>11171</v>
      </c>
      <c r="E596" s="1" t="s">
        <v>55</v>
      </c>
      <c r="F596" s="198" t="n">
        <v>200025888181</v>
      </c>
      <c r="G596" s="198" t="s">
        <v>631</v>
      </c>
      <c r="H596" s="163" t="s">
        <v>215</v>
      </c>
      <c r="I596" s="161" t="n">
        <v>115</v>
      </c>
      <c r="J596" s="156" t="s">
        <v>192</v>
      </c>
      <c r="K596" s="199" t="n">
        <v>45452.4552777778</v>
      </c>
      <c r="L596" s="1" t="n">
        <v>1</v>
      </c>
      <c r="M596" s="1" t="n">
        <v>11171</v>
      </c>
      <c r="N596" s="1" t="n">
        <v>316</v>
      </c>
    </row>
    <row r="597" customFormat="false" ht="14.25" hidden="false" customHeight="false" outlineLevel="0" collapsed="false">
      <c r="A597" s="1" t="n">
        <v>84</v>
      </c>
      <c r="B597" s="1" t="s">
        <v>565</v>
      </c>
      <c r="C597" s="1" t="s">
        <v>566</v>
      </c>
      <c r="D597" s="1" t="n">
        <v>11171</v>
      </c>
      <c r="E597" s="1" t="s">
        <v>55</v>
      </c>
      <c r="F597" s="198" t="n">
        <v>200025888181</v>
      </c>
      <c r="G597" s="198" t="s">
        <v>631</v>
      </c>
      <c r="H597" s="163" t="s">
        <v>215</v>
      </c>
      <c r="I597" s="161" t="n">
        <v>115</v>
      </c>
      <c r="J597" s="156" t="s">
        <v>192</v>
      </c>
      <c r="K597" s="199" t="n">
        <v>45452.4553009259</v>
      </c>
      <c r="L597" s="1" t="n">
        <v>0</v>
      </c>
      <c r="M597" s="1" t="n">
        <v>11171</v>
      </c>
      <c r="N597" s="1" t="n">
        <v>317</v>
      </c>
    </row>
    <row r="598" customFormat="false" ht="14.25" hidden="false" customHeight="false" outlineLevel="0" collapsed="false">
      <c r="A598" s="1" t="n">
        <v>85</v>
      </c>
      <c r="B598" s="1" t="s">
        <v>565</v>
      </c>
      <c r="C598" s="1" t="s">
        <v>566</v>
      </c>
      <c r="D598" s="1" t="n">
        <v>11171</v>
      </c>
      <c r="E598" s="1" t="s">
        <v>55</v>
      </c>
      <c r="F598" s="198" t="n">
        <v>200025888181</v>
      </c>
      <c r="G598" s="198" t="s">
        <v>631</v>
      </c>
      <c r="H598" s="163" t="s">
        <v>215</v>
      </c>
      <c r="I598" s="161" t="n">
        <v>115</v>
      </c>
      <c r="J598" s="156" t="s">
        <v>192</v>
      </c>
      <c r="K598" s="199" t="n">
        <v>45452.4565625</v>
      </c>
      <c r="L598" s="1" t="n">
        <v>2</v>
      </c>
      <c r="M598" s="1" t="n">
        <v>11171</v>
      </c>
      <c r="N598" s="1" t="n">
        <v>318</v>
      </c>
    </row>
    <row r="599" customFormat="false" ht="14.25" hidden="false" customHeight="false" outlineLevel="0" collapsed="false">
      <c r="A599" s="1" t="n">
        <v>86</v>
      </c>
      <c r="B599" s="1" t="s">
        <v>565</v>
      </c>
      <c r="C599" s="1" t="s">
        <v>566</v>
      </c>
      <c r="D599" s="1" t="n">
        <v>11171</v>
      </c>
      <c r="E599" s="1" t="s">
        <v>55</v>
      </c>
      <c r="F599" s="198" t="n">
        <v>200025888181</v>
      </c>
      <c r="G599" s="198" t="s">
        <v>631</v>
      </c>
      <c r="H599" s="163" t="s">
        <v>215</v>
      </c>
      <c r="I599" s="161" t="n">
        <v>115</v>
      </c>
      <c r="J599" s="156" t="s">
        <v>192</v>
      </c>
      <c r="K599" s="199" t="n">
        <v>45452.4575810185</v>
      </c>
      <c r="L599" s="1" t="n">
        <v>1</v>
      </c>
      <c r="M599" s="1" t="n">
        <v>11171</v>
      </c>
      <c r="N599" s="1" t="n">
        <v>319</v>
      </c>
    </row>
    <row r="600" customFormat="false" ht="14.25" hidden="false" customHeight="false" outlineLevel="0" collapsed="false">
      <c r="A600" s="1" t="n">
        <v>87</v>
      </c>
      <c r="B600" s="1" t="s">
        <v>565</v>
      </c>
      <c r="C600" s="1" t="s">
        <v>566</v>
      </c>
      <c r="D600" s="1" t="n">
        <v>11171</v>
      </c>
      <c r="E600" s="1" t="s">
        <v>55</v>
      </c>
      <c r="F600" s="198" t="n">
        <v>200025888864</v>
      </c>
      <c r="G600" s="198" t="s">
        <v>590</v>
      </c>
      <c r="H600" s="163" t="s">
        <v>474</v>
      </c>
      <c r="I600" s="161" t="n">
        <v>87</v>
      </c>
      <c r="J600" s="156" t="s">
        <v>192</v>
      </c>
      <c r="K600" s="199" t="n">
        <v>45452.4596643519</v>
      </c>
      <c r="L600" s="1" t="n">
        <v>2</v>
      </c>
      <c r="M600" s="1" t="n">
        <v>11171</v>
      </c>
      <c r="N600" s="1" t="n">
        <v>320</v>
      </c>
    </row>
    <row r="601" customFormat="false" ht="14.25" hidden="false" customHeight="false" outlineLevel="0" collapsed="false">
      <c r="A601" s="1" t="n">
        <v>88</v>
      </c>
      <c r="B601" s="1" t="s">
        <v>565</v>
      </c>
      <c r="C601" s="1" t="s">
        <v>566</v>
      </c>
      <c r="D601" s="1" t="n">
        <v>11171</v>
      </c>
      <c r="E601" s="1" t="s">
        <v>55</v>
      </c>
      <c r="F601" s="198" t="n">
        <v>200025888864</v>
      </c>
      <c r="G601" s="198" t="s">
        <v>590</v>
      </c>
      <c r="H601" s="163" t="s">
        <v>474</v>
      </c>
      <c r="I601" s="161" t="n">
        <v>87</v>
      </c>
      <c r="J601" s="156" t="s">
        <v>192</v>
      </c>
      <c r="K601" s="199" t="n">
        <v>45452.46</v>
      </c>
      <c r="L601" s="1" t="n">
        <v>1</v>
      </c>
      <c r="M601" s="1" t="n">
        <v>11171</v>
      </c>
      <c r="N601" s="1" t="n">
        <v>321</v>
      </c>
    </row>
    <row r="602" customFormat="false" ht="14.25" hidden="false" customHeight="false" outlineLevel="0" collapsed="false">
      <c r="A602" s="1" t="n">
        <v>89</v>
      </c>
      <c r="B602" s="1" t="s">
        <v>565</v>
      </c>
      <c r="C602" s="1" t="s">
        <v>566</v>
      </c>
      <c r="D602" s="1" t="n">
        <v>11171</v>
      </c>
      <c r="E602" s="1" t="s">
        <v>55</v>
      </c>
      <c r="F602" s="198" t="n">
        <v>200025889163</v>
      </c>
      <c r="G602" s="198" t="s">
        <v>612</v>
      </c>
      <c r="H602" s="163" t="s">
        <v>333</v>
      </c>
      <c r="I602" s="161" t="n">
        <v>21</v>
      </c>
      <c r="J602" s="156" t="s">
        <v>192</v>
      </c>
      <c r="K602" s="199" t="n">
        <v>45452.4612962963</v>
      </c>
      <c r="L602" s="1" t="n">
        <v>1</v>
      </c>
      <c r="M602" s="1" t="n">
        <v>11171</v>
      </c>
      <c r="N602" s="1" t="n">
        <v>322</v>
      </c>
    </row>
    <row r="603" customFormat="false" ht="14.25" hidden="false" customHeight="false" outlineLevel="0" collapsed="false">
      <c r="A603" s="1" t="n">
        <v>90</v>
      </c>
      <c r="B603" s="1" t="s">
        <v>565</v>
      </c>
      <c r="C603" s="1" t="s">
        <v>566</v>
      </c>
      <c r="D603" s="1" t="n">
        <v>11171</v>
      </c>
      <c r="E603" s="1" t="s">
        <v>55</v>
      </c>
      <c r="F603" s="198" t="n">
        <v>200025889163</v>
      </c>
      <c r="G603" s="198" t="s">
        <v>612</v>
      </c>
      <c r="H603" s="163" t="s">
        <v>333</v>
      </c>
      <c r="I603" s="161" t="n">
        <v>21</v>
      </c>
      <c r="J603" s="156" t="s">
        <v>192</v>
      </c>
      <c r="K603" s="199" t="n">
        <v>45452.4613078704</v>
      </c>
      <c r="L603" s="1" t="n">
        <v>1</v>
      </c>
      <c r="M603" s="1" t="n">
        <v>11171</v>
      </c>
      <c r="N603" s="1" t="n">
        <v>323</v>
      </c>
    </row>
    <row r="604" customFormat="false" ht="14.25" hidden="false" customHeight="false" outlineLevel="0" collapsed="false">
      <c r="A604" s="1" t="n">
        <v>91</v>
      </c>
      <c r="B604" s="1" t="s">
        <v>565</v>
      </c>
      <c r="C604" s="1" t="s">
        <v>566</v>
      </c>
      <c r="D604" s="1" t="n">
        <v>11171</v>
      </c>
      <c r="E604" s="1" t="s">
        <v>55</v>
      </c>
      <c r="F604" s="198" t="n">
        <v>200025888864</v>
      </c>
      <c r="G604" s="198" t="s">
        <v>590</v>
      </c>
      <c r="H604" s="163" t="s">
        <v>474</v>
      </c>
      <c r="I604" s="161" t="n">
        <v>87</v>
      </c>
      <c r="J604" s="156" t="s">
        <v>192</v>
      </c>
      <c r="K604" s="199" t="n">
        <v>45452.4656944444</v>
      </c>
      <c r="L604" s="1" t="n">
        <v>2</v>
      </c>
      <c r="M604" s="1" t="n">
        <v>11171</v>
      </c>
      <c r="N604" s="1" t="n">
        <v>324</v>
      </c>
    </row>
    <row r="605" customFormat="false" ht="14.25" hidden="false" customHeight="false" outlineLevel="0" collapsed="false">
      <c r="A605" s="1" t="n">
        <v>92</v>
      </c>
      <c r="B605" s="1" t="s">
        <v>565</v>
      </c>
      <c r="C605" s="1" t="s">
        <v>566</v>
      </c>
      <c r="D605" s="1" t="n">
        <v>11171</v>
      </c>
      <c r="E605" s="1" t="s">
        <v>55</v>
      </c>
      <c r="F605" s="198" t="n">
        <v>200025888864</v>
      </c>
      <c r="G605" s="198" t="s">
        <v>590</v>
      </c>
      <c r="H605" s="163" t="s">
        <v>474</v>
      </c>
      <c r="I605" s="161" t="n">
        <v>87</v>
      </c>
      <c r="J605" s="156" t="s">
        <v>192</v>
      </c>
      <c r="K605" s="199" t="n">
        <v>45452.4658333333</v>
      </c>
      <c r="L605" s="1" t="n">
        <v>1</v>
      </c>
      <c r="M605" s="1" t="n">
        <v>11171</v>
      </c>
      <c r="N605" s="1" t="n">
        <v>325</v>
      </c>
    </row>
    <row r="606" customFormat="false" ht="14.25" hidden="false" customHeight="false" outlineLevel="0" collapsed="false">
      <c r="A606" s="1" t="n">
        <v>93</v>
      </c>
      <c r="B606" s="1" t="s">
        <v>565</v>
      </c>
      <c r="C606" s="1" t="s">
        <v>566</v>
      </c>
      <c r="D606" s="1" t="n">
        <v>11171</v>
      </c>
      <c r="E606" s="1" t="s">
        <v>55</v>
      </c>
      <c r="F606" s="198" t="n">
        <v>200025888864</v>
      </c>
      <c r="G606" s="198" t="s">
        <v>590</v>
      </c>
      <c r="H606" s="163" t="s">
        <v>474</v>
      </c>
      <c r="I606" s="161" t="n">
        <v>87</v>
      </c>
      <c r="J606" s="156" t="s">
        <v>192</v>
      </c>
      <c r="K606" s="199" t="n">
        <v>45452.466099537</v>
      </c>
      <c r="L606" s="1" t="n">
        <v>2</v>
      </c>
      <c r="M606" s="1" t="n">
        <v>11171</v>
      </c>
      <c r="N606" s="1" t="n">
        <v>326</v>
      </c>
    </row>
    <row r="607" customFormat="false" ht="14.25" hidden="false" customHeight="false" outlineLevel="0" collapsed="false">
      <c r="A607" s="1" t="n">
        <v>94</v>
      </c>
      <c r="B607" s="1" t="s">
        <v>565</v>
      </c>
      <c r="C607" s="1" t="s">
        <v>566</v>
      </c>
      <c r="D607" s="1" t="n">
        <v>11171</v>
      </c>
      <c r="E607" s="1" t="s">
        <v>55</v>
      </c>
      <c r="F607" s="198" t="n">
        <v>200025888158</v>
      </c>
      <c r="G607" s="198" t="s">
        <v>630</v>
      </c>
      <c r="H607" s="163" t="s">
        <v>193</v>
      </c>
      <c r="I607" s="161" t="n">
        <v>30</v>
      </c>
      <c r="J607" s="156" t="s">
        <v>192</v>
      </c>
      <c r="K607" s="199" t="n">
        <v>45452.4667361111</v>
      </c>
      <c r="L607" s="1" t="n">
        <v>3</v>
      </c>
      <c r="M607" s="1" t="n">
        <v>11171</v>
      </c>
      <c r="N607" s="1" t="n">
        <v>327</v>
      </c>
    </row>
    <row r="608" customFormat="false" ht="14.25" hidden="false" customHeight="false" outlineLevel="0" collapsed="false">
      <c r="A608" s="1" t="n">
        <v>95</v>
      </c>
      <c r="B608" s="1" t="s">
        <v>565</v>
      </c>
      <c r="C608" s="1" t="s">
        <v>566</v>
      </c>
      <c r="D608" s="1" t="n">
        <v>11171</v>
      </c>
      <c r="E608" s="1" t="s">
        <v>55</v>
      </c>
      <c r="F608" s="198" t="n">
        <v>200025889163</v>
      </c>
      <c r="G608" s="198" t="s">
        <v>612</v>
      </c>
      <c r="H608" s="163" t="s">
        <v>333</v>
      </c>
      <c r="I608" s="161" t="n">
        <v>21</v>
      </c>
      <c r="J608" s="156" t="s">
        <v>192</v>
      </c>
      <c r="K608" s="199" t="n">
        <v>45452.468587963</v>
      </c>
      <c r="L608" s="1" t="n">
        <v>2</v>
      </c>
      <c r="M608" s="1" t="n">
        <v>11171</v>
      </c>
      <c r="N608" s="1" t="n">
        <v>328</v>
      </c>
    </row>
    <row r="609" customFormat="false" ht="14.25" hidden="false" customHeight="false" outlineLevel="0" collapsed="false">
      <c r="A609" s="1" t="n">
        <v>96</v>
      </c>
      <c r="B609" s="1" t="s">
        <v>565</v>
      </c>
      <c r="C609" s="1" t="s">
        <v>566</v>
      </c>
      <c r="D609" s="1" t="n">
        <v>11171</v>
      </c>
      <c r="E609" s="1" t="s">
        <v>55</v>
      </c>
      <c r="F609" s="198" t="n">
        <v>200025888864</v>
      </c>
      <c r="G609" s="198" t="s">
        <v>590</v>
      </c>
      <c r="H609" s="163" t="s">
        <v>474</v>
      </c>
      <c r="I609" s="161" t="n">
        <v>87</v>
      </c>
      <c r="J609" s="156" t="s">
        <v>192</v>
      </c>
      <c r="K609" s="199" t="n">
        <v>45452.4863194445</v>
      </c>
      <c r="L609" s="1" t="n">
        <v>1</v>
      </c>
      <c r="M609" s="1" t="n">
        <v>11171</v>
      </c>
      <c r="N609" s="1" t="n">
        <v>329</v>
      </c>
    </row>
    <row r="610" customFormat="false" ht="14.25" hidden="false" customHeight="false" outlineLevel="0" collapsed="false">
      <c r="A610" s="1" t="n">
        <v>97</v>
      </c>
      <c r="B610" s="1" t="s">
        <v>565</v>
      </c>
      <c r="C610" s="1" t="s">
        <v>566</v>
      </c>
      <c r="D610" s="1" t="n">
        <v>11171</v>
      </c>
      <c r="E610" s="1" t="s">
        <v>55</v>
      </c>
      <c r="F610" s="198" t="n">
        <v>200025889163</v>
      </c>
      <c r="G610" s="198" t="s">
        <v>612</v>
      </c>
      <c r="H610" s="163" t="s">
        <v>333</v>
      </c>
      <c r="I610" s="161" t="n">
        <v>21</v>
      </c>
      <c r="J610" s="156" t="s">
        <v>192</v>
      </c>
      <c r="K610" s="199" t="n">
        <v>45452.4867824074</v>
      </c>
      <c r="L610" s="1" t="n">
        <v>2</v>
      </c>
      <c r="M610" s="1" t="n">
        <v>11171</v>
      </c>
      <c r="N610" s="1" t="n">
        <v>330</v>
      </c>
    </row>
    <row r="611" customFormat="false" ht="14.25" hidden="false" customHeight="false" outlineLevel="0" collapsed="false">
      <c r="A611" s="1" t="n">
        <v>98</v>
      </c>
      <c r="B611" s="1" t="s">
        <v>565</v>
      </c>
      <c r="C611" s="1" t="s">
        <v>566</v>
      </c>
      <c r="D611" s="1" t="n">
        <v>11171</v>
      </c>
      <c r="E611" s="1" t="s">
        <v>55</v>
      </c>
      <c r="F611" s="198" t="n">
        <v>200025889163</v>
      </c>
      <c r="G611" s="198" t="s">
        <v>612</v>
      </c>
      <c r="H611" s="163" t="s">
        <v>333</v>
      </c>
      <c r="I611" s="161" t="n">
        <v>21</v>
      </c>
      <c r="J611" s="156" t="s">
        <v>192</v>
      </c>
      <c r="K611" s="199" t="n">
        <v>45452.4868171296</v>
      </c>
      <c r="L611" s="1" t="n">
        <v>0</v>
      </c>
      <c r="M611" s="1" t="n">
        <v>11171</v>
      </c>
      <c r="N611" s="1" t="n">
        <v>331</v>
      </c>
    </row>
    <row r="612" customFormat="false" ht="14.25" hidden="false" customHeight="false" outlineLevel="0" collapsed="false">
      <c r="A612" s="1" t="n">
        <v>99</v>
      </c>
      <c r="B612" s="1" t="s">
        <v>565</v>
      </c>
      <c r="C612" s="1" t="s">
        <v>566</v>
      </c>
      <c r="D612" s="1" t="n">
        <v>11171</v>
      </c>
      <c r="E612" s="1" t="s">
        <v>55</v>
      </c>
      <c r="F612" s="198" t="n">
        <v>200025888181</v>
      </c>
      <c r="G612" s="198" t="s">
        <v>631</v>
      </c>
      <c r="H612" s="163" t="s">
        <v>215</v>
      </c>
      <c r="I612" s="161" t="n">
        <v>115</v>
      </c>
      <c r="J612" s="156" t="s">
        <v>192</v>
      </c>
      <c r="K612" s="199" t="n">
        <v>45452.4921296296</v>
      </c>
      <c r="L612" s="1" t="n">
        <v>1</v>
      </c>
      <c r="M612" s="1" t="n">
        <v>11171</v>
      </c>
      <c r="N612" s="1" t="n">
        <v>332</v>
      </c>
    </row>
    <row r="613" customFormat="false" ht="14.25" hidden="false" customHeight="false" outlineLevel="0" collapsed="false">
      <c r="A613" s="1" t="n">
        <v>100</v>
      </c>
      <c r="B613" s="1" t="s">
        <v>565</v>
      </c>
      <c r="C613" s="1" t="s">
        <v>566</v>
      </c>
      <c r="D613" s="1" t="n">
        <v>11171</v>
      </c>
      <c r="E613" s="1" t="s">
        <v>55</v>
      </c>
      <c r="F613" s="198" t="n">
        <v>200025888181</v>
      </c>
      <c r="G613" s="198" t="s">
        <v>631</v>
      </c>
      <c r="H613" s="163" t="s">
        <v>215</v>
      </c>
      <c r="I613" s="161" t="n">
        <v>115</v>
      </c>
      <c r="J613" s="156" t="s">
        <v>192</v>
      </c>
      <c r="K613" s="199" t="n">
        <v>45452.4946412037</v>
      </c>
      <c r="L613" s="1" t="n">
        <v>1</v>
      </c>
      <c r="M613" s="1" t="n">
        <v>11171</v>
      </c>
      <c r="N613" s="1" t="n">
        <v>333</v>
      </c>
    </row>
    <row r="614" customFormat="false" ht="14.25" hidden="false" customHeight="false" outlineLevel="0" collapsed="false">
      <c r="A614" s="1" t="n">
        <v>101</v>
      </c>
      <c r="B614" s="1" t="s">
        <v>565</v>
      </c>
      <c r="C614" s="1" t="s">
        <v>566</v>
      </c>
      <c r="D614" s="1" t="n">
        <v>11171</v>
      </c>
      <c r="E614" s="1" t="s">
        <v>55</v>
      </c>
      <c r="F614" s="198" t="n">
        <v>200025888181</v>
      </c>
      <c r="G614" s="198" t="s">
        <v>631</v>
      </c>
      <c r="H614" s="163" t="s">
        <v>215</v>
      </c>
      <c r="I614" s="161" t="n">
        <v>115</v>
      </c>
      <c r="J614" s="156" t="s">
        <v>192</v>
      </c>
      <c r="K614" s="199" t="n">
        <v>45452.4957523148</v>
      </c>
      <c r="L614" s="1" t="n">
        <v>1</v>
      </c>
      <c r="M614" s="1" t="n">
        <v>11171</v>
      </c>
      <c r="N614" s="1" t="n">
        <v>334</v>
      </c>
    </row>
    <row r="615" customFormat="false" ht="14.25" hidden="false" customHeight="false" outlineLevel="0" collapsed="false">
      <c r="A615" s="1" t="n">
        <v>102</v>
      </c>
      <c r="B615" s="1" t="s">
        <v>565</v>
      </c>
      <c r="C615" s="1" t="s">
        <v>566</v>
      </c>
      <c r="D615" s="1" t="n">
        <v>11171</v>
      </c>
      <c r="E615" s="1" t="s">
        <v>55</v>
      </c>
      <c r="F615" s="198" t="n">
        <v>200025888181</v>
      </c>
      <c r="G615" s="198" t="s">
        <v>631</v>
      </c>
      <c r="H615" s="163" t="s">
        <v>215</v>
      </c>
      <c r="I615" s="161" t="n">
        <v>115</v>
      </c>
      <c r="J615" s="156" t="s">
        <v>192</v>
      </c>
      <c r="K615" s="199" t="n">
        <v>45452.4959259259</v>
      </c>
      <c r="L615" s="1" t="n">
        <v>1</v>
      </c>
      <c r="M615" s="1" t="n">
        <v>11171</v>
      </c>
      <c r="N615" s="1" t="n">
        <v>335</v>
      </c>
    </row>
    <row r="616" customFormat="false" ht="14.25" hidden="false" customHeight="false" outlineLevel="0" collapsed="false">
      <c r="A616" s="1" t="n">
        <v>103</v>
      </c>
      <c r="B616" s="1" t="s">
        <v>565</v>
      </c>
      <c r="C616" s="1" t="s">
        <v>566</v>
      </c>
      <c r="D616" s="1" t="n">
        <v>11171</v>
      </c>
      <c r="E616" s="1" t="s">
        <v>55</v>
      </c>
      <c r="F616" s="198" t="n">
        <v>200025888181</v>
      </c>
      <c r="G616" s="198" t="s">
        <v>631</v>
      </c>
      <c r="H616" s="163" t="s">
        <v>215</v>
      </c>
      <c r="I616" s="161" t="n">
        <v>115</v>
      </c>
      <c r="J616" s="156" t="s">
        <v>192</v>
      </c>
      <c r="K616" s="199" t="n">
        <v>45452.4960416667</v>
      </c>
      <c r="L616" s="1" t="n">
        <v>1</v>
      </c>
      <c r="M616" s="1" t="n">
        <v>11171</v>
      </c>
      <c r="N616" s="1" t="n">
        <v>336</v>
      </c>
    </row>
    <row r="617" customFormat="false" ht="14.25" hidden="false" customHeight="false" outlineLevel="0" collapsed="false">
      <c r="A617" s="1" t="n">
        <v>104</v>
      </c>
      <c r="B617" s="1" t="s">
        <v>565</v>
      </c>
      <c r="C617" s="1" t="s">
        <v>566</v>
      </c>
      <c r="D617" s="1" t="n">
        <v>11171</v>
      </c>
      <c r="E617" s="1" t="s">
        <v>55</v>
      </c>
      <c r="F617" s="198" t="n">
        <v>200025888864</v>
      </c>
      <c r="G617" s="198" t="s">
        <v>590</v>
      </c>
      <c r="H617" s="163" t="s">
        <v>474</v>
      </c>
      <c r="I617" s="161" t="n">
        <v>87</v>
      </c>
      <c r="J617" s="156" t="s">
        <v>192</v>
      </c>
      <c r="K617" s="199" t="n">
        <v>45452.5008564815</v>
      </c>
      <c r="L617" s="1" t="n">
        <v>1</v>
      </c>
      <c r="M617" s="1" t="n">
        <v>11171</v>
      </c>
      <c r="N617" s="1" t="n">
        <v>337</v>
      </c>
    </row>
    <row r="618" customFormat="false" ht="14.25" hidden="false" customHeight="false" outlineLevel="0" collapsed="false">
      <c r="A618" s="1" t="n">
        <v>105</v>
      </c>
      <c r="B618" s="1" t="s">
        <v>565</v>
      </c>
      <c r="C618" s="1" t="s">
        <v>566</v>
      </c>
      <c r="D618" s="1" t="n">
        <v>11171</v>
      </c>
      <c r="E618" s="1" t="s">
        <v>55</v>
      </c>
      <c r="F618" s="198" t="n">
        <v>200025888181</v>
      </c>
      <c r="G618" s="198" t="s">
        <v>631</v>
      </c>
      <c r="H618" s="163" t="s">
        <v>215</v>
      </c>
      <c r="I618" s="161" t="n">
        <v>115</v>
      </c>
      <c r="J618" s="156" t="s">
        <v>192</v>
      </c>
      <c r="K618" s="199" t="n">
        <v>45452.5016550926</v>
      </c>
      <c r="L618" s="1" t="n">
        <v>2</v>
      </c>
      <c r="M618" s="1" t="n">
        <v>11171</v>
      </c>
      <c r="N618" s="1" t="n">
        <v>338</v>
      </c>
    </row>
    <row r="619" customFormat="false" ht="14.25" hidden="false" customHeight="false" outlineLevel="0" collapsed="false">
      <c r="A619" s="1" t="n">
        <v>106</v>
      </c>
      <c r="B619" s="1" t="s">
        <v>565</v>
      </c>
      <c r="C619" s="1" t="s">
        <v>566</v>
      </c>
      <c r="D619" s="1" t="n">
        <v>11171</v>
      </c>
      <c r="E619" s="1" t="s">
        <v>55</v>
      </c>
      <c r="F619" s="198" t="n">
        <v>200025888181</v>
      </c>
      <c r="G619" s="198" t="s">
        <v>631</v>
      </c>
      <c r="H619" s="163" t="s">
        <v>215</v>
      </c>
      <c r="I619" s="161" t="n">
        <v>115</v>
      </c>
      <c r="J619" s="156" t="s">
        <v>192</v>
      </c>
      <c r="K619" s="199" t="n">
        <v>45452.501875</v>
      </c>
      <c r="L619" s="1" t="n">
        <v>1</v>
      </c>
      <c r="M619" s="1" t="n">
        <v>11171</v>
      </c>
      <c r="N619" s="1" t="n">
        <v>339</v>
      </c>
    </row>
    <row r="620" customFormat="false" ht="14.25" hidden="false" customHeight="false" outlineLevel="0" collapsed="false">
      <c r="A620" s="1" t="n">
        <v>107</v>
      </c>
      <c r="B620" s="1" t="s">
        <v>565</v>
      </c>
      <c r="C620" s="1" t="s">
        <v>566</v>
      </c>
      <c r="D620" s="1" t="n">
        <v>11171</v>
      </c>
      <c r="E620" s="1" t="s">
        <v>55</v>
      </c>
      <c r="F620" s="198" t="n">
        <v>200025888181</v>
      </c>
      <c r="G620" s="198" t="s">
        <v>631</v>
      </c>
      <c r="H620" s="163" t="s">
        <v>215</v>
      </c>
      <c r="I620" s="161" t="n">
        <v>115</v>
      </c>
      <c r="J620" s="156" t="s">
        <v>192</v>
      </c>
      <c r="K620" s="199" t="n">
        <v>45452.5041203704</v>
      </c>
      <c r="L620" s="1" t="n">
        <v>1</v>
      </c>
      <c r="M620" s="1" t="n">
        <v>11171</v>
      </c>
      <c r="N620" s="1" t="n">
        <v>340</v>
      </c>
    </row>
    <row r="621" customFormat="false" ht="14.25" hidden="false" customHeight="false" outlineLevel="0" collapsed="false">
      <c r="A621" s="1" t="n">
        <v>108</v>
      </c>
      <c r="B621" s="1" t="s">
        <v>565</v>
      </c>
      <c r="C621" s="1" t="s">
        <v>566</v>
      </c>
      <c r="D621" s="1" t="n">
        <v>11171</v>
      </c>
      <c r="E621" s="1" t="s">
        <v>55</v>
      </c>
      <c r="F621" s="198" t="n">
        <v>200025888181</v>
      </c>
      <c r="G621" s="198" t="s">
        <v>631</v>
      </c>
      <c r="H621" s="163" t="s">
        <v>215</v>
      </c>
      <c r="I621" s="161" t="n">
        <v>115</v>
      </c>
      <c r="J621" s="156" t="s">
        <v>192</v>
      </c>
      <c r="K621" s="199" t="n">
        <v>45452.5042592593</v>
      </c>
      <c r="L621" s="1" t="n">
        <v>1</v>
      </c>
      <c r="M621" s="1" t="n">
        <v>11171</v>
      </c>
      <c r="N621" s="1" t="n">
        <v>341</v>
      </c>
    </row>
    <row r="622" customFormat="false" ht="14.25" hidden="false" customHeight="false" outlineLevel="0" collapsed="false">
      <c r="A622" s="1" t="n">
        <v>109</v>
      </c>
      <c r="B622" s="1" t="s">
        <v>565</v>
      </c>
      <c r="C622" s="1" t="s">
        <v>566</v>
      </c>
      <c r="D622" s="1" t="n">
        <v>11171</v>
      </c>
      <c r="E622" s="1" t="s">
        <v>55</v>
      </c>
      <c r="F622" s="198" t="n">
        <v>200025888181</v>
      </c>
      <c r="G622" s="198" t="s">
        <v>631</v>
      </c>
      <c r="H622" s="163" t="s">
        <v>215</v>
      </c>
      <c r="I622" s="161" t="n">
        <v>115</v>
      </c>
      <c r="J622" s="156" t="s">
        <v>192</v>
      </c>
      <c r="K622" s="199" t="n">
        <v>45452.504375</v>
      </c>
      <c r="L622" s="1" t="n">
        <v>1</v>
      </c>
      <c r="M622" s="1" t="n">
        <v>11171</v>
      </c>
      <c r="N622" s="1" t="n">
        <v>342</v>
      </c>
    </row>
    <row r="623" customFormat="false" ht="14.25" hidden="false" customHeight="false" outlineLevel="0" collapsed="false">
      <c r="A623" s="1" t="n">
        <v>110</v>
      </c>
      <c r="B623" s="1" t="s">
        <v>565</v>
      </c>
      <c r="C623" s="1" t="s">
        <v>566</v>
      </c>
      <c r="D623" s="1" t="n">
        <v>11171</v>
      </c>
      <c r="E623" s="1" t="s">
        <v>55</v>
      </c>
      <c r="F623" s="198" t="n">
        <v>200025888181</v>
      </c>
      <c r="G623" s="198" t="s">
        <v>631</v>
      </c>
      <c r="H623" s="163" t="s">
        <v>215</v>
      </c>
      <c r="I623" s="161" t="n">
        <v>115</v>
      </c>
      <c r="J623" s="156" t="s">
        <v>192</v>
      </c>
      <c r="K623" s="199" t="n">
        <v>45452.5049421296</v>
      </c>
      <c r="L623" s="1" t="n">
        <v>2</v>
      </c>
      <c r="M623" s="1" t="n">
        <v>11171</v>
      </c>
      <c r="N623" s="1" t="n">
        <v>343</v>
      </c>
    </row>
    <row r="624" customFormat="false" ht="14.25" hidden="false" customHeight="false" outlineLevel="0" collapsed="false">
      <c r="A624" s="1" t="n">
        <v>111</v>
      </c>
      <c r="B624" s="1" t="s">
        <v>565</v>
      </c>
      <c r="C624" s="1" t="s">
        <v>566</v>
      </c>
      <c r="D624" s="1" t="n">
        <v>11171</v>
      </c>
      <c r="E624" s="1" t="s">
        <v>55</v>
      </c>
      <c r="F624" s="198" t="n">
        <v>200025888181</v>
      </c>
      <c r="G624" s="198" t="s">
        <v>631</v>
      </c>
      <c r="H624" s="163" t="s">
        <v>215</v>
      </c>
      <c r="I624" s="161" t="n">
        <v>115</v>
      </c>
      <c r="J624" s="156" t="s">
        <v>192</v>
      </c>
      <c r="K624" s="199" t="n">
        <v>45452.5064814815</v>
      </c>
      <c r="L624" s="1" t="n">
        <v>1</v>
      </c>
      <c r="M624" s="1" t="n">
        <v>11171</v>
      </c>
      <c r="N624" s="1" t="n">
        <v>344</v>
      </c>
    </row>
    <row r="625" customFormat="false" ht="14.25" hidden="false" customHeight="false" outlineLevel="0" collapsed="false">
      <c r="A625" s="1" t="n">
        <v>112</v>
      </c>
      <c r="B625" s="1" t="s">
        <v>565</v>
      </c>
      <c r="C625" s="1" t="s">
        <v>566</v>
      </c>
      <c r="D625" s="1" t="n">
        <v>11171</v>
      </c>
      <c r="E625" s="1" t="s">
        <v>55</v>
      </c>
      <c r="F625" s="198" t="n">
        <v>200025889163</v>
      </c>
      <c r="G625" s="198" t="s">
        <v>612</v>
      </c>
      <c r="H625" s="163" t="s">
        <v>333</v>
      </c>
      <c r="I625" s="161" t="n">
        <v>21</v>
      </c>
      <c r="J625" s="156" t="s">
        <v>192</v>
      </c>
      <c r="K625" s="199" t="n">
        <v>45452.5207523148</v>
      </c>
      <c r="L625" s="1" t="n">
        <v>2</v>
      </c>
      <c r="M625" s="1" t="n">
        <v>11171</v>
      </c>
      <c r="N625" s="1" t="n">
        <v>345</v>
      </c>
    </row>
    <row r="626" customFormat="false" ht="14.25" hidden="false" customHeight="false" outlineLevel="0" collapsed="false">
      <c r="A626" s="1" t="n">
        <v>113</v>
      </c>
      <c r="B626" s="1" t="s">
        <v>565</v>
      </c>
      <c r="C626" s="1" t="s">
        <v>566</v>
      </c>
      <c r="D626" s="1" t="n">
        <v>11171</v>
      </c>
      <c r="E626" s="1" t="s">
        <v>55</v>
      </c>
      <c r="F626" s="198" t="n">
        <v>200025889163</v>
      </c>
      <c r="G626" s="198" t="s">
        <v>612</v>
      </c>
      <c r="H626" s="163" t="s">
        <v>333</v>
      </c>
      <c r="I626" s="161" t="n">
        <v>21</v>
      </c>
      <c r="J626" s="156" t="s">
        <v>192</v>
      </c>
      <c r="K626" s="199" t="n">
        <v>45452.5212615741</v>
      </c>
      <c r="L626" s="1" t="n">
        <v>1</v>
      </c>
      <c r="M626" s="1" t="n">
        <v>11171</v>
      </c>
      <c r="N626" s="1" t="n">
        <v>346</v>
      </c>
    </row>
    <row r="627" customFormat="false" ht="14.25" hidden="false" customHeight="false" outlineLevel="0" collapsed="false">
      <c r="A627" s="1" t="n">
        <v>114</v>
      </c>
      <c r="B627" s="1" t="s">
        <v>565</v>
      </c>
      <c r="C627" s="1" t="s">
        <v>566</v>
      </c>
      <c r="D627" s="1" t="n">
        <v>11171</v>
      </c>
      <c r="E627" s="1" t="s">
        <v>55</v>
      </c>
      <c r="F627" s="198" t="n">
        <v>200025888158</v>
      </c>
      <c r="G627" s="198" t="s">
        <v>630</v>
      </c>
      <c r="H627" s="163" t="s">
        <v>193</v>
      </c>
      <c r="I627" s="161" t="n">
        <v>30</v>
      </c>
      <c r="J627" s="156" t="s">
        <v>192</v>
      </c>
      <c r="K627" s="199" t="n">
        <v>45452.5267824074</v>
      </c>
      <c r="L627" s="1" t="n">
        <v>2</v>
      </c>
      <c r="M627" s="1" t="n">
        <v>11171</v>
      </c>
      <c r="N627" s="1" t="n">
        <v>347</v>
      </c>
    </row>
    <row r="628" customFormat="false" ht="14.25" hidden="false" customHeight="false" outlineLevel="0" collapsed="false">
      <c r="A628" s="1" t="n">
        <v>115</v>
      </c>
      <c r="B628" s="1" t="s">
        <v>565</v>
      </c>
      <c r="C628" s="1" t="s">
        <v>566</v>
      </c>
      <c r="D628" s="1" t="n">
        <v>11171</v>
      </c>
      <c r="E628" s="1" t="s">
        <v>55</v>
      </c>
      <c r="F628" s="198" t="n">
        <v>200025888158</v>
      </c>
      <c r="G628" s="198" t="s">
        <v>630</v>
      </c>
      <c r="H628" s="163" t="s">
        <v>193</v>
      </c>
      <c r="I628" s="161" t="n">
        <v>30</v>
      </c>
      <c r="J628" s="156" t="s">
        <v>192</v>
      </c>
      <c r="K628" s="199" t="n">
        <v>45452.5429282407</v>
      </c>
      <c r="L628" s="1" t="n">
        <v>2</v>
      </c>
      <c r="M628" s="1" t="n">
        <v>11171</v>
      </c>
      <c r="N628" s="1" t="n">
        <v>348</v>
      </c>
    </row>
    <row r="629" customFormat="false" ht="14.25" hidden="false" customHeight="false" outlineLevel="0" collapsed="false">
      <c r="A629" s="1" t="n">
        <v>116</v>
      </c>
      <c r="B629" s="1" t="s">
        <v>565</v>
      </c>
      <c r="C629" s="1" t="s">
        <v>566</v>
      </c>
      <c r="D629" s="1" t="n">
        <v>11171</v>
      </c>
      <c r="E629" s="1" t="s">
        <v>55</v>
      </c>
      <c r="F629" s="198" t="n">
        <v>200025888158</v>
      </c>
      <c r="G629" s="198" t="s">
        <v>630</v>
      </c>
      <c r="H629" s="163" t="s">
        <v>193</v>
      </c>
      <c r="I629" s="161" t="n">
        <v>30</v>
      </c>
      <c r="J629" s="156" t="s">
        <v>192</v>
      </c>
      <c r="K629" s="199" t="n">
        <v>45452.5437037037</v>
      </c>
      <c r="L629" s="1" t="n">
        <v>2</v>
      </c>
      <c r="M629" s="1" t="n">
        <v>11171</v>
      </c>
      <c r="N629" s="1" t="n">
        <v>349</v>
      </c>
    </row>
    <row r="630" customFormat="false" ht="14.25" hidden="false" customHeight="false" outlineLevel="0" collapsed="false">
      <c r="A630" s="1" t="n">
        <v>117</v>
      </c>
      <c r="B630" s="1" t="s">
        <v>565</v>
      </c>
      <c r="C630" s="1" t="s">
        <v>566</v>
      </c>
      <c r="D630" s="1" t="n">
        <v>11171</v>
      </c>
      <c r="E630" s="1" t="s">
        <v>55</v>
      </c>
      <c r="F630" s="198" t="n">
        <v>200025888158</v>
      </c>
      <c r="G630" s="198" t="s">
        <v>630</v>
      </c>
      <c r="H630" s="163" t="s">
        <v>193</v>
      </c>
      <c r="I630" s="161" t="n">
        <v>30</v>
      </c>
      <c r="J630" s="156" t="s">
        <v>192</v>
      </c>
      <c r="K630" s="199" t="n">
        <v>45452.5438541667</v>
      </c>
      <c r="L630" s="1" t="n">
        <v>2</v>
      </c>
      <c r="M630" s="1" t="n">
        <v>11171</v>
      </c>
      <c r="N630" s="1" t="n">
        <v>350</v>
      </c>
    </row>
    <row r="631" customFormat="false" ht="14.25" hidden="false" customHeight="false" outlineLevel="0" collapsed="false">
      <c r="A631" s="1" t="n">
        <v>118</v>
      </c>
      <c r="B631" s="1" t="s">
        <v>565</v>
      </c>
      <c r="C631" s="1" t="s">
        <v>566</v>
      </c>
      <c r="D631" s="1" t="n">
        <v>11171</v>
      </c>
      <c r="E631" s="1" t="s">
        <v>55</v>
      </c>
      <c r="F631" s="198" t="n">
        <v>200025888181</v>
      </c>
      <c r="G631" s="198" t="s">
        <v>631</v>
      </c>
      <c r="H631" s="163" t="s">
        <v>215</v>
      </c>
      <c r="I631" s="161" t="n">
        <v>115</v>
      </c>
      <c r="J631" s="156" t="s">
        <v>192</v>
      </c>
      <c r="K631" s="199" t="n">
        <v>45452.5572337963</v>
      </c>
      <c r="L631" s="1" t="n">
        <v>1</v>
      </c>
      <c r="M631" s="1" t="n">
        <v>11171</v>
      </c>
      <c r="N631" s="1" t="n">
        <v>351</v>
      </c>
    </row>
    <row r="632" customFormat="false" ht="14.25" hidden="false" customHeight="false" outlineLevel="0" collapsed="false">
      <c r="A632" s="1" t="n">
        <v>119</v>
      </c>
      <c r="B632" s="1" t="s">
        <v>565</v>
      </c>
      <c r="C632" s="1" t="s">
        <v>566</v>
      </c>
      <c r="D632" s="1" t="n">
        <v>11171</v>
      </c>
      <c r="E632" s="1" t="s">
        <v>55</v>
      </c>
      <c r="F632" s="198" t="n">
        <v>200025888864</v>
      </c>
      <c r="G632" s="198" t="s">
        <v>590</v>
      </c>
      <c r="H632" s="163" t="s">
        <v>474</v>
      </c>
      <c r="I632" s="161" t="n">
        <v>87</v>
      </c>
      <c r="J632" s="156" t="s">
        <v>192</v>
      </c>
      <c r="K632" s="199" t="n">
        <v>45452.5655671296</v>
      </c>
      <c r="L632" s="1" t="n">
        <v>2</v>
      </c>
      <c r="M632" s="1" t="n">
        <v>11171</v>
      </c>
      <c r="N632" s="1" t="n">
        <v>352</v>
      </c>
    </row>
    <row r="633" customFormat="false" ht="14.25" hidden="false" customHeight="false" outlineLevel="0" collapsed="false">
      <c r="A633" s="1" t="n">
        <v>120</v>
      </c>
      <c r="B633" s="1" t="s">
        <v>565</v>
      </c>
      <c r="C633" s="1" t="s">
        <v>566</v>
      </c>
      <c r="D633" s="1" t="n">
        <v>11171</v>
      </c>
      <c r="E633" s="1" t="s">
        <v>55</v>
      </c>
      <c r="F633" s="198" t="n">
        <v>200025888864</v>
      </c>
      <c r="G633" s="198" t="s">
        <v>590</v>
      </c>
      <c r="H633" s="163" t="s">
        <v>474</v>
      </c>
      <c r="I633" s="161" t="n">
        <v>87</v>
      </c>
      <c r="J633" s="156" t="s">
        <v>192</v>
      </c>
      <c r="K633" s="199" t="n">
        <v>45452.5655902778</v>
      </c>
      <c r="L633" s="1" t="n">
        <v>0</v>
      </c>
      <c r="M633" s="1" t="n">
        <v>11171</v>
      </c>
      <c r="N633" s="1" t="n">
        <v>353</v>
      </c>
    </row>
    <row r="634" customFormat="false" ht="14.25" hidden="false" customHeight="false" outlineLevel="0" collapsed="false">
      <c r="A634" s="1" t="n">
        <v>121</v>
      </c>
      <c r="B634" s="1" t="s">
        <v>565</v>
      </c>
      <c r="C634" s="1" t="s">
        <v>566</v>
      </c>
      <c r="D634" s="1" t="n">
        <v>11171</v>
      </c>
      <c r="E634" s="1" t="s">
        <v>55</v>
      </c>
      <c r="F634" s="198" t="n">
        <v>200025888864</v>
      </c>
      <c r="G634" s="198" t="s">
        <v>590</v>
      </c>
      <c r="H634" s="163" t="s">
        <v>474</v>
      </c>
      <c r="I634" s="161" t="n">
        <v>87</v>
      </c>
      <c r="J634" s="156" t="s">
        <v>192</v>
      </c>
      <c r="K634" s="199" t="n">
        <v>45452.5655902778</v>
      </c>
      <c r="L634" s="1" t="n">
        <v>1</v>
      </c>
      <c r="M634" s="1" t="n">
        <v>11171</v>
      </c>
      <c r="N634" s="1" t="n">
        <v>354</v>
      </c>
    </row>
    <row r="635" customFormat="false" ht="14.25" hidden="false" customHeight="false" outlineLevel="0" collapsed="false">
      <c r="A635" s="1" t="n">
        <v>122</v>
      </c>
      <c r="B635" s="1" t="s">
        <v>565</v>
      </c>
      <c r="C635" s="1" t="s">
        <v>566</v>
      </c>
      <c r="D635" s="1" t="n">
        <v>11171</v>
      </c>
      <c r="E635" s="1" t="s">
        <v>55</v>
      </c>
      <c r="F635" s="198" t="n">
        <v>200025888864</v>
      </c>
      <c r="G635" s="198" t="s">
        <v>590</v>
      </c>
      <c r="H635" s="163" t="s">
        <v>474</v>
      </c>
      <c r="I635" s="161" t="n">
        <v>87</v>
      </c>
      <c r="J635" s="156" t="s">
        <v>192</v>
      </c>
      <c r="K635" s="199" t="n">
        <v>45452.5659143519</v>
      </c>
      <c r="L635" s="1" t="n">
        <v>1</v>
      </c>
      <c r="M635" s="1" t="n">
        <v>11171</v>
      </c>
      <c r="N635" s="1" t="n">
        <v>355</v>
      </c>
    </row>
    <row r="636" customFormat="false" ht="14.25" hidden="false" customHeight="false" outlineLevel="0" collapsed="false">
      <c r="A636" s="1" t="n">
        <v>123</v>
      </c>
      <c r="B636" s="1" t="s">
        <v>565</v>
      </c>
      <c r="C636" s="1" t="s">
        <v>566</v>
      </c>
      <c r="D636" s="1" t="n">
        <v>11171</v>
      </c>
      <c r="E636" s="1" t="s">
        <v>55</v>
      </c>
      <c r="F636" s="198" t="n">
        <v>200025888864</v>
      </c>
      <c r="G636" s="198" t="s">
        <v>590</v>
      </c>
      <c r="H636" s="163" t="s">
        <v>474</v>
      </c>
      <c r="I636" s="161" t="n">
        <v>87</v>
      </c>
      <c r="J636" s="156" t="s">
        <v>192</v>
      </c>
      <c r="K636" s="199" t="n">
        <v>45452.5661226852</v>
      </c>
      <c r="L636" s="1" t="n">
        <v>1</v>
      </c>
      <c r="M636" s="1" t="n">
        <v>11171</v>
      </c>
      <c r="N636" s="1" t="n">
        <v>356</v>
      </c>
    </row>
    <row r="637" customFormat="false" ht="14.25" hidden="false" customHeight="false" outlineLevel="0" collapsed="false">
      <c r="A637" s="1" t="n">
        <v>124</v>
      </c>
      <c r="B637" s="1" t="s">
        <v>565</v>
      </c>
      <c r="C637" s="1" t="s">
        <v>566</v>
      </c>
      <c r="D637" s="1" t="n">
        <v>11171</v>
      </c>
      <c r="E637" s="1" t="s">
        <v>55</v>
      </c>
      <c r="F637" s="198" t="n">
        <v>200025888158</v>
      </c>
      <c r="G637" s="198" t="s">
        <v>630</v>
      </c>
      <c r="H637" s="163" t="s">
        <v>193</v>
      </c>
      <c r="I637" s="161" t="n">
        <v>30</v>
      </c>
      <c r="J637" s="156" t="s">
        <v>192</v>
      </c>
      <c r="K637" s="199" t="n">
        <v>45452.5707638889</v>
      </c>
      <c r="L637" s="1" t="n">
        <v>3</v>
      </c>
      <c r="M637" s="1" t="n">
        <v>11171</v>
      </c>
      <c r="N637" s="1" t="n">
        <v>357</v>
      </c>
    </row>
    <row r="638" customFormat="false" ht="14.25" hidden="false" customHeight="false" outlineLevel="0" collapsed="false">
      <c r="A638" s="1" t="n">
        <v>125</v>
      </c>
      <c r="B638" s="1" t="s">
        <v>565</v>
      </c>
      <c r="C638" s="1" t="s">
        <v>566</v>
      </c>
      <c r="D638" s="1" t="n">
        <v>11171</v>
      </c>
      <c r="E638" s="1" t="s">
        <v>55</v>
      </c>
      <c r="F638" s="198" t="n">
        <v>200025889163</v>
      </c>
      <c r="G638" s="198" t="s">
        <v>612</v>
      </c>
      <c r="H638" s="163" t="s">
        <v>333</v>
      </c>
      <c r="I638" s="161" t="n">
        <v>21</v>
      </c>
      <c r="J638" s="156" t="s">
        <v>192</v>
      </c>
      <c r="K638" s="199" t="n">
        <v>45452.6025810185</v>
      </c>
      <c r="L638" s="1" t="n">
        <v>2</v>
      </c>
      <c r="M638" s="1" t="n">
        <v>11171</v>
      </c>
      <c r="N638" s="1" t="n">
        <v>358</v>
      </c>
    </row>
    <row r="639" customFormat="false" ht="14.25" hidden="false" customHeight="false" outlineLevel="0" collapsed="false">
      <c r="A639" s="1" t="n">
        <v>126</v>
      </c>
      <c r="B639" s="1" t="s">
        <v>565</v>
      </c>
      <c r="C639" s="1" t="s">
        <v>566</v>
      </c>
      <c r="D639" s="1" t="n">
        <v>11171</v>
      </c>
      <c r="E639" s="1" t="s">
        <v>55</v>
      </c>
      <c r="F639" s="198" t="n">
        <v>200025889163</v>
      </c>
      <c r="G639" s="198" t="s">
        <v>612</v>
      </c>
      <c r="H639" s="163" t="s">
        <v>333</v>
      </c>
      <c r="I639" s="161" t="n">
        <v>21</v>
      </c>
      <c r="J639" s="156" t="s">
        <v>192</v>
      </c>
      <c r="K639" s="199" t="n">
        <v>45452.6158449074</v>
      </c>
      <c r="L639" s="1" t="n">
        <v>1</v>
      </c>
      <c r="M639" s="1" t="n">
        <v>11171</v>
      </c>
      <c r="N639" s="1" t="n">
        <v>359</v>
      </c>
    </row>
    <row r="640" customFormat="false" ht="14.25" hidden="false" customHeight="false" outlineLevel="0" collapsed="false">
      <c r="A640" s="1" t="n">
        <v>127</v>
      </c>
      <c r="B640" s="1" t="s">
        <v>565</v>
      </c>
      <c r="C640" s="1" t="s">
        <v>566</v>
      </c>
      <c r="D640" s="1" t="n">
        <v>11171</v>
      </c>
      <c r="E640" s="1" t="s">
        <v>55</v>
      </c>
      <c r="F640" s="198" t="n">
        <v>200025889163</v>
      </c>
      <c r="G640" s="198" t="s">
        <v>612</v>
      </c>
      <c r="H640" s="163" t="s">
        <v>333</v>
      </c>
      <c r="I640" s="161" t="n">
        <v>21</v>
      </c>
      <c r="J640" s="156" t="s">
        <v>192</v>
      </c>
      <c r="K640" s="199" t="n">
        <v>45452.6407291667</v>
      </c>
      <c r="L640" s="1" t="n">
        <v>2</v>
      </c>
      <c r="M640" s="1" t="n">
        <v>11171</v>
      </c>
      <c r="N640" s="1" t="n">
        <v>360</v>
      </c>
    </row>
    <row r="641" customFormat="false" ht="14.25" hidden="false" customHeight="false" outlineLevel="0" collapsed="false">
      <c r="A641" s="1" t="n">
        <v>128</v>
      </c>
      <c r="B641" s="1" t="s">
        <v>565</v>
      </c>
      <c r="C641" s="1" t="s">
        <v>566</v>
      </c>
      <c r="D641" s="1" t="n">
        <v>11171</v>
      </c>
      <c r="E641" s="1" t="s">
        <v>55</v>
      </c>
      <c r="F641" s="198" t="n">
        <v>200025889163</v>
      </c>
      <c r="G641" s="198" t="s">
        <v>612</v>
      </c>
      <c r="H641" s="163" t="s">
        <v>333</v>
      </c>
      <c r="I641" s="161" t="n">
        <v>21</v>
      </c>
      <c r="J641" s="156" t="s">
        <v>192</v>
      </c>
      <c r="K641" s="199" t="n">
        <v>45452.6586342593</v>
      </c>
      <c r="L641" s="1" t="n">
        <v>0</v>
      </c>
      <c r="M641" s="1" t="n">
        <v>11171</v>
      </c>
      <c r="N641" s="1" t="n">
        <v>361</v>
      </c>
    </row>
    <row r="642" customFormat="false" ht="14.25" hidden="false" customHeight="false" outlineLevel="0" collapsed="false">
      <c r="A642" s="1" t="n">
        <v>129</v>
      </c>
      <c r="B642" s="1" t="s">
        <v>565</v>
      </c>
      <c r="C642" s="1" t="s">
        <v>566</v>
      </c>
      <c r="D642" s="1" t="n">
        <v>11171</v>
      </c>
      <c r="E642" s="1" t="s">
        <v>55</v>
      </c>
      <c r="F642" s="198" t="n">
        <v>200025889163</v>
      </c>
      <c r="G642" s="198" t="s">
        <v>612</v>
      </c>
      <c r="H642" s="163" t="s">
        <v>333</v>
      </c>
      <c r="I642" s="161" t="n">
        <v>21</v>
      </c>
      <c r="J642" s="156" t="s">
        <v>192</v>
      </c>
      <c r="K642" s="199" t="n">
        <v>45452.6586458333</v>
      </c>
      <c r="L642" s="1" t="n">
        <v>0</v>
      </c>
      <c r="M642" s="1" t="n">
        <v>11171</v>
      </c>
      <c r="N642" s="1" t="n">
        <v>362</v>
      </c>
    </row>
    <row r="643" customFormat="false" ht="14.25" hidden="false" customHeight="false" outlineLevel="0" collapsed="false">
      <c r="A643" s="1" t="n">
        <v>130</v>
      </c>
      <c r="B643" s="1" t="s">
        <v>565</v>
      </c>
      <c r="C643" s="1" t="s">
        <v>566</v>
      </c>
      <c r="D643" s="1" t="n">
        <v>11171</v>
      </c>
      <c r="E643" s="1" t="s">
        <v>55</v>
      </c>
      <c r="F643" s="198" t="n">
        <v>200025889163</v>
      </c>
      <c r="G643" s="198" t="s">
        <v>612</v>
      </c>
      <c r="H643" s="163" t="s">
        <v>333</v>
      </c>
      <c r="I643" s="161" t="n">
        <v>21</v>
      </c>
      <c r="J643" s="156" t="s">
        <v>192</v>
      </c>
      <c r="K643" s="199" t="n">
        <v>45452.6610416667</v>
      </c>
      <c r="L643" s="1" t="n">
        <v>2</v>
      </c>
      <c r="M643" s="1" t="n">
        <v>11171</v>
      </c>
      <c r="N643" s="1" t="n">
        <v>363</v>
      </c>
    </row>
    <row r="644" customFormat="false" ht="14.25" hidden="false" customHeight="false" outlineLevel="0" collapsed="false">
      <c r="A644" s="1" t="n">
        <v>131</v>
      </c>
      <c r="B644" s="1" t="s">
        <v>565</v>
      </c>
      <c r="C644" s="1" t="s">
        <v>566</v>
      </c>
      <c r="D644" s="1" t="n">
        <v>11171</v>
      </c>
      <c r="E644" s="1" t="s">
        <v>55</v>
      </c>
      <c r="F644" s="198" t="n">
        <v>200025889163</v>
      </c>
      <c r="G644" s="198" t="s">
        <v>612</v>
      </c>
      <c r="H644" s="163" t="s">
        <v>333</v>
      </c>
      <c r="I644" s="161" t="n">
        <v>21</v>
      </c>
      <c r="J644" s="156" t="s">
        <v>192</v>
      </c>
      <c r="K644" s="199" t="n">
        <v>45452.6611689815</v>
      </c>
      <c r="L644" s="1" t="n">
        <v>0</v>
      </c>
      <c r="M644" s="1" t="n">
        <v>11171</v>
      </c>
      <c r="N644" s="1" t="n">
        <v>364</v>
      </c>
    </row>
    <row r="645" customFormat="false" ht="14.25" hidden="false" customHeight="false" outlineLevel="0" collapsed="false">
      <c r="A645" s="1" t="n">
        <v>132</v>
      </c>
      <c r="B645" s="1" t="s">
        <v>565</v>
      </c>
      <c r="C645" s="1" t="s">
        <v>566</v>
      </c>
      <c r="D645" s="1" t="n">
        <v>11171</v>
      </c>
      <c r="E645" s="1" t="s">
        <v>55</v>
      </c>
      <c r="F645" s="198" t="n">
        <v>200025889163</v>
      </c>
      <c r="G645" s="198" t="s">
        <v>612</v>
      </c>
      <c r="H645" s="163" t="s">
        <v>333</v>
      </c>
      <c r="I645" s="161" t="n">
        <v>21</v>
      </c>
      <c r="J645" s="156" t="s">
        <v>192</v>
      </c>
      <c r="K645" s="199" t="n">
        <v>45452.6623032407</v>
      </c>
      <c r="L645" s="1" t="n">
        <v>3</v>
      </c>
      <c r="M645" s="1" t="n">
        <v>11171</v>
      </c>
      <c r="N645" s="1" t="n">
        <v>365</v>
      </c>
    </row>
    <row r="646" customFormat="false" ht="14.25" hidden="false" customHeight="false" outlineLevel="0" collapsed="false">
      <c r="A646" s="1" t="n">
        <v>133</v>
      </c>
      <c r="B646" s="1" t="s">
        <v>565</v>
      </c>
      <c r="C646" s="1" t="s">
        <v>566</v>
      </c>
      <c r="D646" s="1" t="n">
        <v>11171</v>
      </c>
      <c r="E646" s="1" t="s">
        <v>55</v>
      </c>
      <c r="F646" s="198" t="n">
        <v>200025889163</v>
      </c>
      <c r="G646" s="198" t="s">
        <v>612</v>
      </c>
      <c r="H646" s="163" t="s">
        <v>333</v>
      </c>
      <c r="I646" s="161" t="n">
        <v>21</v>
      </c>
      <c r="J646" s="156" t="s">
        <v>192</v>
      </c>
      <c r="K646" s="199" t="n">
        <v>45452.6624074074</v>
      </c>
      <c r="L646" s="1" t="n">
        <v>1</v>
      </c>
      <c r="M646" s="1" t="n">
        <v>11171</v>
      </c>
      <c r="N646" s="1" t="n">
        <v>366</v>
      </c>
    </row>
    <row r="647" customFormat="false" ht="14.25" hidden="false" customHeight="false" outlineLevel="0" collapsed="false">
      <c r="A647" s="1" t="n">
        <v>134</v>
      </c>
      <c r="B647" s="1" t="s">
        <v>565</v>
      </c>
      <c r="C647" s="1" t="s">
        <v>566</v>
      </c>
      <c r="D647" s="1" t="n">
        <v>11171</v>
      </c>
      <c r="E647" s="1" t="s">
        <v>55</v>
      </c>
      <c r="F647" s="198" t="n">
        <v>200025889163</v>
      </c>
      <c r="G647" s="198" t="s">
        <v>612</v>
      </c>
      <c r="H647" s="163" t="s">
        <v>333</v>
      </c>
      <c r="I647" s="161" t="n">
        <v>21</v>
      </c>
      <c r="J647" s="156" t="s">
        <v>192</v>
      </c>
      <c r="K647" s="199" t="n">
        <v>45452.6642013889</v>
      </c>
      <c r="L647" s="1" t="n">
        <v>1</v>
      </c>
      <c r="M647" s="1" t="n">
        <v>11171</v>
      </c>
      <c r="N647" s="1" t="n">
        <v>367</v>
      </c>
    </row>
    <row r="648" customFormat="false" ht="14.25" hidden="false" customHeight="false" outlineLevel="0" collapsed="false">
      <c r="A648" s="1" t="n">
        <v>135</v>
      </c>
      <c r="B648" s="1" t="s">
        <v>565</v>
      </c>
      <c r="C648" s="1" t="s">
        <v>566</v>
      </c>
      <c r="D648" s="1" t="n">
        <v>11171</v>
      </c>
      <c r="E648" s="1" t="s">
        <v>55</v>
      </c>
      <c r="F648" s="198" t="n">
        <v>200025889163</v>
      </c>
      <c r="G648" s="198" t="s">
        <v>612</v>
      </c>
      <c r="H648" s="163" t="s">
        <v>333</v>
      </c>
      <c r="I648" s="161" t="n">
        <v>21</v>
      </c>
      <c r="J648" s="156" t="s">
        <v>192</v>
      </c>
      <c r="K648" s="199" t="n">
        <v>45452.6643287037</v>
      </c>
      <c r="L648" s="1" t="n">
        <v>3</v>
      </c>
      <c r="M648" s="1" t="n">
        <v>11171</v>
      </c>
      <c r="N648" s="1" t="n">
        <v>368</v>
      </c>
    </row>
    <row r="649" customFormat="false" ht="14.25" hidden="false" customHeight="false" outlineLevel="0" collapsed="false">
      <c r="A649" s="1" t="n">
        <v>136</v>
      </c>
      <c r="B649" s="1" t="s">
        <v>565</v>
      </c>
      <c r="C649" s="1" t="s">
        <v>566</v>
      </c>
      <c r="D649" s="1" t="n">
        <v>11171</v>
      </c>
      <c r="E649" s="1" t="s">
        <v>55</v>
      </c>
      <c r="F649" s="198" t="n">
        <v>200025889163</v>
      </c>
      <c r="G649" s="198" t="s">
        <v>612</v>
      </c>
      <c r="H649" s="163" t="s">
        <v>333</v>
      </c>
      <c r="I649" s="161" t="n">
        <v>21</v>
      </c>
      <c r="J649" s="156" t="s">
        <v>192</v>
      </c>
      <c r="K649" s="199" t="n">
        <v>45452.710775463</v>
      </c>
      <c r="L649" s="1" t="n">
        <v>2</v>
      </c>
      <c r="M649" s="1" t="n">
        <v>11171</v>
      </c>
      <c r="N649" s="1" t="n">
        <v>369</v>
      </c>
    </row>
    <row r="650" customFormat="false" ht="14.25" hidden="false" customHeight="false" outlineLevel="0" collapsed="false">
      <c r="A650" s="1" t="n">
        <v>137</v>
      </c>
      <c r="B650" s="1" t="s">
        <v>565</v>
      </c>
      <c r="C650" s="1" t="s">
        <v>566</v>
      </c>
      <c r="D650" s="1" t="n">
        <v>11171</v>
      </c>
      <c r="E650" s="1" t="s">
        <v>55</v>
      </c>
      <c r="F650" s="198" t="n">
        <v>200025888224</v>
      </c>
      <c r="G650" s="198" t="s">
        <v>656</v>
      </c>
      <c r="H650" s="163" t="s">
        <v>245</v>
      </c>
      <c r="I650" s="161" t="n">
        <v>8</v>
      </c>
      <c r="J650" s="156" t="s">
        <v>192</v>
      </c>
      <c r="K650" s="199" t="n">
        <v>45452.7324421296</v>
      </c>
      <c r="L650" s="1" t="n">
        <v>1</v>
      </c>
      <c r="M650" s="1" t="n">
        <v>11171</v>
      </c>
      <c r="N650" s="1" t="n">
        <v>370</v>
      </c>
    </row>
    <row r="651" customFormat="false" ht="14.25" hidden="false" customHeight="false" outlineLevel="0" collapsed="false">
      <c r="A651" s="1" t="n">
        <v>138</v>
      </c>
      <c r="B651" s="1" t="s">
        <v>565</v>
      </c>
      <c r="C651" s="1" t="s">
        <v>566</v>
      </c>
      <c r="D651" s="1" t="n">
        <v>11171</v>
      </c>
      <c r="E651" s="1" t="s">
        <v>55</v>
      </c>
      <c r="F651" s="198" t="n">
        <v>200025888224</v>
      </c>
      <c r="G651" s="198" t="s">
        <v>656</v>
      </c>
      <c r="H651" s="163" t="s">
        <v>245</v>
      </c>
      <c r="I651" s="161" t="n">
        <v>8</v>
      </c>
      <c r="J651" s="156" t="s">
        <v>192</v>
      </c>
      <c r="K651" s="199" t="n">
        <v>45452.7326157407</v>
      </c>
      <c r="L651" s="1" t="n">
        <v>1</v>
      </c>
      <c r="M651" s="1" t="n">
        <v>11171</v>
      </c>
      <c r="N651" s="1" t="n">
        <v>371</v>
      </c>
    </row>
    <row r="652" customFormat="false" ht="14.25" hidden="false" customHeight="false" outlineLevel="0" collapsed="false">
      <c r="A652" s="1" t="n">
        <v>139</v>
      </c>
      <c r="B652" s="1" t="s">
        <v>565</v>
      </c>
      <c r="C652" s="1" t="s">
        <v>566</v>
      </c>
      <c r="D652" s="1" t="n">
        <v>11171</v>
      </c>
      <c r="E652" s="1" t="s">
        <v>55</v>
      </c>
      <c r="F652" s="198" t="n">
        <v>200025888224</v>
      </c>
      <c r="G652" s="198" t="s">
        <v>656</v>
      </c>
      <c r="H652" s="163" t="s">
        <v>245</v>
      </c>
      <c r="I652" s="161" t="n">
        <v>8</v>
      </c>
      <c r="J652" s="156" t="s">
        <v>192</v>
      </c>
      <c r="K652" s="199" t="n">
        <v>45452.7327777778</v>
      </c>
      <c r="L652" s="1" t="n">
        <v>0</v>
      </c>
      <c r="M652" s="1" t="n">
        <v>11171</v>
      </c>
      <c r="N652" s="1" t="n">
        <v>372</v>
      </c>
    </row>
    <row r="653" customFormat="false" ht="14.25" hidden="false" customHeight="false" outlineLevel="0" collapsed="false">
      <c r="A653" s="1" t="n">
        <v>140</v>
      </c>
      <c r="B653" s="1" t="s">
        <v>565</v>
      </c>
      <c r="C653" s="1" t="s">
        <v>566</v>
      </c>
      <c r="D653" s="1" t="n">
        <v>11171</v>
      </c>
      <c r="E653" s="1" t="s">
        <v>55</v>
      </c>
      <c r="F653" s="198" t="n">
        <v>200025888181</v>
      </c>
      <c r="G653" s="198" t="s">
        <v>631</v>
      </c>
      <c r="H653" s="163" t="s">
        <v>215</v>
      </c>
      <c r="I653" s="161" t="n">
        <v>115</v>
      </c>
      <c r="J653" s="156" t="s">
        <v>192</v>
      </c>
      <c r="K653" s="199" t="n">
        <v>45452.732962963</v>
      </c>
      <c r="L653" s="1" t="n">
        <v>1</v>
      </c>
      <c r="M653" s="1" t="n">
        <v>11171</v>
      </c>
      <c r="N653" s="1" t="n">
        <v>373</v>
      </c>
    </row>
    <row r="654" customFormat="false" ht="14.25" hidden="false" customHeight="false" outlineLevel="0" collapsed="false">
      <c r="A654" s="1" t="n">
        <v>141</v>
      </c>
      <c r="B654" s="1" t="s">
        <v>565</v>
      </c>
      <c r="C654" s="1" t="s">
        <v>566</v>
      </c>
      <c r="D654" s="1" t="n">
        <v>11171</v>
      </c>
      <c r="E654" s="1" t="s">
        <v>55</v>
      </c>
      <c r="F654" s="198" t="n">
        <v>200025888224</v>
      </c>
      <c r="G654" s="198" t="s">
        <v>656</v>
      </c>
      <c r="H654" s="163" t="s">
        <v>245</v>
      </c>
      <c r="I654" s="161" t="n">
        <v>8</v>
      </c>
      <c r="J654" s="156" t="s">
        <v>192</v>
      </c>
      <c r="K654" s="199" t="n">
        <v>45452.7338657407</v>
      </c>
      <c r="L654" s="1" t="n">
        <v>2</v>
      </c>
      <c r="M654" s="1" t="n">
        <v>11171</v>
      </c>
      <c r="N654" s="1" t="n">
        <v>374</v>
      </c>
    </row>
    <row r="655" customFormat="false" ht="14.25" hidden="false" customHeight="false" outlineLevel="0" collapsed="false">
      <c r="A655" s="1" t="n">
        <v>142</v>
      </c>
      <c r="B655" s="1" t="s">
        <v>565</v>
      </c>
      <c r="C655" s="1" t="s">
        <v>566</v>
      </c>
      <c r="D655" s="1" t="n">
        <v>11171</v>
      </c>
      <c r="E655" s="1" t="s">
        <v>55</v>
      </c>
      <c r="F655" s="198" t="n">
        <v>200025888224</v>
      </c>
      <c r="G655" s="198" t="s">
        <v>656</v>
      </c>
      <c r="H655" s="163" t="s">
        <v>245</v>
      </c>
      <c r="I655" s="161" t="n">
        <v>8</v>
      </c>
      <c r="J655" s="156" t="s">
        <v>192</v>
      </c>
      <c r="K655" s="199" t="n">
        <v>45452.7341087963</v>
      </c>
      <c r="L655" s="1" t="n">
        <v>1</v>
      </c>
      <c r="M655" s="1" t="n">
        <v>11171</v>
      </c>
      <c r="N655" s="1" t="n">
        <v>375</v>
      </c>
    </row>
    <row r="656" customFormat="false" ht="14.25" hidden="false" customHeight="false" outlineLevel="0" collapsed="false">
      <c r="A656" s="1" t="n">
        <v>143</v>
      </c>
      <c r="B656" s="1" t="s">
        <v>565</v>
      </c>
      <c r="C656" s="1" t="s">
        <v>566</v>
      </c>
      <c r="D656" s="1" t="n">
        <v>11171</v>
      </c>
      <c r="E656" s="1" t="s">
        <v>55</v>
      </c>
      <c r="F656" s="198" t="n">
        <v>200025888224</v>
      </c>
      <c r="G656" s="198" t="s">
        <v>656</v>
      </c>
      <c r="H656" s="163" t="s">
        <v>245</v>
      </c>
      <c r="I656" s="161" t="n">
        <v>8</v>
      </c>
      <c r="J656" s="156" t="s">
        <v>192</v>
      </c>
      <c r="K656" s="199" t="n">
        <v>45452.735150463</v>
      </c>
      <c r="L656" s="1" t="n">
        <v>1</v>
      </c>
      <c r="M656" s="1" t="n">
        <v>11171</v>
      </c>
      <c r="N656" s="1" t="n">
        <v>376</v>
      </c>
    </row>
    <row r="657" customFormat="false" ht="14.25" hidden="false" customHeight="false" outlineLevel="0" collapsed="false">
      <c r="A657" s="1" t="n">
        <v>144</v>
      </c>
      <c r="B657" s="1" t="s">
        <v>565</v>
      </c>
      <c r="C657" s="1" t="s">
        <v>566</v>
      </c>
      <c r="D657" s="1" t="n">
        <v>11171</v>
      </c>
      <c r="E657" s="1" t="s">
        <v>55</v>
      </c>
      <c r="F657" s="198" t="n">
        <v>200025888864</v>
      </c>
      <c r="G657" s="198" t="s">
        <v>590</v>
      </c>
      <c r="H657" s="163" t="s">
        <v>474</v>
      </c>
      <c r="I657" s="161" t="n">
        <v>87</v>
      </c>
      <c r="J657" s="156" t="s">
        <v>192</v>
      </c>
      <c r="K657" s="199" t="n">
        <v>45452.7388888889</v>
      </c>
      <c r="L657" s="1" t="n">
        <v>1</v>
      </c>
      <c r="M657" s="1" t="n">
        <v>11171</v>
      </c>
      <c r="N657" s="1" t="n">
        <v>377</v>
      </c>
    </row>
    <row r="658" customFormat="false" ht="14.25" hidden="false" customHeight="false" outlineLevel="0" collapsed="false">
      <c r="A658" s="1" t="n">
        <v>145</v>
      </c>
      <c r="B658" s="1" t="s">
        <v>565</v>
      </c>
      <c r="C658" s="1" t="s">
        <v>566</v>
      </c>
      <c r="D658" s="1" t="n">
        <v>11171</v>
      </c>
      <c r="E658" s="1" t="s">
        <v>55</v>
      </c>
      <c r="F658" s="198" t="n">
        <v>200025888864</v>
      </c>
      <c r="G658" s="198" t="s">
        <v>590</v>
      </c>
      <c r="H658" s="163" t="s">
        <v>474</v>
      </c>
      <c r="I658" s="161" t="n">
        <v>87</v>
      </c>
      <c r="J658" s="156" t="s">
        <v>192</v>
      </c>
      <c r="K658" s="199" t="n">
        <v>45452.7394212963</v>
      </c>
      <c r="L658" s="1" t="n">
        <v>1</v>
      </c>
      <c r="M658" s="1" t="n">
        <v>11171</v>
      </c>
      <c r="N658" s="1" t="n">
        <v>378</v>
      </c>
    </row>
    <row r="659" customFormat="false" ht="14.25" hidden="false" customHeight="false" outlineLevel="0" collapsed="false">
      <c r="A659" s="1" t="n">
        <v>146</v>
      </c>
      <c r="B659" s="1" t="s">
        <v>565</v>
      </c>
      <c r="C659" s="1" t="s">
        <v>566</v>
      </c>
      <c r="D659" s="1" t="n">
        <v>11171</v>
      </c>
      <c r="E659" s="1" t="s">
        <v>55</v>
      </c>
      <c r="F659" s="198" t="n">
        <v>200025888864</v>
      </c>
      <c r="G659" s="198" t="s">
        <v>590</v>
      </c>
      <c r="H659" s="163" t="s">
        <v>474</v>
      </c>
      <c r="I659" s="161" t="n">
        <v>87</v>
      </c>
      <c r="J659" s="156" t="s">
        <v>192</v>
      </c>
      <c r="K659" s="199" t="n">
        <v>45452.7394444444</v>
      </c>
      <c r="L659" s="1" t="n">
        <v>14</v>
      </c>
      <c r="M659" s="1" t="n">
        <v>11171</v>
      </c>
      <c r="N659" s="1" t="n">
        <v>379</v>
      </c>
    </row>
    <row r="660" customFormat="false" ht="14.25" hidden="false" customHeight="false" outlineLevel="0" collapsed="false">
      <c r="A660" s="1" t="n">
        <v>147</v>
      </c>
      <c r="B660" s="1" t="s">
        <v>565</v>
      </c>
      <c r="C660" s="1" t="s">
        <v>566</v>
      </c>
      <c r="D660" s="1" t="n">
        <v>11171</v>
      </c>
      <c r="E660" s="1" t="s">
        <v>55</v>
      </c>
      <c r="F660" s="198" t="n">
        <v>200025889163</v>
      </c>
      <c r="G660" s="198" t="s">
        <v>612</v>
      </c>
      <c r="H660" s="163" t="s">
        <v>333</v>
      </c>
      <c r="I660" s="161" t="n">
        <v>21</v>
      </c>
      <c r="J660" s="156" t="s">
        <v>192</v>
      </c>
      <c r="K660" s="199" t="n">
        <v>45452.7455555556</v>
      </c>
      <c r="L660" s="1" t="n">
        <v>2</v>
      </c>
      <c r="M660" s="1" t="n">
        <v>11171</v>
      </c>
      <c r="N660" s="1" t="n">
        <v>380</v>
      </c>
    </row>
    <row r="661" customFormat="false" ht="14.25" hidden="false" customHeight="false" outlineLevel="0" collapsed="false">
      <c r="A661" s="1" t="n">
        <v>148</v>
      </c>
      <c r="B661" s="1" t="s">
        <v>565</v>
      </c>
      <c r="C661" s="1" t="s">
        <v>566</v>
      </c>
      <c r="D661" s="1" t="n">
        <v>11171</v>
      </c>
      <c r="E661" s="1" t="s">
        <v>55</v>
      </c>
      <c r="F661" s="198" t="n">
        <v>200025888181</v>
      </c>
      <c r="G661" s="198" t="s">
        <v>631</v>
      </c>
      <c r="H661" s="163" t="s">
        <v>215</v>
      </c>
      <c r="I661" s="161" t="n">
        <v>115</v>
      </c>
      <c r="J661" s="156" t="s">
        <v>192</v>
      </c>
      <c r="K661" s="199" t="n">
        <v>45452.7889351852</v>
      </c>
      <c r="L661" s="1" t="n">
        <v>0</v>
      </c>
      <c r="M661" s="1" t="n">
        <v>11171</v>
      </c>
      <c r="N661" s="1" t="n">
        <v>381</v>
      </c>
    </row>
    <row r="662" customFormat="false" ht="14.25" hidden="false" customHeight="false" outlineLevel="0" collapsed="false">
      <c r="A662" s="1" t="n">
        <v>149</v>
      </c>
      <c r="B662" s="1" t="s">
        <v>565</v>
      </c>
      <c r="C662" s="1" t="s">
        <v>566</v>
      </c>
      <c r="D662" s="1" t="n">
        <v>11171</v>
      </c>
      <c r="E662" s="1" t="s">
        <v>55</v>
      </c>
      <c r="F662" s="198" t="n">
        <v>200025888181</v>
      </c>
      <c r="G662" s="198" t="s">
        <v>631</v>
      </c>
      <c r="H662" s="163" t="s">
        <v>215</v>
      </c>
      <c r="I662" s="161" t="n">
        <v>115</v>
      </c>
      <c r="J662" s="156" t="s">
        <v>192</v>
      </c>
      <c r="K662" s="199" t="n">
        <v>45452.7889467593</v>
      </c>
      <c r="L662" s="1" t="n">
        <v>1</v>
      </c>
      <c r="M662" s="1" t="n">
        <v>11171</v>
      </c>
      <c r="N662" s="1" t="n">
        <v>382</v>
      </c>
    </row>
    <row r="663" customFormat="false" ht="14.25" hidden="false" customHeight="false" outlineLevel="0" collapsed="false">
      <c r="A663" s="1" t="n">
        <v>150</v>
      </c>
      <c r="B663" s="1" t="s">
        <v>565</v>
      </c>
      <c r="C663" s="1" t="s">
        <v>566</v>
      </c>
      <c r="D663" s="1" t="n">
        <v>11171</v>
      </c>
      <c r="E663" s="1" t="s">
        <v>55</v>
      </c>
      <c r="F663" s="198" t="n">
        <v>200025888181</v>
      </c>
      <c r="G663" s="198" t="s">
        <v>631</v>
      </c>
      <c r="H663" s="163" t="s">
        <v>215</v>
      </c>
      <c r="I663" s="161" t="n">
        <v>115</v>
      </c>
      <c r="J663" s="156" t="s">
        <v>192</v>
      </c>
      <c r="K663" s="199" t="n">
        <v>45452.7894560185</v>
      </c>
      <c r="L663" s="1" t="n">
        <v>1</v>
      </c>
      <c r="M663" s="1" t="n">
        <v>11171</v>
      </c>
      <c r="N663" s="1" t="n">
        <v>383</v>
      </c>
    </row>
    <row r="664" customFormat="false" ht="14.25" hidden="false" customHeight="false" outlineLevel="0" collapsed="false">
      <c r="A664" s="1" t="n">
        <v>151</v>
      </c>
      <c r="B664" s="1" t="s">
        <v>565</v>
      </c>
      <c r="C664" s="1" t="s">
        <v>566</v>
      </c>
      <c r="D664" s="1" t="n">
        <v>11171</v>
      </c>
      <c r="E664" s="1" t="s">
        <v>55</v>
      </c>
      <c r="F664" s="198" t="n">
        <v>200025888224</v>
      </c>
      <c r="G664" s="198" t="s">
        <v>656</v>
      </c>
      <c r="H664" s="163" t="s">
        <v>245</v>
      </c>
      <c r="I664" s="161" t="n">
        <v>8</v>
      </c>
      <c r="J664" s="156" t="s">
        <v>192</v>
      </c>
      <c r="K664" s="199" t="n">
        <v>45452.7923726852</v>
      </c>
      <c r="L664" s="1" t="n">
        <v>2</v>
      </c>
      <c r="M664" s="1" t="n">
        <v>11171</v>
      </c>
      <c r="N664" s="1" t="n">
        <v>384</v>
      </c>
    </row>
    <row r="665" customFormat="false" ht="14.25" hidden="false" customHeight="false" outlineLevel="0" collapsed="false">
      <c r="A665" s="1" t="n">
        <v>152</v>
      </c>
      <c r="B665" s="1" t="s">
        <v>565</v>
      </c>
      <c r="C665" s="1" t="s">
        <v>566</v>
      </c>
      <c r="D665" s="1" t="n">
        <v>11171</v>
      </c>
      <c r="E665" s="1" t="s">
        <v>55</v>
      </c>
      <c r="F665" s="198" t="n">
        <v>200025888224</v>
      </c>
      <c r="G665" s="198" t="s">
        <v>656</v>
      </c>
      <c r="H665" s="163" t="s">
        <v>245</v>
      </c>
      <c r="I665" s="161" t="n">
        <v>8</v>
      </c>
      <c r="J665" s="156" t="s">
        <v>192</v>
      </c>
      <c r="K665" s="199" t="n">
        <v>45452.7931597222</v>
      </c>
      <c r="L665" s="1" t="n">
        <v>1</v>
      </c>
      <c r="M665" s="1" t="n">
        <v>11171</v>
      </c>
      <c r="N665" s="1" t="n">
        <v>385</v>
      </c>
    </row>
    <row r="666" customFormat="false" ht="14.25" hidden="false" customHeight="false" outlineLevel="0" collapsed="false">
      <c r="A666" s="1" t="n">
        <v>153</v>
      </c>
      <c r="B666" s="1" t="s">
        <v>565</v>
      </c>
      <c r="C666" s="1" t="s">
        <v>566</v>
      </c>
      <c r="D666" s="1" t="n">
        <v>11171</v>
      </c>
      <c r="E666" s="1" t="s">
        <v>55</v>
      </c>
      <c r="F666" s="198" t="n">
        <v>200025888224</v>
      </c>
      <c r="G666" s="198" t="s">
        <v>656</v>
      </c>
      <c r="H666" s="163" t="s">
        <v>245</v>
      </c>
      <c r="I666" s="161" t="n">
        <v>8</v>
      </c>
      <c r="J666" s="156" t="s">
        <v>192</v>
      </c>
      <c r="K666" s="199" t="n">
        <v>45452.7965740741</v>
      </c>
      <c r="L666" s="1" t="n">
        <v>2</v>
      </c>
      <c r="M666" s="1" t="n">
        <v>11171</v>
      </c>
      <c r="N666" s="1" t="n">
        <v>386</v>
      </c>
    </row>
    <row r="667" customFormat="false" ht="14.25" hidden="false" customHeight="false" outlineLevel="0" collapsed="false">
      <c r="A667" s="1" t="n">
        <v>154</v>
      </c>
      <c r="B667" s="1" t="s">
        <v>565</v>
      </c>
      <c r="C667" s="1" t="s">
        <v>566</v>
      </c>
      <c r="D667" s="1" t="n">
        <v>11171</v>
      </c>
      <c r="E667" s="1" t="s">
        <v>55</v>
      </c>
      <c r="F667" s="198" t="n">
        <v>200025889163</v>
      </c>
      <c r="G667" s="198" t="s">
        <v>612</v>
      </c>
      <c r="H667" s="163" t="s">
        <v>333</v>
      </c>
      <c r="I667" s="161" t="n">
        <v>21</v>
      </c>
      <c r="J667" s="156" t="s">
        <v>192</v>
      </c>
      <c r="K667" s="199" t="n">
        <v>45452.7982291667</v>
      </c>
      <c r="L667" s="1" t="n">
        <v>2</v>
      </c>
      <c r="M667" s="1" t="n">
        <v>11171</v>
      </c>
      <c r="N667" s="1" t="n">
        <v>387</v>
      </c>
    </row>
    <row r="668" customFormat="false" ht="14.25" hidden="false" customHeight="false" outlineLevel="0" collapsed="false">
      <c r="A668" s="1" t="n">
        <v>155</v>
      </c>
      <c r="B668" s="1" t="s">
        <v>565</v>
      </c>
      <c r="C668" s="1" t="s">
        <v>566</v>
      </c>
      <c r="D668" s="1" t="n">
        <v>11171</v>
      </c>
      <c r="E668" s="1" t="s">
        <v>55</v>
      </c>
      <c r="F668" s="198" t="n">
        <v>200025889163</v>
      </c>
      <c r="G668" s="198" t="s">
        <v>612</v>
      </c>
      <c r="H668" s="163" t="s">
        <v>333</v>
      </c>
      <c r="I668" s="161" t="n">
        <v>21</v>
      </c>
      <c r="J668" s="156" t="s">
        <v>192</v>
      </c>
      <c r="K668" s="199" t="n">
        <v>45452.8227662037</v>
      </c>
      <c r="L668" s="1" t="n">
        <v>2</v>
      </c>
      <c r="M668" s="1" t="n">
        <v>11171</v>
      </c>
      <c r="N668" s="1" t="n">
        <v>388</v>
      </c>
    </row>
    <row r="669" customFormat="false" ht="14.25" hidden="false" customHeight="false" outlineLevel="0" collapsed="false">
      <c r="A669" s="1" t="n">
        <v>156</v>
      </c>
      <c r="B669" s="1" t="s">
        <v>565</v>
      </c>
      <c r="C669" s="1" t="s">
        <v>566</v>
      </c>
      <c r="D669" s="1" t="n">
        <v>11171</v>
      </c>
      <c r="E669" s="1" t="s">
        <v>55</v>
      </c>
      <c r="F669" s="198" t="n">
        <v>200025889163</v>
      </c>
      <c r="G669" s="198" t="s">
        <v>612</v>
      </c>
      <c r="H669" s="163" t="s">
        <v>333</v>
      </c>
      <c r="I669" s="161" t="n">
        <v>21</v>
      </c>
      <c r="J669" s="156" t="s">
        <v>192</v>
      </c>
      <c r="K669" s="199" t="n">
        <v>45452.8235069444</v>
      </c>
      <c r="L669" s="1" t="n">
        <v>3</v>
      </c>
      <c r="M669" s="1" t="n">
        <v>11171</v>
      </c>
      <c r="N669" s="1" t="n">
        <v>389</v>
      </c>
    </row>
    <row r="670" customFormat="false" ht="14.25" hidden="false" customHeight="false" outlineLevel="0" collapsed="false">
      <c r="A670" s="1" t="n">
        <v>157</v>
      </c>
      <c r="B670" s="1" t="s">
        <v>565</v>
      </c>
      <c r="C670" s="1" t="s">
        <v>566</v>
      </c>
      <c r="D670" s="1" t="n">
        <v>11171</v>
      </c>
      <c r="E670" s="1" t="s">
        <v>55</v>
      </c>
      <c r="F670" s="198" t="n">
        <v>200025889163</v>
      </c>
      <c r="G670" s="198" t="s">
        <v>612</v>
      </c>
      <c r="H670" s="163" t="s">
        <v>333</v>
      </c>
      <c r="I670" s="161" t="n">
        <v>21</v>
      </c>
      <c r="J670" s="156" t="s">
        <v>192</v>
      </c>
      <c r="K670" s="199" t="n">
        <v>45452.8246064815</v>
      </c>
      <c r="L670" s="1" t="n">
        <v>1</v>
      </c>
      <c r="M670" s="1" t="n">
        <v>11171</v>
      </c>
      <c r="N670" s="1" t="n">
        <v>390</v>
      </c>
    </row>
    <row r="671" customFormat="false" ht="14.25" hidden="false" customHeight="false" outlineLevel="0" collapsed="false">
      <c r="A671" s="1" t="n">
        <v>158</v>
      </c>
      <c r="B671" s="1" t="s">
        <v>565</v>
      </c>
      <c r="C671" s="1" t="s">
        <v>566</v>
      </c>
      <c r="D671" s="1" t="n">
        <v>11171</v>
      </c>
      <c r="E671" s="1" t="s">
        <v>55</v>
      </c>
      <c r="F671" s="198" t="n">
        <v>200025889163</v>
      </c>
      <c r="G671" s="198" t="s">
        <v>612</v>
      </c>
      <c r="H671" s="163" t="s">
        <v>333</v>
      </c>
      <c r="I671" s="161" t="n">
        <v>21</v>
      </c>
      <c r="J671" s="156" t="s">
        <v>192</v>
      </c>
      <c r="K671" s="199" t="n">
        <v>45452.8259375</v>
      </c>
      <c r="L671" s="1" t="n">
        <v>2</v>
      </c>
      <c r="M671" s="1" t="n">
        <v>11171</v>
      </c>
      <c r="N671" s="1" t="n">
        <v>391</v>
      </c>
    </row>
    <row r="672" customFormat="false" ht="14.25" hidden="false" customHeight="false" outlineLevel="0" collapsed="false">
      <c r="A672" s="1" t="n">
        <v>159</v>
      </c>
      <c r="B672" s="1" t="s">
        <v>565</v>
      </c>
      <c r="C672" s="1" t="s">
        <v>566</v>
      </c>
      <c r="D672" s="1" t="n">
        <v>11171</v>
      </c>
      <c r="E672" s="1" t="s">
        <v>55</v>
      </c>
      <c r="F672" s="198" t="n">
        <v>200025888224</v>
      </c>
      <c r="G672" s="198" t="s">
        <v>656</v>
      </c>
      <c r="H672" s="163" t="s">
        <v>245</v>
      </c>
      <c r="I672" s="161" t="n">
        <v>8</v>
      </c>
      <c r="J672" s="156" t="s">
        <v>192</v>
      </c>
      <c r="K672" s="199" t="n">
        <v>45452.8344675926</v>
      </c>
      <c r="L672" s="1" t="n">
        <v>2</v>
      </c>
      <c r="M672" s="1" t="n">
        <v>11171</v>
      </c>
      <c r="N672" s="1" t="n">
        <v>392</v>
      </c>
    </row>
    <row r="673" customFormat="false" ht="14.25" hidden="false" customHeight="false" outlineLevel="0" collapsed="false">
      <c r="A673" s="1" t="n">
        <v>160</v>
      </c>
      <c r="B673" s="1" t="s">
        <v>565</v>
      </c>
      <c r="C673" s="1" t="s">
        <v>566</v>
      </c>
      <c r="D673" s="1" t="n">
        <v>11171</v>
      </c>
      <c r="E673" s="1" t="s">
        <v>55</v>
      </c>
      <c r="F673" s="198" t="n">
        <v>200025888224</v>
      </c>
      <c r="G673" s="198" t="s">
        <v>656</v>
      </c>
      <c r="H673" s="163" t="s">
        <v>245</v>
      </c>
      <c r="I673" s="161" t="n">
        <v>8</v>
      </c>
      <c r="J673" s="156" t="s">
        <v>192</v>
      </c>
      <c r="K673" s="199" t="n">
        <v>45452.8348842593</v>
      </c>
      <c r="L673" s="1" t="n">
        <v>2</v>
      </c>
      <c r="M673" s="1" t="n">
        <v>11171</v>
      </c>
      <c r="N673" s="1" t="n">
        <v>393</v>
      </c>
    </row>
    <row r="674" customFormat="false" ht="14.25" hidden="false" customHeight="false" outlineLevel="0" collapsed="false">
      <c r="A674" s="1" t="n">
        <v>161</v>
      </c>
      <c r="B674" s="1" t="s">
        <v>565</v>
      </c>
      <c r="C674" s="1" t="s">
        <v>566</v>
      </c>
      <c r="D674" s="1" t="n">
        <v>11171</v>
      </c>
      <c r="E674" s="1" t="s">
        <v>55</v>
      </c>
      <c r="F674" s="198" t="n">
        <v>200025888224</v>
      </c>
      <c r="G674" s="198" t="s">
        <v>656</v>
      </c>
      <c r="H674" s="163" t="s">
        <v>245</v>
      </c>
      <c r="I674" s="161" t="n">
        <v>8</v>
      </c>
      <c r="J674" s="156" t="s">
        <v>192</v>
      </c>
      <c r="K674" s="199" t="n">
        <v>45452.8351157407</v>
      </c>
      <c r="L674" s="1" t="n">
        <v>1</v>
      </c>
      <c r="M674" s="1" t="n">
        <v>11171</v>
      </c>
      <c r="N674" s="1" t="n">
        <v>394</v>
      </c>
    </row>
    <row r="675" customFormat="false" ht="14.25" hidden="false" customHeight="false" outlineLevel="0" collapsed="false">
      <c r="A675" s="1" t="n">
        <v>162</v>
      </c>
      <c r="B675" s="1" t="s">
        <v>565</v>
      </c>
      <c r="C675" s="1" t="s">
        <v>566</v>
      </c>
      <c r="D675" s="1" t="n">
        <v>11171</v>
      </c>
      <c r="E675" s="1" t="s">
        <v>55</v>
      </c>
      <c r="F675" s="198" t="n">
        <v>200025888224</v>
      </c>
      <c r="G675" s="198" t="s">
        <v>656</v>
      </c>
      <c r="H675" s="163" t="s">
        <v>245</v>
      </c>
      <c r="I675" s="161" t="n">
        <v>8</v>
      </c>
      <c r="J675" s="156" t="s">
        <v>192</v>
      </c>
      <c r="K675" s="199" t="n">
        <v>45452.8363194445</v>
      </c>
      <c r="L675" s="1" t="n">
        <v>1</v>
      </c>
      <c r="M675" s="1" t="n">
        <v>11171</v>
      </c>
      <c r="N675" s="1" t="n">
        <v>395</v>
      </c>
    </row>
    <row r="676" customFormat="false" ht="14.25" hidden="false" customHeight="false" outlineLevel="0" collapsed="false">
      <c r="A676" s="1" t="n">
        <v>163</v>
      </c>
      <c r="B676" s="1" t="s">
        <v>565</v>
      </c>
      <c r="C676" s="1" t="s">
        <v>566</v>
      </c>
      <c r="D676" s="1" t="n">
        <v>11171</v>
      </c>
      <c r="E676" s="1" t="s">
        <v>55</v>
      </c>
      <c r="F676" s="198" t="n">
        <v>200025888224</v>
      </c>
      <c r="G676" s="198" t="s">
        <v>656</v>
      </c>
      <c r="H676" s="163" t="s">
        <v>245</v>
      </c>
      <c r="I676" s="161" t="n">
        <v>8</v>
      </c>
      <c r="J676" s="156" t="s">
        <v>192</v>
      </c>
      <c r="K676" s="199" t="n">
        <v>45452.8363310185</v>
      </c>
      <c r="L676" s="10" t="n">
        <v>1078</v>
      </c>
      <c r="M676" s="1" t="n">
        <v>11171</v>
      </c>
      <c r="N676" s="1" t="n">
        <v>396</v>
      </c>
    </row>
    <row r="677" customFormat="false" ht="14.25" hidden="false" customHeight="false" outlineLevel="0" collapsed="false">
      <c r="A677" s="1" t="n">
        <v>164</v>
      </c>
      <c r="B677" s="1" t="s">
        <v>565</v>
      </c>
      <c r="C677" s="1" t="s">
        <v>566</v>
      </c>
      <c r="D677" s="1" t="n">
        <v>11171</v>
      </c>
      <c r="E677" s="1" t="s">
        <v>55</v>
      </c>
      <c r="F677" s="198" t="n">
        <v>200025888181</v>
      </c>
      <c r="G677" s="198" t="s">
        <v>631</v>
      </c>
      <c r="H677" s="163" t="s">
        <v>215</v>
      </c>
      <c r="I677" s="161" t="n">
        <v>115</v>
      </c>
      <c r="J677" s="156" t="s">
        <v>192</v>
      </c>
      <c r="K677" s="199" t="n">
        <v>45452.8498148148</v>
      </c>
      <c r="L677" s="1" t="n">
        <v>1</v>
      </c>
      <c r="M677" s="1" t="n">
        <v>11171</v>
      </c>
      <c r="N677" s="1" t="n">
        <v>397</v>
      </c>
    </row>
    <row r="678" customFormat="false" ht="14.25" hidden="false" customHeight="false" outlineLevel="0" collapsed="false">
      <c r="A678" s="1" t="n">
        <v>165</v>
      </c>
      <c r="B678" s="1" t="s">
        <v>565</v>
      </c>
      <c r="C678" s="1" t="s">
        <v>566</v>
      </c>
      <c r="D678" s="1" t="n">
        <v>11171</v>
      </c>
      <c r="E678" s="1" t="s">
        <v>55</v>
      </c>
      <c r="F678" s="198" t="n">
        <v>200025888181</v>
      </c>
      <c r="G678" s="198" t="s">
        <v>631</v>
      </c>
      <c r="H678" s="163" t="s">
        <v>215</v>
      </c>
      <c r="I678" s="161" t="n">
        <v>115</v>
      </c>
      <c r="J678" s="156" t="s">
        <v>192</v>
      </c>
      <c r="K678" s="199" t="n">
        <v>45452.8499074074</v>
      </c>
      <c r="L678" s="1" t="n">
        <v>1</v>
      </c>
      <c r="M678" s="1" t="n">
        <v>11171</v>
      </c>
      <c r="N678" s="1" t="n">
        <v>398</v>
      </c>
    </row>
    <row r="679" customFormat="false" ht="14.25" hidden="false" customHeight="false" outlineLevel="0" collapsed="false">
      <c r="A679" s="1" t="n">
        <v>166</v>
      </c>
      <c r="B679" s="1" t="s">
        <v>565</v>
      </c>
      <c r="C679" s="1" t="s">
        <v>566</v>
      </c>
      <c r="D679" s="1" t="n">
        <v>11171</v>
      </c>
      <c r="E679" s="1" t="s">
        <v>55</v>
      </c>
      <c r="F679" s="198" t="n">
        <v>200025889163</v>
      </c>
      <c r="G679" s="198" t="s">
        <v>612</v>
      </c>
      <c r="H679" s="163" t="s">
        <v>333</v>
      </c>
      <c r="I679" s="161" t="n">
        <v>21</v>
      </c>
      <c r="J679" s="156" t="s">
        <v>192</v>
      </c>
      <c r="K679" s="199" t="n">
        <v>45452.8510532407</v>
      </c>
      <c r="L679" s="1" t="n">
        <v>2</v>
      </c>
      <c r="M679" s="1" t="n">
        <v>11171</v>
      </c>
      <c r="N679" s="1" t="n">
        <v>399</v>
      </c>
    </row>
    <row r="680" customFormat="false" ht="14.25" hidden="false" customHeight="false" outlineLevel="0" collapsed="false">
      <c r="A680" s="1" t="n">
        <v>167</v>
      </c>
      <c r="B680" s="1" t="s">
        <v>565</v>
      </c>
      <c r="C680" s="1" t="s">
        <v>566</v>
      </c>
      <c r="D680" s="1" t="n">
        <v>11171</v>
      </c>
      <c r="E680" s="1" t="s">
        <v>55</v>
      </c>
      <c r="F680" s="198" t="n">
        <v>200025889163</v>
      </c>
      <c r="G680" s="198" t="s">
        <v>612</v>
      </c>
      <c r="H680" s="163" t="s">
        <v>333</v>
      </c>
      <c r="I680" s="161" t="n">
        <v>21</v>
      </c>
      <c r="J680" s="156" t="s">
        <v>192</v>
      </c>
      <c r="K680" s="199" t="n">
        <v>45452.8515162037</v>
      </c>
      <c r="L680" s="1" t="n">
        <v>3</v>
      </c>
      <c r="M680" s="1" t="n">
        <v>11171</v>
      </c>
      <c r="N680" s="1" t="n">
        <v>400</v>
      </c>
    </row>
    <row r="681" customFormat="false" ht="14.25" hidden="false" customHeight="false" outlineLevel="0" collapsed="false">
      <c r="A681" s="1" t="n">
        <v>168</v>
      </c>
      <c r="B681" s="1" t="s">
        <v>565</v>
      </c>
      <c r="C681" s="1" t="s">
        <v>566</v>
      </c>
      <c r="D681" s="1" t="n">
        <v>11171</v>
      </c>
      <c r="E681" s="1" t="s">
        <v>55</v>
      </c>
      <c r="F681" s="198" t="n">
        <v>200025889163</v>
      </c>
      <c r="G681" s="198" t="s">
        <v>612</v>
      </c>
      <c r="H681" s="163" t="s">
        <v>333</v>
      </c>
      <c r="I681" s="161" t="n">
        <v>21</v>
      </c>
      <c r="J681" s="156" t="s">
        <v>192</v>
      </c>
      <c r="K681" s="199" t="n">
        <v>45452.8516319444</v>
      </c>
      <c r="L681" s="1" t="n">
        <v>2</v>
      </c>
      <c r="M681" s="1" t="n">
        <v>11171</v>
      </c>
      <c r="N681" s="1" t="n">
        <v>401</v>
      </c>
    </row>
    <row r="682" customFormat="false" ht="14.25" hidden="false" customHeight="false" outlineLevel="0" collapsed="false">
      <c r="A682" s="1" t="n">
        <v>169</v>
      </c>
      <c r="B682" s="1" t="s">
        <v>565</v>
      </c>
      <c r="C682" s="1" t="s">
        <v>566</v>
      </c>
      <c r="D682" s="1" t="n">
        <v>11171</v>
      </c>
      <c r="E682" s="1" t="s">
        <v>55</v>
      </c>
      <c r="F682" s="198" t="n">
        <v>200025889163</v>
      </c>
      <c r="G682" s="198" t="s">
        <v>612</v>
      </c>
      <c r="H682" s="163" t="s">
        <v>333</v>
      </c>
      <c r="I682" s="161" t="n">
        <v>21</v>
      </c>
      <c r="J682" s="156" t="s">
        <v>192</v>
      </c>
      <c r="K682" s="199" t="n">
        <v>45452.8525115741</v>
      </c>
      <c r="L682" s="1" t="n">
        <v>0</v>
      </c>
      <c r="M682" s="1" t="n">
        <v>11171</v>
      </c>
      <c r="N682" s="1" t="n">
        <v>402</v>
      </c>
    </row>
    <row r="683" customFormat="false" ht="14.25" hidden="false" customHeight="false" outlineLevel="0" collapsed="false">
      <c r="A683" s="1" t="n">
        <v>170</v>
      </c>
      <c r="B683" s="1" t="s">
        <v>565</v>
      </c>
      <c r="C683" s="1" t="s">
        <v>566</v>
      </c>
      <c r="D683" s="1" t="n">
        <v>11171</v>
      </c>
      <c r="E683" s="1" t="s">
        <v>55</v>
      </c>
      <c r="F683" s="198" t="n">
        <v>200025889791</v>
      </c>
      <c r="G683" s="198" t="s">
        <v>688</v>
      </c>
      <c r="H683" s="163" t="s">
        <v>510</v>
      </c>
      <c r="I683" s="161" t="n">
        <v>80</v>
      </c>
      <c r="J683" s="156" t="s">
        <v>192</v>
      </c>
      <c r="K683" s="199" t="n">
        <v>45452.8612037037</v>
      </c>
      <c r="L683" s="1" t="n">
        <v>2</v>
      </c>
      <c r="M683" s="1" t="n">
        <v>11171</v>
      </c>
      <c r="N683" s="1" t="n">
        <v>403</v>
      </c>
    </row>
    <row r="684" customFormat="false" ht="14.25" hidden="false" customHeight="false" outlineLevel="0" collapsed="false">
      <c r="A684" s="1" t="n">
        <v>171</v>
      </c>
      <c r="B684" s="1" t="s">
        <v>565</v>
      </c>
      <c r="C684" s="1" t="s">
        <v>566</v>
      </c>
      <c r="D684" s="1" t="n">
        <v>11171</v>
      </c>
      <c r="E684" s="1" t="s">
        <v>55</v>
      </c>
      <c r="F684" s="198" t="n">
        <v>200025889791</v>
      </c>
      <c r="G684" s="198" t="s">
        <v>688</v>
      </c>
      <c r="H684" s="163" t="s">
        <v>510</v>
      </c>
      <c r="I684" s="161" t="n">
        <v>80</v>
      </c>
      <c r="J684" s="156" t="s">
        <v>192</v>
      </c>
      <c r="K684" s="199" t="n">
        <v>45452.8646643519</v>
      </c>
      <c r="L684" s="1" t="n">
        <v>0</v>
      </c>
      <c r="M684" s="1" t="n">
        <v>11171</v>
      </c>
      <c r="N684" s="1" t="n">
        <v>404</v>
      </c>
    </row>
    <row r="685" customFormat="false" ht="14.25" hidden="false" customHeight="false" outlineLevel="0" collapsed="false">
      <c r="A685" s="1" t="n">
        <v>172</v>
      </c>
      <c r="B685" s="1" t="s">
        <v>565</v>
      </c>
      <c r="C685" s="1" t="s">
        <v>566</v>
      </c>
      <c r="D685" s="1" t="n">
        <v>11171</v>
      </c>
      <c r="E685" s="1" t="s">
        <v>55</v>
      </c>
      <c r="F685" s="198" t="n">
        <v>200025889791</v>
      </c>
      <c r="G685" s="198" t="s">
        <v>688</v>
      </c>
      <c r="H685" s="163" t="s">
        <v>510</v>
      </c>
      <c r="I685" s="161" t="n">
        <v>80</v>
      </c>
      <c r="J685" s="156" t="s">
        <v>192</v>
      </c>
      <c r="K685" s="199" t="n">
        <v>45452.866087963</v>
      </c>
      <c r="L685" s="1" t="n">
        <v>0</v>
      </c>
      <c r="M685" s="1" t="n">
        <v>11171</v>
      </c>
      <c r="N685" s="1" t="n">
        <v>405</v>
      </c>
    </row>
    <row r="686" customFormat="false" ht="14.25" hidden="false" customHeight="false" outlineLevel="0" collapsed="false">
      <c r="A686" s="1" t="n">
        <v>173</v>
      </c>
      <c r="B686" s="1" t="s">
        <v>565</v>
      </c>
      <c r="C686" s="1" t="s">
        <v>566</v>
      </c>
      <c r="D686" s="1" t="n">
        <v>11171</v>
      </c>
      <c r="E686" s="1" t="s">
        <v>55</v>
      </c>
      <c r="F686" s="198" t="n">
        <v>200025889791</v>
      </c>
      <c r="G686" s="198" t="s">
        <v>688</v>
      </c>
      <c r="H686" s="163" t="s">
        <v>510</v>
      </c>
      <c r="I686" s="161" t="n">
        <v>80</v>
      </c>
      <c r="J686" s="156" t="s">
        <v>192</v>
      </c>
      <c r="K686" s="199" t="n">
        <v>45452.8661111111</v>
      </c>
      <c r="L686" s="1" t="n">
        <v>0</v>
      </c>
      <c r="M686" s="1" t="n">
        <v>11171</v>
      </c>
      <c r="N686" s="1" t="n">
        <v>406</v>
      </c>
    </row>
    <row r="687" customFormat="false" ht="14.25" hidden="false" customHeight="false" outlineLevel="0" collapsed="false">
      <c r="A687" s="1" t="n">
        <v>174</v>
      </c>
      <c r="B687" s="1" t="s">
        <v>565</v>
      </c>
      <c r="C687" s="1" t="s">
        <v>566</v>
      </c>
      <c r="D687" s="1" t="n">
        <v>11171</v>
      </c>
      <c r="E687" s="1" t="s">
        <v>55</v>
      </c>
      <c r="F687" s="198" t="n">
        <v>200025889163</v>
      </c>
      <c r="G687" s="198" t="s">
        <v>612</v>
      </c>
      <c r="H687" s="163" t="s">
        <v>333</v>
      </c>
      <c r="I687" s="161" t="n">
        <v>21</v>
      </c>
      <c r="J687" s="156" t="s">
        <v>192</v>
      </c>
      <c r="K687" s="199" t="n">
        <v>45452.8702893519</v>
      </c>
      <c r="L687" s="1" t="n">
        <v>2</v>
      </c>
      <c r="M687" s="1" t="n">
        <v>11171</v>
      </c>
      <c r="N687" s="1" t="n">
        <v>407</v>
      </c>
    </row>
    <row r="688" customFormat="false" ht="14.25" hidden="false" customHeight="false" outlineLevel="0" collapsed="false">
      <c r="A688" s="1" t="n">
        <v>175</v>
      </c>
      <c r="B688" s="1" t="s">
        <v>565</v>
      </c>
      <c r="C688" s="1" t="s">
        <v>566</v>
      </c>
      <c r="D688" s="1" t="n">
        <v>11171</v>
      </c>
      <c r="E688" s="1" t="s">
        <v>55</v>
      </c>
      <c r="F688" s="198" t="n">
        <v>200025889791</v>
      </c>
      <c r="G688" s="198" t="s">
        <v>688</v>
      </c>
      <c r="H688" s="163" t="s">
        <v>510</v>
      </c>
      <c r="I688" s="161" t="n">
        <v>80</v>
      </c>
      <c r="J688" s="156" t="s">
        <v>192</v>
      </c>
      <c r="K688" s="199" t="n">
        <v>45452.8917476852</v>
      </c>
      <c r="L688" s="1" t="n">
        <v>1</v>
      </c>
      <c r="M688" s="1" t="n">
        <v>11171</v>
      </c>
      <c r="N688" s="1" t="n">
        <v>408</v>
      </c>
    </row>
    <row r="689" customFormat="false" ht="14.25" hidden="false" customHeight="false" outlineLevel="0" collapsed="false">
      <c r="A689" s="1" t="n">
        <v>176</v>
      </c>
      <c r="B689" s="1" t="s">
        <v>565</v>
      </c>
      <c r="C689" s="1" t="s">
        <v>566</v>
      </c>
      <c r="D689" s="1" t="n">
        <v>11171</v>
      </c>
      <c r="E689" s="1" t="s">
        <v>55</v>
      </c>
      <c r="F689" s="198" t="n">
        <v>200025889163</v>
      </c>
      <c r="G689" s="198" t="s">
        <v>612</v>
      </c>
      <c r="H689" s="163" t="s">
        <v>333</v>
      </c>
      <c r="I689" s="161" t="n">
        <v>21</v>
      </c>
      <c r="J689" s="156" t="s">
        <v>192</v>
      </c>
      <c r="K689" s="199" t="n">
        <v>45452.8957407407</v>
      </c>
      <c r="L689" s="1" t="n">
        <v>2</v>
      </c>
      <c r="M689" s="1" t="n">
        <v>11171</v>
      </c>
      <c r="N689" s="1" t="n">
        <v>409</v>
      </c>
    </row>
    <row r="690" customFormat="false" ht="14.25" hidden="false" customHeight="false" outlineLevel="0" collapsed="false">
      <c r="A690" s="1" t="n">
        <v>177</v>
      </c>
      <c r="B690" s="1" t="s">
        <v>565</v>
      </c>
      <c r="C690" s="1" t="s">
        <v>566</v>
      </c>
      <c r="D690" s="1" t="n">
        <v>11171</v>
      </c>
      <c r="E690" s="1" t="s">
        <v>55</v>
      </c>
      <c r="F690" s="198" t="n">
        <v>200025889163</v>
      </c>
      <c r="G690" s="198" t="s">
        <v>612</v>
      </c>
      <c r="H690" s="163" t="s">
        <v>333</v>
      </c>
      <c r="I690" s="161" t="n">
        <v>21</v>
      </c>
      <c r="J690" s="156" t="s">
        <v>192</v>
      </c>
      <c r="K690" s="199" t="n">
        <v>45452.9284375</v>
      </c>
      <c r="L690" s="1" t="n">
        <v>1</v>
      </c>
      <c r="M690" s="1" t="n">
        <v>11171</v>
      </c>
      <c r="N690" s="1" t="n">
        <v>410</v>
      </c>
    </row>
    <row r="691" customFormat="false" ht="14.25" hidden="false" customHeight="false" outlineLevel="0" collapsed="false">
      <c r="A691" s="1" t="n">
        <v>178</v>
      </c>
      <c r="B691" s="1" t="s">
        <v>565</v>
      </c>
      <c r="C691" s="1" t="s">
        <v>566</v>
      </c>
      <c r="D691" s="1" t="n">
        <v>11171</v>
      </c>
      <c r="E691" s="1" t="s">
        <v>55</v>
      </c>
      <c r="F691" s="198" t="n">
        <v>200025889163</v>
      </c>
      <c r="G691" s="198" t="s">
        <v>612</v>
      </c>
      <c r="H691" s="163" t="s">
        <v>333</v>
      </c>
      <c r="I691" s="161" t="n">
        <v>21</v>
      </c>
      <c r="J691" s="156" t="s">
        <v>192</v>
      </c>
      <c r="K691" s="199" t="n">
        <v>45452.9459143519</v>
      </c>
      <c r="L691" s="1" t="n">
        <v>3</v>
      </c>
      <c r="M691" s="1" t="n">
        <v>11171</v>
      </c>
      <c r="N691" s="1" t="n">
        <v>411</v>
      </c>
    </row>
    <row r="692" customFormat="false" ht="14.25" hidden="false" customHeight="false" outlineLevel="0" collapsed="false">
      <c r="A692" s="1" t="n">
        <v>179</v>
      </c>
      <c r="B692" s="1" t="s">
        <v>565</v>
      </c>
      <c r="C692" s="1" t="s">
        <v>566</v>
      </c>
      <c r="D692" s="1" t="n">
        <v>11171</v>
      </c>
      <c r="E692" s="1" t="s">
        <v>55</v>
      </c>
      <c r="F692" s="198" t="n">
        <v>200025889163</v>
      </c>
      <c r="G692" s="198" t="s">
        <v>612</v>
      </c>
      <c r="H692" s="163" t="s">
        <v>333</v>
      </c>
      <c r="I692" s="161" t="n">
        <v>21</v>
      </c>
      <c r="J692" s="156" t="s">
        <v>192</v>
      </c>
      <c r="K692" s="199" t="n">
        <v>45452.9467939815</v>
      </c>
      <c r="L692" s="1" t="n">
        <v>1</v>
      </c>
      <c r="M692" s="1" t="n">
        <v>11171</v>
      </c>
      <c r="N692" s="1" t="n">
        <v>412</v>
      </c>
    </row>
    <row r="693" customFormat="false" ht="14.25" hidden="false" customHeight="false" outlineLevel="0" collapsed="false">
      <c r="A693" s="1" t="n">
        <v>180</v>
      </c>
      <c r="B693" s="1" t="s">
        <v>565</v>
      </c>
      <c r="C693" s="1" t="s">
        <v>566</v>
      </c>
      <c r="D693" s="1" t="n">
        <v>11171</v>
      </c>
      <c r="E693" s="1" t="s">
        <v>55</v>
      </c>
      <c r="F693" s="198" t="n">
        <v>200025889098</v>
      </c>
      <c r="G693" s="198" t="s">
        <v>689</v>
      </c>
      <c r="H693" s="163" t="s">
        <v>433</v>
      </c>
      <c r="I693" s="161" t="n">
        <v>46</v>
      </c>
      <c r="J693" s="156" t="s">
        <v>192</v>
      </c>
      <c r="K693" s="199" t="n">
        <v>45452.9536805556</v>
      </c>
      <c r="L693" s="1" t="n">
        <v>2</v>
      </c>
      <c r="M693" s="1" t="n">
        <v>11171</v>
      </c>
      <c r="N693" s="1" t="n">
        <v>413</v>
      </c>
    </row>
    <row r="694" customFormat="false" ht="14.25" hidden="false" customHeight="false" outlineLevel="0" collapsed="false">
      <c r="A694" s="1" t="n">
        <v>181</v>
      </c>
      <c r="B694" s="1" t="s">
        <v>565</v>
      </c>
      <c r="C694" s="1" t="s">
        <v>566</v>
      </c>
      <c r="D694" s="1" t="n">
        <v>11171</v>
      </c>
      <c r="E694" s="1" t="s">
        <v>55</v>
      </c>
      <c r="F694" s="198" t="n">
        <v>200025889163</v>
      </c>
      <c r="G694" s="198" t="s">
        <v>612</v>
      </c>
      <c r="H694" s="163" t="s">
        <v>333</v>
      </c>
      <c r="I694" s="161" t="n">
        <v>21</v>
      </c>
      <c r="J694" s="156" t="s">
        <v>192</v>
      </c>
      <c r="K694" s="199" t="n">
        <v>45452.9936342593</v>
      </c>
      <c r="L694" s="1" t="n">
        <v>3</v>
      </c>
      <c r="M694" s="1" t="n">
        <v>11171</v>
      </c>
      <c r="N694" s="1" t="n">
        <v>414</v>
      </c>
    </row>
    <row r="695" customFormat="false" ht="14.25" hidden="false" customHeight="false" outlineLevel="0" collapsed="false">
      <c r="A695" s="1" t="n">
        <v>182</v>
      </c>
      <c r="B695" s="1" t="s">
        <v>565</v>
      </c>
      <c r="C695" s="1" t="s">
        <v>566</v>
      </c>
      <c r="D695" s="1" t="n">
        <v>11171</v>
      </c>
      <c r="E695" s="1" t="s">
        <v>55</v>
      </c>
      <c r="F695" s="198" t="n">
        <v>200025889163</v>
      </c>
      <c r="G695" s="198" t="s">
        <v>612</v>
      </c>
      <c r="H695" s="163" t="s">
        <v>333</v>
      </c>
      <c r="I695" s="161" t="n">
        <v>21</v>
      </c>
      <c r="J695" s="156" t="s">
        <v>192</v>
      </c>
      <c r="K695" s="199" t="n">
        <v>45452.9945601852</v>
      </c>
      <c r="L695" s="1" t="n">
        <v>1</v>
      </c>
      <c r="M695" s="1" t="n">
        <v>11171</v>
      </c>
      <c r="N695" s="1" t="n">
        <v>415</v>
      </c>
    </row>
    <row r="696" customFormat="false" ht="14.25" hidden="false" customHeight="false" outlineLevel="0" collapsed="false">
      <c r="A696" s="1" t="n">
        <v>183</v>
      </c>
      <c r="B696" s="1" t="s">
        <v>565</v>
      </c>
      <c r="C696" s="1" t="s">
        <v>566</v>
      </c>
      <c r="D696" s="1" t="n">
        <v>11171</v>
      </c>
      <c r="E696" s="1" t="s">
        <v>55</v>
      </c>
      <c r="F696" s="198" t="n">
        <v>200025889163</v>
      </c>
      <c r="G696" s="198" t="s">
        <v>612</v>
      </c>
      <c r="H696" s="163" t="s">
        <v>333</v>
      </c>
      <c r="I696" s="161" t="n">
        <v>21</v>
      </c>
      <c r="J696" s="156" t="s">
        <v>192</v>
      </c>
      <c r="K696" s="199" t="n">
        <v>45452.9963425926</v>
      </c>
      <c r="L696" s="1" t="n">
        <v>2</v>
      </c>
      <c r="M696" s="1" t="n">
        <v>11171</v>
      </c>
      <c r="N696" s="1" t="n">
        <v>416</v>
      </c>
    </row>
    <row r="697" customFormat="false" ht="14.25" hidden="false" customHeight="false" outlineLevel="0" collapsed="false">
      <c r="A697" s="1" t="n">
        <v>184</v>
      </c>
      <c r="B697" s="1" t="s">
        <v>565</v>
      </c>
      <c r="C697" s="1" t="s">
        <v>566</v>
      </c>
      <c r="D697" s="1" t="n">
        <v>11171</v>
      </c>
      <c r="E697" s="1" t="s">
        <v>55</v>
      </c>
      <c r="F697" s="198" t="n">
        <v>200025889098</v>
      </c>
      <c r="G697" s="198" t="s">
        <v>689</v>
      </c>
      <c r="H697" s="163" t="s">
        <v>433</v>
      </c>
      <c r="I697" s="161" t="n">
        <v>46</v>
      </c>
      <c r="J697" s="156" t="s">
        <v>192</v>
      </c>
      <c r="K697" s="199" t="n">
        <v>45453.0024884259</v>
      </c>
      <c r="L697" s="1" t="n">
        <v>0</v>
      </c>
      <c r="M697" s="1" t="n">
        <v>11171</v>
      </c>
      <c r="N697" s="1" t="n">
        <v>417</v>
      </c>
    </row>
    <row r="698" customFormat="false" ht="14.25" hidden="false" customHeight="false" outlineLevel="0" collapsed="false">
      <c r="A698" s="1" t="n">
        <v>185</v>
      </c>
      <c r="B698" s="1" t="s">
        <v>565</v>
      </c>
      <c r="C698" s="1" t="s">
        <v>566</v>
      </c>
      <c r="D698" s="1" t="n">
        <v>11171</v>
      </c>
      <c r="E698" s="1" t="s">
        <v>55</v>
      </c>
      <c r="F698" s="198" t="n">
        <v>200025888224</v>
      </c>
      <c r="G698" s="198" t="s">
        <v>656</v>
      </c>
      <c r="H698" s="163" t="s">
        <v>245</v>
      </c>
      <c r="I698" s="161" t="n">
        <v>8</v>
      </c>
      <c r="J698" s="156" t="s">
        <v>192</v>
      </c>
      <c r="K698" s="199" t="n">
        <v>45453.0040972222</v>
      </c>
      <c r="L698" s="1" t="n">
        <v>0</v>
      </c>
      <c r="M698" s="1" t="n">
        <v>11171</v>
      </c>
      <c r="N698" s="1" t="n">
        <v>418</v>
      </c>
    </row>
    <row r="699" customFormat="false" ht="14.25" hidden="false" customHeight="false" outlineLevel="0" collapsed="false">
      <c r="A699" s="1" t="n">
        <v>186</v>
      </c>
      <c r="B699" s="1" t="s">
        <v>565</v>
      </c>
      <c r="C699" s="1" t="s">
        <v>566</v>
      </c>
      <c r="D699" s="1" t="n">
        <v>11171</v>
      </c>
      <c r="E699" s="1" t="s">
        <v>55</v>
      </c>
      <c r="F699" s="198" t="n">
        <v>200025888617</v>
      </c>
      <c r="G699" s="198" t="s">
        <v>614</v>
      </c>
      <c r="H699" s="163" t="s">
        <v>387</v>
      </c>
      <c r="I699" s="161" t="n">
        <v>100</v>
      </c>
      <c r="J699" s="156" t="s">
        <v>192</v>
      </c>
      <c r="K699" s="199" t="n">
        <v>45453.013912037</v>
      </c>
      <c r="L699" s="1" t="n">
        <v>2</v>
      </c>
      <c r="M699" s="1" t="n">
        <v>11171</v>
      </c>
      <c r="N699" s="1" t="n">
        <v>419</v>
      </c>
    </row>
    <row r="700" customFormat="false" ht="14.25" hidden="false" customHeight="false" outlineLevel="0" collapsed="false">
      <c r="A700" s="1" t="n">
        <v>187</v>
      </c>
      <c r="B700" s="1" t="s">
        <v>565</v>
      </c>
      <c r="C700" s="1" t="s">
        <v>566</v>
      </c>
      <c r="D700" s="1" t="n">
        <v>11171</v>
      </c>
      <c r="E700" s="1" t="s">
        <v>55</v>
      </c>
      <c r="F700" s="198" t="n">
        <v>200025888617</v>
      </c>
      <c r="G700" s="198" t="s">
        <v>614</v>
      </c>
      <c r="H700" s="163" t="s">
        <v>387</v>
      </c>
      <c r="I700" s="161" t="n">
        <v>100</v>
      </c>
      <c r="J700" s="156" t="s">
        <v>192</v>
      </c>
      <c r="K700" s="199" t="n">
        <v>45453.0141782407</v>
      </c>
      <c r="L700" s="1" t="n">
        <v>0</v>
      </c>
      <c r="M700" s="1" t="n">
        <v>11171</v>
      </c>
      <c r="N700" s="1" t="n">
        <v>420</v>
      </c>
    </row>
    <row r="701" customFormat="false" ht="14.25" hidden="false" customHeight="false" outlineLevel="0" collapsed="false">
      <c r="A701" s="1" t="n">
        <v>188</v>
      </c>
      <c r="B701" s="1" t="s">
        <v>565</v>
      </c>
      <c r="C701" s="1" t="s">
        <v>566</v>
      </c>
      <c r="D701" s="1" t="n">
        <v>11171</v>
      </c>
      <c r="E701" s="1" t="s">
        <v>55</v>
      </c>
      <c r="F701" s="198" t="n">
        <v>200025888617</v>
      </c>
      <c r="G701" s="198" t="s">
        <v>614</v>
      </c>
      <c r="H701" s="163" t="s">
        <v>387</v>
      </c>
      <c r="I701" s="161" t="n">
        <v>100</v>
      </c>
      <c r="J701" s="156" t="s">
        <v>192</v>
      </c>
      <c r="K701" s="199" t="n">
        <v>45453.0145023148</v>
      </c>
      <c r="L701" s="1" t="n">
        <v>1</v>
      </c>
      <c r="M701" s="1" t="n">
        <v>11171</v>
      </c>
      <c r="N701" s="1" t="n">
        <v>421</v>
      </c>
    </row>
    <row r="702" customFormat="false" ht="14.25" hidden="false" customHeight="false" outlineLevel="0" collapsed="false">
      <c r="A702" s="1" t="n">
        <v>189</v>
      </c>
      <c r="B702" s="1" t="s">
        <v>565</v>
      </c>
      <c r="C702" s="1" t="s">
        <v>566</v>
      </c>
      <c r="D702" s="1" t="n">
        <v>11171</v>
      </c>
      <c r="E702" s="1" t="s">
        <v>55</v>
      </c>
      <c r="F702" s="198" t="n">
        <v>200025888617</v>
      </c>
      <c r="G702" s="198" t="s">
        <v>614</v>
      </c>
      <c r="H702" s="163" t="s">
        <v>387</v>
      </c>
      <c r="I702" s="161" t="n">
        <v>100</v>
      </c>
      <c r="J702" s="156" t="s">
        <v>192</v>
      </c>
      <c r="K702" s="199" t="n">
        <v>45453.0146296296</v>
      </c>
      <c r="L702" s="1" t="n">
        <v>1</v>
      </c>
      <c r="M702" s="1" t="n">
        <v>11171</v>
      </c>
      <c r="N702" s="1" t="n">
        <v>422</v>
      </c>
    </row>
    <row r="703" customFormat="false" ht="14.25" hidden="false" customHeight="false" outlineLevel="0" collapsed="false">
      <c r="A703" s="1" t="n">
        <v>190</v>
      </c>
      <c r="B703" s="1" t="s">
        <v>565</v>
      </c>
      <c r="C703" s="1" t="s">
        <v>566</v>
      </c>
      <c r="D703" s="1" t="n">
        <v>11171</v>
      </c>
      <c r="E703" s="1" t="s">
        <v>55</v>
      </c>
      <c r="F703" s="198" t="n">
        <v>200025888617</v>
      </c>
      <c r="G703" s="198" t="s">
        <v>614</v>
      </c>
      <c r="H703" s="163" t="s">
        <v>387</v>
      </c>
      <c r="I703" s="161" t="n">
        <v>100</v>
      </c>
      <c r="J703" s="156" t="s">
        <v>192</v>
      </c>
      <c r="K703" s="199" t="n">
        <v>45453.0149768519</v>
      </c>
      <c r="L703" s="1" t="n">
        <v>0</v>
      </c>
      <c r="M703" s="1" t="n">
        <v>11171</v>
      </c>
      <c r="N703" s="1" t="n">
        <v>423</v>
      </c>
    </row>
    <row r="704" customFormat="false" ht="14.25" hidden="false" customHeight="false" outlineLevel="0" collapsed="false">
      <c r="A704" s="1" t="n">
        <v>191</v>
      </c>
      <c r="B704" s="1" t="s">
        <v>565</v>
      </c>
      <c r="C704" s="1" t="s">
        <v>566</v>
      </c>
      <c r="D704" s="1" t="n">
        <v>11171</v>
      </c>
      <c r="E704" s="1" t="s">
        <v>55</v>
      </c>
      <c r="F704" s="198" t="n">
        <v>200025889163</v>
      </c>
      <c r="G704" s="198" t="s">
        <v>612</v>
      </c>
      <c r="H704" s="163" t="s">
        <v>333</v>
      </c>
      <c r="I704" s="161" t="n">
        <v>21</v>
      </c>
      <c r="J704" s="156" t="s">
        <v>192</v>
      </c>
      <c r="K704" s="199" t="n">
        <v>45453.0166435185</v>
      </c>
      <c r="L704" s="1" t="n">
        <v>1</v>
      </c>
      <c r="M704" s="1" t="n">
        <v>11171</v>
      </c>
      <c r="N704" s="1" t="n">
        <v>424</v>
      </c>
    </row>
    <row r="705" customFormat="false" ht="14.25" hidden="false" customHeight="false" outlineLevel="0" collapsed="false">
      <c r="A705" s="1" t="n">
        <v>192</v>
      </c>
      <c r="B705" s="1" t="s">
        <v>565</v>
      </c>
      <c r="C705" s="1" t="s">
        <v>566</v>
      </c>
      <c r="D705" s="1" t="n">
        <v>11171</v>
      </c>
      <c r="E705" s="1" t="s">
        <v>55</v>
      </c>
      <c r="F705" s="198" t="n">
        <v>200025889163</v>
      </c>
      <c r="G705" s="198" t="s">
        <v>612</v>
      </c>
      <c r="H705" s="163" t="s">
        <v>333</v>
      </c>
      <c r="I705" s="161" t="n">
        <v>21</v>
      </c>
      <c r="J705" s="156" t="s">
        <v>192</v>
      </c>
      <c r="K705" s="199" t="n">
        <v>45453.0166550926</v>
      </c>
      <c r="L705" s="10" t="n">
        <v>58</v>
      </c>
      <c r="M705" s="1" t="n">
        <v>11171</v>
      </c>
      <c r="N705" s="1" t="n">
        <v>425</v>
      </c>
    </row>
    <row r="706" customFormat="false" ht="14.25" hidden="false" customHeight="false" outlineLevel="0" collapsed="false">
      <c r="A706" s="1" t="n">
        <v>193</v>
      </c>
      <c r="B706" s="1" t="s">
        <v>565</v>
      </c>
      <c r="C706" s="1" t="s">
        <v>566</v>
      </c>
      <c r="D706" s="1" t="n">
        <v>11171</v>
      </c>
      <c r="E706" s="1" t="s">
        <v>55</v>
      </c>
      <c r="F706" s="198" t="n">
        <v>200025889163</v>
      </c>
      <c r="G706" s="198" t="s">
        <v>612</v>
      </c>
      <c r="H706" s="163" t="s">
        <v>333</v>
      </c>
      <c r="I706" s="161" t="n">
        <v>21</v>
      </c>
      <c r="J706" s="156" t="s">
        <v>192</v>
      </c>
      <c r="K706" s="199" t="n">
        <v>45453.0174189815</v>
      </c>
      <c r="L706" s="1" t="n">
        <v>1</v>
      </c>
      <c r="M706" s="1" t="n">
        <v>11171</v>
      </c>
      <c r="N706" s="1" t="n">
        <v>426</v>
      </c>
    </row>
    <row r="707" customFormat="false" ht="14.25" hidden="false" customHeight="false" outlineLevel="0" collapsed="false">
      <c r="A707" s="1" t="n">
        <v>194</v>
      </c>
      <c r="B707" s="1" t="s">
        <v>565</v>
      </c>
      <c r="C707" s="1" t="s">
        <v>566</v>
      </c>
      <c r="D707" s="1" t="n">
        <v>11171</v>
      </c>
      <c r="E707" s="1" t="s">
        <v>55</v>
      </c>
      <c r="F707" s="198" t="n">
        <v>200025888617</v>
      </c>
      <c r="G707" s="198" t="s">
        <v>614</v>
      </c>
      <c r="H707" s="163" t="s">
        <v>387</v>
      </c>
      <c r="I707" s="161" t="n">
        <v>100</v>
      </c>
      <c r="J707" s="156" t="s">
        <v>192</v>
      </c>
      <c r="K707" s="199" t="n">
        <v>45453.0180208333</v>
      </c>
      <c r="L707" s="1" t="n">
        <v>0</v>
      </c>
      <c r="M707" s="1" t="n">
        <v>11171</v>
      </c>
      <c r="N707" s="1" t="n">
        <v>427</v>
      </c>
    </row>
    <row r="708" customFormat="false" ht="14.25" hidden="false" customHeight="false" outlineLevel="0" collapsed="false">
      <c r="A708" s="1" t="n">
        <v>195</v>
      </c>
      <c r="B708" s="1" t="s">
        <v>565</v>
      </c>
      <c r="C708" s="1" t="s">
        <v>566</v>
      </c>
      <c r="D708" s="1" t="n">
        <v>11171</v>
      </c>
      <c r="E708" s="1" t="s">
        <v>55</v>
      </c>
      <c r="F708" s="198" t="n">
        <v>200025888617</v>
      </c>
      <c r="G708" s="198" t="s">
        <v>614</v>
      </c>
      <c r="H708" s="163" t="s">
        <v>387</v>
      </c>
      <c r="I708" s="161" t="n">
        <v>100</v>
      </c>
      <c r="J708" s="156" t="s">
        <v>192</v>
      </c>
      <c r="K708" s="199" t="n">
        <v>45453.018125</v>
      </c>
      <c r="L708" s="1" t="n">
        <v>1</v>
      </c>
      <c r="M708" s="1" t="n">
        <v>11171</v>
      </c>
      <c r="N708" s="1" t="n">
        <v>428</v>
      </c>
    </row>
    <row r="709" customFormat="false" ht="14.25" hidden="false" customHeight="false" outlineLevel="0" collapsed="false">
      <c r="A709" s="1" t="n">
        <v>196</v>
      </c>
      <c r="B709" s="1" t="s">
        <v>565</v>
      </c>
      <c r="C709" s="1" t="s">
        <v>566</v>
      </c>
      <c r="D709" s="1" t="n">
        <v>11171</v>
      </c>
      <c r="E709" s="1" t="s">
        <v>55</v>
      </c>
      <c r="F709" s="198" t="n">
        <v>200025888617</v>
      </c>
      <c r="G709" s="198" t="s">
        <v>614</v>
      </c>
      <c r="H709" s="163" t="s">
        <v>387</v>
      </c>
      <c r="I709" s="161" t="n">
        <v>100</v>
      </c>
      <c r="J709" s="156" t="s">
        <v>192</v>
      </c>
      <c r="K709" s="199" t="n">
        <v>45453.0182523148</v>
      </c>
      <c r="L709" s="1" t="n">
        <v>0</v>
      </c>
      <c r="M709" s="1" t="n">
        <v>11171</v>
      </c>
      <c r="N709" s="1" t="n">
        <v>429</v>
      </c>
    </row>
    <row r="710" customFormat="false" ht="14.25" hidden="false" customHeight="false" outlineLevel="0" collapsed="false">
      <c r="A710" s="1" t="n">
        <v>197</v>
      </c>
      <c r="B710" s="1" t="s">
        <v>565</v>
      </c>
      <c r="C710" s="1" t="s">
        <v>566</v>
      </c>
      <c r="D710" s="1" t="n">
        <v>11171</v>
      </c>
      <c r="E710" s="1" t="s">
        <v>55</v>
      </c>
      <c r="F710" s="198" t="n">
        <v>200025888617</v>
      </c>
      <c r="G710" s="198" t="s">
        <v>614</v>
      </c>
      <c r="H710" s="163" t="s">
        <v>387</v>
      </c>
      <c r="I710" s="161" t="n">
        <v>100</v>
      </c>
      <c r="J710" s="156" t="s">
        <v>192</v>
      </c>
      <c r="K710" s="199" t="n">
        <v>45453.0182638889</v>
      </c>
      <c r="L710" s="1" t="n">
        <v>29</v>
      </c>
      <c r="M710" s="1" t="n">
        <v>11171</v>
      </c>
      <c r="N710" s="1" t="n">
        <v>430</v>
      </c>
    </row>
    <row r="711" customFormat="false" ht="14.25" hidden="false" customHeight="false" outlineLevel="0" collapsed="false">
      <c r="A711" s="1" t="n">
        <v>198</v>
      </c>
      <c r="B711" s="1" t="s">
        <v>565</v>
      </c>
      <c r="C711" s="1" t="s">
        <v>566</v>
      </c>
      <c r="D711" s="1" t="n">
        <v>11171</v>
      </c>
      <c r="E711" s="1" t="s">
        <v>55</v>
      </c>
      <c r="F711" s="198" t="n">
        <v>200025888617</v>
      </c>
      <c r="G711" s="198" t="s">
        <v>614</v>
      </c>
      <c r="H711" s="163" t="s">
        <v>387</v>
      </c>
      <c r="I711" s="161" t="n">
        <v>100</v>
      </c>
      <c r="J711" s="156" t="s">
        <v>192</v>
      </c>
      <c r="K711" s="199" t="n">
        <v>45453.018900463</v>
      </c>
      <c r="L711" s="1" t="n">
        <v>1</v>
      </c>
      <c r="M711" s="1" t="n">
        <v>11171</v>
      </c>
      <c r="N711" s="1" t="n">
        <v>431</v>
      </c>
    </row>
    <row r="712" customFormat="false" ht="14.25" hidden="false" customHeight="false" outlineLevel="0" collapsed="false">
      <c r="A712" s="1" t="n">
        <v>199</v>
      </c>
      <c r="B712" s="1" t="s">
        <v>565</v>
      </c>
      <c r="C712" s="1" t="s">
        <v>566</v>
      </c>
      <c r="D712" s="1" t="n">
        <v>11171</v>
      </c>
      <c r="E712" s="1" t="s">
        <v>55</v>
      </c>
      <c r="F712" s="198" t="n">
        <v>200025888617</v>
      </c>
      <c r="G712" s="198" t="s">
        <v>614</v>
      </c>
      <c r="H712" s="163" t="s">
        <v>387</v>
      </c>
      <c r="I712" s="161" t="n">
        <v>100</v>
      </c>
      <c r="J712" s="156" t="s">
        <v>192</v>
      </c>
      <c r="K712" s="199" t="n">
        <v>45453.0212731482</v>
      </c>
      <c r="L712" s="1" t="n">
        <v>0</v>
      </c>
      <c r="M712" s="1" t="n">
        <v>11171</v>
      </c>
      <c r="N712" s="1" t="n">
        <v>432</v>
      </c>
    </row>
    <row r="713" customFormat="false" ht="14.25" hidden="false" customHeight="false" outlineLevel="0" collapsed="false">
      <c r="A713" s="1" t="n">
        <v>200</v>
      </c>
      <c r="B713" s="1" t="s">
        <v>565</v>
      </c>
      <c r="C713" s="1" t="s">
        <v>566</v>
      </c>
      <c r="D713" s="1" t="n">
        <v>11171</v>
      </c>
      <c r="E713" s="1" t="s">
        <v>55</v>
      </c>
      <c r="F713" s="198" t="n">
        <v>200025889163</v>
      </c>
      <c r="G713" s="198" t="s">
        <v>612</v>
      </c>
      <c r="H713" s="163" t="s">
        <v>333</v>
      </c>
      <c r="I713" s="161" t="n">
        <v>21</v>
      </c>
      <c r="J713" s="156" t="s">
        <v>192</v>
      </c>
      <c r="K713" s="199" t="n">
        <v>45453.0229513889</v>
      </c>
      <c r="L713" s="1" t="n">
        <v>1</v>
      </c>
      <c r="M713" s="1" t="n">
        <v>11171</v>
      </c>
      <c r="N713" s="1" t="n">
        <v>433</v>
      </c>
    </row>
    <row r="714" customFormat="false" ht="14.25" hidden="false" customHeight="false" outlineLevel="0" collapsed="false">
      <c r="A714" s="1" t="n">
        <v>201</v>
      </c>
      <c r="B714" s="1" t="s">
        <v>565</v>
      </c>
      <c r="C714" s="1" t="s">
        <v>566</v>
      </c>
      <c r="D714" s="1" t="n">
        <v>11171</v>
      </c>
      <c r="E714" s="1" t="s">
        <v>55</v>
      </c>
      <c r="F714" s="198" t="n">
        <v>200025889163</v>
      </c>
      <c r="G714" s="198" t="s">
        <v>612</v>
      </c>
      <c r="H714" s="163" t="s">
        <v>333</v>
      </c>
      <c r="I714" s="161" t="n">
        <v>21</v>
      </c>
      <c r="J714" s="156" t="s">
        <v>192</v>
      </c>
      <c r="K714" s="199" t="n">
        <v>45453.0235185185</v>
      </c>
      <c r="L714" s="1" t="n">
        <v>1</v>
      </c>
      <c r="M714" s="1" t="n">
        <v>11171</v>
      </c>
      <c r="N714" s="1" t="n">
        <v>434</v>
      </c>
    </row>
    <row r="715" customFormat="false" ht="14.25" hidden="false" customHeight="false" outlineLevel="0" collapsed="false">
      <c r="A715" s="1" t="n">
        <v>202</v>
      </c>
      <c r="B715" s="1" t="s">
        <v>565</v>
      </c>
      <c r="C715" s="1" t="s">
        <v>566</v>
      </c>
      <c r="D715" s="1" t="n">
        <v>11171</v>
      </c>
      <c r="E715" s="1" t="s">
        <v>55</v>
      </c>
      <c r="F715" s="198" t="n">
        <v>200025889163</v>
      </c>
      <c r="G715" s="198" t="s">
        <v>612</v>
      </c>
      <c r="H715" s="163" t="s">
        <v>333</v>
      </c>
      <c r="I715" s="161" t="n">
        <v>21</v>
      </c>
      <c r="J715" s="156" t="s">
        <v>192</v>
      </c>
      <c r="K715" s="199" t="n">
        <v>45453.0236342593</v>
      </c>
      <c r="L715" s="1" t="n">
        <v>1</v>
      </c>
      <c r="M715" s="1" t="n">
        <v>11171</v>
      </c>
      <c r="N715" s="1" t="n">
        <v>435</v>
      </c>
    </row>
    <row r="716" customFormat="false" ht="14.25" hidden="false" customHeight="false" outlineLevel="0" collapsed="false">
      <c r="A716" s="1" t="n">
        <v>203</v>
      </c>
      <c r="B716" s="1" t="s">
        <v>565</v>
      </c>
      <c r="C716" s="1" t="s">
        <v>566</v>
      </c>
      <c r="D716" s="1" t="n">
        <v>11171</v>
      </c>
      <c r="E716" s="1" t="s">
        <v>55</v>
      </c>
      <c r="F716" s="198" t="n">
        <v>200025888617</v>
      </c>
      <c r="G716" s="198" t="s">
        <v>614</v>
      </c>
      <c r="H716" s="163" t="s">
        <v>387</v>
      </c>
      <c r="I716" s="161" t="n">
        <v>100</v>
      </c>
      <c r="J716" s="156" t="s">
        <v>192</v>
      </c>
      <c r="K716" s="199" t="n">
        <v>45453.0328587963</v>
      </c>
      <c r="L716" s="1" t="n">
        <v>20</v>
      </c>
      <c r="M716" s="1" t="n">
        <v>11171</v>
      </c>
      <c r="N716" s="1" t="n">
        <v>436</v>
      </c>
    </row>
    <row r="717" customFormat="false" ht="14.25" hidden="false" customHeight="false" outlineLevel="0" collapsed="false">
      <c r="A717" s="1" t="n">
        <v>204</v>
      </c>
      <c r="B717" s="1" t="s">
        <v>565</v>
      </c>
      <c r="C717" s="1" t="s">
        <v>566</v>
      </c>
      <c r="D717" s="1" t="n">
        <v>11171</v>
      </c>
      <c r="E717" s="1" t="s">
        <v>55</v>
      </c>
      <c r="F717" s="198" t="n">
        <v>200025888617</v>
      </c>
      <c r="G717" s="198" t="s">
        <v>614</v>
      </c>
      <c r="H717" s="163" t="s">
        <v>387</v>
      </c>
      <c r="I717" s="161" t="n">
        <v>100</v>
      </c>
      <c r="J717" s="156" t="s">
        <v>192</v>
      </c>
      <c r="K717" s="199" t="n">
        <v>45453.0330902778</v>
      </c>
      <c r="L717" s="1" t="n">
        <v>1</v>
      </c>
      <c r="M717" s="1" t="n">
        <v>11171</v>
      </c>
      <c r="N717" s="1" t="n">
        <v>437</v>
      </c>
    </row>
    <row r="718" customFormat="false" ht="14.25" hidden="false" customHeight="false" outlineLevel="0" collapsed="false">
      <c r="A718" s="1" t="n">
        <v>205</v>
      </c>
      <c r="B718" s="1" t="s">
        <v>565</v>
      </c>
      <c r="C718" s="1" t="s">
        <v>566</v>
      </c>
      <c r="D718" s="1" t="n">
        <v>11171</v>
      </c>
      <c r="E718" s="1" t="s">
        <v>55</v>
      </c>
      <c r="F718" s="198" t="n">
        <v>200025888617</v>
      </c>
      <c r="G718" s="198" t="s">
        <v>614</v>
      </c>
      <c r="H718" s="163" t="s">
        <v>387</v>
      </c>
      <c r="I718" s="161" t="n">
        <v>100</v>
      </c>
      <c r="J718" s="156" t="s">
        <v>192</v>
      </c>
      <c r="K718" s="199" t="n">
        <v>45453.0335763889</v>
      </c>
      <c r="L718" s="1" t="n">
        <v>2</v>
      </c>
      <c r="M718" s="1" t="n">
        <v>11171</v>
      </c>
      <c r="N718" s="1" t="n">
        <v>438</v>
      </c>
    </row>
    <row r="719" customFormat="false" ht="14.25" hidden="false" customHeight="false" outlineLevel="0" collapsed="false">
      <c r="A719" s="1" t="n">
        <v>206</v>
      </c>
      <c r="B719" s="1" t="s">
        <v>565</v>
      </c>
      <c r="C719" s="1" t="s">
        <v>566</v>
      </c>
      <c r="D719" s="1" t="n">
        <v>11171</v>
      </c>
      <c r="E719" s="1" t="s">
        <v>55</v>
      </c>
      <c r="F719" s="198" t="n">
        <v>200025888617</v>
      </c>
      <c r="G719" s="198" t="s">
        <v>614</v>
      </c>
      <c r="H719" s="163" t="s">
        <v>387</v>
      </c>
      <c r="I719" s="161" t="n">
        <v>100</v>
      </c>
      <c r="J719" s="156" t="s">
        <v>192</v>
      </c>
      <c r="K719" s="199" t="n">
        <v>45453.0344791667</v>
      </c>
      <c r="L719" s="1" t="n">
        <v>1</v>
      </c>
      <c r="M719" s="1" t="n">
        <v>11171</v>
      </c>
      <c r="N719" s="1" t="n">
        <v>439</v>
      </c>
    </row>
    <row r="720" customFormat="false" ht="14.25" hidden="false" customHeight="false" outlineLevel="0" collapsed="false">
      <c r="A720" s="1" t="n">
        <v>207</v>
      </c>
      <c r="B720" s="1" t="s">
        <v>565</v>
      </c>
      <c r="C720" s="1" t="s">
        <v>566</v>
      </c>
      <c r="D720" s="1" t="n">
        <v>11171</v>
      </c>
      <c r="E720" s="1" t="s">
        <v>55</v>
      </c>
      <c r="F720" s="198" t="n">
        <v>200025888617</v>
      </c>
      <c r="G720" s="198" t="s">
        <v>614</v>
      </c>
      <c r="H720" s="163" t="s">
        <v>387</v>
      </c>
      <c r="I720" s="161" t="n">
        <v>100</v>
      </c>
      <c r="J720" s="156" t="s">
        <v>192</v>
      </c>
      <c r="K720" s="199" t="n">
        <v>45453.0993634259</v>
      </c>
      <c r="L720" s="1" t="n">
        <v>1</v>
      </c>
      <c r="M720" s="1" t="n">
        <v>11171</v>
      </c>
      <c r="N720" s="1" t="n">
        <v>440</v>
      </c>
    </row>
    <row r="721" customFormat="false" ht="14.25" hidden="false" customHeight="false" outlineLevel="0" collapsed="false">
      <c r="A721" s="1" t="n">
        <v>208</v>
      </c>
      <c r="B721" s="1" t="s">
        <v>565</v>
      </c>
      <c r="C721" s="1" t="s">
        <v>566</v>
      </c>
      <c r="D721" s="1" t="n">
        <v>11171</v>
      </c>
      <c r="E721" s="1" t="s">
        <v>55</v>
      </c>
      <c r="F721" s="198" t="n">
        <v>200025888617</v>
      </c>
      <c r="G721" s="198" t="s">
        <v>614</v>
      </c>
      <c r="H721" s="163" t="s">
        <v>387</v>
      </c>
      <c r="I721" s="161" t="n">
        <v>100</v>
      </c>
      <c r="J721" s="156" t="s">
        <v>192</v>
      </c>
      <c r="K721" s="199" t="n">
        <v>45453.1023842593</v>
      </c>
      <c r="L721" s="1" t="n">
        <v>0</v>
      </c>
      <c r="M721" s="1" t="n">
        <v>11171</v>
      </c>
      <c r="N721" s="1" t="n">
        <v>441</v>
      </c>
    </row>
    <row r="722" customFormat="false" ht="14.25" hidden="false" customHeight="false" outlineLevel="0" collapsed="false">
      <c r="A722" s="1" t="n">
        <v>209</v>
      </c>
      <c r="B722" s="1" t="s">
        <v>565</v>
      </c>
      <c r="C722" s="1" t="s">
        <v>566</v>
      </c>
      <c r="D722" s="1" t="n">
        <v>11171</v>
      </c>
      <c r="E722" s="1" t="s">
        <v>55</v>
      </c>
      <c r="F722" s="198" t="n">
        <v>200025888617</v>
      </c>
      <c r="G722" s="198" t="s">
        <v>614</v>
      </c>
      <c r="H722" s="163" t="s">
        <v>387</v>
      </c>
      <c r="I722" s="161" t="n">
        <v>100</v>
      </c>
      <c r="J722" s="156" t="s">
        <v>192</v>
      </c>
      <c r="K722" s="199" t="n">
        <v>45453.1023842593</v>
      </c>
      <c r="L722" s="1" t="n">
        <v>1</v>
      </c>
      <c r="M722" s="1" t="n">
        <v>11171</v>
      </c>
      <c r="N722" s="1" t="n">
        <v>442</v>
      </c>
    </row>
    <row r="723" customFormat="false" ht="14.25" hidden="false" customHeight="false" outlineLevel="0" collapsed="false">
      <c r="A723" s="1" t="n">
        <v>210</v>
      </c>
      <c r="B723" s="1" t="s">
        <v>565</v>
      </c>
      <c r="C723" s="1" t="s">
        <v>566</v>
      </c>
      <c r="D723" s="1" t="n">
        <v>11171</v>
      </c>
      <c r="E723" s="1" t="s">
        <v>55</v>
      </c>
      <c r="F723" s="198" t="n">
        <v>200025888617</v>
      </c>
      <c r="G723" s="198" t="s">
        <v>614</v>
      </c>
      <c r="H723" s="163" t="s">
        <v>387</v>
      </c>
      <c r="I723" s="161" t="n">
        <v>100</v>
      </c>
      <c r="J723" s="156" t="s">
        <v>192</v>
      </c>
      <c r="K723" s="199" t="n">
        <v>45453.102650463</v>
      </c>
      <c r="L723" s="1" t="n">
        <v>2</v>
      </c>
      <c r="M723" s="1" t="n">
        <v>11171</v>
      </c>
      <c r="N723" s="1" t="n">
        <v>443</v>
      </c>
    </row>
    <row r="724" customFormat="false" ht="14.25" hidden="false" customHeight="false" outlineLevel="0" collapsed="false">
      <c r="A724" s="1" t="n">
        <v>211</v>
      </c>
      <c r="B724" s="1" t="s">
        <v>565</v>
      </c>
      <c r="C724" s="1" t="s">
        <v>566</v>
      </c>
      <c r="D724" s="1" t="n">
        <v>11171</v>
      </c>
      <c r="E724" s="1" t="s">
        <v>55</v>
      </c>
      <c r="F724" s="198" t="n">
        <v>200025888617</v>
      </c>
      <c r="G724" s="198" t="s">
        <v>614</v>
      </c>
      <c r="H724" s="163" t="s">
        <v>387</v>
      </c>
      <c r="I724" s="161" t="n">
        <v>100</v>
      </c>
      <c r="J724" s="156" t="s">
        <v>192</v>
      </c>
      <c r="K724" s="199" t="n">
        <v>45453.1028472222</v>
      </c>
      <c r="L724" s="1" t="n">
        <v>0</v>
      </c>
      <c r="M724" s="1" t="n">
        <v>11171</v>
      </c>
      <c r="N724" s="1" t="n">
        <v>444</v>
      </c>
    </row>
    <row r="725" customFormat="false" ht="14.25" hidden="false" customHeight="false" outlineLevel="0" collapsed="false">
      <c r="A725" s="1" t="n">
        <v>212</v>
      </c>
      <c r="B725" s="1" t="s">
        <v>565</v>
      </c>
      <c r="C725" s="1" t="s">
        <v>566</v>
      </c>
      <c r="D725" s="1" t="n">
        <v>11171</v>
      </c>
      <c r="E725" s="1" t="s">
        <v>55</v>
      </c>
      <c r="F725" s="198" t="n">
        <v>200025889098</v>
      </c>
      <c r="G725" s="198" t="s">
        <v>689</v>
      </c>
      <c r="H725" s="163" t="s">
        <v>433</v>
      </c>
      <c r="I725" s="161" t="n">
        <v>46</v>
      </c>
      <c r="J725" s="156" t="s">
        <v>192</v>
      </c>
      <c r="K725" s="199" t="n">
        <v>45453.1071990741</v>
      </c>
      <c r="L725" s="1" t="n">
        <v>2</v>
      </c>
      <c r="M725" s="1" t="n">
        <v>11171</v>
      </c>
      <c r="N725" s="1" t="n">
        <v>445</v>
      </c>
    </row>
    <row r="726" customFormat="false" ht="14.25" hidden="false" customHeight="false" outlineLevel="0" collapsed="false">
      <c r="A726" s="1" t="n">
        <v>213</v>
      </c>
      <c r="B726" s="1" t="s">
        <v>565</v>
      </c>
      <c r="C726" s="1" t="s">
        <v>566</v>
      </c>
      <c r="D726" s="1" t="n">
        <v>11171</v>
      </c>
      <c r="E726" s="1" t="s">
        <v>55</v>
      </c>
      <c r="F726" s="198" t="n">
        <v>200025888632</v>
      </c>
      <c r="G726" s="198" t="s">
        <v>598</v>
      </c>
      <c r="H726" s="163" t="s">
        <v>393</v>
      </c>
      <c r="I726" s="161" t="n">
        <v>83</v>
      </c>
      <c r="J726" s="156" t="s">
        <v>192</v>
      </c>
      <c r="K726" s="199" t="n">
        <v>45453.2598032407</v>
      </c>
      <c r="L726" s="1" t="n">
        <v>3</v>
      </c>
      <c r="M726" s="1" t="n">
        <v>11171</v>
      </c>
      <c r="N726" s="1" t="n">
        <v>446</v>
      </c>
    </row>
    <row r="727" customFormat="false" ht="14.25" hidden="false" customHeight="false" outlineLevel="0" collapsed="false">
      <c r="A727" s="1" t="n">
        <v>214</v>
      </c>
      <c r="B727" s="1" t="s">
        <v>565</v>
      </c>
      <c r="C727" s="1" t="s">
        <v>566</v>
      </c>
      <c r="D727" s="1" t="n">
        <v>11171</v>
      </c>
      <c r="E727" s="1" t="s">
        <v>55</v>
      </c>
      <c r="F727" s="198" t="n">
        <v>200025889163</v>
      </c>
      <c r="G727" s="198" t="s">
        <v>612</v>
      </c>
      <c r="H727" s="163" t="s">
        <v>333</v>
      </c>
      <c r="I727" s="161" t="n">
        <v>21</v>
      </c>
      <c r="J727" s="156" t="s">
        <v>192</v>
      </c>
      <c r="K727" s="199" t="n">
        <v>45453.2628819444</v>
      </c>
      <c r="L727" s="1" t="n">
        <v>1</v>
      </c>
      <c r="M727" s="1" t="n">
        <v>11171</v>
      </c>
      <c r="N727" s="1" t="n">
        <v>447</v>
      </c>
    </row>
    <row r="728" customFormat="false" ht="14.25" hidden="false" customHeight="false" outlineLevel="0" collapsed="false">
      <c r="A728" s="1" t="n">
        <v>215</v>
      </c>
      <c r="B728" s="1" t="s">
        <v>565</v>
      </c>
      <c r="C728" s="1" t="s">
        <v>566</v>
      </c>
      <c r="D728" s="1" t="n">
        <v>11171</v>
      </c>
      <c r="E728" s="1" t="s">
        <v>55</v>
      </c>
      <c r="F728" s="198" t="n">
        <v>200025889163</v>
      </c>
      <c r="G728" s="198" t="s">
        <v>612</v>
      </c>
      <c r="H728" s="163" t="s">
        <v>333</v>
      </c>
      <c r="I728" s="161" t="n">
        <v>21</v>
      </c>
      <c r="J728" s="156" t="s">
        <v>192</v>
      </c>
      <c r="K728" s="199" t="n">
        <v>45453.2628935185</v>
      </c>
      <c r="L728" s="1" t="n">
        <v>1</v>
      </c>
      <c r="M728" s="1" t="n">
        <v>11171</v>
      </c>
      <c r="N728" s="1" t="n">
        <v>448</v>
      </c>
    </row>
    <row r="729" customFormat="false" ht="14.25" hidden="false" customHeight="false" outlineLevel="0" collapsed="false">
      <c r="A729" s="1" t="n">
        <v>216</v>
      </c>
      <c r="B729" s="1" t="s">
        <v>565</v>
      </c>
      <c r="C729" s="1" t="s">
        <v>566</v>
      </c>
      <c r="D729" s="1" t="n">
        <v>11171</v>
      </c>
      <c r="E729" s="1" t="s">
        <v>55</v>
      </c>
      <c r="F729" s="198" t="n">
        <v>200025889163</v>
      </c>
      <c r="G729" s="198" t="s">
        <v>612</v>
      </c>
      <c r="H729" s="163" t="s">
        <v>333</v>
      </c>
      <c r="I729" s="161" t="n">
        <v>21</v>
      </c>
      <c r="J729" s="156" t="s">
        <v>192</v>
      </c>
      <c r="K729" s="199" t="n">
        <v>45453.2630208333</v>
      </c>
      <c r="L729" s="1" t="n">
        <v>0</v>
      </c>
      <c r="M729" s="1" t="n">
        <v>11171</v>
      </c>
      <c r="N729" s="1" t="n">
        <v>449</v>
      </c>
    </row>
    <row r="730" customFormat="false" ht="14.25" hidden="false" customHeight="false" outlineLevel="0" collapsed="false">
      <c r="A730" s="1" t="n">
        <v>217</v>
      </c>
      <c r="B730" s="1" t="s">
        <v>565</v>
      </c>
      <c r="C730" s="1" t="s">
        <v>566</v>
      </c>
      <c r="D730" s="1" t="n">
        <v>11171</v>
      </c>
      <c r="E730" s="1" t="s">
        <v>55</v>
      </c>
      <c r="F730" s="198" t="n">
        <v>200025889791</v>
      </c>
      <c r="G730" s="198" t="s">
        <v>688</v>
      </c>
      <c r="H730" s="163" t="s">
        <v>510</v>
      </c>
      <c r="I730" s="161" t="n">
        <v>80</v>
      </c>
      <c r="J730" s="156" t="s">
        <v>192</v>
      </c>
      <c r="K730" s="199" t="n">
        <v>45453.2722685185</v>
      </c>
      <c r="L730" s="1" t="n">
        <v>2</v>
      </c>
      <c r="M730" s="1" t="n">
        <v>11171</v>
      </c>
      <c r="N730" s="1" t="n">
        <v>450</v>
      </c>
    </row>
    <row r="731" customFormat="false" ht="14.25" hidden="false" customHeight="false" outlineLevel="0" collapsed="false">
      <c r="A731" s="1" t="n">
        <v>218</v>
      </c>
      <c r="B731" s="1" t="s">
        <v>565</v>
      </c>
      <c r="C731" s="1" t="s">
        <v>566</v>
      </c>
      <c r="D731" s="1" t="n">
        <v>11171</v>
      </c>
      <c r="E731" s="1" t="s">
        <v>55</v>
      </c>
      <c r="F731" s="198" t="n">
        <v>200025889791</v>
      </c>
      <c r="G731" s="198" t="s">
        <v>688</v>
      </c>
      <c r="H731" s="163" t="s">
        <v>510</v>
      </c>
      <c r="I731" s="161" t="n">
        <v>80</v>
      </c>
      <c r="J731" s="156" t="s">
        <v>192</v>
      </c>
      <c r="K731" s="199" t="n">
        <v>45453.2725694444</v>
      </c>
      <c r="L731" s="1" t="n">
        <v>1</v>
      </c>
      <c r="M731" s="1" t="n">
        <v>11171</v>
      </c>
      <c r="N731" s="1" t="n">
        <v>451</v>
      </c>
    </row>
    <row r="732" customFormat="false" ht="14.25" hidden="false" customHeight="false" outlineLevel="0" collapsed="false">
      <c r="A732" s="1" t="n">
        <v>219</v>
      </c>
      <c r="B732" s="1" t="s">
        <v>565</v>
      </c>
      <c r="C732" s="1" t="s">
        <v>566</v>
      </c>
      <c r="D732" s="1" t="n">
        <v>11171</v>
      </c>
      <c r="E732" s="1" t="s">
        <v>55</v>
      </c>
      <c r="F732" s="198" t="n">
        <v>200025888632</v>
      </c>
      <c r="G732" s="198" t="s">
        <v>598</v>
      </c>
      <c r="H732" s="163" t="s">
        <v>393</v>
      </c>
      <c r="I732" s="161" t="n">
        <v>83</v>
      </c>
      <c r="J732" s="156" t="s">
        <v>192</v>
      </c>
      <c r="K732" s="199" t="n">
        <v>45453.3222800926</v>
      </c>
      <c r="L732" s="1" t="n">
        <v>0</v>
      </c>
      <c r="M732" s="1" t="n">
        <v>11171</v>
      </c>
      <c r="N732" s="1" t="n">
        <v>452</v>
      </c>
    </row>
    <row r="733" customFormat="false" ht="14.25" hidden="false" customHeight="false" outlineLevel="0" collapsed="false">
      <c r="A733" s="1" t="n">
        <v>220</v>
      </c>
      <c r="B733" s="1" t="s">
        <v>565</v>
      </c>
      <c r="C733" s="1" t="s">
        <v>566</v>
      </c>
      <c r="D733" s="1" t="n">
        <v>11171</v>
      </c>
      <c r="E733" s="1" t="s">
        <v>55</v>
      </c>
      <c r="F733" s="198" t="n">
        <v>200025888632</v>
      </c>
      <c r="G733" s="198" t="s">
        <v>598</v>
      </c>
      <c r="H733" s="163" t="s">
        <v>393</v>
      </c>
      <c r="I733" s="161" t="n">
        <v>83</v>
      </c>
      <c r="J733" s="156" t="s">
        <v>192</v>
      </c>
      <c r="K733" s="199" t="n">
        <v>45453.3222800926</v>
      </c>
      <c r="L733" s="1" t="n">
        <v>1</v>
      </c>
      <c r="M733" s="1" t="n">
        <v>11171</v>
      </c>
      <c r="N733" s="1" t="n">
        <v>453</v>
      </c>
    </row>
    <row r="734" customFormat="false" ht="14.25" hidden="false" customHeight="false" outlineLevel="0" collapsed="false">
      <c r="A734" s="1" t="n">
        <v>221</v>
      </c>
      <c r="B734" s="1" t="s">
        <v>565</v>
      </c>
      <c r="C734" s="1" t="s">
        <v>566</v>
      </c>
      <c r="D734" s="1" t="n">
        <v>11171</v>
      </c>
      <c r="E734" s="1" t="s">
        <v>55</v>
      </c>
      <c r="F734" s="198" t="n">
        <v>200025889163</v>
      </c>
      <c r="G734" s="198" t="s">
        <v>612</v>
      </c>
      <c r="H734" s="163" t="s">
        <v>333</v>
      </c>
      <c r="I734" s="161" t="n">
        <v>21</v>
      </c>
      <c r="J734" s="156" t="s">
        <v>192</v>
      </c>
      <c r="K734" s="199" t="n">
        <v>45453.3245949074</v>
      </c>
      <c r="L734" s="1" t="n">
        <v>1</v>
      </c>
      <c r="M734" s="1" t="n">
        <v>11171</v>
      </c>
      <c r="N734" s="1" t="n">
        <v>454</v>
      </c>
    </row>
    <row r="735" customFormat="false" ht="14.25" hidden="false" customHeight="false" outlineLevel="0" collapsed="false">
      <c r="A735" s="1" t="n">
        <v>222</v>
      </c>
      <c r="B735" s="1" t="s">
        <v>565</v>
      </c>
      <c r="C735" s="1" t="s">
        <v>566</v>
      </c>
      <c r="D735" s="1" t="n">
        <v>11171</v>
      </c>
      <c r="E735" s="1" t="s">
        <v>55</v>
      </c>
      <c r="F735" s="198" t="n">
        <v>200025889163</v>
      </c>
      <c r="G735" s="198" t="s">
        <v>612</v>
      </c>
      <c r="H735" s="163" t="s">
        <v>333</v>
      </c>
      <c r="I735" s="161" t="n">
        <v>21</v>
      </c>
      <c r="J735" s="156" t="s">
        <v>192</v>
      </c>
      <c r="K735" s="199" t="n">
        <v>45453.3251967593</v>
      </c>
      <c r="L735" s="1" t="n">
        <v>3</v>
      </c>
      <c r="M735" s="1" t="n">
        <v>11171</v>
      </c>
      <c r="N735" s="1" t="n">
        <v>455</v>
      </c>
    </row>
    <row r="736" customFormat="false" ht="14.25" hidden="false" customHeight="false" outlineLevel="0" collapsed="false">
      <c r="A736" s="1" t="n">
        <v>223</v>
      </c>
      <c r="B736" s="1" t="s">
        <v>565</v>
      </c>
      <c r="C736" s="1" t="s">
        <v>566</v>
      </c>
      <c r="D736" s="1" t="n">
        <v>11171</v>
      </c>
      <c r="E736" s="1" t="s">
        <v>55</v>
      </c>
      <c r="F736" s="198" t="n">
        <v>200025888632</v>
      </c>
      <c r="G736" s="198" t="s">
        <v>598</v>
      </c>
      <c r="H736" s="163" t="s">
        <v>393</v>
      </c>
      <c r="I736" s="161" t="n">
        <v>83</v>
      </c>
      <c r="J736" s="156" t="s">
        <v>192</v>
      </c>
      <c r="K736" s="199" t="n">
        <v>45453.3259606482</v>
      </c>
      <c r="L736" s="1" t="n">
        <v>2</v>
      </c>
      <c r="M736" s="1" t="n">
        <v>11171</v>
      </c>
      <c r="N736" s="1" t="n">
        <v>456</v>
      </c>
    </row>
    <row r="737" customFormat="false" ht="14.25" hidden="false" customHeight="false" outlineLevel="0" collapsed="false">
      <c r="A737" s="1" t="n">
        <v>224</v>
      </c>
      <c r="B737" s="1" t="s">
        <v>565</v>
      </c>
      <c r="C737" s="1" t="s">
        <v>566</v>
      </c>
      <c r="D737" s="1" t="n">
        <v>11171</v>
      </c>
      <c r="E737" s="1" t="s">
        <v>55</v>
      </c>
      <c r="F737" s="198" t="n">
        <v>200025888632</v>
      </c>
      <c r="G737" s="198" t="s">
        <v>598</v>
      </c>
      <c r="H737" s="163" t="s">
        <v>393</v>
      </c>
      <c r="I737" s="161" t="n">
        <v>83</v>
      </c>
      <c r="J737" s="156" t="s">
        <v>192</v>
      </c>
      <c r="K737" s="199" t="n">
        <v>45453.32625</v>
      </c>
      <c r="L737" s="1" t="n">
        <v>2</v>
      </c>
      <c r="M737" s="1" t="n">
        <v>11171</v>
      </c>
      <c r="N737" s="1" t="n">
        <v>457</v>
      </c>
    </row>
    <row r="738" customFormat="false" ht="14.25" hidden="false" customHeight="false" outlineLevel="0" collapsed="false">
      <c r="A738" s="1" t="n">
        <v>225</v>
      </c>
      <c r="B738" s="1" t="s">
        <v>565</v>
      </c>
      <c r="C738" s="1" t="s">
        <v>566</v>
      </c>
      <c r="D738" s="1" t="n">
        <v>11171</v>
      </c>
      <c r="E738" s="1" t="s">
        <v>55</v>
      </c>
      <c r="F738" s="198" t="n">
        <v>200025888632</v>
      </c>
      <c r="G738" s="198" t="s">
        <v>598</v>
      </c>
      <c r="H738" s="163" t="s">
        <v>393</v>
      </c>
      <c r="I738" s="161" t="n">
        <v>83</v>
      </c>
      <c r="J738" s="156" t="s">
        <v>192</v>
      </c>
      <c r="K738" s="199" t="n">
        <v>45453.3262847222</v>
      </c>
      <c r="L738" s="1" t="n">
        <v>1</v>
      </c>
      <c r="M738" s="1" t="n">
        <v>11171</v>
      </c>
      <c r="N738" s="1" t="n">
        <v>458</v>
      </c>
    </row>
    <row r="739" customFormat="false" ht="14.25" hidden="false" customHeight="false" outlineLevel="0" collapsed="false">
      <c r="A739" s="1" t="n">
        <v>226</v>
      </c>
      <c r="B739" s="1" t="s">
        <v>565</v>
      </c>
      <c r="C739" s="1" t="s">
        <v>566</v>
      </c>
      <c r="D739" s="1" t="n">
        <v>11171</v>
      </c>
      <c r="E739" s="1" t="s">
        <v>55</v>
      </c>
      <c r="F739" s="198" t="n">
        <v>200025888632</v>
      </c>
      <c r="G739" s="198" t="s">
        <v>598</v>
      </c>
      <c r="H739" s="163" t="s">
        <v>393</v>
      </c>
      <c r="I739" s="161" t="n">
        <v>83</v>
      </c>
      <c r="J739" s="156" t="s">
        <v>192</v>
      </c>
      <c r="K739" s="199" t="n">
        <v>45453.3264814815</v>
      </c>
      <c r="L739" s="1" t="n">
        <v>0</v>
      </c>
      <c r="M739" s="1" t="n">
        <v>11171</v>
      </c>
      <c r="N739" s="1" t="n">
        <v>459</v>
      </c>
    </row>
    <row r="740" customFormat="false" ht="14.25" hidden="false" customHeight="false" outlineLevel="0" collapsed="false">
      <c r="A740" s="1" t="n">
        <v>227</v>
      </c>
      <c r="B740" s="1" t="s">
        <v>565</v>
      </c>
      <c r="C740" s="1" t="s">
        <v>566</v>
      </c>
      <c r="D740" s="1" t="n">
        <v>11171</v>
      </c>
      <c r="E740" s="1" t="s">
        <v>55</v>
      </c>
      <c r="F740" s="198" t="n">
        <v>200025888632</v>
      </c>
      <c r="G740" s="198" t="s">
        <v>598</v>
      </c>
      <c r="H740" s="163" t="s">
        <v>393</v>
      </c>
      <c r="I740" s="161" t="n">
        <v>83</v>
      </c>
      <c r="J740" s="156" t="s">
        <v>192</v>
      </c>
      <c r="K740" s="199" t="n">
        <v>45453.3264930556</v>
      </c>
      <c r="L740" s="1" t="n">
        <v>1</v>
      </c>
      <c r="M740" s="1" t="n">
        <v>11171</v>
      </c>
      <c r="N740" s="1" t="n">
        <v>460</v>
      </c>
    </row>
    <row r="741" customFormat="false" ht="14.25" hidden="false" customHeight="false" outlineLevel="0" collapsed="false">
      <c r="A741" s="1" t="n">
        <v>228</v>
      </c>
      <c r="B741" s="1" t="s">
        <v>565</v>
      </c>
      <c r="C741" s="1" t="s">
        <v>566</v>
      </c>
      <c r="D741" s="1" t="n">
        <v>11171</v>
      </c>
      <c r="E741" s="1" t="s">
        <v>55</v>
      </c>
      <c r="F741" s="198" t="n">
        <v>200025889791</v>
      </c>
      <c r="G741" s="198" t="s">
        <v>688</v>
      </c>
      <c r="H741" s="163" t="s">
        <v>510</v>
      </c>
      <c r="I741" s="161" t="n">
        <v>80</v>
      </c>
      <c r="J741" s="156" t="s">
        <v>192</v>
      </c>
      <c r="K741" s="199" t="n">
        <v>45453.3289351852</v>
      </c>
      <c r="L741" s="1" t="n">
        <v>1</v>
      </c>
      <c r="M741" s="1" t="n">
        <v>11171</v>
      </c>
      <c r="N741" s="1" t="n">
        <v>461</v>
      </c>
    </row>
    <row r="742" customFormat="false" ht="14.25" hidden="false" customHeight="false" outlineLevel="0" collapsed="false">
      <c r="A742" s="1" t="n">
        <v>229</v>
      </c>
      <c r="B742" s="1" t="s">
        <v>565</v>
      </c>
      <c r="C742" s="1" t="s">
        <v>566</v>
      </c>
      <c r="D742" s="1" t="n">
        <v>11171</v>
      </c>
      <c r="E742" s="1" t="s">
        <v>55</v>
      </c>
      <c r="F742" s="198" t="n">
        <v>200025888632</v>
      </c>
      <c r="G742" s="198" t="s">
        <v>598</v>
      </c>
      <c r="H742" s="163" t="s">
        <v>393</v>
      </c>
      <c r="I742" s="161" t="n">
        <v>83</v>
      </c>
      <c r="J742" s="156" t="s">
        <v>192</v>
      </c>
      <c r="K742" s="199" t="n">
        <v>45453.3389467593</v>
      </c>
      <c r="L742" s="1" t="n">
        <v>2</v>
      </c>
      <c r="M742" s="1" t="n">
        <v>11171</v>
      </c>
      <c r="N742" s="1" t="n">
        <v>462</v>
      </c>
    </row>
    <row r="743" customFormat="false" ht="14.25" hidden="false" customHeight="false" outlineLevel="0" collapsed="false">
      <c r="A743" s="1" t="n">
        <v>230</v>
      </c>
      <c r="B743" s="1" t="s">
        <v>565</v>
      </c>
      <c r="C743" s="1" t="s">
        <v>566</v>
      </c>
      <c r="D743" s="1" t="n">
        <v>11171</v>
      </c>
      <c r="E743" s="1" t="s">
        <v>55</v>
      </c>
      <c r="F743" s="198" t="n">
        <v>200025888632</v>
      </c>
      <c r="G743" s="198" t="s">
        <v>598</v>
      </c>
      <c r="H743" s="163" t="s">
        <v>393</v>
      </c>
      <c r="I743" s="161" t="n">
        <v>83</v>
      </c>
      <c r="J743" s="156" t="s">
        <v>192</v>
      </c>
      <c r="K743" s="199" t="n">
        <v>45453.3488194444</v>
      </c>
      <c r="L743" s="1" t="n">
        <v>1</v>
      </c>
      <c r="M743" s="1" t="n">
        <v>11171</v>
      </c>
      <c r="N743" s="1" t="n">
        <v>463</v>
      </c>
    </row>
    <row r="744" customFormat="false" ht="14.25" hidden="false" customHeight="false" outlineLevel="0" collapsed="false">
      <c r="A744" s="1" t="n">
        <v>231</v>
      </c>
      <c r="B744" s="1" t="s">
        <v>565</v>
      </c>
      <c r="C744" s="1" t="s">
        <v>566</v>
      </c>
      <c r="D744" s="1" t="n">
        <v>11171</v>
      </c>
      <c r="E744" s="1" t="s">
        <v>55</v>
      </c>
      <c r="F744" s="198" t="n">
        <v>200025888632</v>
      </c>
      <c r="G744" s="198" t="s">
        <v>598</v>
      </c>
      <c r="H744" s="163" t="s">
        <v>393</v>
      </c>
      <c r="I744" s="161" t="n">
        <v>83</v>
      </c>
      <c r="J744" s="156" t="s">
        <v>192</v>
      </c>
      <c r="K744" s="199" t="n">
        <v>45453.3488310185</v>
      </c>
      <c r="L744" s="1" t="n">
        <v>14</v>
      </c>
      <c r="M744" s="1" t="n">
        <v>11171</v>
      </c>
      <c r="N744" s="1" t="n">
        <v>464</v>
      </c>
    </row>
    <row r="745" customFormat="false" ht="14.25" hidden="false" customHeight="false" outlineLevel="0" collapsed="false">
      <c r="A745" s="1" t="n">
        <v>232</v>
      </c>
      <c r="B745" s="1" t="s">
        <v>565</v>
      </c>
      <c r="C745" s="1" t="s">
        <v>566</v>
      </c>
      <c r="D745" s="1" t="n">
        <v>11171</v>
      </c>
      <c r="E745" s="1" t="s">
        <v>55</v>
      </c>
      <c r="F745" s="198" t="n">
        <v>200025888632</v>
      </c>
      <c r="G745" s="198" t="s">
        <v>598</v>
      </c>
      <c r="H745" s="163" t="s">
        <v>393</v>
      </c>
      <c r="I745" s="161" t="n">
        <v>83</v>
      </c>
      <c r="J745" s="156" t="s">
        <v>192</v>
      </c>
      <c r="K745" s="199" t="n">
        <v>45453.3490046296</v>
      </c>
      <c r="L745" s="1" t="n">
        <v>0</v>
      </c>
      <c r="M745" s="1" t="n">
        <v>11171</v>
      </c>
      <c r="N745" s="1" t="n">
        <v>465</v>
      </c>
    </row>
    <row r="746" customFormat="false" ht="14.25" hidden="false" customHeight="false" outlineLevel="0" collapsed="false">
      <c r="A746" s="1" t="n">
        <v>233</v>
      </c>
      <c r="B746" s="1" t="s">
        <v>565</v>
      </c>
      <c r="C746" s="1" t="s">
        <v>566</v>
      </c>
      <c r="D746" s="1" t="n">
        <v>11171</v>
      </c>
      <c r="E746" s="1" t="s">
        <v>55</v>
      </c>
      <c r="F746" s="198" t="n">
        <v>200025888632</v>
      </c>
      <c r="G746" s="198" t="s">
        <v>598</v>
      </c>
      <c r="H746" s="163" t="s">
        <v>393</v>
      </c>
      <c r="I746" s="161" t="n">
        <v>83</v>
      </c>
      <c r="J746" s="156" t="s">
        <v>192</v>
      </c>
      <c r="K746" s="199" t="n">
        <v>45453.3750115741</v>
      </c>
      <c r="L746" s="1" t="n">
        <v>1</v>
      </c>
      <c r="M746" s="1" t="n">
        <v>11171</v>
      </c>
      <c r="N746" s="1" t="n">
        <v>466</v>
      </c>
    </row>
    <row r="747" customFormat="false" ht="14.25" hidden="false" customHeight="false" outlineLevel="0" collapsed="false">
      <c r="A747" s="1" t="n">
        <v>234</v>
      </c>
      <c r="B747" s="1" t="s">
        <v>565</v>
      </c>
      <c r="C747" s="1" t="s">
        <v>566</v>
      </c>
      <c r="D747" s="1" t="n">
        <v>11171</v>
      </c>
      <c r="E747" s="1" t="s">
        <v>55</v>
      </c>
      <c r="F747" s="198" t="n">
        <v>200025888632</v>
      </c>
      <c r="G747" s="198" t="s">
        <v>598</v>
      </c>
      <c r="H747" s="163" t="s">
        <v>393</v>
      </c>
      <c r="I747" s="161" t="n">
        <v>83</v>
      </c>
      <c r="J747" s="156" t="s">
        <v>192</v>
      </c>
      <c r="K747" s="199" t="n">
        <v>45453.3753819445</v>
      </c>
      <c r="L747" s="1" t="n">
        <v>0</v>
      </c>
      <c r="M747" s="1" t="n">
        <v>11171</v>
      </c>
      <c r="N747" s="1" t="n">
        <v>467</v>
      </c>
    </row>
    <row r="748" customFormat="false" ht="14.25" hidden="false" customHeight="false" outlineLevel="0" collapsed="false">
      <c r="A748" s="1" t="n">
        <v>235</v>
      </c>
      <c r="B748" s="1" t="s">
        <v>565</v>
      </c>
      <c r="C748" s="1" t="s">
        <v>566</v>
      </c>
      <c r="D748" s="1" t="n">
        <v>11171</v>
      </c>
      <c r="E748" s="1" t="s">
        <v>55</v>
      </c>
      <c r="F748" s="198" t="n">
        <v>200025888632</v>
      </c>
      <c r="G748" s="198" t="s">
        <v>598</v>
      </c>
      <c r="H748" s="163" t="s">
        <v>393</v>
      </c>
      <c r="I748" s="161" t="n">
        <v>83</v>
      </c>
      <c r="J748" s="156" t="s">
        <v>192</v>
      </c>
      <c r="K748" s="199" t="n">
        <v>45453.3753935185</v>
      </c>
      <c r="L748" s="1" t="n">
        <v>1</v>
      </c>
      <c r="M748" s="1" t="n">
        <v>11171</v>
      </c>
      <c r="N748" s="1" t="n">
        <v>468</v>
      </c>
    </row>
    <row r="749" customFormat="false" ht="14.25" hidden="false" customHeight="false" outlineLevel="0" collapsed="false">
      <c r="A749" s="1" t="n">
        <v>236</v>
      </c>
      <c r="B749" s="1" t="s">
        <v>565</v>
      </c>
      <c r="C749" s="1" t="s">
        <v>566</v>
      </c>
      <c r="D749" s="1" t="n">
        <v>11171</v>
      </c>
      <c r="E749" s="1" t="s">
        <v>55</v>
      </c>
      <c r="F749" s="198" t="n">
        <v>200025888632</v>
      </c>
      <c r="G749" s="198" t="s">
        <v>598</v>
      </c>
      <c r="H749" s="163" t="s">
        <v>393</v>
      </c>
      <c r="I749" s="161" t="n">
        <v>83</v>
      </c>
      <c r="J749" s="156" t="s">
        <v>192</v>
      </c>
      <c r="K749" s="199" t="n">
        <v>45453.3759143519</v>
      </c>
      <c r="L749" s="1" t="n">
        <v>1</v>
      </c>
      <c r="M749" s="1" t="n">
        <v>11171</v>
      </c>
      <c r="N749" s="1" t="n">
        <v>469</v>
      </c>
    </row>
    <row r="750" customFormat="false" ht="14.25" hidden="false" customHeight="false" outlineLevel="0" collapsed="false">
      <c r="A750" s="1" t="n">
        <v>237</v>
      </c>
      <c r="B750" s="1" t="s">
        <v>565</v>
      </c>
      <c r="C750" s="1" t="s">
        <v>566</v>
      </c>
      <c r="D750" s="1" t="n">
        <v>11171</v>
      </c>
      <c r="E750" s="1" t="s">
        <v>55</v>
      </c>
      <c r="F750" s="198" t="n">
        <v>200025888632</v>
      </c>
      <c r="G750" s="198" t="s">
        <v>598</v>
      </c>
      <c r="H750" s="163" t="s">
        <v>393</v>
      </c>
      <c r="I750" s="161" t="n">
        <v>83</v>
      </c>
      <c r="J750" s="156" t="s">
        <v>192</v>
      </c>
      <c r="K750" s="199" t="n">
        <v>45453.3760185185</v>
      </c>
      <c r="L750" s="1" t="n">
        <v>3</v>
      </c>
      <c r="M750" s="1" t="n">
        <v>11171</v>
      </c>
      <c r="N750" s="1" t="n">
        <v>470</v>
      </c>
    </row>
    <row r="751" customFormat="false" ht="14.25" hidden="false" customHeight="false" outlineLevel="0" collapsed="false">
      <c r="A751" s="1" t="n">
        <v>238</v>
      </c>
      <c r="B751" s="1" t="s">
        <v>565</v>
      </c>
      <c r="C751" s="1" t="s">
        <v>566</v>
      </c>
      <c r="D751" s="1" t="n">
        <v>11171</v>
      </c>
      <c r="E751" s="1" t="s">
        <v>55</v>
      </c>
      <c r="F751" s="198" t="n">
        <v>200025888632</v>
      </c>
      <c r="G751" s="198" t="s">
        <v>598</v>
      </c>
      <c r="H751" s="163" t="s">
        <v>393</v>
      </c>
      <c r="I751" s="161" t="n">
        <v>83</v>
      </c>
      <c r="J751" s="156" t="s">
        <v>192</v>
      </c>
      <c r="K751" s="199" t="n">
        <v>45453.3762731482</v>
      </c>
      <c r="L751" s="1" t="n">
        <v>0</v>
      </c>
      <c r="M751" s="1" t="n">
        <v>11171</v>
      </c>
      <c r="N751" s="1" t="n">
        <v>471</v>
      </c>
    </row>
    <row r="752" customFormat="false" ht="14.25" hidden="false" customHeight="false" outlineLevel="0" collapsed="false">
      <c r="A752" s="1" t="n">
        <v>239</v>
      </c>
      <c r="B752" s="1" t="s">
        <v>565</v>
      </c>
      <c r="C752" s="1" t="s">
        <v>566</v>
      </c>
      <c r="D752" s="1" t="n">
        <v>11171</v>
      </c>
      <c r="E752" s="1" t="s">
        <v>55</v>
      </c>
      <c r="F752" s="198" t="n">
        <v>200025888632</v>
      </c>
      <c r="G752" s="198" t="s">
        <v>598</v>
      </c>
      <c r="H752" s="163" t="s">
        <v>393</v>
      </c>
      <c r="I752" s="161" t="n">
        <v>83</v>
      </c>
      <c r="J752" s="156" t="s">
        <v>192</v>
      </c>
      <c r="K752" s="199" t="n">
        <v>45453.3763773148</v>
      </c>
      <c r="L752" s="1" t="n">
        <v>0</v>
      </c>
      <c r="M752" s="1" t="n">
        <v>11171</v>
      </c>
      <c r="N752" s="1" t="n">
        <v>472</v>
      </c>
    </row>
    <row r="753" customFormat="false" ht="14.25" hidden="false" customHeight="false" outlineLevel="0" collapsed="false">
      <c r="A753" s="1" t="n">
        <v>240</v>
      </c>
      <c r="B753" s="1" t="s">
        <v>565</v>
      </c>
      <c r="C753" s="1" t="s">
        <v>566</v>
      </c>
      <c r="D753" s="1" t="n">
        <v>11171</v>
      </c>
      <c r="E753" s="1" t="s">
        <v>55</v>
      </c>
      <c r="F753" s="198" t="n">
        <v>200025888632</v>
      </c>
      <c r="G753" s="198" t="s">
        <v>598</v>
      </c>
      <c r="H753" s="163" t="s">
        <v>393</v>
      </c>
      <c r="I753" s="161" t="n">
        <v>83</v>
      </c>
      <c r="J753" s="156" t="s">
        <v>192</v>
      </c>
      <c r="K753" s="199" t="n">
        <v>45453.3763888889</v>
      </c>
      <c r="L753" s="1" t="n">
        <v>0</v>
      </c>
      <c r="M753" s="1" t="n">
        <v>11171</v>
      </c>
      <c r="N753" s="1" t="n">
        <v>473</v>
      </c>
    </row>
    <row r="754" customFormat="false" ht="14.25" hidden="false" customHeight="false" outlineLevel="0" collapsed="false">
      <c r="A754" s="1" t="n">
        <v>241</v>
      </c>
      <c r="B754" s="1" t="s">
        <v>565</v>
      </c>
      <c r="C754" s="1" t="s">
        <v>566</v>
      </c>
      <c r="D754" s="1" t="n">
        <v>11171</v>
      </c>
      <c r="E754" s="1" t="s">
        <v>55</v>
      </c>
      <c r="F754" s="198" t="n">
        <v>200025888632</v>
      </c>
      <c r="G754" s="198" t="s">
        <v>598</v>
      </c>
      <c r="H754" s="163" t="s">
        <v>393</v>
      </c>
      <c r="I754" s="161" t="n">
        <v>83</v>
      </c>
      <c r="J754" s="156" t="s">
        <v>192</v>
      </c>
      <c r="K754" s="199" t="n">
        <v>45453.3768287037</v>
      </c>
      <c r="L754" s="1" t="n">
        <v>1</v>
      </c>
      <c r="M754" s="1" t="n">
        <v>11171</v>
      </c>
      <c r="N754" s="1" t="n">
        <v>474</v>
      </c>
    </row>
    <row r="755" customFormat="false" ht="14.25" hidden="false" customHeight="false" outlineLevel="0" collapsed="false">
      <c r="A755" s="1" t="n">
        <v>242</v>
      </c>
      <c r="B755" s="1" t="s">
        <v>565</v>
      </c>
      <c r="C755" s="1" t="s">
        <v>566</v>
      </c>
      <c r="D755" s="1" t="n">
        <v>11171</v>
      </c>
      <c r="E755" s="1" t="s">
        <v>55</v>
      </c>
      <c r="F755" s="198" t="n">
        <v>200025888632</v>
      </c>
      <c r="G755" s="198" t="s">
        <v>598</v>
      </c>
      <c r="H755" s="163" t="s">
        <v>393</v>
      </c>
      <c r="I755" s="161" t="n">
        <v>83</v>
      </c>
      <c r="J755" s="156" t="s">
        <v>192</v>
      </c>
      <c r="K755" s="199" t="n">
        <v>45453.3774537037</v>
      </c>
      <c r="L755" s="1" t="n">
        <v>2</v>
      </c>
      <c r="M755" s="1" t="n">
        <v>11171</v>
      </c>
      <c r="N755" s="1" t="n">
        <v>475</v>
      </c>
    </row>
    <row r="756" customFormat="false" ht="14.25" hidden="false" customHeight="false" outlineLevel="0" collapsed="false">
      <c r="A756" s="1" t="n">
        <v>243</v>
      </c>
      <c r="B756" s="1" t="s">
        <v>565</v>
      </c>
      <c r="C756" s="1" t="s">
        <v>566</v>
      </c>
      <c r="D756" s="1" t="n">
        <v>11171</v>
      </c>
      <c r="E756" s="1" t="s">
        <v>55</v>
      </c>
      <c r="F756" s="198" t="n">
        <v>200025888632</v>
      </c>
      <c r="G756" s="198" t="s">
        <v>598</v>
      </c>
      <c r="H756" s="163" t="s">
        <v>393</v>
      </c>
      <c r="I756" s="161" t="n">
        <v>83</v>
      </c>
      <c r="J756" s="156" t="s">
        <v>192</v>
      </c>
      <c r="K756" s="199" t="n">
        <v>45453.3775231482</v>
      </c>
      <c r="L756" s="1" t="n">
        <v>2</v>
      </c>
      <c r="M756" s="1" t="n">
        <v>11171</v>
      </c>
      <c r="N756" s="1" t="n">
        <v>476</v>
      </c>
    </row>
    <row r="757" customFormat="false" ht="14.25" hidden="false" customHeight="false" outlineLevel="0" collapsed="false">
      <c r="A757" s="1" t="n">
        <v>244</v>
      </c>
      <c r="B757" s="1" t="s">
        <v>565</v>
      </c>
      <c r="C757" s="1" t="s">
        <v>566</v>
      </c>
      <c r="D757" s="1" t="n">
        <v>11171</v>
      </c>
      <c r="E757" s="1" t="s">
        <v>55</v>
      </c>
      <c r="F757" s="198" t="n">
        <v>200025888839</v>
      </c>
      <c r="G757" s="198" t="s">
        <v>690</v>
      </c>
      <c r="H757" s="163" t="s">
        <v>297</v>
      </c>
      <c r="I757" s="161" t="n">
        <v>14</v>
      </c>
      <c r="J757" s="156" t="s">
        <v>192</v>
      </c>
      <c r="K757" s="199" t="n">
        <v>45453.4102083333</v>
      </c>
      <c r="L757" s="1" t="n">
        <v>0</v>
      </c>
      <c r="M757" s="1" t="n">
        <v>11171</v>
      </c>
      <c r="N757" s="1" t="n">
        <v>477</v>
      </c>
    </row>
    <row r="758" customFormat="false" ht="14.25" hidden="false" customHeight="false" outlineLevel="0" collapsed="false">
      <c r="A758" s="1" t="n">
        <v>245</v>
      </c>
      <c r="B758" s="1" t="s">
        <v>565</v>
      </c>
      <c r="C758" s="1" t="s">
        <v>566</v>
      </c>
      <c r="D758" s="1" t="n">
        <v>11171</v>
      </c>
      <c r="E758" s="1" t="s">
        <v>55</v>
      </c>
      <c r="F758" s="198" t="n">
        <v>200025888839</v>
      </c>
      <c r="G758" s="198" t="s">
        <v>690</v>
      </c>
      <c r="H758" s="163" t="s">
        <v>297</v>
      </c>
      <c r="I758" s="161" t="n">
        <v>14</v>
      </c>
      <c r="J758" s="156" t="s">
        <v>192</v>
      </c>
      <c r="K758" s="199" t="n">
        <v>45453.4105555556</v>
      </c>
      <c r="L758" s="1" t="n">
        <v>1</v>
      </c>
      <c r="M758" s="1" t="n">
        <v>11171</v>
      </c>
      <c r="N758" s="1" t="n">
        <v>478</v>
      </c>
    </row>
    <row r="759" customFormat="false" ht="14.25" hidden="false" customHeight="false" outlineLevel="0" collapsed="false">
      <c r="A759" s="1" t="n">
        <v>246</v>
      </c>
      <c r="B759" s="1" t="s">
        <v>565</v>
      </c>
      <c r="C759" s="1" t="s">
        <v>566</v>
      </c>
      <c r="D759" s="1" t="n">
        <v>11171</v>
      </c>
      <c r="E759" s="1" t="s">
        <v>55</v>
      </c>
      <c r="F759" s="198" t="n">
        <v>200025888632</v>
      </c>
      <c r="G759" s="198" t="s">
        <v>598</v>
      </c>
      <c r="H759" s="163" t="s">
        <v>393</v>
      </c>
      <c r="I759" s="161" t="n">
        <v>83</v>
      </c>
      <c r="J759" s="156" t="s">
        <v>192</v>
      </c>
      <c r="K759" s="199" t="n">
        <v>45453.4528819444</v>
      </c>
      <c r="L759" s="1" t="n">
        <v>1</v>
      </c>
      <c r="M759" s="1" t="n">
        <v>11171</v>
      </c>
      <c r="N759" s="1" t="n">
        <v>479</v>
      </c>
    </row>
    <row r="760" customFormat="false" ht="14.25" hidden="false" customHeight="false" outlineLevel="0" collapsed="false">
      <c r="A760" s="1" t="n">
        <v>247</v>
      </c>
      <c r="B760" s="1" t="s">
        <v>565</v>
      </c>
      <c r="C760" s="1" t="s">
        <v>566</v>
      </c>
      <c r="D760" s="1" t="n">
        <v>11171</v>
      </c>
      <c r="E760" s="1" t="s">
        <v>55</v>
      </c>
      <c r="F760" s="198" t="n">
        <v>200025888632</v>
      </c>
      <c r="G760" s="198" t="s">
        <v>598</v>
      </c>
      <c r="H760" s="163" t="s">
        <v>393</v>
      </c>
      <c r="I760" s="161" t="n">
        <v>83</v>
      </c>
      <c r="J760" s="156" t="s">
        <v>192</v>
      </c>
      <c r="K760" s="199" t="n">
        <v>45453.4528935185</v>
      </c>
      <c r="L760" s="1" t="n">
        <v>0</v>
      </c>
      <c r="M760" s="1" t="n">
        <v>11171</v>
      </c>
      <c r="N760" s="1" t="n">
        <v>480</v>
      </c>
    </row>
    <row r="761" customFormat="false" ht="14.25" hidden="false" customHeight="false" outlineLevel="0" collapsed="false">
      <c r="A761" s="1" t="n">
        <v>248</v>
      </c>
      <c r="B761" s="1" t="s">
        <v>565</v>
      </c>
      <c r="C761" s="1" t="s">
        <v>566</v>
      </c>
      <c r="D761" s="1" t="n">
        <v>11171</v>
      </c>
      <c r="E761" s="1" t="s">
        <v>55</v>
      </c>
      <c r="F761" s="198" t="n">
        <v>200025888632</v>
      </c>
      <c r="G761" s="198" t="s">
        <v>598</v>
      </c>
      <c r="H761" s="163" t="s">
        <v>393</v>
      </c>
      <c r="I761" s="161" t="n">
        <v>83</v>
      </c>
      <c r="J761" s="156" t="s">
        <v>192</v>
      </c>
      <c r="K761" s="199" t="n">
        <v>45453.4662847222</v>
      </c>
      <c r="L761" s="1" t="n">
        <v>1</v>
      </c>
      <c r="M761" s="1" t="n">
        <v>11171</v>
      </c>
      <c r="N761" s="1" t="n">
        <v>481</v>
      </c>
    </row>
    <row r="762" customFormat="false" ht="14.25" hidden="false" customHeight="false" outlineLevel="0" collapsed="false">
      <c r="A762" s="1" t="n">
        <v>249</v>
      </c>
      <c r="B762" s="1" t="s">
        <v>565</v>
      </c>
      <c r="C762" s="1" t="s">
        <v>566</v>
      </c>
      <c r="D762" s="1" t="n">
        <v>11171</v>
      </c>
      <c r="E762" s="1" t="s">
        <v>55</v>
      </c>
      <c r="F762" s="198" t="n">
        <v>200025888632</v>
      </c>
      <c r="G762" s="198" t="s">
        <v>598</v>
      </c>
      <c r="H762" s="163" t="s">
        <v>393</v>
      </c>
      <c r="I762" s="161" t="n">
        <v>83</v>
      </c>
      <c r="J762" s="156" t="s">
        <v>192</v>
      </c>
      <c r="K762" s="199" t="n">
        <v>45453.4665740741</v>
      </c>
      <c r="L762" s="1" t="n">
        <v>2</v>
      </c>
      <c r="M762" s="1" t="n">
        <v>11171</v>
      </c>
      <c r="N762" s="1" t="n">
        <v>482</v>
      </c>
    </row>
    <row r="763" customFormat="false" ht="14.25" hidden="false" customHeight="false" outlineLevel="0" collapsed="false">
      <c r="A763" s="1" t="n">
        <v>250</v>
      </c>
      <c r="B763" s="1" t="s">
        <v>565</v>
      </c>
      <c r="C763" s="1" t="s">
        <v>566</v>
      </c>
      <c r="D763" s="1" t="n">
        <v>11171</v>
      </c>
      <c r="E763" s="1" t="s">
        <v>55</v>
      </c>
      <c r="F763" s="198" t="n">
        <v>200025888632</v>
      </c>
      <c r="G763" s="198" t="s">
        <v>598</v>
      </c>
      <c r="H763" s="163" t="s">
        <v>393</v>
      </c>
      <c r="I763" s="161" t="n">
        <v>83</v>
      </c>
      <c r="J763" s="156" t="s">
        <v>192</v>
      </c>
      <c r="K763" s="199" t="n">
        <v>45453.4673611111</v>
      </c>
      <c r="L763" s="1" t="n">
        <v>2</v>
      </c>
      <c r="M763" s="1" t="n">
        <v>11171</v>
      </c>
      <c r="N763" s="1" t="n">
        <v>483</v>
      </c>
    </row>
    <row r="764" customFormat="false" ht="14.25" hidden="false" customHeight="false" outlineLevel="0" collapsed="false">
      <c r="A764" s="1" t="n">
        <v>251</v>
      </c>
      <c r="B764" s="1" t="s">
        <v>565</v>
      </c>
      <c r="C764" s="1" t="s">
        <v>566</v>
      </c>
      <c r="D764" s="1" t="n">
        <v>11171</v>
      </c>
      <c r="E764" s="1" t="s">
        <v>55</v>
      </c>
      <c r="F764" s="198" t="n">
        <v>200025888839</v>
      </c>
      <c r="G764" s="198" t="s">
        <v>690</v>
      </c>
      <c r="H764" s="163" t="s">
        <v>297</v>
      </c>
      <c r="I764" s="161" t="n">
        <v>14</v>
      </c>
      <c r="J764" s="156" t="s">
        <v>192</v>
      </c>
      <c r="K764" s="199" t="n">
        <v>45453.4684722222</v>
      </c>
      <c r="L764" s="1" t="n">
        <v>3</v>
      </c>
      <c r="M764" s="1" t="n">
        <v>11171</v>
      </c>
      <c r="N764" s="1" t="n">
        <v>484</v>
      </c>
    </row>
    <row r="765" customFormat="false" ht="14.25" hidden="false" customHeight="false" outlineLevel="0" collapsed="false">
      <c r="A765" s="1" t="n">
        <v>252</v>
      </c>
      <c r="B765" s="1" t="s">
        <v>565</v>
      </c>
      <c r="C765" s="1" t="s">
        <v>566</v>
      </c>
      <c r="D765" s="1" t="n">
        <v>11171</v>
      </c>
      <c r="E765" s="1" t="s">
        <v>55</v>
      </c>
      <c r="F765" s="198" t="n">
        <v>200025888839</v>
      </c>
      <c r="G765" s="198" t="s">
        <v>690</v>
      </c>
      <c r="H765" s="163" t="s">
        <v>297</v>
      </c>
      <c r="I765" s="161" t="n">
        <v>14</v>
      </c>
      <c r="J765" s="156" t="s">
        <v>192</v>
      </c>
      <c r="K765" s="199" t="n">
        <v>45453.4687962963</v>
      </c>
      <c r="L765" s="1" t="n">
        <v>0</v>
      </c>
      <c r="M765" s="1" t="n">
        <v>11171</v>
      </c>
      <c r="N765" s="1" t="n">
        <v>485</v>
      </c>
    </row>
    <row r="766" customFormat="false" ht="14.25" hidden="false" customHeight="false" outlineLevel="0" collapsed="false">
      <c r="A766" s="1" t="n">
        <v>253</v>
      </c>
      <c r="B766" s="1" t="s">
        <v>565</v>
      </c>
      <c r="C766" s="1" t="s">
        <v>566</v>
      </c>
      <c r="D766" s="1" t="n">
        <v>11171</v>
      </c>
      <c r="E766" s="1" t="s">
        <v>55</v>
      </c>
      <c r="F766" s="198" t="n">
        <v>200025888632</v>
      </c>
      <c r="G766" s="198" t="s">
        <v>598</v>
      </c>
      <c r="H766" s="163" t="s">
        <v>393</v>
      </c>
      <c r="I766" s="161" t="n">
        <v>83</v>
      </c>
      <c r="J766" s="156" t="s">
        <v>192</v>
      </c>
      <c r="K766" s="199" t="n">
        <v>45453.4715625</v>
      </c>
      <c r="L766" s="1" t="n">
        <v>0</v>
      </c>
      <c r="M766" s="1" t="n">
        <v>11171</v>
      </c>
      <c r="N766" s="1" t="n">
        <v>486</v>
      </c>
    </row>
    <row r="767" customFormat="false" ht="14.25" hidden="false" customHeight="false" outlineLevel="0" collapsed="false">
      <c r="A767" s="1" t="n">
        <v>254</v>
      </c>
      <c r="B767" s="1" t="s">
        <v>565</v>
      </c>
      <c r="C767" s="1" t="s">
        <v>566</v>
      </c>
      <c r="D767" s="1" t="n">
        <v>11171</v>
      </c>
      <c r="E767" s="1" t="s">
        <v>55</v>
      </c>
      <c r="F767" s="198" t="n">
        <v>200025888632</v>
      </c>
      <c r="G767" s="198" t="s">
        <v>598</v>
      </c>
      <c r="H767" s="163" t="s">
        <v>393</v>
      </c>
      <c r="I767" s="161" t="n">
        <v>83</v>
      </c>
      <c r="J767" s="156" t="s">
        <v>192</v>
      </c>
      <c r="K767" s="199" t="n">
        <v>45453.4715740741</v>
      </c>
      <c r="L767" s="1" t="n">
        <v>23</v>
      </c>
      <c r="M767" s="1" t="n">
        <v>11171</v>
      </c>
      <c r="N767" s="1" t="n">
        <v>487</v>
      </c>
    </row>
    <row r="768" customFormat="false" ht="14.25" hidden="false" customHeight="false" outlineLevel="0" collapsed="false">
      <c r="A768" s="1" t="n">
        <v>255</v>
      </c>
      <c r="B768" s="1" t="s">
        <v>565</v>
      </c>
      <c r="C768" s="1" t="s">
        <v>566</v>
      </c>
      <c r="D768" s="1" t="n">
        <v>11171</v>
      </c>
      <c r="E768" s="1" t="s">
        <v>55</v>
      </c>
      <c r="F768" s="198" t="n">
        <v>200025888632</v>
      </c>
      <c r="G768" s="198" t="s">
        <v>598</v>
      </c>
      <c r="H768" s="163" t="s">
        <v>393</v>
      </c>
      <c r="I768" s="161" t="n">
        <v>83</v>
      </c>
      <c r="J768" s="156" t="s">
        <v>192</v>
      </c>
      <c r="K768" s="199" t="n">
        <v>45453.4720023148</v>
      </c>
      <c r="L768" s="1" t="n">
        <v>1</v>
      </c>
      <c r="M768" s="1" t="n">
        <v>11171</v>
      </c>
      <c r="N768" s="1" t="n">
        <v>488</v>
      </c>
    </row>
    <row r="769" customFormat="false" ht="14.25" hidden="false" customHeight="false" outlineLevel="0" collapsed="false">
      <c r="A769" s="1" t="n">
        <v>256</v>
      </c>
      <c r="B769" s="1" t="s">
        <v>565</v>
      </c>
      <c r="C769" s="1" t="s">
        <v>566</v>
      </c>
      <c r="D769" s="1" t="n">
        <v>11171</v>
      </c>
      <c r="E769" s="1" t="s">
        <v>55</v>
      </c>
      <c r="F769" s="198" t="n">
        <v>200025888632</v>
      </c>
      <c r="G769" s="198" t="s">
        <v>598</v>
      </c>
      <c r="H769" s="163" t="s">
        <v>393</v>
      </c>
      <c r="I769" s="161" t="n">
        <v>83</v>
      </c>
      <c r="J769" s="156" t="s">
        <v>192</v>
      </c>
      <c r="K769" s="199" t="n">
        <v>45453.4722685185</v>
      </c>
      <c r="L769" s="1" t="n">
        <v>2</v>
      </c>
      <c r="M769" s="1" t="n">
        <v>11171</v>
      </c>
      <c r="N769" s="1" t="n">
        <v>489</v>
      </c>
    </row>
    <row r="770" customFormat="false" ht="14.25" hidden="false" customHeight="false" outlineLevel="0" collapsed="false">
      <c r="A770" s="1" t="n">
        <v>257</v>
      </c>
      <c r="B770" s="1" t="s">
        <v>565</v>
      </c>
      <c r="C770" s="1" t="s">
        <v>566</v>
      </c>
      <c r="D770" s="1" t="n">
        <v>11171</v>
      </c>
      <c r="E770" s="1" t="s">
        <v>55</v>
      </c>
      <c r="F770" s="198" t="n">
        <v>200025888632</v>
      </c>
      <c r="G770" s="198" t="s">
        <v>598</v>
      </c>
      <c r="H770" s="163" t="s">
        <v>393</v>
      </c>
      <c r="I770" s="161" t="n">
        <v>83</v>
      </c>
      <c r="J770" s="156" t="s">
        <v>192</v>
      </c>
      <c r="K770" s="199" t="n">
        <v>45453.4723842593</v>
      </c>
      <c r="L770" s="1" t="n">
        <v>1</v>
      </c>
      <c r="M770" s="1" t="n">
        <v>11171</v>
      </c>
      <c r="N770" s="1" t="n">
        <v>490</v>
      </c>
    </row>
    <row r="771" customFormat="false" ht="14.25" hidden="false" customHeight="false" outlineLevel="0" collapsed="false">
      <c r="A771" s="1" t="n">
        <v>258</v>
      </c>
      <c r="B771" s="1" t="s">
        <v>565</v>
      </c>
      <c r="C771" s="1" t="s">
        <v>566</v>
      </c>
      <c r="D771" s="1" t="n">
        <v>11171</v>
      </c>
      <c r="E771" s="1" t="s">
        <v>55</v>
      </c>
      <c r="F771" s="198" t="n">
        <v>200025888632</v>
      </c>
      <c r="G771" s="198" t="s">
        <v>598</v>
      </c>
      <c r="H771" s="163" t="s">
        <v>393</v>
      </c>
      <c r="I771" s="161" t="n">
        <v>83</v>
      </c>
      <c r="J771" s="156" t="s">
        <v>192</v>
      </c>
      <c r="K771" s="199" t="n">
        <v>45453.4724074074</v>
      </c>
      <c r="L771" s="10" t="n">
        <v>289</v>
      </c>
      <c r="M771" s="1" t="n">
        <v>11171</v>
      </c>
      <c r="N771" s="1" t="n">
        <v>491</v>
      </c>
    </row>
    <row r="772" customFormat="false" ht="14.25" hidden="false" customHeight="false" outlineLevel="0" collapsed="false">
      <c r="A772" s="1" t="n">
        <v>259</v>
      </c>
      <c r="B772" s="1" t="s">
        <v>565</v>
      </c>
      <c r="C772" s="1" t="s">
        <v>566</v>
      </c>
      <c r="D772" s="1" t="n">
        <v>11171</v>
      </c>
      <c r="E772" s="1" t="s">
        <v>55</v>
      </c>
      <c r="F772" s="198" t="n">
        <v>200025888632</v>
      </c>
      <c r="G772" s="198" t="s">
        <v>598</v>
      </c>
      <c r="H772" s="163" t="s">
        <v>393</v>
      </c>
      <c r="I772" s="161" t="n">
        <v>83</v>
      </c>
      <c r="J772" s="156" t="s">
        <v>192</v>
      </c>
      <c r="K772" s="199" t="n">
        <v>45453.4759606481</v>
      </c>
      <c r="L772" s="1" t="n">
        <v>1</v>
      </c>
      <c r="M772" s="1" t="n">
        <v>11171</v>
      </c>
      <c r="N772" s="1" t="n">
        <v>492</v>
      </c>
    </row>
    <row r="773" customFormat="false" ht="14.25" hidden="false" customHeight="false" outlineLevel="0" collapsed="false">
      <c r="A773" s="1" t="n">
        <v>260</v>
      </c>
      <c r="B773" s="1" t="s">
        <v>565</v>
      </c>
      <c r="C773" s="1" t="s">
        <v>566</v>
      </c>
      <c r="D773" s="1" t="n">
        <v>11171</v>
      </c>
      <c r="E773" s="1" t="s">
        <v>55</v>
      </c>
      <c r="F773" s="198" t="n">
        <v>200025888632</v>
      </c>
      <c r="G773" s="198" t="s">
        <v>598</v>
      </c>
      <c r="H773" s="163" t="s">
        <v>393</v>
      </c>
      <c r="I773" s="161" t="n">
        <v>83</v>
      </c>
      <c r="J773" s="156" t="s">
        <v>192</v>
      </c>
      <c r="K773" s="199" t="n">
        <v>45453.4768287037</v>
      </c>
      <c r="L773" s="1" t="n">
        <v>1</v>
      </c>
      <c r="M773" s="1" t="n">
        <v>11171</v>
      </c>
      <c r="N773" s="1" t="n">
        <v>493</v>
      </c>
    </row>
    <row r="774" customFormat="false" ht="14.25" hidden="false" customHeight="false" outlineLevel="0" collapsed="false">
      <c r="A774" s="1" t="n">
        <v>261</v>
      </c>
      <c r="B774" s="1" t="s">
        <v>565</v>
      </c>
      <c r="C774" s="1" t="s">
        <v>566</v>
      </c>
      <c r="D774" s="1" t="n">
        <v>11171</v>
      </c>
      <c r="E774" s="1" t="s">
        <v>55</v>
      </c>
      <c r="F774" s="198" t="n">
        <v>200025888632</v>
      </c>
      <c r="G774" s="198" t="s">
        <v>598</v>
      </c>
      <c r="H774" s="163" t="s">
        <v>393</v>
      </c>
      <c r="I774" s="161" t="n">
        <v>83</v>
      </c>
      <c r="J774" s="156" t="s">
        <v>192</v>
      </c>
      <c r="K774" s="199" t="n">
        <v>45453.4793287037</v>
      </c>
      <c r="L774" s="1" t="n">
        <v>1</v>
      </c>
      <c r="M774" s="1" t="n">
        <v>11171</v>
      </c>
      <c r="N774" s="1" t="n">
        <v>494</v>
      </c>
    </row>
    <row r="775" customFormat="false" ht="14.25" hidden="false" customHeight="false" outlineLevel="0" collapsed="false">
      <c r="A775" s="1" t="n">
        <v>262</v>
      </c>
      <c r="B775" s="1" t="s">
        <v>565</v>
      </c>
      <c r="C775" s="1" t="s">
        <v>566</v>
      </c>
      <c r="D775" s="1" t="n">
        <v>11171</v>
      </c>
      <c r="E775" s="1" t="s">
        <v>55</v>
      </c>
      <c r="F775" s="198" t="n">
        <v>200025888632</v>
      </c>
      <c r="G775" s="198" t="s">
        <v>598</v>
      </c>
      <c r="H775" s="163" t="s">
        <v>393</v>
      </c>
      <c r="I775" s="161" t="n">
        <v>83</v>
      </c>
      <c r="J775" s="156" t="s">
        <v>192</v>
      </c>
      <c r="K775" s="199" t="n">
        <v>45453.4856481482</v>
      </c>
      <c r="L775" s="1" t="n">
        <v>1</v>
      </c>
      <c r="M775" s="1" t="n">
        <v>11171</v>
      </c>
      <c r="N775" s="1" t="n">
        <v>495</v>
      </c>
    </row>
    <row r="776" customFormat="false" ht="14.25" hidden="false" customHeight="false" outlineLevel="0" collapsed="false">
      <c r="A776" s="1" t="n">
        <v>263</v>
      </c>
      <c r="B776" s="1" t="s">
        <v>565</v>
      </c>
      <c r="C776" s="1" t="s">
        <v>566</v>
      </c>
      <c r="D776" s="1" t="n">
        <v>11171</v>
      </c>
      <c r="E776" s="1" t="s">
        <v>55</v>
      </c>
      <c r="F776" s="198" t="n">
        <v>200025888632</v>
      </c>
      <c r="G776" s="198" t="s">
        <v>598</v>
      </c>
      <c r="H776" s="163" t="s">
        <v>393</v>
      </c>
      <c r="I776" s="161" t="n">
        <v>83</v>
      </c>
      <c r="J776" s="156" t="s">
        <v>192</v>
      </c>
      <c r="K776" s="199" t="n">
        <v>45453.4859490741</v>
      </c>
      <c r="L776" s="1" t="n">
        <v>2</v>
      </c>
      <c r="M776" s="1" t="n">
        <v>11171</v>
      </c>
      <c r="N776" s="1" t="n">
        <v>496</v>
      </c>
    </row>
    <row r="777" customFormat="false" ht="14.25" hidden="false" customHeight="false" outlineLevel="0" collapsed="false">
      <c r="A777" s="1" t="n">
        <v>264</v>
      </c>
      <c r="B777" s="1" t="s">
        <v>565</v>
      </c>
      <c r="C777" s="1" t="s">
        <v>566</v>
      </c>
      <c r="D777" s="1" t="n">
        <v>11171</v>
      </c>
      <c r="E777" s="1" t="s">
        <v>55</v>
      </c>
      <c r="F777" s="198" t="n">
        <v>200025888632</v>
      </c>
      <c r="G777" s="198" t="s">
        <v>598</v>
      </c>
      <c r="H777" s="163" t="s">
        <v>393</v>
      </c>
      <c r="I777" s="161" t="n">
        <v>83</v>
      </c>
      <c r="J777" s="156" t="s">
        <v>192</v>
      </c>
      <c r="K777" s="199" t="n">
        <v>45453.4860416667</v>
      </c>
      <c r="L777" s="1" t="n">
        <v>2</v>
      </c>
      <c r="M777" s="1" t="n">
        <v>11171</v>
      </c>
      <c r="N777" s="1" t="n">
        <v>497</v>
      </c>
    </row>
    <row r="778" customFormat="false" ht="14.25" hidden="false" customHeight="false" outlineLevel="0" collapsed="false">
      <c r="A778" s="1" t="n">
        <v>265</v>
      </c>
      <c r="B778" s="1" t="s">
        <v>565</v>
      </c>
      <c r="C778" s="1" t="s">
        <v>566</v>
      </c>
      <c r="D778" s="1" t="n">
        <v>11171</v>
      </c>
      <c r="E778" s="1" t="s">
        <v>55</v>
      </c>
      <c r="F778" s="198" t="n">
        <v>200025888632</v>
      </c>
      <c r="G778" s="198" t="s">
        <v>598</v>
      </c>
      <c r="H778" s="163" t="s">
        <v>393</v>
      </c>
      <c r="I778" s="161" t="n">
        <v>83</v>
      </c>
      <c r="J778" s="156" t="s">
        <v>192</v>
      </c>
      <c r="K778" s="199" t="n">
        <v>45453.4871875</v>
      </c>
      <c r="L778" s="1" t="n">
        <v>1</v>
      </c>
      <c r="M778" s="1" t="n">
        <v>11171</v>
      </c>
      <c r="N778" s="1" t="n">
        <v>498</v>
      </c>
    </row>
    <row r="779" customFormat="false" ht="14.25" hidden="false" customHeight="false" outlineLevel="0" collapsed="false">
      <c r="A779" s="1" t="n">
        <v>266</v>
      </c>
      <c r="B779" s="1" t="s">
        <v>565</v>
      </c>
      <c r="C779" s="1" t="s">
        <v>566</v>
      </c>
      <c r="D779" s="1" t="n">
        <v>11171</v>
      </c>
      <c r="E779" s="1" t="s">
        <v>55</v>
      </c>
      <c r="F779" s="198" t="n">
        <v>200025888632</v>
      </c>
      <c r="G779" s="198" t="s">
        <v>598</v>
      </c>
      <c r="H779" s="163" t="s">
        <v>393</v>
      </c>
      <c r="I779" s="161" t="n">
        <v>83</v>
      </c>
      <c r="J779" s="156" t="s">
        <v>192</v>
      </c>
      <c r="K779" s="199" t="n">
        <v>45453.487337963</v>
      </c>
      <c r="L779" s="1" t="n">
        <v>0</v>
      </c>
      <c r="M779" s="1" t="n">
        <v>11171</v>
      </c>
      <c r="N779" s="1" t="n">
        <v>499</v>
      </c>
    </row>
    <row r="780" customFormat="false" ht="14.25" hidden="false" customHeight="false" outlineLevel="0" collapsed="false">
      <c r="A780" s="1" t="n">
        <v>267</v>
      </c>
      <c r="B780" s="1" t="s">
        <v>565</v>
      </c>
      <c r="C780" s="1" t="s">
        <v>566</v>
      </c>
      <c r="D780" s="1" t="n">
        <v>11171</v>
      </c>
      <c r="E780" s="1" t="s">
        <v>55</v>
      </c>
      <c r="F780" s="198" t="n">
        <v>200025888632</v>
      </c>
      <c r="G780" s="198" t="s">
        <v>598</v>
      </c>
      <c r="H780" s="163" t="s">
        <v>393</v>
      </c>
      <c r="I780" s="161" t="n">
        <v>83</v>
      </c>
      <c r="J780" s="156" t="s">
        <v>192</v>
      </c>
      <c r="K780" s="199" t="n">
        <v>45453.487349537</v>
      </c>
      <c r="L780" s="1" t="n">
        <v>0</v>
      </c>
      <c r="M780" s="1" t="n">
        <v>11171</v>
      </c>
      <c r="N780" s="1" t="n">
        <v>500</v>
      </c>
    </row>
    <row r="781" customFormat="false" ht="14.25" hidden="false" customHeight="false" outlineLevel="0" collapsed="false">
      <c r="A781" s="1" t="n">
        <v>268</v>
      </c>
      <c r="B781" s="1" t="s">
        <v>565</v>
      </c>
      <c r="C781" s="1" t="s">
        <v>566</v>
      </c>
      <c r="D781" s="1" t="n">
        <v>11171</v>
      </c>
      <c r="E781" s="1" t="s">
        <v>55</v>
      </c>
      <c r="F781" s="198" t="n">
        <v>200025888632</v>
      </c>
      <c r="G781" s="198" t="s">
        <v>598</v>
      </c>
      <c r="H781" s="163" t="s">
        <v>393</v>
      </c>
      <c r="I781" s="161" t="n">
        <v>83</v>
      </c>
      <c r="J781" s="156" t="s">
        <v>192</v>
      </c>
      <c r="K781" s="199" t="n">
        <v>45453.4877083333</v>
      </c>
      <c r="L781" s="1" t="n">
        <v>2</v>
      </c>
      <c r="M781" s="1" t="n">
        <v>11171</v>
      </c>
      <c r="N781" s="1" t="n">
        <v>501</v>
      </c>
    </row>
    <row r="782" customFormat="false" ht="14.25" hidden="false" customHeight="false" outlineLevel="0" collapsed="false">
      <c r="A782" s="1" t="n">
        <v>269</v>
      </c>
      <c r="B782" s="1" t="s">
        <v>565</v>
      </c>
      <c r="C782" s="1" t="s">
        <v>566</v>
      </c>
      <c r="D782" s="1" t="n">
        <v>11171</v>
      </c>
      <c r="E782" s="1" t="s">
        <v>55</v>
      </c>
      <c r="F782" s="198" t="n">
        <v>200025888839</v>
      </c>
      <c r="G782" s="198" t="s">
        <v>690</v>
      </c>
      <c r="H782" s="163" t="s">
        <v>297</v>
      </c>
      <c r="I782" s="161" t="n">
        <v>14</v>
      </c>
      <c r="J782" s="156" t="s">
        <v>192</v>
      </c>
      <c r="K782" s="199" t="n">
        <v>45453.5355671296</v>
      </c>
      <c r="L782" s="1" t="n">
        <v>1</v>
      </c>
      <c r="M782" s="1" t="n">
        <v>11171</v>
      </c>
      <c r="N782" s="1" t="n">
        <v>502</v>
      </c>
    </row>
    <row r="783" customFormat="false" ht="14.25" hidden="false" customHeight="false" outlineLevel="0" collapsed="false">
      <c r="A783" s="1" t="n">
        <v>270</v>
      </c>
      <c r="B783" s="1" t="s">
        <v>565</v>
      </c>
      <c r="C783" s="1" t="s">
        <v>566</v>
      </c>
      <c r="D783" s="1" t="n">
        <v>11171</v>
      </c>
      <c r="E783" s="1" t="s">
        <v>55</v>
      </c>
      <c r="F783" s="198" t="n">
        <v>200025888632</v>
      </c>
      <c r="G783" s="198" t="s">
        <v>598</v>
      </c>
      <c r="H783" s="163" t="s">
        <v>393</v>
      </c>
      <c r="I783" s="161" t="n">
        <v>83</v>
      </c>
      <c r="J783" s="156" t="s">
        <v>192</v>
      </c>
      <c r="K783" s="199" t="n">
        <v>45453.5480208333</v>
      </c>
      <c r="L783" s="1" t="n">
        <v>2</v>
      </c>
      <c r="M783" s="1" t="n">
        <v>11171</v>
      </c>
      <c r="N783" s="1" t="n">
        <v>503</v>
      </c>
    </row>
    <row r="784" customFormat="false" ht="14.25" hidden="false" customHeight="false" outlineLevel="0" collapsed="false">
      <c r="A784" s="1" t="n">
        <v>271</v>
      </c>
      <c r="B784" s="1" t="s">
        <v>565</v>
      </c>
      <c r="C784" s="1" t="s">
        <v>566</v>
      </c>
      <c r="D784" s="1" t="n">
        <v>11171</v>
      </c>
      <c r="E784" s="1" t="s">
        <v>55</v>
      </c>
      <c r="F784" s="198" t="n">
        <v>200025888839</v>
      </c>
      <c r="G784" s="198" t="s">
        <v>690</v>
      </c>
      <c r="H784" s="163" t="s">
        <v>297</v>
      </c>
      <c r="I784" s="161" t="n">
        <v>14</v>
      </c>
      <c r="J784" s="156" t="s">
        <v>192</v>
      </c>
      <c r="K784" s="199" t="n">
        <v>45453.5492708333</v>
      </c>
      <c r="L784" s="1" t="n">
        <v>0</v>
      </c>
      <c r="M784" s="1" t="n">
        <v>11171</v>
      </c>
      <c r="N784" s="1" t="n">
        <v>504</v>
      </c>
    </row>
    <row r="785" customFormat="false" ht="14.25" hidden="false" customHeight="false" outlineLevel="0" collapsed="false">
      <c r="A785" s="1" t="n">
        <v>272</v>
      </c>
      <c r="B785" s="1" t="s">
        <v>565</v>
      </c>
      <c r="C785" s="1" t="s">
        <v>566</v>
      </c>
      <c r="D785" s="1" t="n">
        <v>11171</v>
      </c>
      <c r="E785" s="1" t="s">
        <v>55</v>
      </c>
      <c r="F785" s="198" t="n">
        <v>200025888839</v>
      </c>
      <c r="G785" s="198" t="s">
        <v>690</v>
      </c>
      <c r="H785" s="163" t="s">
        <v>297</v>
      </c>
      <c r="I785" s="161" t="n">
        <v>14</v>
      </c>
      <c r="J785" s="156" t="s">
        <v>192</v>
      </c>
      <c r="K785" s="199" t="n">
        <v>45453.5492939815</v>
      </c>
      <c r="L785" s="1" t="n">
        <v>0</v>
      </c>
      <c r="M785" s="1" t="n">
        <v>11171</v>
      </c>
      <c r="N785" s="1" t="n">
        <v>505</v>
      </c>
    </row>
    <row r="786" customFormat="false" ht="14.25" hidden="false" customHeight="false" outlineLevel="0" collapsed="false">
      <c r="A786" s="1" t="n">
        <v>273</v>
      </c>
      <c r="B786" s="1" t="s">
        <v>565</v>
      </c>
      <c r="C786" s="1" t="s">
        <v>566</v>
      </c>
      <c r="D786" s="1" t="n">
        <v>11171</v>
      </c>
      <c r="E786" s="1" t="s">
        <v>55</v>
      </c>
      <c r="F786" s="198" t="n">
        <v>200025888839</v>
      </c>
      <c r="G786" s="198" t="s">
        <v>690</v>
      </c>
      <c r="H786" s="163" t="s">
        <v>297</v>
      </c>
      <c r="I786" s="161" t="n">
        <v>14</v>
      </c>
      <c r="J786" s="156" t="s">
        <v>192</v>
      </c>
      <c r="K786" s="199" t="n">
        <v>45453.5506828704</v>
      </c>
      <c r="L786" s="1" t="n">
        <v>1</v>
      </c>
      <c r="M786" s="1" t="n">
        <v>11171</v>
      </c>
      <c r="N786" s="1" t="n">
        <v>506</v>
      </c>
    </row>
    <row r="787" customFormat="false" ht="14.25" hidden="false" customHeight="false" outlineLevel="0" collapsed="false">
      <c r="A787" s="1" t="n">
        <v>274</v>
      </c>
      <c r="B787" s="1" t="s">
        <v>565</v>
      </c>
      <c r="C787" s="1" t="s">
        <v>566</v>
      </c>
      <c r="D787" s="1" t="n">
        <v>11171</v>
      </c>
      <c r="E787" s="1" t="s">
        <v>55</v>
      </c>
      <c r="F787" s="198" t="n">
        <v>200025888839</v>
      </c>
      <c r="G787" s="198" t="s">
        <v>690</v>
      </c>
      <c r="H787" s="163" t="s">
        <v>297</v>
      </c>
      <c r="I787" s="161" t="n">
        <v>14</v>
      </c>
      <c r="J787" s="156" t="s">
        <v>192</v>
      </c>
      <c r="K787" s="199" t="n">
        <v>45453.5507060185</v>
      </c>
      <c r="L787" s="10" t="n">
        <v>675</v>
      </c>
      <c r="M787" s="1" t="n">
        <v>11171</v>
      </c>
      <c r="N787" s="1" t="n">
        <v>507</v>
      </c>
    </row>
    <row r="788" customFormat="false" ht="14.25" hidden="false" customHeight="false" outlineLevel="0" collapsed="false">
      <c r="A788" s="1" t="n">
        <v>275</v>
      </c>
      <c r="B788" s="1" t="s">
        <v>565</v>
      </c>
      <c r="C788" s="1" t="s">
        <v>566</v>
      </c>
      <c r="D788" s="1" t="n">
        <v>11171</v>
      </c>
      <c r="E788" s="1" t="s">
        <v>55</v>
      </c>
      <c r="F788" s="198" t="n">
        <v>200025888632</v>
      </c>
      <c r="G788" s="198" t="s">
        <v>598</v>
      </c>
      <c r="H788" s="163" t="s">
        <v>393</v>
      </c>
      <c r="I788" s="161" t="n">
        <v>83</v>
      </c>
      <c r="J788" s="156" t="s">
        <v>192</v>
      </c>
      <c r="K788" s="199" t="n">
        <v>45453.5585300926</v>
      </c>
      <c r="L788" s="1" t="n">
        <v>0</v>
      </c>
      <c r="M788" s="1" t="n">
        <v>11171</v>
      </c>
      <c r="N788" s="1" t="n">
        <v>508</v>
      </c>
    </row>
    <row r="789" customFormat="false" ht="14.25" hidden="false" customHeight="false" outlineLevel="0" collapsed="false">
      <c r="A789" s="1" t="n">
        <v>276</v>
      </c>
      <c r="B789" s="1" t="s">
        <v>565</v>
      </c>
      <c r="C789" s="1" t="s">
        <v>566</v>
      </c>
      <c r="D789" s="1" t="n">
        <v>11171</v>
      </c>
      <c r="E789" s="1" t="s">
        <v>55</v>
      </c>
      <c r="F789" s="198" t="n">
        <v>200025888632</v>
      </c>
      <c r="G789" s="198" t="s">
        <v>598</v>
      </c>
      <c r="H789" s="163" t="s">
        <v>393</v>
      </c>
      <c r="I789" s="161" t="n">
        <v>83</v>
      </c>
      <c r="J789" s="156" t="s">
        <v>192</v>
      </c>
      <c r="K789" s="199" t="n">
        <v>45453.5586342593</v>
      </c>
      <c r="L789" s="1" t="n">
        <v>0</v>
      </c>
      <c r="M789" s="1" t="n">
        <v>11171</v>
      </c>
      <c r="N789" s="1" t="n">
        <v>509</v>
      </c>
    </row>
    <row r="790" customFormat="false" ht="14.25" hidden="false" customHeight="false" outlineLevel="0" collapsed="false">
      <c r="A790" s="1" t="n">
        <v>277</v>
      </c>
      <c r="B790" s="1" t="s">
        <v>565</v>
      </c>
      <c r="C790" s="1" t="s">
        <v>566</v>
      </c>
      <c r="D790" s="1" t="n">
        <v>11171</v>
      </c>
      <c r="E790" s="1" t="s">
        <v>55</v>
      </c>
      <c r="F790" s="198" t="n">
        <v>200025888632</v>
      </c>
      <c r="G790" s="198" t="s">
        <v>598</v>
      </c>
      <c r="H790" s="163" t="s">
        <v>393</v>
      </c>
      <c r="I790" s="161" t="n">
        <v>83</v>
      </c>
      <c r="J790" s="156" t="s">
        <v>192</v>
      </c>
      <c r="K790" s="199" t="n">
        <v>45453.5590509259</v>
      </c>
      <c r="L790" s="10" t="n">
        <v>55</v>
      </c>
      <c r="M790" s="1" t="n">
        <v>11171</v>
      </c>
      <c r="N790" s="1" t="n">
        <v>510</v>
      </c>
    </row>
    <row r="791" customFormat="false" ht="14.25" hidden="false" customHeight="false" outlineLevel="0" collapsed="false">
      <c r="A791" s="1" t="n">
        <v>278</v>
      </c>
      <c r="B791" s="1" t="s">
        <v>565</v>
      </c>
      <c r="C791" s="1" t="s">
        <v>566</v>
      </c>
      <c r="D791" s="1" t="n">
        <v>11171</v>
      </c>
      <c r="E791" s="1" t="s">
        <v>55</v>
      </c>
      <c r="F791" s="198" t="n">
        <v>200025888632</v>
      </c>
      <c r="G791" s="198" t="s">
        <v>598</v>
      </c>
      <c r="H791" s="163" t="s">
        <v>393</v>
      </c>
      <c r="I791" s="161" t="n">
        <v>83</v>
      </c>
      <c r="J791" s="156" t="s">
        <v>192</v>
      </c>
      <c r="K791" s="199" t="n">
        <v>45453.5599537037</v>
      </c>
      <c r="L791" s="1" t="n">
        <v>3</v>
      </c>
      <c r="M791" s="1" t="n">
        <v>11171</v>
      </c>
      <c r="N791" s="1" t="n">
        <v>511</v>
      </c>
    </row>
    <row r="792" customFormat="false" ht="14.25" hidden="false" customHeight="false" outlineLevel="0" collapsed="false">
      <c r="A792" s="1" t="n">
        <v>279</v>
      </c>
      <c r="B792" s="1" t="s">
        <v>565</v>
      </c>
      <c r="C792" s="1" t="s">
        <v>566</v>
      </c>
      <c r="D792" s="1" t="n">
        <v>11171</v>
      </c>
      <c r="E792" s="1" t="s">
        <v>55</v>
      </c>
      <c r="F792" s="198" t="n">
        <v>200025888632</v>
      </c>
      <c r="G792" s="198" t="s">
        <v>598</v>
      </c>
      <c r="H792" s="163" t="s">
        <v>393</v>
      </c>
      <c r="I792" s="161" t="n">
        <v>83</v>
      </c>
      <c r="J792" s="156" t="s">
        <v>192</v>
      </c>
      <c r="K792" s="199" t="n">
        <v>45453.5600810185</v>
      </c>
      <c r="L792" s="1" t="n">
        <v>1</v>
      </c>
      <c r="M792" s="1" t="n">
        <v>11171</v>
      </c>
      <c r="N792" s="1" t="n">
        <v>512</v>
      </c>
    </row>
    <row r="793" customFormat="false" ht="14.25" hidden="false" customHeight="false" outlineLevel="0" collapsed="false">
      <c r="A793" s="1" t="n">
        <v>49</v>
      </c>
      <c r="B793" s="1" t="s">
        <v>643</v>
      </c>
      <c r="C793" s="1" t="s">
        <v>644</v>
      </c>
      <c r="D793" s="1" t="n">
        <v>11171</v>
      </c>
      <c r="E793" s="1" t="s">
        <v>55</v>
      </c>
      <c r="F793" s="201" t="n">
        <v>200025889154</v>
      </c>
      <c r="G793" s="198" t="s">
        <v>641</v>
      </c>
      <c r="H793" s="172" t="n">
        <v>91178</v>
      </c>
      <c r="I793" s="170" t="n">
        <v>34</v>
      </c>
      <c r="J793" s="169" t="s">
        <v>192</v>
      </c>
      <c r="K793" s="200" t="n">
        <v>45456.4455208333</v>
      </c>
      <c r="L793" s="1" t="n">
        <v>0</v>
      </c>
      <c r="M793" s="1" t="n">
        <v>11171</v>
      </c>
      <c r="N793" s="1" t="n">
        <v>513</v>
      </c>
    </row>
    <row r="794" customFormat="false" ht="14.25" hidden="false" customHeight="false" outlineLevel="0" collapsed="false">
      <c r="A794" s="1" t="n">
        <v>50</v>
      </c>
      <c r="B794" s="1" t="s">
        <v>643</v>
      </c>
      <c r="C794" s="1" t="s">
        <v>644</v>
      </c>
      <c r="D794" s="1" t="n">
        <v>11171</v>
      </c>
      <c r="E794" s="1" t="s">
        <v>55</v>
      </c>
      <c r="F794" s="201" t="n">
        <v>200025889154</v>
      </c>
      <c r="G794" s="198" t="s">
        <v>641</v>
      </c>
      <c r="H794" s="172" t="n">
        <v>91178</v>
      </c>
      <c r="I794" s="170" t="n">
        <v>34</v>
      </c>
      <c r="J794" s="169" t="s">
        <v>192</v>
      </c>
      <c r="K794" s="200" t="n">
        <v>45456.4474305556</v>
      </c>
      <c r="L794" s="1" t="n">
        <v>0</v>
      </c>
      <c r="M794" s="1" t="n">
        <v>11171</v>
      </c>
      <c r="N794" s="1" t="n">
        <v>514</v>
      </c>
    </row>
    <row r="795" customFormat="false" ht="14.25" hidden="false" customHeight="false" outlineLevel="0" collapsed="false">
      <c r="A795" s="1" t="n">
        <v>51</v>
      </c>
      <c r="B795" s="1" t="s">
        <v>643</v>
      </c>
      <c r="C795" s="1" t="s">
        <v>644</v>
      </c>
      <c r="D795" s="1" t="n">
        <v>11171</v>
      </c>
      <c r="E795" s="1" t="s">
        <v>55</v>
      </c>
      <c r="F795" s="201" t="n">
        <v>200025888828</v>
      </c>
      <c r="G795" s="198" t="s">
        <v>606</v>
      </c>
      <c r="H795" s="163" t="s">
        <v>456</v>
      </c>
      <c r="I795" s="161" t="n">
        <v>113</v>
      </c>
      <c r="J795" s="156" t="s">
        <v>192</v>
      </c>
      <c r="K795" s="200" t="n">
        <v>45456.4601041667</v>
      </c>
      <c r="L795" s="1" t="n">
        <v>0</v>
      </c>
      <c r="M795" s="1" t="n">
        <v>11171</v>
      </c>
      <c r="N795" s="1" t="n">
        <v>515</v>
      </c>
    </row>
    <row r="796" customFormat="false" ht="14.25" hidden="false" customHeight="false" outlineLevel="0" collapsed="false">
      <c r="A796" s="1" t="n">
        <v>52</v>
      </c>
      <c r="B796" s="1" t="s">
        <v>643</v>
      </c>
      <c r="C796" s="1" t="s">
        <v>644</v>
      </c>
      <c r="D796" s="1" t="n">
        <v>11171</v>
      </c>
      <c r="E796" s="1" t="s">
        <v>55</v>
      </c>
      <c r="F796" s="201" t="n">
        <v>200025889154</v>
      </c>
      <c r="G796" s="198" t="s">
        <v>641</v>
      </c>
      <c r="H796" s="172" t="n">
        <v>91178</v>
      </c>
      <c r="I796" s="170" t="n">
        <v>34</v>
      </c>
      <c r="J796" s="169" t="s">
        <v>192</v>
      </c>
      <c r="K796" s="200" t="n">
        <v>45456.4608680556</v>
      </c>
      <c r="L796" s="1" t="n">
        <v>0</v>
      </c>
      <c r="M796" s="1" t="n">
        <v>11171</v>
      </c>
      <c r="N796" s="1" t="n">
        <v>516</v>
      </c>
    </row>
    <row r="797" customFormat="false" ht="14.25" hidden="false" customHeight="false" outlineLevel="0" collapsed="false">
      <c r="A797" s="1" t="n">
        <v>53</v>
      </c>
      <c r="B797" s="1" t="s">
        <v>643</v>
      </c>
      <c r="C797" s="1" t="s">
        <v>644</v>
      </c>
      <c r="D797" s="1" t="n">
        <v>11171</v>
      </c>
      <c r="E797" s="1" t="s">
        <v>55</v>
      </c>
      <c r="F797" s="201" t="n">
        <v>200025889248</v>
      </c>
      <c r="G797" s="198" t="s">
        <v>691</v>
      </c>
      <c r="H797" s="163" t="s">
        <v>531</v>
      </c>
      <c r="I797" s="161" t="n">
        <v>95</v>
      </c>
      <c r="J797" s="156" t="s">
        <v>192</v>
      </c>
      <c r="K797" s="200" t="n">
        <v>45456.5360300926</v>
      </c>
      <c r="L797" s="1" t="n">
        <v>0</v>
      </c>
      <c r="M797" s="1" t="n">
        <v>11171</v>
      </c>
      <c r="N797" s="1" t="n">
        <v>517</v>
      </c>
    </row>
    <row r="798" customFormat="false" ht="14.25" hidden="false" customHeight="false" outlineLevel="0" collapsed="false">
      <c r="A798" s="1" t="n">
        <v>54</v>
      </c>
      <c r="B798" s="1" t="s">
        <v>643</v>
      </c>
      <c r="C798" s="1" t="s">
        <v>644</v>
      </c>
      <c r="D798" s="1" t="n">
        <v>11171</v>
      </c>
      <c r="E798" s="1" t="s">
        <v>55</v>
      </c>
      <c r="F798" s="201" t="n">
        <v>200025889127</v>
      </c>
      <c r="G798" s="198" t="s">
        <v>692</v>
      </c>
      <c r="H798" s="163" t="s">
        <v>507</v>
      </c>
      <c r="I798" s="161" t="n">
        <v>86</v>
      </c>
      <c r="J798" s="156" t="s">
        <v>192</v>
      </c>
      <c r="K798" s="200" t="n">
        <v>45456.6231018519</v>
      </c>
      <c r="L798" s="1" t="n">
        <v>1</v>
      </c>
      <c r="M798" s="1" t="n">
        <v>11171</v>
      </c>
      <c r="N798" s="1" t="n">
        <v>518</v>
      </c>
    </row>
    <row r="799" customFormat="false" ht="14.25" hidden="false" customHeight="false" outlineLevel="0" collapsed="false">
      <c r="A799" s="1" t="n">
        <v>55</v>
      </c>
      <c r="B799" s="1" t="s">
        <v>643</v>
      </c>
      <c r="C799" s="1" t="s">
        <v>644</v>
      </c>
      <c r="D799" s="1" t="n">
        <v>11171</v>
      </c>
      <c r="E799" s="1" t="s">
        <v>55</v>
      </c>
      <c r="F799" s="201" t="n">
        <v>200025889770</v>
      </c>
      <c r="G799" s="198" t="s">
        <v>642</v>
      </c>
      <c r="H799" s="163" t="s">
        <v>501</v>
      </c>
      <c r="I799" s="161" t="n">
        <v>77</v>
      </c>
      <c r="J799" s="156" t="s">
        <v>192</v>
      </c>
      <c r="K799" s="200" t="n">
        <v>45457.4815625</v>
      </c>
      <c r="L799" s="1" t="n">
        <v>2</v>
      </c>
      <c r="M799" s="1" t="n">
        <v>11171</v>
      </c>
      <c r="N799" s="1" t="n">
        <v>519</v>
      </c>
    </row>
    <row r="800" customFormat="false" ht="14.25" hidden="false" customHeight="false" outlineLevel="0" collapsed="false">
      <c r="A800" s="1" t="n">
        <v>56</v>
      </c>
      <c r="B800" s="1" t="s">
        <v>643</v>
      </c>
      <c r="C800" s="1" t="s">
        <v>644</v>
      </c>
      <c r="D800" s="1" t="n">
        <v>11171</v>
      </c>
      <c r="E800" s="1" t="s">
        <v>55</v>
      </c>
      <c r="F800" s="201" t="n">
        <v>200025889770</v>
      </c>
      <c r="G800" s="198" t="s">
        <v>642</v>
      </c>
      <c r="H800" s="163" t="s">
        <v>501</v>
      </c>
      <c r="I800" s="161" t="n">
        <v>77</v>
      </c>
      <c r="J800" s="156" t="s">
        <v>192</v>
      </c>
      <c r="K800" s="200" t="n">
        <v>45457.4816087963</v>
      </c>
      <c r="L800" s="1" t="n">
        <v>0</v>
      </c>
      <c r="M800" s="1" t="n">
        <v>11171</v>
      </c>
      <c r="N800" s="1" t="n">
        <v>520</v>
      </c>
    </row>
    <row r="801" customFormat="false" ht="14.25" hidden="false" customHeight="false" outlineLevel="0" collapsed="false">
      <c r="A801" s="1" t="n">
        <v>57</v>
      </c>
      <c r="B801" s="1" t="s">
        <v>643</v>
      </c>
      <c r="C801" s="1" t="s">
        <v>644</v>
      </c>
      <c r="D801" s="1" t="n">
        <v>11171</v>
      </c>
      <c r="E801" s="1" t="s">
        <v>55</v>
      </c>
      <c r="F801" s="201" t="n">
        <v>200025889770</v>
      </c>
      <c r="G801" s="198" t="s">
        <v>642</v>
      </c>
      <c r="H801" s="163" t="s">
        <v>501</v>
      </c>
      <c r="I801" s="161" t="n">
        <v>77</v>
      </c>
      <c r="J801" s="156" t="s">
        <v>192</v>
      </c>
      <c r="K801" s="200" t="n">
        <v>45457.4843402778</v>
      </c>
      <c r="L801" s="1" t="n">
        <v>3</v>
      </c>
      <c r="M801" s="1" t="n">
        <v>11171</v>
      </c>
      <c r="N801" s="1" t="n">
        <v>521</v>
      </c>
    </row>
    <row r="802" customFormat="false" ht="14.25" hidden="false" customHeight="false" outlineLevel="0" collapsed="false">
      <c r="A802" s="1" t="n">
        <v>58</v>
      </c>
      <c r="B802" s="1" t="s">
        <v>643</v>
      </c>
      <c r="C802" s="1" t="s">
        <v>644</v>
      </c>
      <c r="D802" s="1" t="n">
        <v>11171</v>
      </c>
      <c r="E802" s="1" t="s">
        <v>55</v>
      </c>
      <c r="F802" s="201" t="n">
        <v>200025889770</v>
      </c>
      <c r="G802" s="198" t="s">
        <v>642</v>
      </c>
      <c r="H802" s="163" t="s">
        <v>501</v>
      </c>
      <c r="I802" s="161" t="n">
        <v>77</v>
      </c>
      <c r="J802" s="156" t="s">
        <v>192</v>
      </c>
      <c r="K802" s="200" t="n">
        <v>45457.4861226852</v>
      </c>
      <c r="L802" s="1" t="n">
        <v>1</v>
      </c>
      <c r="M802" s="1" t="n">
        <v>11171</v>
      </c>
      <c r="N802" s="1" t="n">
        <v>522</v>
      </c>
    </row>
    <row r="803" customFormat="false" ht="14.25" hidden="false" customHeight="false" outlineLevel="0" collapsed="false">
      <c r="A803" s="1" t="n">
        <v>59</v>
      </c>
      <c r="B803" s="1" t="s">
        <v>643</v>
      </c>
      <c r="C803" s="1" t="s">
        <v>644</v>
      </c>
      <c r="D803" s="1" t="n">
        <v>11171</v>
      </c>
      <c r="E803" s="1" t="s">
        <v>55</v>
      </c>
      <c r="F803" s="201" t="n">
        <v>200025889770</v>
      </c>
      <c r="G803" s="198" t="s">
        <v>642</v>
      </c>
      <c r="H803" s="163" t="s">
        <v>501</v>
      </c>
      <c r="I803" s="161" t="n">
        <v>77</v>
      </c>
      <c r="J803" s="156" t="s">
        <v>192</v>
      </c>
      <c r="K803" s="200" t="n">
        <v>45457.4950810185</v>
      </c>
      <c r="L803" s="1" t="n">
        <v>1</v>
      </c>
      <c r="M803" s="1" t="n">
        <v>11171</v>
      </c>
      <c r="N803" s="1" t="n">
        <v>523</v>
      </c>
    </row>
    <row r="804" customFormat="false" ht="14.25" hidden="false" customHeight="false" outlineLevel="0" collapsed="false">
      <c r="A804" s="1" t="n">
        <v>60</v>
      </c>
      <c r="B804" s="1" t="s">
        <v>643</v>
      </c>
      <c r="C804" s="1" t="s">
        <v>644</v>
      </c>
      <c r="D804" s="1" t="n">
        <v>11171</v>
      </c>
      <c r="E804" s="1" t="s">
        <v>55</v>
      </c>
      <c r="F804" s="201" t="n">
        <v>200025889770</v>
      </c>
      <c r="G804" s="198" t="s">
        <v>642</v>
      </c>
      <c r="H804" s="163" t="s">
        <v>501</v>
      </c>
      <c r="I804" s="161" t="n">
        <v>77</v>
      </c>
      <c r="J804" s="156" t="s">
        <v>192</v>
      </c>
      <c r="K804" s="200" t="n">
        <v>45457.4950925926</v>
      </c>
      <c r="L804" s="1" t="n">
        <v>0</v>
      </c>
      <c r="M804" s="1" t="n">
        <v>11171</v>
      </c>
      <c r="N804" s="1" t="n">
        <v>524</v>
      </c>
    </row>
    <row r="805" customFormat="false" ht="14.25" hidden="false" customHeight="false" outlineLevel="0" collapsed="false">
      <c r="A805" s="1" t="n">
        <v>61</v>
      </c>
      <c r="B805" s="1" t="s">
        <v>643</v>
      </c>
      <c r="C805" s="1" t="s">
        <v>644</v>
      </c>
      <c r="D805" s="1" t="n">
        <v>11171</v>
      </c>
      <c r="E805" s="1" t="s">
        <v>55</v>
      </c>
      <c r="F805" s="201" t="n">
        <v>200025889770</v>
      </c>
      <c r="G805" s="198" t="s">
        <v>642</v>
      </c>
      <c r="H805" s="163" t="s">
        <v>501</v>
      </c>
      <c r="I805" s="161" t="n">
        <v>77</v>
      </c>
      <c r="J805" s="156" t="s">
        <v>192</v>
      </c>
      <c r="K805" s="200" t="n">
        <v>45457.4951041667</v>
      </c>
      <c r="L805" s="1" t="n">
        <v>0</v>
      </c>
      <c r="M805" s="1" t="n">
        <v>11171</v>
      </c>
      <c r="N805" s="1" t="n">
        <v>525</v>
      </c>
    </row>
    <row r="806" customFormat="false" ht="14.25" hidden="false" customHeight="false" outlineLevel="0" collapsed="false">
      <c r="A806" s="1" t="n">
        <v>62</v>
      </c>
      <c r="B806" s="1" t="s">
        <v>643</v>
      </c>
      <c r="C806" s="1" t="s">
        <v>644</v>
      </c>
      <c r="D806" s="1" t="n">
        <v>11171</v>
      </c>
      <c r="E806" s="1" t="s">
        <v>55</v>
      </c>
      <c r="F806" s="201" t="n">
        <v>200025889770</v>
      </c>
      <c r="G806" s="198" t="s">
        <v>642</v>
      </c>
      <c r="H806" s="163" t="s">
        <v>501</v>
      </c>
      <c r="I806" s="161" t="n">
        <v>77</v>
      </c>
      <c r="J806" s="156" t="s">
        <v>192</v>
      </c>
      <c r="K806" s="200" t="n">
        <v>45457.5044328704</v>
      </c>
      <c r="L806" s="1" t="n">
        <v>1</v>
      </c>
      <c r="M806" s="1" t="n">
        <v>11171</v>
      </c>
      <c r="N806" s="1" t="n">
        <v>526</v>
      </c>
    </row>
    <row r="807" customFormat="false" ht="14.25" hidden="false" customHeight="false" outlineLevel="0" collapsed="false">
      <c r="A807" s="1" t="n">
        <v>63</v>
      </c>
      <c r="B807" s="1" t="s">
        <v>643</v>
      </c>
      <c r="C807" s="1" t="s">
        <v>644</v>
      </c>
      <c r="D807" s="1" t="n">
        <v>11171</v>
      </c>
      <c r="E807" s="1" t="s">
        <v>55</v>
      </c>
      <c r="F807" s="201" t="n">
        <v>200025889770</v>
      </c>
      <c r="G807" s="198" t="s">
        <v>642</v>
      </c>
      <c r="H807" s="163" t="s">
        <v>501</v>
      </c>
      <c r="I807" s="161" t="n">
        <v>77</v>
      </c>
      <c r="J807" s="156" t="s">
        <v>192</v>
      </c>
      <c r="K807" s="200" t="n">
        <v>45457.5167013889</v>
      </c>
      <c r="L807" s="1" t="n">
        <v>2</v>
      </c>
      <c r="M807" s="1" t="n">
        <v>11171</v>
      </c>
      <c r="N807" s="1" t="n">
        <v>527</v>
      </c>
    </row>
    <row r="808" customFormat="false" ht="14.25" hidden="false" customHeight="false" outlineLevel="0" collapsed="false">
      <c r="A808" s="1" t="n">
        <v>64</v>
      </c>
      <c r="B808" s="1" t="s">
        <v>643</v>
      </c>
      <c r="C808" s="1" t="s">
        <v>644</v>
      </c>
      <c r="D808" s="1" t="n">
        <v>11171</v>
      </c>
      <c r="E808" s="1" t="s">
        <v>55</v>
      </c>
      <c r="F808" s="201" t="n">
        <v>200025889770</v>
      </c>
      <c r="G808" s="198" t="s">
        <v>642</v>
      </c>
      <c r="H808" s="163" t="s">
        <v>501</v>
      </c>
      <c r="I808" s="161" t="n">
        <v>77</v>
      </c>
      <c r="J808" s="156" t="s">
        <v>192</v>
      </c>
      <c r="K808" s="200" t="n">
        <v>45457.5170833333</v>
      </c>
      <c r="L808" s="1" t="n">
        <v>2</v>
      </c>
      <c r="M808" s="1" t="n">
        <v>11171</v>
      </c>
      <c r="N808" s="1" t="n">
        <v>528</v>
      </c>
    </row>
    <row r="809" customFormat="false" ht="14.25" hidden="false" customHeight="false" outlineLevel="0" collapsed="false">
      <c r="A809" s="1" t="n">
        <v>65</v>
      </c>
      <c r="B809" s="1" t="s">
        <v>643</v>
      </c>
      <c r="C809" s="1" t="s">
        <v>644</v>
      </c>
      <c r="D809" s="1" t="n">
        <v>11171</v>
      </c>
      <c r="E809" s="1" t="s">
        <v>55</v>
      </c>
      <c r="F809" s="201" t="n">
        <v>200025889770</v>
      </c>
      <c r="G809" s="198" t="s">
        <v>642</v>
      </c>
      <c r="H809" s="163" t="s">
        <v>501</v>
      </c>
      <c r="I809" s="161" t="n">
        <v>77</v>
      </c>
      <c r="J809" s="156" t="s">
        <v>192</v>
      </c>
      <c r="K809" s="200" t="n">
        <v>45457.5175925926</v>
      </c>
      <c r="L809" s="1" t="n">
        <v>1</v>
      </c>
      <c r="M809" s="1" t="n">
        <v>11171</v>
      </c>
      <c r="N809" s="1" t="n">
        <v>529</v>
      </c>
    </row>
    <row r="810" customFormat="false" ht="14.25" hidden="false" customHeight="false" outlineLevel="0" collapsed="false">
      <c r="A810" s="1" t="n">
        <v>66</v>
      </c>
      <c r="B810" s="1" t="s">
        <v>643</v>
      </c>
      <c r="C810" s="1" t="s">
        <v>644</v>
      </c>
      <c r="D810" s="1" t="n">
        <v>11171</v>
      </c>
      <c r="E810" s="1" t="s">
        <v>55</v>
      </c>
      <c r="F810" s="201" t="n">
        <v>200025889770</v>
      </c>
      <c r="G810" s="198" t="s">
        <v>642</v>
      </c>
      <c r="H810" s="163" t="s">
        <v>501</v>
      </c>
      <c r="I810" s="161" t="n">
        <v>77</v>
      </c>
      <c r="J810" s="156" t="s">
        <v>192</v>
      </c>
      <c r="K810" s="200" t="n">
        <v>45457.5405671296</v>
      </c>
      <c r="L810" s="1" t="n">
        <v>2</v>
      </c>
      <c r="M810" s="1" t="n">
        <v>11171</v>
      </c>
      <c r="N810" s="1" t="n">
        <v>530</v>
      </c>
    </row>
    <row r="811" customFormat="false" ht="14.25" hidden="false" customHeight="false" outlineLevel="0" collapsed="false">
      <c r="A811" s="1" t="n">
        <v>67</v>
      </c>
      <c r="B811" s="1" t="s">
        <v>643</v>
      </c>
      <c r="C811" s="1" t="s">
        <v>644</v>
      </c>
      <c r="D811" s="1" t="n">
        <v>11171</v>
      </c>
      <c r="E811" s="1" t="s">
        <v>55</v>
      </c>
      <c r="F811" s="201" t="n">
        <v>200025889770</v>
      </c>
      <c r="G811" s="198" t="s">
        <v>642</v>
      </c>
      <c r="H811" s="163" t="s">
        <v>501</v>
      </c>
      <c r="I811" s="161" t="n">
        <v>77</v>
      </c>
      <c r="J811" s="156" t="s">
        <v>192</v>
      </c>
      <c r="K811" s="200" t="n">
        <v>45457.5411342593</v>
      </c>
      <c r="L811" s="1" t="n">
        <v>3</v>
      </c>
      <c r="M811" s="1" t="n">
        <v>11171</v>
      </c>
      <c r="N811" s="1" t="n">
        <v>531</v>
      </c>
    </row>
    <row r="812" customFormat="false" ht="14.25" hidden="false" customHeight="false" outlineLevel="0" collapsed="false">
      <c r="A812" s="1" t="n">
        <v>68</v>
      </c>
      <c r="B812" s="1" t="s">
        <v>643</v>
      </c>
      <c r="C812" s="1" t="s">
        <v>644</v>
      </c>
      <c r="D812" s="1" t="n">
        <v>11171</v>
      </c>
      <c r="E812" s="1" t="s">
        <v>55</v>
      </c>
      <c r="F812" s="201" t="n">
        <v>200025889770</v>
      </c>
      <c r="G812" s="198" t="s">
        <v>642</v>
      </c>
      <c r="H812" s="163" t="s">
        <v>501</v>
      </c>
      <c r="I812" s="161" t="n">
        <v>77</v>
      </c>
      <c r="J812" s="156" t="s">
        <v>192</v>
      </c>
      <c r="K812" s="200" t="n">
        <v>45457.5679166667</v>
      </c>
      <c r="L812" s="1" t="n">
        <v>2</v>
      </c>
      <c r="M812" s="1" t="n">
        <v>11171</v>
      </c>
      <c r="N812" s="1" t="n">
        <v>532</v>
      </c>
    </row>
    <row r="813" customFormat="false" ht="14.25" hidden="false" customHeight="false" outlineLevel="0" collapsed="false">
      <c r="A813" s="1" t="n">
        <v>69</v>
      </c>
      <c r="B813" s="1" t="s">
        <v>643</v>
      </c>
      <c r="C813" s="1" t="s">
        <v>644</v>
      </c>
      <c r="D813" s="1" t="n">
        <v>11171</v>
      </c>
      <c r="E813" s="1" t="s">
        <v>55</v>
      </c>
      <c r="F813" s="201" t="n">
        <v>200025889770</v>
      </c>
      <c r="G813" s="198" t="s">
        <v>642</v>
      </c>
      <c r="H813" s="163" t="s">
        <v>501</v>
      </c>
      <c r="I813" s="161" t="n">
        <v>77</v>
      </c>
      <c r="J813" s="156" t="s">
        <v>192</v>
      </c>
      <c r="K813" s="200" t="n">
        <v>45457.5695949074</v>
      </c>
      <c r="L813" s="1" t="n">
        <v>2</v>
      </c>
      <c r="M813" s="1" t="n">
        <v>11171</v>
      </c>
      <c r="N813" s="1" t="n">
        <v>533</v>
      </c>
    </row>
    <row r="814" customFormat="false" ht="14.25" hidden="false" customHeight="false" outlineLevel="0" collapsed="false">
      <c r="A814" s="1" t="n">
        <v>70</v>
      </c>
      <c r="B814" s="1" t="s">
        <v>643</v>
      </c>
      <c r="C814" s="1" t="s">
        <v>644</v>
      </c>
      <c r="D814" s="1" t="n">
        <v>11171</v>
      </c>
      <c r="E814" s="1" t="s">
        <v>55</v>
      </c>
      <c r="F814" s="201" t="n">
        <v>200025889770</v>
      </c>
      <c r="G814" s="198" t="s">
        <v>642</v>
      </c>
      <c r="H814" s="163" t="s">
        <v>501</v>
      </c>
      <c r="I814" s="161" t="n">
        <v>77</v>
      </c>
      <c r="J814" s="156" t="s">
        <v>192</v>
      </c>
      <c r="K814" s="200" t="n">
        <v>45457.7680092593</v>
      </c>
      <c r="L814" s="1" t="n">
        <v>3</v>
      </c>
      <c r="M814" s="1" t="n">
        <v>11171</v>
      </c>
      <c r="N814" s="1" t="n">
        <v>534</v>
      </c>
    </row>
    <row r="815" customFormat="false" ht="14.25" hidden="false" customHeight="false" outlineLevel="0" collapsed="false">
      <c r="A815" s="1" t="n">
        <v>71</v>
      </c>
      <c r="B815" s="1" t="s">
        <v>643</v>
      </c>
      <c r="C815" s="1" t="s">
        <v>644</v>
      </c>
      <c r="D815" s="1" t="n">
        <v>11171</v>
      </c>
      <c r="E815" s="1" t="s">
        <v>55</v>
      </c>
      <c r="F815" s="201" t="n">
        <v>200025889770</v>
      </c>
      <c r="G815" s="198" t="s">
        <v>642</v>
      </c>
      <c r="H815" s="163" t="s">
        <v>501</v>
      </c>
      <c r="I815" s="161" t="n">
        <v>77</v>
      </c>
      <c r="J815" s="156" t="s">
        <v>192</v>
      </c>
      <c r="K815" s="200" t="n">
        <v>45457.7682638889</v>
      </c>
      <c r="L815" s="1" t="n">
        <v>2</v>
      </c>
      <c r="M815" s="1" t="n">
        <v>11171</v>
      </c>
      <c r="N815" s="1" t="n">
        <v>535</v>
      </c>
    </row>
    <row r="816" customFormat="false" ht="14.25" hidden="false" customHeight="false" outlineLevel="0" collapsed="false">
      <c r="A816" s="1" t="n">
        <v>72</v>
      </c>
      <c r="B816" s="1" t="s">
        <v>643</v>
      </c>
      <c r="C816" s="1" t="s">
        <v>644</v>
      </c>
      <c r="D816" s="1" t="n">
        <v>11171</v>
      </c>
      <c r="E816" s="1" t="s">
        <v>55</v>
      </c>
      <c r="F816" s="201" t="n">
        <v>200025889770</v>
      </c>
      <c r="G816" s="198" t="s">
        <v>642</v>
      </c>
      <c r="H816" s="163" t="s">
        <v>501</v>
      </c>
      <c r="I816" s="161" t="n">
        <v>77</v>
      </c>
      <c r="J816" s="156" t="s">
        <v>192</v>
      </c>
      <c r="K816" s="200" t="n">
        <v>45457.7813425926</v>
      </c>
      <c r="L816" s="1" t="n">
        <v>2</v>
      </c>
      <c r="M816" s="1" t="n">
        <v>11171</v>
      </c>
      <c r="N816" s="1" t="n">
        <v>536</v>
      </c>
    </row>
    <row r="817" customFormat="false" ht="14.25" hidden="false" customHeight="false" outlineLevel="0" collapsed="false">
      <c r="A817" s="1" t="n">
        <v>73</v>
      </c>
      <c r="B817" s="1" t="s">
        <v>643</v>
      </c>
      <c r="C817" s="1" t="s">
        <v>644</v>
      </c>
      <c r="D817" s="1" t="n">
        <v>11171</v>
      </c>
      <c r="E817" s="1" t="s">
        <v>55</v>
      </c>
      <c r="F817" s="201" t="n">
        <v>200025889770</v>
      </c>
      <c r="G817" s="198" t="s">
        <v>642</v>
      </c>
      <c r="H817" s="163" t="s">
        <v>501</v>
      </c>
      <c r="I817" s="161" t="n">
        <v>77</v>
      </c>
      <c r="J817" s="156" t="s">
        <v>192</v>
      </c>
      <c r="K817" s="200" t="n">
        <v>45457.782337963</v>
      </c>
      <c r="L817" s="1" t="n">
        <v>2</v>
      </c>
      <c r="M817" s="1" t="n">
        <v>11171</v>
      </c>
      <c r="N817" s="1" t="n">
        <v>537</v>
      </c>
    </row>
    <row r="818" customFormat="false" ht="14.25" hidden="false" customHeight="false" outlineLevel="0" collapsed="false">
      <c r="A818" s="1" t="n">
        <v>74</v>
      </c>
      <c r="B818" s="1" t="s">
        <v>643</v>
      </c>
      <c r="C818" s="1" t="s">
        <v>644</v>
      </c>
      <c r="D818" s="1" t="n">
        <v>11171</v>
      </c>
      <c r="E818" s="1" t="s">
        <v>55</v>
      </c>
      <c r="F818" s="201" t="n">
        <v>200025889770</v>
      </c>
      <c r="G818" s="198" t="s">
        <v>642</v>
      </c>
      <c r="H818" s="163" t="s">
        <v>501</v>
      </c>
      <c r="I818" s="161" t="n">
        <v>77</v>
      </c>
      <c r="J818" s="156" t="s">
        <v>192</v>
      </c>
      <c r="K818" s="200" t="n">
        <v>45457.7827314815</v>
      </c>
      <c r="L818" s="1" t="n">
        <v>1</v>
      </c>
      <c r="M818" s="1" t="n">
        <v>11171</v>
      </c>
      <c r="N818" s="1" t="n">
        <v>538</v>
      </c>
    </row>
    <row r="819" customFormat="false" ht="14.25" hidden="false" customHeight="false" outlineLevel="0" collapsed="false">
      <c r="A819" s="1" t="n">
        <v>75</v>
      </c>
      <c r="B819" s="1" t="s">
        <v>643</v>
      </c>
      <c r="C819" s="1" t="s">
        <v>644</v>
      </c>
      <c r="D819" s="1" t="n">
        <v>11171</v>
      </c>
      <c r="E819" s="1" t="s">
        <v>55</v>
      </c>
      <c r="F819" s="201" t="n">
        <v>200025889770</v>
      </c>
      <c r="G819" s="198" t="s">
        <v>642</v>
      </c>
      <c r="H819" s="163" t="s">
        <v>501</v>
      </c>
      <c r="I819" s="161" t="n">
        <v>77</v>
      </c>
      <c r="J819" s="156" t="s">
        <v>192</v>
      </c>
      <c r="K819" s="200" t="n">
        <v>45457.7827546296</v>
      </c>
      <c r="L819" s="1" t="n">
        <v>0</v>
      </c>
      <c r="M819" s="1" t="n">
        <v>11171</v>
      </c>
      <c r="N819" s="1" t="n">
        <v>539</v>
      </c>
    </row>
    <row r="820" customFormat="false" ht="14.25" hidden="false" customHeight="false" outlineLevel="0" collapsed="false">
      <c r="A820" s="1" t="n">
        <v>76</v>
      </c>
      <c r="B820" s="1" t="s">
        <v>643</v>
      </c>
      <c r="C820" s="1" t="s">
        <v>644</v>
      </c>
      <c r="D820" s="1" t="n">
        <v>11171</v>
      </c>
      <c r="E820" s="1" t="s">
        <v>55</v>
      </c>
      <c r="F820" s="201" t="n">
        <v>200025889770</v>
      </c>
      <c r="G820" s="198" t="s">
        <v>642</v>
      </c>
      <c r="H820" s="163" t="s">
        <v>501</v>
      </c>
      <c r="I820" s="161" t="n">
        <v>77</v>
      </c>
      <c r="J820" s="156" t="s">
        <v>192</v>
      </c>
      <c r="K820" s="200" t="n">
        <v>45457.7830555556</v>
      </c>
      <c r="L820" s="1" t="n">
        <v>2</v>
      </c>
      <c r="M820" s="1" t="n">
        <v>11171</v>
      </c>
      <c r="N820" s="1" t="n">
        <v>540</v>
      </c>
    </row>
    <row r="821" customFormat="false" ht="14.25" hidden="false" customHeight="false" outlineLevel="0" collapsed="false">
      <c r="A821" s="1" t="n">
        <v>77</v>
      </c>
      <c r="B821" s="1" t="s">
        <v>643</v>
      </c>
      <c r="C821" s="1" t="s">
        <v>644</v>
      </c>
      <c r="D821" s="1" t="n">
        <v>11171</v>
      </c>
      <c r="E821" s="1" t="s">
        <v>55</v>
      </c>
      <c r="F821" s="201" t="n">
        <v>200025889770</v>
      </c>
      <c r="G821" s="198" t="s">
        <v>642</v>
      </c>
      <c r="H821" s="163" t="s">
        <v>501</v>
      </c>
      <c r="I821" s="161" t="n">
        <v>77</v>
      </c>
      <c r="J821" s="156" t="s">
        <v>192</v>
      </c>
      <c r="K821" s="200" t="n">
        <v>45457.7838541667</v>
      </c>
      <c r="L821" s="1" t="n">
        <v>1</v>
      </c>
      <c r="M821" s="1" t="n">
        <v>11171</v>
      </c>
      <c r="N821" s="1" t="n">
        <v>541</v>
      </c>
    </row>
    <row r="822" customFormat="false" ht="14.25" hidden="false" customHeight="false" outlineLevel="0" collapsed="false">
      <c r="A822" s="1" t="n">
        <v>78</v>
      </c>
      <c r="B822" s="1" t="s">
        <v>643</v>
      </c>
      <c r="C822" s="1" t="s">
        <v>644</v>
      </c>
      <c r="D822" s="1" t="n">
        <v>11171</v>
      </c>
      <c r="E822" s="1" t="s">
        <v>55</v>
      </c>
      <c r="F822" s="201" t="n">
        <v>200025889770</v>
      </c>
      <c r="G822" s="198" t="s">
        <v>642</v>
      </c>
      <c r="H822" s="163" t="s">
        <v>501</v>
      </c>
      <c r="I822" s="161" t="n">
        <v>77</v>
      </c>
      <c r="J822" s="156" t="s">
        <v>192</v>
      </c>
      <c r="K822" s="200" t="n">
        <v>45457.7838773148</v>
      </c>
      <c r="L822" s="1" t="n">
        <v>0</v>
      </c>
      <c r="M822" s="1" t="n">
        <v>11171</v>
      </c>
      <c r="N822" s="1" t="n">
        <v>542</v>
      </c>
    </row>
    <row r="823" customFormat="false" ht="14.25" hidden="false" customHeight="false" outlineLevel="0" collapsed="false">
      <c r="A823" s="1" t="n">
        <v>79</v>
      </c>
      <c r="B823" s="1" t="s">
        <v>643</v>
      </c>
      <c r="C823" s="1" t="s">
        <v>644</v>
      </c>
      <c r="D823" s="1" t="n">
        <v>11171</v>
      </c>
      <c r="E823" s="1" t="s">
        <v>55</v>
      </c>
      <c r="F823" s="201" t="n">
        <v>200025889770</v>
      </c>
      <c r="G823" s="198" t="s">
        <v>642</v>
      </c>
      <c r="H823" s="163" t="s">
        <v>501</v>
      </c>
      <c r="I823" s="161" t="n">
        <v>77</v>
      </c>
      <c r="J823" s="156" t="s">
        <v>192</v>
      </c>
      <c r="K823" s="200" t="n">
        <v>45457.784212963</v>
      </c>
      <c r="L823" s="1" t="n">
        <v>2</v>
      </c>
      <c r="M823" s="1" t="n">
        <v>11171</v>
      </c>
      <c r="N823" s="1" t="n">
        <v>543</v>
      </c>
    </row>
    <row r="824" customFormat="false" ht="14.25" hidden="false" customHeight="false" outlineLevel="0" collapsed="false">
      <c r="A824" s="1" t="n">
        <v>80</v>
      </c>
      <c r="B824" s="1" t="s">
        <v>643</v>
      </c>
      <c r="C824" s="1" t="s">
        <v>644</v>
      </c>
      <c r="D824" s="1" t="n">
        <v>11171</v>
      </c>
      <c r="E824" s="1" t="s">
        <v>55</v>
      </c>
      <c r="F824" s="201" t="n">
        <v>200025889770</v>
      </c>
      <c r="G824" s="198" t="s">
        <v>642</v>
      </c>
      <c r="H824" s="163" t="s">
        <v>501</v>
      </c>
      <c r="I824" s="161" t="n">
        <v>77</v>
      </c>
      <c r="J824" s="156" t="s">
        <v>192</v>
      </c>
      <c r="K824" s="200" t="n">
        <v>45457.7846180556</v>
      </c>
      <c r="L824" s="1" t="n">
        <v>1</v>
      </c>
      <c r="M824" s="1" t="n">
        <v>11171</v>
      </c>
      <c r="N824" s="1" t="n">
        <v>544</v>
      </c>
    </row>
    <row r="825" customFormat="false" ht="14.25" hidden="false" customHeight="false" outlineLevel="0" collapsed="false">
      <c r="A825" s="1" t="n">
        <v>81</v>
      </c>
      <c r="B825" s="1" t="s">
        <v>643</v>
      </c>
      <c r="C825" s="1" t="s">
        <v>644</v>
      </c>
      <c r="D825" s="1" t="n">
        <v>11171</v>
      </c>
      <c r="E825" s="1" t="s">
        <v>55</v>
      </c>
      <c r="F825" s="201" t="n">
        <v>200025889770</v>
      </c>
      <c r="G825" s="198" t="s">
        <v>642</v>
      </c>
      <c r="H825" s="163" t="s">
        <v>501</v>
      </c>
      <c r="I825" s="161" t="n">
        <v>77</v>
      </c>
      <c r="J825" s="156" t="s">
        <v>192</v>
      </c>
      <c r="K825" s="200" t="n">
        <v>45457.7846412037</v>
      </c>
      <c r="L825" s="1" t="n">
        <v>0</v>
      </c>
      <c r="M825" s="1" t="n">
        <v>11171</v>
      </c>
      <c r="N825" s="1" t="n">
        <v>545</v>
      </c>
    </row>
    <row r="826" customFormat="false" ht="14.25" hidden="false" customHeight="false" outlineLevel="0" collapsed="false">
      <c r="A826" s="1" t="n">
        <v>82</v>
      </c>
      <c r="B826" s="1" t="s">
        <v>643</v>
      </c>
      <c r="C826" s="1" t="s">
        <v>644</v>
      </c>
      <c r="D826" s="1" t="n">
        <v>11171</v>
      </c>
      <c r="E826" s="1" t="s">
        <v>55</v>
      </c>
      <c r="F826" s="201" t="n">
        <v>200025889770</v>
      </c>
      <c r="G826" s="198" t="s">
        <v>642</v>
      </c>
      <c r="H826" s="163" t="s">
        <v>501</v>
      </c>
      <c r="I826" s="161" t="n">
        <v>77</v>
      </c>
      <c r="J826" s="156" t="s">
        <v>192</v>
      </c>
      <c r="K826" s="200" t="n">
        <v>45457.7855555556</v>
      </c>
      <c r="L826" s="1" t="n">
        <v>1</v>
      </c>
      <c r="M826" s="1" t="n">
        <v>11171</v>
      </c>
      <c r="N826" s="1" t="n">
        <v>546</v>
      </c>
    </row>
    <row r="827" customFormat="false" ht="14.25" hidden="false" customHeight="false" outlineLevel="0" collapsed="false">
      <c r="A827" s="1" t="n">
        <v>83</v>
      </c>
      <c r="B827" s="1" t="s">
        <v>643</v>
      </c>
      <c r="C827" s="1" t="s">
        <v>644</v>
      </c>
      <c r="D827" s="1" t="n">
        <v>11171</v>
      </c>
      <c r="E827" s="1" t="s">
        <v>55</v>
      </c>
      <c r="F827" s="201" t="n">
        <v>200025889770</v>
      </c>
      <c r="G827" s="198" t="s">
        <v>642</v>
      </c>
      <c r="H827" s="163" t="s">
        <v>501</v>
      </c>
      <c r="I827" s="161" t="n">
        <v>77</v>
      </c>
      <c r="J827" s="156" t="s">
        <v>192</v>
      </c>
      <c r="K827" s="200" t="n">
        <v>45457.8309953704</v>
      </c>
      <c r="L827" s="1" t="n">
        <v>1</v>
      </c>
      <c r="M827" s="1" t="n">
        <v>11171</v>
      </c>
      <c r="N827" s="1" t="n">
        <v>547</v>
      </c>
    </row>
    <row r="828" customFormat="false" ht="14.25" hidden="false" customHeight="false" outlineLevel="0" collapsed="false">
      <c r="A828" s="1" t="n">
        <v>84</v>
      </c>
      <c r="B828" s="1" t="s">
        <v>643</v>
      </c>
      <c r="C828" s="1" t="s">
        <v>644</v>
      </c>
      <c r="D828" s="1" t="n">
        <v>11171</v>
      </c>
      <c r="E828" s="1" t="s">
        <v>55</v>
      </c>
      <c r="F828" s="201" t="n">
        <v>200025889770</v>
      </c>
      <c r="G828" s="198" t="s">
        <v>642</v>
      </c>
      <c r="H828" s="163" t="s">
        <v>501</v>
      </c>
      <c r="I828" s="161" t="n">
        <v>77</v>
      </c>
      <c r="J828" s="156" t="s">
        <v>192</v>
      </c>
      <c r="K828" s="200" t="n">
        <v>45457.8314930556</v>
      </c>
      <c r="L828" s="1" t="n">
        <v>1</v>
      </c>
      <c r="M828" s="1" t="n">
        <v>11171</v>
      </c>
      <c r="N828" s="1" t="n">
        <v>548</v>
      </c>
    </row>
    <row r="829" customFormat="false" ht="14.25" hidden="false" customHeight="false" outlineLevel="0" collapsed="false">
      <c r="A829" s="1" t="n">
        <v>85</v>
      </c>
      <c r="B829" s="1" t="s">
        <v>643</v>
      </c>
      <c r="C829" s="1" t="s">
        <v>644</v>
      </c>
      <c r="D829" s="1" t="n">
        <v>11171</v>
      </c>
      <c r="E829" s="1" t="s">
        <v>55</v>
      </c>
      <c r="F829" s="201" t="n">
        <v>200025889770</v>
      </c>
      <c r="G829" s="198" t="s">
        <v>642</v>
      </c>
      <c r="H829" s="163" t="s">
        <v>501</v>
      </c>
      <c r="I829" s="161" t="n">
        <v>77</v>
      </c>
      <c r="J829" s="156" t="s">
        <v>192</v>
      </c>
      <c r="K829" s="200" t="n">
        <v>45457.8319444444</v>
      </c>
      <c r="L829" s="1" t="n">
        <v>2</v>
      </c>
      <c r="M829" s="1" t="n">
        <v>11171</v>
      </c>
      <c r="N829" s="1" t="n">
        <v>549</v>
      </c>
    </row>
    <row r="830" customFormat="false" ht="14.25" hidden="false" customHeight="false" outlineLevel="0" collapsed="false">
      <c r="A830" s="1" t="n">
        <v>86</v>
      </c>
      <c r="B830" s="1" t="s">
        <v>643</v>
      </c>
      <c r="C830" s="1" t="s">
        <v>644</v>
      </c>
      <c r="D830" s="1" t="n">
        <v>11171</v>
      </c>
      <c r="E830" s="1" t="s">
        <v>55</v>
      </c>
      <c r="F830" s="201" t="n">
        <v>200025889246</v>
      </c>
      <c r="G830" s="198" t="s">
        <v>693</v>
      </c>
      <c r="H830" s="163" t="s">
        <v>227</v>
      </c>
      <c r="I830" s="161" t="n">
        <v>6</v>
      </c>
      <c r="J830" s="156" t="s">
        <v>192</v>
      </c>
      <c r="K830" s="200" t="n">
        <v>45458.0731018519</v>
      </c>
      <c r="L830" s="1" t="n">
        <v>2</v>
      </c>
      <c r="M830" s="1" t="n">
        <v>11171</v>
      </c>
      <c r="N830" s="1" t="n">
        <v>550</v>
      </c>
    </row>
    <row r="831" customFormat="false" ht="14.25" hidden="false" customHeight="false" outlineLevel="0" collapsed="false">
      <c r="A831" s="1" t="n">
        <v>87</v>
      </c>
      <c r="B831" s="1" t="s">
        <v>643</v>
      </c>
      <c r="C831" s="1" t="s">
        <v>644</v>
      </c>
      <c r="D831" s="1" t="n">
        <v>11171</v>
      </c>
      <c r="E831" s="1" t="s">
        <v>55</v>
      </c>
      <c r="F831" s="201" t="n">
        <v>200025888637</v>
      </c>
      <c r="G831" s="198" t="s">
        <v>669</v>
      </c>
      <c r="H831" s="163" t="s">
        <v>206</v>
      </c>
      <c r="I831" s="161" t="n">
        <v>4</v>
      </c>
      <c r="J831" s="156" t="s">
        <v>185</v>
      </c>
      <c r="K831" s="200" t="n">
        <v>45458.4188657407</v>
      </c>
      <c r="L831" s="1" t="n">
        <v>1</v>
      </c>
      <c r="M831" s="1" t="n">
        <v>11171</v>
      </c>
      <c r="N831" s="1" t="n">
        <v>551</v>
      </c>
    </row>
    <row r="832" customFormat="false" ht="14.25" hidden="false" customHeight="false" outlineLevel="0" collapsed="false">
      <c r="A832" s="1" t="n">
        <v>303</v>
      </c>
      <c r="B832" s="1" t="s">
        <v>565</v>
      </c>
      <c r="C832" s="1" t="s">
        <v>566</v>
      </c>
      <c r="D832" s="1" t="n">
        <v>11171</v>
      </c>
      <c r="E832" s="1" t="s">
        <v>55</v>
      </c>
      <c r="F832" s="198" t="n">
        <v>200025889267</v>
      </c>
      <c r="G832" s="198" t="s">
        <v>694</v>
      </c>
      <c r="H832" s="163" t="s">
        <v>263</v>
      </c>
      <c r="I832" s="161" t="n">
        <v>10</v>
      </c>
      <c r="J832" s="156" t="s">
        <v>192</v>
      </c>
      <c r="K832" s="199" t="n">
        <v>45461.4472337963</v>
      </c>
      <c r="L832" s="1" t="n">
        <v>3</v>
      </c>
      <c r="M832" s="1" t="n">
        <v>11171</v>
      </c>
      <c r="N832" s="1" t="n">
        <v>552</v>
      </c>
    </row>
    <row r="833" customFormat="false" ht="14.25" hidden="false" customHeight="false" outlineLevel="0" collapsed="false">
      <c r="A833" s="1" t="n">
        <v>23</v>
      </c>
      <c r="B833" s="1" t="s">
        <v>681</v>
      </c>
      <c r="C833" s="1" t="s">
        <v>682</v>
      </c>
      <c r="D833" s="1" t="n">
        <v>11197</v>
      </c>
      <c r="E833" s="1" t="s">
        <v>53</v>
      </c>
      <c r="F833" s="201" t="n">
        <v>200025889051</v>
      </c>
      <c r="G833" s="198" t="s">
        <v>633</v>
      </c>
      <c r="H833" s="163" t="s">
        <v>269</v>
      </c>
      <c r="I833" s="161" t="n">
        <v>26</v>
      </c>
      <c r="J833" s="156" t="s">
        <v>185</v>
      </c>
      <c r="K833" s="199" t="n">
        <v>45434.8794097222</v>
      </c>
      <c r="L833" s="1" t="n">
        <v>1</v>
      </c>
      <c r="M833" s="1" t="n">
        <v>11197</v>
      </c>
      <c r="N833" s="1" t="n">
        <v>1</v>
      </c>
    </row>
    <row r="834" customFormat="false" ht="14.25" hidden="false" customHeight="false" outlineLevel="0" collapsed="false">
      <c r="A834" s="1" t="n">
        <v>24</v>
      </c>
      <c r="B834" s="1" t="s">
        <v>681</v>
      </c>
      <c r="C834" s="1" t="s">
        <v>682</v>
      </c>
      <c r="D834" s="1" t="n">
        <v>11197</v>
      </c>
      <c r="E834" s="1" t="s">
        <v>53</v>
      </c>
      <c r="F834" s="201" t="n">
        <v>200025888729</v>
      </c>
      <c r="G834" s="198" t="s">
        <v>695</v>
      </c>
      <c r="H834" s="163" t="s">
        <v>321</v>
      </c>
      <c r="I834" s="161" t="n">
        <v>56</v>
      </c>
      <c r="J834" s="156" t="s">
        <v>185</v>
      </c>
      <c r="K834" s="199" t="n">
        <v>45434.9282060185</v>
      </c>
      <c r="L834" s="1" t="n">
        <v>1</v>
      </c>
      <c r="M834" s="1" t="n">
        <v>11197</v>
      </c>
      <c r="N834" s="1" t="n">
        <v>2</v>
      </c>
    </row>
    <row r="835" customFormat="false" ht="14.25" hidden="false" customHeight="false" outlineLevel="0" collapsed="false">
      <c r="A835" s="1" t="n">
        <v>25</v>
      </c>
      <c r="B835" s="1" t="s">
        <v>681</v>
      </c>
      <c r="C835" s="1" t="s">
        <v>682</v>
      </c>
      <c r="D835" s="1" t="n">
        <v>11197</v>
      </c>
      <c r="E835" s="1" t="s">
        <v>53</v>
      </c>
      <c r="F835" s="201" t="n">
        <v>200025888665</v>
      </c>
      <c r="G835" s="198" t="s">
        <v>667</v>
      </c>
      <c r="H835" s="163" t="s">
        <v>218</v>
      </c>
      <c r="I835" s="161" t="n">
        <v>11</v>
      </c>
      <c r="J835" s="156" t="s">
        <v>185</v>
      </c>
      <c r="K835" s="199" t="n">
        <v>45434.9305902778</v>
      </c>
      <c r="L835" s="1" t="n">
        <v>2</v>
      </c>
      <c r="M835" s="1" t="n">
        <v>11197</v>
      </c>
      <c r="N835" s="1" t="n">
        <v>3</v>
      </c>
    </row>
    <row r="836" customFormat="false" ht="14.25" hidden="false" customHeight="false" outlineLevel="0" collapsed="false">
      <c r="A836" s="1" t="n">
        <v>26</v>
      </c>
      <c r="B836" s="1" t="s">
        <v>681</v>
      </c>
      <c r="C836" s="1" t="s">
        <v>682</v>
      </c>
      <c r="D836" s="1" t="n">
        <v>11197</v>
      </c>
      <c r="E836" s="1" t="s">
        <v>53</v>
      </c>
      <c r="F836" s="201" t="n">
        <v>200025888665</v>
      </c>
      <c r="G836" s="198" t="s">
        <v>667</v>
      </c>
      <c r="H836" s="163" t="s">
        <v>218</v>
      </c>
      <c r="I836" s="161" t="n">
        <v>11</v>
      </c>
      <c r="J836" s="156" t="s">
        <v>185</v>
      </c>
      <c r="K836" s="199" t="n">
        <v>45434.930625</v>
      </c>
      <c r="L836" s="10" t="n">
        <v>948</v>
      </c>
      <c r="M836" s="1" t="n">
        <v>11197</v>
      </c>
      <c r="N836" s="1" t="n">
        <v>4</v>
      </c>
    </row>
    <row r="837" customFormat="false" ht="14.25" hidden="false" customHeight="false" outlineLevel="0" collapsed="false">
      <c r="A837" s="1" t="n">
        <v>27</v>
      </c>
      <c r="B837" s="1" t="s">
        <v>681</v>
      </c>
      <c r="C837" s="1" t="s">
        <v>682</v>
      </c>
      <c r="D837" s="1" t="n">
        <v>11197</v>
      </c>
      <c r="E837" s="1" t="s">
        <v>53</v>
      </c>
      <c r="F837" s="201" t="n">
        <v>200025889051</v>
      </c>
      <c r="G837" s="198" t="s">
        <v>633</v>
      </c>
      <c r="H837" s="163" t="s">
        <v>269</v>
      </c>
      <c r="I837" s="161" t="n">
        <v>26</v>
      </c>
      <c r="J837" s="156" t="s">
        <v>185</v>
      </c>
      <c r="K837" s="199" t="n">
        <v>45434.9459490741</v>
      </c>
      <c r="L837" s="1" t="n">
        <v>1</v>
      </c>
      <c r="M837" s="1" t="n">
        <v>11197</v>
      </c>
      <c r="N837" s="1" t="n">
        <v>5</v>
      </c>
    </row>
    <row r="838" customFormat="false" ht="14.25" hidden="false" customHeight="false" outlineLevel="0" collapsed="false">
      <c r="A838" s="1" t="n">
        <v>28</v>
      </c>
      <c r="B838" s="1" t="s">
        <v>681</v>
      </c>
      <c r="C838" s="1" t="s">
        <v>682</v>
      </c>
      <c r="D838" s="1" t="n">
        <v>11197</v>
      </c>
      <c r="E838" s="1" t="s">
        <v>53</v>
      </c>
      <c r="F838" s="201" t="n">
        <v>200025888665</v>
      </c>
      <c r="G838" s="198" t="s">
        <v>667</v>
      </c>
      <c r="H838" s="163" t="s">
        <v>218</v>
      </c>
      <c r="I838" s="161" t="n">
        <v>11</v>
      </c>
      <c r="J838" s="156" t="s">
        <v>185</v>
      </c>
      <c r="K838" s="199" t="n">
        <v>45434.9887384259</v>
      </c>
      <c r="L838" s="1" t="n">
        <v>1</v>
      </c>
      <c r="M838" s="1" t="n">
        <v>11197</v>
      </c>
      <c r="N838" s="1" t="n">
        <v>6</v>
      </c>
    </row>
    <row r="839" customFormat="false" ht="14.25" hidden="false" customHeight="false" outlineLevel="0" collapsed="false">
      <c r="A839" s="1" t="n">
        <v>29</v>
      </c>
      <c r="B839" s="1" t="s">
        <v>681</v>
      </c>
      <c r="C839" s="1" t="s">
        <v>682</v>
      </c>
      <c r="D839" s="1" t="n">
        <v>11197</v>
      </c>
      <c r="E839" s="1" t="s">
        <v>53</v>
      </c>
      <c r="F839" s="201" t="n">
        <v>200025888916</v>
      </c>
      <c r="G839" s="198" t="s">
        <v>666</v>
      </c>
      <c r="H839" s="163" t="s">
        <v>360</v>
      </c>
      <c r="I839" s="161" t="n">
        <v>73</v>
      </c>
      <c r="J839" s="156" t="s">
        <v>185</v>
      </c>
      <c r="K839" s="199" t="n">
        <v>45435.0965625</v>
      </c>
      <c r="L839" s="1" t="n">
        <v>2</v>
      </c>
      <c r="M839" s="1" t="n">
        <v>11197</v>
      </c>
      <c r="N839" s="1" t="n">
        <v>7</v>
      </c>
    </row>
    <row r="840" customFormat="false" ht="14.25" hidden="false" customHeight="false" outlineLevel="0" collapsed="false">
      <c r="A840" s="1" t="n">
        <v>30</v>
      </c>
      <c r="B840" s="1" t="s">
        <v>681</v>
      </c>
      <c r="C840" s="1" t="s">
        <v>682</v>
      </c>
      <c r="D840" s="1" t="n">
        <v>11197</v>
      </c>
      <c r="E840" s="1" t="s">
        <v>53</v>
      </c>
      <c r="F840" s="201" t="n">
        <v>200025888916</v>
      </c>
      <c r="G840" s="198" t="s">
        <v>666</v>
      </c>
      <c r="H840" s="163" t="s">
        <v>360</v>
      </c>
      <c r="I840" s="161" t="n">
        <v>73</v>
      </c>
      <c r="J840" s="156" t="s">
        <v>185</v>
      </c>
      <c r="K840" s="199" t="n">
        <v>45435.0967592593</v>
      </c>
      <c r="L840" s="1" t="n">
        <v>2</v>
      </c>
      <c r="M840" s="1" t="n">
        <v>11197</v>
      </c>
      <c r="N840" s="1" t="n">
        <v>8</v>
      </c>
    </row>
    <row r="841" customFormat="false" ht="14.25" hidden="false" customHeight="false" outlineLevel="0" collapsed="false">
      <c r="A841" s="1" t="n">
        <v>31</v>
      </c>
      <c r="B841" s="1" t="s">
        <v>681</v>
      </c>
      <c r="C841" s="1" t="s">
        <v>682</v>
      </c>
      <c r="D841" s="1" t="n">
        <v>11197</v>
      </c>
      <c r="E841" s="1" t="s">
        <v>53</v>
      </c>
      <c r="F841" s="201" t="n">
        <v>200025888916</v>
      </c>
      <c r="G841" s="198" t="s">
        <v>666</v>
      </c>
      <c r="H841" s="163" t="s">
        <v>360</v>
      </c>
      <c r="I841" s="161" t="n">
        <v>73</v>
      </c>
      <c r="J841" s="156" t="s">
        <v>185</v>
      </c>
      <c r="K841" s="199" t="n">
        <v>45435.0972106482</v>
      </c>
      <c r="L841" s="1" t="n">
        <v>0</v>
      </c>
      <c r="M841" s="1" t="n">
        <v>11197</v>
      </c>
      <c r="N841" s="1" t="n">
        <v>9</v>
      </c>
    </row>
    <row r="842" customFormat="false" ht="14.25" hidden="false" customHeight="false" outlineLevel="0" collapsed="false">
      <c r="A842" s="1" t="n">
        <v>32</v>
      </c>
      <c r="B842" s="1" t="s">
        <v>681</v>
      </c>
      <c r="C842" s="1" t="s">
        <v>682</v>
      </c>
      <c r="D842" s="1" t="n">
        <v>11197</v>
      </c>
      <c r="E842" s="1" t="s">
        <v>53</v>
      </c>
      <c r="F842" s="201" t="n">
        <v>200025888916</v>
      </c>
      <c r="G842" s="198" t="s">
        <v>666</v>
      </c>
      <c r="H842" s="163" t="s">
        <v>360</v>
      </c>
      <c r="I842" s="161" t="n">
        <v>73</v>
      </c>
      <c r="J842" s="156" t="s">
        <v>185</v>
      </c>
      <c r="K842" s="199" t="n">
        <v>45435.098275463</v>
      </c>
      <c r="L842" s="1" t="n">
        <v>3</v>
      </c>
      <c r="M842" s="1" t="n">
        <v>11197</v>
      </c>
      <c r="N842" s="1" t="n">
        <v>10</v>
      </c>
    </row>
    <row r="843" customFormat="false" ht="14.25" hidden="false" customHeight="false" outlineLevel="0" collapsed="false">
      <c r="A843" s="1" t="n">
        <v>33</v>
      </c>
      <c r="B843" s="1" t="s">
        <v>681</v>
      </c>
      <c r="C843" s="1" t="s">
        <v>682</v>
      </c>
      <c r="D843" s="1" t="n">
        <v>11197</v>
      </c>
      <c r="E843" s="1" t="s">
        <v>53</v>
      </c>
      <c r="F843" s="201" t="n">
        <v>200025888916</v>
      </c>
      <c r="G843" s="198" t="s">
        <v>666</v>
      </c>
      <c r="H843" s="163" t="s">
        <v>360</v>
      </c>
      <c r="I843" s="161" t="n">
        <v>73</v>
      </c>
      <c r="J843" s="156" t="s">
        <v>185</v>
      </c>
      <c r="K843" s="199" t="n">
        <v>45435.1098263889</v>
      </c>
      <c r="L843" s="1" t="n">
        <v>1</v>
      </c>
      <c r="M843" s="1" t="n">
        <v>11197</v>
      </c>
      <c r="N843" s="1" t="n">
        <v>11</v>
      </c>
    </row>
    <row r="844" customFormat="false" ht="14.25" hidden="false" customHeight="false" outlineLevel="0" collapsed="false">
      <c r="A844" s="1" t="n">
        <v>34</v>
      </c>
      <c r="B844" s="1" t="s">
        <v>681</v>
      </c>
      <c r="C844" s="1" t="s">
        <v>682</v>
      </c>
      <c r="D844" s="1" t="n">
        <v>11197</v>
      </c>
      <c r="E844" s="1" t="s">
        <v>53</v>
      </c>
      <c r="F844" s="201" t="n">
        <v>200025888916</v>
      </c>
      <c r="G844" s="198" t="s">
        <v>666</v>
      </c>
      <c r="H844" s="163" t="s">
        <v>360</v>
      </c>
      <c r="I844" s="161" t="n">
        <v>73</v>
      </c>
      <c r="J844" s="156" t="s">
        <v>185</v>
      </c>
      <c r="K844" s="199" t="n">
        <v>45435.11</v>
      </c>
      <c r="L844" s="1" t="n">
        <v>1</v>
      </c>
      <c r="M844" s="1" t="n">
        <v>11197</v>
      </c>
      <c r="N844" s="1" t="n">
        <v>12</v>
      </c>
    </row>
    <row r="845" customFormat="false" ht="14.25" hidden="false" customHeight="false" outlineLevel="0" collapsed="false">
      <c r="A845" s="1" t="n">
        <v>35</v>
      </c>
      <c r="B845" s="1" t="s">
        <v>681</v>
      </c>
      <c r="C845" s="1" t="s">
        <v>682</v>
      </c>
      <c r="D845" s="1" t="n">
        <v>11197</v>
      </c>
      <c r="E845" s="1" t="s">
        <v>53</v>
      </c>
      <c r="F845" s="201" t="n">
        <v>200025888916</v>
      </c>
      <c r="G845" s="198" t="s">
        <v>666</v>
      </c>
      <c r="H845" s="163" t="s">
        <v>360</v>
      </c>
      <c r="I845" s="161" t="n">
        <v>73</v>
      </c>
      <c r="J845" s="156" t="s">
        <v>185</v>
      </c>
      <c r="K845" s="199" t="n">
        <v>45435.1109027778</v>
      </c>
      <c r="L845" s="1" t="n">
        <v>1</v>
      </c>
      <c r="M845" s="1" t="n">
        <v>11197</v>
      </c>
      <c r="N845" s="1" t="n">
        <v>13</v>
      </c>
    </row>
    <row r="846" customFormat="false" ht="14.25" hidden="false" customHeight="false" outlineLevel="0" collapsed="false">
      <c r="A846" s="1" t="n">
        <v>36</v>
      </c>
      <c r="B846" s="1" t="s">
        <v>681</v>
      </c>
      <c r="C846" s="1" t="s">
        <v>682</v>
      </c>
      <c r="D846" s="1" t="n">
        <v>11197</v>
      </c>
      <c r="E846" s="1" t="s">
        <v>53</v>
      </c>
      <c r="F846" s="201" t="n">
        <v>200025888173</v>
      </c>
      <c r="G846" s="198" t="s">
        <v>670</v>
      </c>
      <c r="H846" s="163" t="s">
        <v>189</v>
      </c>
      <c r="I846" s="161" t="n">
        <v>63</v>
      </c>
      <c r="J846" s="156" t="s">
        <v>185</v>
      </c>
      <c r="K846" s="199" t="n">
        <v>45435.1121064815</v>
      </c>
      <c r="L846" s="1" t="n">
        <v>0</v>
      </c>
      <c r="M846" s="1" t="n">
        <v>11197</v>
      </c>
      <c r="N846" s="1" t="n">
        <v>14</v>
      </c>
    </row>
    <row r="847" customFormat="false" ht="14.25" hidden="false" customHeight="false" outlineLevel="0" collapsed="false">
      <c r="A847" s="1" t="n">
        <v>37</v>
      </c>
      <c r="B847" s="1" t="s">
        <v>681</v>
      </c>
      <c r="C847" s="1" t="s">
        <v>682</v>
      </c>
      <c r="D847" s="1" t="n">
        <v>11197</v>
      </c>
      <c r="E847" s="1" t="s">
        <v>53</v>
      </c>
      <c r="F847" s="201" t="n">
        <v>200025889051</v>
      </c>
      <c r="G847" s="198" t="s">
        <v>633</v>
      </c>
      <c r="H847" s="163" t="s">
        <v>269</v>
      </c>
      <c r="I847" s="161" t="n">
        <v>26</v>
      </c>
      <c r="J847" s="156" t="s">
        <v>185</v>
      </c>
      <c r="K847" s="199" t="n">
        <v>45435.1565046296</v>
      </c>
      <c r="L847" s="1" t="n">
        <v>2</v>
      </c>
      <c r="M847" s="1" t="n">
        <v>11197</v>
      </c>
      <c r="N847" s="1" t="n">
        <v>15</v>
      </c>
    </row>
    <row r="848" customFormat="false" ht="14.25" hidden="false" customHeight="false" outlineLevel="0" collapsed="false">
      <c r="A848" s="1" t="n">
        <v>38</v>
      </c>
      <c r="B848" s="1" t="s">
        <v>681</v>
      </c>
      <c r="C848" s="1" t="s">
        <v>682</v>
      </c>
      <c r="D848" s="1" t="n">
        <v>11197</v>
      </c>
      <c r="E848" s="1" t="s">
        <v>53</v>
      </c>
      <c r="F848" s="201" t="n">
        <v>200025889051</v>
      </c>
      <c r="G848" s="198" t="s">
        <v>633</v>
      </c>
      <c r="H848" s="163" t="s">
        <v>269</v>
      </c>
      <c r="I848" s="161" t="n">
        <v>26</v>
      </c>
      <c r="J848" s="156" t="s">
        <v>185</v>
      </c>
      <c r="K848" s="199" t="n">
        <v>45435.1565277778</v>
      </c>
      <c r="L848" s="1" t="n">
        <v>0</v>
      </c>
      <c r="M848" s="1" t="n">
        <v>11197</v>
      </c>
      <c r="N848" s="1" t="n">
        <v>16</v>
      </c>
    </row>
    <row r="849" customFormat="false" ht="14.25" hidden="false" customHeight="false" outlineLevel="0" collapsed="false">
      <c r="A849" s="1" t="n">
        <v>39</v>
      </c>
      <c r="B849" s="1" t="s">
        <v>681</v>
      </c>
      <c r="C849" s="1" t="s">
        <v>682</v>
      </c>
      <c r="D849" s="1" t="n">
        <v>11197</v>
      </c>
      <c r="E849" s="1" t="s">
        <v>53</v>
      </c>
      <c r="F849" s="201" t="n">
        <v>200025889051</v>
      </c>
      <c r="G849" s="198" t="s">
        <v>633</v>
      </c>
      <c r="H849" s="163" t="s">
        <v>269</v>
      </c>
      <c r="I849" s="161" t="n">
        <v>26</v>
      </c>
      <c r="J849" s="156" t="s">
        <v>185</v>
      </c>
      <c r="K849" s="199" t="n">
        <v>45435.1569675926</v>
      </c>
      <c r="L849" s="1" t="n">
        <v>1</v>
      </c>
      <c r="M849" s="1" t="n">
        <v>11197</v>
      </c>
      <c r="N849" s="1" t="n">
        <v>17</v>
      </c>
    </row>
    <row r="850" customFormat="false" ht="14.25" hidden="false" customHeight="false" outlineLevel="0" collapsed="false">
      <c r="A850" s="1" t="n">
        <v>40</v>
      </c>
      <c r="B850" s="1" t="s">
        <v>681</v>
      </c>
      <c r="C850" s="1" t="s">
        <v>682</v>
      </c>
      <c r="D850" s="1" t="n">
        <v>11197</v>
      </c>
      <c r="E850" s="1" t="s">
        <v>53</v>
      </c>
      <c r="F850" s="201" t="n">
        <v>200025889051</v>
      </c>
      <c r="G850" s="198" t="s">
        <v>633</v>
      </c>
      <c r="H850" s="163" t="s">
        <v>269</v>
      </c>
      <c r="I850" s="161" t="n">
        <v>26</v>
      </c>
      <c r="J850" s="156" t="s">
        <v>185</v>
      </c>
      <c r="K850" s="199" t="n">
        <v>45435.1569907407</v>
      </c>
      <c r="L850" s="1" t="n">
        <v>0</v>
      </c>
      <c r="M850" s="1" t="n">
        <v>11197</v>
      </c>
      <c r="N850" s="1" t="n">
        <v>18</v>
      </c>
    </row>
    <row r="851" customFormat="false" ht="14.25" hidden="false" customHeight="false" outlineLevel="0" collapsed="false">
      <c r="A851" s="1" t="n">
        <v>41</v>
      </c>
      <c r="B851" s="1" t="s">
        <v>681</v>
      </c>
      <c r="C851" s="1" t="s">
        <v>682</v>
      </c>
      <c r="D851" s="1" t="n">
        <v>11197</v>
      </c>
      <c r="E851" s="1" t="s">
        <v>53</v>
      </c>
      <c r="F851" s="201" t="n">
        <v>200025889051</v>
      </c>
      <c r="G851" s="198" t="s">
        <v>633</v>
      </c>
      <c r="H851" s="163" t="s">
        <v>269</v>
      </c>
      <c r="I851" s="161" t="n">
        <v>26</v>
      </c>
      <c r="J851" s="156" t="s">
        <v>185</v>
      </c>
      <c r="K851" s="199" t="n">
        <v>45435.1569907407</v>
      </c>
      <c r="L851" s="1" t="n">
        <v>33</v>
      </c>
      <c r="M851" s="1" t="n">
        <v>11197</v>
      </c>
      <c r="N851" s="1" t="n">
        <v>19</v>
      </c>
    </row>
    <row r="852" customFormat="false" ht="14.25" hidden="false" customHeight="false" outlineLevel="0" collapsed="false">
      <c r="A852" s="1" t="n">
        <v>42</v>
      </c>
      <c r="B852" s="1" t="s">
        <v>681</v>
      </c>
      <c r="C852" s="1" t="s">
        <v>682</v>
      </c>
      <c r="D852" s="1" t="n">
        <v>11197</v>
      </c>
      <c r="E852" s="1" t="s">
        <v>53</v>
      </c>
      <c r="F852" s="201" t="n">
        <v>200025889051</v>
      </c>
      <c r="G852" s="198" t="s">
        <v>633</v>
      </c>
      <c r="H852" s="163" t="s">
        <v>269</v>
      </c>
      <c r="I852" s="161" t="n">
        <v>26</v>
      </c>
      <c r="J852" s="156" t="s">
        <v>185</v>
      </c>
      <c r="K852" s="199" t="n">
        <v>45435.1573842593</v>
      </c>
      <c r="L852" s="1" t="n">
        <v>0</v>
      </c>
      <c r="M852" s="1" t="n">
        <v>11197</v>
      </c>
      <c r="N852" s="1" t="n">
        <v>20</v>
      </c>
    </row>
    <row r="853" customFormat="false" ht="14.25" hidden="false" customHeight="false" outlineLevel="0" collapsed="false">
      <c r="A853" s="1" t="n">
        <v>43</v>
      </c>
      <c r="B853" s="1" t="s">
        <v>681</v>
      </c>
      <c r="C853" s="1" t="s">
        <v>682</v>
      </c>
      <c r="D853" s="1" t="n">
        <v>11197</v>
      </c>
      <c r="E853" s="1" t="s">
        <v>53</v>
      </c>
      <c r="F853" s="201" t="n">
        <v>200025888729</v>
      </c>
      <c r="G853" s="198" t="s">
        <v>695</v>
      </c>
      <c r="H853" s="163" t="s">
        <v>321</v>
      </c>
      <c r="I853" s="161" t="n">
        <v>56</v>
      </c>
      <c r="J853" s="156" t="s">
        <v>185</v>
      </c>
      <c r="K853" s="199" t="n">
        <v>45435.1610416667</v>
      </c>
      <c r="L853" s="1" t="n">
        <v>0</v>
      </c>
      <c r="M853" s="1" t="n">
        <v>11197</v>
      </c>
      <c r="N853" s="1" t="n">
        <v>21</v>
      </c>
    </row>
    <row r="854" customFormat="false" ht="14.25" hidden="false" customHeight="false" outlineLevel="0" collapsed="false">
      <c r="A854" s="1" t="n">
        <v>44</v>
      </c>
      <c r="B854" s="1" t="s">
        <v>681</v>
      </c>
      <c r="C854" s="1" t="s">
        <v>682</v>
      </c>
      <c r="D854" s="1" t="n">
        <v>11197</v>
      </c>
      <c r="E854" s="1" t="s">
        <v>53</v>
      </c>
      <c r="F854" s="201" t="n">
        <v>200025888729</v>
      </c>
      <c r="G854" s="198" t="s">
        <v>695</v>
      </c>
      <c r="H854" s="163" t="s">
        <v>321</v>
      </c>
      <c r="I854" s="161" t="n">
        <v>56</v>
      </c>
      <c r="J854" s="156" t="s">
        <v>185</v>
      </c>
      <c r="K854" s="199" t="n">
        <v>45435.1610532407</v>
      </c>
      <c r="L854" s="1" t="n">
        <v>1</v>
      </c>
      <c r="M854" s="1" t="n">
        <v>11197</v>
      </c>
      <c r="N854" s="1" t="n">
        <v>22</v>
      </c>
    </row>
    <row r="855" customFormat="false" ht="14.25" hidden="false" customHeight="false" outlineLevel="0" collapsed="false">
      <c r="A855" s="1" t="n">
        <v>45</v>
      </c>
      <c r="B855" s="1" t="s">
        <v>681</v>
      </c>
      <c r="C855" s="1" t="s">
        <v>682</v>
      </c>
      <c r="D855" s="1" t="n">
        <v>11197</v>
      </c>
      <c r="E855" s="1" t="s">
        <v>53</v>
      </c>
      <c r="F855" s="201" t="n">
        <v>200025889051</v>
      </c>
      <c r="G855" s="198" t="s">
        <v>633</v>
      </c>
      <c r="H855" s="163" t="s">
        <v>269</v>
      </c>
      <c r="I855" s="161" t="n">
        <v>26</v>
      </c>
      <c r="J855" s="156" t="s">
        <v>185</v>
      </c>
      <c r="K855" s="199" t="n">
        <v>45435.1649421296</v>
      </c>
      <c r="L855" s="1" t="n">
        <v>1</v>
      </c>
      <c r="M855" s="1" t="n">
        <v>11197</v>
      </c>
      <c r="N855" s="1" t="n">
        <v>23</v>
      </c>
    </row>
    <row r="856" customFormat="false" ht="14.25" hidden="false" customHeight="false" outlineLevel="0" collapsed="false">
      <c r="A856" s="1" t="n">
        <v>46</v>
      </c>
      <c r="B856" s="1" t="s">
        <v>681</v>
      </c>
      <c r="C856" s="1" t="s">
        <v>682</v>
      </c>
      <c r="D856" s="1" t="n">
        <v>11197</v>
      </c>
      <c r="E856" s="1" t="s">
        <v>53</v>
      </c>
      <c r="F856" s="201" t="n">
        <v>200025889051</v>
      </c>
      <c r="G856" s="198" t="s">
        <v>633</v>
      </c>
      <c r="H856" s="163" t="s">
        <v>269</v>
      </c>
      <c r="I856" s="161" t="n">
        <v>26</v>
      </c>
      <c r="J856" s="156" t="s">
        <v>185</v>
      </c>
      <c r="K856" s="199" t="n">
        <v>45435.1649652778</v>
      </c>
      <c r="L856" s="1" t="n">
        <v>1</v>
      </c>
      <c r="M856" s="1" t="n">
        <v>11197</v>
      </c>
      <c r="N856" s="1" t="n">
        <v>24</v>
      </c>
    </row>
    <row r="857" customFormat="false" ht="14.25" hidden="false" customHeight="false" outlineLevel="0" collapsed="false">
      <c r="A857" s="1" t="n">
        <v>47</v>
      </c>
      <c r="B857" s="1" t="s">
        <v>681</v>
      </c>
      <c r="C857" s="1" t="s">
        <v>682</v>
      </c>
      <c r="D857" s="1" t="n">
        <v>11197</v>
      </c>
      <c r="E857" s="1" t="s">
        <v>53</v>
      </c>
      <c r="F857" s="201" t="n">
        <v>200025889051</v>
      </c>
      <c r="G857" s="198" t="s">
        <v>633</v>
      </c>
      <c r="H857" s="163" t="s">
        <v>269</v>
      </c>
      <c r="I857" s="161" t="n">
        <v>26</v>
      </c>
      <c r="J857" s="156" t="s">
        <v>185</v>
      </c>
      <c r="K857" s="199" t="n">
        <v>45435.174525463</v>
      </c>
      <c r="L857" s="1" t="n">
        <v>0</v>
      </c>
      <c r="M857" s="1" t="n">
        <v>11197</v>
      </c>
      <c r="N857" s="1" t="n">
        <v>25</v>
      </c>
    </row>
    <row r="858" customFormat="false" ht="14.25" hidden="false" customHeight="false" outlineLevel="0" collapsed="false">
      <c r="A858" s="1" t="n">
        <v>48</v>
      </c>
      <c r="B858" s="1" t="s">
        <v>681</v>
      </c>
      <c r="C858" s="1" t="s">
        <v>682</v>
      </c>
      <c r="D858" s="1" t="n">
        <v>11197</v>
      </c>
      <c r="E858" s="1" t="s">
        <v>53</v>
      </c>
      <c r="F858" s="201" t="n">
        <v>200025889051</v>
      </c>
      <c r="G858" s="198" t="s">
        <v>633</v>
      </c>
      <c r="H858" s="163" t="s">
        <v>269</v>
      </c>
      <c r="I858" s="161" t="n">
        <v>26</v>
      </c>
      <c r="J858" s="156" t="s">
        <v>185</v>
      </c>
      <c r="K858" s="199" t="n">
        <v>45435.1763425926</v>
      </c>
      <c r="L858" s="1" t="n">
        <v>4</v>
      </c>
      <c r="M858" s="1" t="n">
        <v>11197</v>
      </c>
      <c r="N858" s="1" t="n">
        <v>26</v>
      </c>
    </row>
    <row r="859" customFormat="false" ht="14.25" hidden="false" customHeight="false" outlineLevel="0" collapsed="false">
      <c r="A859" s="1" t="n">
        <v>49</v>
      </c>
      <c r="B859" s="1" t="s">
        <v>681</v>
      </c>
      <c r="C859" s="1" t="s">
        <v>682</v>
      </c>
      <c r="D859" s="1" t="n">
        <v>11197</v>
      </c>
      <c r="E859" s="1" t="s">
        <v>53</v>
      </c>
      <c r="F859" s="201" t="n">
        <v>200025889051</v>
      </c>
      <c r="G859" s="198" t="s">
        <v>633</v>
      </c>
      <c r="H859" s="163" t="s">
        <v>269</v>
      </c>
      <c r="I859" s="161" t="n">
        <v>26</v>
      </c>
      <c r="J859" s="156" t="s">
        <v>185</v>
      </c>
      <c r="K859" s="199" t="n">
        <v>45435.1769907407</v>
      </c>
      <c r="L859" s="1" t="n">
        <v>1</v>
      </c>
      <c r="M859" s="1" t="n">
        <v>11197</v>
      </c>
      <c r="N859" s="1" t="n">
        <v>27</v>
      </c>
    </row>
    <row r="860" customFormat="false" ht="14.25" hidden="false" customHeight="false" outlineLevel="0" collapsed="false">
      <c r="A860" s="1" t="n">
        <v>50</v>
      </c>
      <c r="B860" s="1" t="s">
        <v>681</v>
      </c>
      <c r="C860" s="1" t="s">
        <v>682</v>
      </c>
      <c r="D860" s="1" t="n">
        <v>11197</v>
      </c>
      <c r="E860" s="1" t="s">
        <v>53</v>
      </c>
      <c r="F860" s="201" t="n">
        <v>200025888665</v>
      </c>
      <c r="G860" s="198" t="s">
        <v>667</v>
      </c>
      <c r="H860" s="163" t="s">
        <v>218</v>
      </c>
      <c r="I860" s="161" t="n">
        <v>11</v>
      </c>
      <c r="J860" s="156" t="s">
        <v>185</v>
      </c>
      <c r="K860" s="199" t="n">
        <v>45435.1777314815</v>
      </c>
      <c r="L860" s="1" t="n">
        <v>35</v>
      </c>
      <c r="M860" s="1" t="n">
        <v>11197</v>
      </c>
      <c r="N860" s="1" t="n">
        <v>28</v>
      </c>
    </row>
    <row r="861" customFormat="false" ht="14.25" hidden="false" customHeight="false" outlineLevel="0" collapsed="false">
      <c r="A861" s="1" t="n">
        <v>51</v>
      </c>
      <c r="B861" s="1" t="s">
        <v>681</v>
      </c>
      <c r="C861" s="1" t="s">
        <v>682</v>
      </c>
      <c r="D861" s="1" t="n">
        <v>11197</v>
      </c>
      <c r="E861" s="1" t="s">
        <v>53</v>
      </c>
      <c r="F861" s="201" t="n">
        <v>200025888665</v>
      </c>
      <c r="G861" s="198" t="s">
        <v>667</v>
      </c>
      <c r="H861" s="163" t="s">
        <v>218</v>
      </c>
      <c r="I861" s="161" t="n">
        <v>11</v>
      </c>
      <c r="J861" s="156" t="s">
        <v>185</v>
      </c>
      <c r="K861" s="199" t="n">
        <v>45435.1797685185</v>
      </c>
      <c r="L861" s="1" t="n">
        <v>0</v>
      </c>
      <c r="M861" s="1" t="n">
        <v>11197</v>
      </c>
      <c r="N861" s="1" t="n">
        <v>29</v>
      </c>
    </row>
    <row r="862" customFormat="false" ht="14.25" hidden="false" customHeight="false" outlineLevel="0" collapsed="false">
      <c r="A862" s="1" t="n">
        <v>52</v>
      </c>
      <c r="B862" s="1" t="s">
        <v>681</v>
      </c>
      <c r="C862" s="1" t="s">
        <v>682</v>
      </c>
      <c r="D862" s="1" t="n">
        <v>11197</v>
      </c>
      <c r="E862" s="1" t="s">
        <v>53</v>
      </c>
      <c r="F862" s="201" t="n">
        <v>200025889051</v>
      </c>
      <c r="G862" s="198" t="s">
        <v>633</v>
      </c>
      <c r="H862" s="163" t="s">
        <v>269</v>
      </c>
      <c r="I862" s="161" t="n">
        <v>26</v>
      </c>
      <c r="J862" s="156" t="s">
        <v>185</v>
      </c>
      <c r="K862" s="199" t="n">
        <v>45435.1892013889</v>
      </c>
      <c r="L862" s="1" t="n">
        <v>4</v>
      </c>
      <c r="M862" s="1" t="n">
        <v>11197</v>
      </c>
      <c r="N862" s="1" t="n">
        <v>30</v>
      </c>
    </row>
    <row r="863" customFormat="false" ht="14.25" hidden="false" customHeight="false" outlineLevel="0" collapsed="false">
      <c r="A863" s="1" t="n">
        <v>53</v>
      </c>
      <c r="B863" s="1" t="s">
        <v>681</v>
      </c>
      <c r="C863" s="1" t="s">
        <v>682</v>
      </c>
      <c r="D863" s="1" t="n">
        <v>11197</v>
      </c>
      <c r="E863" s="1" t="s">
        <v>53</v>
      </c>
      <c r="F863" s="201" t="n">
        <v>200025889051</v>
      </c>
      <c r="G863" s="198" t="s">
        <v>633</v>
      </c>
      <c r="H863" s="163" t="s">
        <v>269</v>
      </c>
      <c r="I863" s="161" t="n">
        <v>26</v>
      </c>
      <c r="J863" s="156" t="s">
        <v>185</v>
      </c>
      <c r="K863" s="199" t="n">
        <v>45435.1910185185</v>
      </c>
      <c r="L863" s="1" t="n">
        <v>3</v>
      </c>
      <c r="M863" s="1" t="n">
        <v>11197</v>
      </c>
      <c r="N863" s="1" t="n">
        <v>31</v>
      </c>
    </row>
    <row r="864" customFormat="false" ht="14.25" hidden="false" customHeight="false" outlineLevel="0" collapsed="false">
      <c r="A864" s="1" t="n">
        <v>54</v>
      </c>
      <c r="B864" s="1" t="s">
        <v>681</v>
      </c>
      <c r="C864" s="1" t="s">
        <v>682</v>
      </c>
      <c r="D864" s="1" t="n">
        <v>11197</v>
      </c>
      <c r="E864" s="1" t="s">
        <v>53</v>
      </c>
      <c r="F864" s="201" t="n">
        <v>200025888856</v>
      </c>
      <c r="G864" s="198" t="s">
        <v>696</v>
      </c>
      <c r="H864" s="163" t="s">
        <v>276</v>
      </c>
      <c r="I864" s="161" t="n">
        <v>31</v>
      </c>
      <c r="J864" s="156" t="s">
        <v>185</v>
      </c>
      <c r="K864" s="199" t="n">
        <v>45435.2559490741</v>
      </c>
      <c r="L864" s="1" t="n">
        <v>4</v>
      </c>
      <c r="M864" s="1" t="n">
        <v>11197</v>
      </c>
      <c r="N864" s="1" t="n">
        <v>32</v>
      </c>
    </row>
    <row r="865" customFormat="false" ht="14.25" hidden="false" customHeight="false" outlineLevel="0" collapsed="false">
      <c r="A865" s="1" t="n">
        <v>55</v>
      </c>
      <c r="B865" s="1" t="s">
        <v>681</v>
      </c>
      <c r="C865" s="1" t="s">
        <v>682</v>
      </c>
      <c r="D865" s="1" t="n">
        <v>11197</v>
      </c>
      <c r="E865" s="1" t="s">
        <v>53</v>
      </c>
      <c r="F865" s="201" t="n">
        <v>200025888860</v>
      </c>
      <c r="G865" s="198" t="s">
        <v>674</v>
      </c>
      <c r="H865" s="163" t="s">
        <v>197</v>
      </c>
      <c r="I865" s="161" t="n">
        <v>3</v>
      </c>
      <c r="J865" s="156" t="s">
        <v>185</v>
      </c>
      <c r="K865" s="199" t="n">
        <v>45435.2599768519</v>
      </c>
      <c r="L865" s="1" t="n">
        <v>1</v>
      </c>
      <c r="M865" s="1" t="n">
        <v>11197</v>
      </c>
      <c r="N865" s="1" t="n">
        <v>33</v>
      </c>
    </row>
    <row r="866" customFormat="false" ht="14.25" hidden="false" customHeight="false" outlineLevel="0" collapsed="false">
      <c r="A866" s="1" t="n">
        <v>56</v>
      </c>
      <c r="B866" s="1" t="s">
        <v>681</v>
      </c>
      <c r="C866" s="1" t="s">
        <v>682</v>
      </c>
      <c r="D866" s="1" t="n">
        <v>11197</v>
      </c>
      <c r="E866" s="1" t="s">
        <v>53</v>
      </c>
      <c r="F866" s="201" t="n">
        <v>200025889051</v>
      </c>
      <c r="G866" s="198" t="s">
        <v>633</v>
      </c>
      <c r="H866" s="163" t="s">
        <v>269</v>
      </c>
      <c r="I866" s="161" t="n">
        <v>26</v>
      </c>
      <c r="J866" s="156" t="s">
        <v>185</v>
      </c>
      <c r="K866" s="199" t="n">
        <v>45435.2612847222</v>
      </c>
      <c r="L866" s="1" t="n">
        <v>1</v>
      </c>
      <c r="M866" s="1" t="n">
        <v>11197</v>
      </c>
      <c r="N866" s="1" t="n">
        <v>34</v>
      </c>
    </row>
    <row r="867" customFormat="false" ht="14.25" hidden="false" customHeight="false" outlineLevel="0" collapsed="false">
      <c r="A867" s="1" t="n">
        <v>57</v>
      </c>
      <c r="B867" s="1" t="s">
        <v>681</v>
      </c>
      <c r="C867" s="1" t="s">
        <v>682</v>
      </c>
      <c r="D867" s="1" t="n">
        <v>11197</v>
      </c>
      <c r="E867" s="1" t="s">
        <v>53</v>
      </c>
      <c r="F867" s="201" t="n">
        <v>200025889051</v>
      </c>
      <c r="G867" s="198" t="s">
        <v>633</v>
      </c>
      <c r="H867" s="163" t="s">
        <v>269</v>
      </c>
      <c r="I867" s="161" t="n">
        <v>26</v>
      </c>
      <c r="J867" s="156" t="s">
        <v>185</v>
      </c>
      <c r="K867" s="199" t="n">
        <v>45435.2612962963</v>
      </c>
      <c r="L867" s="1" t="n">
        <v>1</v>
      </c>
      <c r="M867" s="1" t="n">
        <v>11197</v>
      </c>
      <c r="N867" s="1" t="n">
        <v>35</v>
      </c>
    </row>
    <row r="868" customFormat="false" ht="14.25" hidden="false" customHeight="false" outlineLevel="0" collapsed="false">
      <c r="A868" s="1" t="n">
        <v>58</v>
      </c>
      <c r="B868" s="1" t="s">
        <v>681</v>
      </c>
      <c r="C868" s="1" t="s">
        <v>682</v>
      </c>
      <c r="D868" s="1" t="n">
        <v>11197</v>
      </c>
      <c r="E868" s="1" t="s">
        <v>53</v>
      </c>
      <c r="F868" s="201" t="n">
        <v>200025889051</v>
      </c>
      <c r="G868" s="198" t="s">
        <v>633</v>
      </c>
      <c r="H868" s="163" t="s">
        <v>269</v>
      </c>
      <c r="I868" s="161" t="n">
        <v>26</v>
      </c>
      <c r="J868" s="156" t="s">
        <v>185</v>
      </c>
      <c r="K868" s="199" t="n">
        <v>45435.2621643519</v>
      </c>
      <c r="L868" s="1" t="n">
        <v>3</v>
      </c>
      <c r="M868" s="1" t="n">
        <v>11197</v>
      </c>
      <c r="N868" s="1" t="n">
        <v>36</v>
      </c>
    </row>
    <row r="869" customFormat="false" ht="14.25" hidden="false" customHeight="false" outlineLevel="0" collapsed="false">
      <c r="A869" s="1" t="n">
        <v>59</v>
      </c>
      <c r="B869" s="1" t="s">
        <v>681</v>
      </c>
      <c r="C869" s="1" t="s">
        <v>682</v>
      </c>
      <c r="D869" s="1" t="n">
        <v>11197</v>
      </c>
      <c r="E869" s="1" t="s">
        <v>53</v>
      </c>
      <c r="F869" s="201" t="n">
        <v>200025889051</v>
      </c>
      <c r="G869" s="198" t="s">
        <v>633</v>
      </c>
      <c r="H869" s="163" t="s">
        <v>269</v>
      </c>
      <c r="I869" s="161" t="n">
        <v>26</v>
      </c>
      <c r="J869" s="156" t="s">
        <v>185</v>
      </c>
      <c r="K869" s="199" t="n">
        <v>45435.2625231482</v>
      </c>
      <c r="L869" s="1" t="n">
        <v>1</v>
      </c>
      <c r="M869" s="1" t="n">
        <v>11197</v>
      </c>
      <c r="N869" s="1" t="n">
        <v>37</v>
      </c>
    </row>
    <row r="870" customFormat="false" ht="14.25" hidden="false" customHeight="false" outlineLevel="0" collapsed="false">
      <c r="A870" s="1" t="n">
        <v>60</v>
      </c>
      <c r="B870" s="1" t="s">
        <v>681</v>
      </c>
      <c r="C870" s="1" t="s">
        <v>682</v>
      </c>
      <c r="D870" s="1" t="n">
        <v>11197</v>
      </c>
      <c r="E870" s="1" t="s">
        <v>53</v>
      </c>
      <c r="F870" s="201" t="n">
        <v>200025889051</v>
      </c>
      <c r="G870" s="198" t="s">
        <v>633</v>
      </c>
      <c r="H870" s="163" t="s">
        <v>269</v>
      </c>
      <c r="I870" s="161" t="n">
        <v>26</v>
      </c>
      <c r="J870" s="156" t="s">
        <v>185</v>
      </c>
      <c r="K870" s="199" t="n">
        <v>45435.2632638889</v>
      </c>
      <c r="L870" s="1" t="n">
        <v>2</v>
      </c>
      <c r="M870" s="1" t="n">
        <v>11197</v>
      </c>
      <c r="N870" s="1" t="n">
        <v>38</v>
      </c>
    </row>
    <row r="871" customFormat="false" ht="14.25" hidden="false" customHeight="false" outlineLevel="0" collapsed="false">
      <c r="A871" s="1" t="n">
        <v>61</v>
      </c>
      <c r="B871" s="1" t="s">
        <v>681</v>
      </c>
      <c r="C871" s="1" t="s">
        <v>682</v>
      </c>
      <c r="D871" s="1" t="n">
        <v>11197</v>
      </c>
      <c r="E871" s="1" t="s">
        <v>53</v>
      </c>
      <c r="F871" s="201" t="n">
        <v>200025888485</v>
      </c>
      <c r="G871" s="198" t="s">
        <v>634</v>
      </c>
      <c r="H871" s="163" t="s">
        <v>327</v>
      </c>
      <c r="I871" s="161" t="n">
        <v>93</v>
      </c>
      <c r="J871" s="156" t="s">
        <v>185</v>
      </c>
      <c r="K871" s="199" t="n">
        <v>45435.2672337963</v>
      </c>
      <c r="L871" s="1" t="n">
        <v>2</v>
      </c>
      <c r="M871" s="1" t="n">
        <v>11197</v>
      </c>
      <c r="N871" s="1" t="n">
        <v>39</v>
      </c>
    </row>
    <row r="872" customFormat="false" ht="14.25" hidden="false" customHeight="false" outlineLevel="0" collapsed="false">
      <c r="A872" s="1" t="n">
        <v>62</v>
      </c>
      <c r="B872" s="1" t="s">
        <v>681</v>
      </c>
      <c r="C872" s="1" t="s">
        <v>682</v>
      </c>
      <c r="D872" s="1" t="n">
        <v>11197</v>
      </c>
      <c r="E872" s="1" t="s">
        <v>53</v>
      </c>
      <c r="F872" s="201" t="n">
        <v>200025888485</v>
      </c>
      <c r="G872" s="198" t="s">
        <v>634</v>
      </c>
      <c r="H872" s="163" t="s">
        <v>327</v>
      </c>
      <c r="I872" s="161" t="n">
        <v>93</v>
      </c>
      <c r="J872" s="156" t="s">
        <v>185</v>
      </c>
      <c r="K872" s="199" t="n">
        <v>45435.2679513889</v>
      </c>
      <c r="L872" s="1" t="n">
        <v>0</v>
      </c>
      <c r="M872" s="1" t="n">
        <v>11197</v>
      </c>
      <c r="N872" s="1" t="n">
        <v>40</v>
      </c>
    </row>
    <row r="873" customFormat="false" ht="14.25" hidden="false" customHeight="false" outlineLevel="0" collapsed="false">
      <c r="A873" s="1" t="n">
        <v>63</v>
      </c>
      <c r="B873" s="1" t="s">
        <v>681</v>
      </c>
      <c r="C873" s="1" t="s">
        <v>682</v>
      </c>
      <c r="D873" s="1" t="n">
        <v>11197</v>
      </c>
      <c r="E873" s="1" t="s">
        <v>53</v>
      </c>
      <c r="F873" s="201" t="n">
        <v>200025888485</v>
      </c>
      <c r="G873" s="198" t="s">
        <v>634</v>
      </c>
      <c r="H873" s="163" t="s">
        <v>327</v>
      </c>
      <c r="I873" s="161" t="n">
        <v>93</v>
      </c>
      <c r="J873" s="156" t="s">
        <v>185</v>
      </c>
      <c r="K873" s="199" t="n">
        <v>45435.2679513889</v>
      </c>
      <c r="L873" s="1" t="n">
        <v>1</v>
      </c>
      <c r="M873" s="1" t="n">
        <v>11197</v>
      </c>
      <c r="N873" s="1" t="n">
        <v>41</v>
      </c>
    </row>
    <row r="874" customFormat="false" ht="14.25" hidden="false" customHeight="false" outlineLevel="0" collapsed="false">
      <c r="A874" s="1" t="n">
        <v>64</v>
      </c>
      <c r="B874" s="1" t="s">
        <v>681</v>
      </c>
      <c r="C874" s="1" t="s">
        <v>682</v>
      </c>
      <c r="D874" s="1" t="n">
        <v>11197</v>
      </c>
      <c r="E874" s="1" t="s">
        <v>53</v>
      </c>
      <c r="F874" s="201" t="n">
        <v>200025888485</v>
      </c>
      <c r="G874" s="198" t="s">
        <v>634</v>
      </c>
      <c r="H874" s="163" t="s">
        <v>327</v>
      </c>
      <c r="I874" s="161" t="n">
        <v>93</v>
      </c>
      <c r="J874" s="156" t="s">
        <v>185</v>
      </c>
      <c r="K874" s="199" t="n">
        <v>45435.2697453704</v>
      </c>
      <c r="L874" s="1" t="n">
        <v>0</v>
      </c>
      <c r="M874" s="1" t="n">
        <v>11197</v>
      </c>
      <c r="N874" s="1" t="n">
        <v>42</v>
      </c>
    </row>
    <row r="875" customFormat="false" ht="14.25" hidden="false" customHeight="false" outlineLevel="0" collapsed="false">
      <c r="A875" s="1" t="n">
        <v>65</v>
      </c>
      <c r="B875" s="1" t="s">
        <v>681</v>
      </c>
      <c r="C875" s="1" t="s">
        <v>682</v>
      </c>
      <c r="D875" s="1" t="n">
        <v>11197</v>
      </c>
      <c r="E875" s="1" t="s">
        <v>53</v>
      </c>
      <c r="F875" s="201" t="n">
        <v>200025888729</v>
      </c>
      <c r="G875" s="198" t="s">
        <v>695</v>
      </c>
      <c r="H875" s="163" t="s">
        <v>321</v>
      </c>
      <c r="I875" s="161" t="n">
        <v>56</v>
      </c>
      <c r="J875" s="156" t="s">
        <v>185</v>
      </c>
      <c r="K875" s="199" t="n">
        <v>45435.2713310185</v>
      </c>
      <c r="L875" s="1" t="n">
        <v>1</v>
      </c>
      <c r="M875" s="1" t="n">
        <v>11197</v>
      </c>
      <c r="N875" s="1" t="n">
        <v>43</v>
      </c>
    </row>
    <row r="876" customFormat="false" ht="14.25" hidden="false" customHeight="false" outlineLevel="0" collapsed="false">
      <c r="A876" s="1" t="n">
        <v>66</v>
      </c>
      <c r="B876" s="1" t="s">
        <v>681</v>
      </c>
      <c r="C876" s="1" t="s">
        <v>682</v>
      </c>
      <c r="D876" s="1" t="n">
        <v>11197</v>
      </c>
      <c r="E876" s="1" t="s">
        <v>53</v>
      </c>
      <c r="F876" s="201" t="n">
        <v>200025889372</v>
      </c>
      <c r="G876" s="198" t="s">
        <v>697</v>
      </c>
      <c r="H876" s="163" t="s">
        <v>272</v>
      </c>
      <c r="I876" s="161" t="n">
        <v>81</v>
      </c>
      <c r="J876" s="156" t="s">
        <v>192</v>
      </c>
      <c r="K876" s="199" t="n">
        <v>45435.723275463</v>
      </c>
      <c r="L876" s="1" t="n">
        <v>1</v>
      </c>
      <c r="M876" s="1" t="n">
        <v>11197</v>
      </c>
      <c r="N876" s="1" t="n">
        <v>44</v>
      </c>
    </row>
    <row r="877" customFormat="false" ht="14.25" hidden="false" customHeight="false" outlineLevel="0" collapsed="false">
      <c r="A877" s="1" t="n">
        <v>67</v>
      </c>
      <c r="B877" s="1" t="s">
        <v>681</v>
      </c>
      <c r="C877" s="1" t="s">
        <v>682</v>
      </c>
      <c r="D877" s="1" t="n">
        <v>11197</v>
      </c>
      <c r="E877" s="1" t="s">
        <v>53</v>
      </c>
      <c r="F877" s="201" t="n">
        <v>200025888944</v>
      </c>
      <c r="G877" s="198" t="s">
        <v>602</v>
      </c>
      <c r="H877" s="163" t="s">
        <v>480</v>
      </c>
      <c r="I877" s="161" t="n">
        <v>110</v>
      </c>
      <c r="J877" s="156" t="s">
        <v>192</v>
      </c>
      <c r="K877" s="199" t="n">
        <v>45435.73</v>
      </c>
      <c r="L877" s="1" t="n">
        <v>1</v>
      </c>
      <c r="M877" s="1" t="n">
        <v>11197</v>
      </c>
      <c r="N877" s="1" t="n">
        <v>45</v>
      </c>
    </row>
    <row r="878" customFormat="false" ht="14.25" hidden="false" customHeight="false" outlineLevel="0" collapsed="false">
      <c r="A878" s="1" t="n">
        <v>68</v>
      </c>
      <c r="B878" s="1" t="s">
        <v>681</v>
      </c>
      <c r="C878" s="1" t="s">
        <v>682</v>
      </c>
      <c r="D878" s="1" t="n">
        <v>11197</v>
      </c>
      <c r="E878" s="1" t="s">
        <v>53</v>
      </c>
      <c r="F878" s="201" t="n">
        <v>200025888944</v>
      </c>
      <c r="G878" s="198" t="s">
        <v>602</v>
      </c>
      <c r="H878" s="163" t="s">
        <v>480</v>
      </c>
      <c r="I878" s="161" t="n">
        <v>110</v>
      </c>
      <c r="J878" s="156" t="s">
        <v>192</v>
      </c>
      <c r="K878" s="199" t="n">
        <v>45435.7307523148</v>
      </c>
      <c r="L878" s="1" t="n">
        <v>1</v>
      </c>
      <c r="M878" s="1" t="n">
        <v>11197</v>
      </c>
      <c r="N878" s="1" t="n">
        <v>46</v>
      </c>
    </row>
    <row r="879" customFormat="false" ht="14.25" hidden="false" customHeight="false" outlineLevel="0" collapsed="false">
      <c r="A879" s="1" t="n">
        <v>69</v>
      </c>
      <c r="B879" s="1" t="s">
        <v>681</v>
      </c>
      <c r="C879" s="1" t="s">
        <v>682</v>
      </c>
      <c r="D879" s="1" t="n">
        <v>11197</v>
      </c>
      <c r="E879" s="1" t="s">
        <v>53</v>
      </c>
      <c r="F879" s="201" t="n">
        <v>200025888790</v>
      </c>
      <c r="G879" s="198" t="s">
        <v>588</v>
      </c>
      <c r="H879" s="163" t="s">
        <v>442</v>
      </c>
      <c r="I879" s="161" t="n">
        <v>117</v>
      </c>
      <c r="J879" s="156" t="s">
        <v>192</v>
      </c>
      <c r="K879" s="199" t="n">
        <v>45435.7559027778</v>
      </c>
      <c r="L879" s="1" t="n">
        <v>1</v>
      </c>
      <c r="M879" s="1" t="n">
        <v>11197</v>
      </c>
      <c r="N879" s="1" t="n">
        <v>47</v>
      </c>
    </row>
    <row r="880" customFormat="false" ht="14.25" hidden="false" customHeight="false" outlineLevel="0" collapsed="false">
      <c r="A880" s="1" t="n">
        <v>70</v>
      </c>
      <c r="B880" s="1" t="s">
        <v>681</v>
      </c>
      <c r="C880" s="1" t="s">
        <v>682</v>
      </c>
      <c r="D880" s="1" t="n">
        <v>11197</v>
      </c>
      <c r="E880" s="1" t="s">
        <v>53</v>
      </c>
      <c r="F880" s="201" t="n">
        <v>200025888790</v>
      </c>
      <c r="G880" s="198" t="s">
        <v>588</v>
      </c>
      <c r="H880" s="163" t="s">
        <v>442</v>
      </c>
      <c r="I880" s="161" t="n">
        <v>117</v>
      </c>
      <c r="J880" s="156" t="s">
        <v>192</v>
      </c>
      <c r="K880" s="199" t="n">
        <v>45435.7559143519</v>
      </c>
      <c r="L880" s="1" t="n">
        <v>3</v>
      </c>
      <c r="M880" s="1" t="n">
        <v>11197</v>
      </c>
      <c r="N880" s="1" t="n">
        <v>48</v>
      </c>
    </row>
    <row r="881" customFormat="false" ht="14.25" hidden="false" customHeight="false" outlineLevel="0" collapsed="false">
      <c r="A881" s="1" t="n">
        <v>71</v>
      </c>
      <c r="B881" s="1" t="s">
        <v>681</v>
      </c>
      <c r="C881" s="1" t="s">
        <v>682</v>
      </c>
      <c r="D881" s="1" t="n">
        <v>11197</v>
      </c>
      <c r="E881" s="1" t="s">
        <v>53</v>
      </c>
      <c r="F881" s="201" t="n">
        <v>200025888606</v>
      </c>
      <c r="G881" s="198" t="s">
        <v>576</v>
      </c>
      <c r="H881" s="163" t="s">
        <v>366</v>
      </c>
      <c r="I881" s="161" t="n">
        <v>28</v>
      </c>
      <c r="J881" s="156" t="s">
        <v>192</v>
      </c>
      <c r="K881" s="200" t="n">
        <v>45435.7628472222</v>
      </c>
      <c r="L881" s="1" t="n">
        <v>2</v>
      </c>
      <c r="M881" s="1" t="n">
        <v>11197</v>
      </c>
      <c r="N881" s="1" t="n">
        <v>49</v>
      </c>
    </row>
    <row r="882" customFormat="false" ht="14.25" hidden="false" customHeight="false" outlineLevel="0" collapsed="false">
      <c r="A882" s="1" t="n">
        <v>72</v>
      </c>
      <c r="B882" s="1" t="s">
        <v>681</v>
      </c>
      <c r="C882" s="1" t="s">
        <v>682</v>
      </c>
      <c r="D882" s="1" t="n">
        <v>11197</v>
      </c>
      <c r="E882" s="1" t="s">
        <v>53</v>
      </c>
      <c r="F882" s="201" t="n">
        <v>200025888606</v>
      </c>
      <c r="G882" s="198" t="s">
        <v>576</v>
      </c>
      <c r="H882" s="163" t="s">
        <v>366</v>
      </c>
      <c r="I882" s="161" t="n">
        <v>28</v>
      </c>
      <c r="J882" s="156" t="s">
        <v>192</v>
      </c>
      <c r="K882" s="200" t="n">
        <v>45435.7642476852</v>
      </c>
      <c r="L882" s="1" t="n">
        <v>2</v>
      </c>
      <c r="M882" s="1" t="n">
        <v>11197</v>
      </c>
      <c r="N882" s="1" t="n">
        <v>50</v>
      </c>
    </row>
    <row r="883" customFormat="false" ht="14.25" hidden="false" customHeight="false" outlineLevel="0" collapsed="false">
      <c r="A883" s="1" t="n">
        <v>73</v>
      </c>
      <c r="B883" s="1" t="s">
        <v>681</v>
      </c>
      <c r="C883" s="1" t="s">
        <v>682</v>
      </c>
      <c r="D883" s="1" t="n">
        <v>11197</v>
      </c>
      <c r="E883" s="1" t="s">
        <v>53</v>
      </c>
      <c r="F883" s="201" t="n">
        <v>200025888790</v>
      </c>
      <c r="G883" s="198" t="s">
        <v>588</v>
      </c>
      <c r="H883" s="163" t="s">
        <v>442</v>
      </c>
      <c r="I883" s="161" t="n">
        <v>117</v>
      </c>
      <c r="J883" s="156" t="s">
        <v>192</v>
      </c>
      <c r="K883" s="200" t="n">
        <v>45435.7729976852</v>
      </c>
      <c r="L883" s="1" t="n">
        <v>2</v>
      </c>
      <c r="M883" s="1" t="n">
        <v>11197</v>
      </c>
      <c r="N883" s="1" t="n">
        <v>51</v>
      </c>
    </row>
    <row r="884" customFormat="false" ht="14.25" hidden="false" customHeight="false" outlineLevel="0" collapsed="false">
      <c r="A884" s="1" t="n">
        <v>74</v>
      </c>
      <c r="B884" s="1" t="s">
        <v>681</v>
      </c>
      <c r="C884" s="1" t="s">
        <v>682</v>
      </c>
      <c r="D884" s="1" t="n">
        <v>11197</v>
      </c>
      <c r="E884" s="1" t="s">
        <v>53</v>
      </c>
      <c r="F884" s="201" t="n">
        <v>200025888790</v>
      </c>
      <c r="G884" s="198" t="s">
        <v>588</v>
      </c>
      <c r="H884" s="163" t="s">
        <v>442</v>
      </c>
      <c r="I884" s="161" t="n">
        <v>117</v>
      </c>
      <c r="J884" s="156" t="s">
        <v>192</v>
      </c>
      <c r="K884" s="200" t="n">
        <v>45435.7747222222</v>
      </c>
      <c r="L884" s="1" t="n">
        <v>1</v>
      </c>
      <c r="M884" s="1" t="n">
        <v>11197</v>
      </c>
      <c r="N884" s="1" t="n">
        <v>52</v>
      </c>
    </row>
    <row r="885" customFormat="false" ht="14.25" hidden="false" customHeight="false" outlineLevel="0" collapsed="false">
      <c r="A885" s="1" t="n">
        <v>75</v>
      </c>
      <c r="B885" s="1" t="s">
        <v>681</v>
      </c>
      <c r="C885" s="1" t="s">
        <v>682</v>
      </c>
      <c r="D885" s="1" t="n">
        <v>11197</v>
      </c>
      <c r="E885" s="1" t="s">
        <v>53</v>
      </c>
      <c r="F885" s="201" t="n">
        <v>200025889394</v>
      </c>
      <c r="G885" s="198" t="s">
        <v>662</v>
      </c>
      <c r="H885" s="163" t="s">
        <v>543</v>
      </c>
      <c r="I885" s="161" t="n">
        <v>120</v>
      </c>
      <c r="J885" s="156" t="s">
        <v>192</v>
      </c>
      <c r="K885" s="200" t="n">
        <v>45435.7766550926</v>
      </c>
      <c r="L885" s="1" t="n">
        <v>1</v>
      </c>
      <c r="M885" s="1" t="n">
        <v>11197</v>
      </c>
      <c r="N885" s="1" t="n">
        <v>53</v>
      </c>
    </row>
    <row r="886" customFormat="false" ht="14.25" hidden="false" customHeight="false" outlineLevel="0" collapsed="false">
      <c r="A886" s="1" t="n">
        <v>76</v>
      </c>
      <c r="B886" s="1" t="s">
        <v>681</v>
      </c>
      <c r="C886" s="1" t="s">
        <v>682</v>
      </c>
      <c r="D886" s="1" t="n">
        <v>11197</v>
      </c>
      <c r="E886" s="1" t="s">
        <v>53</v>
      </c>
      <c r="F886" s="201" t="n">
        <v>200025889394</v>
      </c>
      <c r="G886" s="198" t="s">
        <v>662</v>
      </c>
      <c r="H886" s="163" t="s">
        <v>543</v>
      </c>
      <c r="I886" s="161" t="n">
        <v>120</v>
      </c>
      <c r="J886" s="156" t="s">
        <v>192</v>
      </c>
      <c r="K886" s="200" t="n">
        <v>45435.7766666667</v>
      </c>
      <c r="L886" s="1" t="n">
        <v>0</v>
      </c>
      <c r="M886" s="1" t="n">
        <v>11197</v>
      </c>
      <c r="N886" s="1" t="n">
        <v>54</v>
      </c>
    </row>
    <row r="887" customFormat="false" ht="14.25" hidden="false" customHeight="false" outlineLevel="0" collapsed="false">
      <c r="A887" s="1" t="n">
        <v>77</v>
      </c>
      <c r="B887" s="1" t="s">
        <v>681</v>
      </c>
      <c r="C887" s="1" t="s">
        <v>682</v>
      </c>
      <c r="D887" s="1" t="n">
        <v>11197</v>
      </c>
      <c r="E887" s="1" t="s">
        <v>53</v>
      </c>
      <c r="F887" s="201" t="n">
        <v>200025889127</v>
      </c>
      <c r="G887" s="198" t="s">
        <v>692</v>
      </c>
      <c r="H887" s="163" t="s">
        <v>507</v>
      </c>
      <c r="I887" s="161" t="n">
        <v>86</v>
      </c>
      <c r="J887" s="156" t="s">
        <v>192</v>
      </c>
      <c r="K887" s="200" t="n">
        <v>45435.7780324074</v>
      </c>
      <c r="L887" s="1" t="n">
        <v>0</v>
      </c>
      <c r="M887" s="1" t="n">
        <v>11197</v>
      </c>
      <c r="N887" s="1" t="n">
        <v>55</v>
      </c>
    </row>
    <row r="888" customFormat="false" ht="14.25" hidden="false" customHeight="false" outlineLevel="0" collapsed="false">
      <c r="A888" s="1" t="n">
        <v>78</v>
      </c>
      <c r="B888" s="1" t="s">
        <v>681</v>
      </c>
      <c r="C888" s="1" t="s">
        <v>682</v>
      </c>
      <c r="D888" s="1" t="n">
        <v>11197</v>
      </c>
      <c r="E888" s="1" t="s">
        <v>53</v>
      </c>
      <c r="F888" s="201" t="n">
        <v>200025889127</v>
      </c>
      <c r="G888" s="198" t="s">
        <v>692</v>
      </c>
      <c r="H888" s="163" t="s">
        <v>507</v>
      </c>
      <c r="I888" s="161" t="n">
        <v>86</v>
      </c>
      <c r="J888" s="156" t="s">
        <v>192</v>
      </c>
      <c r="K888" s="200" t="n">
        <v>45435.7780324074</v>
      </c>
      <c r="L888" s="10" t="n">
        <v>728</v>
      </c>
      <c r="M888" s="1" t="n">
        <v>11197</v>
      </c>
      <c r="N888" s="1" t="n">
        <v>56</v>
      </c>
    </row>
    <row r="889" customFormat="false" ht="14.25" hidden="false" customHeight="false" outlineLevel="0" collapsed="false">
      <c r="A889" s="154" t="n">
        <v>103</v>
      </c>
      <c r="B889" s="154" t="s">
        <v>681</v>
      </c>
      <c r="C889" s="154" t="s">
        <v>682</v>
      </c>
      <c r="D889" s="154" t="n">
        <v>11197</v>
      </c>
      <c r="E889" s="1" t="s">
        <v>53</v>
      </c>
      <c r="F889" s="202" t="n">
        <v>200025888617</v>
      </c>
      <c r="G889" s="198" t="s">
        <v>662</v>
      </c>
      <c r="H889" s="188" t="s">
        <v>543</v>
      </c>
      <c r="I889" s="203" t="n">
        <v>120</v>
      </c>
      <c r="J889" s="204" t="s">
        <v>192</v>
      </c>
      <c r="K889" s="205" t="n">
        <v>45435.7987152778</v>
      </c>
      <c r="L889" s="154" t="n">
        <v>0</v>
      </c>
      <c r="M889" s="154" t="n">
        <v>11197</v>
      </c>
      <c r="N889" s="1" t="n">
        <v>57</v>
      </c>
    </row>
    <row r="890" customFormat="false" ht="14.25" hidden="false" customHeight="false" outlineLevel="0" collapsed="false">
      <c r="A890" s="154" t="n">
        <v>104</v>
      </c>
      <c r="B890" s="154" t="s">
        <v>681</v>
      </c>
      <c r="C890" s="154" t="s">
        <v>682</v>
      </c>
      <c r="D890" s="154" t="n">
        <v>11197</v>
      </c>
      <c r="E890" s="1" t="s">
        <v>53</v>
      </c>
      <c r="F890" s="202" t="n">
        <v>200025888617</v>
      </c>
      <c r="G890" s="198" t="s">
        <v>662</v>
      </c>
      <c r="H890" s="188" t="s">
        <v>543</v>
      </c>
      <c r="I890" s="203" t="n">
        <v>120</v>
      </c>
      <c r="J890" s="204" t="s">
        <v>192</v>
      </c>
      <c r="K890" s="205" t="n">
        <v>45435.7987152778</v>
      </c>
      <c r="L890" s="154" t="n">
        <v>0</v>
      </c>
      <c r="M890" s="154" t="n">
        <v>11197</v>
      </c>
      <c r="N890" s="1" t="n">
        <v>58</v>
      </c>
    </row>
    <row r="891" customFormat="false" ht="14.25" hidden="false" customHeight="false" outlineLevel="0" collapsed="false">
      <c r="A891" s="154" t="n">
        <v>83</v>
      </c>
      <c r="B891" s="154" t="s">
        <v>681</v>
      </c>
      <c r="C891" s="154" t="s">
        <v>682</v>
      </c>
      <c r="D891" s="154" t="n">
        <v>11197</v>
      </c>
      <c r="E891" s="1" t="s">
        <v>53</v>
      </c>
      <c r="F891" s="202" t="n">
        <v>200025888790</v>
      </c>
      <c r="G891" s="198" t="s">
        <v>662</v>
      </c>
      <c r="H891" s="188" t="s">
        <v>543</v>
      </c>
      <c r="I891" s="203" t="n">
        <v>120</v>
      </c>
      <c r="J891" s="204" t="s">
        <v>192</v>
      </c>
      <c r="K891" s="205" t="n">
        <v>45435.7987152778</v>
      </c>
      <c r="L891" s="154" t="n">
        <v>0</v>
      </c>
      <c r="M891" s="154" t="n">
        <v>11197</v>
      </c>
      <c r="N891" s="1" t="n">
        <v>59</v>
      </c>
    </row>
    <row r="892" customFormat="false" ht="14.25" hidden="false" customHeight="false" outlineLevel="0" collapsed="false">
      <c r="A892" s="154" t="n">
        <v>84</v>
      </c>
      <c r="B892" s="154" t="s">
        <v>681</v>
      </c>
      <c r="C892" s="154" t="s">
        <v>682</v>
      </c>
      <c r="D892" s="154" t="n">
        <v>11197</v>
      </c>
      <c r="E892" s="1" t="s">
        <v>53</v>
      </c>
      <c r="F892" s="202" t="n">
        <v>200025888790</v>
      </c>
      <c r="G892" s="198" t="s">
        <v>662</v>
      </c>
      <c r="H892" s="188" t="s">
        <v>543</v>
      </c>
      <c r="I892" s="203" t="n">
        <v>120</v>
      </c>
      <c r="J892" s="204" t="s">
        <v>192</v>
      </c>
      <c r="K892" s="205" t="n">
        <v>45435.7987152778</v>
      </c>
      <c r="L892" s="154" t="n">
        <v>0</v>
      </c>
      <c r="M892" s="154" t="n">
        <v>11197</v>
      </c>
      <c r="N892" s="1" t="n">
        <v>60</v>
      </c>
    </row>
    <row r="893" customFormat="false" ht="14.25" hidden="false" customHeight="false" outlineLevel="0" collapsed="false">
      <c r="A893" s="154" t="n">
        <v>85</v>
      </c>
      <c r="B893" s="154" t="s">
        <v>681</v>
      </c>
      <c r="C893" s="154" t="s">
        <v>682</v>
      </c>
      <c r="D893" s="154" t="n">
        <v>11197</v>
      </c>
      <c r="E893" s="1" t="s">
        <v>53</v>
      </c>
      <c r="F893" s="202" t="n">
        <v>200025888790</v>
      </c>
      <c r="G893" s="198" t="s">
        <v>582</v>
      </c>
      <c r="H893" s="188" t="s">
        <v>378</v>
      </c>
      <c r="I893" s="203" t="n">
        <v>29</v>
      </c>
      <c r="J893" s="204" t="s">
        <v>192</v>
      </c>
      <c r="K893" s="206" t="n">
        <v>45435.7987152778</v>
      </c>
      <c r="L893" s="154" t="n">
        <v>0</v>
      </c>
      <c r="M893" s="154" t="n">
        <v>11197</v>
      </c>
      <c r="N893" s="1" t="n">
        <v>61</v>
      </c>
    </row>
    <row r="894" customFormat="false" ht="14.25" hidden="false" customHeight="false" outlineLevel="0" collapsed="false">
      <c r="A894" s="154" t="n">
        <v>87</v>
      </c>
      <c r="B894" s="154" t="s">
        <v>681</v>
      </c>
      <c r="C894" s="154" t="s">
        <v>682</v>
      </c>
      <c r="D894" s="154" t="n">
        <v>11197</v>
      </c>
      <c r="E894" s="1" t="s">
        <v>53</v>
      </c>
      <c r="F894" s="202" t="n">
        <v>200025888790</v>
      </c>
      <c r="G894" s="198" t="s">
        <v>588</v>
      </c>
      <c r="H894" s="188" t="s">
        <v>442</v>
      </c>
      <c r="I894" s="203" t="n">
        <v>117</v>
      </c>
      <c r="J894" s="204" t="s">
        <v>192</v>
      </c>
      <c r="K894" s="206" t="n">
        <v>45435.7987152778</v>
      </c>
      <c r="L894" s="154" t="n">
        <v>0</v>
      </c>
      <c r="M894" s="154" t="n">
        <v>11197</v>
      </c>
      <c r="N894" s="1" t="n">
        <v>63</v>
      </c>
    </row>
    <row r="895" customFormat="false" ht="14.25" hidden="false" customHeight="false" outlineLevel="0" collapsed="false">
      <c r="A895" s="154" t="n">
        <v>88</v>
      </c>
      <c r="B895" s="154" t="s">
        <v>681</v>
      </c>
      <c r="C895" s="154" t="s">
        <v>682</v>
      </c>
      <c r="D895" s="154" t="n">
        <v>11197</v>
      </c>
      <c r="E895" s="1" t="s">
        <v>53</v>
      </c>
      <c r="F895" s="202" t="n">
        <v>200025888790</v>
      </c>
      <c r="G895" s="198" t="s">
        <v>588</v>
      </c>
      <c r="H895" s="188" t="s">
        <v>442</v>
      </c>
      <c r="I895" s="203" t="n">
        <v>117</v>
      </c>
      <c r="J895" s="204" t="s">
        <v>192</v>
      </c>
      <c r="K895" s="206" t="n">
        <v>45435.7987152778</v>
      </c>
      <c r="L895" s="154" t="n">
        <v>0</v>
      </c>
      <c r="M895" s="154" t="n">
        <v>11197</v>
      </c>
      <c r="N895" s="1" t="n">
        <v>64</v>
      </c>
    </row>
    <row r="896" customFormat="false" ht="14.25" hidden="false" customHeight="false" outlineLevel="0" collapsed="false">
      <c r="A896" s="154" t="n">
        <v>89</v>
      </c>
      <c r="B896" s="154" t="s">
        <v>681</v>
      </c>
      <c r="C896" s="154" t="s">
        <v>682</v>
      </c>
      <c r="D896" s="154" t="n">
        <v>11197</v>
      </c>
      <c r="E896" s="1" t="s">
        <v>53</v>
      </c>
      <c r="F896" s="202" t="n">
        <v>200025888790</v>
      </c>
      <c r="G896" s="198" t="s">
        <v>588</v>
      </c>
      <c r="H896" s="188" t="s">
        <v>442</v>
      </c>
      <c r="I896" s="203" t="n">
        <v>117</v>
      </c>
      <c r="J896" s="204" t="s">
        <v>192</v>
      </c>
      <c r="K896" s="206" t="n">
        <v>45435.7987152778</v>
      </c>
      <c r="L896" s="154" t="n">
        <v>0</v>
      </c>
      <c r="M896" s="154" t="n">
        <v>11197</v>
      </c>
      <c r="N896" s="1" t="n">
        <v>65</v>
      </c>
    </row>
    <row r="897" customFormat="false" ht="14.25" hidden="false" customHeight="false" outlineLevel="0" collapsed="false">
      <c r="A897" s="154" t="n">
        <v>90</v>
      </c>
      <c r="B897" s="154" t="s">
        <v>681</v>
      </c>
      <c r="C897" s="154" t="s">
        <v>682</v>
      </c>
      <c r="D897" s="154" t="n">
        <v>11197</v>
      </c>
      <c r="E897" s="1" t="s">
        <v>53</v>
      </c>
      <c r="F897" s="202" t="n">
        <v>200025888790</v>
      </c>
      <c r="G897" s="198" t="s">
        <v>588</v>
      </c>
      <c r="H897" s="188" t="s">
        <v>442</v>
      </c>
      <c r="I897" s="203" t="n">
        <v>117</v>
      </c>
      <c r="J897" s="204" t="s">
        <v>192</v>
      </c>
      <c r="K897" s="205" t="n">
        <v>45435.7987152778</v>
      </c>
      <c r="L897" s="154" t="n">
        <v>0</v>
      </c>
      <c r="M897" s="154" t="n">
        <v>11197</v>
      </c>
      <c r="N897" s="1" t="n">
        <v>66</v>
      </c>
    </row>
    <row r="898" customFormat="false" ht="14.25" hidden="false" customHeight="false" outlineLevel="0" collapsed="false">
      <c r="A898" s="154" t="n">
        <v>91</v>
      </c>
      <c r="B898" s="154" t="s">
        <v>681</v>
      </c>
      <c r="C898" s="154" t="s">
        <v>682</v>
      </c>
      <c r="D898" s="154" t="n">
        <v>11197</v>
      </c>
      <c r="E898" s="1" t="s">
        <v>53</v>
      </c>
      <c r="F898" s="202" t="n">
        <v>200025888790</v>
      </c>
      <c r="G898" s="198" t="s">
        <v>588</v>
      </c>
      <c r="H898" s="188" t="s">
        <v>442</v>
      </c>
      <c r="I898" s="203" t="n">
        <v>117</v>
      </c>
      <c r="J898" s="204" t="s">
        <v>192</v>
      </c>
      <c r="K898" s="205" t="n">
        <v>45435.7987152778</v>
      </c>
      <c r="L898" s="154" t="n">
        <v>0</v>
      </c>
      <c r="M898" s="154" t="n">
        <v>11197</v>
      </c>
      <c r="N898" s="1" t="n">
        <v>67</v>
      </c>
    </row>
    <row r="899" customFormat="false" ht="14.25" hidden="false" customHeight="false" outlineLevel="0" collapsed="false">
      <c r="A899" s="154" t="n">
        <v>92</v>
      </c>
      <c r="B899" s="154" t="s">
        <v>681</v>
      </c>
      <c r="C899" s="154" t="s">
        <v>682</v>
      </c>
      <c r="D899" s="154" t="n">
        <v>11197</v>
      </c>
      <c r="E899" s="1" t="s">
        <v>53</v>
      </c>
      <c r="F899" s="202" t="n">
        <v>200025888790</v>
      </c>
      <c r="G899" s="198" t="s">
        <v>588</v>
      </c>
      <c r="H899" s="188" t="s">
        <v>442</v>
      </c>
      <c r="I899" s="203" t="n">
        <v>117</v>
      </c>
      <c r="J899" s="204" t="s">
        <v>192</v>
      </c>
      <c r="K899" s="206" t="n">
        <v>45435.7987152778</v>
      </c>
      <c r="L899" s="154" t="n">
        <v>0</v>
      </c>
      <c r="M899" s="154" t="n">
        <v>11197</v>
      </c>
      <c r="N899" s="1" t="n">
        <v>68</v>
      </c>
    </row>
    <row r="900" customFormat="false" ht="14.25" hidden="false" customHeight="false" outlineLevel="0" collapsed="false">
      <c r="A900" s="154" t="n">
        <v>80</v>
      </c>
      <c r="B900" s="154" t="s">
        <v>681</v>
      </c>
      <c r="C900" s="154" t="s">
        <v>682</v>
      </c>
      <c r="D900" s="154" t="n">
        <v>11197</v>
      </c>
      <c r="E900" s="1" t="s">
        <v>53</v>
      </c>
      <c r="F900" s="202" t="n">
        <v>200025889159</v>
      </c>
      <c r="G900" s="198" t="s">
        <v>588</v>
      </c>
      <c r="H900" s="188" t="s">
        <v>442</v>
      </c>
      <c r="I900" s="203" t="n">
        <v>117</v>
      </c>
      <c r="J900" s="204" t="s">
        <v>192</v>
      </c>
      <c r="K900" s="205" t="n">
        <v>45435.7987152778</v>
      </c>
      <c r="L900" s="154" t="n">
        <v>0</v>
      </c>
      <c r="M900" s="154" t="n">
        <v>11197</v>
      </c>
      <c r="N900" s="1" t="n">
        <v>69</v>
      </c>
    </row>
    <row r="901" customFormat="false" ht="14.25" hidden="false" customHeight="false" outlineLevel="0" collapsed="false">
      <c r="A901" s="154" t="n">
        <v>81</v>
      </c>
      <c r="B901" s="154" t="s">
        <v>681</v>
      </c>
      <c r="C901" s="154" t="s">
        <v>682</v>
      </c>
      <c r="D901" s="154" t="n">
        <v>11197</v>
      </c>
      <c r="E901" s="1" t="s">
        <v>53</v>
      </c>
      <c r="F901" s="202" t="n">
        <v>200025889159</v>
      </c>
      <c r="G901" s="198" t="s">
        <v>588</v>
      </c>
      <c r="H901" s="188" t="s">
        <v>442</v>
      </c>
      <c r="I901" s="203" t="n">
        <v>117</v>
      </c>
      <c r="J901" s="204" t="s">
        <v>192</v>
      </c>
      <c r="K901" s="205" t="n">
        <v>45435.7987152778</v>
      </c>
      <c r="L901" s="154" t="n">
        <v>0</v>
      </c>
      <c r="M901" s="154" t="n">
        <v>11197</v>
      </c>
      <c r="N901" s="1" t="n">
        <v>70</v>
      </c>
    </row>
    <row r="902" customFormat="false" ht="14.25" hidden="false" customHeight="false" outlineLevel="0" collapsed="false">
      <c r="A902" s="154" t="n">
        <v>100</v>
      </c>
      <c r="B902" s="154" t="s">
        <v>681</v>
      </c>
      <c r="C902" s="154" t="s">
        <v>682</v>
      </c>
      <c r="D902" s="154" t="n">
        <v>11197</v>
      </c>
      <c r="E902" s="1" t="s">
        <v>53</v>
      </c>
      <c r="F902" s="202" t="n">
        <v>200025889159</v>
      </c>
      <c r="G902" s="198" t="s">
        <v>588</v>
      </c>
      <c r="H902" s="188" t="s">
        <v>442</v>
      </c>
      <c r="I902" s="203" t="n">
        <v>117</v>
      </c>
      <c r="J902" s="204" t="s">
        <v>192</v>
      </c>
      <c r="K902" s="205" t="n">
        <v>45435.7987152778</v>
      </c>
      <c r="L902" s="154" t="n">
        <v>0</v>
      </c>
      <c r="M902" s="154" t="n">
        <v>11197</v>
      </c>
      <c r="N902" s="1" t="n">
        <v>71</v>
      </c>
    </row>
    <row r="903" customFormat="false" ht="14.25" hidden="false" customHeight="false" outlineLevel="0" collapsed="false">
      <c r="A903" s="154" t="n">
        <v>101</v>
      </c>
      <c r="B903" s="154" t="s">
        <v>681</v>
      </c>
      <c r="C903" s="154" t="s">
        <v>682</v>
      </c>
      <c r="D903" s="154" t="n">
        <v>11197</v>
      </c>
      <c r="E903" s="1" t="s">
        <v>53</v>
      </c>
      <c r="F903" s="202" t="n">
        <v>200025889159</v>
      </c>
      <c r="G903" s="198" t="s">
        <v>588</v>
      </c>
      <c r="H903" s="188" t="s">
        <v>442</v>
      </c>
      <c r="I903" s="203" t="n">
        <v>117</v>
      </c>
      <c r="J903" s="204" t="s">
        <v>192</v>
      </c>
      <c r="K903" s="205" t="n">
        <v>45435.7987152778</v>
      </c>
      <c r="L903" s="154" t="n">
        <v>0</v>
      </c>
      <c r="M903" s="154" t="n">
        <v>11197</v>
      </c>
      <c r="N903" s="1" t="n">
        <v>72</v>
      </c>
    </row>
    <row r="904" customFormat="false" ht="14.25" hidden="false" customHeight="false" outlineLevel="0" collapsed="false">
      <c r="A904" s="154" t="n">
        <v>102</v>
      </c>
      <c r="B904" s="154" t="s">
        <v>681</v>
      </c>
      <c r="C904" s="154" t="s">
        <v>682</v>
      </c>
      <c r="D904" s="154" t="n">
        <v>11197</v>
      </c>
      <c r="E904" s="1" t="s">
        <v>53</v>
      </c>
      <c r="F904" s="202" t="n">
        <v>200025889159</v>
      </c>
      <c r="G904" s="198" t="s">
        <v>698</v>
      </c>
      <c r="H904" s="188" t="s">
        <v>324</v>
      </c>
      <c r="I904" s="203" t="n">
        <v>20</v>
      </c>
      <c r="J904" s="204" t="s">
        <v>192</v>
      </c>
      <c r="K904" s="206" t="n">
        <v>45435.7987152778</v>
      </c>
      <c r="L904" s="154" t="n">
        <v>0</v>
      </c>
      <c r="M904" s="154" t="n">
        <v>11197</v>
      </c>
      <c r="N904" s="1" t="n">
        <v>73</v>
      </c>
    </row>
    <row r="905" customFormat="false" ht="14.25" hidden="false" customHeight="false" outlineLevel="0" collapsed="false">
      <c r="A905" s="154" t="n">
        <v>79</v>
      </c>
      <c r="B905" s="154" t="s">
        <v>681</v>
      </c>
      <c r="C905" s="154" t="s">
        <v>682</v>
      </c>
      <c r="D905" s="154" t="n">
        <v>11197</v>
      </c>
      <c r="E905" s="1" t="s">
        <v>53</v>
      </c>
      <c r="F905" s="202" t="n">
        <v>200025889244</v>
      </c>
      <c r="G905" s="198" t="s">
        <v>699</v>
      </c>
      <c r="H905" s="188" t="s">
        <v>471</v>
      </c>
      <c r="I905" s="203" t="n">
        <v>58</v>
      </c>
      <c r="J905" s="204" t="s">
        <v>192</v>
      </c>
      <c r="K905" s="205" t="n">
        <v>45435.7987152778</v>
      </c>
      <c r="L905" s="154" t="n">
        <v>0</v>
      </c>
      <c r="M905" s="154" t="n">
        <v>11197</v>
      </c>
      <c r="N905" s="1" t="n">
        <v>74</v>
      </c>
    </row>
    <row r="906" customFormat="false" ht="14.25" hidden="false" customHeight="false" outlineLevel="0" collapsed="false">
      <c r="A906" s="154" t="n">
        <v>94</v>
      </c>
      <c r="B906" s="154" t="s">
        <v>681</v>
      </c>
      <c r="C906" s="154" t="s">
        <v>682</v>
      </c>
      <c r="D906" s="154" t="n">
        <v>11197</v>
      </c>
      <c r="E906" s="1" t="s">
        <v>53</v>
      </c>
      <c r="F906" s="202" t="n">
        <v>200025889299</v>
      </c>
      <c r="G906" s="198" t="s">
        <v>623</v>
      </c>
      <c r="H906" s="188" t="s">
        <v>516</v>
      </c>
      <c r="I906" s="203" t="n">
        <v>84</v>
      </c>
      <c r="J906" s="204" t="s">
        <v>192</v>
      </c>
      <c r="K906" s="205" t="n">
        <v>45435.7987152778</v>
      </c>
      <c r="L906" s="154" t="n">
        <v>0</v>
      </c>
      <c r="M906" s="154" t="n">
        <v>11197</v>
      </c>
      <c r="N906" s="1" t="n">
        <v>75</v>
      </c>
    </row>
    <row r="907" customFormat="false" ht="14.25" hidden="false" customHeight="false" outlineLevel="0" collapsed="false">
      <c r="A907" s="154" t="n">
        <v>86</v>
      </c>
      <c r="B907" s="154" t="s">
        <v>681</v>
      </c>
      <c r="C907" s="154" t="s">
        <v>682</v>
      </c>
      <c r="D907" s="154" t="n">
        <v>11197</v>
      </c>
      <c r="E907" s="1" t="s">
        <v>53</v>
      </c>
      <c r="F907" s="202" t="n">
        <v>200025888790</v>
      </c>
      <c r="G907" s="198" t="s">
        <v>700</v>
      </c>
      <c r="H907" s="188" t="n">
        <v>31277</v>
      </c>
      <c r="I907" s="203" t="n">
        <v>99</v>
      </c>
      <c r="J907" s="204" t="s">
        <v>192</v>
      </c>
      <c r="K907" s="205" t="n">
        <v>45435.7987152778</v>
      </c>
      <c r="L907" s="154" t="n">
        <v>0</v>
      </c>
      <c r="M907" s="154" t="n">
        <v>11197</v>
      </c>
      <c r="N907" s="1" t="n">
        <v>62</v>
      </c>
    </row>
    <row r="908" customFormat="false" ht="14.25" hidden="false" customHeight="false" outlineLevel="0" collapsed="false">
      <c r="A908" s="154" t="n">
        <v>82</v>
      </c>
      <c r="B908" s="154" t="s">
        <v>681</v>
      </c>
      <c r="C908" s="154" t="s">
        <v>682</v>
      </c>
      <c r="D908" s="154" t="n">
        <v>11197</v>
      </c>
      <c r="E908" s="1" t="s">
        <v>53</v>
      </c>
      <c r="F908" s="202" t="n">
        <v>200025889350</v>
      </c>
      <c r="G908" s="198" t="s">
        <v>614</v>
      </c>
      <c r="H908" s="188" t="s">
        <v>387</v>
      </c>
      <c r="I908" s="203" t="n">
        <v>100</v>
      </c>
      <c r="J908" s="204" t="s">
        <v>192</v>
      </c>
      <c r="K908" s="205" t="n">
        <v>45435.7987152778</v>
      </c>
      <c r="L908" s="154" t="n">
        <v>0</v>
      </c>
      <c r="M908" s="154" t="n">
        <v>11197</v>
      </c>
      <c r="N908" s="1" t="n">
        <v>76</v>
      </c>
    </row>
    <row r="909" customFormat="false" ht="14.25" hidden="false" customHeight="false" outlineLevel="0" collapsed="false">
      <c r="A909" s="154" t="n">
        <v>95</v>
      </c>
      <c r="B909" s="154" t="s">
        <v>681</v>
      </c>
      <c r="C909" s="154" t="s">
        <v>682</v>
      </c>
      <c r="D909" s="154" t="n">
        <v>11197</v>
      </c>
      <c r="E909" s="1" t="s">
        <v>53</v>
      </c>
      <c r="F909" s="202" t="n">
        <v>200025889375</v>
      </c>
      <c r="G909" s="198" t="s">
        <v>614</v>
      </c>
      <c r="H909" s="188" t="s">
        <v>387</v>
      </c>
      <c r="I909" s="203" t="n">
        <v>100</v>
      </c>
      <c r="J909" s="204" t="s">
        <v>192</v>
      </c>
      <c r="K909" s="205" t="n">
        <v>45435.7987152778</v>
      </c>
      <c r="L909" s="154" t="n">
        <v>0</v>
      </c>
      <c r="M909" s="154" t="n">
        <v>11197</v>
      </c>
      <c r="N909" s="1" t="n">
        <v>77</v>
      </c>
    </row>
    <row r="910" customFormat="false" ht="14.25" hidden="false" customHeight="false" outlineLevel="0" collapsed="false">
      <c r="A910" s="154" t="n">
        <v>96</v>
      </c>
      <c r="B910" s="154" t="s">
        <v>681</v>
      </c>
      <c r="C910" s="154" t="s">
        <v>682</v>
      </c>
      <c r="D910" s="154" t="n">
        <v>11197</v>
      </c>
      <c r="E910" s="1" t="s">
        <v>53</v>
      </c>
      <c r="F910" s="202" t="n">
        <v>200025889394</v>
      </c>
      <c r="G910" s="198" t="s">
        <v>639</v>
      </c>
      <c r="H910" s="188" t="s">
        <v>513</v>
      </c>
      <c r="I910" s="203" t="n">
        <v>111</v>
      </c>
      <c r="J910" s="204" t="s">
        <v>192</v>
      </c>
      <c r="K910" s="206" t="n">
        <v>45435.7987152778</v>
      </c>
      <c r="L910" s="154" t="n">
        <v>0</v>
      </c>
      <c r="M910" s="154" t="n">
        <v>11197</v>
      </c>
      <c r="N910" s="1" t="n">
        <v>78</v>
      </c>
    </row>
    <row r="911" customFormat="false" ht="14.25" hidden="false" customHeight="false" outlineLevel="0" collapsed="false">
      <c r="A911" s="154" t="n">
        <v>97</v>
      </c>
      <c r="B911" s="154" t="s">
        <v>681</v>
      </c>
      <c r="C911" s="154" t="s">
        <v>682</v>
      </c>
      <c r="D911" s="154" t="n">
        <v>11197</v>
      </c>
      <c r="E911" s="1" t="s">
        <v>53</v>
      </c>
      <c r="F911" s="202" t="n">
        <v>200025889394</v>
      </c>
      <c r="G911" s="198" t="s">
        <v>639</v>
      </c>
      <c r="H911" s="188" t="s">
        <v>513</v>
      </c>
      <c r="I911" s="203" t="n">
        <v>111</v>
      </c>
      <c r="J911" s="204" t="s">
        <v>192</v>
      </c>
      <c r="K911" s="206" t="n">
        <v>45435.7987152778</v>
      </c>
      <c r="L911" s="154" t="n">
        <v>0</v>
      </c>
      <c r="M911" s="154" t="n">
        <v>11197</v>
      </c>
      <c r="N911" s="1" t="n">
        <v>79</v>
      </c>
    </row>
    <row r="912" customFormat="false" ht="14.25" hidden="false" customHeight="false" outlineLevel="0" collapsed="false">
      <c r="A912" s="154" t="n">
        <v>98</v>
      </c>
      <c r="B912" s="154" t="s">
        <v>681</v>
      </c>
      <c r="C912" s="154" t="s">
        <v>682</v>
      </c>
      <c r="D912" s="154" t="n">
        <v>11197</v>
      </c>
      <c r="E912" s="1" t="s">
        <v>53</v>
      </c>
      <c r="F912" s="202" t="n">
        <v>200025889394</v>
      </c>
      <c r="G912" s="198" t="s">
        <v>639</v>
      </c>
      <c r="H912" s="188" t="s">
        <v>513</v>
      </c>
      <c r="I912" s="203" t="n">
        <v>111</v>
      </c>
      <c r="J912" s="204" t="s">
        <v>192</v>
      </c>
      <c r="K912" s="205" t="n">
        <v>45435.7987152778</v>
      </c>
      <c r="L912" s="154" t="n">
        <v>0</v>
      </c>
      <c r="M912" s="154" t="n">
        <v>11197</v>
      </c>
      <c r="N912" s="1" t="n">
        <v>80</v>
      </c>
    </row>
    <row r="913" customFormat="false" ht="14.25" hidden="false" customHeight="false" outlineLevel="0" collapsed="false">
      <c r="A913" s="154" t="n">
        <v>99</v>
      </c>
      <c r="B913" s="154" t="s">
        <v>681</v>
      </c>
      <c r="C913" s="154" t="s">
        <v>682</v>
      </c>
      <c r="D913" s="154" t="n">
        <v>11197</v>
      </c>
      <c r="E913" s="1" t="s">
        <v>53</v>
      </c>
      <c r="F913" s="202" t="n">
        <v>200025889394</v>
      </c>
      <c r="G913" s="198" t="s">
        <v>639</v>
      </c>
      <c r="H913" s="188" t="s">
        <v>513</v>
      </c>
      <c r="I913" s="203" t="n">
        <v>111</v>
      </c>
      <c r="J913" s="204" t="s">
        <v>192</v>
      </c>
      <c r="K913" s="205" t="n">
        <v>45435.7987152778</v>
      </c>
      <c r="L913" s="154" t="n">
        <v>0</v>
      </c>
      <c r="M913" s="154" t="n">
        <v>11197</v>
      </c>
      <c r="N913" s="1" t="n">
        <v>81</v>
      </c>
    </row>
    <row r="914" customFormat="false" ht="14.25" hidden="false" customHeight="false" outlineLevel="0" collapsed="false">
      <c r="A914" s="154" t="n">
        <v>93</v>
      </c>
      <c r="B914" s="154" t="s">
        <v>681</v>
      </c>
      <c r="C914" s="154" t="s">
        <v>682</v>
      </c>
      <c r="D914" s="154" t="n">
        <v>11197</v>
      </c>
      <c r="E914" s="1" t="s">
        <v>53</v>
      </c>
      <c r="F914" s="202" t="n">
        <v>200025889440</v>
      </c>
      <c r="G914" s="198" t="s">
        <v>639</v>
      </c>
      <c r="H914" s="188" t="s">
        <v>513</v>
      </c>
      <c r="I914" s="203" t="n">
        <v>111</v>
      </c>
      <c r="J914" s="204" t="s">
        <v>192</v>
      </c>
      <c r="K914" s="205" t="n">
        <v>45435.7987152778</v>
      </c>
      <c r="L914" s="154" t="n">
        <v>0</v>
      </c>
      <c r="M914" s="154" t="n">
        <v>11197</v>
      </c>
      <c r="N914" s="1" t="n">
        <v>82</v>
      </c>
    </row>
    <row r="915" customFormat="false" ht="14.25" hidden="false" customHeight="false" outlineLevel="0" collapsed="false">
      <c r="A915" s="1" t="n">
        <v>105</v>
      </c>
      <c r="B915" s="1" t="s">
        <v>681</v>
      </c>
      <c r="C915" s="1" t="s">
        <v>682</v>
      </c>
      <c r="D915" s="1" t="n">
        <v>11197</v>
      </c>
      <c r="E915" s="1" t="s">
        <v>53</v>
      </c>
      <c r="F915" s="201" t="n">
        <v>200025889791</v>
      </c>
      <c r="G915" s="198" t="s">
        <v>688</v>
      </c>
      <c r="H915" s="163" t="s">
        <v>510</v>
      </c>
      <c r="I915" s="161" t="n">
        <v>80</v>
      </c>
      <c r="J915" s="156" t="s">
        <v>192</v>
      </c>
      <c r="K915" s="199" t="n">
        <v>45436.1502314815</v>
      </c>
      <c r="L915" s="1" t="n">
        <v>2</v>
      </c>
      <c r="M915" s="1" t="n">
        <v>11197</v>
      </c>
      <c r="N915" s="1" t="n">
        <v>83</v>
      </c>
    </row>
    <row r="916" customFormat="false" ht="14.25" hidden="false" customHeight="false" outlineLevel="0" collapsed="false">
      <c r="A916" s="1" t="n">
        <v>106</v>
      </c>
      <c r="B916" s="1" t="s">
        <v>681</v>
      </c>
      <c r="C916" s="1" t="s">
        <v>682</v>
      </c>
      <c r="D916" s="1" t="n">
        <v>11197</v>
      </c>
      <c r="E916" s="1" t="s">
        <v>53</v>
      </c>
      <c r="F916" s="201" t="n">
        <v>200025889791</v>
      </c>
      <c r="G916" s="198" t="s">
        <v>688</v>
      </c>
      <c r="H916" s="163" t="s">
        <v>510</v>
      </c>
      <c r="I916" s="161" t="n">
        <v>80</v>
      </c>
      <c r="J916" s="156" t="s">
        <v>192</v>
      </c>
      <c r="K916" s="199" t="n">
        <v>45436.1504398148</v>
      </c>
      <c r="L916" s="1" t="n">
        <v>0</v>
      </c>
      <c r="M916" s="1" t="n">
        <v>11197</v>
      </c>
      <c r="N916" s="1" t="n">
        <v>84</v>
      </c>
    </row>
    <row r="917" customFormat="false" ht="14.25" hidden="false" customHeight="false" outlineLevel="0" collapsed="false">
      <c r="A917" s="1" t="n">
        <v>107</v>
      </c>
      <c r="B917" s="1" t="s">
        <v>681</v>
      </c>
      <c r="C917" s="1" t="s">
        <v>682</v>
      </c>
      <c r="D917" s="1" t="n">
        <v>11197</v>
      </c>
      <c r="E917" s="1" t="s">
        <v>53</v>
      </c>
      <c r="F917" s="201" t="n">
        <v>200025889791</v>
      </c>
      <c r="G917" s="198" t="s">
        <v>688</v>
      </c>
      <c r="H917" s="163" t="s">
        <v>510</v>
      </c>
      <c r="I917" s="161" t="n">
        <v>80</v>
      </c>
      <c r="J917" s="156" t="s">
        <v>192</v>
      </c>
      <c r="K917" s="199" t="n">
        <v>45436.1514814815</v>
      </c>
      <c r="L917" s="1" t="n">
        <v>1</v>
      </c>
      <c r="M917" s="1" t="n">
        <v>11197</v>
      </c>
      <c r="N917" s="1" t="n">
        <v>85</v>
      </c>
    </row>
    <row r="918" customFormat="false" ht="14.25" hidden="false" customHeight="false" outlineLevel="0" collapsed="false">
      <c r="A918" s="1" t="n">
        <v>108</v>
      </c>
      <c r="B918" s="1" t="s">
        <v>681</v>
      </c>
      <c r="C918" s="1" t="s">
        <v>682</v>
      </c>
      <c r="D918" s="1" t="n">
        <v>11197</v>
      </c>
      <c r="E918" s="1" t="s">
        <v>53</v>
      </c>
      <c r="F918" s="201" t="n">
        <v>200025889791</v>
      </c>
      <c r="G918" s="198" t="s">
        <v>688</v>
      </c>
      <c r="H918" s="163" t="s">
        <v>510</v>
      </c>
      <c r="I918" s="161" t="n">
        <v>80</v>
      </c>
      <c r="J918" s="156" t="s">
        <v>192</v>
      </c>
      <c r="K918" s="199" t="n">
        <v>45436.1514930556</v>
      </c>
      <c r="L918" s="1" t="n">
        <v>0</v>
      </c>
      <c r="M918" s="1" t="n">
        <v>11197</v>
      </c>
      <c r="N918" s="1" t="n">
        <v>86</v>
      </c>
    </row>
    <row r="919" customFormat="false" ht="14.25" hidden="false" customHeight="false" outlineLevel="0" collapsed="false">
      <c r="A919" s="1" t="n">
        <v>109</v>
      </c>
      <c r="B919" s="1" t="s">
        <v>681</v>
      </c>
      <c r="C919" s="1" t="s">
        <v>682</v>
      </c>
      <c r="D919" s="1" t="n">
        <v>11197</v>
      </c>
      <c r="E919" s="1" t="s">
        <v>53</v>
      </c>
      <c r="F919" s="201" t="n">
        <v>200025889791</v>
      </c>
      <c r="G919" s="198" t="s">
        <v>688</v>
      </c>
      <c r="H919" s="163" t="s">
        <v>510</v>
      </c>
      <c r="I919" s="161" t="n">
        <v>80</v>
      </c>
      <c r="J919" s="156" t="s">
        <v>192</v>
      </c>
      <c r="K919" s="199" t="n">
        <v>45436.1515162037</v>
      </c>
      <c r="L919" s="1" t="n">
        <v>39</v>
      </c>
      <c r="M919" s="1" t="n">
        <v>11197</v>
      </c>
      <c r="N919" s="1" t="n">
        <v>87</v>
      </c>
    </row>
    <row r="920" customFormat="false" ht="14.25" hidden="false" customHeight="false" outlineLevel="0" collapsed="false">
      <c r="A920" s="1" t="n">
        <v>110</v>
      </c>
      <c r="B920" s="1" t="s">
        <v>681</v>
      </c>
      <c r="C920" s="1" t="s">
        <v>682</v>
      </c>
      <c r="D920" s="1" t="n">
        <v>11197</v>
      </c>
      <c r="E920" s="1" t="s">
        <v>53</v>
      </c>
      <c r="F920" s="201" t="n">
        <v>200025889791</v>
      </c>
      <c r="G920" s="198" t="s">
        <v>688</v>
      </c>
      <c r="H920" s="163" t="s">
        <v>510</v>
      </c>
      <c r="I920" s="161" t="n">
        <v>80</v>
      </c>
      <c r="J920" s="156" t="s">
        <v>192</v>
      </c>
      <c r="K920" s="199" t="n">
        <v>45436.1519675926</v>
      </c>
      <c r="L920" s="1" t="n">
        <v>0</v>
      </c>
      <c r="M920" s="1" t="n">
        <v>11197</v>
      </c>
      <c r="N920" s="1" t="n">
        <v>88</v>
      </c>
    </row>
    <row r="921" customFormat="false" ht="14.25" hidden="false" customHeight="false" outlineLevel="0" collapsed="false">
      <c r="A921" s="1" t="n">
        <v>111</v>
      </c>
      <c r="B921" s="1" t="s">
        <v>681</v>
      </c>
      <c r="C921" s="1" t="s">
        <v>682</v>
      </c>
      <c r="D921" s="1" t="n">
        <v>11197</v>
      </c>
      <c r="E921" s="1" t="s">
        <v>53</v>
      </c>
      <c r="F921" s="201" t="n">
        <v>200025889791</v>
      </c>
      <c r="G921" s="198" t="s">
        <v>688</v>
      </c>
      <c r="H921" s="163" t="s">
        <v>510</v>
      </c>
      <c r="I921" s="161" t="n">
        <v>80</v>
      </c>
      <c r="J921" s="156" t="s">
        <v>192</v>
      </c>
      <c r="K921" s="199" t="n">
        <v>45436.1519791667</v>
      </c>
      <c r="L921" s="1" t="n">
        <v>0</v>
      </c>
      <c r="M921" s="1" t="n">
        <v>11197</v>
      </c>
      <c r="N921" s="1" t="n">
        <v>89</v>
      </c>
    </row>
    <row r="922" customFormat="false" ht="14.25" hidden="false" customHeight="false" outlineLevel="0" collapsed="false">
      <c r="A922" s="1" t="n">
        <v>112</v>
      </c>
      <c r="B922" s="1" t="s">
        <v>681</v>
      </c>
      <c r="C922" s="1" t="s">
        <v>682</v>
      </c>
      <c r="D922" s="1" t="n">
        <v>11197</v>
      </c>
      <c r="E922" s="1" t="s">
        <v>53</v>
      </c>
      <c r="F922" s="201" t="n">
        <v>200025889791</v>
      </c>
      <c r="G922" s="198" t="s">
        <v>688</v>
      </c>
      <c r="H922" s="163" t="s">
        <v>510</v>
      </c>
      <c r="I922" s="161" t="n">
        <v>80</v>
      </c>
      <c r="J922" s="156" t="s">
        <v>192</v>
      </c>
      <c r="K922" s="199" t="n">
        <v>45436.1519907407</v>
      </c>
      <c r="L922" s="1" t="n">
        <v>0</v>
      </c>
      <c r="M922" s="1" t="n">
        <v>11197</v>
      </c>
      <c r="N922" s="1" t="n">
        <v>90</v>
      </c>
    </row>
    <row r="923" customFormat="false" ht="14.25" hidden="false" customHeight="false" outlineLevel="0" collapsed="false">
      <c r="A923" s="1" t="n">
        <v>113</v>
      </c>
      <c r="B923" s="1" t="s">
        <v>681</v>
      </c>
      <c r="C923" s="1" t="s">
        <v>682</v>
      </c>
      <c r="D923" s="1" t="n">
        <v>11197</v>
      </c>
      <c r="E923" s="1" t="s">
        <v>53</v>
      </c>
      <c r="F923" s="201" t="n">
        <v>200025889791</v>
      </c>
      <c r="G923" s="198" t="s">
        <v>688</v>
      </c>
      <c r="H923" s="163" t="s">
        <v>510</v>
      </c>
      <c r="I923" s="161" t="n">
        <v>80</v>
      </c>
      <c r="J923" s="156" t="s">
        <v>192</v>
      </c>
      <c r="K923" s="199" t="n">
        <v>45436.1527546296</v>
      </c>
      <c r="L923" s="1" t="n">
        <v>3</v>
      </c>
      <c r="M923" s="1" t="n">
        <v>11197</v>
      </c>
      <c r="N923" s="1" t="n">
        <v>91</v>
      </c>
    </row>
    <row r="924" customFormat="false" ht="14.25" hidden="false" customHeight="false" outlineLevel="0" collapsed="false">
      <c r="A924" s="1" t="n">
        <v>114</v>
      </c>
      <c r="B924" s="1" t="s">
        <v>681</v>
      </c>
      <c r="C924" s="1" t="s">
        <v>682</v>
      </c>
      <c r="D924" s="1" t="n">
        <v>11197</v>
      </c>
      <c r="E924" s="1" t="s">
        <v>53</v>
      </c>
      <c r="F924" s="201" t="n">
        <v>200025889791</v>
      </c>
      <c r="G924" s="198" t="s">
        <v>688</v>
      </c>
      <c r="H924" s="163" t="s">
        <v>510</v>
      </c>
      <c r="I924" s="161" t="n">
        <v>80</v>
      </c>
      <c r="J924" s="156" t="s">
        <v>192</v>
      </c>
      <c r="K924" s="199" t="n">
        <v>45436.1541319444</v>
      </c>
      <c r="L924" s="1" t="n">
        <v>1</v>
      </c>
      <c r="M924" s="1" t="n">
        <v>11197</v>
      </c>
      <c r="N924" s="1" t="n">
        <v>92</v>
      </c>
    </row>
    <row r="925" customFormat="false" ht="14.25" hidden="false" customHeight="false" outlineLevel="0" collapsed="false">
      <c r="A925" s="1" t="n">
        <v>115</v>
      </c>
      <c r="B925" s="1" t="s">
        <v>681</v>
      </c>
      <c r="C925" s="1" t="s">
        <v>682</v>
      </c>
      <c r="D925" s="1" t="n">
        <v>11197</v>
      </c>
      <c r="E925" s="1" t="s">
        <v>53</v>
      </c>
      <c r="F925" s="201" t="n">
        <v>200025889791</v>
      </c>
      <c r="G925" s="198" t="s">
        <v>688</v>
      </c>
      <c r="H925" s="163" t="s">
        <v>510</v>
      </c>
      <c r="I925" s="161" t="n">
        <v>80</v>
      </c>
      <c r="J925" s="156" t="s">
        <v>192</v>
      </c>
      <c r="K925" s="199" t="n">
        <v>45436.1553703704</v>
      </c>
      <c r="L925" s="1" t="n">
        <v>1</v>
      </c>
      <c r="M925" s="1" t="n">
        <v>11197</v>
      </c>
      <c r="N925" s="1" t="n">
        <v>93</v>
      </c>
    </row>
    <row r="926" customFormat="false" ht="14.25" hidden="false" customHeight="false" outlineLevel="0" collapsed="false">
      <c r="A926" s="1" t="n">
        <v>116</v>
      </c>
      <c r="B926" s="1" t="s">
        <v>681</v>
      </c>
      <c r="C926" s="1" t="s">
        <v>682</v>
      </c>
      <c r="D926" s="1" t="n">
        <v>11197</v>
      </c>
      <c r="E926" s="1" t="s">
        <v>53</v>
      </c>
      <c r="F926" s="201" t="n">
        <v>200025889154</v>
      </c>
      <c r="G926" s="198" t="s">
        <v>641</v>
      </c>
      <c r="H926" s="172" t="n">
        <v>91178</v>
      </c>
      <c r="I926" s="170" t="n">
        <v>34</v>
      </c>
      <c r="J926" s="169" t="s">
        <v>192</v>
      </c>
      <c r="K926" s="200" t="n">
        <v>45436.699224537</v>
      </c>
      <c r="L926" s="1" t="n">
        <v>1</v>
      </c>
      <c r="M926" s="1" t="n">
        <v>11197</v>
      </c>
      <c r="N926" s="1" t="n">
        <v>94</v>
      </c>
    </row>
    <row r="927" customFormat="false" ht="14.25" hidden="false" customHeight="false" outlineLevel="0" collapsed="false">
      <c r="A927" s="1" t="n">
        <v>117</v>
      </c>
      <c r="B927" s="1" t="s">
        <v>681</v>
      </c>
      <c r="C927" s="1" t="s">
        <v>682</v>
      </c>
      <c r="D927" s="1" t="n">
        <v>11197</v>
      </c>
      <c r="E927" s="1" t="s">
        <v>53</v>
      </c>
      <c r="F927" s="201" t="n">
        <v>200025889154</v>
      </c>
      <c r="G927" s="198" t="s">
        <v>641</v>
      </c>
      <c r="H927" s="172" t="n">
        <v>91178</v>
      </c>
      <c r="I927" s="170" t="n">
        <v>34</v>
      </c>
      <c r="J927" s="169" t="s">
        <v>192</v>
      </c>
      <c r="K927" s="200" t="n">
        <v>45436.6997453704</v>
      </c>
      <c r="L927" s="1" t="n">
        <v>0</v>
      </c>
      <c r="M927" s="1" t="n">
        <v>11197</v>
      </c>
      <c r="N927" s="1" t="n">
        <v>95</v>
      </c>
    </row>
    <row r="928" customFormat="false" ht="14.25" hidden="false" customHeight="false" outlineLevel="0" collapsed="false">
      <c r="A928" s="1" t="n">
        <v>118</v>
      </c>
      <c r="B928" s="1" t="s">
        <v>681</v>
      </c>
      <c r="C928" s="1" t="s">
        <v>682</v>
      </c>
      <c r="D928" s="1" t="n">
        <v>11197</v>
      </c>
      <c r="E928" s="1" t="s">
        <v>53</v>
      </c>
      <c r="F928" s="201" t="n">
        <v>200025889154</v>
      </c>
      <c r="G928" s="198" t="s">
        <v>641</v>
      </c>
      <c r="H928" s="172" t="n">
        <v>91178</v>
      </c>
      <c r="I928" s="170" t="n">
        <v>34</v>
      </c>
      <c r="J928" s="169" t="s">
        <v>192</v>
      </c>
      <c r="K928" s="200" t="n">
        <v>45436.7264583333</v>
      </c>
      <c r="L928" s="1" t="n">
        <v>1</v>
      </c>
      <c r="M928" s="1" t="n">
        <v>11197</v>
      </c>
      <c r="N928" s="1" t="n">
        <v>96</v>
      </c>
    </row>
    <row r="929" customFormat="false" ht="14.25" hidden="false" customHeight="false" outlineLevel="0" collapsed="false">
      <c r="A929" s="1" t="n">
        <v>177</v>
      </c>
      <c r="B929" s="1" t="s">
        <v>565</v>
      </c>
      <c r="C929" s="1" t="s">
        <v>566</v>
      </c>
      <c r="D929" s="196" t="n">
        <v>11197</v>
      </c>
      <c r="E929" s="1" t="s">
        <v>53</v>
      </c>
      <c r="F929" s="198" t="n">
        <v>200025889154</v>
      </c>
      <c r="G929" s="198" t="s">
        <v>641</v>
      </c>
      <c r="H929" s="172" t="n">
        <v>91178</v>
      </c>
      <c r="I929" s="170" t="n">
        <v>34</v>
      </c>
      <c r="J929" s="169" t="s">
        <v>192</v>
      </c>
      <c r="K929" s="199" t="n">
        <v>45436.9966203704</v>
      </c>
      <c r="L929" s="1" t="n">
        <v>1</v>
      </c>
      <c r="M929" s="196" t="n">
        <v>11197</v>
      </c>
      <c r="N929" s="1" t="n">
        <v>97</v>
      </c>
    </row>
    <row r="930" customFormat="false" ht="14.25" hidden="false" customHeight="false" outlineLevel="0" collapsed="false">
      <c r="A930" s="1" t="n">
        <v>178</v>
      </c>
      <c r="B930" s="1" t="s">
        <v>565</v>
      </c>
      <c r="C930" s="1" t="s">
        <v>566</v>
      </c>
      <c r="D930" s="196" t="n">
        <v>11197</v>
      </c>
      <c r="E930" s="1" t="s">
        <v>53</v>
      </c>
      <c r="F930" s="198" t="n">
        <v>200025889154</v>
      </c>
      <c r="G930" s="198" t="s">
        <v>641</v>
      </c>
      <c r="H930" s="172" t="n">
        <v>91178</v>
      </c>
      <c r="I930" s="170" t="n">
        <v>34</v>
      </c>
      <c r="J930" s="169" t="s">
        <v>192</v>
      </c>
      <c r="K930" s="199" t="n">
        <v>45436.999849537</v>
      </c>
      <c r="L930" s="1" t="n">
        <v>0</v>
      </c>
      <c r="M930" s="196" t="n">
        <v>11197</v>
      </c>
      <c r="N930" s="1" t="n">
        <v>98</v>
      </c>
    </row>
    <row r="931" customFormat="false" ht="14.25" hidden="false" customHeight="false" outlineLevel="0" collapsed="false">
      <c r="A931" s="1" t="n">
        <v>179</v>
      </c>
      <c r="B931" s="1" t="s">
        <v>565</v>
      </c>
      <c r="C931" s="1" t="s">
        <v>566</v>
      </c>
      <c r="D931" s="196" t="n">
        <v>11197</v>
      </c>
      <c r="E931" s="1" t="s">
        <v>53</v>
      </c>
      <c r="F931" s="198" t="n">
        <v>200025889154</v>
      </c>
      <c r="G931" s="198" t="s">
        <v>641</v>
      </c>
      <c r="H931" s="172" t="n">
        <v>91178</v>
      </c>
      <c r="I931" s="170" t="n">
        <v>34</v>
      </c>
      <c r="J931" s="169" t="s">
        <v>192</v>
      </c>
      <c r="K931" s="199" t="n">
        <v>45437.0001273148</v>
      </c>
      <c r="L931" s="1" t="n">
        <v>1</v>
      </c>
      <c r="M931" s="196" t="n">
        <v>11197</v>
      </c>
      <c r="N931" s="1" t="n">
        <v>99</v>
      </c>
    </row>
    <row r="932" customFormat="false" ht="14.25" hidden="false" customHeight="false" outlineLevel="0" collapsed="false">
      <c r="A932" s="1" t="n">
        <v>180</v>
      </c>
      <c r="B932" s="1" t="s">
        <v>565</v>
      </c>
      <c r="C932" s="1" t="s">
        <v>566</v>
      </c>
      <c r="D932" s="196" t="n">
        <v>11197</v>
      </c>
      <c r="E932" s="1" t="s">
        <v>53</v>
      </c>
      <c r="F932" s="198" t="n">
        <v>200025889154</v>
      </c>
      <c r="G932" s="198" t="s">
        <v>641</v>
      </c>
      <c r="H932" s="172" t="n">
        <v>91178</v>
      </c>
      <c r="I932" s="170" t="n">
        <v>34</v>
      </c>
      <c r="J932" s="169" t="s">
        <v>192</v>
      </c>
      <c r="K932" s="199" t="n">
        <v>45437.000150463</v>
      </c>
      <c r="L932" s="10" t="n">
        <v>296</v>
      </c>
      <c r="M932" s="196" t="n">
        <v>11197</v>
      </c>
      <c r="N932" s="1" t="n">
        <v>100</v>
      </c>
    </row>
    <row r="933" customFormat="false" ht="14.25" hidden="false" customHeight="false" outlineLevel="0" collapsed="false">
      <c r="A933" s="1" t="n">
        <v>181</v>
      </c>
      <c r="B933" s="1" t="s">
        <v>565</v>
      </c>
      <c r="C933" s="1" t="s">
        <v>566</v>
      </c>
      <c r="D933" s="196" t="n">
        <v>11197</v>
      </c>
      <c r="E933" s="1" t="s">
        <v>53</v>
      </c>
      <c r="F933" s="198" t="n">
        <v>200025889154</v>
      </c>
      <c r="G933" s="198" t="s">
        <v>641</v>
      </c>
      <c r="H933" s="172" t="n">
        <v>91178</v>
      </c>
      <c r="I933" s="170" t="n">
        <v>34</v>
      </c>
      <c r="J933" s="169" t="s">
        <v>192</v>
      </c>
      <c r="K933" s="199" t="n">
        <v>45437.0084953704</v>
      </c>
      <c r="L933" s="1" t="n">
        <v>2</v>
      </c>
      <c r="M933" s="196" t="n">
        <v>11197</v>
      </c>
      <c r="N933" s="1" t="n">
        <v>101</v>
      </c>
    </row>
    <row r="934" customFormat="false" ht="14.25" hidden="false" customHeight="false" outlineLevel="0" collapsed="false">
      <c r="A934" s="1" t="n">
        <v>182</v>
      </c>
      <c r="B934" s="1" t="s">
        <v>565</v>
      </c>
      <c r="C934" s="1" t="s">
        <v>566</v>
      </c>
      <c r="D934" s="196" t="n">
        <v>11197</v>
      </c>
      <c r="E934" s="1" t="s">
        <v>53</v>
      </c>
      <c r="F934" s="198" t="n">
        <v>200025889154</v>
      </c>
      <c r="G934" s="198" t="s">
        <v>641</v>
      </c>
      <c r="H934" s="172" t="n">
        <v>91178</v>
      </c>
      <c r="I934" s="170" t="n">
        <v>34</v>
      </c>
      <c r="J934" s="169" t="s">
        <v>192</v>
      </c>
      <c r="K934" s="199" t="n">
        <v>45437.0099652778</v>
      </c>
      <c r="L934" s="1" t="n">
        <v>1</v>
      </c>
      <c r="M934" s="196" t="n">
        <v>11197</v>
      </c>
      <c r="N934" s="1" t="n">
        <v>102</v>
      </c>
    </row>
    <row r="935" customFormat="false" ht="14.25" hidden="false" customHeight="false" outlineLevel="0" collapsed="false">
      <c r="A935" s="1" t="n">
        <v>13</v>
      </c>
      <c r="B935" s="1" t="s">
        <v>643</v>
      </c>
      <c r="C935" s="1" t="s">
        <v>644</v>
      </c>
      <c r="D935" s="1" t="n">
        <v>11197</v>
      </c>
      <c r="E935" s="1" t="s">
        <v>53</v>
      </c>
      <c r="F935" s="201" t="n">
        <v>200025888194</v>
      </c>
      <c r="G935" s="198" t="s">
        <v>701</v>
      </c>
      <c r="H935" s="163" t="s">
        <v>230</v>
      </c>
      <c r="I935" s="161" t="n">
        <v>33</v>
      </c>
      <c r="J935" s="156" t="s">
        <v>192</v>
      </c>
      <c r="K935" s="200" t="n">
        <v>45443.483125</v>
      </c>
      <c r="L935" s="1" t="n">
        <v>0</v>
      </c>
      <c r="M935" s="1" t="n">
        <v>11197</v>
      </c>
      <c r="N935" s="1" t="n">
        <v>103</v>
      </c>
    </row>
    <row r="936" customFormat="false" ht="14.25" hidden="false" customHeight="false" outlineLevel="0" collapsed="false">
      <c r="A936" s="1" t="n">
        <v>14</v>
      </c>
      <c r="B936" s="1" t="s">
        <v>643</v>
      </c>
      <c r="C936" s="1" t="s">
        <v>644</v>
      </c>
      <c r="D936" s="1" t="n">
        <v>11197</v>
      </c>
      <c r="E936" s="1" t="s">
        <v>53</v>
      </c>
      <c r="F936" s="201" t="n">
        <v>200025889394</v>
      </c>
      <c r="G936" s="198" t="s">
        <v>662</v>
      </c>
      <c r="H936" s="163" t="s">
        <v>543</v>
      </c>
      <c r="I936" s="161" t="n">
        <v>120</v>
      </c>
      <c r="J936" s="156" t="s">
        <v>192</v>
      </c>
      <c r="K936" s="200" t="n">
        <v>45443.5935763889</v>
      </c>
      <c r="L936" s="1" t="n">
        <v>0</v>
      </c>
      <c r="M936" s="1" t="n">
        <v>11197</v>
      </c>
      <c r="N936" s="1" t="n">
        <v>104</v>
      </c>
    </row>
    <row r="937" customFormat="false" ht="14.25" hidden="false" customHeight="false" outlineLevel="0" collapsed="false">
      <c r="A937" s="1" t="n">
        <v>15</v>
      </c>
      <c r="B937" s="1" t="s">
        <v>643</v>
      </c>
      <c r="C937" s="1" t="s">
        <v>644</v>
      </c>
      <c r="D937" s="1" t="n">
        <v>11197</v>
      </c>
      <c r="E937" s="1" t="s">
        <v>53</v>
      </c>
      <c r="F937" s="201" t="n">
        <v>200025889333</v>
      </c>
      <c r="G937" s="198" t="s">
        <v>652</v>
      </c>
      <c r="H937" s="163" t="s">
        <v>445</v>
      </c>
      <c r="I937" s="161" t="n">
        <v>50</v>
      </c>
      <c r="J937" s="156" t="s">
        <v>192</v>
      </c>
      <c r="K937" s="200" t="n">
        <v>45444.5920717593</v>
      </c>
      <c r="L937" s="1" t="n">
        <v>0</v>
      </c>
      <c r="M937" s="1" t="n">
        <v>11197</v>
      </c>
      <c r="N937" s="1" t="n">
        <v>105</v>
      </c>
    </row>
    <row r="938" customFormat="false" ht="14.25" hidden="false" customHeight="false" outlineLevel="0" collapsed="false">
      <c r="A938" s="1" t="n">
        <v>16</v>
      </c>
      <c r="B938" s="1" t="s">
        <v>643</v>
      </c>
      <c r="C938" s="1" t="s">
        <v>644</v>
      </c>
      <c r="D938" s="1" t="n">
        <v>11197</v>
      </c>
      <c r="E938" s="1" t="s">
        <v>53</v>
      </c>
      <c r="F938" s="201" t="n">
        <v>200025889333</v>
      </c>
      <c r="G938" s="198" t="s">
        <v>652</v>
      </c>
      <c r="H938" s="163" t="s">
        <v>445</v>
      </c>
      <c r="I938" s="161" t="n">
        <v>50</v>
      </c>
      <c r="J938" s="156" t="s">
        <v>192</v>
      </c>
      <c r="K938" s="200" t="n">
        <v>45444.5920833333</v>
      </c>
      <c r="L938" s="1" t="n">
        <v>0</v>
      </c>
      <c r="M938" s="1" t="n">
        <v>11197</v>
      </c>
      <c r="N938" s="1" t="n">
        <v>106</v>
      </c>
    </row>
    <row r="939" customFormat="false" ht="14.25" hidden="false" customHeight="false" outlineLevel="0" collapsed="false">
      <c r="A939" s="1" t="n">
        <v>17</v>
      </c>
      <c r="B939" s="1" t="s">
        <v>643</v>
      </c>
      <c r="C939" s="1" t="s">
        <v>644</v>
      </c>
      <c r="D939" s="1" t="n">
        <v>11197</v>
      </c>
      <c r="E939" s="1" t="s">
        <v>53</v>
      </c>
      <c r="F939" s="201" t="n">
        <v>200025889333</v>
      </c>
      <c r="G939" s="198" t="s">
        <v>652</v>
      </c>
      <c r="H939" s="163" t="s">
        <v>445</v>
      </c>
      <c r="I939" s="161" t="n">
        <v>50</v>
      </c>
      <c r="J939" s="156" t="s">
        <v>192</v>
      </c>
      <c r="K939" s="200" t="n">
        <v>45444.5921064815</v>
      </c>
      <c r="L939" s="1" t="n">
        <v>0</v>
      </c>
      <c r="M939" s="1" t="n">
        <v>11197</v>
      </c>
      <c r="N939" s="1" t="n">
        <v>107</v>
      </c>
    </row>
    <row r="940" customFormat="false" ht="14.25" hidden="false" customHeight="false" outlineLevel="0" collapsed="false">
      <c r="A940" s="1" t="n">
        <v>18</v>
      </c>
      <c r="B940" s="1" t="s">
        <v>643</v>
      </c>
      <c r="C940" s="1" t="s">
        <v>644</v>
      </c>
      <c r="D940" s="1" t="n">
        <v>11197</v>
      </c>
      <c r="E940" s="1" t="s">
        <v>53</v>
      </c>
      <c r="F940" s="201" t="n">
        <v>200025889446</v>
      </c>
      <c r="G940" s="198" t="s">
        <v>636</v>
      </c>
      <c r="H940" s="163" t="s">
        <v>233</v>
      </c>
      <c r="I940" s="161" t="n">
        <v>17</v>
      </c>
      <c r="J940" s="156" t="s">
        <v>185</v>
      </c>
      <c r="K940" s="200" t="n">
        <v>45446.490462963</v>
      </c>
      <c r="L940" s="1" t="n">
        <v>0</v>
      </c>
      <c r="M940" s="1" t="n">
        <v>11197</v>
      </c>
      <c r="N940" s="1" t="n">
        <v>108</v>
      </c>
    </row>
    <row r="941" customFormat="false" ht="14.25" hidden="false" customHeight="false" outlineLevel="0" collapsed="false">
      <c r="A941" s="1" t="n">
        <v>15</v>
      </c>
      <c r="B941" s="1" t="s">
        <v>702</v>
      </c>
      <c r="C941" s="1" t="s">
        <v>703</v>
      </c>
      <c r="D941" s="1" t="n">
        <v>11197</v>
      </c>
      <c r="E941" s="1" t="s">
        <v>53</v>
      </c>
      <c r="F941" s="201" t="n">
        <v>200025889314</v>
      </c>
      <c r="G941" s="198" t="s">
        <v>632</v>
      </c>
      <c r="H941" s="163" t="s">
        <v>224</v>
      </c>
      <c r="I941" s="161" t="n">
        <v>15</v>
      </c>
      <c r="J941" s="156" t="s">
        <v>185</v>
      </c>
      <c r="K941" s="200" t="n">
        <v>45451.7577083333</v>
      </c>
      <c r="L941" s="1" t="n">
        <v>1</v>
      </c>
      <c r="M941" s="1" t="n">
        <v>11197</v>
      </c>
      <c r="N941" s="1" t="n">
        <v>109</v>
      </c>
    </row>
    <row r="942" customFormat="false" ht="14.25" hidden="false" customHeight="false" outlineLevel="0" collapsed="false">
      <c r="A942" s="1" t="n">
        <v>16</v>
      </c>
      <c r="B942" s="1" t="s">
        <v>702</v>
      </c>
      <c r="C942" s="1" t="s">
        <v>703</v>
      </c>
      <c r="D942" s="1" t="n">
        <v>11197</v>
      </c>
      <c r="E942" s="1" t="s">
        <v>53</v>
      </c>
      <c r="F942" s="201" t="n">
        <v>200025889314</v>
      </c>
      <c r="G942" s="198" t="s">
        <v>632</v>
      </c>
      <c r="H942" s="163" t="s">
        <v>224</v>
      </c>
      <c r="I942" s="161" t="n">
        <v>15</v>
      </c>
      <c r="J942" s="156" t="s">
        <v>185</v>
      </c>
      <c r="K942" s="200" t="n">
        <v>45451.7637962963</v>
      </c>
      <c r="L942" s="1" t="n">
        <v>3</v>
      </c>
      <c r="M942" s="1" t="n">
        <v>11197</v>
      </c>
      <c r="N942" s="1" t="n">
        <v>110</v>
      </c>
    </row>
    <row r="943" customFormat="false" ht="14.25" hidden="false" customHeight="false" outlineLevel="0" collapsed="false">
      <c r="A943" s="1" t="n">
        <v>17</v>
      </c>
      <c r="B943" s="1" t="s">
        <v>702</v>
      </c>
      <c r="C943" s="1" t="s">
        <v>703</v>
      </c>
      <c r="D943" s="1" t="n">
        <v>11197</v>
      </c>
      <c r="E943" s="1" t="s">
        <v>53</v>
      </c>
      <c r="F943" s="201" t="n">
        <v>200025889314</v>
      </c>
      <c r="G943" s="198" t="s">
        <v>632</v>
      </c>
      <c r="H943" s="163" t="s">
        <v>224</v>
      </c>
      <c r="I943" s="161" t="n">
        <v>15</v>
      </c>
      <c r="J943" s="156" t="s">
        <v>185</v>
      </c>
      <c r="K943" s="200" t="n">
        <v>45451.7693981482</v>
      </c>
      <c r="L943" s="1" t="n">
        <v>1</v>
      </c>
      <c r="M943" s="1" t="n">
        <v>11197</v>
      </c>
      <c r="N943" s="1" t="n">
        <v>111</v>
      </c>
    </row>
    <row r="944" customFormat="false" ht="14.25" hidden="false" customHeight="false" outlineLevel="0" collapsed="false">
      <c r="A944" s="1" t="n">
        <v>18</v>
      </c>
      <c r="B944" s="1" t="s">
        <v>702</v>
      </c>
      <c r="C944" s="1" t="s">
        <v>703</v>
      </c>
      <c r="D944" s="1" t="n">
        <v>11197</v>
      </c>
      <c r="E944" s="1" t="s">
        <v>53</v>
      </c>
      <c r="F944" s="201" t="n">
        <v>200025889314</v>
      </c>
      <c r="G944" s="198" t="s">
        <v>632</v>
      </c>
      <c r="H944" s="163" t="s">
        <v>224</v>
      </c>
      <c r="I944" s="161" t="n">
        <v>15</v>
      </c>
      <c r="J944" s="156" t="s">
        <v>185</v>
      </c>
      <c r="K944" s="200" t="n">
        <v>45451.7694212963</v>
      </c>
      <c r="L944" s="1" t="n">
        <v>1</v>
      </c>
      <c r="M944" s="1" t="n">
        <v>11197</v>
      </c>
      <c r="N944" s="1" t="n">
        <v>112</v>
      </c>
    </row>
    <row r="945" customFormat="false" ht="14.25" hidden="false" customHeight="false" outlineLevel="0" collapsed="false">
      <c r="A945" s="1" t="n">
        <v>19</v>
      </c>
      <c r="B945" s="1" t="s">
        <v>702</v>
      </c>
      <c r="C945" s="1" t="s">
        <v>703</v>
      </c>
      <c r="D945" s="1" t="n">
        <v>11197</v>
      </c>
      <c r="E945" s="1" t="s">
        <v>53</v>
      </c>
      <c r="F945" s="201" t="n">
        <v>200025889314</v>
      </c>
      <c r="G945" s="198" t="s">
        <v>632</v>
      </c>
      <c r="H945" s="163" t="s">
        <v>224</v>
      </c>
      <c r="I945" s="161" t="n">
        <v>15</v>
      </c>
      <c r="J945" s="156" t="s">
        <v>185</v>
      </c>
      <c r="K945" s="200" t="n">
        <v>45451.7763310185</v>
      </c>
      <c r="L945" s="1" t="n">
        <v>0</v>
      </c>
      <c r="M945" s="1" t="n">
        <v>11197</v>
      </c>
      <c r="N945" s="1" t="n">
        <v>113</v>
      </c>
    </row>
    <row r="946" customFormat="false" ht="14.25" hidden="false" customHeight="false" outlineLevel="0" collapsed="false">
      <c r="A946" s="1" t="n">
        <v>20</v>
      </c>
      <c r="B946" s="1" t="s">
        <v>702</v>
      </c>
      <c r="C946" s="1" t="s">
        <v>703</v>
      </c>
      <c r="D946" s="1" t="n">
        <v>11197</v>
      </c>
      <c r="E946" s="1" t="s">
        <v>53</v>
      </c>
      <c r="F946" s="201" t="n">
        <v>200025889314</v>
      </c>
      <c r="G946" s="198" t="s">
        <v>632</v>
      </c>
      <c r="H946" s="163" t="s">
        <v>224</v>
      </c>
      <c r="I946" s="161" t="n">
        <v>15</v>
      </c>
      <c r="J946" s="156" t="s">
        <v>185</v>
      </c>
      <c r="K946" s="200" t="n">
        <v>45451.7786226852</v>
      </c>
      <c r="L946" s="1" t="n">
        <v>2</v>
      </c>
      <c r="M946" s="1" t="n">
        <v>11197</v>
      </c>
      <c r="N946" s="1" t="n">
        <v>114</v>
      </c>
    </row>
    <row r="947" customFormat="false" ht="14.25" hidden="false" customHeight="false" outlineLevel="0" collapsed="false">
      <c r="A947" s="1" t="n">
        <v>21</v>
      </c>
      <c r="B947" s="1" t="s">
        <v>702</v>
      </c>
      <c r="C947" s="1" t="s">
        <v>703</v>
      </c>
      <c r="D947" s="1" t="n">
        <v>11197</v>
      </c>
      <c r="E947" s="1" t="s">
        <v>53</v>
      </c>
      <c r="F947" s="201" t="n">
        <v>200025889314</v>
      </c>
      <c r="G947" s="198" t="s">
        <v>632</v>
      </c>
      <c r="H947" s="163" t="s">
        <v>224</v>
      </c>
      <c r="I947" s="161" t="n">
        <v>15</v>
      </c>
      <c r="J947" s="156" t="s">
        <v>185</v>
      </c>
      <c r="K947" s="200" t="n">
        <v>45451.83125</v>
      </c>
      <c r="L947" s="1" t="n">
        <v>2</v>
      </c>
      <c r="M947" s="1" t="n">
        <v>11197</v>
      </c>
      <c r="N947" s="1" t="n">
        <v>115</v>
      </c>
    </row>
    <row r="948" customFormat="false" ht="14.25" hidden="false" customHeight="false" outlineLevel="0" collapsed="false">
      <c r="A948" s="1" t="n">
        <v>22</v>
      </c>
      <c r="B948" s="1" t="s">
        <v>702</v>
      </c>
      <c r="C948" s="1" t="s">
        <v>703</v>
      </c>
      <c r="D948" s="1" t="n">
        <v>11197</v>
      </c>
      <c r="E948" s="1" t="s">
        <v>53</v>
      </c>
      <c r="F948" s="201" t="n">
        <v>200025889314</v>
      </c>
      <c r="G948" s="198" t="s">
        <v>632</v>
      </c>
      <c r="H948" s="163" t="s">
        <v>224</v>
      </c>
      <c r="I948" s="161" t="n">
        <v>15</v>
      </c>
      <c r="J948" s="156" t="s">
        <v>185</v>
      </c>
      <c r="K948" s="200" t="n">
        <v>45451.8351273148</v>
      </c>
      <c r="L948" s="1" t="n">
        <v>2</v>
      </c>
      <c r="M948" s="1" t="n">
        <v>11197</v>
      </c>
      <c r="N948" s="1" t="n">
        <v>116</v>
      </c>
    </row>
    <row r="949" customFormat="false" ht="14.25" hidden="false" customHeight="false" outlineLevel="0" collapsed="false">
      <c r="A949" s="1" t="n">
        <v>23</v>
      </c>
      <c r="B949" s="1" t="s">
        <v>702</v>
      </c>
      <c r="C949" s="1" t="s">
        <v>703</v>
      </c>
      <c r="D949" s="1" t="n">
        <v>11197</v>
      </c>
      <c r="E949" s="1" t="s">
        <v>53</v>
      </c>
      <c r="F949" s="201" t="n">
        <v>200025889314</v>
      </c>
      <c r="G949" s="198" t="s">
        <v>632</v>
      </c>
      <c r="H949" s="163" t="s">
        <v>224</v>
      </c>
      <c r="I949" s="161" t="n">
        <v>15</v>
      </c>
      <c r="J949" s="156" t="s">
        <v>185</v>
      </c>
      <c r="K949" s="200" t="n">
        <v>45451.836099537</v>
      </c>
      <c r="L949" s="207" t="n">
        <v>56</v>
      </c>
      <c r="M949" s="1" t="n">
        <v>11197</v>
      </c>
      <c r="N949" s="1" t="n">
        <v>117</v>
      </c>
    </row>
    <row r="950" customFormat="false" ht="14.25" hidden="false" customHeight="false" outlineLevel="0" collapsed="false">
      <c r="A950" s="1" t="n">
        <v>24</v>
      </c>
      <c r="B950" s="1" t="s">
        <v>702</v>
      </c>
      <c r="C950" s="1" t="s">
        <v>703</v>
      </c>
      <c r="D950" s="1" t="n">
        <v>11197</v>
      </c>
      <c r="E950" s="1" t="s">
        <v>53</v>
      </c>
      <c r="F950" s="201" t="n">
        <v>200025889314</v>
      </c>
      <c r="G950" s="198" t="s">
        <v>632</v>
      </c>
      <c r="H950" s="163" t="s">
        <v>224</v>
      </c>
      <c r="I950" s="161" t="n">
        <v>15</v>
      </c>
      <c r="J950" s="156" t="s">
        <v>185</v>
      </c>
      <c r="K950" s="200" t="n">
        <v>45451.8367476852</v>
      </c>
      <c r="L950" s="1" t="n">
        <v>1</v>
      </c>
      <c r="M950" s="1" t="n">
        <v>11197</v>
      </c>
      <c r="N950" s="1" t="n">
        <v>118</v>
      </c>
    </row>
    <row r="951" customFormat="false" ht="14.25" hidden="false" customHeight="false" outlineLevel="0" collapsed="false">
      <c r="A951" s="1" t="n">
        <v>25</v>
      </c>
      <c r="B951" s="1" t="s">
        <v>702</v>
      </c>
      <c r="C951" s="1" t="s">
        <v>703</v>
      </c>
      <c r="D951" s="1" t="n">
        <v>11197</v>
      </c>
      <c r="E951" s="1" t="s">
        <v>53</v>
      </c>
      <c r="F951" s="201" t="n">
        <v>200025889314</v>
      </c>
      <c r="G951" s="198" t="s">
        <v>632</v>
      </c>
      <c r="H951" s="163" t="s">
        <v>224</v>
      </c>
      <c r="I951" s="161" t="n">
        <v>15</v>
      </c>
      <c r="J951" s="156" t="s">
        <v>185</v>
      </c>
      <c r="K951" s="200" t="n">
        <v>45451.8462037037</v>
      </c>
      <c r="L951" s="1" t="n">
        <v>1</v>
      </c>
      <c r="M951" s="1" t="n">
        <v>11197</v>
      </c>
      <c r="N951" s="1" t="n">
        <v>119</v>
      </c>
    </row>
    <row r="952" customFormat="false" ht="14.25" hidden="false" customHeight="false" outlineLevel="0" collapsed="false">
      <c r="A952" s="1" t="n">
        <v>26</v>
      </c>
      <c r="B952" s="1" t="s">
        <v>702</v>
      </c>
      <c r="C952" s="1" t="s">
        <v>703</v>
      </c>
      <c r="D952" s="1" t="n">
        <v>11197</v>
      </c>
      <c r="E952" s="1" t="s">
        <v>53</v>
      </c>
      <c r="F952" s="201" t="n">
        <v>200025889314</v>
      </c>
      <c r="G952" s="198" t="s">
        <v>632</v>
      </c>
      <c r="H952" s="163" t="s">
        <v>224</v>
      </c>
      <c r="I952" s="161" t="n">
        <v>15</v>
      </c>
      <c r="J952" s="156" t="s">
        <v>185</v>
      </c>
      <c r="K952" s="200" t="n">
        <v>45451.8468171296</v>
      </c>
      <c r="L952" s="1" t="n">
        <v>1</v>
      </c>
      <c r="M952" s="1" t="n">
        <v>11197</v>
      </c>
      <c r="N952" s="1" t="n">
        <v>120</v>
      </c>
    </row>
    <row r="953" customFormat="false" ht="14.25" hidden="false" customHeight="false" outlineLevel="0" collapsed="false">
      <c r="A953" s="1" t="n">
        <v>27</v>
      </c>
      <c r="B953" s="1" t="s">
        <v>702</v>
      </c>
      <c r="C953" s="1" t="s">
        <v>703</v>
      </c>
      <c r="D953" s="1" t="n">
        <v>11197</v>
      </c>
      <c r="E953" s="1" t="s">
        <v>53</v>
      </c>
      <c r="F953" s="201" t="n">
        <v>200025889314</v>
      </c>
      <c r="G953" s="198" t="s">
        <v>632</v>
      </c>
      <c r="H953" s="163" t="s">
        <v>224</v>
      </c>
      <c r="I953" s="161" t="n">
        <v>15</v>
      </c>
      <c r="J953" s="156" t="s">
        <v>185</v>
      </c>
      <c r="K953" s="200" t="n">
        <v>45451.8469097222</v>
      </c>
      <c r="L953" s="1" t="n">
        <v>1</v>
      </c>
      <c r="M953" s="1" t="n">
        <v>11197</v>
      </c>
      <c r="N953" s="1" t="n">
        <v>121</v>
      </c>
    </row>
    <row r="954" customFormat="false" ht="14.25" hidden="false" customHeight="false" outlineLevel="0" collapsed="false">
      <c r="A954" s="1" t="n">
        <v>28</v>
      </c>
      <c r="B954" s="1" t="s">
        <v>702</v>
      </c>
      <c r="C954" s="1" t="s">
        <v>703</v>
      </c>
      <c r="D954" s="1" t="n">
        <v>11197</v>
      </c>
      <c r="E954" s="1" t="s">
        <v>53</v>
      </c>
      <c r="F954" s="201" t="n">
        <v>200025889314</v>
      </c>
      <c r="G954" s="198" t="s">
        <v>632</v>
      </c>
      <c r="H954" s="163" t="s">
        <v>224</v>
      </c>
      <c r="I954" s="161" t="n">
        <v>15</v>
      </c>
      <c r="J954" s="156" t="s">
        <v>185</v>
      </c>
      <c r="K954" s="200" t="n">
        <v>45451.8528703704</v>
      </c>
      <c r="L954" s="1" t="n">
        <v>3</v>
      </c>
      <c r="M954" s="1" t="n">
        <v>11197</v>
      </c>
      <c r="N954" s="1" t="n">
        <v>122</v>
      </c>
    </row>
    <row r="955" customFormat="false" ht="14.25" hidden="false" customHeight="false" outlineLevel="0" collapsed="false">
      <c r="A955" s="1" t="n">
        <v>29</v>
      </c>
      <c r="B955" s="1" t="s">
        <v>702</v>
      </c>
      <c r="C955" s="1" t="s">
        <v>703</v>
      </c>
      <c r="D955" s="1" t="n">
        <v>11197</v>
      </c>
      <c r="E955" s="1" t="s">
        <v>53</v>
      </c>
      <c r="F955" s="201" t="n">
        <v>200025889314</v>
      </c>
      <c r="G955" s="198" t="s">
        <v>632</v>
      </c>
      <c r="H955" s="163" t="s">
        <v>224</v>
      </c>
      <c r="I955" s="161" t="n">
        <v>15</v>
      </c>
      <c r="J955" s="156" t="s">
        <v>185</v>
      </c>
      <c r="K955" s="200" t="n">
        <v>45451.8531944445</v>
      </c>
      <c r="L955" s="1" t="n">
        <v>1</v>
      </c>
      <c r="M955" s="1" t="n">
        <v>11197</v>
      </c>
      <c r="N955" s="1" t="n">
        <v>123</v>
      </c>
    </row>
    <row r="956" customFormat="false" ht="14.25" hidden="false" customHeight="false" outlineLevel="0" collapsed="false">
      <c r="A956" s="1" t="n">
        <v>30</v>
      </c>
      <c r="B956" s="1" t="s">
        <v>702</v>
      </c>
      <c r="C956" s="1" t="s">
        <v>703</v>
      </c>
      <c r="D956" s="1" t="n">
        <v>11197</v>
      </c>
      <c r="E956" s="1" t="s">
        <v>53</v>
      </c>
      <c r="F956" s="201" t="n">
        <v>200025889314</v>
      </c>
      <c r="G956" s="198" t="s">
        <v>632</v>
      </c>
      <c r="H956" s="163" t="s">
        <v>224</v>
      </c>
      <c r="I956" s="161" t="n">
        <v>15</v>
      </c>
      <c r="J956" s="156" t="s">
        <v>185</v>
      </c>
      <c r="K956" s="200" t="n">
        <v>45451.8534375</v>
      </c>
      <c r="L956" s="1" t="n">
        <v>1</v>
      </c>
      <c r="M956" s="1" t="n">
        <v>11197</v>
      </c>
      <c r="N956" s="1" t="n">
        <v>124</v>
      </c>
    </row>
    <row r="957" customFormat="false" ht="14.25" hidden="false" customHeight="false" outlineLevel="0" collapsed="false">
      <c r="A957" s="1" t="n">
        <v>31</v>
      </c>
      <c r="B957" s="1" t="s">
        <v>702</v>
      </c>
      <c r="C957" s="1" t="s">
        <v>703</v>
      </c>
      <c r="D957" s="1" t="n">
        <v>11197</v>
      </c>
      <c r="E957" s="1" t="s">
        <v>53</v>
      </c>
      <c r="F957" s="201" t="n">
        <v>200025889314</v>
      </c>
      <c r="G957" s="198" t="s">
        <v>632</v>
      </c>
      <c r="H957" s="163" t="s">
        <v>224</v>
      </c>
      <c r="I957" s="161" t="n">
        <v>15</v>
      </c>
      <c r="J957" s="156" t="s">
        <v>185</v>
      </c>
      <c r="K957" s="200" t="n">
        <v>45451.8543518519</v>
      </c>
      <c r="L957" s="1" t="n">
        <v>0</v>
      </c>
      <c r="M957" s="1" t="n">
        <v>11197</v>
      </c>
      <c r="N957" s="1" t="n">
        <v>125</v>
      </c>
    </row>
    <row r="958" customFormat="false" ht="14.25" hidden="false" customHeight="false" outlineLevel="0" collapsed="false">
      <c r="A958" s="1" t="n">
        <v>32</v>
      </c>
      <c r="B958" s="1" t="s">
        <v>702</v>
      </c>
      <c r="C958" s="1" t="s">
        <v>703</v>
      </c>
      <c r="D958" s="1" t="n">
        <v>11197</v>
      </c>
      <c r="E958" s="1" t="s">
        <v>53</v>
      </c>
      <c r="F958" s="201" t="n">
        <v>200025889314</v>
      </c>
      <c r="G958" s="198" t="s">
        <v>632</v>
      </c>
      <c r="H958" s="163" t="s">
        <v>224</v>
      </c>
      <c r="I958" s="161" t="n">
        <v>15</v>
      </c>
      <c r="J958" s="156" t="s">
        <v>185</v>
      </c>
      <c r="K958" s="200" t="n">
        <v>45451.854375</v>
      </c>
      <c r="L958" s="1" t="n">
        <v>0</v>
      </c>
      <c r="M958" s="1" t="n">
        <v>11197</v>
      </c>
      <c r="N958" s="1" t="n">
        <v>126</v>
      </c>
    </row>
    <row r="959" customFormat="false" ht="14.25" hidden="false" customHeight="false" outlineLevel="0" collapsed="false">
      <c r="A959" s="1" t="n">
        <v>33</v>
      </c>
      <c r="B959" s="1" t="s">
        <v>702</v>
      </c>
      <c r="C959" s="1" t="s">
        <v>703</v>
      </c>
      <c r="D959" s="1" t="n">
        <v>11197</v>
      </c>
      <c r="E959" s="1" t="s">
        <v>53</v>
      </c>
      <c r="F959" s="201" t="n">
        <v>200025889314</v>
      </c>
      <c r="G959" s="198" t="s">
        <v>632</v>
      </c>
      <c r="H959" s="163" t="s">
        <v>224</v>
      </c>
      <c r="I959" s="161" t="n">
        <v>15</v>
      </c>
      <c r="J959" s="156" t="s">
        <v>185</v>
      </c>
      <c r="K959" s="200" t="n">
        <v>45451.8546064815</v>
      </c>
      <c r="L959" s="1" t="n">
        <v>1</v>
      </c>
      <c r="M959" s="1" t="n">
        <v>11197</v>
      </c>
      <c r="N959" s="1" t="n">
        <v>127</v>
      </c>
    </row>
    <row r="960" customFormat="false" ht="14.25" hidden="false" customHeight="false" outlineLevel="0" collapsed="false">
      <c r="A960" s="1" t="n">
        <v>34</v>
      </c>
      <c r="B960" s="1" t="s">
        <v>702</v>
      </c>
      <c r="C960" s="1" t="s">
        <v>703</v>
      </c>
      <c r="D960" s="1" t="n">
        <v>11197</v>
      </c>
      <c r="E960" s="1" t="s">
        <v>53</v>
      </c>
      <c r="F960" s="201" t="n">
        <v>200025889314</v>
      </c>
      <c r="G960" s="198" t="s">
        <v>632</v>
      </c>
      <c r="H960" s="163" t="s">
        <v>224</v>
      </c>
      <c r="I960" s="161" t="n">
        <v>15</v>
      </c>
      <c r="J960" s="156" t="s">
        <v>185</v>
      </c>
      <c r="K960" s="200" t="n">
        <v>45451.8549074074</v>
      </c>
      <c r="L960" s="1" t="n">
        <v>9</v>
      </c>
      <c r="M960" s="1" t="n">
        <v>11197</v>
      </c>
      <c r="N960" s="1" t="n">
        <v>128</v>
      </c>
    </row>
    <row r="961" customFormat="false" ht="14.25" hidden="false" customHeight="false" outlineLevel="0" collapsed="false">
      <c r="A961" s="1" t="n">
        <v>35</v>
      </c>
      <c r="B961" s="1" t="s">
        <v>702</v>
      </c>
      <c r="C961" s="1" t="s">
        <v>703</v>
      </c>
      <c r="D961" s="1" t="n">
        <v>11197</v>
      </c>
      <c r="E961" s="1" t="s">
        <v>53</v>
      </c>
      <c r="F961" s="201" t="n">
        <v>200025889314</v>
      </c>
      <c r="G961" s="198" t="s">
        <v>632</v>
      </c>
      <c r="H961" s="163" t="s">
        <v>224</v>
      </c>
      <c r="I961" s="161" t="n">
        <v>15</v>
      </c>
      <c r="J961" s="156" t="s">
        <v>185</v>
      </c>
      <c r="K961" s="200" t="n">
        <v>45451.8550115741</v>
      </c>
      <c r="L961" s="1" t="n">
        <v>0</v>
      </c>
      <c r="M961" s="1" t="n">
        <v>11197</v>
      </c>
      <c r="N961" s="1" t="n">
        <v>129</v>
      </c>
    </row>
    <row r="962" customFormat="false" ht="14.25" hidden="false" customHeight="false" outlineLevel="0" collapsed="false">
      <c r="A962" s="1" t="n">
        <v>36</v>
      </c>
      <c r="B962" s="1" t="s">
        <v>702</v>
      </c>
      <c r="C962" s="1" t="s">
        <v>703</v>
      </c>
      <c r="D962" s="1" t="n">
        <v>11197</v>
      </c>
      <c r="E962" s="1" t="s">
        <v>53</v>
      </c>
      <c r="F962" s="201" t="n">
        <v>200025889314</v>
      </c>
      <c r="G962" s="198" t="s">
        <v>632</v>
      </c>
      <c r="H962" s="163" t="s">
        <v>224</v>
      </c>
      <c r="I962" s="161" t="n">
        <v>15</v>
      </c>
      <c r="J962" s="156" t="s">
        <v>185</v>
      </c>
      <c r="K962" s="200" t="n">
        <v>45451.8550231482</v>
      </c>
      <c r="L962" s="1" t="n">
        <v>2</v>
      </c>
      <c r="M962" s="1" t="n">
        <v>11197</v>
      </c>
      <c r="N962" s="1" t="n">
        <v>130</v>
      </c>
    </row>
    <row r="963" customFormat="false" ht="14.25" hidden="false" customHeight="false" outlineLevel="0" collapsed="false">
      <c r="A963" s="1" t="n">
        <v>37</v>
      </c>
      <c r="B963" s="1" t="s">
        <v>702</v>
      </c>
      <c r="C963" s="1" t="s">
        <v>703</v>
      </c>
      <c r="D963" s="1" t="n">
        <v>11197</v>
      </c>
      <c r="E963" s="1" t="s">
        <v>53</v>
      </c>
      <c r="F963" s="201" t="n">
        <v>200025889314</v>
      </c>
      <c r="G963" s="198" t="s">
        <v>632</v>
      </c>
      <c r="H963" s="163" t="s">
        <v>224</v>
      </c>
      <c r="I963" s="161" t="n">
        <v>15</v>
      </c>
      <c r="J963" s="156" t="s">
        <v>185</v>
      </c>
      <c r="K963" s="200" t="n">
        <v>45451.8553125</v>
      </c>
      <c r="L963" s="1" t="n">
        <v>0</v>
      </c>
      <c r="M963" s="1" t="n">
        <v>11197</v>
      </c>
      <c r="N963" s="1" t="n">
        <v>131</v>
      </c>
    </row>
    <row r="964" customFormat="false" ht="14.25" hidden="false" customHeight="false" outlineLevel="0" collapsed="false">
      <c r="A964" s="1" t="n">
        <v>38</v>
      </c>
      <c r="B964" s="1" t="s">
        <v>702</v>
      </c>
      <c r="C964" s="1" t="s">
        <v>703</v>
      </c>
      <c r="D964" s="1" t="n">
        <v>11197</v>
      </c>
      <c r="E964" s="1" t="s">
        <v>53</v>
      </c>
      <c r="F964" s="201" t="n">
        <v>200025889314</v>
      </c>
      <c r="G964" s="198" t="s">
        <v>632</v>
      </c>
      <c r="H964" s="163" t="s">
        <v>224</v>
      </c>
      <c r="I964" s="161" t="n">
        <v>15</v>
      </c>
      <c r="J964" s="156" t="s">
        <v>185</v>
      </c>
      <c r="K964" s="200" t="n">
        <v>45451.8557638889</v>
      </c>
      <c r="L964" s="1" t="n">
        <v>4</v>
      </c>
      <c r="M964" s="1" t="n">
        <v>11197</v>
      </c>
      <c r="N964" s="1" t="n">
        <v>132</v>
      </c>
    </row>
    <row r="965" customFormat="false" ht="14.25" hidden="false" customHeight="false" outlineLevel="0" collapsed="false">
      <c r="A965" s="1" t="n">
        <v>39</v>
      </c>
      <c r="B965" s="1" t="s">
        <v>702</v>
      </c>
      <c r="C965" s="1" t="s">
        <v>703</v>
      </c>
      <c r="D965" s="1" t="n">
        <v>11197</v>
      </c>
      <c r="E965" s="1" t="s">
        <v>53</v>
      </c>
      <c r="F965" s="201" t="n">
        <v>200025889314</v>
      </c>
      <c r="G965" s="198" t="s">
        <v>632</v>
      </c>
      <c r="H965" s="163" t="s">
        <v>224</v>
      </c>
      <c r="I965" s="161" t="n">
        <v>15</v>
      </c>
      <c r="J965" s="156" t="s">
        <v>185</v>
      </c>
      <c r="K965" s="200" t="n">
        <v>45451.8559143519</v>
      </c>
      <c r="L965" s="1" t="n">
        <v>4</v>
      </c>
      <c r="M965" s="1" t="n">
        <v>11197</v>
      </c>
      <c r="N965" s="1" t="n">
        <v>133</v>
      </c>
    </row>
    <row r="966" customFormat="false" ht="14.25" hidden="false" customHeight="false" outlineLevel="0" collapsed="false">
      <c r="A966" s="1" t="n">
        <v>40</v>
      </c>
      <c r="B966" s="1" t="s">
        <v>702</v>
      </c>
      <c r="C966" s="1" t="s">
        <v>703</v>
      </c>
      <c r="D966" s="1" t="n">
        <v>11197</v>
      </c>
      <c r="E966" s="1" t="s">
        <v>53</v>
      </c>
      <c r="F966" s="201" t="n">
        <v>200025889314</v>
      </c>
      <c r="G966" s="198" t="s">
        <v>632</v>
      </c>
      <c r="H966" s="163" t="s">
        <v>224</v>
      </c>
      <c r="I966" s="161" t="n">
        <v>15</v>
      </c>
      <c r="J966" s="156" t="s">
        <v>185</v>
      </c>
      <c r="K966" s="200" t="n">
        <v>45451.8562037037</v>
      </c>
      <c r="L966" s="1" t="n">
        <v>0</v>
      </c>
      <c r="M966" s="1" t="n">
        <v>11197</v>
      </c>
      <c r="N966" s="1" t="n">
        <v>134</v>
      </c>
    </row>
    <row r="967" customFormat="false" ht="14.25" hidden="false" customHeight="false" outlineLevel="0" collapsed="false">
      <c r="A967" s="1" t="n">
        <v>41</v>
      </c>
      <c r="B967" s="1" t="s">
        <v>702</v>
      </c>
      <c r="C967" s="1" t="s">
        <v>703</v>
      </c>
      <c r="D967" s="1" t="n">
        <v>11197</v>
      </c>
      <c r="E967" s="1" t="s">
        <v>53</v>
      </c>
      <c r="F967" s="201" t="n">
        <v>200025889314</v>
      </c>
      <c r="G967" s="198" t="s">
        <v>632</v>
      </c>
      <c r="H967" s="163" t="s">
        <v>224</v>
      </c>
      <c r="I967" s="161" t="n">
        <v>15</v>
      </c>
      <c r="J967" s="156" t="s">
        <v>185</v>
      </c>
      <c r="K967" s="200" t="n">
        <v>45451.8566435185</v>
      </c>
      <c r="L967" s="1" t="n">
        <v>3</v>
      </c>
      <c r="M967" s="1" t="n">
        <v>11197</v>
      </c>
      <c r="N967" s="1" t="n">
        <v>135</v>
      </c>
    </row>
    <row r="968" customFormat="false" ht="14.25" hidden="false" customHeight="false" outlineLevel="0" collapsed="false">
      <c r="A968" s="1" t="n">
        <v>42</v>
      </c>
      <c r="B968" s="1" t="s">
        <v>702</v>
      </c>
      <c r="C968" s="1" t="s">
        <v>703</v>
      </c>
      <c r="D968" s="1" t="n">
        <v>11197</v>
      </c>
      <c r="E968" s="1" t="s">
        <v>53</v>
      </c>
      <c r="F968" s="201" t="n">
        <v>200025889314</v>
      </c>
      <c r="G968" s="198" t="s">
        <v>632</v>
      </c>
      <c r="H968" s="163" t="s">
        <v>224</v>
      </c>
      <c r="I968" s="161" t="n">
        <v>15</v>
      </c>
      <c r="J968" s="156" t="s">
        <v>185</v>
      </c>
      <c r="K968" s="200" t="n">
        <v>45451.8568634259</v>
      </c>
      <c r="L968" s="1" t="n">
        <v>2</v>
      </c>
      <c r="M968" s="1" t="n">
        <v>11197</v>
      </c>
      <c r="N968" s="1" t="n">
        <v>136</v>
      </c>
    </row>
    <row r="969" customFormat="false" ht="14.25" hidden="false" customHeight="false" outlineLevel="0" collapsed="false">
      <c r="A969" s="1" t="n">
        <v>43</v>
      </c>
      <c r="B969" s="1" t="s">
        <v>702</v>
      </c>
      <c r="C969" s="1" t="s">
        <v>703</v>
      </c>
      <c r="D969" s="1" t="n">
        <v>11197</v>
      </c>
      <c r="E969" s="1" t="s">
        <v>53</v>
      </c>
      <c r="F969" s="201" t="n">
        <v>200025889314</v>
      </c>
      <c r="G969" s="198" t="s">
        <v>632</v>
      </c>
      <c r="H969" s="163" t="s">
        <v>224</v>
      </c>
      <c r="I969" s="161" t="n">
        <v>15</v>
      </c>
      <c r="J969" s="156" t="s">
        <v>185</v>
      </c>
      <c r="K969" s="200" t="n">
        <v>45451.8573842593</v>
      </c>
      <c r="L969" s="1" t="n">
        <v>2</v>
      </c>
      <c r="M969" s="1" t="n">
        <v>11197</v>
      </c>
      <c r="N969" s="1" t="n">
        <v>137</v>
      </c>
    </row>
    <row r="970" customFormat="false" ht="14.25" hidden="false" customHeight="false" outlineLevel="0" collapsed="false">
      <c r="A970" s="1" t="n">
        <v>44</v>
      </c>
      <c r="B970" s="1" t="s">
        <v>702</v>
      </c>
      <c r="C970" s="1" t="s">
        <v>703</v>
      </c>
      <c r="D970" s="1" t="n">
        <v>11197</v>
      </c>
      <c r="E970" s="1" t="s">
        <v>53</v>
      </c>
      <c r="F970" s="201" t="n">
        <v>200025889314</v>
      </c>
      <c r="G970" s="198" t="s">
        <v>632</v>
      </c>
      <c r="H970" s="163" t="s">
        <v>224</v>
      </c>
      <c r="I970" s="161" t="n">
        <v>15</v>
      </c>
      <c r="J970" s="156" t="s">
        <v>185</v>
      </c>
      <c r="K970" s="200" t="n">
        <v>45451.8576967593</v>
      </c>
      <c r="L970" s="1" t="n">
        <v>3</v>
      </c>
      <c r="M970" s="1" t="n">
        <v>11197</v>
      </c>
      <c r="N970" s="1" t="n">
        <v>138</v>
      </c>
    </row>
    <row r="971" customFormat="false" ht="14.25" hidden="false" customHeight="false" outlineLevel="0" collapsed="false">
      <c r="A971" s="1" t="n">
        <v>45</v>
      </c>
      <c r="B971" s="1" t="s">
        <v>702</v>
      </c>
      <c r="C971" s="1" t="s">
        <v>703</v>
      </c>
      <c r="D971" s="1" t="n">
        <v>11197</v>
      </c>
      <c r="E971" s="1" t="s">
        <v>53</v>
      </c>
      <c r="F971" s="201" t="n">
        <v>200025889314</v>
      </c>
      <c r="G971" s="198" t="s">
        <v>632</v>
      </c>
      <c r="H971" s="163" t="s">
        <v>224</v>
      </c>
      <c r="I971" s="161" t="n">
        <v>15</v>
      </c>
      <c r="J971" s="156" t="s">
        <v>185</v>
      </c>
      <c r="K971" s="200" t="n">
        <v>45451.8590162037</v>
      </c>
      <c r="L971" s="1" t="n">
        <v>3</v>
      </c>
      <c r="M971" s="1" t="n">
        <v>11197</v>
      </c>
      <c r="N971" s="1" t="n">
        <v>139</v>
      </c>
    </row>
    <row r="972" customFormat="false" ht="14.25" hidden="false" customHeight="false" outlineLevel="0" collapsed="false">
      <c r="A972" s="1" t="n">
        <v>46</v>
      </c>
      <c r="B972" s="1" t="s">
        <v>702</v>
      </c>
      <c r="C972" s="1" t="s">
        <v>703</v>
      </c>
      <c r="D972" s="1" t="n">
        <v>11197</v>
      </c>
      <c r="E972" s="1" t="s">
        <v>53</v>
      </c>
      <c r="F972" s="201" t="n">
        <v>200025889314</v>
      </c>
      <c r="G972" s="198" t="s">
        <v>632</v>
      </c>
      <c r="H972" s="163" t="s">
        <v>224</v>
      </c>
      <c r="I972" s="161" t="n">
        <v>15</v>
      </c>
      <c r="J972" s="156" t="s">
        <v>185</v>
      </c>
      <c r="K972" s="200" t="n">
        <v>45451.8594560185</v>
      </c>
      <c r="L972" s="1" t="n">
        <v>3</v>
      </c>
      <c r="M972" s="1" t="n">
        <v>11197</v>
      </c>
      <c r="N972" s="1" t="n">
        <v>140</v>
      </c>
    </row>
    <row r="973" customFormat="false" ht="14.25" hidden="false" customHeight="false" outlineLevel="0" collapsed="false">
      <c r="A973" s="1" t="n">
        <v>47</v>
      </c>
      <c r="B973" s="1" t="s">
        <v>702</v>
      </c>
      <c r="C973" s="1" t="s">
        <v>703</v>
      </c>
      <c r="D973" s="1" t="n">
        <v>11197</v>
      </c>
      <c r="E973" s="1" t="s">
        <v>53</v>
      </c>
      <c r="F973" s="201" t="n">
        <v>200025889314</v>
      </c>
      <c r="G973" s="198" t="s">
        <v>632</v>
      </c>
      <c r="H973" s="163" t="s">
        <v>224</v>
      </c>
      <c r="I973" s="161" t="n">
        <v>15</v>
      </c>
      <c r="J973" s="156" t="s">
        <v>185</v>
      </c>
      <c r="K973" s="200" t="n">
        <v>45451.8603819445</v>
      </c>
      <c r="L973" s="1" t="n">
        <v>1</v>
      </c>
      <c r="M973" s="1" t="n">
        <v>11197</v>
      </c>
      <c r="N973" s="1" t="n">
        <v>141</v>
      </c>
    </row>
    <row r="974" customFormat="false" ht="14.25" hidden="false" customHeight="false" outlineLevel="0" collapsed="false">
      <c r="A974" s="1" t="n">
        <v>48</v>
      </c>
      <c r="B974" s="1" t="s">
        <v>702</v>
      </c>
      <c r="C974" s="1" t="s">
        <v>703</v>
      </c>
      <c r="D974" s="1" t="n">
        <v>11197</v>
      </c>
      <c r="E974" s="1" t="s">
        <v>53</v>
      </c>
      <c r="F974" s="201" t="n">
        <v>200025889314</v>
      </c>
      <c r="G974" s="198" t="s">
        <v>632</v>
      </c>
      <c r="H974" s="163" t="s">
        <v>224</v>
      </c>
      <c r="I974" s="161" t="n">
        <v>15</v>
      </c>
      <c r="J974" s="156" t="s">
        <v>185</v>
      </c>
      <c r="K974" s="200" t="n">
        <v>45451.8610532407</v>
      </c>
      <c r="L974" s="1" t="n">
        <v>1</v>
      </c>
      <c r="M974" s="1" t="n">
        <v>11197</v>
      </c>
      <c r="N974" s="1" t="n">
        <v>142</v>
      </c>
    </row>
    <row r="975" customFormat="false" ht="14.25" hidden="false" customHeight="false" outlineLevel="0" collapsed="false">
      <c r="A975" s="1" t="n">
        <v>49</v>
      </c>
      <c r="B975" s="1" t="s">
        <v>702</v>
      </c>
      <c r="C975" s="1" t="s">
        <v>703</v>
      </c>
      <c r="D975" s="1" t="n">
        <v>11197</v>
      </c>
      <c r="E975" s="1" t="s">
        <v>53</v>
      </c>
      <c r="F975" s="201" t="n">
        <v>200025889314</v>
      </c>
      <c r="G975" s="198" t="s">
        <v>632</v>
      </c>
      <c r="H975" s="163" t="s">
        <v>224</v>
      </c>
      <c r="I975" s="161" t="n">
        <v>15</v>
      </c>
      <c r="J975" s="156" t="s">
        <v>185</v>
      </c>
      <c r="K975" s="200" t="n">
        <v>45451.8617361111</v>
      </c>
      <c r="L975" s="1" t="n">
        <v>1</v>
      </c>
      <c r="M975" s="1" t="n">
        <v>11197</v>
      </c>
      <c r="N975" s="1" t="n">
        <v>143</v>
      </c>
    </row>
    <row r="976" customFormat="false" ht="14.25" hidden="false" customHeight="false" outlineLevel="0" collapsed="false">
      <c r="A976" s="1" t="n">
        <v>50</v>
      </c>
      <c r="B976" s="1" t="s">
        <v>702</v>
      </c>
      <c r="C976" s="1" t="s">
        <v>703</v>
      </c>
      <c r="D976" s="1" t="n">
        <v>11197</v>
      </c>
      <c r="E976" s="1" t="s">
        <v>53</v>
      </c>
      <c r="F976" s="201" t="n">
        <v>200025889314</v>
      </c>
      <c r="G976" s="198" t="s">
        <v>632</v>
      </c>
      <c r="H976" s="163" t="s">
        <v>224</v>
      </c>
      <c r="I976" s="161" t="n">
        <v>15</v>
      </c>
      <c r="J976" s="156" t="s">
        <v>185</v>
      </c>
      <c r="K976" s="200" t="n">
        <v>45451.8617592593</v>
      </c>
      <c r="L976" s="1" t="n">
        <v>0</v>
      </c>
      <c r="M976" s="1" t="n">
        <v>11197</v>
      </c>
      <c r="N976" s="1" t="n">
        <v>144</v>
      </c>
    </row>
    <row r="977" customFormat="false" ht="14.25" hidden="false" customHeight="false" outlineLevel="0" collapsed="false">
      <c r="A977" s="1" t="n">
        <v>51</v>
      </c>
      <c r="B977" s="1" t="s">
        <v>702</v>
      </c>
      <c r="C977" s="1" t="s">
        <v>703</v>
      </c>
      <c r="D977" s="1" t="n">
        <v>11197</v>
      </c>
      <c r="E977" s="1" t="s">
        <v>53</v>
      </c>
      <c r="F977" s="201" t="n">
        <v>200025889314</v>
      </c>
      <c r="G977" s="198" t="s">
        <v>632</v>
      </c>
      <c r="H977" s="163" t="s">
        <v>224</v>
      </c>
      <c r="I977" s="161" t="n">
        <v>15</v>
      </c>
      <c r="J977" s="156" t="s">
        <v>185</v>
      </c>
      <c r="K977" s="200" t="n">
        <v>45451.8621875</v>
      </c>
      <c r="L977" s="1" t="n">
        <v>2</v>
      </c>
      <c r="M977" s="1" t="n">
        <v>11197</v>
      </c>
      <c r="N977" s="1" t="n">
        <v>145</v>
      </c>
    </row>
    <row r="978" customFormat="false" ht="14.25" hidden="false" customHeight="false" outlineLevel="0" collapsed="false">
      <c r="A978" s="1" t="n">
        <v>52</v>
      </c>
      <c r="B978" s="1" t="s">
        <v>702</v>
      </c>
      <c r="C978" s="1" t="s">
        <v>703</v>
      </c>
      <c r="D978" s="1" t="n">
        <v>11197</v>
      </c>
      <c r="E978" s="1" t="s">
        <v>53</v>
      </c>
      <c r="F978" s="201" t="n">
        <v>200025889314</v>
      </c>
      <c r="G978" s="198" t="s">
        <v>632</v>
      </c>
      <c r="H978" s="163" t="s">
        <v>224</v>
      </c>
      <c r="I978" s="161" t="n">
        <v>15</v>
      </c>
      <c r="J978" s="156" t="s">
        <v>185</v>
      </c>
      <c r="K978" s="200" t="n">
        <v>45451.863275463</v>
      </c>
      <c r="L978" s="1" t="n">
        <v>2</v>
      </c>
      <c r="M978" s="1" t="n">
        <v>11197</v>
      </c>
      <c r="N978" s="1" t="n">
        <v>146</v>
      </c>
    </row>
    <row r="979" customFormat="false" ht="14.25" hidden="false" customHeight="false" outlineLevel="0" collapsed="false">
      <c r="A979" s="1" t="n">
        <v>53</v>
      </c>
      <c r="B979" s="1" t="s">
        <v>702</v>
      </c>
      <c r="C979" s="1" t="s">
        <v>703</v>
      </c>
      <c r="D979" s="1" t="n">
        <v>11197</v>
      </c>
      <c r="E979" s="1" t="s">
        <v>53</v>
      </c>
      <c r="F979" s="201" t="n">
        <v>200025889314</v>
      </c>
      <c r="G979" s="198" t="s">
        <v>632</v>
      </c>
      <c r="H979" s="163" t="s">
        <v>224</v>
      </c>
      <c r="I979" s="161" t="n">
        <v>15</v>
      </c>
      <c r="J979" s="156" t="s">
        <v>185</v>
      </c>
      <c r="K979" s="200" t="n">
        <v>45451.864212963</v>
      </c>
      <c r="L979" s="1" t="n">
        <v>26</v>
      </c>
      <c r="M979" s="1" t="n">
        <v>11197</v>
      </c>
      <c r="N979" s="1" t="n">
        <v>147</v>
      </c>
    </row>
    <row r="980" customFormat="false" ht="14.25" hidden="false" customHeight="false" outlineLevel="0" collapsed="false">
      <c r="A980" s="1" t="n">
        <v>54</v>
      </c>
      <c r="B980" s="1" t="s">
        <v>702</v>
      </c>
      <c r="C980" s="1" t="s">
        <v>703</v>
      </c>
      <c r="D980" s="1" t="n">
        <v>11197</v>
      </c>
      <c r="E980" s="1" t="s">
        <v>53</v>
      </c>
      <c r="F980" s="201" t="n">
        <v>200025889314</v>
      </c>
      <c r="G980" s="198" t="s">
        <v>632</v>
      </c>
      <c r="H980" s="163" t="s">
        <v>224</v>
      </c>
      <c r="I980" s="161" t="n">
        <v>15</v>
      </c>
      <c r="J980" s="156" t="s">
        <v>185</v>
      </c>
      <c r="K980" s="200" t="n">
        <v>45451.8943055556</v>
      </c>
      <c r="L980" s="1" t="n">
        <v>2</v>
      </c>
      <c r="M980" s="1" t="n">
        <v>11197</v>
      </c>
      <c r="N980" s="1" t="n">
        <v>148</v>
      </c>
    </row>
    <row r="981" customFormat="false" ht="14.25" hidden="false" customHeight="false" outlineLevel="0" collapsed="false">
      <c r="A981" s="1" t="n">
        <v>55</v>
      </c>
      <c r="B981" s="1" t="s">
        <v>702</v>
      </c>
      <c r="C981" s="1" t="s">
        <v>703</v>
      </c>
      <c r="D981" s="1" t="n">
        <v>11197</v>
      </c>
      <c r="E981" s="1" t="s">
        <v>53</v>
      </c>
      <c r="F981" s="201" t="n">
        <v>200025889314</v>
      </c>
      <c r="G981" s="198" t="s">
        <v>632</v>
      </c>
      <c r="H981" s="163" t="s">
        <v>224</v>
      </c>
      <c r="I981" s="161" t="n">
        <v>15</v>
      </c>
      <c r="J981" s="156" t="s">
        <v>185</v>
      </c>
      <c r="K981" s="200" t="n">
        <v>45451.8978819444</v>
      </c>
      <c r="L981" s="207" t="n">
        <v>68</v>
      </c>
      <c r="M981" s="1" t="n">
        <v>11197</v>
      </c>
      <c r="N981" s="1" t="n">
        <v>149</v>
      </c>
    </row>
    <row r="982" customFormat="false" ht="14.25" hidden="false" customHeight="false" outlineLevel="0" collapsed="false">
      <c r="A982" s="1" t="n">
        <v>56</v>
      </c>
      <c r="B982" s="1" t="s">
        <v>702</v>
      </c>
      <c r="C982" s="1" t="s">
        <v>703</v>
      </c>
      <c r="D982" s="1" t="n">
        <v>11197</v>
      </c>
      <c r="E982" s="1" t="s">
        <v>53</v>
      </c>
      <c r="F982" s="201" t="n">
        <v>200025889314</v>
      </c>
      <c r="G982" s="198" t="s">
        <v>632</v>
      </c>
      <c r="H982" s="163" t="s">
        <v>224</v>
      </c>
      <c r="I982" s="161" t="n">
        <v>15</v>
      </c>
      <c r="J982" s="156" t="s">
        <v>185</v>
      </c>
      <c r="K982" s="200" t="n">
        <v>45451.8986689815</v>
      </c>
      <c r="L982" s="1" t="n">
        <v>1</v>
      </c>
      <c r="M982" s="1" t="n">
        <v>11197</v>
      </c>
      <c r="N982" s="1" t="n">
        <v>150</v>
      </c>
    </row>
    <row r="983" customFormat="false" ht="14.25" hidden="false" customHeight="false" outlineLevel="0" collapsed="false">
      <c r="A983" s="1" t="n">
        <v>57</v>
      </c>
      <c r="B983" s="1" t="s">
        <v>702</v>
      </c>
      <c r="C983" s="1" t="s">
        <v>703</v>
      </c>
      <c r="D983" s="1" t="n">
        <v>11197</v>
      </c>
      <c r="E983" s="1" t="s">
        <v>53</v>
      </c>
      <c r="F983" s="201" t="n">
        <v>200025889314</v>
      </c>
      <c r="G983" s="198" t="s">
        <v>632</v>
      </c>
      <c r="H983" s="163" t="s">
        <v>224</v>
      </c>
      <c r="I983" s="161" t="n">
        <v>15</v>
      </c>
      <c r="J983" s="156" t="s">
        <v>185</v>
      </c>
      <c r="K983" s="200" t="n">
        <v>45451.8991087963</v>
      </c>
      <c r="L983" s="1" t="n">
        <v>0</v>
      </c>
      <c r="M983" s="1" t="n">
        <v>11197</v>
      </c>
      <c r="N983" s="1" t="n">
        <v>151</v>
      </c>
    </row>
    <row r="984" customFormat="false" ht="14.25" hidden="false" customHeight="false" outlineLevel="0" collapsed="false">
      <c r="A984" s="1" t="n">
        <v>58</v>
      </c>
      <c r="B984" s="1" t="s">
        <v>702</v>
      </c>
      <c r="C984" s="1" t="s">
        <v>703</v>
      </c>
      <c r="D984" s="1" t="n">
        <v>11197</v>
      </c>
      <c r="E984" s="1" t="s">
        <v>53</v>
      </c>
      <c r="F984" s="201" t="n">
        <v>200025889314</v>
      </c>
      <c r="G984" s="198" t="s">
        <v>632</v>
      </c>
      <c r="H984" s="163" t="s">
        <v>224</v>
      </c>
      <c r="I984" s="161" t="n">
        <v>15</v>
      </c>
      <c r="J984" s="156" t="s">
        <v>185</v>
      </c>
      <c r="K984" s="200" t="n">
        <v>45451.9837268519</v>
      </c>
      <c r="L984" s="1" t="n">
        <v>1</v>
      </c>
      <c r="M984" s="1" t="n">
        <v>11197</v>
      </c>
      <c r="N984" s="1" t="n">
        <v>152</v>
      </c>
    </row>
    <row r="985" customFormat="false" ht="14.25" hidden="false" customHeight="false" outlineLevel="0" collapsed="false">
      <c r="A985" s="1" t="n">
        <v>59</v>
      </c>
      <c r="B985" s="1" t="s">
        <v>702</v>
      </c>
      <c r="C985" s="1" t="s">
        <v>703</v>
      </c>
      <c r="D985" s="1" t="n">
        <v>11197</v>
      </c>
      <c r="E985" s="1" t="s">
        <v>53</v>
      </c>
      <c r="F985" s="201" t="n">
        <v>200025889314</v>
      </c>
      <c r="G985" s="198" t="s">
        <v>632</v>
      </c>
      <c r="H985" s="163" t="s">
        <v>224</v>
      </c>
      <c r="I985" s="161" t="n">
        <v>15</v>
      </c>
      <c r="J985" s="156" t="s">
        <v>185</v>
      </c>
      <c r="K985" s="200" t="n">
        <v>45451.9839351852</v>
      </c>
      <c r="L985" s="1" t="n">
        <v>1</v>
      </c>
      <c r="M985" s="1" t="n">
        <v>11197</v>
      </c>
      <c r="N985" s="1" t="n">
        <v>153</v>
      </c>
    </row>
    <row r="986" customFormat="false" ht="14.25" hidden="false" customHeight="false" outlineLevel="0" collapsed="false">
      <c r="A986" s="1" t="n">
        <v>60</v>
      </c>
      <c r="B986" s="1" t="s">
        <v>702</v>
      </c>
      <c r="C986" s="1" t="s">
        <v>703</v>
      </c>
      <c r="D986" s="1" t="n">
        <v>11197</v>
      </c>
      <c r="E986" s="1" t="s">
        <v>53</v>
      </c>
      <c r="F986" s="201" t="n">
        <v>200025889314</v>
      </c>
      <c r="G986" s="198" t="s">
        <v>632</v>
      </c>
      <c r="H986" s="163" t="s">
        <v>224</v>
      </c>
      <c r="I986" s="161" t="n">
        <v>15</v>
      </c>
      <c r="J986" s="156" t="s">
        <v>185</v>
      </c>
      <c r="K986" s="200" t="n">
        <v>45451.9853587963</v>
      </c>
      <c r="L986" s="1" t="n">
        <v>2</v>
      </c>
      <c r="M986" s="1" t="n">
        <v>11197</v>
      </c>
      <c r="N986" s="1" t="n">
        <v>154</v>
      </c>
    </row>
    <row r="987" customFormat="false" ht="14.25" hidden="false" customHeight="false" outlineLevel="0" collapsed="false">
      <c r="A987" s="1" t="n">
        <v>61</v>
      </c>
      <c r="B987" s="1" t="s">
        <v>702</v>
      </c>
      <c r="C987" s="1" t="s">
        <v>703</v>
      </c>
      <c r="D987" s="1" t="n">
        <v>11197</v>
      </c>
      <c r="E987" s="1" t="s">
        <v>53</v>
      </c>
      <c r="F987" s="201" t="n">
        <v>200025889314</v>
      </c>
      <c r="G987" s="198" t="s">
        <v>632</v>
      </c>
      <c r="H987" s="163" t="s">
        <v>224</v>
      </c>
      <c r="I987" s="161" t="n">
        <v>15</v>
      </c>
      <c r="J987" s="156" t="s">
        <v>185</v>
      </c>
      <c r="K987" s="200" t="n">
        <v>45451.9858564815</v>
      </c>
      <c r="L987" s="1" t="n">
        <v>2</v>
      </c>
      <c r="M987" s="1" t="n">
        <v>11197</v>
      </c>
      <c r="N987" s="1" t="n">
        <v>155</v>
      </c>
    </row>
    <row r="988" customFormat="false" ht="14.25" hidden="false" customHeight="false" outlineLevel="0" collapsed="false">
      <c r="A988" s="1" t="n">
        <v>62</v>
      </c>
      <c r="B988" s="1" t="s">
        <v>702</v>
      </c>
      <c r="C988" s="1" t="s">
        <v>703</v>
      </c>
      <c r="D988" s="1" t="n">
        <v>11197</v>
      </c>
      <c r="E988" s="1" t="s">
        <v>53</v>
      </c>
      <c r="F988" s="201" t="n">
        <v>200025889314</v>
      </c>
      <c r="G988" s="198" t="s">
        <v>632</v>
      </c>
      <c r="H988" s="163" t="s">
        <v>224</v>
      </c>
      <c r="I988" s="161" t="n">
        <v>15</v>
      </c>
      <c r="J988" s="156" t="s">
        <v>185</v>
      </c>
      <c r="K988" s="200" t="n">
        <v>45451.9861111111</v>
      </c>
      <c r="L988" s="1" t="n">
        <v>1</v>
      </c>
      <c r="M988" s="1" t="n">
        <v>11197</v>
      </c>
      <c r="N988" s="1" t="n">
        <v>156</v>
      </c>
    </row>
    <row r="989" customFormat="false" ht="14.25" hidden="false" customHeight="false" outlineLevel="0" collapsed="false">
      <c r="A989" s="1" t="n">
        <v>63</v>
      </c>
      <c r="B989" s="1" t="s">
        <v>702</v>
      </c>
      <c r="C989" s="1" t="s">
        <v>703</v>
      </c>
      <c r="D989" s="1" t="n">
        <v>11197</v>
      </c>
      <c r="E989" s="1" t="s">
        <v>53</v>
      </c>
      <c r="F989" s="201" t="n">
        <v>200025889314</v>
      </c>
      <c r="G989" s="198" t="s">
        <v>632</v>
      </c>
      <c r="H989" s="163" t="s">
        <v>224</v>
      </c>
      <c r="I989" s="161" t="n">
        <v>15</v>
      </c>
      <c r="J989" s="156" t="s">
        <v>185</v>
      </c>
      <c r="K989" s="200" t="n">
        <v>45451.9861342593</v>
      </c>
      <c r="L989" s="1" t="n">
        <v>0</v>
      </c>
      <c r="M989" s="1" t="n">
        <v>11197</v>
      </c>
      <c r="N989" s="1" t="n">
        <v>157</v>
      </c>
    </row>
    <row r="990" customFormat="false" ht="14.25" hidden="false" customHeight="false" outlineLevel="0" collapsed="false">
      <c r="A990" s="1" t="n">
        <v>64</v>
      </c>
      <c r="B990" s="1" t="s">
        <v>702</v>
      </c>
      <c r="C990" s="1" t="s">
        <v>703</v>
      </c>
      <c r="D990" s="1" t="n">
        <v>11197</v>
      </c>
      <c r="E990" s="1" t="s">
        <v>53</v>
      </c>
      <c r="F990" s="201" t="n">
        <v>200025889314</v>
      </c>
      <c r="G990" s="198" t="s">
        <v>632</v>
      </c>
      <c r="H990" s="163" t="s">
        <v>224</v>
      </c>
      <c r="I990" s="161" t="n">
        <v>15</v>
      </c>
      <c r="J990" s="156" t="s">
        <v>185</v>
      </c>
      <c r="K990" s="200" t="n">
        <v>45451.9869328704</v>
      </c>
      <c r="L990" s="1" t="n">
        <v>1</v>
      </c>
      <c r="M990" s="1" t="n">
        <v>11197</v>
      </c>
      <c r="N990" s="1" t="n">
        <v>158</v>
      </c>
    </row>
    <row r="991" customFormat="false" ht="14.25" hidden="false" customHeight="false" outlineLevel="0" collapsed="false">
      <c r="A991" s="1" t="n">
        <v>65</v>
      </c>
      <c r="B991" s="1" t="s">
        <v>702</v>
      </c>
      <c r="C991" s="1" t="s">
        <v>703</v>
      </c>
      <c r="D991" s="1" t="n">
        <v>11197</v>
      </c>
      <c r="E991" s="1" t="s">
        <v>53</v>
      </c>
      <c r="F991" s="201" t="n">
        <v>200025889314</v>
      </c>
      <c r="G991" s="198" t="s">
        <v>632</v>
      </c>
      <c r="H991" s="163" t="s">
        <v>224</v>
      </c>
      <c r="I991" s="161" t="n">
        <v>15</v>
      </c>
      <c r="J991" s="156" t="s">
        <v>185</v>
      </c>
      <c r="K991" s="200" t="n">
        <v>45451.9896064815</v>
      </c>
      <c r="L991" s="1" t="n">
        <v>1</v>
      </c>
      <c r="M991" s="1" t="n">
        <v>11197</v>
      </c>
      <c r="N991" s="1" t="n">
        <v>159</v>
      </c>
    </row>
    <row r="992" customFormat="false" ht="14.25" hidden="false" customHeight="false" outlineLevel="0" collapsed="false">
      <c r="A992" s="1" t="n">
        <v>66</v>
      </c>
      <c r="B992" s="1" t="s">
        <v>702</v>
      </c>
      <c r="C992" s="1" t="s">
        <v>703</v>
      </c>
      <c r="D992" s="1" t="n">
        <v>11197</v>
      </c>
      <c r="E992" s="1" t="s">
        <v>53</v>
      </c>
      <c r="F992" s="201" t="n">
        <v>200025889314</v>
      </c>
      <c r="G992" s="198" t="s">
        <v>632</v>
      </c>
      <c r="H992" s="163" t="s">
        <v>224</v>
      </c>
      <c r="I992" s="161" t="n">
        <v>15</v>
      </c>
      <c r="J992" s="156" t="s">
        <v>185</v>
      </c>
      <c r="K992" s="200" t="n">
        <v>45451.990162037</v>
      </c>
      <c r="L992" s="1" t="n">
        <v>3</v>
      </c>
      <c r="M992" s="1" t="n">
        <v>11197</v>
      </c>
      <c r="N992" s="1" t="n">
        <v>160</v>
      </c>
    </row>
    <row r="993" customFormat="false" ht="14.25" hidden="false" customHeight="false" outlineLevel="0" collapsed="false">
      <c r="A993" s="1" t="n">
        <v>67</v>
      </c>
      <c r="B993" s="1" t="s">
        <v>702</v>
      </c>
      <c r="C993" s="1" t="s">
        <v>703</v>
      </c>
      <c r="D993" s="1" t="n">
        <v>11197</v>
      </c>
      <c r="E993" s="1" t="s">
        <v>53</v>
      </c>
      <c r="F993" s="201" t="n">
        <v>200025889314</v>
      </c>
      <c r="G993" s="198" t="s">
        <v>632</v>
      </c>
      <c r="H993" s="163" t="s">
        <v>224</v>
      </c>
      <c r="I993" s="161" t="n">
        <v>15</v>
      </c>
      <c r="J993" s="156" t="s">
        <v>185</v>
      </c>
      <c r="K993" s="200" t="n">
        <v>45451.9912384259</v>
      </c>
      <c r="L993" s="1" t="n">
        <v>1</v>
      </c>
      <c r="M993" s="1" t="n">
        <v>11197</v>
      </c>
      <c r="N993" s="1" t="n">
        <v>161</v>
      </c>
    </row>
    <row r="994" customFormat="false" ht="14.25" hidden="false" customHeight="false" outlineLevel="0" collapsed="false">
      <c r="A994" s="1" t="n">
        <v>68</v>
      </c>
      <c r="B994" s="1" t="s">
        <v>702</v>
      </c>
      <c r="C994" s="1" t="s">
        <v>703</v>
      </c>
      <c r="D994" s="1" t="n">
        <v>11197</v>
      </c>
      <c r="E994" s="1" t="s">
        <v>53</v>
      </c>
      <c r="F994" s="201" t="n">
        <v>200025889314</v>
      </c>
      <c r="G994" s="198" t="s">
        <v>632</v>
      </c>
      <c r="H994" s="163" t="s">
        <v>224</v>
      </c>
      <c r="I994" s="161" t="n">
        <v>15</v>
      </c>
      <c r="J994" s="156" t="s">
        <v>185</v>
      </c>
      <c r="K994" s="200" t="n">
        <v>45451.99125</v>
      </c>
      <c r="L994" s="1" t="n">
        <v>18</v>
      </c>
      <c r="M994" s="1" t="n">
        <v>11197</v>
      </c>
      <c r="N994" s="1" t="n">
        <v>162</v>
      </c>
    </row>
    <row r="995" customFormat="false" ht="14.25" hidden="false" customHeight="false" outlineLevel="0" collapsed="false">
      <c r="A995" s="1" t="n">
        <v>69</v>
      </c>
      <c r="B995" s="1" t="s">
        <v>702</v>
      </c>
      <c r="C995" s="1" t="s">
        <v>703</v>
      </c>
      <c r="D995" s="1" t="n">
        <v>11197</v>
      </c>
      <c r="E995" s="1" t="s">
        <v>53</v>
      </c>
      <c r="F995" s="201" t="n">
        <v>200025889314</v>
      </c>
      <c r="G995" s="198" t="s">
        <v>632</v>
      </c>
      <c r="H995" s="163" t="s">
        <v>224</v>
      </c>
      <c r="I995" s="161" t="n">
        <v>15</v>
      </c>
      <c r="J995" s="156" t="s">
        <v>185</v>
      </c>
      <c r="K995" s="200" t="n">
        <v>45451.9914583333</v>
      </c>
      <c r="L995" s="1" t="n">
        <v>39</v>
      </c>
      <c r="M995" s="1" t="n">
        <v>11197</v>
      </c>
      <c r="N995" s="1" t="n">
        <v>163</v>
      </c>
    </row>
    <row r="996" customFormat="false" ht="14.25" hidden="false" customHeight="false" outlineLevel="0" collapsed="false">
      <c r="A996" s="1" t="n">
        <v>70</v>
      </c>
      <c r="B996" s="1" t="s">
        <v>702</v>
      </c>
      <c r="C996" s="1" t="s">
        <v>703</v>
      </c>
      <c r="D996" s="1" t="n">
        <v>11197</v>
      </c>
      <c r="E996" s="1" t="s">
        <v>53</v>
      </c>
      <c r="F996" s="201" t="n">
        <v>200025889314</v>
      </c>
      <c r="G996" s="198" t="s">
        <v>632</v>
      </c>
      <c r="H996" s="163" t="s">
        <v>224</v>
      </c>
      <c r="I996" s="161" t="n">
        <v>15</v>
      </c>
      <c r="J996" s="156" t="s">
        <v>185</v>
      </c>
      <c r="K996" s="200" t="n">
        <v>45451.9919097222</v>
      </c>
      <c r="L996" s="1" t="n">
        <v>0</v>
      </c>
      <c r="M996" s="1" t="n">
        <v>11197</v>
      </c>
      <c r="N996" s="1" t="n">
        <v>164</v>
      </c>
    </row>
    <row r="997" customFormat="false" ht="14.25" hidden="false" customHeight="false" outlineLevel="0" collapsed="false">
      <c r="A997" s="1" t="n">
        <v>71</v>
      </c>
      <c r="B997" s="1" t="s">
        <v>702</v>
      </c>
      <c r="C997" s="1" t="s">
        <v>703</v>
      </c>
      <c r="D997" s="1" t="n">
        <v>11197</v>
      </c>
      <c r="E997" s="1" t="s">
        <v>53</v>
      </c>
      <c r="F997" s="201" t="n">
        <v>200025889314</v>
      </c>
      <c r="G997" s="198" t="s">
        <v>632</v>
      </c>
      <c r="H997" s="163" t="s">
        <v>224</v>
      </c>
      <c r="I997" s="161" t="n">
        <v>15</v>
      </c>
      <c r="J997" s="156" t="s">
        <v>185</v>
      </c>
      <c r="K997" s="200" t="n">
        <v>45451.9922685185</v>
      </c>
      <c r="L997" s="1" t="n">
        <v>3</v>
      </c>
      <c r="M997" s="1" t="n">
        <v>11197</v>
      </c>
      <c r="N997" s="1" t="n">
        <v>165</v>
      </c>
    </row>
    <row r="998" customFormat="false" ht="14.25" hidden="false" customHeight="false" outlineLevel="0" collapsed="false">
      <c r="A998" s="1" t="n">
        <v>72</v>
      </c>
      <c r="B998" s="1" t="s">
        <v>702</v>
      </c>
      <c r="C998" s="1" t="s">
        <v>703</v>
      </c>
      <c r="D998" s="1" t="n">
        <v>11197</v>
      </c>
      <c r="E998" s="1" t="s">
        <v>53</v>
      </c>
      <c r="F998" s="201" t="n">
        <v>200025889314</v>
      </c>
      <c r="G998" s="198" t="s">
        <v>632</v>
      </c>
      <c r="H998" s="163" t="s">
        <v>224</v>
      </c>
      <c r="I998" s="161" t="n">
        <v>15</v>
      </c>
      <c r="J998" s="156" t="s">
        <v>185</v>
      </c>
      <c r="K998" s="200" t="n">
        <v>45451.9936921296</v>
      </c>
      <c r="L998" s="1" t="n">
        <v>48</v>
      </c>
      <c r="M998" s="1" t="n">
        <v>11197</v>
      </c>
      <c r="N998" s="1" t="n">
        <v>166</v>
      </c>
    </row>
    <row r="999" customFormat="false" ht="14.25" hidden="false" customHeight="false" outlineLevel="0" collapsed="false">
      <c r="A999" s="1" t="n">
        <v>73</v>
      </c>
      <c r="B999" s="1" t="s">
        <v>702</v>
      </c>
      <c r="C999" s="1" t="s">
        <v>703</v>
      </c>
      <c r="D999" s="1" t="n">
        <v>11197</v>
      </c>
      <c r="E999" s="1" t="s">
        <v>53</v>
      </c>
      <c r="F999" s="201" t="n">
        <v>200025889314</v>
      </c>
      <c r="G999" s="198" t="s">
        <v>632</v>
      </c>
      <c r="H999" s="163" t="s">
        <v>224</v>
      </c>
      <c r="I999" s="161" t="n">
        <v>15</v>
      </c>
      <c r="J999" s="156" t="s">
        <v>185</v>
      </c>
      <c r="K999" s="200" t="n">
        <v>45451.9943634259</v>
      </c>
      <c r="L999" s="1" t="n">
        <v>2</v>
      </c>
      <c r="M999" s="1" t="n">
        <v>11197</v>
      </c>
      <c r="N999" s="1" t="n">
        <v>167</v>
      </c>
    </row>
    <row r="1000" customFormat="false" ht="14.25" hidden="false" customHeight="false" outlineLevel="0" collapsed="false">
      <c r="A1000" s="1" t="n">
        <v>74</v>
      </c>
      <c r="B1000" s="1" t="s">
        <v>702</v>
      </c>
      <c r="C1000" s="1" t="s">
        <v>703</v>
      </c>
      <c r="D1000" s="1" t="n">
        <v>11197</v>
      </c>
      <c r="E1000" s="1" t="s">
        <v>53</v>
      </c>
      <c r="F1000" s="201" t="n">
        <v>200025889314</v>
      </c>
      <c r="G1000" s="198" t="s">
        <v>632</v>
      </c>
      <c r="H1000" s="163" t="s">
        <v>224</v>
      </c>
      <c r="I1000" s="161" t="n">
        <v>15</v>
      </c>
      <c r="J1000" s="156" t="s">
        <v>185</v>
      </c>
      <c r="K1000" s="200" t="n">
        <v>45451.9945833333</v>
      </c>
      <c r="L1000" s="1" t="n">
        <v>1</v>
      </c>
      <c r="M1000" s="1" t="n">
        <v>11197</v>
      </c>
      <c r="N1000" s="1" t="n">
        <v>168</v>
      </c>
    </row>
    <row r="1001" customFormat="false" ht="14.25" hidden="false" customHeight="false" outlineLevel="0" collapsed="false">
      <c r="A1001" s="1" t="n">
        <v>75</v>
      </c>
      <c r="B1001" s="1" t="s">
        <v>702</v>
      </c>
      <c r="C1001" s="1" t="s">
        <v>703</v>
      </c>
      <c r="D1001" s="1" t="n">
        <v>11197</v>
      </c>
      <c r="E1001" s="1" t="s">
        <v>53</v>
      </c>
      <c r="F1001" s="201" t="n">
        <v>200025889314</v>
      </c>
      <c r="G1001" s="198" t="s">
        <v>632</v>
      </c>
      <c r="H1001" s="163" t="s">
        <v>224</v>
      </c>
      <c r="I1001" s="161" t="n">
        <v>15</v>
      </c>
      <c r="J1001" s="156" t="s">
        <v>185</v>
      </c>
      <c r="K1001" s="200" t="n">
        <v>45451.9946064815</v>
      </c>
      <c r="L1001" s="1" t="n">
        <v>40</v>
      </c>
      <c r="M1001" s="1" t="n">
        <v>11197</v>
      </c>
      <c r="N1001" s="1" t="n">
        <v>169</v>
      </c>
    </row>
    <row r="1002" customFormat="false" ht="14.25" hidden="false" customHeight="false" outlineLevel="0" collapsed="false">
      <c r="A1002" s="1" t="n">
        <v>76</v>
      </c>
      <c r="B1002" s="1" t="s">
        <v>702</v>
      </c>
      <c r="C1002" s="1" t="s">
        <v>703</v>
      </c>
      <c r="D1002" s="1" t="n">
        <v>11197</v>
      </c>
      <c r="E1002" s="1" t="s">
        <v>53</v>
      </c>
      <c r="F1002" s="201" t="n">
        <v>200025889314</v>
      </c>
      <c r="G1002" s="198" t="s">
        <v>632</v>
      </c>
      <c r="H1002" s="163" t="s">
        <v>224</v>
      </c>
      <c r="I1002" s="161" t="n">
        <v>15</v>
      </c>
      <c r="J1002" s="156" t="s">
        <v>185</v>
      </c>
      <c r="K1002" s="200" t="n">
        <v>45451.9956481482</v>
      </c>
      <c r="L1002" s="1" t="n">
        <v>1</v>
      </c>
      <c r="M1002" s="1" t="n">
        <v>11197</v>
      </c>
      <c r="N1002" s="1" t="n">
        <v>170</v>
      </c>
    </row>
    <row r="1003" customFormat="false" ht="14.25" hidden="false" customHeight="false" outlineLevel="0" collapsed="false">
      <c r="A1003" s="1" t="n">
        <v>77</v>
      </c>
      <c r="B1003" s="1" t="s">
        <v>702</v>
      </c>
      <c r="C1003" s="1" t="s">
        <v>703</v>
      </c>
      <c r="D1003" s="1" t="n">
        <v>11197</v>
      </c>
      <c r="E1003" s="1" t="s">
        <v>53</v>
      </c>
      <c r="F1003" s="201" t="n">
        <v>200025889314</v>
      </c>
      <c r="G1003" s="198" t="s">
        <v>632</v>
      </c>
      <c r="H1003" s="163" t="s">
        <v>224</v>
      </c>
      <c r="I1003" s="161" t="n">
        <v>15</v>
      </c>
      <c r="J1003" s="156" t="s">
        <v>185</v>
      </c>
      <c r="K1003" s="200" t="n">
        <v>45451.9960185185</v>
      </c>
      <c r="L1003" s="1" t="n">
        <v>2</v>
      </c>
      <c r="M1003" s="1" t="n">
        <v>11197</v>
      </c>
      <c r="N1003" s="1" t="n">
        <v>171</v>
      </c>
    </row>
    <row r="1004" customFormat="false" ht="14.25" hidden="false" customHeight="false" outlineLevel="0" collapsed="false">
      <c r="A1004" s="1" t="n">
        <v>78</v>
      </c>
      <c r="B1004" s="1" t="s">
        <v>702</v>
      </c>
      <c r="C1004" s="1" t="s">
        <v>703</v>
      </c>
      <c r="D1004" s="1" t="n">
        <v>11197</v>
      </c>
      <c r="E1004" s="1" t="s">
        <v>53</v>
      </c>
      <c r="F1004" s="201" t="n">
        <v>200025889314</v>
      </c>
      <c r="G1004" s="198" t="s">
        <v>632</v>
      </c>
      <c r="H1004" s="163" t="s">
        <v>224</v>
      </c>
      <c r="I1004" s="161" t="n">
        <v>15</v>
      </c>
      <c r="J1004" s="156" t="s">
        <v>185</v>
      </c>
      <c r="K1004" s="200" t="n">
        <v>45451.9963773148</v>
      </c>
      <c r="L1004" s="1" t="n">
        <v>0</v>
      </c>
      <c r="M1004" s="1" t="n">
        <v>11197</v>
      </c>
      <c r="N1004" s="1" t="n">
        <v>172</v>
      </c>
    </row>
    <row r="1005" customFormat="false" ht="14.25" hidden="false" customHeight="false" outlineLevel="0" collapsed="false">
      <c r="A1005" s="1" t="n">
        <v>79</v>
      </c>
      <c r="B1005" s="1" t="s">
        <v>702</v>
      </c>
      <c r="C1005" s="1" t="s">
        <v>703</v>
      </c>
      <c r="D1005" s="1" t="n">
        <v>11197</v>
      </c>
      <c r="E1005" s="1" t="s">
        <v>53</v>
      </c>
      <c r="F1005" s="201" t="n">
        <v>200025889314</v>
      </c>
      <c r="G1005" s="198" t="s">
        <v>632</v>
      </c>
      <c r="H1005" s="163" t="s">
        <v>224</v>
      </c>
      <c r="I1005" s="161" t="n">
        <v>15</v>
      </c>
      <c r="J1005" s="156" t="s">
        <v>185</v>
      </c>
      <c r="K1005" s="200" t="n">
        <v>45451.9974305556</v>
      </c>
      <c r="L1005" s="1" t="n">
        <v>0</v>
      </c>
      <c r="M1005" s="1" t="n">
        <v>11197</v>
      </c>
      <c r="N1005" s="1" t="n">
        <v>173</v>
      </c>
    </row>
    <row r="1006" customFormat="false" ht="14.25" hidden="false" customHeight="false" outlineLevel="0" collapsed="false">
      <c r="A1006" s="1" t="n">
        <v>80</v>
      </c>
      <c r="B1006" s="1" t="s">
        <v>702</v>
      </c>
      <c r="C1006" s="1" t="s">
        <v>703</v>
      </c>
      <c r="D1006" s="1" t="n">
        <v>11197</v>
      </c>
      <c r="E1006" s="1" t="s">
        <v>53</v>
      </c>
      <c r="F1006" s="201" t="n">
        <v>200025889314</v>
      </c>
      <c r="G1006" s="198" t="s">
        <v>632</v>
      </c>
      <c r="H1006" s="163" t="s">
        <v>224</v>
      </c>
      <c r="I1006" s="161" t="n">
        <v>15</v>
      </c>
      <c r="J1006" s="156" t="s">
        <v>185</v>
      </c>
      <c r="K1006" s="200" t="n">
        <v>45451.9981944444</v>
      </c>
      <c r="L1006" s="1" t="n">
        <v>1</v>
      </c>
      <c r="M1006" s="1" t="n">
        <v>11197</v>
      </c>
      <c r="N1006" s="1" t="n">
        <v>174</v>
      </c>
    </row>
    <row r="1007" customFormat="false" ht="14.25" hidden="false" customHeight="false" outlineLevel="0" collapsed="false">
      <c r="A1007" s="1" t="n">
        <v>81</v>
      </c>
      <c r="B1007" s="1" t="s">
        <v>702</v>
      </c>
      <c r="C1007" s="1" t="s">
        <v>703</v>
      </c>
      <c r="D1007" s="1" t="n">
        <v>11197</v>
      </c>
      <c r="E1007" s="1" t="s">
        <v>53</v>
      </c>
      <c r="F1007" s="201" t="n">
        <v>200025889314</v>
      </c>
      <c r="G1007" s="198" t="s">
        <v>632</v>
      </c>
      <c r="H1007" s="163" t="s">
        <v>224</v>
      </c>
      <c r="I1007" s="161" t="n">
        <v>15</v>
      </c>
      <c r="J1007" s="156" t="s">
        <v>185</v>
      </c>
      <c r="K1007" s="200" t="n">
        <v>45451.9985069444</v>
      </c>
      <c r="L1007" s="1" t="n">
        <v>3</v>
      </c>
      <c r="M1007" s="1" t="n">
        <v>11197</v>
      </c>
      <c r="N1007" s="1" t="n">
        <v>175</v>
      </c>
    </row>
    <row r="1008" customFormat="false" ht="14.25" hidden="false" customHeight="false" outlineLevel="0" collapsed="false">
      <c r="A1008" s="1" t="n">
        <v>82</v>
      </c>
      <c r="B1008" s="1" t="s">
        <v>702</v>
      </c>
      <c r="C1008" s="1" t="s">
        <v>703</v>
      </c>
      <c r="D1008" s="1" t="n">
        <v>11197</v>
      </c>
      <c r="E1008" s="1" t="s">
        <v>53</v>
      </c>
      <c r="F1008" s="201" t="n">
        <v>200025889314</v>
      </c>
      <c r="G1008" s="198" t="s">
        <v>632</v>
      </c>
      <c r="H1008" s="163" t="s">
        <v>224</v>
      </c>
      <c r="I1008" s="161" t="n">
        <v>15</v>
      </c>
      <c r="J1008" s="156" t="s">
        <v>185</v>
      </c>
      <c r="K1008" s="200" t="n">
        <v>45452.0011226852</v>
      </c>
      <c r="L1008" s="1" t="n">
        <v>35</v>
      </c>
      <c r="M1008" s="1" t="n">
        <v>11197</v>
      </c>
      <c r="N1008" s="1" t="n">
        <v>176</v>
      </c>
    </row>
    <row r="1009" customFormat="false" ht="14.25" hidden="false" customHeight="false" outlineLevel="0" collapsed="false">
      <c r="A1009" s="1" t="n">
        <v>83</v>
      </c>
      <c r="B1009" s="1" t="s">
        <v>702</v>
      </c>
      <c r="C1009" s="1" t="s">
        <v>703</v>
      </c>
      <c r="D1009" s="1" t="n">
        <v>11197</v>
      </c>
      <c r="E1009" s="1" t="s">
        <v>53</v>
      </c>
      <c r="F1009" s="201" t="n">
        <v>200025889314</v>
      </c>
      <c r="G1009" s="198" t="s">
        <v>632</v>
      </c>
      <c r="H1009" s="163" t="s">
        <v>224</v>
      </c>
      <c r="I1009" s="161" t="n">
        <v>15</v>
      </c>
      <c r="J1009" s="156" t="s">
        <v>185</v>
      </c>
      <c r="K1009" s="200" t="n">
        <v>45452.0016898148</v>
      </c>
      <c r="L1009" s="1" t="n">
        <v>1</v>
      </c>
      <c r="M1009" s="1" t="n">
        <v>11197</v>
      </c>
      <c r="N1009" s="1" t="n">
        <v>177</v>
      </c>
    </row>
    <row r="1010" customFormat="false" ht="14.25" hidden="false" customHeight="false" outlineLevel="0" collapsed="false">
      <c r="A1010" s="1" t="n">
        <v>84</v>
      </c>
      <c r="B1010" s="1" t="s">
        <v>702</v>
      </c>
      <c r="C1010" s="1" t="s">
        <v>703</v>
      </c>
      <c r="D1010" s="1" t="n">
        <v>11197</v>
      </c>
      <c r="E1010" s="1" t="s">
        <v>53</v>
      </c>
      <c r="F1010" s="201" t="n">
        <v>200025889314</v>
      </c>
      <c r="G1010" s="198" t="s">
        <v>632</v>
      </c>
      <c r="H1010" s="163" t="s">
        <v>224</v>
      </c>
      <c r="I1010" s="161" t="n">
        <v>15</v>
      </c>
      <c r="J1010" s="156" t="s">
        <v>185</v>
      </c>
      <c r="K1010" s="200" t="n">
        <v>45452.002037037</v>
      </c>
      <c r="L1010" s="1" t="n">
        <v>2</v>
      </c>
      <c r="M1010" s="1" t="n">
        <v>11197</v>
      </c>
      <c r="N1010" s="1" t="n">
        <v>178</v>
      </c>
    </row>
    <row r="1011" customFormat="false" ht="14.25" hidden="false" customHeight="false" outlineLevel="0" collapsed="false">
      <c r="A1011" s="1" t="n">
        <v>85</v>
      </c>
      <c r="B1011" s="1" t="s">
        <v>702</v>
      </c>
      <c r="C1011" s="1" t="s">
        <v>703</v>
      </c>
      <c r="D1011" s="1" t="n">
        <v>11197</v>
      </c>
      <c r="E1011" s="1" t="s">
        <v>53</v>
      </c>
      <c r="F1011" s="201" t="n">
        <v>200025889314</v>
      </c>
      <c r="G1011" s="198" t="s">
        <v>632</v>
      </c>
      <c r="H1011" s="163" t="s">
        <v>224</v>
      </c>
      <c r="I1011" s="161" t="n">
        <v>15</v>
      </c>
      <c r="J1011" s="156" t="s">
        <v>185</v>
      </c>
      <c r="K1011" s="200" t="n">
        <v>45452.0111111111</v>
      </c>
      <c r="L1011" s="1" t="n">
        <v>1</v>
      </c>
      <c r="M1011" s="1" t="n">
        <v>11197</v>
      </c>
      <c r="N1011" s="1" t="n">
        <v>179</v>
      </c>
    </row>
    <row r="1012" customFormat="false" ht="14.25" hidden="false" customHeight="false" outlineLevel="0" collapsed="false">
      <c r="A1012" s="1" t="n">
        <v>86</v>
      </c>
      <c r="B1012" s="1" t="s">
        <v>702</v>
      </c>
      <c r="C1012" s="1" t="s">
        <v>703</v>
      </c>
      <c r="D1012" s="1" t="n">
        <v>11197</v>
      </c>
      <c r="E1012" s="1" t="s">
        <v>53</v>
      </c>
      <c r="F1012" s="201" t="n">
        <v>200025889314</v>
      </c>
      <c r="G1012" s="198" t="s">
        <v>632</v>
      </c>
      <c r="H1012" s="163" t="s">
        <v>224</v>
      </c>
      <c r="I1012" s="161" t="n">
        <v>15</v>
      </c>
      <c r="J1012" s="156" t="s">
        <v>185</v>
      </c>
      <c r="K1012" s="200" t="n">
        <v>45452.0130902778</v>
      </c>
      <c r="L1012" s="207" t="n">
        <v>2558</v>
      </c>
      <c r="M1012" s="1" t="n">
        <v>11197</v>
      </c>
      <c r="N1012" s="1" t="n">
        <v>180</v>
      </c>
    </row>
    <row r="1013" customFormat="false" ht="14.25" hidden="false" customHeight="false" outlineLevel="0" collapsed="false">
      <c r="A1013" s="1" t="n">
        <v>87</v>
      </c>
      <c r="B1013" s="1" t="s">
        <v>702</v>
      </c>
      <c r="C1013" s="1" t="s">
        <v>703</v>
      </c>
      <c r="D1013" s="1" t="n">
        <v>11197</v>
      </c>
      <c r="E1013" s="1" t="s">
        <v>53</v>
      </c>
      <c r="F1013" s="201" t="n">
        <v>200025889314</v>
      </c>
      <c r="G1013" s="198" t="s">
        <v>632</v>
      </c>
      <c r="H1013" s="163" t="s">
        <v>224</v>
      </c>
      <c r="I1013" s="161" t="n">
        <v>15</v>
      </c>
      <c r="J1013" s="156" t="s">
        <v>185</v>
      </c>
      <c r="K1013" s="200" t="n">
        <v>45452.0752893519</v>
      </c>
      <c r="L1013" s="1" t="n">
        <v>1</v>
      </c>
      <c r="M1013" s="1" t="n">
        <v>11197</v>
      </c>
      <c r="N1013" s="1" t="n">
        <v>181</v>
      </c>
    </row>
    <row r="1014" customFormat="false" ht="14.25" hidden="false" customHeight="false" outlineLevel="0" collapsed="false">
      <c r="A1014" s="1" t="n">
        <v>88</v>
      </c>
      <c r="B1014" s="1" t="s">
        <v>702</v>
      </c>
      <c r="C1014" s="1" t="s">
        <v>703</v>
      </c>
      <c r="D1014" s="1" t="n">
        <v>11197</v>
      </c>
      <c r="E1014" s="1" t="s">
        <v>53</v>
      </c>
      <c r="F1014" s="201" t="n">
        <v>200025889314</v>
      </c>
      <c r="G1014" s="198" t="s">
        <v>632</v>
      </c>
      <c r="H1014" s="163" t="s">
        <v>224</v>
      </c>
      <c r="I1014" s="161" t="n">
        <v>15</v>
      </c>
      <c r="J1014" s="156" t="s">
        <v>185</v>
      </c>
      <c r="K1014" s="200" t="n">
        <v>45452.0753009259</v>
      </c>
      <c r="L1014" s="1" t="n">
        <v>0</v>
      </c>
      <c r="M1014" s="1" t="n">
        <v>11197</v>
      </c>
      <c r="N1014" s="1" t="n">
        <v>182</v>
      </c>
    </row>
    <row r="1015" customFormat="false" ht="14.25" hidden="false" customHeight="false" outlineLevel="0" collapsed="false">
      <c r="A1015" s="1" t="n">
        <v>89</v>
      </c>
      <c r="B1015" s="1" t="s">
        <v>702</v>
      </c>
      <c r="C1015" s="1" t="s">
        <v>703</v>
      </c>
      <c r="D1015" s="1" t="n">
        <v>11197</v>
      </c>
      <c r="E1015" s="1" t="s">
        <v>53</v>
      </c>
      <c r="F1015" s="201" t="n">
        <v>200025889314</v>
      </c>
      <c r="G1015" s="198" t="s">
        <v>632</v>
      </c>
      <c r="H1015" s="163" t="s">
        <v>224</v>
      </c>
      <c r="I1015" s="161" t="n">
        <v>15</v>
      </c>
      <c r="J1015" s="156" t="s">
        <v>185</v>
      </c>
      <c r="K1015" s="200" t="n">
        <v>45452.0762731481</v>
      </c>
      <c r="L1015" s="1" t="n">
        <v>2</v>
      </c>
      <c r="M1015" s="1" t="n">
        <v>11197</v>
      </c>
      <c r="N1015" s="1" t="n">
        <v>183</v>
      </c>
    </row>
    <row r="1016" customFormat="false" ht="14.25" hidden="false" customHeight="false" outlineLevel="0" collapsed="false">
      <c r="A1016" s="1" t="n">
        <v>90</v>
      </c>
      <c r="B1016" s="1" t="s">
        <v>702</v>
      </c>
      <c r="C1016" s="1" t="s">
        <v>703</v>
      </c>
      <c r="D1016" s="1" t="n">
        <v>11197</v>
      </c>
      <c r="E1016" s="1" t="s">
        <v>53</v>
      </c>
      <c r="F1016" s="201" t="n">
        <v>200025889314</v>
      </c>
      <c r="G1016" s="198" t="s">
        <v>632</v>
      </c>
      <c r="H1016" s="163" t="s">
        <v>224</v>
      </c>
      <c r="I1016" s="161" t="n">
        <v>15</v>
      </c>
      <c r="J1016" s="156" t="s">
        <v>185</v>
      </c>
      <c r="K1016" s="200" t="n">
        <v>45452.0766319444</v>
      </c>
      <c r="L1016" s="1" t="n">
        <v>0</v>
      </c>
      <c r="M1016" s="1" t="n">
        <v>11197</v>
      </c>
      <c r="N1016" s="1" t="n">
        <v>184</v>
      </c>
    </row>
    <row r="1017" customFormat="false" ht="14.25" hidden="false" customHeight="false" outlineLevel="0" collapsed="false">
      <c r="A1017" s="1" t="n">
        <v>91</v>
      </c>
      <c r="B1017" s="1" t="s">
        <v>702</v>
      </c>
      <c r="C1017" s="1" t="s">
        <v>703</v>
      </c>
      <c r="D1017" s="1" t="n">
        <v>11197</v>
      </c>
      <c r="E1017" s="1" t="s">
        <v>53</v>
      </c>
      <c r="F1017" s="201" t="n">
        <v>200025889314</v>
      </c>
      <c r="G1017" s="198" t="s">
        <v>632</v>
      </c>
      <c r="H1017" s="163" t="s">
        <v>224</v>
      </c>
      <c r="I1017" s="161" t="n">
        <v>15</v>
      </c>
      <c r="J1017" s="156" t="s">
        <v>185</v>
      </c>
      <c r="K1017" s="200" t="n">
        <v>45452.0793171296</v>
      </c>
      <c r="L1017" s="1" t="n">
        <v>1</v>
      </c>
      <c r="M1017" s="1" t="n">
        <v>11197</v>
      </c>
      <c r="N1017" s="1" t="n">
        <v>185</v>
      </c>
    </row>
    <row r="1018" customFormat="false" ht="14.25" hidden="false" customHeight="false" outlineLevel="0" collapsed="false">
      <c r="A1018" s="1" t="n">
        <v>92</v>
      </c>
      <c r="B1018" s="1" t="s">
        <v>702</v>
      </c>
      <c r="C1018" s="1" t="s">
        <v>703</v>
      </c>
      <c r="D1018" s="1" t="n">
        <v>11197</v>
      </c>
      <c r="E1018" s="1" t="s">
        <v>53</v>
      </c>
      <c r="F1018" s="201" t="n">
        <v>200025889314</v>
      </c>
      <c r="G1018" s="198" t="s">
        <v>632</v>
      </c>
      <c r="H1018" s="163" t="s">
        <v>224</v>
      </c>
      <c r="I1018" s="161" t="n">
        <v>15</v>
      </c>
      <c r="J1018" s="156" t="s">
        <v>185</v>
      </c>
      <c r="K1018" s="200" t="n">
        <v>45452.0795717593</v>
      </c>
      <c r="L1018" s="1" t="n">
        <v>2</v>
      </c>
      <c r="M1018" s="1" t="n">
        <v>11197</v>
      </c>
      <c r="N1018" s="1" t="n">
        <v>186</v>
      </c>
    </row>
    <row r="1019" customFormat="false" ht="14.25" hidden="false" customHeight="false" outlineLevel="0" collapsed="false">
      <c r="A1019" s="1" t="n">
        <v>93</v>
      </c>
      <c r="B1019" s="1" t="s">
        <v>702</v>
      </c>
      <c r="C1019" s="1" t="s">
        <v>703</v>
      </c>
      <c r="D1019" s="1" t="n">
        <v>11197</v>
      </c>
      <c r="E1019" s="1" t="s">
        <v>53</v>
      </c>
      <c r="F1019" s="201" t="n">
        <v>200025888529</v>
      </c>
      <c r="G1019" s="198" t="s">
        <v>704</v>
      </c>
      <c r="H1019" s="163" t="s">
        <v>345</v>
      </c>
      <c r="I1019" s="161" t="n">
        <v>118</v>
      </c>
      <c r="J1019" s="156" t="s">
        <v>185</v>
      </c>
      <c r="K1019" s="200" t="n">
        <v>45452.1350810185</v>
      </c>
      <c r="L1019" s="1" t="n">
        <v>1</v>
      </c>
      <c r="M1019" s="1" t="n">
        <v>11197</v>
      </c>
      <c r="N1019" s="1" t="n">
        <v>187</v>
      </c>
    </row>
    <row r="1020" customFormat="false" ht="14.25" hidden="false" customHeight="false" outlineLevel="0" collapsed="false">
      <c r="A1020" s="1" t="n">
        <v>94</v>
      </c>
      <c r="B1020" s="1" t="s">
        <v>702</v>
      </c>
      <c r="C1020" s="1" t="s">
        <v>703</v>
      </c>
      <c r="D1020" s="1" t="n">
        <v>11197</v>
      </c>
      <c r="E1020" s="1" t="s">
        <v>53</v>
      </c>
      <c r="F1020" s="201" t="n">
        <v>200025888529</v>
      </c>
      <c r="G1020" s="198" t="s">
        <v>704</v>
      </c>
      <c r="H1020" s="163" t="s">
        <v>345</v>
      </c>
      <c r="I1020" s="161" t="n">
        <v>118</v>
      </c>
      <c r="J1020" s="156" t="s">
        <v>185</v>
      </c>
      <c r="K1020" s="200" t="n">
        <v>45452.1351041667</v>
      </c>
      <c r="L1020" s="207" t="n">
        <v>206</v>
      </c>
      <c r="M1020" s="1" t="n">
        <v>11197</v>
      </c>
      <c r="N1020" s="1" t="n">
        <v>188</v>
      </c>
    </row>
    <row r="1021" customFormat="false" ht="14.25" hidden="false" customHeight="false" outlineLevel="0" collapsed="false">
      <c r="A1021" s="1" t="n">
        <v>95</v>
      </c>
      <c r="B1021" s="1" t="s">
        <v>702</v>
      </c>
      <c r="C1021" s="1" t="s">
        <v>703</v>
      </c>
      <c r="D1021" s="1" t="n">
        <v>11197</v>
      </c>
      <c r="E1021" s="1" t="s">
        <v>53</v>
      </c>
      <c r="F1021" s="201" t="n">
        <v>200025888529</v>
      </c>
      <c r="G1021" s="198" t="s">
        <v>704</v>
      </c>
      <c r="H1021" s="163" t="s">
        <v>345</v>
      </c>
      <c r="I1021" s="161" t="n">
        <v>118</v>
      </c>
      <c r="J1021" s="156" t="s">
        <v>185</v>
      </c>
      <c r="K1021" s="200" t="n">
        <v>45452.1383796296</v>
      </c>
      <c r="L1021" s="1" t="n">
        <v>1</v>
      </c>
      <c r="M1021" s="1" t="n">
        <v>11197</v>
      </c>
      <c r="N1021" s="1" t="n">
        <v>189</v>
      </c>
    </row>
    <row r="1022" customFormat="false" ht="14.25" hidden="false" customHeight="false" outlineLevel="0" collapsed="false">
      <c r="A1022" s="1" t="n">
        <v>96</v>
      </c>
      <c r="B1022" s="1" t="s">
        <v>702</v>
      </c>
      <c r="C1022" s="1" t="s">
        <v>703</v>
      </c>
      <c r="D1022" s="1" t="n">
        <v>11197</v>
      </c>
      <c r="E1022" s="1" t="s">
        <v>53</v>
      </c>
      <c r="F1022" s="201" t="n">
        <v>200025888808</v>
      </c>
      <c r="G1022" s="198" t="s">
        <v>705</v>
      </c>
      <c r="H1022" s="163" t="s">
        <v>402</v>
      </c>
      <c r="I1022" s="161" t="n">
        <v>103</v>
      </c>
      <c r="J1022" s="156" t="s">
        <v>185</v>
      </c>
      <c r="K1022" s="200" t="n">
        <v>45452.2559837963</v>
      </c>
      <c r="L1022" s="1" t="n">
        <v>0</v>
      </c>
      <c r="M1022" s="1" t="n">
        <v>11197</v>
      </c>
      <c r="N1022" s="1" t="n">
        <v>190</v>
      </c>
    </row>
    <row r="1023" customFormat="false" ht="14.25" hidden="false" customHeight="false" outlineLevel="0" collapsed="false">
      <c r="A1023" s="1" t="n">
        <v>97</v>
      </c>
      <c r="B1023" s="1" t="s">
        <v>702</v>
      </c>
      <c r="C1023" s="1" t="s">
        <v>703</v>
      </c>
      <c r="D1023" s="1" t="n">
        <v>11197</v>
      </c>
      <c r="E1023" s="1" t="s">
        <v>53</v>
      </c>
      <c r="F1023" s="201" t="n">
        <v>200025888808</v>
      </c>
      <c r="G1023" s="198" t="s">
        <v>705</v>
      </c>
      <c r="H1023" s="163" t="s">
        <v>402</v>
      </c>
      <c r="I1023" s="161" t="n">
        <v>103</v>
      </c>
      <c r="J1023" s="156" t="s">
        <v>185</v>
      </c>
      <c r="K1023" s="200" t="n">
        <v>45452.2563657407</v>
      </c>
      <c r="L1023" s="1" t="n">
        <v>3</v>
      </c>
      <c r="M1023" s="1" t="n">
        <v>11197</v>
      </c>
      <c r="N1023" s="1" t="n">
        <v>191</v>
      </c>
    </row>
    <row r="1024" customFormat="false" ht="14.25" hidden="false" customHeight="false" outlineLevel="0" collapsed="false">
      <c r="A1024" s="1" t="n">
        <v>98</v>
      </c>
      <c r="B1024" s="1" t="s">
        <v>702</v>
      </c>
      <c r="C1024" s="1" t="s">
        <v>703</v>
      </c>
      <c r="D1024" s="1" t="n">
        <v>11197</v>
      </c>
      <c r="E1024" s="1" t="s">
        <v>53</v>
      </c>
      <c r="F1024" s="201" t="n">
        <v>200025888808</v>
      </c>
      <c r="G1024" s="198" t="s">
        <v>705</v>
      </c>
      <c r="H1024" s="163" t="s">
        <v>402</v>
      </c>
      <c r="I1024" s="161" t="n">
        <v>103</v>
      </c>
      <c r="J1024" s="156" t="s">
        <v>185</v>
      </c>
      <c r="K1024" s="200" t="n">
        <v>45452.2767476852</v>
      </c>
      <c r="L1024" s="207" t="n">
        <v>1573</v>
      </c>
      <c r="M1024" s="1" t="n">
        <v>11197</v>
      </c>
      <c r="N1024" s="1" t="n">
        <v>192</v>
      </c>
    </row>
    <row r="1025" customFormat="false" ht="14.25" hidden="false" customHeight="false" outlineLevel="0" collapsed="false">
      <c r="A1025" s="1" t="n">
        <v>99</v>
      </c>
      <c r="B1025" s="1" t="s">
        <v>702</v>
      </c>
      <c r="C1025" s="1" t="s">
        <v>703</v>
      </c>
      <c r="D1025" s="1" t="n">
        <v>11197</v>
      </c>
      <c r="E1025" s="1" t="s">
        <v>53</v>
      </c>
      <c r="F1025" s="201" t="n">
        <v>200025888808</v>
      </c>
      <c r="G1025" s="198" t="s">
        <v>705</v>
      </c>
      <c r="H1025" s="163" t="s">
        <v>402</v>
      </c>
      <c r="I1025" s="161" t="n">
        <v>103</v>
      </c>
      <c r="J1025" s="156" t="s">
        <v>185</v>
      </c>
      <c r="K1025" s="200" t="n">
        <v>45452.313275463</v>
      </c>
      <c r="L1025" s="1" t="n">
        <v>1</v>
      </c>
      <c r="M1025" s="1" t="n">
        <v>11197</v>
      </c>
      <c r="N1025" s="1" t="n">
        <v>193</v>
      </c>
    </row>
    <row r="1026" customFormat="false" ht="14.25" hidden="false" customHeight="false" outlineLevel="0" collapsed="false">
      <c r="A1026" s="1" t="n">
        <v>100</v>
      </c>
      <c r="B1026" s="1" t="s">
        <v>702</v>
      </c>
      <c r="C1026" s="1" t="s">
        <v>703</v>
      </c>
      <c r="D1026" s="1" t="n">
        <v>11197</v>
      </c>
      <c r="E1026" s="1" t="s">
        <v>53</v>
      </c>
      <c r="F1026" s="201" t="n">
        <v>200025888808</v>
      </c>
      <c r="G1026" s="198" t="s">
        <v>705</v>
      </c>
      <c r="H1026" s="163" t="s">
        <v>402</v>
      </c>
      <c r="I1026" s="161" t="n">
        <v>103</v>
      </c>
      <c r="J1026" s="156" t="s">
        <v>185</v>
      </c>
      <c r="K1026" s="200" t="n">
        <v>45452.3138310185</v>
      </c>
      <c r="L1026" s="1" t="n">
        <v>1</v>
      </c>
      <c r="M1026" s="1" t="n">
        <v>11197</v>
      </c>
      <c r="N1026" s="1" t="n">
        <v>194</v>
      </c>
    </row>
    <row r="1027" customFormat="false" ht="14.25" hidden="false" customHeight="false" outlineLevel="0" collapsed="false">
      <c r="A1027" s="1" t="n">
        <v>101</v>
      </c>
      <c r="B1027" s="1" t="s">
        <v>702</v>
      </c>
      <c r="C1027" s="1" t="s">
        <v>703</v>
      </c>
      <c r="D1027" s="1" t="n">
        <v>11197</v>
      </c>
      <c r="E1027" s="1" t="s">
        <v>53</v>
      </c>
      <c r="F1027" s="201" t="n">
        <v>200025888808</v>
      </c>
      <c r="G1027" s="198" t="s">
        <v>705</v>
      </c>
      <c r="H1027" s="163" t="s">
        <v>402</v>
      </c>
      <c r="I1027" s="161" t="n">
        <v>103</v>
      </c>
      <c r="J1027" s="156" t="s">
        <v>185</v>
      </c>
      <c r="K1027" s="200" t="n">
        <v>45452.3153240741</v>
      </c>
      <c r="L1027" s="1" t="n">
        <v>0</v>
      </c>
      <c r="M1027" s="1" t="n">
        <v>11197</v>
      </c>
      <c r="N1027" s="1" t="n">
        <v>195</v>
      </c>
    </row>
    <row r="1028" customFormat="false" ht="14.25" hidden="false" customHeight="false" outlineLevel="0" collapsed="false">
      <c r="A1028" s="1" t="n">
        <v>102</v>
      </c>
      <c r="B1028" s="1" t="s">
        <v>702</v>
      </c>
      <c r="C1028" s="1" t="s">
        <v>703</v>
      </c>
      <c r="D1028" s="1" t="n">
        <v>11197</v>
      </c>
      <c r="E1028" s="1" t="s">
        <v>53</v>
      </c>
      <c r="F1028" s="201" t="n">
        <v>200025888808</v>
      </c>
      <c r="G1028" s="198" t="s">
        <v>705</v>
      </c>
      <c r="H1028" s="163" t="s">
        <v>402</v>
      </c>
      <c r="I1028" s="161" t="n">
        <v>103</v>
      </c>
      <c r="J1028" s="156" t="s">
        <v>185</v>
      </c>
      <c r="K1028" s="200" t="n">
        <v>45452.3163310185</v>
      </c>
      <c r="L1028" s="1" t="n">
        <v>1</v>
      </c>
      <c r="M1028" s="1" t="n">
        <v>11197</v>
      </c>
      <c r="N1028" s="1" t="n">
        <v>196</v>
      </c>
    </row>
    <row r="1029" customFormat="false" ht="14.25" hidden="false" customHeight="false" outlineLevel="0" collapsed="false">
      <c r="A1029" s="1" t="n">
        <v>103</v>
      </c>
      <c r="B1029" s="1" t="s">
        <v>702</v>
      </c>
      <c r="C1029" s="1" t="s">
        <v>703</v>
      </c>
      <c r="D1029" s="1" t="n">
        <v>11197</v>
      </c>
      <c r="E1029" s="1" t="s">
        <v>53</v>
      </c>
      <c r="F1029" s="201" t="n">
        <v>200025888808</v>
      </c>
      <c r="G1029" s="198" t="s">
        <v>705</v>
      </c>
      <c r="H1029" s="163" t="s">
        <v>402</v>
      </c>
      <c r="I1029" s="161" t="n">
        <v>103</v>
      </c>
      <c r="J1029" s="156" t="s">
        <v>185</v>
      </c>
      <c r="K1029" s="200" t="n">
        <v>45452.3163425926</v>
      </c>
      <c r="L1029" s="1" t="n">
        <v>2</v>
      </c>
      <c r="M1029" s="1" t="n">
        <v>11197</v>
      </c>
      <c r="N1029" s="1" t="n">
        <v>197</v>
      </c>
    </row>
    <row r="1030" customFormat="false" ht="14.25" hidden="false" customHeight="false" outlineLevel="0" collapsed="false">
      <c r="A1030" s="1" t="n">
        <v>104</v>
      </c>
      <c r="B1030" s="1" t="s">
        <v>702</v>
      </c>
      <c r="C1030" s="1" t="s">
        <v>703</v>
      </c>
      <c r="D1030" s="1" t="n">
        <v>11197</v>
      </c>
      <c r="E1030" s="1" t="s">
        <v>53</v>
      </c>
      <c r="F1030" s="201" t="n">
        <v>200025888808</v>
      </c>
      <c r="G1030" s="198" t="s">
        <v>705</v>
      </c>
      <c r="H1030" s="163" t="s">
        <v>402</v>
      </c>
      <c r="I1030" s="161" t="n">
        <v>103</v>
      </c>
      <c r="J1030" s="156" t="s">
        <v>185</v>
      </c>
      <c r="K1030" s="200" t="n">
        <v>45452.3168634259</v>
      </c>
      <c r="L1030" s="1" t="n">
        <v>3</v>
      </c>
      <c r="M1030" s="1" t="n">
        <v>11197</v>
      </c>
      <c r="N1030" s="1" t="n">
        <v>198</v>
      </c>
    </row>
    <row r="1031" customFormat="false" ht="14.25" hidden="false" customHeight="false" outlineLevel="0" collapsed="false">
      <c r="A1031" s="1" t="n">
        <v>105</v>
      </c>
      <c r="B1031" s="1" t="s">
        <v>702</v>
      </c>
      <c r="C1031" s="1" t="s">
        <v>703</v>
      </c>
      <c r="D1031" s="1" t="n">
        <v>11197</v>
      </c>
      <c r="E1031" s="1" t="s">
        <v>53</v>
      </c>
      <c r="F1031" s="201" t="n">
        <v>200025888864</v>
      </c>
      <c r="G1031" s="198" t="s">
        <v>590</v>
      </c>
      <c r="H1031" s="163" t="s">
        <v>474</v>
      </c>
      <c r="I1031" s="161" t="n">
        <v>87</v>
      </c>
      <c r="J1031" s="156" t="s">
        <v>192</v>
      </c>
      <c r="K1031" s="200" t="n">
        <v>45452.3808101852</v>
      </c>
      <c r="L1031" s="1" t="n">
        <v>1</v>
      </c>
      <c r="M1031" s="1" t="n">
        <v>11197</v>
      </c>
      <c r="N1031" s="1" t="n">
        <v>199</v>
      </c>
    </row>
    <row r="1032" customFormat="false" ht="14.25" hidden="false" customHeight="false" outlineLevel="0" collapsed="false">
      <c r="A1032" s="1" t="n">
        <v>106</v>
      </c>
      <c r="B1032" s="1" t="s">
        <v>702</v>
      </c>
      <c r="C1032" s="1" t="s">
        <v>703</v>
      </c>
      <c r="D1032" s="1" t="n">
        <v>11197</v>
      </c>
      <c r="E1032" s="1" t="s">
        <v>53</v>
      </c>
      <c r="F1032" s="201" t="n">
        <v>200025888158</v>
      </c>
      <c r="G1032" s="198" t="s">
        <v>630</v>
      </c>
      <c r="H1032" s="163" t="s">
        <v>193</v>
      </c>
      <c r="I1032" s="161" t="n">
        <v>30</v>
      </c>
      <c r="J1032" s="156" t="s">
        <v>192</v>
      </c>
      <c r="K1032" s="200" t="n">
        <v>45452.397037037</v>
      </c>
      <c r="L1032" s="1" t="n">
        <v>2</v>
      </c>
      <c r="M1032" s="1" t="n">
        <v>11197</v>
      </c>
      <c r="N1032" s="1" t="n">
        <v>200</v>
      </c>
    </row>
    <row r="1033" customFormat="false" ht="14.25" hidden="false" customHeight="false" outlineLevel="0" collapsed="false">
      <c r="A1033" s="1" t="n">
        <v>107</v>
      </c>
      <c r="B1033" s="1" t="s">
        <v>702</v>
      </c>
      <c r="C1033" s="1" t="s">
        <v>703</v>
      </c>
      <c r="D1033" s="1" t="n">
        <v>11197</v>
      </c>
      <c r="E1033" s="1" t="s">
        <v>53</v>
      </c>
      <c r="F1033" s="201" t="n">
        <v>200025888158</v>
      </c>
      <c r="G1033" s="198" t="s">
        <v>630</v>
      </c>
      <c r="H1033" s="163" t="s">
        <v>193</v>
      </c>
      <c r="I1033" s="161" t="n">
        <v>30</v>
      </c>
      <c r="J1033" s="156" t="s">
        <v>192</v>
      </c>
      <c r="K1033" s="200" t="n">
        <v>45452.3979050926</v>
      </c>
      <c r="L1033" s="1" t="n">
        <v>5</v>
      </c>
      <c r="M1033" s="1" t="n">
        <v>11197</v>
      </c>
      <c r="N1033" s="1" t="n">
        <v>201</v>
      </c>
    </row>
    <row r="1034" customFormat="false" ht="14.25" hidden="false" customHeight="false" outlineLevel="0" collapsed="false">
      <c r="A1034" s="1" t="n">
        <v>108</v>
      </c>
      <c r="B1034" s="1" t="s">
        <v>702</v>
      </c>
      <c r="C1034" s="1" t="s">
        <v>703</v>
      </c>
      <c r="D1034" s="1" t="n">
        <v>11197</v>
      </c>
      <c r="E1034" s="1" t="s">
        <v>53</v>
      </c>
      <c r="F1034" s="201" t="n">
        <v>200025888158</v>
      </c>
      <c r="G1034" s="198" t="s">
        <v>630</v>
      </c>
      <c r="H1034" s="163" t="s">
        <v>193</v>
      </c>
      <c r="I1034" s="161" t="n">
        <v>30</v>
      </c>
      <c r="J1034" s="156" t="s">
        <v>192</v>
      </c>
      <c r="K1034" s="200" t="n">
        <v>45452.3981018519</v>
      </c>
      <c r="L1034" s="1" t="n">
        <v>2</v>
      </c>
      <c r="M1034" s="1" t="n">
        <v>11197</v>
      </c>
      <c r="N1034" s="1" t="n">
        <v>202</v>
      </c>
    </row>
    <row r="1035" customFormat="false" ht="14.25" hidden="false" customHeight="false" outlineLevel="0" collapsed="false">
      <c r="A1035" s="1" t="n">
        <v>109</v>
      </c>
      <c r="B1035" s="1" t="s">
        <v>702</v>
      </c>
      <c r="C1035" s="1" t="s">
        <v>703</v>
      </c>
      <c r="D1035" s="1" t="n">
        <v>11197</v>
      </c>
      <c r="E1035" s="1" t="s">
        <v>53</v>
      </c>
      <c r="F1035" s="201" t="n">
        <v>200025888864</v>
      </c>
      <c r="G1035" s="198" t="s">
        <v>590</v>
      </c>
      <c r="H1035" s="163" t="s">
        <v>474</v>
      </c>
      <c r="I1035" s="161" t="n">
        <v>87</v>
      </c>
      <c r="J1035" s="156" t="s">
        <v>192</v>
      </c>
      <c r="K1035" s="200" t="n">
        <v>45452.4195023148</v>
      </c>
      <c r="L1035" s="1" t="n">
        <v>1</v>
      </c>
      <c r="M1035" s="1" t="n">
        <v>11197</v>
      </c>
      <c r="N1035" s="1" t="n">
        <v>203</v>
      </c>
    </row>
    <row r="1036" customFormat="false" ht="14.25" hidden="false" customHeight="false" outlineLevel="0" collapsed="false">
      <c r="A1036" s="1" t="n">
        <v>110</v>
      </c>
      <c r="B1036" s="1" t="s">
        <v>702</v>
      </c>
      <c r="C1036" s="1" t="s">
        <v>703</v>
      </c>
      <c r="D1036" s="1" t="n">
        <v>11197</v>
      </c>
      <c r="E1036" s="1" t="s">
        <v>53</v>
      </c>
      <c r="F1036" s="201" t="n">
        <v>200025888864</v>
      </c>
      <c r="G1036" s="198" t="s">
        <v>590</v>
      </c>
      <c r="H1036" s="163" t="s">
        <v>474</v>
      </c>
      <c r="I1036" s="161" t="n">
        <v>87</v>
      </c>
      <c r="J1036" s="156" t="s">
        <v>192</v>
      </c>
      <c r="K1036" s="200" t="n">
        <v>45452.4195138889</v>
      </c>
      <c r="L1036" s="1" t="n">
        <v>13</v>
      </c>
      <c r="M1036" s="1" t="n">
        <v>11197</v>
      </c>
      <c r="N1036" s="1" t="n">
        <v>204</v>
      </c>
    </row>
    <row r="1037" customFormat="false" ht="14.25" hidden="false" customHeight="false" outlineLevel="0" collapsed="false">
      <c r="A1037" s="1" t="n">
        <v>111</v>
      </c>
      <c r="B1037" s="1" t="s">
        <v>702</v>
      </c>
      <c r="C1037" s="1" t="s">
        <v>703</v>
      </c>
      <c r="D1037" s="1" t="n">
        <v>11197</v>
      </c>
      <c r="E1037" s="1" t="s">
        <v>53</v>
      </c>
      <c r="F1037" s="201" t="n">
        <v>200025888864</v>
      </c>
      <c r="G1037" s="198" t="s">
        <v>590</v>
      </c>
      <c r="H1037" s="163" t="s">
        <v>474</v>
      </c>
      <c r="I1037" s="161" t="n">
        <v>87</v>
      </c>
      <c r="J1037" s="156" t="s">
        <v>192</v>
      </c>
      <c r="K1037" s="200" t="n">
        <v>45452.4206018519</v>
      </c>
      <c r="L1037" s="1" t="n">
        <v>1</v>
      </c>
      <c r="M1037" s="1" t="n">
        <v>11197</v>
      </c>
      <c r="N1037" s="1" t="n">
        <v>205</v>
      </c>
    </row>
    <row r="1038" customFormat="false" ht="14.25" hidden="false" customHeight="false" outlineLevel="0" collapsed="false">
      <c r="A1038" s="1" t="n">
        <v>112</v>
      </c>
      <c r="B1038" s="1" t="s">
        <v>702</v>
      </c>
      <c r="C1038" s="1" t="s">
        <v>703</v>
      </c>
      <c r="D1038" s="1" t="n">
        <v>11197</v>
      </c>
      <c r="E1038" s="1" t="s">
        <v>53</v>
      </c>
      <c r="F1038" s="201" t="n">
        <v>200025888864</v>
      </c>
      <c r="G1038" s="198" t="s">
        <v>590</v>
      </c>
      <c r="H1038" s="163" t="s">
        <v>474</v>
      </c>
      <c r="I1038" s="161" t="n">
        <v>87</v>
      </c>
      <c r="J1038" s="156" t="s">
        <v>192</v>
      </c>
      <c r="K1038" s="200" t="n">
        <v>45452.420775463</v>
      </c>
      <c r="L1038" s="1" t="n">
        <v>2</v>
      </c>
      <c r="M1038" s="1" t="n">
        <v>11197</v>
      </c>
      <c r="N1038" s="1" t="n">
        <v>206</v>
      </c>
    </row>
    <row r="1039" customFormat="false" ht="14.25" hidden="false" customHeight="false" outlineLevel="0" collapsed="false">
      <c r="A1039" s="1" t="n">
        <v>113</v>
      </c>
      <c r="B1039" s="1" t="s">
        <v>702</v>
      </c>
      <c r="C1039" s="1" t="s">
        <v>703</v>
      </c>
      <c r="D1039" s="1" t="n">
        <v>11197</v>
      </c>
      <c r="E1039" s="1" t="s">
        <v>53</v>
      </c>
      <c r="F1039" s="201" t="n">
        <v>200025888181</v>
      </c>
      <c r="G1039" s="198" t="s">
        <v>631</v>
      </c>
      <c r="H1039" s="163" t="s">
        <v>215</v>
      </c>
      <c r="I1039" s="161" t="n">
        <v>115</v>
      </c>
      <c r="J1039" s="156" t="s">
        <v>192</v>
      </c>
      <c r="K1039" s="200" t="n">
        <v>45452.4583333333</v>
      </c>
      <c r="L1039" s="1" t="n">
        <v>1</v>
      </c>
      <c r="M1039" s="1" t="n">
        <v>11197</v>
      </c>
      <c r="N1039" s="1" t="n">
        <v>207</v>
      </c>
    </row>
    <row r="1040" customFormat="false" ht="14.25" hidden="false" customHeight="false" outlineLevel="0" collapsed="false">
      <c r="A1040" s="1" t="n">
        <v>114</v>
      </c>
      <c r="B1040" s="1" t="s">
        <v>702</v>
      </c>
      <c r="C1040" s="1" t="s">
        <v>703</v>
      </c>
      <c r="D1040" s="1" t="n">
        <v>11197</v>
      </c>
      <c r="E1040" s="1" t="s">
        <v>53</v>
      </c>
      <c r="F1040" s="201" t="n">
        <v>200025888181</v>
      </c>
      <c r="G1040" s="198" t="s">
        <v>631</v>
      </c>
      <c r="H1040" s="163" t="s">
        <v>215</v>
      </c>
      <c r="I1040" s="161" t="n">
        <v>115</v>
      </c>
      <c r="J1040" s="156" t="s">
        <v>192</v>
      </c>
      <c r="K1040" s="200" t="n">
        <v>45452.4587152778</v>
      </c>
      <c r="L1040" s="1" t="n">
        <v>2</v>
      </c>
      <c r="M1040" s="1" t="n">
        <v>11197</v>
      </c>
      <c r="N1040" s="1" t="n">
        <v>208</v>
      </c>
    </row>
    <row r="1041" customFormat="false" ht="14.25" hidden="false" customHeight="false" outlineLevel="0" collapsed="false">
      <c r="A1041" s="1" t="n">
        <v>115</v>
      </c>
      <c r="B1041" s="1" t="s">
        <v>702</v>
      </c>
      <c r="C1041" s="1" t="s">
        <v>703</v>
      </c>
      <c r="D1041" s="1" t="n">
        <v>11197</v>
      </c>
      <c r="E1041" s="1" t="s">
        <v>53</v>
      </c>
      <c r="F1041" s="201" t="n">
        <v>200025888181</v>
      </c>
      <c r="G1041" s="198" t="s">
        <v>631</v>
      </c>
      <c r="H1041" s="163" t="s">
        <v>215</v>
      </c>
      <c r="I1041" s="161" t="n">
        <v>115</v>
      </c>
      <c r="J1041" s="156" t="s">
        <v>192</v>
      </c>
      <c r="K1041" s="200" t="n">
        <v>45452.4590393519</v>
      </c>
      <c r="L1041" s="1" t="n">
        <v>6</v>
      </c>
      <c r="M1041" s="1" t="n">
        <v>11197</v>
      </c>
      <c r="N1041" s="1" t="n">
        <v>209</v>
      </c>
    </row>
    <row r="1042" customFormat="false" ht="14.25" hidden="false" customHeight="false" outlineLevel="0" collapsed="false">
      <c r="A1042" s="1" t="n">
        <v>116</v>
      </c>
      <c r="B1042" s="1" t="s">
        <v>702</v>
      </c>
      <c r="C1042" s="1" t="s">
        <v>703</v>
      </c>
      <c r="D1042" s="1" t="n">
        <v>11197</v>
      </c>
      <c r="E1042" s="1" t="s">
        <v>53</v>
      </c>
      <c r="F1042" s="201" t="n">
        <v>200025888181</v>
      </c>
      <c r="G1042" s="198" t="s">
        <v>631</v>
      </c>
      <c r="H1042" s="163" t="s">
        <v>215</v>
      </c>
      <c r="I1042" s="161" t="n">
        <v>115</v>
      </c>
      <c r="J1042" s="156" t="s">
        <v>192</v>
      </c>
      <c r="K1042" s="200" t="n">
        <v>45452.4598611111</v>
      </c>
      <c r="L1042" s="1" t="n">
        <v>2</v>
      </c>
      <c r="M1042" s="1" t="n">
        <v>11197</v>
      </c>
      <c r="N1042" s="1" t="n">
        <v>210</v>
      </c>
    </row>
    <row r="1043" customFormat="false" ht="14.25" hidden="false" customHeight="false" outlineLevel="0" collapsed="false">
      <c r="A1043" s="1" t="n">
        <v>117</v>
      </c>
      <c r="B1043" s="1" t="s">
        <v>702</v>
      </c>
      <c r="C1043" s="1" t="s">
        <v>703</v>
      </c>
      <c r="D1043" s="1" t="n">
        <v>11197</v>
      </c>
      <c r="E1043" s="1" t="s">
        <v>53</v>
      </c>
      <c r="F1043" s="201" t="n">
        <v>200025888864</v>
      </c>
      <c r="G1043" s="198" t="s">
        <v>590</v>
      </c>
      <c r="H1043" s="163" t="s">
        <v>474</v>
      </c>
      <c r="I1043" s="161" t="n">
        <v>87</v>
      </c>
      <c r="J1043" s="156" t="s">
        <v>192</v>
      </c>
      <c r="K1043" s="200" t="n">
        <v>45452.467974537</v>
      </c>
      <c r="L1043" s="1" t="n">
        <v>0</v>
      </c>
      <c r="M1043" s="1" t="n">
        <v>11197</v>
      </c>
      <c r="N1043" s="1" t="n">
        <v>211</v>
      </c>
    </row>
    <row r="1044" customFormat="false" ht="14.25" hidden="false" customHeight="false" outlineLevel="0" collapsed="false">
      <c r="A1044" s="1" t="n">
        <v>118</v>
      </c>
      <c r="B1044" s="1" t="s">
        <v>702</v>
      </c>
      <c r="C1044" s="1" t="s">
        <v>703</v>
      </c>
      <c r="D1044" s="1" t="n">
        <v>11197</v>
      </c>
      <c r="E1044" s="1" t="s">
        <v>53</v>
      </c>
      <c r="F1044" s="201" t="n">
        <v>200025888864</v>
      </c>
      <c r="G1044" s="198" t="s">
        <v>590</v>
      </c>
      <c r="H1044" s="163" t="s">
        <v>474</v>
      </c>
      <c r="I1044" s="161" t="n">
        <v>87</v>
      </c>
      <c r="J1044" s="156" t="s">
        <v>192</v>
      </c>
      <c r="K1044" s="200" t="n">
        <v>45452.4682291667</v>
      </c>
      <c r="L1044" s="1" t="n">
        <v>1</v>
      </c>
      <c r="M1044" s="1" t="n">
        <v>11197</v>
      </c>
      <c r="N1044" s="1" t="n">
        <v>212</v>
      </c>
    </row>
    <row r="1045" customFormat="false" ht="14.25" hidden="false" customHeight="false" outlineLevel="0" collapsed="false">
      <c r="A1045" s="1" t="n">
        <v>119</v>
      </c>
      <c r="B1045" s="1" t="s">
        <v>702</v>
      </c>
      <c r="C1045" s="1" t="s">
        <v>703</v>
      </c>
      <c r="D1045" s="1" t="n">
        <v>11197</v>
      </c>
      <c r="E1045" s="1" t="s">
        <v>53</v>
      </c>
      <c r="F1045" s="201" t="n">
        <v>200025888864</v>
      </c>
      <c r="G1045" s="198" t="s">
        <v>590</v>
      </c>
      <c r="H1045" s="163" t="s">
        <v>474</v>
      </c>
      <c r="I1045" s="161" t="n">
        <v>87</v>
      </c>
      <c r="J1045" s="156" t="s">
        <v>192</v>
      </c>
      <c r="K1045" s="200" t="n">
        <v>45452.4694328704</v>
      </c>
      <c r="L1045" s="1" t="n">
        <v>3</v>
      </c>
      <c r="M1045" s="1" t="n">
        <v>11197</v>
      </c>
      <c r="N1045" s="1" t="n">
        <v>213</v>
      </c>
    </row>
    <row r="1046" customFormat="false" ht="14.25" hidden="false" customHeight="false" outlineLevel="0" collapsed="false">
      <c r="A1046" s="1" t="n">
        <v>120</v>
      </c>
      <c r="B1046" s="1" t="s">
        <v>702</v>
      </c>
      <c r="C1046" s="1" t="s">
        <v>703</v>
      </c>
      <c r="D1046" s="1" t="n">
        <v>11197</v>
      </c>
      <c r="E1046" s="1" t="s">
        <v>53</v>
      </c>
      <c r="F1046" s="201" t="n">
        <v>200025888864</v>
      </c>
      <c r="G1046" s="198" t="s">
        <v>590</v>
      </c>
      <c r="H1046" s="163" t="s">
        <v>474</v>
      </c>
      <c r="I1046" s="161" t="n">
        <v>87</v>
      </c>
      <c r="J1046" s="156" t="s">
        <v>192</v>
      </c>
      <c r="K1046" s="200" t="n">
        <v>45452.4950578704</v>
      </c>
      <c r="L1046" s="1" t="n">
        <v>2</v>
      </c>
      <c r="M1046" s="1" t="n">
        <v>11197</v>
      </c>
      <c r="N1046" s="1" t="n">
        <v>214</v>
      </c>
    </row>
    <row r="1047" customFormat="false" ht="14.25" hidden="false" customHeight="false" outlineLevel="0" collapsed="false">
      <c r="A1047" s="1" t="n">
        <v>121</v>
      </c>
      <c r="B1047" s="1" t="s">
        <v>702</v>
      </c>
      <c r="C1047" s="1" t="s">
        <v>703</v>
      </c>
      <c r="D1047" s="1" t="n">
        <v>11197</v>
      </c>
      <c r="E1047" s="1" t="s">
        <v>53</v>
      </c>
      <c r="F1047" s="201" t="n">
        <v>200025888864</v>
      </c>
      <c r="G1047" s="198" t="s">
        <v>590</v>
      </c>
      <c r="H1047" s="163" t="s">
        <v>474</v>
      </c>
      <c r="I1047" s="161" t="n">
        <v>87</v>
      </c>
      <c r="J1047" s="156" t="s">
        <v>192</v>
      </c>
      <c r="K1047" s="200" t="n">
        <v>45452.5015856482</v>
      </c>
      <c r="L1047" s="1" t="n">
        <v>1</v>
      </c>
      <c r="M1047" s="1" t="n">
        <v>11197</v>
      </c>
      <c r="N1047" s="1" t="n">
        <v>215</v>
      </c>
    </row>
    <row r="1048" customFormat="false" ht="14.25" hidden="false" customHeight="false" outlineLevel="0" collapsed="false">
      <c r="A1048" s="1" t="n">
        <v>122</v>
      </c>
      <c r="B1048" s="1" t="s">
        <v>702</v>
      </c>
      <c r="C1048" s="1" t="s">
        <v>703</v>
      </c>
      <c r="D1048" s="1" t="n">
        <v>11197</v>
      </c>
      <c r="E1048" s="1" t="s">
        <v>53</v>
      </c>
      <c r="F1048" s="201" t="n">
        <v>200025888864</v>
      </c>
      <c r="G1048" s="198" t="s">
        <v>590</v>
      </c>
      <c r="H1048" s="163" t="s">
        <v>474</v>
      </c>
      <c r="I1048" s="161" t="n">
        <v>87</v>
      </c>
      <c r="J1048" s="156" t="s">
        <v>192</v>
      </c>
      <c r="K1048" s="200" t="n">
        <v>45452.5028472222</v>
      </c>
      <c r="L1048" s="1" t="n">
        <v>2</v>
      </c>
      <c r="M1048" s="1" t="n">
        <v>11197</v>
      </c>
      <c r="N1048" s="1" t="n">
        <v>216</v>
      </c>
    </row>
    <row r="1049" customFormat="false" ht="14.25" hidden="false" customHeight="false" outlineLevel="0" collapsed="false">
      <c r="A1049" s="1" t="n">
        <v>123</v>
      </c>
      <c r="B1049" s="1" t="s">
        <v>702</v>
      </c>
      <c r="C1049" s="1" t="s">
        <v>703</v>
      </c>
      <c r="D1049" s="1" t="n">
        <v>11197</v>
      </c>
      <c r="E1049" s="1" t="s">
        <v>53</v>
      </c>
      <c r="F1049" s="201" t="n">
        <v>200025888864</v>
      </c>
      <c r="G1049" s="198" t="s">
        <v>590</v>
      </c>
      <c r="H1049" s="163" t="s">
        <v>474</v>
      </c>
      <c r="I1049" s="161" t="n">
        <v>87</v>
      </c>
      <c r="J1049" s="156" t="s">
        <v>192</v>
      </c>
      <c r="K1049" s="200" t="n">
        <v>45452.5075115741</v>
      </c>
      <c r="L1049" s="1" t="n">
        <v>1</v>
      </c>
      <c r="M1049" s="1" t="n">
        <v>11197</v>
      </c>
      <c r="N1049" s="1" t="n">
        <v>217</v>
      </c>
    </row>
    <row r="1050" customFormat="false" ht="14.25" hidden="false" customHeight="false" outlineLevel="0" collapsed="false">
      <c r="A1050" s="1" t="n">
        <v>124</v>
      </c>
      <c r="B1050" s="1" t="s">
        <v>702</v>
      </c>
      <c r="C1050" s="1" t="s">
        <v>703</v>
      </c>
      <c r="D1050" s="1" t="n">
        <v>11197</v>
      </c>
      <c r="E1050" s="1" t="s">
        <v>53</v>
      </c>
      <c r="F1050" s="201" t="n">
        <v>200025888181</v>
      </c>
      <c r="G1050" s="198" t="s">
        <v>631</v>
      </c>
      <c r="H1050" s="163" t="s">
        <v>215</v>
      </c>
      <c r="I1050" s="161" t="n">
        <v>115</v>
      </c>
      <c r="J1050" s="156" t="s">
        <v>192</v>
      </c>
      <c r="K1050" s="200" t="n">
        <v>45452.5247106482</v>
      </c>
      <c r="L1050" s="1" t="n">
        <v>1</v>
      </c>
      <c r="M1050" s="1" t="n">
        <v>11197</v>
      </c>
      <c r="N1050" s="1" t="n">
        <v>218</v>
      </c>
    </row>
    <row r="1051" customFormat="false" ht="14.25" hidden="false" customHeight="false" outlineLevel="0" collapsed="false">
      <c r="A1051" s="1" t="n">
        <v>125</v>
      </c>
      <c r="B1051" s="1" t="s">
        <v>702</v>
      </c>
      <c r="C1051" s="1" t="s">
        <v>703</v>
      </c>
      <c r="D1051" s="1" t="n">
        <v>11197</v>
      </c>
      <c r="E1051" s="1" t="s">
        <v>53</v>
      </c>
      <c r="F1051" s="201" t="n">
        <v>200025888224</v>
      </c>
      <c r="G1051" s="198" t="s">
        <v>656</v>
      </c>
      <c r="H1051" s="163" t="s">
        <v>245</v>
      </c>
      <c r="I1051" s="161" t="n">
        <v>8</v>
      </c>
      <c r="J1051" s="156" t="s">
        <v>192</v>
      </c>
      <c r="K1051" s="200" t="n">
        <v>45452.5377314815</v>
      </c>
      <c r="L1051" s="1" t="n">
        <v>1</v>
      </c>
      <c r="M1051" s="1" t="n">
        <v>11197</v>
      </c>
      <c r="N1051" s="1" t="n">
        <v>219</v>
      </c>
    </row>
    <row r="1052" customFormat="false" ht="14.25" hidden="false" customHeight="false" outlineLevel="0" collapsed="false">
      <c r="A1052" s="1" t="n">
        <v>126</v>
      </c>
      <c r="B1052" s="1" t="s">
        <v>702</v>
      </c>
      <c r="C1052" s="1" t="s">
        <v>703</v>
      </c>
      <c r="D1052" s="1" t="n">
        <v>11197</v>
      </c>
      <c r="E1052" s="1" t="s">
        <v>53</v>
      </c>
      <c r="F1052" s="201" t="n">
        <v>200025888224</v>
      </c>
      <c r="G1052" s="198" t="s">
        <v>656</v>
      </c>
      <c r="H1052" s="163" t="s">
        <v>245</v>
      </c>
      <c r="I1052" s="161" t="n">
        <v>8</v>
      </c>
      <c r="J1052" s="156" t="s">
        <v>192</v>
      </c>
      <c r="K1052" s="200" t="n">
        <v>45452.5378819444</v>
      </c>
      <c r="L1052" s="1" t="n">
        <v>1</v>
      </c>
      <c r="M1052" s="1" t="n">
        <v>11197</v>
      </c>
      <c r="N1052" s="1" t="n">
        <v>220</v>
      </c>
    </row>
    <row r="1053" customFormat="false" ht="14.25" hidden="false" customHeight="false" outlineLevel="0" collapsed="false">
      <c r="A1053" s="1" t="n">
        <v>127</v>
      </c>
      <c r="B1053" s="1" t="s">
        <v>702</v>
      </c>
      <c r="C1053" s="1" t="s">
        <v>703</v>
      </c>
      <c r="D1053" s="1" t="n">
        <v>11197</v>
      </c>
      <c r="E1053" s="1" t="s">
        <v>53</v>
      </c>
      <c r="F1053" s="201" t="n">
        <v>200025888224</v>
      </c>
      <c r="G1053" s="198" t="s">
        <v>656</v>
      </c>
      <c r="H1053" s="163" t="s">
        <v>245</v>
      </c>
      <c r="I1053" s="161" t="n">
        <v>8</v>
      </c>
      <c r="J1053" s="156" t="s">
        <v>192</v>
      </c>
      <c r="K1053" s="200" t="n">
        <v>45452.5383217593</v>
      </c>
      <c r="L1053" s="1" t="n">
        <v>2</v>
      </c>
      <c r="M1053" s="1" t="n">
        <v>11197</v>
      </c>
      <c r="N1053" s="1" t="n">
        <v>221</v>
      </c>
    </row>
    <row r="1054" customFormat="false" ht="14.25" hidden="false" customHeight="false" outlineLevel="0" collapsed="false">
      <c r="A1054" s="1" t="n">
        <v>128</v>
      </c>
      <c r="B1054" s="1" t="s">
        <v>702</v>
      </c>
      <c r="C1054" s="1" t="s">
        <v>703</v>
      </c>
      <c r="D1054" s="1" t="n">
        <v>11197</v>
      </c>
      <c r="E1054" s="1" t="s">
        <v>53</v>
      </c>
      <c r="F1054" s="201" t="n">
        <v>200025888224</v>
      </c>
      <c r="G1054" s="198" t="s">
        <v>656</v>
      </c>
      <c r="H1054" s="163" t="s">
        <v>245</v>
      </c>
      <c r="I1054" s="161" t="n">
        <v>8</v>
      </c>
      <c r="J1054" s="156" t="s">
        <v>192</v>
      </c>
      <c r="K1054" s="200" t="n">
        <v>45452.5383449074</v>
      </c>
      <c r="L1054" s="1" t="n">
        <v>0</v>
      </c>
      <c r="M1054" s="1" t="n">
        <v>11197</v>
      </c>
      <c r="N1054" s="1" t="n">
        <v>222</v>
      </c>
    </row>
    <row r="1055" customFormat="false" ht="14.25" hidden="false" customHeight="false" outlineLevel="0" collapsed="false">
      <c r="A1055" s="1" t="n">
        <v>129</v>
      </c>
      <c r="B1055" s="1" t="s">
        <v>702</v>
      </c>
      <c r="C1055" s="1" t="s">
        <v>703</v>
      </c>
      <c r="D1055" s="1" t="n">
        <v>11197</v>
      </c>
      <c r="E1055" s="1" t="s">
        <v>53</v>
      </c>
      <c r="F1055" s="201" t="n">
        <v>200025888224</v>
      </c>
      <c r="G1055" s="198" t="s">
        <v>656</v>
      </c>
      <c r="H1055" s="163" t="s">
        <v>245</v>
      </c>
      <c r="I1055" s="161" t="n">
        <v>8</v>
      </c>
      <c r="J1055" s="156" t="s">
        <v>192</v>
      </c>
      <c r="K1055" s="200" t="n">
        <v>45452.5386342593</v>
      </c>
      <c r="L1055" s="1" t="n">
        <v>2</v>
      </c>
      <c r="M1055" s="1" t="n">
        <v>11197</v>
      </c>
      <c r="N1055" s="1" t="n">
        <v>223</v>
      </c>
    </row>
    <row r="1056" customFormat="false" ht="14.25" hidden="false" customHeight="false" outlineLevel="0" collapsed="false">
      <c r="A1056" s="1" t="n">
        <v>130</v>
      </c>
      <c r="B1056" s="1" t="s">
        <v>702</v>
      </c>
      <c r="C1056" s="1" t="s">
        <v>703</v>
      </c>
      <c r="D1056" s="1" t="n">
        <v>11197</v>
      </c>
      <c r="E1056" s="1" t="s">
        <v>53</v>
      </c>
      <c r="F1056" s="201" t="n">
        <v>200025888224</v>
      </c>
      <c r="G1056" s="198" t="s">
        <v>656</v>
      </c>
      <c r="H1056" s="163" t="s">
        <v>245</v>
      </c>
      <c r="I1056" s="161" t="n">
        <v>8</v>
      </c>
      <c r="J1056" s="156" t="s">
        <v>192</v>
      </c>
      <c r="K1056" s="200" t="n">
        <v>45452.542337963</v>
      </c>
      <c r="L1056" s="1" t="n">
        <v>1</v>
      </c>
      <c r="M1056" s="1" t="n">
        <v>11197</v>
      </c>
      <c r="N1056" s="1" t="n">
        <v>224</v>
      </c>
    </row>
    <row r="1057" customFormat="false" ht="14.25" hidden="false" customHeight="false" outlineLevel="0" collapsed="false">
      <c r="A1057" s="1" t="n">
        <v>131</v>
      </c>
      <c r="B1057" s="1" t="s">
        <v>702</v>
      </c>
      <c r="C1057" s="1" t="s">
        <v>703</v>
      </c>
      <c r="D1057" s="1" t="n">
        <v>11197</v>
      </c>
      <c r="E1057" s="1" t="s">
        <v>53</v>
      </c>
      <c r="F1057" s="201" t="n">
        <v>200025888224</v>
      </c>
      <c r="G1057" s="198" t="s">
        <v>656</v>
      </c>
      <c r="H1057" s="163" t="s">
        <v>245</v>
      </c>
      <c r="I1057" s="161" t="n">
        <v>8</v>
      </c>
      <c r="J1057" s="156" t="s">
        <v>192</v>
      </c>
      <c r="K1057" s="200" t="n">
        <v>45452.5429050926</v>
      </c>
      <c r="L1057" s="1" t="n">
        <v>11</v>
      </c>
      <c r="M1057" s="1" t="n">
        <v>11197</v>
      </c>
      <c r="N1057" s="1" t="n">
        <v>225</v>
      </c>
    </row>
    <row r="1058" customFormat="false" ht="14.25" hidden="false" customHeight="false" outlineLevel="0" collapsed="false">
      <c r="A1058" s="1" t="n">
        <v>132</v>
      </c>
      <c r="B1058" s="1" t="s">
        <v>702</v>
      </c>
      <c r="C1058" s="1" t="s">
        <v>703</v>
      </c>
      <c r="D1058" s="1" t="n">
        <v>11197</v>
      </c>
      <c r="E1058" s="1" t="s">
        <v>53</v>
      </c>
      <c r="F1058" s="201" t="n">
        <v>200025888224</v>
      </c>
      <c r="G1058" s="198" t="s">
        <v>656</v>
      </c>
      <c r="H1058" s="163" t="s">
        <v>245</v>
      </c>
      <c r="I1058" s="161" t="n">
        <v>8</v>
      </c>
      <c r="J1058" s="156" t="s">
        <v>192</v>
      </c>
      <c r="K1058" s="200" t="n">
        <v>45452.5433217593</v>
      </c>
      <c r="L1058" s="1" t="n">
        <v>4</v>
      </c>
      <c r="M1058" s="1" t="n">
        <v>11197</v>
      </c>
      <c r="N1058" s="1" t="n">
        <v>226</v>
      </c>
    </row>
    <row r="1059" customFormat="false" ht="14.25" hidden="false" customHeight="false" outlineLevel="0" collapsed="false">
      <c r="A1059" s="1" t="n">
        <v>133</v>
      </c>
      <c r="B1059" s="1" t="s">
        <v>702</v>
      </c>
      <c r="C1059" s="1" t="s">
        <v>703</v>
      </c>
      <c r="D1059" s="1" t="n">
        <v>11197</v>
      </c>
      <c r="E1059" s="1" t="s">
        <v>53</v>
      </c>
      <c r="F1059" s="201" t="n">
        <v>200025888224</v>
      </c>
      <c r="G1059" s="198" t="s">
        <v>656</v>
      </c>
      <c r="H1059" s="163" t="s">
        <v>245</v>
      </c>
      <c r="I1059" s="161" t="n">
        <v>8</v>
      </c>
      <c r="J1059" s="156" t="s">
        <v>192</v>
      </c>
      <c r="K1059" s="200" t="n">
        <v>45452.5440625</v>
      </c>
      <c r="L1059" s="1" t="n">
        <v>1</v>
      </c>
      <c r="M1059" s="1" t="n">
        <v>11197</v>
      </c>
      <c r="N1059" s="1" t="n">
        <v>227</v>
      </c>
    </row>
    <row r="1060" customFormat="false" ht="14.25" hidden="false" customHeight="false" outlineLevel="0" collapsed="false">
      <c r="A1060" s="1" t="n">
        <v>134</v>
      </c>
      <c r="B1060" s="1" t="s">
        <v>702</v>
      </c>
      <c r="C1060" s="1" t="s">
        <v>703</v>
      </c>
      <c r="D1060" s="1" t="n">
        <v>11197</v>
      </c>
      <c r="E1060" s="1" t="s">
        <v>53</v>
      </c>
      <c r="F1060" s="201" t="n">
        <v>200025888224</v>
      </c>
      <c r="G1060" s="198" t="s">
        <v>656</v>
      </c>
      <c r="H1060" s="163" t="s">
        <v>245</v>
      </c>
      <c r="I1060" s="161" t="n">
        <v>8</v>
      </c>
      <c r="J1060" s="156" t="s">
        <v>192</v>
      </c>
      <c r="K1060" s="200" t="n">
        <v>45452.5445949074</v>
      </c>
      <c r="L1060" s="1" t="n">
        <v>2</v>
      </c>
      <c r="M1060" s="1" t="n">
        <v>11197</v>
      </c>
      <c r="N1060" s="1" t="n">
        <v>228</v>
      </c>
    </row>
    <row r="1061" customFormat="false" ht="14.25" hidden="false" customHeight="false" outlineLevel="0" collapsed="false">
      <c r="A1061" s="1" t="n">
        <v>135</v>
      </c>
      <c r="B1061" s="1" t="s">
        <v>702</v>
      </c>
      <c r="C1061" s="1" t="s">
        <v>703</v>
      </c>
      <c r="D1061" s="1" t="n">
        <v>11197</v>
      </c>
      <c r="E1061" s="1" t="s">
        <v>53</v>
      </c>
      <c r="F1061" s="201" t="n">
        <v>200025888224</v>
      </c>
      <c r="G1061" s="198" t="s">
        <v>656</v>
      </c>
      <c r="H1061" s="163" t="s">
        <v>245</v>
      </c>
      <c r="I1061" s="161" t="n">
        <v>8</v>
      </c>
      <c r="J1061" s="156" t="s">
        <v>192</v>
      </c>
      <c r="K1061" s="200" t="n">
        <v>45452.5518171296</v>
      </c>
      <c r="L1061" s="1" t="n">
        <v>1</v>
      </c>
      <c r="M1061" s="1" t="n">
        <v>11197</v>
      </c>
      <c r="N1061" s="1" t="n">
        <v>229</v>
      </c>
    </row>
    <row r="1062" customFormat="false" ht="14.25" hidden="false" customHeight="false" outlineLevel="0" collapsed="false">
      <c r="A1062" s="1" t="n">
        <v>136</v>
      </c>
      <c r="B1062" s="1" t="s">
        <v>702</v>
      </c>
      <c r="C1062" s="1" t="s">
        <v>703</v>
      </c>
      <c r="D1062" s="1" t="n">
        <v>11197</v>
      </c>
      <c r="E1062" s="1" t="s">
        <v>53</v>
      </c>
      <c r="F1062" s="201" t="n">
        <v>200025888224</v>
      </c>
      <c r="G1062" s="198" t="s">
        <v>656</v>
      </c>
      <c r="H1062" s="163" t="s">
        <v>245</v>
      </c>
      <c r="I1062" s="161" t="n">
        <v>8</v>
      </c>
      <c r="J1062" s="156" t="s">
        <v>192</v>
      </c>
      <c r="K1062" s="200" t="n">
        <v>45452.5523263889</v>
      </c>
      <c r="L1062" s="1" t="n">
        <v>1</v>
      </c>
      <c r="M1062" s="1" t="n">
        <v>11197</v>
      </c>
      <c r="N1062" s="1" t="n">
        <v>230</v>
      </c>
    </row>
    <row r="1063" customFormat="false" ht="14.25" hidden="false" customHeight="false" outlineLevel="0" collapsed="false">
      <c r="A1063" s="1" t="n">
        <v>137</v>
      </c>
      <c r="B1063" s="1" t="s">
        <v>702</v>
      </c>
      <c r="C1063" s="1" t="s">
        <v>703</v>
      </c>
      <c r="D1063" s="1" t="n">
        <v>11197</v>
      </c>
      <c r="E1063" s="1" t="s">
        <v>53</v>
      </c>
      <c r="F1063" s="201" t="n">
        <v>200025888224</v>
      </c>
      <c r="G1063" s="198" t="s">
        <v>656</v>
      </c>
      <c r="H1063" s="163" t="s">
        <v>245</v>
      </c>
      <c r="I1063" s="161" t="n">
        <v>8</v>
      </c>
      <c r="J1063" s="156" t="s">
        <v>192</v>
      </c>
      <c r="K1063" s="200" t="n">
        <v>45452.5527777778</v>
      </c>
      <c r="L1063" s="1" t="n">
        <v>1</v>
      </c>
      <c r="M1063" s="1" t="n">
        <v>11197</v>
      </c>
      <c r="N1063" s="1" t="n">
        <v>231</v>
      </c>
    </row>
    <row r="1064" customFormat="false" ht="14.25" hidden="false" customHeight="false" outlineLevel="0" collapsed="false">
      <c r="A1064" s="1" t="n">
        <v>138</v>
      </c>
      <c r="B1064" s="1" t="s">
        <v>702</v>
      </c>
      <c r="C1064" s="1" t="s">
        <v>703</v>
      </c>
      <c r="D1064" s="1" t="n">
        <v>11197</v>
      </c>
      <c r="E1064" s="1" t="s">
        <v>53</v>
      </c>
      <c r="F1064" s="201" t="n">
        <v>200025888181</v>
      </c>
      <c r="G1064" s="198" t="s">
        <v>631</v>
      </c>
      <c r="H1064" s="163" t="s">
        <v>215</v>
      </c>
      <c r="I1064" s="161" t="n">
        <v>115</v>
      </c>
      <c r="J1064" s="156" t="s">
        <v>192</v>
      </c>
      <c r="K1064" s="200" t="n">
        <v>45452.5620717593</v>
      </c>
      <c r="L1064" s="1" t="n">
        <v>1</v>
      </c>
      <c r="M1064" s="1" t="n">
        <v>11197</v>
      </c>
      <c r="N1064" s="1" t="n">
        <v>232</v>
      </c>
    </row>
    <row r="1065" customFormat="false" ht="14.25" hidden="false" customHeight="false" outlineLevel="0" collapsed="false">
      <c r="A1065" s="1" t="n">
        <v>139</v>
      </c>
      <c r="B1065" s="1" t="s">
        <v>702</v>
      </c>
      <c r="C1065" s="1" t="s">
        <v>703</v>
      </c>
      <c r="D1065" s="1" t="n">
        <v>11197</v>
      </c>
      <c r="E1065" s="1" t="s">
        <v>53</v>
      </c>
      <c r="F1065" s="201" t="n">
        <v>200025888181</v>
      </c>
      <c r="G1065" s="198" t="s">
        <v>631</v>
      </c>
      <c r="H1065" s="163" t="s">
        <v>215</v>
      </c>
      <c r="I1065" s="161" t="n">
        <v>115</v>
      </c>
      <c r="J1065" s="156" t="s">
        <v>192</v>
      </c>
      <c r="K1065" s="200" t="n">
        <v>45452.5628819445</v>
      </c>
      <c r="L1065" s="1" t="n">
        <v>1</v>
      </c>
      <c r="M1065" s="1" t="n">
        <v>11197</v>
      </c>
      <c r="N1065" s="1" t="n">
        <v>233</v>
      </c>
    </row>
    <row r="1066" customFormat="false" ht="14.25" hidden="false" customHeight="false" outlineLevel="0" collapsed="false">
      <c r="A1066" s="1" t="n">
        <v>140</v>
      </c>
      <c r="B1066" s="1" t="s">
        <v>702</v>
      </c>
      <c r="C1066" s="1" t="s">
        <v>703</v>
      </c>
      <c r="D1066" s="1" t="n">
        <v>11197</v>
      </c>
      <c r="E1066" s="1" t="s">
        <v>53</v>
      </c>
      <c r="F1066" s="201" t="n">
        <v>200025888181</v>
      </c>
      <c r="G1066" s="198" t="s">
        <v>631</v>
      </c>
      <c r="H1066" s="163" t="s">
        <v>215</v>
      </c>
      <c r="I1066" s="161" t="n">
        <v>115</v>
      </c>
      <c r="J1066" s="156" t="s">
        <v>192</v>
      </c>
      <c r="K1066" s="200" t="n">
        <v>45452.5628935185</v>
      </c>
      <c r="L1066" s="1" t="n">
        <v>1</v>
      </c>
      <c r="M1066" s="1" t="n">
        <v>11197</v>
      </c>
      <c r="N1066" s="1" t="n">
        <v>234</v>
      </c>
    </row>
    <row r="1067" customFormat="false" ht="14.25" hidden="false" customHeight="false" outlineLevel="0" collapsed="false">
      <c r="A1067" s="1" t="n">
        <v>141</v>
      </c>
      <c r="B1067" s="1" t="s">
        <v>702</v>
      </c>
      <c r="C1067" s="1" t="s">
        <v>703</v>
      </c>
      <c r="D1067" s="1" t="n">
        <v>11197</v>
      </c>
      <c r="E1067" s="1" t="s">
        <v>53</v>
      </c>
      <c r="F1067" s="201" t="n">
        <v>200025888181</v>
      </c>
      <c r="G1067" s="198" t="s">
        <v>631</v>
      </c>
      <c r="H1067" s="163" t="s">
        <v>215</v>
      </c>
      <c r="I1067" s="161" t="n">
        <v>115</v>
      </c>
      <c r="J1067" s="156" t="s">
        <v>192</v>
      </c>
      <c r="K1067" s="200" t="n">
        <v>45452.5632407407</v>
      </c>
      <c r="L1067" s="1" t="n">
        <v>2</v>
      </c>
      <c r="M1067" s="1" t="n">
        <v>11197</v>
      </c>
      <c r="N1067" s="1" t="n">
        <v>235</v>
      </c>
    </row>
    <row r="1068" customFormat="false" ht="14.25" hidden="false" customHeight="false" outlineLevel="0" collapsed="false">
      <c r="A1068" s="1" t="n">
        <v>142</v>
      </c>
      <c r="B1068" s="1" t="s">
        <v>702</v>
      </c>
      <c r="C1068" s="1" t="s">
        <v>703</v>
      </c>
      <c r="D1068" s="1" t="n">
        <v>11197</v>
      </c>
      <c r="E1068" s="1" t="s">
        <v>53</v>
      </c>
      <c r="F1068" s="201" t="n">
        <v>200025888181</v>
      </c>
      <c r="G1068" s="198" t="s">
        <v>631</v>
      </c>
      <c r="H1068" s="163" t="s">
        <v>215</v>
      </c>
      <c r="I1068" s="161" t="n">
        <v>115</v>
      </c>
      <c r="J1068" s="156" t="s">
        <v>192</v>
      </c>
      <c r="K1068" s="200" t="n">
        <v>45452.5640393519</v>
      </c>
      <c r="L1068" s="1" t="n">
        <v>3</v>
      </c>
      <c r="M1068" s="1" t="n">
        <v>11197</v>
      </c>
      <c r="N1068" s="1" t="n">
        <v>236</v>
      </c>
    </row>
    <row r="1069" customFormat="false" ht="14.25" hidden="false" customHeight="false" outlineLevel="0" collapsed="false">
      <c r="A1069" s="1" t="n">
        <v>143</v>
      </c>
      <c r="B1069" s="1" t="s">
        <v>702</v>
      </c>
      <c r="C1069" s="1" t="s">
        <v>703</v>
      </c>
      <c r="D1069" s="1" t="n">
        <v>11197</v>
      </c>
      <c r="E1069" s="1" t="s">
        <v>53</v>
      </c>
      <c r="F1069" s="201" t="n">
        <v>200025888181</v>
      </c>
      <c r="G1069" s="198" t="s">
        <v>631</v>
      </c>
      <c r="H1069" s="163" t="s">
        <v>215</v>
      </c>
      <c r="I1069" s="161" t="n">
        <v>115</v>
      </c>
      <c r="J1069" s="156" t="s">
        <v>192</v>
      </c>
      <c r="K1069" s="200" t="n">
        <v>45452.5654861111</v>
      </c>
      <c r="L1069" s="1" t="n">
        <v>2</v>
      </c>
      <c r="M1069" s="1" t="n">
        <v>11197</v>
      </c>
      <c r="N1069" s="1" t="n">
        <v>237</v>
      </c>
    </row>
    <row r="1070" customFormat="false" ht="14.25" hidden="false" customHeight="false" outlineLevel="0" collapsed="false">
      <c r="A1070" s="1" t="n">
        <v>144</v>
      </c>
      <c r="B1070" s="1" t="s">
        <v>702</v>
      </c>
      <c r="C1070" s="1" t="s">
        <v>703</v>
      </c>
      <c r="D1070" s="1" t="n">
        <v>11197</v>
      </c>
      <c r="E1070" s="1" t="s">
        <v>53</v>
      </c>
      <c r="F1070" s="201" t="n">
        <v>200025888181</v>
      </c>
      <c r="G1070" s="198" t="s">
        <v>631</v>
      </c>
      <c r="H1070" s="163" t="s">
        <v>215</v>
      </c>
      <c r="I1070" s="161" t="n">
        <v>115</v>
      </c>
      <c r="J1070" s="156" t="s">
        <v>192</v>
      </c>
      <c r="K1070" s="200" t="n">
        <v>45452.5659027778</v>
      </c>
      <c r="L1070" s="1" t="n">
        <v>2</v>
      </c>
      <c r="M1070" s="1" t="n">
        <v>11197</v>
      </c>
      <c r="N1070" s="1" t="n">
        <v>238</v>
      </c>
    </row>
    <row r="1071" customFormat="false" ht="14.25" hidden="false" customHeight="false" outlineLevel="0" collapsed="false">
      <c r="A1071" s="1" t="n">
        <v>145</v>
      </c>
      <c r="B1071" s="1" t="s">
        <v>702</v>
      </c>
      <c r="C1071" s="1" t="s">
        <v>703</v>
      </c>
      <c r="D1071" s="1" t="n">
        <v>11197</v>
      </c>
      <c r="E1071" s="1" t="s">
        <v>53</v>
      </c>
      <c r="F1071" s="201" t="n">
        <v>200025888158</v>
      </c>
      <c r="G1071" s="198" t="s">
        <v>630</v>
      </c>
      <c r="H1071" s="163" t="s">
        <v>193</v>
      </c>
      <c r="I1071" s="161" t="n">
        <v>30</v>
      </c>
      <c r="J1071" s="156" t="s">
        <v>192</v>
      </c>
      <c r="K1071" s="200" t="n">
        <v>45452.5913657407</v>
      </c>
      <c r="L1071" s="1" t="n">
        <v>2</v>
      </c>
      <c r="M1071" s="1" t="n">
        <v>11197</v>
      </c>
      <c r="N1071" s="1" t="n">
        <v>239</v>
      </c>
    </row>
    <row r="1072" customFormat="false" ht="14.25" hidden="false" customHeight="false" outlineLevel="0" collapsed="false">
      <c r="A1072" s="1" t="n">
        <v>146</v>
      </c>
      <c r="B1072" s="1" t="s">
        <v>702</v>
      </c>
      <c r="C1072" s="1" t="s">
        <v>703</v>
      </c>
      <c r="D1072" s="1" t="n">
        <v>11197</v>
      </c>
      <c r="E1072" s="1" t="s">
        <v>53</v>
      </c>
      <c r="F1072" s="201" t="n">
        <v>200025888181</v>
      </c>
      <c r="G1072" s="198" t="s">
        <v>631</v>
      </c>
      <c r="H1072" s="163" t="s">
        <v>215</v>
      </c>
      <c r="I1072" s="161" t="n">
        <v>115</v>
      </c>
      <c r="J1072" s="156" t="s">
        <v>192</v>
      </c>
      <c r="K1072" s="200" t="n">
        <v>45452.6187847222</v>
      </c>
      <c r="L1072" s="1" t="n">
        <v>1</v>
      </c>
      <c r="M1072" s="1" t="n">
        <v>11197</v>
      </c>
      <c r="N1072" s="1" t="n">
        <v>240</v>
      </c>
    </row>
    <row r="1073" customFormat="false" ht="14.25" hidden="false" customHeight="false" outlineLevel="0" collapsed="false">
      <c r="A1073" s="1" t="n">
        <v>147</v>
      </c>
      <c r="B1073" s="1" t="s">
        <v>702</v>
      </c>
      <c r="C1073" s="1" t="s">
        <v>703</v>
      </c>
      <c r="D1073" s="1" t="n">
        <v>11197</v>
      </c>
      <c r="E1073" s="1" t="s">
        <v>53</v>
      </c>
      <c r="F1073" s="201" t="n">
        <v>200025888181</v>
      </c>
      <c r="G1073" s="198" t="s">
        <v>631</v>
      </c>
      <c r="H1073" s="163" t="s">
        <v>215</v>
      </c>
      <c r="I1073" s="161" t="n">
        <v>115</v>
      </c>
      <c r="J1073" s="156" t="s">
        <v>192</v>
      </c>
      <c r="K1073" s="200" t="n">
        <v>45452.6198958333</v>
      </c>
      <c r="L1073" s="1" t="n">
        <v>2</v>
      </c>
      <c r="M1073" s="1" t="n">
        <v>11197</v>
      </c>
      <c r="N1073" s="1" t="n">
        <v>241</v>
      </c>
    </row>
    <row r="1074" customFormat="false" ht="14.25" hidden="false" customHeight="false" outlineLevel="0" collapsed="false">
      <c r="A1074" s="1" t="n">
        <v>148</v>
      </c>
      <c r="B1074" s="1" t="s">
        <v>702</v>
      </c>
      <c r="C1074" s="1" t="s">
        <v>703</v>
      </c>
      <c r="D1074" s="1" t="n">
        <v>11197</v>
      </c>
      <c r="E1074" s="1" t="s">
        <v>53</v>
      </c>
      <c r="F1074" s="201" t="n">
        <v>200025888181</v>
      </c>
      <c r="G1074" s="198" t="s">
        <v>631</v>
      </c>
      <c r="H1074" s="163" t="s">
        <v>215</v>
      </c>
      <c r="I1074" s="161" t="n">
        <v>115</v>
      </c>
      <c r="J1074" s="156" t="s">
        <v>192</v>
      </c>
      <c r="K1074" s="200" t="n">
        <v>45452.6201851852</v>
      </c>
      <c r="L1074" s="1" t="n">
        <v>1</v>
      </c>
      <c r="M1074" s="1" t="n">
        <v>11197</v>
      </c>
      <c r="N1074" s="1" t="n">
        <v>242</v>
      </c>
    </row>
    <row r="1075" customFormat="false" ht="14.25" hidden="false" customHeight="false" outlineLevel="0" collapsed="false">
      <c r="A1075" s="1" t="n">
        <v>149</v>
      </c>
      <c r="B1075" s="1" t="s">
        <v>702</v>
      </c>
      <c r="C1075" s="1" t="s">
        <v>703</v>
      </c>
      <c r="D1075" s="1" t="n">
        <v>11197</v>
      </c>
      <c r="E1075" s="1" t="s">
        <v>53</v>
      </c>
      <c r="F1075" s="201" t="n">
        <v>200025888181</v>
      </c>
      <c r="G1075" s="198" t="s">
        <v>631</v>
      </c>
      <c r="H1075" s="163" t="s">
        <v>215</v>
      </c>
      <c r="I1075" s="161" t="n">
        <v>115</v>
      </c>
      <c r="J1075" s="156" t="s">
        <v>192</v>
      </c>
      <c r="K1075" s="200" t="n">
        <v>45452.6206134259</v>
      </c>
      <c r="L1075" s="1" t="n">
        <v>1</v>
      </c>
      <c r="M1075" s="1" t="n">
        <v>11197</v>
      </c>
      <c r="N1075" s="1" t="n">
        <v>243</v>
      </c>
    </row>
    <row r="1076" customFormat="false" ht="14.25" hidden="false" customHeight="false" outlineLevel="0" collapsed="false">
      <c r="A1076" s="1" t="n">
        <v>150</v>
      </c>
      <c r="B1076" s="1" t="s">
        <v>702</v>
      </c>
      <c r="C1076" s="1" t="s">
        <v>703</v>
      </c>
      <c r="D1076" s="1" t="n">
        <v>11197</v>
      </c>
      <c r="E1076" s="1" t="s">
        <v>53</v>
      </c>
      <c r="F1076" s="201" t="n">
        <v>200025888181</v>
      </c>
      <c r="G1076" s="198" t="s">
        <v>631</v>
      </c>
      <c r="H1076" s="163" t="s">
        <v>215</v>
      </c>
      <c r="I1076" s="161" t="n">
        <v>115</v>
      </c>
      <c r="J1076" s="156" t="s">
        <v>192</v>
      </c>
      <c r="K1076" s="200" t="n">
        <v>45452.6208449074</v>
      </c>
      <c r="L1076" s="1" t="n">
        <v>2</v>
      </c>
      <c r="M1076" s="1" t="n">
        <v>11197</v>
      </c>
      <c r="N1076" s="1" t="n">
        <v>244</v>
      </c>
    </row>
    <row r="1077" customFormat="false" ht="14.25" hidden="false" customHeight="false" outlineLevel="0" collapsed="false">
      <c r="A1077" s="1" t="n">
        <v>151</v>
      </c>
      <c r="B1077" s="1" t="s">
        <v>702</v>
      </c>
      <c r="C1077" s="1" t="s">
        <v>703</v>
      </c>
      <c r="D1077" s="1" t="n">
        <v>11197</v>
      </c>
      <c r="E1077" s="1" t="s">
        <v>53</v>
      </c>
      <c r="F1077" s="201" t="n">
        <v>200025888181</v>
      </c>
      <c r="G1077" s="198" t="s">
        <v>631</v>
      </c>
      <c r="H1077" s="163" t="s">
        <v>215</v>
      </c>
      <c r="I1077" s="161" t="n">
        <v>115</v>
      </c>
      <c r="J1077" s="156" t="s">
        <v>192</v>
      </c>
      <c r="K1077" s="200" t="n">
        <v>45452.6209490741</v>
      </c>
      <c r="L1077" s="1" t="n">
        <v>1</v>
      </c>
      <c r="M1077" s="1" t="n">
        <v>11197</v>
      </c>
      <c r="N1077" s="1" t="n">
        <v>245</v>
      </c>
    </row>
    <row r="1078" customFormat="false" ht="14.25" hidden="false" customHeight="false" outlineLevel="0" collapsed="false">
      <c r="A1078" s="1" t="n">
        <v>152</v>
      </c>
      <c r="B1078" s="1" t="s">
        <v>702</v>
      </c>
      <c r="C1078" s="1" t="s">
        <v>703</v>
      </c>
      <c r="D1078" s="1" t="n">
        <v>11197</v>
      </c>
      <c r="E1078" s="1" t="s">
        <v>53</v>
      </c>
      <c r="F1078" s="201" t="n">
        <v>200025888181</v>
      </c>
      <c r="G1078" s="198" t="s">
        <v>631</v>
      </c>
      <c r="H1078" s="163" t="s">
        <v>215</v>
      </c>
      <c r="I1078" s="161" t="n">
        <v>115</v>
      </c>
      <c r="J1078" s="156" t="s">
        <v>192</v>
      </c>
      <c r="K1078" s="200" t="n">
        <v>45452.6209722222</v>
      </c>
      <c r="L1078" s="1" t="n">
        <v>2</v>
      </c>
      <c r="M1078" s="1" t="n">
        <v>11197</v>
      </c>
      <c r="N1078" s="1" t="n">
        <v>246</v>
      </c>
    </row>
    <row r="1079" customFormat="false" ht="14.25" hidden="false" customHeight="false" outlineLevel="0" collapsed="false">
      <c r="A1079" s="1" t="n">
        <v>153</v>
      </c>
      <c r="B1079" s="1" t="s">
        <v>702</v>
      </c>
      <c r="C1079" s="1" t="s">
        <v>703</v>
      </c>
      <c r="D1079" s="1" t="n">
        <v>11197</v>
      </c>
      <c r="E1079" s="1" t="s">
        <v>53</v>
      </c>
      <c r="F1079" s="201" t="n">
        <v>200025888181</v>
      </c>
      <c r="G1079" s="198" t="s">
        <v>631</v>
      </c>
      <c r="H1079" s="163" t="s">
        <v>215</v>
      </c>
      <c r="I1079" s="161" t="n">
        <v>115</v>
      </c>
      <c r="J1079" s="156" t="s">
        <v>192</v>
      </c>
      <c r="K1079" s="200" t="n">
        <v>45452.6217361111</v>
      </c>
      <c r="L1079" s="1" t="n">
        <v>2</v>
      </c>
      <c r="M1079" s="1" t="n">
        <v>11197</v>
      </c>
      <c r="N1079" s="1" t="n">
        <v>247</v>
      </c>
    </row>
    <row r="1080" customFormat="false" ht="14.25" hidden="false" customHeight="false" outlineLevel="0" collapsed="false">
      <c r="A1080" s="1" t="n">
        <v>154</v>
      </c>
      <c r="B1080" s="1" t="s">
        <v>702</v>
      </c>
      <c r="C1080" s="1" t="s">
        <v>703</v>
      </c>
      <c r="D1080" s="1" t="n">
        <v>11197</v>
      </c>
      <c r="E1080" s="1" t="s">
        <v>53</v>
      </c>
      <c r="F1080" s="201" t="n">
        <v>200025888181</v>
      </c>
      <c r="G1080" s="198" t="s">
        <v>631</v>
      </c>
      <c r="H1080" s="163" t="s">
        <v>215</v>
      </c>
      <c r="I1080" s="161" t="n">
        <v>115</v>
      </c>
      <c r="J1080" s="156" t="s">
        <v>192</v>
      </c>
      <c r="K1080" s="200" t="n">
        <v>45452.6224768519</v>
      </c>
      <c r="L1080" s="1" t="n">
        <v>1</v>
      </c>
      <c r="M1080" s="1" t="n">
        <v>11197</v>
      </c>
      <c r="N1080" s="1" t="n">
        <v>248</v>
      </c>
    </row>
    <row r="1081" customFormat="false" ht="14.25" hidden="false" customHeight="false" outlineLevel="0" collapsed="false">
      <c r="A1081" s="1" t="n">
        <v>155</v>
      </c>
      <c r="B1081" s="1" t="s">
        <v>702</v>
      </c>
      <c r="C1081" s="1" t="s">
        <v>703</v>
      </c>
      <c r="D1081" s="1" t="n">
        <v>11197</v>
      </c>
      <c r="E1081" s="1" t="s">
        <v>53</v>
      </c>
      <c r="F1081" s="201" t="n">
        <v>200025888181</v>
      </c>
      <c r="G1081" s="198" t="s">
        <v>631</v>
      </c>
      <c r="H1081" s="163" t="s">
        <v>215</v>
      </c>
      <c r="I1081" s="161" t="n">
        <v>115</v>
      </c>
      <c r="J1081" s="156" t="s">
        <v>192</v>
      </c>
      <c r="K1081" s="200" t="n">
        <v>45452.6232060185</v>
      </c>
      <c r="L1081" s="1" t="n">
        <v>0</v>
      </c>
      <c r="M1081" s="1" t="n">
        <v>11197</v>
      </c>
      <c r="N1081" s="1" t="n">
        <v>249</v>
      </c>
    </row>
    <row r="1082" customFormat="false" ht="14.25" hidden="false" customHeight="false" outlineLevel="0" collapsed="false">
      <c r="A1082" s="1" t="n">
        <v>156</v>
      </c>
      <c r="B1082" s="1" t="s">
        <v>702</v>
      </c>
      <c r="C1082" s="1" t="s">
        <v>703</v>
      </c>
      <c r="D1082" s="1" t="n">
        <v>11197</v>
      </c>
      <c r="E1082" s="1" t="s">
        <v>53</v>
      </c>
      <c r="F1082" s="201" t="n">
        <v>200025888181</v>
      </c>
      <c r="G1082" s="198" t="s">
        <v>631</v>
      </c>
      <c r="H1082" s="163" t="s">
        <v>215</v>
      </c>
      <c r="I1082" s="161" t="n">
        <v>115</v>
      </c>
      <c r="J1082" s="156" t="s">
        <v>192</v>
      </c>
      <c r="K1082" s="200" t="n">
        <v>45452.6235069444</v>
      </c>
      <c r="L1082" s="1" t="n">
        <v>1</v>
      </c>
      <c r="M1082" s="1" t="n">
        <v>11197</v>
      </c>
      <c r="N1082" s="1" t="n">
        <v>250</v>
      </c>
    </row>
    <row r="1083" customFormat="false" ht="14.25" hidden="false" customHeight="false" outlineLevel="0" collapsed="false">
      <c r="A1083" s="1" t="n">
        <v>157</v>
      </c>
      <c r="B1083" s="1" t="s">
        <v>702</v>
      </c>
      <c r="C1083" s="1" t="s">
        <v>703</v>
      </c>
      <c r="D1083" s="1" t="n">
        <v>11197</v>
      </c>
      <c r="E1083" s="1" t="s">
        <v>53</v>
      </c>
      <c r="F1083" s="201" t="n">
        <v>200025888181</v>
      </c>
      <c r="G1083" s="198" t="s">
        <v>631</v>
      </c>
      <c r="H1083" s="163" t="s">
        <v>215</v>
      </c>
      <c r="I1083" s="161" t="n">
        <v>115</v>
      </c>
      <c r="J1083" s="156" t="s">
        <v>192</v>
      </c>
      <c r="K1083" s="200" t="n">
        <v>45452.6244444444</v>
      </c>
      <c r="L1083" s="1" t="n">
        <v>0</v>
      </c>
      <c r="M1083" s="1" t="n">
        <v>11197</v>
      </c>
      <c r="N1083" s="1" t="n">
        <v>251</v>
      </c>
    </row>
    <row r="1084" customFormat="false" ht="14.25" hidden="false" customHeight="false" outlineLevel="0" collapsed="false">
      <c r="A1084" s="1" t="n">
        <v>158</v>
      </c>
      <c r="B1084" s="1" t="s">
        <v>702</v>
      </c>
      <c r="C1084" s="1" t="s">
        <v>703</v>
      </c>
      <c r="D1084" s="1" t="n">
        <v>11197</v>
      </c>
      <c r="E1084" s="1" t="s">
        <v>53</v>
      </c>
      <c r="F1084" s="201" t="n">
        <v>200025888181</v>
      </c>
      <c r="G1084" s="198" t="s">
        <v>631</v>
      </c>
      <c r="H1084" s="163" t="s">
        <v>215</v>
      </c>
      <c r="I1084" s="161" t="n">
        <v>115</v>
      </c>
      <c r="J1084" s="156" t="s">
        <v>192</v>
      </c>
      <c r="K1084" s="200" t="n">
        <v>45452.6244560185</v>
      </c>
      <c r="L1084" s="1" t="n">
        <v>0</v>
      </c>
      <c r="M1084" s="1" t="n">
        <v>11197</v>
      </c>
      <c r="N1084" s="1" t="n">
        <v>252</v>
      </c>
    </row>
    <row r="1085" customFormat="false" ht="14.25" hidden="false" customHeight="false" outlineLevel="0" collapsed="false">
      <c r="A1085" s="1" t="n">
        <v>159</v>
      </c>
      <c r="B1085" s="1" t="s">
        <v>702</v>
      </c>
      <c r="C1085" s="1" t="s">
        <v>703</v>
      </c>
      <c r="D1085" s="1" t="n">
        <v>11197</v>
      </c>
      <c r="E1085" s="1" t="s">
        <v>53</v>
      </c>
      <c r="F1085" s="201" t="n">
        <v>200025888224</v>
      </c>
      <c r="G1085" s="198" t="s">
        <v>656</v>
      </c>
      <c r="H1085" s="163" t="s">
        <v>245</v>
      </c>
      <c r="I1085" s="161" t="n">
        <v>8</v>
      </c>
      <c r="J1085" s="156" t="s">
        <v>192</v>
      </c>
      <c r="K1085" s="200" t="n">
        <v>45452.6751388889</v>
      </c>
      <c r="L1085" s="1" t="n">
        <v>1</v>
      </c>
      <c r="M1085" s="1" t="n">
        <v>11197</v>
      </c>
      <c r="N1085" s="1" t="n">
        <v>253</v>
      </c>
    </row>
    <row r="1086" customFormat="false" ht="14.25" hidden="false" customHeight="false" outlineLevel="0" collapsed="false">
      <c r="A1086" s="1" t="n">
        <v>160</v>
      </c>
      <c r="B1086" s="1" t="s">
        <v>702</v>
      </c>
      <c r="C1086" s="1" t="s">
        <v>703</v>
      </c>
      <c r="D1086" s="1" t="n">
        <v>11197</v>
      </c>
      <c r="E1086" s="1" t="s">
        <v>53</v>
      </c>
      <c r="F1086" s="201" t="n">
        <v>200025888181</v>
      </c>
      <c r="G1086" s="198" t="s">
        <v>631</v>
      </c>
      <c r="H1086" s="163" t="s">
        <v>215</v>
      </c>
      <c r="I1086" s="161" t="n">
        <v>115</v>
      </c>
      <c r="J1086" s="156" t="s">
        <v>192</v>
      </c>
      <c r="K1086" s="200" t="n">
        <v>45452.6772453704</v>
      </c>
      <c r="L1086" s="1" t="n">
        <v>1</v>
      </c>
      <c r="M1086" s="1" t="n">
        <v>11197</v>
      </c>
      <c r="N1086" s="1" t="n">
        <v>254</v>
      </c>
    </row>
    <row r="1087" customFormat="false" ht="14.25" hidden="false" customHeight="false" outlineLevel="0" collapsed="false">
      <c r="A1087" s="1" t="n">
        <v>161</v>
      </c>
      <c r="B1087" s="1" t="s">
        <v>702</v>
      </c>
      <c r="C1087" s="1" t="s">
        <v>703</v>
      </c>
      <c r="D1087" s="1" t="n">
        <v>11197</v>
      </c>
      <c r="E1087" s="1" t="s">
        <v>53</v>
      </c>
      <c r="F1087" s="201" t="n">
        <v>200025888181</v>
      </c>
      <c r="G1087" s="198" t="s">
        <v>631</v>
      </c>
      <c r="H1087" s="163" t="s">
        <v>215</v>
      </c>
      <c r="I1087" s="161" t="n">
        <v>115</v>
      </c>
      <c r="J1087" s="156" t="s">
        <v>192</v>
      </c>
      <c r="K1087" s="200" t="n">
        <v>45452.6778703704</v>
      </c>
      <c r="L1087" s="1" t="n">
        <v>2</v>
      </c>
      <c r="M1087" s="1" t="n">
        <v>11197</v>
      </c>
      <c r="N1087" s="1" t="n">
        <v>255</v>
      </c>
    </row>
    <row r="1088" customFormat="false" ht="14.25" hidden="false" customHeight="false" outlineLevel="0" collapsed="false">
      <c r="A1088" s="1" t="n">
        <v>162</v>
      </c>
      <c r="B1088" s="1" t="s">
        <v>702</v>
      </c>
      <c r="C1088" s="1" t="s">
        <v>703</v>
      </c>
      <c r="D1088" s="1" t="n">
        <v>11197</v>
      </c>
      <c r="E1088" s="1" t="s">
        <v>53</v>
      </c>
      <c r="F1088" s="201" t="n">
        <v>200025888181</v>
      </c>
      <c r="G1088" s="198" t="s">
        <v>631</v>
      </c>
      <c r="H1088" s="163" t="s">
        <v>215</v>
      </c>
      <c r="I1088" s="161" t="n">
        <v>115</v>
      </c>
      <c r="J1088" s="156" t="s">
        <v>192</v>
      </c>
      <c r="K1088" s="200" t="n">
        <v>45452.6778935185</v>
      </c>
      <c r="L1088" s="1" t="n">
        <v>1</v>
      </c>
      <c r="M1088" s="1" t="n">
        <v>11197</v>
      </c>
      <c r="N1088" s="1" t="n">
        <v>256</v>
      </c>
    </row>
    <row r="1089" customFormat="false" ht="14.25" hidden="false" customHeight="false" outlineLevel="0" collapsed="false">
      <c r="A1089" s="1" t="n">
        <v>163</v>
      </c>
      <c r="B1089" s="1" t="s">
        <v>702</v>
      </c>
      <c r="C1089" s="1" t="s">
        <v>703</v>
      </c>
      <c r="D1089" s="1" t="n">
        <v>11197</v>
      </c>
      <c r="E1089" s="1" t="s">
        <v>53</v>
      </c>
      <c r="F1089" s="201" t="n">
        <v>200025888181</v>
      </c>
      <c r="G1089" s="198" t="s">
        <v>631</v>
      </c>
      <c r="H1089" s="163" t="s">
        <v>215</v>
      </c>
      <c r="I1089" s="161" t="n">
        <v>115</v>
      </c>
      <c r="J1089" s="156" t="s">
        <v>192</v>
      </c>
      <c r="K1089" s="200" t="n">
        <v>45452.6779166667</v>
      </c>
      <c r="L1089" s="1" t="n">
        <v>0</v>
      </c>
      <c r="M1089" s="1" t="n">
        <v>11197</v>
      </c>
      <c r="N1089" s="1" t="n">
        <v>257</v>
      </c>
    </row>
    <row r="1090" customFormat="false" ht="14.25" hidden="false" customHeight="false" outlineLevel="0" collapsed="false">
      <c r="A1090" s="1" t="n">
        <v>164</v>
      </c>
      <c r="B1090" s="1" t="s">
        <v>702</v>
      </c>
      <c r="C1090" s="1" t="s">
        <v>703</v>
      </c>
      <c r="D1090" s="1" t="n">
        <v>11197</v>
      </c>
      <c r="E1090" s="1" t="s">
        <v>53</v>
      </c>
      <c r="F1090" s="201" t="n">
        <v>200025888224</v>
      </c>
      <c r="G1090" s="198" t="s">
        <v>656</v>
      </c>
      <c r="H1090" s="163" t="s">
        <v>245</v>
      </c>
      <c r="I1090" s="161" t="n">
        <v>8</v>
      </c>
      <c r="J1090" s="156" t="s">
        <v>192</v>
      </c>
      <c r="K1090" s="200" t="n">
        <v>45452.6796527778</v>
      </c>
      <c r="L1090" s="1" t="n">
        <v>1</v>
      </c>
      <c r="M1090" s="1" t="n">
        <v>11197</v>
      </c>
      <c r="N1090" s="1" t="n">
        <v>258</v>
      </c>
    </row>
    <row r="1091" customFormat="false" ht="14.25" hidden="false" customHeight="false" outlineLevel="0" collapsed="false">
      <c r="A1091" s="1" t="n">
        <v>165</v>
      </c>
      <c r="B1091" s="1" t="s">
        <v>702</v>
      </c>
      <c r="C1091" s="1" t="s">
        <v>703</v>
      </c>
      <c r="D1091" s="1" t="n">
        <v>11197</v>
      </c>
      <c r="E1091" s="1" t="s">
        <v>53</v>
      </c>
      <c r="F1091" s="201" t="n">
        <v>200025888181</v>
      </c>
      <c r="G1091" s="198" t="s">
        <v>631</v>
      </c>
      <c r="H1091" s="163" t="s">
        <v>215</v>
      </c>
      <c r="I1091" s="161" t="n">
        <v>115</v>
      </c>
      <c r="J1091" s="156" t="s">
        <v>192</v>
      </c>
      <c r="K1091" s="200" t="n">
        <v>45452.6905555556</v>
      </c>
      <c r="L1091" s="1" t="n">
        <v>2</v>
      </c>
      <c r="M1091" s="1" t="n">
        <v>11197</v>
      </c>
      <c r="N1091" s="1" t="n">
        <v>259</v>
      </c>
    </row>
    <row r="1092" customFormat="false" ht="14.25" hidden="false" customHeight="false" outlineLevel="0" collapsed="false">
      <c r="A1092" s="1" t="n">
        <v>166</v>
      </c>
      <c r="B1092" s="1" t="s">
        <v>702</v>
      </c>
      <c r="C1092" s="1" t="s">
        <v>703</v>
      </c>
      <c r="D1092" s="1" t="n">
        <v>11197</v>
      </c>
      <c r="E1092" s="1" t="s">
        <v>53</v>
      </c>
      <c r="F1092" s="201" t="n">
        <v>200025888617</v>
      </c>
      <c r="G1092" s="198" t="s">
        <v>614</v>
      </c>
      <c r="H1092" s="163" t="s">
        <v>387</v>
      </c>
      <c r="I1092" s="161" t="n">
        <v>100</v>
      </c>
      <c r="J1092" s="156" t="s">
        <v>192</v>
      </c>
      <c r="K1092" s="200" t="n">
        <v>45452.6926273148</v>
      </c>
      <c r="L1092" s="1" t="n">
        <v>0</v>
      </c>
      <c r="M1092" s="1" t="n">
        <v>11197</v>
      </c>
      <c r="N1092" s="1" t="n">
        <v>260</v>
      </c>
    </row>
    <row r="1093" customFormat="false" ht="14.25" hidden="false" customHeight="false" outlineLevel="0" collapsed="false">
      <c r="A1093" s="1" t="n">
        <v>167</v>
      </c>
      <c r="B1093" s="1" t="s">
        <v>702</v>
      </c>
      <c r="C1093" s="1" t="s">
        <v>703</v>
      </c>
      <c r="D1093" s="1" t="n">
        <v>11197</v>
      </c>
      <c r="E1093" s="1" t="s">
        <v>53</v>
      </c>
      <c r="F1093" s="201" t="n">
        <v>200025888617</v>
      </c>
      <c r="G1093" s="198" t="s">
        <v>614</v>
      </c>
      <c r="H1093" s="163" t="s">
        <v>387</v>
      </c>
      <c r="I1093" s="161" t="n">
        <v>100</v>
      </c>
      <c r="J1093" s="156" t="s">
        <v>192</v>
      </c>
      <c r="K1093" s="200" t="n">
        <v>45452.6926736111</v>
      </c>
      <c r="L1093" s="1" t="n">
        <v>32</v>
      </c>
      <c r="M1093" s="1" t="n">
        <v>11197</v>
      </c>
      <c r="N1093" s="1" t="n">
        <v>261</v>
      </c>
    </row>
    <row r="1094" customFormat="false" ht="14.25" hidden="false" customHeight="false" outlineLevel="0" collapsed="false">
      <c r="A1094" s="1" t="n">
        <v>168</v>
      </c>
      <c r="B1094" s="1" t="s">
        <v>702</v>
      </c>
      <c r="C1094" s="1" t="s">
        <v>703</v>
      </c>
      <c r="D1094" s="1" t="n">
        <v>11197</v>
      </c>
      <c r="E1094" s="1" t="s">
        <v>53</v>
      </c>
      <c r="F1094" s="201" t="n">
        <v>200025888617</v>
      </c>
      <c r="G1094" s="198" t="s">
        <v>614</v>
      </c>
      <c r="H1094" s="163" t="s">
        <v>387</v>
      </c>
      <c r="I1094" s="161" t="n">
        <v>100</v>
      </c>
      <c r="J1094" s="156" t="s">
        <v>192</v>
      </c>
      <c r="K1094" s="200" t="n">
        <v>45452.6930439815</v>
      </c>
      <c r="L1094" s="1" t="n">
        <v>2</v>
      </c>
      <c r="M1094" s="1" t="n">
        <v>11197</v>
      </c>
      <c r="N1094" s="1" t="n">
        <v>262</v>
      </c>
    </row>
    <row r="1095" customFormat="false" ht="14.25" hidden="false" customHeight="false" outlineLevel="0" collapsed="false">
      <c r="A1095" s="1" t="n">
        <v>169</v>
      </c>
      <c r="B1095" s="1" t="s">
        <v>702</v>
      </c>
      <c r="C1095" s="1" t="s">
        <v>703</v>
      </c>
      <c r="D1095" s="1" t="n">
        <v>11197</v>
      </c>
      <c r="E1095" s="1" t="s">
        <v>53</v>
      </c>
      <c r="F1095" s="201" t="n">
        <v>200025888181</v>
      </c>
      <c r="G1095" s="198" t="s">
        <v>631</v>
      </c>
      <c r="H1095" s="163" t="s">
        <v>215</v>
      </c>
      <c r="I1095" s="161" t="n">
        <v>115</v>
      </c>
      <c r="J1095" s="156" t="s">
        <v>192</v>
      </c>
      <c r="K1095" s="200" t="n">
        <v>45452.7213078704</v>
      </c>
      <c r="L1095" s="1" t="n">
        <v>1</v>
      </c>
      <c r="M1095" s="1" t="n">
        <v>11197</v>
      </c>
      <c r="N1095" s="1" t="n">
        <v>263</v>
      </c>
    </row>
    <row r="1096" customFormat="false" ht="14.25" hidden="false" customHeight="false" outlineLevel="0" collapsed="false">
      <c r="A1096" s="1" t="n">
        <v>170</v>
      </c>
      <c r="B1096" s="1" t="s">
        <v>702</v>
      </c>
      <c r="C1096" s="1" t="s">
        <v>703</v>
      </c>
      <c r="D1096" s="1" t="n">
        <v>11197</v>
      </c>
      <c r="E1096" s="1" t="s">
        <v>53</v>
      </c>
      <c r="F1096" s="201" t="n">
        <v>200025888181</v>
      </c>
      <c r="G1096" s="198" t="s">
        <v>631</v>
      </c>
      <c r="H1096" s="163" t="s">
        <v>215</v>
      </c>
      <c r="I1096" s="161" t="n">
        <v>115</v>
      </c>
      <c r="J1096" s="156" t="s">
        <v>192</v>
      </c>
      <c r="K1096" s="200" t="n">
        <v>45452.7215162037</v>
      </c>
      <c r="L1096" s="1" t="n">
        <v>1</v>
      </c>
      <c r="M1096" s="1" t="n">
        <v>11197</v>
      </c>
      <c r="N1096" s="1" t="n">
        <v>264</v>
      </c>
    </row>
    <row r="1097" customFormat="false" ht="14.25" hidden="false" customHeight="false" outlineLevel="0" collapsed="false">
      <c r="A1097" s="1" t="n">
        <v>171</v>
      </c>
      <c r="B1097" s="1" t="s">
        <v>702</v>
      </c>
      <c r="C1097" s="1" t="s">
        <v>703</v>
      </c>
      <c r="D1097" s="1" t="n">
        <v>11197</v>
      </c>
      <c r="E1097" s="1" t="s">
        <v>53</v>
      </c>
      <c r="F1097" s="201" t="n">
        <v>200025888181</v>
      </c>
      <c r="G1097" s="198" t="s">
        <v>631</v>
      </c>
      <c r="H1097" s="163" t="s">
        <v>215</v>
      </c>
      <c r="I1097" s="161" t="n">
        <v>115</v>
      </c>
      <c r="J1097" s="156" t="s">
        <v>192</v>
      </c>
      <c r="K1097" s="200" t="n">
        <v>45452.722650463</v>
      </c>
      <c r="L1097" s="1" t="n">
        <v>1</v>
      </c>
      <c r="M1097" s="1" t="n">
        <v>11197</v>
      </c>
      <c r="N1097" s="1" t="n">
        <v>265</v>
      </c>
    </row>
    <row r="1098" customFormat="false" ht="14.25" hidden="false" customHeight="false" outlineLevel="0" collapsed="false">
      <c r="A1098" s="1" t="n">
        <v>172</v>
      </c>
      <c r="B1098" s="1" t="s">
        <v>702</v>
      </c>
      <c r="C1098" s="1" t="s">
        <v>703</v>
      </c>
      <c r="D1098" s="1" t="n">
        <v>11197</v>
      </c>
      <c r="E1098" s="1" t="s">
        <v>53</v>
      </c>
      <c r="F1098" s="201" t="n">
        <v>200025888181</v>
      </c>
      <c r="G1098" s="198" t="s">
        <v>631</v>
      </c>
      <c r="H1098" s="163" t="s">
        <v>215</v>
      </c>
      <c r="I1098" s="161" t="n">
        <v>115</v>
      </c>
      <c r="J1098" s="156" t="s">
        <v>192</v>
      </c>
      <c r="K1098" s="200" t="n">
        <v>45452.7226736111</v>
      </c>
      <c r="L1098" s="1" t="n">
        <v>0</v>
      </c>
      <c r="M1098" s="1" t="n">
        <v>11197</v>
      </c>
      <c r="N1098" s="1" t="n">
        <v>266</v>
      </c>
    </row>
    <row r="1099" customFormat="false" ht="14.25" hidden="false" customHeight="false" outlineLevel="0" collapsed="false">
      <c r="A1099" s="1" t="n">
        <v>173</v>
      </c>
      <c r="B1099" s="1" t="s">
        <v>702</v>
      </c>
      <c r="C1099" s="1" t="s">
        <v>703</v>
      </c>
      <c r="D1099" s="1" t="n">
        <v>11197</v>
      </c>
      <c r="E1099" s="1" t="s">
        <v>53</v>
      </c>
      <c r="F1099" s="201" t="n">
        <v>200025888181</v>
      </c>
      <c r="G1099" s="198" t="s">
        <v>631</v>
      </c>
      <c r="H1099" s="163" t="s">
        <v>215</v>
      </c>
      <c r="I1099" s="161" t="n">
        <v>115</v>
      </c>
      <c r="J1099" s="156" t="s">
        <v>192</v>
      </c>
      <c r="K1099" s="200" t="n">
        <v>45452.7226851852</v>
      </c>
      <c r="L1099" s="1" t="n">
        <v>2</v>
      </c>
      <c r="M1099" s="1" t="n">
        <v>11197</v>
      </c>
      <c r="N1099" s="1" t="n">
        <v>267</v>
      </c>
    </row>
    <row r="1100" customFormat="false" ht="14.25" hidden="false" customHeight="false" outlineLevel="0" collapsed="false">
      <c r="A1100" s="1" t="n">
        <v>174</v>
      </c>
      <c r="B1100" s="1" t="s">
        <v>702</v>
      </c>
      <c r="C1100" s="1" t="s">
        <v>703</v>
      </c>
      <c r="D1100" s="1" t="n">
        <v>11197</v>
      </c>
      <c r="E1100" s="1" t="s">
        <v>53</v>
      </c>
      <c r="F1100" s="201" t="n">
        <v>200025888864</v>
      </c>
      <c r="G1100" s="198" t="s">
        <v>590</v>
      </c>
      <c r="H1100" s="163" t="s">
        <v>474</v>
      </c>
      <c r="I1100" s="161" t="n">
        <v>87</v>
      </c>
      <c r="J1100" s="156" t="s">
        <v>192</v>
      </c>
      <c r="K1100" s="200" t="n">
        <v>45452.7401273148</v>
      </c>
      <c r="L1100" s="1" t="n">
        <v>0</v>
      </c>
      <c r="M1100" s="1" t="n">
        <v>11197</v>
      </c>
      <c r="N1100" s="1" t="n">
        <v>268</v>
      </c>
    </row>
    <row r="1101" customFormat="false" ht="14.25" hidden="false" customHeight="false" outlineLevel="0" collapsed="false">
      <c r="A1101" s="1" t="n">
        <v>175</v>
      </c>
      <c r="B1101" s="1" t="s">
        <v>702</v>
      </c>
      <c r="C1101" s="1" t="s">
        <v>703</v>
      </c>
      <c r="D1101" s="1" t="n">
        <v>11197</v>
      </c>
      <c r="E1101" s="1" t="s">
        <v>53</v>
      </c>
      <c r="F1101" s="201" t="n">
        <v>200025888617</v>
      </c>
      <c r="G1101" s="198" t="s">
        <v>614</v>
      </c>
      <c r="H1101" s="163" t="s">
        <v>387</v>
      </c>
      <c r="I1101" s="161" t="n">
        <v>100</v>
      </c>
      <c r="J1101" s="156" t="s">
        <v>192</v>
      </c>
      <c r="K1101" s="200" t="n">
        <v>45452.7761226852</v>
      </c>
      <c r="L1101" s="1" t="n">
        <v>2</v>
      </c>
      <c r="M1101" s="1" t="n">
        <v>11197</v>
      </c>
      <c r="N1101" s="1" t="n">
        <v>269</v>
      </c>
    </row>
    <row r="1102" customFormat="false" ht="14.25" hidden="false" customHeight="false" outlineLevel="0" collapsed="false">
      <c r="A1102" s="1" t="n">
        <v>176</v>
      </c>
      <c r="B1102" s="1" t="s">
        <v>702</v>
      </c>
      <c r="C1102" s="1" t="s">
        <v>703</v>
      </c>
      <c r="D1102" s="1" t="n">
        <v>11197</v>
      </c>
      <c r="E1102" s="1" t="s">
        <v>53</v>
      </c>
      <c r="F1102" s="201" t="n">
        <v>200025889791</v>
      </c>
      <c r="G1102" s="198" t="s">
        <v>688</v>
      </c>
      <c r="H1102" s="163" t="s">
        <v>510</v>
      </c>
      <c r="I1102" s="161" t="n">
        <v>80</v>
      </c>
      <c r="J1102" s="156" t="s">
        <v>192</v>
      </c>
      <c r="K1102" s="200" t="n">
        <v>45452.8081712963</v>
      </c>
      <c r="L1102" s="1" t="n">
        <v>40</v>
      </c>
      <c r="M1102" s="1" t="n">
        <v>11197</v>
      </c>
      <c r="N1102" s="1" t="n">
        <v>270</v>
      </c>
    </row>
    <row r="1103" customFormat="false" ht="14.25" hidden="false" customHeight="false" outlineLevel="0" collapsed="false">
      <c r="A1103" s="1" t="n">
        <v>177</v>
      </c>
      <c r="B1103" s="1" t="s">
        <v>702</v>
      </c>
      <c r="C1103" s="1" t="s">
        <v>703</v>
      </c>
      <c r="D1103" s="1" t="n">
        <v>11197</v>
      </c>
      <c r="E1103" s="1" t="s">
        <v>53</v>
      </c>
      <c r="F1103" s="201" t="n">
        <v>200025889791</v>
      </c>
      <c r="G1103" s="198" t="s">
        <v>688</v>
      </c>
      <c r="H1103" s="163" t="s">
        <v>510</v>
      </c>
      <c r="I1103" s="161" t="n">
        <v>80</v>
      </c>
      <c r="J1103" s="156" t="s">
        <v>192</v>
      </c>
      <c r="K1103" s="200" t="n">
        <v>45452.8088310185</v>
      </c>
      <c r="L1103" s="1" t="n">
        <v>1</v>
      </c>
      <c r="M1103" s="1" t="n">
        <v>11197</v>
      </c>
      <c r="N1103" s="1" t="n">
        <v>271</v>
      </c>
    </row>
    <row r="1104" customFormat="false" ht="14.25" hidden="false" customHeight="false" outlineLevel="0" collapsed="false">
      <c r="A1104" s="1" t="n">
        <v>178</v>
      </c>
      <c r="B1104" s="1" t="s">
        <v>702</v>
      </c>
      <c r="C1104" s="1" t="s">
        <v>703</v>
      </c>
      <c r="D1104" s="1" t="n">
        <v>11197</v>
      </c>
      <c r="E1104" s="1" t="s">
        <v>53</v>
      </c>
      <c r="F1104" s="201" t="n">
        <v>200025889791</v>
      </c>
      <c r="G1104" s="198" t="s">
        <v>688</v>
      </c>
      <c r="H1104" s="163" t="s">
        <v>510</v>
      </c>
      <c r="I1104" s="161" t="n">
        <v>80</v>
      </c>
      <c r="J1104" s="156" t="s">
        <v>192</v>
      </c>
      <c r="K1104" s="200" t="n">
        <v>45452.8088541667</v>
      </c>
      <c r="L1104" s="1" t="n">
        <v>0</v>
      </c>
      <c r="M1104" s="1" t="n">
        <v>11197</v>
      </c>
      <c r="N1104" s="1" t="n">
        <v>272</v>
      </c>
    </row>
    <row r="1105" customFormat="false" ht="14.25" hidden="false" customHeight="false" outlineLevel="0" collapsed="false">
      <c r="A1105" s="1" t="n">
        <v>179</v>
      </c>
      <c r="B1105" s="1" t="s">
        <v>702</v>
      </c>
      <c r="C1105" s="1" t="s">
        <v>703</v>
      </c>
      <c r="D1105" s="1" t="n">
        <v>11197</v>
      </c>
      <c r="E1105" s="1" t="s">
        <v>53</v>
      </c>
      <c r="F1105" s="201" t="n">
        <v>200025889791</v>
      </c>
      <c r="G1105" s="198" t="s">
        <v>688</v>
      </c>
      <c r="H1105" s="163" t="s">
        <v>510</v>
      </c>
      <c r="I1105" s="161" t="n">
        <v>80</v>
      </c>
      <c r="J1105" s="156" t="s">
        <v>192</v>
      </c>
      <c r="K1105" s="200" t="n">
        <v>45452.8095023148</v>
      </c>
      <c r="L1105" s="1" t="n">
        <v>2</v>
      </c>
      <c r="M1105" s="1" t="n">
        <v>11197</v>
      </c>
      <c r="N1105" s="1" t="n">
        <v>273</v>
      </c>
    </row>
    <row r="1106" customFormat="false" ht="14.25" hidden="false" customHeight="false" outlineLevel="0" collapsed="false">
      <c r="A1106" s="1" t="n">
        <v>180</v>
      </c>
      <c r="B1106" s="1" t="s">
        <v>702</v>
      </c>
      <c r="C1106" s="1" t="s">
        <v>703</v>
      </c>
      <c r="D1106" s="1" t="n">
        <v>11197</v>
      </c>
      <c r="E1106" s="1" t="s">
        <v>53</v>
      </c>
      <c r="F1106" s="201" t="n">
        <v>200025889791</v>
      </c>
      <c r="G1106" s="198" t="s">
        <v>688</v>
      </c>
      <c r="H1106" s="163" t="s">
        <v>510</v>
      </c>
      <c r="I1106" s="161" t="n">
        <v>80</v>
      </c>
      <c r="J1106" s="156" t="s">
        <v>192</v>
      </c>
      <c r="K1106" s="200" t="n">
        <v>45452.8485532407</v>
      </c>
      <c r="L1106" s="1" t="n">
        <v>0</v>
      </c>
      <c r="M1106" s="1" t="n">
        <v>11197</v>
      </c>
      <c r="N1106" s="1" t="n">
        <v>274</v>
      </c>
    </row>
    <row r="1107" customFormat="false" ht="14.25" hidden="false" customHeight="false" outlineLevel="0" collapsed="false">
      <c r="A1107" s="1" t="n">
        <v>181</v>
      </c>
      <c r="B1107" s="1" t="s">
        <v>702</v>
      </c>
      <c r="C1107" s="1" t="s">
        <v>703</v>
      </c>
      <c r="D1107" s="1" t="n">
        <v>11197</v>
      </c>
      <c r="E1107" s="1" t="s">
        <v>53</v>
      </c>
      <c r="F1107" s="201" t="n">
        <v>200025889791</v>
      </c>
      <c r="G1107" s="198" t="s">
        <v>688</v>
      </c>
      <c r="H1107" s="163" t="s">
        <v>510</v>
      </c>
      <c r="I1107" s="161" t="n">
        <v>80</v>
      </c>
      <c r="J1107" s="156" t="s">
        <v>192</v>
      </c>
      <c r="K1107" s="200" t="n">
        <v>45452.8488078704</v>
      </c>
      <c r="L1107" s="1" t="n">
        <v>0</v>
      </c>
      <c r="M1107" s="1" t="n">
        <v>11197</v>
      </c>
      <c r="N1107" s="1" t="n">
        <v>275</v>
      </c>
    </row>
    <row r="1108" customFormat="false" ht="14.25" hidden="false" customHeight="false" outlineLevel="0" collapsed="false">
      <c r="A1108" s="1" t="n">
        <v>182</v>
      </c>
      <c r="B1108" s="1" t="s">
        <v>702</v>
      </c>
      <c r="C1108" s="1" t="s">
        <v>703</v>
      </c>
      <c r="D1108" s="1" t="n">
        <v>11197</v>
      </c>
      <c r="E1108" s="1" t="s">
        <v>53</v>
      </c>
      <c r="F1108" s="201" t="n">
        <v>200025889791</v>
      </c>
      <c r="G1108" s="198" t="s">
        <v>688</v>
      </c>
      <c r="H1108" s="163" t="s">
        <v>510</v>
      </c>
      <c r="I1108" s="161" t="n">
        <v>80</v>
      </c>
      <c r="J1108" s="156" t="s">
        <v>192</v>
      </c>
      <c r="K1108" s="200" t="n">
        <v>45452.8488194444</v>
      </c>
      <c r="L1108" s="1" t="n">
        <v>0</v>
      </c>
      <c r="M1108" s="1" t="n">
        <v>11197</v>
      </c>
      <c r="N1108" s="1" t="n">
        <v>276</v>
      </c>
    </row>
    <row r="1109" customFormat="false" ht="14.25" hidden="false" customHeight="false" outlineLevel="0" collapsed="false">
      <c r="A1109" s="1" t="n">
        <v>183</v>
      </c>
      <c r="B1109" s="1" t="s">
        <v>702</v>
      </c>
      <c r="C1109" s="1" t="s">
        <v>703</v>
      </c>
      <c r="D1109" s="1" t="n">
        <v>11197</v>
      </c>
      <c r="E1109" s="1" t="s">
        <v>53</v>
      </c>
      <c r="F1109" s="201" t="n">
        <v>200025888617</v>
      </c>
      <c r="G1109" s="198" t="s">
        <v>614</v>
      </c>
      <c r="H1109" s="163" t="s">
        <v>387</v>
      </c>
      <c r="I1109" s="161" t="n">
        <v>100</v>
      </c>
      <c r="J1109" s="156" t="s">
        <v>192</v>
      </c>
      <c r="K1109" s="200" t="n">
        <v>45452.8500462963</v>
      </c>
      <c r="L1109" s="1" t="n">
        <v>4</v>
      </c>
      <c r="M1109" s="1" t="n">
        <v>11197</v>
      </c>
      <c r="N1109" s="1" t="n">
        <v>277</v>
      </c>
    </row>
    <row r="1110" customFormat="false" ht="14.25" hidden="false" customHeight="false" outlineLevel="0" collapsed="false">
      <c r="A1110" s="1" t="n">
        <v>184</v>
      </c>
      <c r="B1110" s="1" t="s">
        <v>702</v>
      </c>
      <c r="C1110" s="1" t="s">
        <v>703</v>
      </c>
      <c r="D1110" s="1" t="n">
        <v>11197</v>
      </c>
      <c r="E1110" s="1" t="s">
        <v>53</v>
      </c>
      <c r="F1110" s="201" t="n">
        <v>200025888617</v>
      </c>
      <c r="G1110" s="198" t="s">
        <v>614</v>
      </c>
      <c r="H1110" s="163" t="s">
        <v>387</v>
      </c>
      <c r="I1110" s="161" t="n">
        <v>100</v>
      </c>
      <c r="J1110" s="156" t="s">
        <v>192</v>
      </c>
      <c r="K1110" s="200" t="n">
        <v>45452.8503587963</v>
      </c>
      <c r="L1110" s="1" t="n">
        <v>2</v>
      </c>
      <c r="M1110" s="1" t="n">
        <v>11197</v>
      </c>
      <c r="N1110" s="1" t="n">
        <v>278</v>
      </c>
    </row>
    <row r="1111" customFormat="false" ht="14.25" hidden="false" customHeight="false" outlineLevel="0" collapsed="false">
      <c r="A1111" s="1" t="n">
        <v>185</v>
      </c>
      <c r="B1111" s="1" t="s">
        <v>702</v>
      </c>
      <c r="C1111" s="1" t="s">
        <v>703</v>
      </c>
      <c r="D1111" s="1" t="n">
        <v>11197</v>
      </c>
      <c r="E1111" s="1" t="s">
        <v>53</v>
      </c>
      <c r="F1111" s="201" t="n">
        <v>200025888617</v>
      </c>
      <c r="G1111" s="198" t="s">
        <v>614</v>
      </c>
      <c r="H1111" s="163" t="s">
        <v>387</v>
      </c>
      <c r="I1111" s="161" t="n">
        <v>100</v>
      </c>
      <c r="J1111" s="156" t="s">
        <v>192</v>
      </c>
      <c r="K1111" s="200" t="n">
        <v>45452.8508564815</v>
      </c>
      <c r="L1111" s="1" t="n">
        <v>2</v>
      </c>
      <c r="M1111" s="1" t="n">
        <v>11197</v>
      </c>
      <c r="N1111" s="1" t="n">
        <v>279</v>
      </c>
    </row>
    <row r="1112" customFormat="false" ht="14.25" hidden="false" customHeight="false" outlineLevel="0" collapsed="false">
      <c r="A1112" s="1" t="n">
        <v>186</v>
      </c>
      <c r="B1112" s="1" t="s">
        <v>702</v>
      </c>
      <c r="C1112" s="1" t="s">
        <v>703</v>
      </c>
      <c r="D1112" s="1" t="n">
        <v>11197</v>
      </c>
      <c r="E1112" s="1" t="s">
        <v>53</v>
      </c>
      <c r="F1112" s="201" t="n">
        <v>200025888617</v>
      </c>
      <c r="G1112" s="198" t="s">
        <v>614</v>
      </c>
      <c r="H1112" s="163" t="s">
        <v>387</v>
      </c>
      <c r="I1112" s="161" t="n">
        <v>100</v>
      </c>
      <c r="J1112" s="156" t="s">
        <v>192</v>
      </c>
      <c r="K1112" s="200" t="n">
        <v>45452.8523958333</v>
      </c>
      <c r="L1112" s="1" t="n">
        <v>1</v>
      </c>
      <c r="M1112" s="1" t="n">
        <v>11197</v>
      </c>
      <c r="N1112" s="1" t="n">
        <v>280</v>
      </c>
    </row>
    <row r="1113" customFormat="false" ht="14.25" hidden="false" customHeight="false" outlineLevel="0" collapsed="false">
      <c r="A1113" s="1" t="n">
        <v>187</v>
      </c>
      <c r="B1113" s="1" t="s">
        <v>702</v>
      </c>
      <c r="C1113" s="1" t="s">
        <v>703</v>
      </c>
      <c r="D1113" s="1" t="n">
        <v>11197</v>
      </c>
      <c r="E1113" s="1" t="s">
        <v>53</v>
      </c>
      <c r="F1113" s="201" t="n">
        <v>200025888617</v>
      </c>
      <c r="G1113" s="198" t="s">
        <v>614</v>
      </c>
      <c r="H1113" s="163" t="s">
        <v>387</v>
      </c>
      <c r="I1113" s="161" t="n">
        <v>100</v>
      </c>
      <c r="J1113" s="156" t="s">
        <v>192</v>
      </c>
      <c r="K1113" s="200" t="n">
        <v>45452.8842013889</v>
      </c>
      <c r="L1113" s="1" t="n">
        <v>1</v>
      </c>
      <c r="M1113" s="1" t="n">
        <v>11197</v>
      </c>
      <c r="N1113" s="1" t="n">
        <v>281</v>
      </c>
    </row>
    <row r="1114" customFormat="false" ht="14.25" hidden="false" customHeight="false" outlineLevel="0" collapsed="false">
      <c r="A1114" s="1" t="n">
        <v>188</v>
      </c>
      <c r="B1114" s="1" t="s">
        <v>702</v>
      </c>
      <c r="C1114" s="1" t="s">
        <v>703</v>
      </c>
      <c r="D1114" s="1" t="n">
        <v>11197</v>
      </c>
      <c r="E1114" s="1" t="s">
        <v>53</v>
      </c>
      <c r="F1114" s="201" t="n">
        <v>200025888617</v>
      </c>
      <c r="G1114" s="198" t="s">
        <v>614</v>
      </c>
      <c r="H1114" s="163" t="s">
        <v>387</v>
      </c>
      <c r="I1114" s="161" t="n">
        <v>100</v>
      </c>
      <c r="J1114" s="156" t="s">
        <v>192</v>
      </c>
      <c r="K1114" s="200" t="n">
        <v>45452.8847685185</v>
      </c>
      <c r="L1114" s="1" t="n">
        <v>0</v>
      </c>
      <c r="M1114" s="1" t="n">
        <v>11197</v>
      </c>
      <c r="N1114" s="1" t="n">
        <v>282</v>
      </c>
    </row>
    <row r="1115" customFormat="false" ht="14.25" hidden="false" customHeight="false" outlineLevel="0" collapsed="false">
      <c r="A1115" s="1" t="n">
        <v>189</v>
      </c>
      <c r="B1115" s="1" t="s">
        <v>702</v>
      </c>
      <c r="C1115" s="1" t="s">
        <v>703</v>
      </c>
      <c r="D1115" s="1" t="n">
        <v>11197</v>
      </c>
      <c r="E1115" s="1" t="s">
        <v>53</v>
      </c>
      <c r="F1115" s="201" t="n">
        <v>200025888617</v>
      </c>
      <c r="G1115" s="198" t="s">
        <v>614</v>
      </c>
      <c r="H1115" s="163" t="s">
        <v>387</v>
      </c>
      <c r="I1115" s="161" t="n">
        <v>100</v>
      </c>
      <c r="J1115" s="156" t="s">
        <v>192</v>
      </c>
      <c r="K1115" s="200" t="n">
        <v>45452.885625</v>
      </c>
      <c r="L1115" s="1" t="n">
        <v>3</v>
      </c>
      <c r="M1115" s="1" t="n">
        <v>11197</v>
      </c>
      <c r="N1115" s="1" t="n">
        <v>283</v>
      </c>
    </row>
    <row r="1116" customFormat="false" ht="14.25" hidden="false" customHeight="false" outlineLevel="0" collapsed="false">
      <c r="A1116" s="1" t="n">
        <v>190</v>
      </c>
      <c r="B1116" s="1" t="s">
        <v>702</v>
      </c>
      <c r="C1116" s="1" t="s">
        <v>703</v>
      </c>
      <c r="D1116" s="1" t="n">
        <v>11197</v>
      </c>
      <c r="E1116" s="1" t="s">
        <v>53</v>
      </c>
      <c r="F1116" s="201" t="n">
        <v>200025889791</v>
      </c>
      <c r="G1116" s="198" t="s">
        <v>688</v>
      </c>
      <c r="H1116" s="163" t="s">
        <v>510</v>
      </c>
      <c r="I1116" s="161" t="n">
        <v>80</v>
      </c>
      <c r="J1116" s="156" t="s">
        <v>192</v>
      </c>
      <c r="K1116" s="200" t="n">
        <v>45452.911712963</v>
      </c>
      <c r="L1116" s="1" t="n">
        <v>2</v>
      </c>
      <c r="M1116" s="1" t="n">
        <v>11197</v>
      </c>
      <c r="N1116" s="1" t="n">
        <v>284</v>
      </c>
    </row>
    <row r="1117" customFormat="false" ht="14.25" hidden="false" customHeight="false" outlineLevel="0" collapsed="false">
      <c r="A1117" s="1" t="n">
        <v>191</v>
      </c>
      <c r="B1117" s="1" t="s">
        <v>702</v>
      </c>
      <c r="C1117" s="1" t="s">
        <v>703</v>
      </c>
      <c r="D1117" s="1" t="n">
        <v>11197</v>
      </c>
      <c r="E1117" s="1" t="s">
        <v>53</v>
      </c>
      <c r="F1117" s="201" t="n">
        <v>200025889791</v>
      </c>
      <c r="G1117" s="198" t="s">
        <v>688</v>
      </c>
      <c r="H1117" s="163" t="s">
        <v>510</v>
      </c>
      <c r="I1117" s="161" t="n">
        <v>80</v>
      </c>
      <c r="J1117" s="156" t="s">
        <v>192</v>
      </c>
      <c r="K1117" s="200" t="n">
        <v>45452.912337963</v>
      </c>
      <c r="L1117" s="1" t="n">
        <v>1</v>
      </c>
      <c r="M1117" s="1" t="n">
        <v>11197</v>
      </c>
      <c r="N1117" s="1" t="n">
        <v>285</v>
      </c>
    </row>
    <row r="1118" customFormat="false" ht="14.25" hidden="false" customHeight="false" outlineLevel="0" collapsed="false">
      <c r="A1118" s="1" t="n">
        <v>192</v>
      </c>
      <c r="B1118" s="1" t="s">
        <v>702</v>
      </c>
      <c r="C1118" s="1" t="s">
        <v>703</v>
      </c>
      <c r="D1118" s="1" t="n">
        <v>11197</v>
      </c>
      <c r="E1118" s="1" t="s">
        <v>53</v>
      </c>
      <c r="F1118" s="201" t="n">
        <v>200025889791</v>
      </c>
      <c r="G1118" s="198" t="s">
        <v>688</v>
      </c>
      <c r="H1118" s="163" t="s">
        <v>510</v>
      </c>
      <c r="I1118" s="161" t="n">
        <v>80</v>
      </c>
      <c r="J1118" s="156" t="s">
        <v>192</v>
      </c>
      <c r="K1118" s="200" t="n">
        <v>45452.9123611111</v>
      </c>
      <c r="L1118" s="1" t="n">
        <v>0</v>
      </c>
      <c r="M1118" s="1" t="n">
        <v>11197</v>
      </c>
      <c r="N1118" s="1" t="n">
        <v>286</v>
      </c>
    </row>
    <row r="1119" customFormat="false" ht="14.25" hidden="false" customHeight="false" outlineLevel="0" collapsed="false">
      <c r="A1119" s="1" t="n">
        <v>193</v>
      </c>
      <c r="B1119" s="1" t="s">
        <v>702</v>
      </c>
      <c r="C1119" s="1" t="s">
        <v>703</v>
      </c>
      <c r="D1119" s="1" t="n">
        <v>11197</v>
      </c>
      <c r="E1119" s="1" t="s">
        <v>53</v>
      </c>
      <c r="F1119" s="201" t="n">
        <v>200025889791</v>
      </c>
      <c r="G1119" s="198" t="s">
        <v>688</v>
      </c>
      <c r="H1119" s="163" t="s">
        <v>510</v>
      </c>
      <c r="I1119" s="161" t="n">
        <v>80</v>
      </c>
      <c r="J1119" s="156" t="s">
        <v>192</v>
      </c>
      <c r="K1119" s="200" t="n">
        <v>45452.9123726852</v>
      </c>
      <c r="L1119" s="1" t="n">
        <v>0</v>
      </c>
      <c r="M1119" s="1" t="n">
        <v>11197</v>
      </c>
      <c r="N1119" s="1" t="n">
        <v>287</v>
      </c>
    </row>
    <row r="1120" customFormat="false" ht="14.25" hidden="false" customHeight="false" outlineLevel="0" collapsed="false">
      <c r="A1120" s="1" t="n">
        <v>194</v>
      </c>
      <c r="B1120" s="1" t="s">
        <v>702</v>
      </c>
      <c r="C1120" s="1" t="s">
        <v>703</v>
      </c>
      <c r="D1120" s="1" t="n">
        <v>11197</v>
      </c>
      <c r="E1120" s="1" t="s">
        <v>53</v>
      </c>
      <c r="F1120" s="201" t="n">
        <v>200025889791</v>
      </c>
      <c r="G1120" s="198" t="s">
        <v>688</v>
      </c>
      <c r="H1120" s="163" t="s">
        <v>510</v>
      </c>
      <c r="I1120" s="161" t="n">
        <v>80</v>
      </c>
      <c r="J1120" s="156" t="s">
        <v>192</v>
      </c>
      <c r="K1120" s="200" t="n">
        <v>45452.9127662037</v>
      </c>
      <c r="L1120" s="1" t="n">
        <v>2</v>
      </c>
      <c r="M1120" s="1" t="n">
        <v>11197</v>
      </c>
      <c r="N1120" s="1" t="n">
        <v>288</v>
      </c>
    </row>
    <row r="1121" customFormat="false" ht="14.25" hidden="false" customHeight="false" outlineLevel="0" collapsed="false">
      <c r="A1121" s="1" t="n">
        <v>195</v>
      </c>
      <c r="B1121" s="1" t="s">
        <v>702</v>
      </c>
      <c r="C1121" s="1" t="s">
        <v>703</v>
      </c>
      <c r="D1121" s="1" t="n">
        <v>11197</v>
      </c>
      <c r="E1121" s="1" t="s">
        <v>53</v>
      </c>
      <c r="F1121" s="201" t="n">
        <v>200025889791</v>
      </c>
      <c r="G1121" s="198" t="s">
        <v>688</v>
      </c>
      <c r="H1121" s="163" t="s">
        <v>510</v>
      </c>
      <c r="I1121" s="161" t="n">
        <v>80</v>
      </c>
      <c r="J1121" s="156" t="s">
        <v>192</v>
      </c>
      <c r="K1121" s="200" t="n">
        <v>45452.9130787037</v>
      </c>
      <c r="L1121" s="1" t="n">
        <v>1</v>
      </c>
      <c r="M1121" s="1" t="n">
        <v>11197</v>
      </c>
      <c r="N1121" s="1" t="n">
        <v>289</v>
      </c>
    </row>
    <row r="1122" customFormat="false" ht="14.25" hidden="false" customHeight="false" outlineLevel="0" collapsed="false">
      <c r="A1122" s="1" t="n">
        <v>196</v>
      </c>
      <c r="B1122" s="1" t="s">
        <v>702</v>
      </c>
      <c r="C1122" s="1" t="s">
        <v>703</v>
      </c>
      <c r="D1122" s="1" t="n">
        <v>11197</v>
      </c>
      <c r="E1122" s="1" t="s">
        <v>53</v>
      </c>
      <c r="F1122" s="201" t="n">
        <v>200025889791</v>
      </c>
      <c r="G1122" s="198" t="s">
        <v>688</v>
      </c>
      <c r="H1122" s="163" t="s">
        <v>510</v>
      </c>
      <c r="I1122" s="161" t="n">
        <v>80</v>
      </c>
      <c r="J1122" s="156" t="s">
        <v>192</v>
      </c>
      <c r="K1122" s="200" t="n">
        <v>45452.9132291667</v>
      </c>
      <c r="L1122" s="1" t="n">
        <v>0</v>
      </c>
      <c r="M1122" s="1" t="n">
        <v>11197</v>
      </c>
      <c r="N1122" s="1" t="n">
        <v>290</v>
      </c>
    </row>
    <row r="1123" customFormat="false" ht="14.25" hidden="false" customHeight="false" outlineLevel="0" collapsed="false">
      <c r="A1123" s="1" t="n">
        <v>197</v>
      </c>
      <c r="B1123" s="1" t="s">
        <v>702</v>
      </c>
      <c r="C1123" s="1" t="s">
        <v>703</v>
      </c>
      <c r="D1123" s="1" t="n">
        <v>11197</v>
      </c>
      <c r="E1123" s="1" t="s">
        <v>53</v>
      </c>
      <c r="F1123" s="201" t="n">
        <v>200025889791</v>
      </c>
      <c r="G1123" s="198" t="s">
        <v>688</v>
      </c>
      <c r="H1123" s="163" t="s">
        <v>510</v>
      </c>
      <c r="I1123" s="161" t="n">
        <v>80</v>
      </c>
      <c r="J1123" s="156" t="s">
        <v>192</v>
      </c>
      <c r="K1123" s="200" t="n">
        <v>45452.9132291667</v>
      </c>
      <c r="L1123" s="1" t="n">
        <v>1</v>
      </c>
      <c r="M1123" s="1" t="n">
        <v>11197</v>
      </c>
      <c r="N1123" s="1" t="n">
        <v>291</v>
      </c>
    </row>
    <row r="1124" customFormat="false" ht="14.25" hidden="false" customHeight="false" outlineLevel="0" collapsed="false">
      <c r="A1124" s="1" t="n">
        <v>198</v>
      </c>
      <c r="B1124" s="1" t="s">
        <v>702</v>
      </c>
      <c r="C1124" s="1" t="s">
        <v>703</v>
      </c>
      <c r="D1124" s="1" t="n">
        <v>11197</v>
      </c>
      <c r="E1124" s="1" t="s">
        <v>53</v>
      </c>
      <c r="F1124" s="201" t="n">
        <v>200025888617</v>
      </c>
      <c r="G1124" s="198" t="s">
        <v>614</v>
      </c>
      <c r="H1124" s="163" t="s">
        <v>387</v>
      </c>
      <c r="I1124" s="161" t="n">
        <v>100</v>
      </c>
      <c r="J1124" s="156" t="s">
        <v>192</v>
      </c>
      <c r="K1124" s="200" t="n">
        <v>45452.9383333333</v>
      </c>
      <c r="L1124" s="1" t="n">
        <v>1</v>
      </c>
      <c r="M1124" s="1" t="n">
        <v>11197</v>
      </c>
      <c r="N1124" s="1" t="n">
        <v>292</v>
      </c>
    </row>
    <row r="1125" customFormat="false" ht="14.25" hidden="false" customHeight="false" outlineLevel="0" collapsed="false">
      <c r="A1125" s="1" t="n">
        <v>199</v>
      </c>
      <c r="B1125" s="1" t="s">
        <v>702</v>
      </c>
      <c r="C1125" s="1" t="s">
        <v>703</v>
      </c>
      <c r="D1125" s="1" t="n">
        <v>11197</v>
      </c>
      <c r="E1125" s="1" t="s">
        <v>53</v>
      </c>
      <c r="F1125" s="201" t="n">
        <v>200025888224</v>
      </c>
      <c r="G1125" s="198" t="s">
        <v>656</v>
      </c>
      <c r="H1125" s="163" t="s">
        <v>245</v>
      </c>
      <c r="I1125" s="161" t="n">
        <v>8</v>
      </c>
      <c r="J1125" s="156" t="s">
        <v>192</v>
      </c>
      <c r="K1125" s="200" t="n">
        <v>45452.9663310185</v>
      </c>
      <c r="L1125" s="1" t="n">
        <v>1</v>
      </c>
      <c r="M1125" s="1" t="n">
        <v>11197</v>
      </c>
      <c r="N1125" s="1" t="n">
        <v>293</v>
      </c>
    </row>
    <row r="1126" customFormat="false" ht="14.25" hidden="false" customHeight="false" outlineLevel="0" collapsed="false">
      <c r="A1126" s="1" t="n">
        <v>200</v>
      </c>
      <c r="B1126" s="1" t="s">
        <v>702</v>
      </c>
      <c r="C1126" s="1" t="s">
        <v>703</v>
      </c>
      <c r="D1126" s="1" t="n">
        <v>11197</v>
      </c>
      <c r="E1126" s="1" t="s">
        <v>53</v>
      </c>
      <c r="F1126" s="201" t="n">
        <v>200025888224</v>
      </c>
      <c r="G1126" s="198" t="s">
        <v>656</v>
      </c>
      <c r="H1126" s="163" t="s">
        <v>245</v>
      </c>
      <c r="I1126" s="161" t="n">
        <v>8</v>
      </c>
      <c r="J1126" s="156" t="s">
        <v>192</v>
      </c>
      <c r="K1126" s="200" t="n">
        <v>45452.968912037</v>
      </c>
      <c r="L1126" s="1" t="n">
        <v>0</v>
      </c>
      <c r="M1126" s="1" t="n">
        <v>11197</v>
      </c>
      <c r="N1126" s="1" t="n">
        <v>294</v>
      </c>
    </row>
    <row r="1127" customFormat="false" ht="14.25" hidden="false" customHeight="false" outlineLevel="0" collapsed="false">
      <c r="A1127" s="1" t="n">
        <v>201</v>
      </c>
      <c r="B1127" s="1" t="s">
        <v>702</v>
      </c>
      <c r="C1127" s="1" t="s">
        <v>703</v>
      </c>
      <c r="D1127" s="1" t="n">
        <v>11197</v>
      </c>
      <c r="E1127" s="1" t="s">
        <v>53</v>
      </c>
      <c r="F1127" s="201" t="n">
        <v>200025888224</v>
      </c>
      <c r="G1127" s="198" t="s">
        <v>656</v>
      </c>
      <c r="H1127" s="163" t="s">
        <v>245</v>
      </c>
      <c r="I1127" s="161" t="n">
        <v>8</v>
      </c>
      <c r="J1127" s="156" t="s">
        <v>192</v>
      </c>
      <c r="K1127" s="200" t="n">
        <v>45452.9689236111</v>
      </c>
      <c r="L1127" s="207" t="n">
        <v>244</v>
      </c>
      <c r="M1127" s="1" t="n">
        <v>11197</v>
      </c>
      <c r="N1127" s="1" t="n">
        <v>295</v>
      </c>
    </row>
    <row r="1128" customFormat="false" ht="14.25" hidden="false" customHeight="false" outlineLevel="0" collapsed="false">
      <c r="A1128" s="1" t="n">
        <v>202</v>
      </c>
      <c r="B1128" s="1" t="s">
        <v>702</v>
      </c>
      <c r="C1128" s="1" t="s">
        <v>703</v>
      </c>
      <c r="D1128" s="1" t="n">
        <v>11197</v>
      </c>
      <c r="E1128" s="1" t="s">
        <v>53</v>
      </c>
      <c r="F1128" s="201" t="n">
        <v>200025889098</v>
      </c>
      <c r="G1128" s="198" t="s">
        <v>689</v>
      </c>
      <c r="H1128" s="163" t="s">
        <v>433</v>
      </c>
      <c r="I1128" s="161" t="n">
        <v>46</v>
      </c>
      <c r="J1128" s="156" t="s">
        <v>192</v>
      </c>
      <c r="K1128" s="200" t="n">
        <v>45452.9717592593</v>
      </c>
      <c r="L1128" s="1" t="n">
        <v>0</v>
      </c>
      <c r="M1128" s="1" t="n">
        <v>11197</v>
      </c>
      <c r="N1128" s="1" t="n">
        <v>296</v>
      </c>
    </row>
    <row r="1129" customFormat="false" ht="14.25" hidden="false" customHeight="false" outlineLevel="0" collapsed="false">
      <c r="A1129" s="1" t="n">
        <v>203</v>
      </c>
      <c r="B1129" s="1" t="s">
        <v>702</v>
      </c>
      <c r="C1129" s="1" t="s">
        <v>703</v>
      </c>
      <c r="D1129" s="1" t="n">
        <v>11197</v>
      </c>
      <c r="E1129" s="1" t="s">
        <v>53</v>
      </c>
      <c r="F1129" s="201" t="n">
        <v>200025888617</v>
      </c>
      <c r="G1129" s="198" t="s">
        <v>614</v>
      </c>
      <c r="H1129" s="163" t="s">
        <v>387</v>
      </c>
      <c r="I1129" s="161" t="n">
        <v>100</v>
      </c>
      <c r="J1129" s="156" t="s">
        <v>192</v>
      </c>
      <c r="K1129" s="200" t="n">
        <v>45453.0035648148</v>
      </c>
      <c r="L1129" s="1" t="n">
        <v>1</v>
      </c>
      <c r="M1129" s="1" t="n">
        <v>11197</v>
      </c>
      <c r="N1129" s="1" t="n">
        <v>297</v>
      </c>
    </row>
    <row r="1130" customFormat="false" ht="14.25" hidden="false" customHeight="false" outlineLevel="0" collapsed="false">
      <c r="A1130" s="1" t="n">
        <v>204</v>
      </c>
      <c r="B1130" s="1" t="s">
        <v>702</v>
      </c>
      <c r="C1130" s="1" t="s">
        <v>703</v>
      </c>
      <c r="D1130" s="1" t="n">
        <v>11197</v>
      </c>
      <c r="E1130" s="1" t="s">
        <v>53</v>
      </c>
      <c r="F1130" s="201" t="n">
        <v>200025888617</v>
      </c>
      <c r="G1130" s="198" t="s">
        <v>614</v>
      </c>
      <c r="H1130" s="163" t="s">
        <v>387</v>
      </c>
      <c r="I1130" s="161" t="n">
        <v>100</v>
      </c>
      <c r="J1130" s="156" t="s">
        <v>192</v>
      </c>
      <c r="K1130" s="200" t="n">
        <v>45453.004525463</v>
      </c>
      <c r="L1130" s="1" t="n">
        <v>0</v>
      </c>
      <c r="M1130" s="1" t="n">
        <v>11197</v>
      </c>
      <c r="N1130" s="1" t="n">
        <v>298</v>
      </c>
    </row>
    <row r="1131" customFormat="false" ht="14.25" hidden="false" customHeight="false" outlineLevel="0" collapsed="false">
      <c r="A1131" s="1" t="n">
        <v>205</v>
      </c>
      <c r="B1131" s="1" t="s">
        <v>702</v>
      </c>
      <c r="C1131" s="1" t="s">
        <v>703</v>
      </c>
      <c r="D1131" s="1" t="n">
        <v>11197</v>
      </c>
      <c r="E1131" s="1" t="s">
        <v>53</v>
      </c>
      <c r="F1131" s="201" t="n">
        <v>200025888617</v>
      </c>
      <c r="G1131" s="198" t="s">
        <v>614</v>
      </c>
      <c r="H1131" s="163" t="s">
        <v>387</v>
      </c>
      <c r="I1131" s="161" t="n">
        <v>100</v>
      </c>
      <c r="J1131" s="156" t="s">
        <v>192</v>
      </c>
      <c r="K1131" s="200" t="n">
        <v>45453.0045486111</v>
      </c>
      <c r="L1131" s="1" t="n">
        <v>0</v>
      </c>
      <c r="M1131" s="1" t="n">
        <v>11197</v>
      </c>
      <c r="N1131" s="1" t="n">
        <v>299</v>
      </c>
    </row>
    <row r="1132" customFormat="false" ht="14.25" hidden="false" customHeight="false" outlineLevel="0" collapsed="false">
      <c r="A1132" s="1" t="n">
        <v>206</v>
      </c>
      <c r="B1132" s="1" t="s">
        <v>702</v>
      </c>
      <c r="C1132" s="1" t="s">
        <v>703</v>
      </c>
      <c r="D1132" s="1" t="n">
        <v>11197</v>
      </c>
      <c r="E1132" s="1" t="s">
        <v>53</v>
      </c>
      <c r="F1132" s="201" t="n">
        <v>200025888617</v>
      </c>
      <c r="G1132" s="198" t="s">
        <v>614</v>
      </c>
      <c r="H1132" s="163" t="s">
        <v>387</v>
      </c>
      <c r="I1132" s="161" t="n">
        <v>100</v>
      </c>
      <c r="J1132" s="156" t="s">
        <v>192</v>
      </c>
      <c r="K1132" s="200" t="n">
        <v>45453.0062037037</v>
      </c>
      <c r="L1132" s="1" t="n">
        <v>2</v>
      </c>
      <c r="M1132" s="1" t="n">
        <v>11197</v>
      </c>
      <c r="N1132" s="1" t="n">
        <v>300</v>
      </c>
    </row>
    <row r="1133" customFormat="false" ht="14.25" hidden="false" customHeight="false" outlineLevel="0" collapsed="false">
      <c r="A1133" s="1" t="n">
        <v>207</v>
      </c>
      <c r="B1133" s="1" t="s">
        <v>702</v>
      </c>
      <c r="C1133" s="1" t="s">
        <v>703</v>
      </c>
      <c r="D1133" s="1" t="n">
        <v>11197</v>
      </c>
      <c r="E1133" s="1" t="s">
        <v>53</v>
      </c>
      <c r="F1133" s="201" t="n">
        <v>200025889791</v>
      </c>
      <c r="G1133" s="198" t="s">
        <v>688</v>
      </c>
      <c r="H1133" s="163" t="s">
        <v>510</v>
      </c>
      <c r="I1133" s="161" t="n">
        <v>80</v>
      </c>
      <c r="J1133" s="156" t="s">
        <v>192</v>
      </c>
      <c r="K1133" s="200" t="n">
        <v>45453.0175231482</v>
      </c>
      <c r="L1133" s="1" t="n">
        <v>1</v>
      </c>
      <c r="M1133" s="1" t="n">
        <v>11197</v>
      </c>
      <c r="N1133" s="1" t="n">
        <v>301</v>
      </c>
    </row>
    <row r="1134" customFormat="false" ht="14.25" hidden="false" customHeight="false" outlineLevel="0" collapsed="false">
      <c r="A1134" s="1" t="n">
        <v>208</v>
      </c>
      <c r="B1134" s="1" t="s">
        <v>702</v>
      </c>
      <c r="C1134" s="1" t="s">
        <v>703</v>
      </c>
      <c r="D1134" s="1" t="n">
        <v>11197</v>
      </c>
      <c r="E1134" s="1" t="s">
        <v>53</v>
      </c>
      <c r="F1134" s="201" t="n">
        <v>200025889791</v>
      </c>
      <c r="G1134" s="198" t="s">
        <v>688</v>
      </c>
      <c r="H1134" s="163" t="s">
        <v>510</v>
      </c>
      <c r="I1134" s="161" t="n">
        <v>80</v>
      </c>
      <c r="J1134" s="156" t="s">
        <v>192</v>
      </c>
      <c r="K1134" s="200" t="n">
        <v>45453.0175347222</v>
      </c>
      <c r="L1134" s="1" t="n">
        <v>0</v>
      </c>
      <c r="M1134" s="1" t="n">
        <v>11197</v>
      </c>
      <c r="N1134" s="1" t="n">
        <v>302</v>
      </c>
    </row>
    <row r="1135" customFormat="false" ht="14.25" hidden="false" customHeight="false" outlineLevel="0" collapsed="false">
      <c r="A1135" s="1" t="n">
        <v>209</v>
      </c>
      <c r="B1135" s="1" t="s">
        <v>702</v>
      </c>
      <c r="C1135" s="1" t="s">
        <v>703</v>
      </c>
      <c r="D1135" s="1" t="n">
        <v>11197</v>
      </c>
      <c r="E1135" s="1" t="s">
        <v>53</v>
      </c>
      <c r="F1135" s="201" t="n">
        <v>200025889791</v>
      </c>
      <c r="G1135" s="198" t="s">
        <v>688</v>
      </c>
      <c r="H1135" s="163" t="s">
        <v>510</v>
      </c>
      <c r="I1135" s="161" t="n">
        <v>80</v>
      </c>
      <c r="J1135" s="156" t="s">
        <v>192</v>
      </c>
      <c r="K1135" s="200" t="n">
        <v>45453.0175462963</v>
      </c>
      <c r="L1135" s="1" t="n">
        <v>1</v>
      </c>
      <c r="M1135" s="1" t="n">
        <v>11197</v>
      </c>
      <c r="N1135" s="1" t="n">
        <v>303</v>
      </c>
    </row>
    <row r="1136" customFormat="false" ht="14.25" hidden="false" customHeight="false" outlineLevel="0" collapsed="false">
      <c r="A1136" s="1" t="n">
        <v>210</v>
      </c>
      <c r="B1136" s="1" t="s">
        <v>702</v>
      </c>
      <c r="C1136" s="1" t="s">
        <v>703</v>
      </c>
      <c r="D1136" s="1" t="n">
        <v>11197</v>
      </c>
      <c r="E1136" s="1" t="s">
        <v>53</v>
      </c>
      <c r="F1136" s="201" t="n">
        <v>200025888617</v>
      </c>
      <c r="G1136" s="198" t="s">
        <v>614</v>
      </c>
      <c r="H1136" s="163" t="s">
        <v>387</v>
      </c>
      <c r="I1136" s="161" t="n">
        <v>100</v>
      </c>
      <c r="J1136" s="156" t="s">
        <v>192</v>
      </c>
      <c r="K1136" s="200" t="n">
        <v>45453.0271527778</v>
      </c>
      <c r="L1136" s="1" t="n">
        <v>0</v>
      </c>
      <c r="M1136" s="1" t="n">
        <v>11197</v>
      </c>
      <c r="N1136" s="1" t="n">
        <v>304</v>
      </c>
    </row>
    <row r="1137" customFormat="false" ht="14.25" hidden="false" customHeight="false" outlineLevel="0" collapsed="false">
      <c r="A1137" s="1" t="n">
        <v>211</v>
      </c>
      <c r="B1137" s="1" t="s">
        <v>702</v>
      </c>
      <c r="C1137" s="1" t="s">
        <v>703</v>
      </c>
      <c r="D1137" s="1" t="n">
        <v>11197</v>
      </c>
      <c r="E1137" s="1" t="s">
        <v>53</v>
      </c>
      <c r="F1137" s="201" t="n">
        <v>200025888617</v>
      </c>
      <c r="G1137" s="198" t="s">
        <v>614</v>
      </c>
      <c r="H1137" s="163" t="s">
        <v>387</v>
      </c>
      <c r="I1137" s="161" t="n">
        <v>100</v>
      </c>
      <c r="J1137" s="156" t="s">
        <v>192</v>
      </c>
      <c r="K1137" s="200" t="n">
        <v>45453.0275</v>
      </c>
      <c r="L1137" s="1" t="n">
        <v>1</v>
      </c>
      <c r="M1137" s="1" t="n">
        <v>11197</v>
      </c>
      <c r="N1137" s="1" t="n">
        <v>305</v>
      </c>
    </row>
    <row r="1138" customFormat="false" ht="14.25" hidden="false" customHeight="false" outlineLevel="0" collapsed="false">
      <c r="A1138" s="1" t="n">
        <v>212</v>
      </c>
      <c r="B1138" s="1" t="s">
        <v>702</v>
      </c>
      <c r="C1138" s="1" t="s">
        <v>703</v>
      </c>
      <c r="D1138" s="1" t="n">
        <v>11197</v>
      </c>
      <c r="E1138" s="1" t="s">
        <v>53</v>
      </c>
      <c r="F1138" s="201" t="n">
        <v>200025889098</v>
      </c>
      <c r="G1138" s="198" t="s">
        <v>689</v>
      </c>
      <c r="H1138" s="163" t="s">
        <v>433</v>
      </c>
      <c r="I1138" s="161" t="n">
        <v>46</v>
      </c>
      <c r="J1138" s="156" t="s">
        <v>192</v>
      </c>
      <c r="K1138" s="200" t="n">
        <v>45453.0499189815</v>
      </c>
      <c r="L1138" s="1" t="n">
        <v>2</v>
      </c>
      <c r="M1138" s="1" t="n">
        <v>11197</v>
      </c>
      <c r="N1138" s="1" t="n">
        <v>306</v>
      </c>
    </row>
    <row r="1139" customFormat="false" ht="14.25" hidden="false" customHeight="false" outlineLevel="0" collapsed="false">
      <c r="A1139" s="1" t="n">
        <v>213</v>
      </c>
      <c r="B1139" s="1" t="s">
        <v>702</v>
      </c>
      <c r="C1139" s="1" t="s">
        <v>703</v>
      </c>
      <c r="D1139" s="1" t="n">
        <v>11197</v>
      </c>
      <c r="E1139" s="1" t="s">
        <v>53</v>
      </c>
      <c r="F1139" s="201" t="n">
        <v>200025889098</v>
      </c>
      <c r="G1139" s="198" t="s">
        <v>689</v>
      </c>
      <c r="H1139" s="163" t="s">
        <v>433</v>
      </c>
      <c r="I1139" s="161" t="n">
        <v>46</v>
      </c>
      <c r="J1139" s="156" t="s">
        <v>192</v>
      </c>
      <c r="K1139" s="200" t="n">
        <v>45453.050474537</v>
      </c>
      <c r="L1139" s="1" t="n">
        <v>2</v>
      </c>
      <c r="M1139" s="1" t="n">
        <v>11197</v>
      </c>
      <c r="N1139" s="1" t="n">
        <v>307</v>
      </c>
    </row>
    <row r="1140" customFormat="false" ht="14.25" hidden="false" customHeight="false" outlineLevel="0" collapsed="false">
      <c r="A1140" s="1" t="n">
        <v>214</v>
      </c>
      <c r="B1140" s="1" t="s">
        <v>702</v>
      </c>
      <c r="C1140" s="1" t="s">
        <v>703</v>
      </c>
      <c r="D1140" s="1" t="n">
        <v>11197</v>
      </c>
      <c r="E1140" s="1" t="s">
        <v>53</v>
      </c>
      <c r="F1140" s="201" t="n">
        <v>200025889791</v>
      </c>
      <c r="G1140" s="198" t="s">
        <v>688</v>
      </c>
      <c r="H1140" s="163" t="s">
        <v>510</v>
      </c>
      <c r="I1140" s="161" t="n">
        <v>80</v>
      </c>
      <c r="J1140" s="156" t="s">
        <v>192</v>
      </c>
      <c r="K1140" s="200" t="n">
        <v>45453.1038541667</v>
      </c>
      <c r="L1140" s="1" t="n">
        <v>0</v>
      </c>
      <c r="M1140" s="1" t="n">
        <v>11197</v>
      </c>
      <c r="N1140" s="1" t="n">
        <v>308</v>
      </c>
    </row>
    <row r="1141" customFormat="false" ht="14.25" hidden="false" customHeight="false" outlineLevel="0" collapsed="false">
      <c r="A1141" s="1" t="n">
        <v>215</v>
      </c>
      <c r="B1141" s="1" t="s">
        <v>702</v>
      </c>
      <c r="C1141" s="1" t="s">
        <v>703</v>
      </c>
      <c r="D1141" s="1" t="n">
        <v>11197</v>
      </c>
      <c r="E1141" s="1" t="s">
        <v>53</v>
      </c>
      <c r="F1141" s="201" t="n">
        <v>200025889791</v>
      </c>
      <c r="G1141" s="198" t="s">
        <v>688</v>
      </c>
      <c r="H1141" s="163" t="s">
        <v>510</v>
      </c>
      <c r="I1141" s="161" t="n">
        <v>80</v>
      </c>
      <c r="J1141" s="156" t="s">
        <v>192</v>
      </c>
      <c r="K1141" s="200" t="n">
        <v>45453.1043865741</v>
      </c>
      <c r="L1141" s="1" t="n">
        <v>0</v>
      </c>
      <c r="M1141" s="1" t="n">
        <v>11197</v>
      </c>
      <c r="N1141" s="1" t="n">
        <v>309</v>
      </c>
    </row>
    <row r="1142" customFormat="false" ht="14.25" hidden="false" customHeight="false" outlineLevel="0" collapsed="false">
      <c r="A1142" s="1" t="n">
        <v>216</v>
      </c>
      <c r="B1142" s="1" t="s">
        <v>702</v>
      </c>
      <c r="C1142" s="1" t="s">
        <v>703</v>
      </c>
      <c r="D1142" s="1" t="n">
        <v>11197</v>
      </c>
      <c r="E1142" s="1" t="s">
        <v>53</v>
      </c>
      <c r="F1142" s="201" t="n">
        <v>200025889791</v>
      </c>
      <c r="G1142" s="198" t="s">
        <v>688</v>
      </c>
      <c r="H1142" s="163" t="s">
        <v>510</v>
      </c>
      <c r="I1142" s="161" t="n">
        <v>80</v>
      </c>
      <c r="J1142" s="156" t="s">
        <v>192</v>
      </c>
      <c r="K1142" s="200" t="n">
        <v>45453.1043981482</v>
      </c>
      <c r="L1142" s="1" t="n">
        <v>0</v>
      </c>
      <c r="M1142" s="1" t="n">
        <v>11197</v>
      </c>
      <c r="N1142" s="1" t="n">
        <v>310</v>
      </c>
    </row>
    <row r="1143" customFormat="false" ht="14.25" hidden="false" customHeight="false" outlineLevel="0" collapsed="false">
      <c r="A1143" s="1" t="n">
        <v>217</v>
      </c>
      <c r="B1143" s="1" t="s">
        <v>702</v>
      </c>
      <c r="C1143" s="1" t="s">
        <v>703</v>
      </c>
      <c r="D1143" s="1" t="n">
        <v>11197</v>
      </c>
      <c r="E1143" s="1" t="s">
        <v>53</v>
      </c>
      <c r="F1143" s="201" t="n">
        <v>200025889791</v>
      </c>
      <c r="G1143" s="198" t="s">
        <v>688</v>
      </c>
      <c r="H1143" s="163" t="s">
        <v>510</v>
      </c>
      <c r="I1143" s="161" t="n">
        <v>80</v>
      </c>
      <c r="J1143" s="156" t="s">
        <v>192</v>
      </c>
      <c r="K1143" s="200" t="n">
        <v>45453.1045601852</v>
      </c>
      <c r="L1143" s="1" t="n">
        <v>25</v>
      </c>
      <c r="M1143" s="1" t="n">
        <v>11197</v>
      </c>
      <c r="N1143" s="1" t="n">
        <v>311</v>
      </c>
    </row>
    <row r="1144" customFormat="false" ht="14.25" hidden="false" customHeight="false" outlineLevel="0" collapsed="false">
      <c r="A1144" s="1" t="n">
        <v>218</v>
      </c>
      <c r="B1144" s="1" t="s">
        <v>702</v>
      </c>
      <c r="C1144" s="1" t="s">
        <v>703</v>
      </c>
      <c r="D1144" s="1" t="n">
        <v>11197</v>
      </c>
      <c r="E1144" s="1" t="s">
        <v>53</v>
      </c>
      <c r="F1144" s="201" t="n">
        <v>200025889791</v>
      </c>
      <c r="G1144" s="198" t="s">
        <v>688</v>
      </c>
      <c r="H1144" s="163" t="s">
        <v>510</v>
      </c>
      <c r="I1144" s="161" t="n">
        <v>80</v>
      </c>
      <c r="J1144" s="156" t="s">
        <v>192</v>
      </c>
      <c r="K1144" s="200" t="n">
        <v>45453.1058449074</v>
      </c>
      <c r="L1144" s="1" t="n">
        <v>2</v>
      </c>
      <c r="M1144" s="1" t="n">
        <v>11197</v>
      </c>
      <c r="N1144" s="1" t="n">
        <v>312</v>
      </c>
    </row>
    <row r="1145" customFormat="false" ht="14.25" hidden="false" customHeight="false" outlineLevel="0" collapsed="false">
      <c r="A1145" s="1" t="n">
        <v>219</v>
      </c>
      <c r="B1145" s="1" t="s">
        <v>702</v>
      </c>
      <c r="C1145" s="1" t="s">
        <v>703</v>
      </c>
      <c r="D1145" s="1" t="n">
        <v>11197</v>
      </c>
      <c r="E1145" s="1" t="s">
        <v>53</v>
      </c>
      <c r="F1145" s="201" t="n">
        <v>200025889098</v>
      </c>
      <c r="G1145" s="198" t="s">
        <v>689</v>
      </c>
      <c r="H1145" s="163" t="s">
        <v>433</v>
      </c>
      <c r="I1145" s="161" t="n">
        <v>46</v>
      </c>
      <c r="J1145" s="156" t="s">
        <v>192</v>
      </c>
      <c r="K1145" s="200" t="n">
        <v>45453.1086111111</v>
      </c>
      <c r="L1145" s="1" t="n">
        <v>1</v>
      </c>
      <c r="M1145" s="1" t="n">
        <v>11197</v>
      </c>
      <c r="N1145" s="1" t="n">
        <v>313</v>
      </c>
    </row>
    <row r="1146" customFormat="false" ht="14.25" hidden="false" customHeight="false" outlineLevel="0" collapsed="false">
      <c r="A1146" s="1" t="n">
        <v>220</v>
      </c>
      <c r="B1146" s="1" t="s">
        <v>702</v>
      </c>
      <c r="C1146" s="1" t="s">
        <v>703</v>
      </c>
      <c r="D1146" s="1" t="n">
        <v>11197</v>
      </c>
      <c r="E1146" s="1" t="s">
        <v>53</v>
      </c>
      <c r="F1146" s="201" t="n">
        <v>200025889098</v>
      </c>
      <c r="G1146" s="198" t="s">
        <v>689</v>
      </c>
      <c r="H1146" s="163" t="s">
        <v>433</v>
      </c>
      <c r="I1146" s="161" t="n">
        <v>46</v>
      </c>
      <c r="J1146" s="156" t="s">
        <v>192</v>
      </c>
      <c r="K1146" s="200" t="n">
        <v>45453.1481944444</v>
      </c>
      <c r="L1146" s="1" t="n">
        <v>2</v>
      </c>
      <c r="M1146" s="1" t="n">
        <v>11197</v>
      </c>
      <c r="N1146" s="1" t="n">
        <v>314</v>
      </c>
    </row>
    <row r="1147" customFormat="false" ht="14.25" hidden="false" customHeight="false" outlineLevel="0" collapsed="false">
      <c r="A1147" s="1" t="n">
        <v>221</v>
      </c>
      <c r="B1147" s="1" t="s">
        <v>702</v>
      </c>
      <c r="C1147" s="1" t="s">
        <v>703</v>
      </c>
      <c r="D1147" s="1" t="n">
        <v>11197</v>
      </c>
      <c r="E1147" s="1" t="s">
        <v>53</v>
      </c>
      <c r="F1147" s="201" t="n">
        <v>200025889098</v>
      </c>
      <c r="G1147" s="198" t="s">
        <v>689</v>
      </c>
      <c r="H1147" s="163" t="s">
        <v>433</v>
      </c>
      <c r="I1147" s="161" t="n">
        <v>46</v>
      </c>
      <c r="J1147" s="156" t="s">
        <v>192</v>
      </c>
      <c r="K1147" s="200" t="n">
        <v>45453.1486226852</v>
      </c>
      <c r="L1147" s="1" t="n">
        <v>2</v>
      </c>
      <c r="M1147" s="1" t="n">
        <v>11197</v>
      </c>
      <c r="N1147" s="1" t="n">
        <v>315</v>
      </c>
    </row>
    <row r="1148" customFormat="false" ht="14.25" hidden="false" customHeight="false" outlineLevel="0" collapsed="false">
      <c r="A1148" s="1" t="n">
        <v>222</v>
      </c>
      <c r="B1148" s="1" t="s">
        <v>702</v>
      </c>
      <c r="C1148" s="1" t="s">
        <v>703</v>
      </c>
      <c r="D1148" s="1" t="n">
        <v>11197</v>
      </c>
      <c r="E1148" s="1" t="s">
        <v>53</v>
      </c>
      <c r="F1148" s="201" t="n">
        <v>200025889098</v>
      </c>
      <c r="G1148" s="198" t="s">
        <v>689</v>
      </c>
      <c r="H1148" s="163" t="s">
        <v>433</v>
      </c>
      <c r="I1148" s="161" t="n">
        <v>46</v>
      </c>
      <c r="J1148" s="156" t="s">
        <v>192</v>
      </c>
      <c r="K1148" s="200" t="n">
        <v>45453.2121180556</v>
      </c>
      <c r="L1148" s="1" t="n">
        <v>6</v>
      </c>
      <c r="M1148" s="1" t="n">
        <v>11197</v>
      </c>
      <c r="N1148" s="1" t="n">
        <v>316</v>
      </c>
    </row>
    <row r="1149" customFormat="false" ht="14.25" hidden="false" customHeight="false" outlineLevel="0" collapsed="false">
      <c r="A1149" s="1" t="n">
        <v>223</v>
      </c>
      <c r="B1149" s="1" t="s">
        <v>702</v>
      </c>
      <c r="C1149" s="1" t="s">
        <v>703</v>
      </c>
      <c r="D1149" s="1" t="n">
        <v>11197</v>
      </c>
      <c r="E1149" s="1" t="s">
        <v>53</v>
      </c>
      <c r="F1149" s="201" t="n">
        <v>200025888632</v>
      </c>
      <c r="G1149" s="198" t="s">
        <v>598</v>
      </c>
      <c r="H1149" s="163" t="s">
        <v>393</v>
      </c>
      <c r="I1149" s="161" t="n">
        <v>83</v>
      </c>
      <c r="J1149" s="156" t="s">
        <v>192</v>
      </c>
      <c r="K1149" s="200" t="n">
        <v>45453.2372106482</v>
      </c>
      <c r="L1149" s="1" t="n">
        <v>40</v>
      </c>
      <c r="M1149" s="1" t="n">
        <v>11197</v>
      </c>
      <c r="N1149" s="1" t="n">
        <v>317</v>
      </c>
    </row>
    <row r="1150" customFormat="false" ht="14.25" hidden="false" customHeight="false" outlineLevel="0" collapsed="false">
      <c r="A1150" s="1" t="n">
        <v>224</v>
      </c>
      <c r="B1150" s="1" t="s">
        <v>702</v>
      </c>
      <c r="C1150" s="1" t="s">
        <v>703</v>
      </c>
      <c r="D1150" s="1" t="n">
        <v>11197</v>
      </c>
      <c r="E1150" s="1" t="s">
        <v>53</v>
      </c>
      <c r="F1150" s="201" t="n">
        <v>200025888632</v>
      </c>
      <c r="G1150" s="198" t="s">
        <v>598</v>
      </c>
      <c r="H1150" s="163" t="s">
        <v>393</v>
      </c>
      <c r="I1150" s="161" t="n">
        <v>83</v>
      </c>
      <c r="J1150" s="156" t="s">
        <v>192</v>
      </c>
      <c r="K1150" s="200" t="n">
        <v>45453.2376736111</v>
      </c>
      <c r="L1150" s="1" t="n">
        <v>1</v>
      </c>
      <c r="M1150" s="1" t="n">
        <v>11197</v>
      </c>
      <c r="N1150" s="1" t="n">
        <v>318</v>
      </c>
    </row>
    <row r="1151" customFormat="false" ht="14.25" hidden="false" customHeight="false" outlineLevel="0" collapsed="false">
      <c r="A1151" s="1" t="n">
        <v>225</v>
      </c>
      <c r="B1151" s="1" t="s">
        <v>702</v>
      </c>
      <c r="C1151" s="1" t="s">
        <v>703</v>
      </c>
      <c r="D1151" s="1" t="n">
        <v>11197</v>
      </c>
      <c r="E1151" s="1" t="s">
        <v>53</v>
      </c>
      <c r="F1151" s="201" t="n">
        <v>200025888632</v>
      </c>
      <c r="G1151" s="198" t="s">
        <v>598</v>
      </c>
      <c r="H1151" s="163" t="s">
        <v>393</v>
      </c>
      <c r="I1151" s="161" t="n">
        <v>83</v>
      </c>
      <c r="J1151" s="156" t="s">
        <v>192</v>
      </c>
      <c r="K1151" s="200" t="n">
        <v>45453.237974537</v>
      </c>
      <c r="L1151" s="1" t="n">
        <v>3</v>
      </c>
      <c r="M1151" s="1" t="n">
        <v>11197</v>
      </c>
      <c r="N1151" s="1" t="n">
        <v>319</v>
      </c>
    </row>
    <row r="1152" customFormat="false" ht="14.25" hidden="false" customHeight="false" outlineLevel="0" collapsed="false">
      <c r="A1152" s="1" t="n">
        <v>226</v>
      </c>
      <c r="B1152" s="1" t="s">
        <v>702</v>
      </c>
      <c r="C1152" s="1" t="s">
        <v>703</v>
      </c>
      <c r="D1152" s="1" t="n">
        <v>11197</v>
      </c>
      <c r="E1152" s="1" t="s">
        <v>53</v>
      </c>
      <c r="F1152" s="201" t="n">
        <v>200025888632</v>
      </c>
      <c r="G1152" s="198" t="s">
        <v>598</v>
      </c>
      <c r="H1152" s="163" t="s">
        <v>393</v>
      </c>
      <c r="I1152" s="161" t="n">
        <v>83</v>
      </c>
      <c r="J1152" s="156" t="s">
        <v>192</v>
      </c>
      <c r="K1152" s="200" t="n">
        <v>45453.2380092593</v>
      </c>
      <c r="L1152" s="1" t="n">
        <v>1</v>
      </c>
      <c r="M1152" s="1" t="n">
        <v>11197</v>
      </c>
      <c r="N1152" s="1" t="n">
        <v>320</v>
      </c>
    </row>
    <row r="1153" customFormat="false" ht="14.25" hidden="false" customHeight="false" outlineLevel="0" collapsed="false">
      <c r="A1153" s="1" t="n">
        <v>227</v>
      </c>
      <c r="B1153" s="1" t="s">
        <v>702</v>
      </c>
      <c r="C1153" s="1" t="s">
        <v>703</v>
      </c>
      <c r="D1153" s="1" t="n">
        <v>11197</v>
      </c>
      <c r="E1153" s="1" t="s">
        <v>53</v>
      </c>
      <c r="F1153" s="201" t="n">
        <v>200025888632</v>
      </c>
      <c r="G1153" s="198" t="s">
        <v>598</v>
      </c>
      <c r="H1153" s="163" t="s">
        <v>393</v>
      </c>
      <c r="I1153" s="161" t="n">
        <v>83</v>
      </c>
      <c r="J1153" s="156" t="s">
        <v>192</v>
      </c>
      <c r="K1153" s="200" t="n">
        <v>45453.2616087963</v>
      </c>
      <c r="L1153" s="1" t="n">
        <v>1</v>
      </c>
      <c r="M1153" s="1" t="n">
        <v>11197</v>
      </c>
      <c r="N1153" s="1" t="n">
        <v>321</v>
      </c>
    </row>
    <row r="1154" customFormat="false" ht="14.25" hidden="false" customHeight="false" outlineLevel="0" collapsed="false">
      <c r="A1154" s="1" t="n">
        <v>228</v>
      </c>
      <c r="B1154" s="1" t="s">
        <v>702</v>
      </c>
      <c r="C1154" s="1" t="s">
        <v>703</v>
      </c>
      <c r="D1154" s="1" t="n">
        <v>11197</v>
      </c>
      <c r="E1154" s="1" t="s">
        <v>53</v>
      </c>
      <c r="F1154" s="201" t="n">
        <v>200025888632</v>
      </c>
      <c r="G1154" s="198" t="s">
        <v>598</v>
      </c>
      <c r="H1154" s="163" t="s">
        <v>393</v>
      </c>
      <c r="I1154" s="161" t="n">
        <v>83</v>
      </c>
      <c r="J1154" s="156" t="s">
        <v>192</v>
      </c>
      <c r="K1154" s="200" t="n">
        <v>45453.2629398148</v>
      </c>
      <c r="L1154" s="1" t="n">
        <v>1</v>
      </c>
      <c r="M1154" s="1" t="n">
        <v>11197</v>
      </c>
      <c r="N1154" s="1" t="n">
        <v>322</v>
      </c>
    </row>
    <row r="1155" customFormat="false" ht="14.25" hidden="false" customHeight="false" outlineLevel="0" collapsed="false">
      <c r="A1155" s="1" t="n">
        <v>229</v>
      </c>
      <c r="B1155" s="1" t="s">
        <v>702</v>
      </c>
      <c r="C1155" s="1" t="s">
        <v>703</v>
      </c>
      <c r="D1155" s="1" t="n">
        <v>11197</v>
      </c>
      <c r="E1155" s="1" t="s">
        <v>53</v>
      </c>
      <c r="F1155" s="201" t="n">
        <v>200025888632</v>
      </c>
      <c r="G1155" s="198" t="s">
        <v>598</v>
      </c>
      <c r="H1155" s="163" t="s">
        <v>393</v>
      </c>
      <c r="I1155" s="161" t="n">
        <v>83</v>
      </c>
      <c r="J1155" s="156" t="s">
        <v>192</v>
      </c>
      <c r="K1155" s="200" t="n">
        <v>45453.262962963</v>
      </c>
      <c r="L1155" s="1" t="n">
        <v>0</v>
      </c>
      <c r="M1155" s="1" t="n">
        <v>11197</v>
      </c>
      <c r="N1155" s="1" t="n">
        <v>323</v>
      </c>
    </row>
    <row r="1156" customFormat="false" ht="14.25" hidden="false" customHeight="false" outlineLevel="0" collapsed="false">
      <c r="A1156" s="1" t="n">
        <v>230</v>
      </c>
      <c r="B1156" s="1" t="s">
        <v>702</v>
      </c>
      <c r="C1156" s="1" t="s">
        <v>703</v>
      </c>
      <c r="D1156" s="1" t="n">
        <v>11197</v>
      </c>
      <c r="E1156" s="1" t="s">
        <v>53</v>
      </c>
      <c r="F1156" s="201" t="n">
        <v>200025888632</v>
      </c>
      <c r="G1156" s="198" t="s">
        <v>598</v>
      </c>
      <c r="H1156" s="163" t="s">
        <v>393</v>
      </c>
      <c r="I1156" s="161" t="n">
        <v>83</v>
      </c>
      <c r="J1156" s="156" t="s">
        <v>192</v>
      </c>
      <c r="K1156" s="200" t="n">
        <v>45453.262962963</v>
      </c>
      <c r="L1156" s="1" t="n">
        <v>7</v>
      </c>
      <c r="M1156" s="1" t="n">
        <v>11197</v>
      </c>
      <c r="N1156" s="1" t="n">
        <v>324</v>
      </c>
    </row>
    <row r="1157" customFormat="false" ht="14.25" hidden="false" customHeight="false" outlineLevel="0" collapsed="false">
      <c r="A1157" s="1" t="n">
        <v>231</v>
      </c>
      <c r="B1157" s="1" t="s">
        <v>702</v>
      </c>
      <c r="C1157" s="1" t="s">
        <v>703</v>
      </c>
      <c r="D1157" s="1" t="n">
        <v>11197</v>
      </c>
      <c r="E1157" s="1" t="s">
        <v>53</v>
      </c>
      <c r="F1157" s="201" t="n">
        <v>200025888632</v>
      </c>
      <c r="G1157" s="198" t="s">
        <v>598</v>
      </c>
      <c r="H1157" s="163" t="s">
        <v>393</v>
      </c>
      <c r="I1157" s="161" t="n">
        <v>83</v>
      </c>
      <c r="J1157" s="156" t="s">
        <v>192</v>
      </c>
      <c r="K1157" s="200" t="n">
        <v>45453.2750115741</v>
      </c>
      <c r="L1157" s="1" t="n">
        <v>1</v>
      </c>
      <c r="M1157" s="1" t="n">
        <v>11197</v>
      </c>
      <c r="N1157" s="1" t="n">
        <v>325</v>
      </c>
    </row>
    <row r="1158" customFormat="false" ht="14.25" hidden="false" customHeight="false" outlineLevel="0" collapsed="false">
      <c r="A1158" s="1" t="n">
        <v>232</v>
      </c>
      <c r="B1158" s="1" t="s">
        <v>702</v>
      </c>
      <c r="C1158" s="1" t="s">
        <v>703</v>
      </c>
      <c r="D1158" s="1" t="n">
        <v>11197</v>
      </c>
      <c r="E1158" s="1" t="s">
        <v>53</v>
      </c>
      <c r="F1158" s="201" t="n">
        <v>200025888632</v>
      </c>
      <c r="G1158" s="198" t="s">
        <v>598</v>
      </c>
      <c r="H1158" s="163" t="s">
        <v>393</v>
      </c>
      <c r="I1158" s="161" t="n">
        <v>83</v>
      </c>
      <c r="J1158" s="156" t="s">
        <v>192</v>
      </c>
      <c r="K1158" s="200" t="n">
        <v>45453.2753935185</v>
      </c>
      <c r="L1158" s="1" t="n">
        <v>1</v>
      </c>
      <c r="M1158" s="1" t="n">
        <v>11197</v>
      </c>
      <c r="N1158" s="1" t="n">
        <v>326</v>
      </c>
    </row>
    <row r="1159" customFormat="false" ht="14.25" hidden="false" customHeight="false" outlineLevel="0" collapsed="false">
      <c r="A1159" s="1" t="n">
        <v>233</v>
      </c>
      <c r="B1159" s="1" t="s">
        <v>702</v>
      </c>
      <c r="C1159" s="1" t="s">
        <v>703</v>
      </c>
      <c r="D1159" s="1" t="n">
        <v>11197</v>
      </c>
      <c r="E1159" s="1" t="s">
        <v>53</v>
      </c>
      <c r="F1159" s="201" t="n">
        <v>200025888632</v>
      </c>
      <c r="G1159" s="198" t="s">
        <v>598</v>
      </c>
      <c r="H1159" s="163" t="s">
        <v>393</v>
      </c>
      <c r="I1159" s="161" t="n">
        <v>83</v>
      </c>
      <c r="J1159" s="156" t="s">
        <v>192</v>
      </c>
      <c r="K1159" s="200" t="n">
        <v>45453.2756365741</v>
      </c>
      <c r="L1159" s="1" t="n">
        <v>4</v>
      </c>
      <c r="M1159" s="1" t="n">
        <v>11197</v>
      </c>
      <c r="N1159" s="1" t="n">
        <v>327</v>
      </c>
    </row>
    <row r="1160" customFormat="false" ht="14.25" hidden="false" customHeight="false" outlineLevel="0" collapsed="false">
      <c r="A1160" s="1" t="n">
        <v>234</v>
      </c>
      <c r="B1160" s="1" t="s">
        <v>702</v>
      </c>
      <c r="C1160" s="1" t="s">
        <v>703</v>
      </c>
      <c r="D1160" s="1" t="n">
        <v>11197</v>
      </c>
      <c r="E1160" s="1" t="s">
        <v>53</v>
      </c>
      <c r="F1160" s="201" t="n">
        <v>200025888632</v>
      </c>
      <c r="G1160" s="198" t="s">
        <v>598</v>
      </c>
      <c r="H1160" s="163" t="s">
        <v>393</v>
      </c>
      <c r="I1160" s="161" t="n">
        <v>83</v>
      </c>
      <c r="J1160" s="156" t="s">
        <v>192</v>
      </c>
      <c r="K1160" s="200" t="n">
        <v>45453.2761689815</v>
      </c>
      <c r="L1160" s="1" t="n">
        <v>1</v>
      </c>
      <c r="M1160" s="1" t="n">
        <v>11197</v>
      </c>
      <c r="N1160" s="1" t="n">
        <v>328</v>
      </c>
    </row>
    <row r="1161" customFormat="false" ht="14.25" hidden="false" customHeight="false" outlineLevel="0" collapsed="false">
      <c r="A1161" s="1" t="n">
        <v>235</v>
      </c>
      <c r="B1161" s="1" t="s">
        <v>702</v>
      </c>
      <c r="C1161" s="1" t="s">
        <v>703</v>
      </c>
      <c r="D1161" s="1" t="n">
        <v>11197</v>
      </c>
      <c r="E1161" s="1" t="s">
        <v>53</v>
      </c>
      <c r="F1161" s="201" t="n">
        <v>200025888632</v>
      </c>
      <c r="G1161" s="198" t="s">
        <v>598</v>
      </c>
      <c r="H1161" s="163" t="s">
        <v>393</v>
      </c>
      <c r="I1161" s="161" t="n">
        <v>83</v>
      </c>
      <c r="J1161" s="156" t="s">
        <v>192</v>
      </c>
      <c r="K1161" s="200" t="n">
        <v>45453.2761805556</v>
      </c>
      <c r="L1161" s="1" t="n">
        <v>2</v>
      </c>
      <c r="M1161" s="1" t="n">
        <v>11197</v>
      </c>
      <c r="N1161" s="1" t="n">
        <v>329</v>
      </c>
    </row>
    <row r="1162" customFormat="false" ht="14.25" hidden="false" customHeight="false" outlineLevel="0" collapsed="false">
      <c r="A1162" s="1" t="n">
        <v>236</v>
      </c>
      <c r="B1162" s="1" t="s">
        <v>702</v>
      </c>
      <c r="C1162" s="1" t="s">
        <v>703</v>
      </c>
      <c r="D1162" s="1" t="n">
        <v>11197</v>
      </c>
      <c r="E1162" s="1" t="s">
        <v>53</v>
      </c>
      <c r="F1162" s="201" t="n">
        <v>200025888632</v>
      </c>
      <c r="G1162" s="198" t="s">
        <v>598</v>
      </c>
      <c r="H1162" s="163" t="s">
        <v>393</v>
      </c>
      <c r="I1162" s="161" t="n">
        <v>83</v>
      </c>
      <c r="J1162" s="156" t="s">
        <v>192</v>
      </c>
      <c r="K1162" s="200" t="n">
        <v>45453.3281597222</v>
      </c>
      <c r="L1162" s="1" t="n">
        <v>3</v>
      </c>
      <c r="M1162" s="1" t="n">
        <v>11197</v>
      </c>
      <c r="N1162" s="1" t="n">
        <v>330</v>
      </c>
    </row>
    <row r="1163" customFormat="false" ht="14.25" hidden="false" customHeight="false" outlineLevel="0" collapsed="false">
      <c r="A1163" s="1" t="n">
        <v>237</v>
      </c>
      <c r="B1163" s="1" t="s">
        <v>702</v>
      </c>
      <c r="C1163" s="1" t="s">
        <v>703</v>
      </c>
      <c r="D1163" s="1" t="n">
        <v>11197</v>
      </c>
      <c r="E1163" s="1" t="s">
        <v>53</v>
      </c>
      <c r="F1163" s="201" t="n">
        <v>200025889427</v>
      </c>
      <c r="G1163" s="198" t="s">
        <v>596</v>
      </c>
      <c r="H1163" s="163" t="s">
        <v>534</v>
      </c>
      <c r="I1163" s="161" t="n">
        <v>98</v>
      </c>
      <c r="J1163" s="156" t="s">
        <v>192</v>
      </c>
      <c r="K1163" s="200" t="n">
        <v>45453.3854861111</v>
      </c>
      <c r="L1163" s="207" t="n">
        <v>122</v>
      </c>
      <c r="M1163" s="1" t="n">
        <v>11197</v>
      </c>
      <c r="N1163" s="1" t="n">
        <v>331</v>
      </c>
    </row>
    <row r="1164" customFormat="false" ht="14.25" hidden="false" customHeight="false" outlineLevel="0" collapsed="false">
      <c r="A1164" s="1" t="n">
        <v>238</v>
      </c>
      <c r="B1164" s="1" t="s">
        <v>702</v>
      </c>
      <c r="C1164" s="1" t="s">
        <v>703</v>
      </c>
      <c r="D1164" s="1" t="n">
        <v>11197</v>
      </c>
      <c r="E1164" s="1" t="s">
        <v>53</v>
      </c>
      <c r="F1164" s="201" t="n">
        <v>200025888632</v>
      </c>
      <c r="G1164" s="198" t="s">
        <v>598</v>
      </c>
      <c r="H1164" s="163" t="s">
        <v>393</v>
      </c>
      <c r="I1164" s="161" t="n">
        <v>83</v>
      </c>
      <c r="J1164" s="156" t="s">
        <v>192</v>
      </c>
      <c r="K1164" s="200" t="n">
        <v>45453.3925578704</v>
      </c>
      <c r="L1164" s="1" t="n">
        <v>0</v>
      </c>
      <c r="M1164" s="1" t="n">
        <v>11197</v>
      </c>
      <c r="N1164" s="1" t="n">
        <v>332</v>
      </c>
    </row>
    <row r="1165" customFormat="false" ht="14.25" hidden="false" customHeight="false" outlineLevel="0" collapsed="false">
      <c r="A1165" s="1" t="n">
        <v>239</v>
      </c>
      <c r="B1165" s="1" t="s">
        <v>702</v>
      </c>
      <c r="C1165" s="1" t="s">
        <v>703</v>
      </c>
      <c r="D1165" s="1" t="n">
        <v>11197</v>
      </c>
      <c r="E1165" s="1" t="s">
        <v>53</v>
      </c>
      <c r="F1165" s="201" t="n">
        <v>200025888632</v>
      </c>
      <c r="G1165" s="198" t="s">
        <v>598</v>
      </c>
      <c r="H1165" s="163" t="s">
        <v>393</v>
      </c>
      <c r="I1165" s="161" t="n">
        <v>83</v>
      </c>
      <c r="J1165" s="156" t="s">
        <v>192</v>
      </c>
      <c r="K1165" s="200" t="n">
        <v>45453.3928703704</v>
      </c>
      <c r="L1165" s="1" t="n">
        <v>1</v>
      </c>
      <c r="M1165" s="1" t="n">
        <v>11197</v>
      </c>
      <c r="N1165" s="1" t="n">
        <v>333</v>
      </c>
    </row>
    <row r="1166" customFormat="false" ht="14.25" hidden="false" customHeight="false" outlineLevel="0" collapsed="false">
      <c r="A1166" s="1" t="n">
        <v>240</v>
      </c>
      <c r="B1166" s="1" t="s">
        <v>702</v>
      </c>
      <c r="C1166" s="1" t="s">
        <v>703</v>
      </c>
      <c r="D1166" s="1" t="n">
        <v>11197</v>
      </c>
      <c r="E1166" s="1" t="s">
        <v>53</v>
      </c>
      <c r="F1166" s="201" t="n">
        <v>200025888632</v>
      </c>
      <c r="G1166" s="198" t="s">
        <v>598</v>
      </c>
      <c r="H1166" s="163" t="s">
        <v>393</v>
      </c>
      <c r="I1166" s="161" t="n">
        <v>83</v>
      </c>
      <c r="J1166" s="156" t="s">
        <v>192</v>
      </c>
      <c r="K1166" s="200" t="n">
        <v>45453.3932175926</v>
      </c>
      <c r="L1166" s="1" t="n">
        <v>2</v>
      </c>
      <c r="M1166" s="1" t="n">
        <v>11197</v>
      </c>
      <c r="N1166" s="1" t="n">
        <v>334</v>
      </c>
    </row>
    <row r="1167" customFormat="false" ht="14.25" hidden="false" customHeight="false" outlineLevel="0" collapsed="false">
      <c r="A1167" s="1" t="n">
        <v>241</v>
      </c>
      <c r="B1167" s="1" t="s">
        <v>702</v>
      </c>
      <c r="C1167" s="1" t="s">
        <v>703</v>
      </c>
      <c r="D1167" s="1" t="n">
        <v>11197</v>
      </c>
      <c r="E1167" s="1" t="s">
        <v>53</v>
      </c>
      <c r="F1167" s="201" t="n">
        <v>200025888632</v>
      </c>
      <c r="G1167" s="198" t="s">
        <v>598</v>
      </c>
      <c r="H1167" s="163" t="s">
        <v>393</v>
      </c>
      <c r="I1167" s="161" t="n">
        <v>83</v>
      </c>
      <c r="J1167" s="156" t="s">
        <v>192</v>
      </c>
      <c r="K1167" s="200" t="n">
        <v>45453.3933796296</v>
      </c>
      <c r="L1167" s="1" t="n">
        <v>1</v>
      </c>
      <c r="M1167" s="1" t="n">
        <v>11197</v>
      </c>
      <c r="N1167" s="1" t="n">
        <v>335</v>
      </c>
    </row>
    <row r="1168" customFormat="false" ht="14.25" hidden="false" customHeight="false" outlineLevel="0" collapsed="false">
      <c r="A1168" s="1" t="n">
        <v>242</v>
      </c>
      <c r="B1168" s="1" t="s">
        <v>702</v>
      </c>
      <c r="C1168" s="1" t="s">
        <v>703</v>
      </c>
      <c r="D1168" s="1" t="n">
        <v>11197</v>
      </c>
      <c r="E1168" s="1" t="s">
        <v>53</v>
      </c>
      <c r="F1168" s="201" t="n">
        <v>200025888632</v>
      </c>
      <c r="G1168" s="198" t="s">
        <v>598</v>
      </c>
      <c r="H1168" s="163" t="s">
        <v>393</v>
      </c>
      <c r="I1168" s="161" t="n">
        <v>83</v>
      </c>
      <c r="J1168" s="156" t="s">
        <v>192</v>
      </c>
      <c r="K1168" s="200" t="n">
        <v>45453.3933912037</v>
      </c>
      <c r="L1168" s="1" t="n">
        <v>0</v>
      </c>
      <c r="M1168" s="1" t="n">
        <v>11197</v>
      </c>
      <c r="N1168" s="1" t="n">
        <v>336</v>
      </c>
    </row>
    <row r="1169" customFormat="false" ht="14.25" hidden="false" customHeight="false" outlineLevel="0" collapsed="false">
      <c r="A1169" s="1" t="n">
        <v>243</v>
      </c>
      <c r="B1169" s="1" t="s">
        <v>702</v>
      </c>
      <c r="C1169" s="1" t="s">
        <v>703</v>
      </c>
      <c r="D1169" s="1" t="n">
        <v>11197</v>
      </c>
      <c r="E1169" s="1" t="s">
        <v>53</v>
      </c>
      <c r="F1169" s="201" t="n">
        <v>200025888632</v>
      </c>
      <c r="G1169" s="198" t="s">
        <v>598</v>
      </c>
      <c r="H1169" s="163" t="s">
        <v>393</v>
      </c>
      <c r="I1169" s="161" t="n">
        <v>83</v>
      </c>
      <c r="J1169" s="156" t="s">
        <v>192</v>
      </c>
      <c r="K1169" s="200" t="n">
        <v>45453.4683101852</v>
      </c>
      <c r="L1169" s="1" t="n">
        <v>3</v>
      </c>
      <c r="M1169" s="1" t="n">
        <v>11197</v>
      </c>
      <c r="N1169" s="1" t="n">
        <v>337</v>
      </c>
    </row>
    <row r="1170" customFormat="false" ht="14.25" hidden="false" customHeight="false" outlineLevel="0" collapsed="false">
      <c r="A1170" s="1" t="n">
        <v>244</v>
      </c>
      <c r="B1170" s="1" t="s">
        <v>702</v>
      </c>
      <c r="C1170" s="1" t="s">
        <v>703</v>
      </c>
      <c r="D1170" s="1" t="n">
        <v>11197</v>
      </c>
      <c r="E1170" s="1" t="s">
        <v>53</v>
      </c>
      <c r="F1170" s="201" t="n">
        <v>200025888632</v>
      </c>
      <c r="G1170" s="198" t="s">
        <v>598</v>
      </c>
      <c r="H1170" s="163" t="s">
        <v>393</v>
      </c>
      <c r="I1170" s="161" t="n">
        <v>83</v>
      </c>
      <c r="J1170" s="156" t="s">
        <v>192</v>
      </c>
      <c r="K1170" s="200" t="n">
        <v>45453.4683564815</v>
      </c>
      <c r="L1170" s="1" t="n">
        <v>21</v>
      </c>
      <c r="M1170" s="1" t="n">
        <v>11197</v>
      </c>
      <c r="N1170" s="1" t="n">
        <v>338</v>
      </c>
    </row>
    <row r="1171" customFormat="false" ht="14.25" hidden="false" customHeight="false" outlineLevel="0" collapsed="false">
      <c r="A1171" s="1" t="n">
        <v>245</v>
      </c>
      <c r="B1171" s="1" t="s">
        <v>702</v>
      </c>
      <c r="C1171" s="1" t="s">
        <v>703</v>
      </c>
      <c r="D1171" s="1" t="n">
        <v>11197</v>
      </c>
      <c r="E1171" s="1" t="s">
        <v>53</v>
      </c>
      <c r="F1171" s="201" t="n">
        <v>200025888839</v>
      </c>
      <c r="G1171" s="198" t="s">
        <v>690</v>
      </c>
      <c r="H1171" s="163" t="s">
        <v>297</v>
      </c>
      <c r="I1171" s="161" t="n">
        <v>14</v>
      </c>
      <c r="J1171" s="156" t="s">
        <v>192</v>
      </c>
      <c r="K1171" s="200" t="n">
        <v>45453.4752777778</v>
      </c>
      <c r="L1171" s="1" t="n">
        <v>1</v>
      </c>
      <c r="M1171" s="1" t="n">
        <v>11197</v>
      </c>
      <c r="N1171" s="1" t="n">
        <v>339</v>
      </c>
    </row>
    <row r="1172" customFormat="false" ht="14.25" hidden="false" customHeight="false" outlineLevel="0" collapsed="false">
      <c r="A1172" s="1" t="n">
        <v>246</v>
      </c>
      <c r="B1172" s="1" t="s">
        <v>702</v>
      </c>
      <c r="C1172" s="1" t="s">
        <v>703</v>
      </c>
      <c r="D1172" s="1" t="n">
        <v>11197</v>
      </c>
      <c r="E1172" s="1" t="s">
        <v>53</v>
      </c>
      <c r="F1172" s="201" t="n">
        <v>200025888839</v>
      </c>
      <c r="G1172" s="198" t="s">
        <v>690</v>
      </c>
      <c r="H1172" s="163" t="s">
        <v>297</v>
      </c>
      <c r="I1172" s="161" t="n">
        <v>14</v>
      </c>
      <c r="J1172" s="156" t="s">
        <v>192</v>
      </c>
      <c r="K1172" s="200" t="n">
        <v>45453.4755324074</v>
      </c>
      <c r="L1172" s="1" t="n">
        <v>1</v>
      </c>
      <c r="M1172" s="1" t="n">
        <v>11197</v>
      </c>
      <c r="N1172" s="1" t="n">
        <v>340</v>
      </c>
    </row>
    <row r="1173" customFormat="false" ht="14.25" hidden="false" customHeight="false" outlineLevel="0" collapsed="false">
      <c r="A1173" s="1" t="n">
        <v>247</v>
      </c>
      <c r="B1173" s="1" t="s">
        <v>702</v>
      </c>
      <c r="C1173" s="1" t="s">
        <v>703</v>
      </c>
      <c r="D1173" s="1" t="n">
        <v>11197</v>
      </c>
      <c r="E1173" s="1" t="s">
        <v>53</v>
      </c>
      <c r="F1173" s="201" t="n">
        <v>200025888839</v>
      </c>
      <c r="G1173" s="198" t="s">
        <v>690</v>
      </c>
      <c r="H1173" s="163" t="s">
        <v>297</v>
      </c>
      <c r="I1173" s="161" t="n">
        <v>14</v>
      </c>
      <c r="J1173" s="156" t="s">
        <v>192</v>
      </c>
      <c r="K1173" s="200" t="n">
        <v>45453.4755555556</v>
      </c>
      <c r="L1173" s="1" t="n">
        <v>0</v>
      </c>
      <c r="M1173" s="1" t="n">
        <v>11197</v>
      </c>
      <c r="N1173" s="1" t="n">
        <v>341</v>
      </c>
    </row>
    <row r="1174" customFormat="false" ht="14.25" hidden="false" customHeight="false" outlineLevel="0" collapsed="false">
      <c r="A1174" s="1" t="n">
        <v>248</v>
      </c>
      <c r="B1174" s="1" t="s">
        <v>702</v>
      </c>
      <c r="C1174" s="1" t="s">
        <v>703</v>
      </c>
      <c r="D1174" s="1" t="n">
        <v>11197</v>
      </c>
      <c r="E1174" s="1" t="s">
        <v>53</v>
      </c>
      <c r="F1174" s="201" t="n">
        <v>200025888839</v>
      </c>
      <c r="G1174" s="198" t="s">
        <v>690</v>
      </c>
      <c r="H1174" s="163" t="s">
        <v>297</v>
      </c>
      <c r="I1174" s="161" t="n">
        <v>14</v>
      </c>
      <c r="J1174" s="156" t="s">
        <v>192</v>
      </c>
      <c r="K1174" s="200" t="n">
        <v>45453.500474537</v>
      </c>
      <c r="L1174" s="1" t="n">
        <v>0</v>
      </c>
      <c r="M1174" s="1" t="n">
        <v>11197</v>
      </c>
      <c r="N1174" s="1" t="n">
        <v>342</v>
      </c>
    </row>
    <row r="1175" customFormat="false" ht="14.25" hidden="false" customHeight="false" outlineLevel="0" collapsed="false">
      <c r="A1175" s="1" t="n">
        <v>249</v>
      </c>
      <c r="B1175" s="1" t="s">
        <v>702</v>
      </c>
      <c r="C1175" s="1" t="s">
        <v>703</v>
      </c>
      <c r="D1175" s="1" t="n">
        <v>11197</v>
      </c>
      <c r="E1175" s="1" t="s">
        <v>53</v>
      </c>
      <c r="F1175" s="201" t="n">
        <v>200025888839</v>
      </c>
      <c r="G1175" s="198" t="s">
        <v>690</v>
      </c>
      <c r="H1175" s="163" t="s">
        <v>297</v>
      </c>
      <c r="I1175" s="161" t="n">
        <v>14</v>
      </c>
      <c r="J1175" s="156" t="s">
        <v>192</v>
      </c>
      <c r="K1175" s="200" t="n">
        <v>45453.500474537</v>
      </c>
      <c r="L1175" s="207" t="n">
        <v>60</v>
      </c>
      <c r="M1175" s="1" t="n">
        <v>11197</v>
      </c>
      <c r="N1175" s="1" t="n">
        <v>343</v>
      </c>
    </row>
    <row r="1176" customFormat="false" ht="14.25" hidden="false" customHeight="false" outlineLevel="0" collapsed="false">
      <c r="A1176" s="1" t="n">
        <v>250</v>
      </c>
      <c r="B1176" s="1" t="s">
        <v>702</v>
      </c>
      <c r="C1176" s="1" t="s">
        <v>703</v>
      </c>
      <c r="D1176" s="1" t="n">
        <v>11197</v>
      </c>
      <c r="E1176" s="1" t="s">
        <v>53</v>
      </c>
      <c r="F1176" s="201" t="n">
        <v>200025888839</v>
      </c>
      <c r="G1176" s="198" t="s">
        <v>690</v>
      </c>
      <c r="H1176" s="163" t="s">
        <v>297</v>
      </c>
      <c r="I1176" s="161" t="n">
        <v>14</v>
      </c>
      <c r="J1176" s="156" t="s">
        <v>192</v>
      </c>
      <c r="K1176" s="200" t="n">
        <v>45453.501412037</v>
      </c>
      <c r="L1176" s="1" t="n">
        <v>1</v>
      </c>
      <c r="M1176" s="1" t="n">
        <v>11197</v>
      </c>
      <c r="N1176" s="1" t="n">
        <v>344</v>
      </c>
    </row>
    <row r="1177" customFormat="false" ht="14.25" hidden="false" customHeight="false" outlineLevel="0" collapsed="false">
      <c r="A1177" s="1" t="n">
        <v>251</v>
      </c>
      <c r="B1177" s="1" t="s">
        <v>702</v>
      </c>
      <c r="C1177" s="1" t="s">
        <v>703</v>
      </c>
      <c r="D1177" s="1" t="n">
        <v>11197</v>
      </c>
      <c r="E1177" s="1" t="s">
        <v>53</v>
      </c>
      <c r="F1177" s="201" t="n">
        <v>200025888632</v>
      </c>
      <c r="G1177" s="198" t="s">
        <v>598</v>
      </c>
      <c r="H1177" s="163" t="s">
        <v>393</v>
      </c>
      <c r="I1177" s="161" t="n">
        <v>83</v>
      </c>
      <c r="J1177" s="156" t="s">
        <v>192</v>
      </c>
      <c r="K1177" s="200" t="n">
        <v>45453.5298958333</v>
      </c>
      <c r="L1177" s="1" t="n">
        <v>1</v>
      </c>
      <c r="M1177" s="1" t="n">
        <v>11197</v>
      </c>
      <c r="N1177" s="1" t="n">
        <v>345</v>
      </c>
    </row>
    <row r="1178" customFormat="false" ht="14.25" hidden="false" customHeight="false" outlineLevel="0" collapsed="false">
      <c r="A1178" s="1" t="n">
        <v>252</v>
      </c>
      <c r="B1178" s="1" t="s">
        <v>702</v>
      </c>
      <c r="C1178" s="1" t="s">
        <v>703</v>
      </c>
      <c r="D1178" s="1" t="n">
        <v>11197</v>
      </c>
      <c r="E1178" s="1" t="s">
        <v>53</v>
      </c>
      <c r="F1178" s="201" t="n">
        <v>200025888632</v>
      </c>
      <c r="G1178" s="198" t="s">
        <v>598</v>
      </c>
      <c r="H1178" s="163" t="s">
        <v>393</v>
      </c>
      <c r="I1178" s="161" t="n">
        <v>83</v>
      </c>
      <c r="J1178" s="156" t="s">
        <v>192</v>
      </c>
      <c r="K1178" s="200" t="n">
        <v>45453.5313194444</v>
      </c>
      <c r="L1178" s="1" t="n">
        <v>0</v>
      </c>
      <c r="M1178" s="1" t="n">
        <v>11197</v>
      </c>
      <c r="N1178" s="1" t="n">
        <v>346</v>
      </c>
    </row>
    <row r="1179" customFormat="false" ht="14.25" hidden="false" customHeight="false" outlineLevel="0" collapsed="false">
      <c r="A1179" s="1" t="n">
        <v>253</v>
      </c>
      <c r="B1179" s="1" t="s">
        <v>702</v>
      </c>
      <c r="C1179" s="1" t="s">
        <v>703</v>
      </c>
      <c r="D1179" s="1" t="n">
        <v>11197</v>
      </c>
      <c r="E1179" s="1" t="s">
        <v>53</v>
      </c>
      <c r="F1179" s="201" t="n">
        <v>200025888632</v>
      </c>
      <c r="G1179" s="198" t="s">
        <v>598</v>
      </c>
      <c r="H1179" s="163" t="s">
        <v>393</v>
      </c>
      <c r="I1179" s="161" t="n">
        <v>83</v>
      </c>
      <c r="J1179" s="156" t="s">
        <v>192</v>
      </c>
      <c r="K1179" s="200" t="n">
        <v>45453.5315740741</v>
      </c>
      <c r="L1179" s="1" t="n">
        <v>2</v>
      </c>
      <c r="M1179" s="1" t="n">
        <v>11197</v>
      </c>
      <c r="N1179" s="1" t="n">
        <v>347</v>
      </c>
    </row>
    <row r="1180" customFormat="false" ht="14.25" hidden="false" customHeight="false" outlineLevel="0" collapsed="false">
      <c r="A1180" s="1" t="n">
        <v>254</v>
      </c>
      <c r="B1180" s="1" t="s">
        <v>702</v>
      </c>
      <c r="C1180" s="1" t="s">
        <v>703</v>
      </c>
      <c r="D1180" s="1" t="n">
        <v>11197</v>
      </c>
      <c r="E1180" s="1" t="s">
        <v>53</v>
      </c>
      <c r="F1180" s="201" t="n">
        <v>200025888632</v>
      </c>
      <c r="G1180" s="198" t="s">
        <v>598</v>
      </c>
      <c r="H1180" s="163" t="s">
        <v>393</v>
      </c>
      <c r="I1180" s="161" t="n">
        <v>83</v>
      </c>
      <c r="J1180" s="156" t="s">
        <v>192</v>
      </c>
      <c r="K1180" s="200" t="n">
        <v>45453.5326041667</v>
      </c>
      <c r="L1180" s="1" t="n">
        <v>0</v>
      </c>
      <c r="M1180" s="1" t="n">
        <v>11197</v>
      </c>
      <c r="N1180" s="1" t="n">
        <v>348</v>
      </c>
    </row>
    <row r="1181" customFormat="false" ht="14.25" hidden="false" customHeight="false" outlineLevel="0" collapsed="false">
      <c r="A1181" s="1" t="n">
        <v>255</v>
      </c>
      <c r="B1181" s="1" t="s">
        <v>702</v>
      </c>
      <c r="C1181" s="1" t="s">
        <v>703</v>
      </c>
      <c r="D1181" s="1" t="n">
        <v>11197</v>
      </c>
      <c r="E1181" s="1" t="s">
        <v>53</v>
      </c>
      <c r="F1181" s="201" t="n">
        <v>200025888632</v>
      </c>
      <c r="G1181" s="198" t="s">
        <v>598</v>
      </c>
      <c r="H1181" s="163" t="s">
        <v>393</v>
      </c>
      <c r="I1181" s="161" t="n">
        <v>83</v>
      </c>
      <c r="J1181" s="156" t="s">
        <v>192</v>
      </c>
      <c r="K1181" s="200" t="n">
        <v>45453.5329166667</v>
      </c>
      <c r="L1181" s="1" t="n">
        <v>0</v>
      </c>
      <c r="M1181" s="1" t="n">
        <v>11197</v>
      </c>
      <c r="N1181" s="1" t="n">
        <v>349</v>
      </c>
    </row>
    <row r="1182" customFormat="false" ht="14.25" hidden="false" customHeight="false" outlineLevel="0" collapsed="false">
      <c r="A1182" s="1" t="n">
        <v>256</v>
      </c>
      <c r="B1182" s="1" t="s">
        <v>702</v>
      </c>
      <c r="C1182" s="1" t="s">
        <v>703</v>
      </c>
      <c r="D1182" s="1" t="n">
        <v>11197</v>
      </c>
      <c r="E1182" s="1" t="s">
        <v>53</v>
      </c>
      <c r="F1182" s="201" t="n">
        <v>200025888632</v>
      </c>
      <c r="G1182" s="198" t="s">
        <v>598</v>
      </c>
      <c r="H1182" s="163" t="s">
        <v>393</v>
      </c>
      <c r="I1182" s="161" t="n">
        <v>83</v>
      </c>
      <c r="J1182" s="156" t="s">
        <v>192</v>
      </c>
      <c r="K1182" s="200" t="n">
        <v>45453.5329282407</v>
      </c>
      <c r="L1182" s="1" t="n">
        <v>0</v>
      </c>
      <c r="M1182" s="1" t="n">
        <v>11197</v>
      </c>
      <c r="N1182" s="1" t="n">
        <v>350</v>
      </c>
    </row>
    <row r="1183" customFormat="false" ht="14.25" hidden="false" customHeight="false" outlineLevel="0" collapsed="false">
      <c r="A1183" s="1" t="n">
        <v>257</v>
      </c>
      <c r="B1183" s="1" t="s">
        <v>702</v>
      </c>
      <c r="C1183" s="1" t="s">
        <v>703</v>
      </c>
      <c r="D1183" s="1" t="n">
        <v>11197</v>
      </c>
      <c r="E1183" s="1" t="s">
        <v>53</v>
      </c>
      <c r="F1183" s="201" t="n">
        <v>200025888632</v>
      </c>
      <c r="G1183" s="198" t="s">
        <v>598</v>
      </c>
      <c r="H1183" s="163" t="s">
        <v>393</v>
      </c>
      <c r="I1183" s="161" t="n">
        <v>83</v>
      </c>
      <c r="J1183" s="156" t="s">
        <v>192</v>
      </c>
      <c r="K1183" s="200" t="n">
        <v>45453.533125</v>
      </c>
      <c r="L1183" s="1" t="n">
        <v>2</v>
      </c>
      <c r="M1183" s="1" t="n">
        <v>11197</v>
      </c>
      <c r="N1183" s="1" t="n">
        <v>351</v>
      </c>
    </row>
    <row r="1184" customFormat="false" ht="14.25" hidden="false" customHeight="false" outlineLevel="0" collapsed="false">
      <c r="A1184" s="1" t="n">
        <v>258</v>
      </c>
      <c r="B1184" s="1" t="s">
        <v>702</v>
      </c>
      <c r="C1184" s="1" t="s">
        <v>703</v>
      </c>
      <c r="D1184" s="1" t="n">
        <v>11197</v>
      </c>
      <c r="E1184" s="1" t="s">
        <v>53</v>
      </c>
      <c r="F1184" s="201" t="n">
        <v>200025888632</v>
      </c>
      <c r="G1184" s="198" t="s">
        <v>598</v>
      </c>
      <c r="H1184" s="163" t="s">
        <v>393</v>
      </c>
      <c r="I1184" s="161" t="n">
        <v>83</v>
      </c>
      <c r="J1184" s="156" t="s">
        <v>192</v>
      </c>
      <c r="K1184" s="200" t="n">
        <v>45453.5343634259</v>
      </c>
      <c r="L1184" s="1" t="n">
        <v>1</v>
      </c>
      <c r="M1184" s="1" t="n">
        <v>11197</v>
      </c>
      <c r="N1184" s="1" t="n">
        <v>352</v>
      </c>
    </row>
    <row r="1185" customFormat="false" ht="14.25" hidden="false" customHeight="false" outlineLevel="0" collapsed="false">
      <c r="A1185" s="1" t="n">
        <v>259</v>
      </c>
      <c r="B1185" s="1" t="s">
        <v>702</v>
      </c>
      <c r="C1185" s="1" t="s">
        <v>703</v>
      </c>
      <c r="D1185" s="1" t="n">
        <v>11197</v>
      </c>
      <c r="E1185" s="1" t="s">
        <v>53</v>
      </c>
      <c r="F1185" s="201" t="n">
        <v>200025888632</v>
      </c>
      <c r="G1185" s="198" t="s">
        <v>598</v>
      </c>
      <c r="H1185" s="163" t="s">
        <v>393</v>
      </c>
      <c r="I1185" s="161" t="n">
        <v>83</v>
      </c>
      <c r="J1185" s="156" t="s">
        <v>192</v>
      </c>
      <c r="K1185" s="200" t="n">
        <v>45453.535</v>
      </c>
      <c r="L1185" s="1" t="n">
        <v>1</v>
      </c>
      <c r="M1185" s="1" t="n">
        <v>11197</v>
      </c>
      <c r="N1185" s="1" t="n">
        <v>353</v>
      </c>
    </row>
    <row r="1186" customFormat="false" ht="14.25" hidden="false" customHeight="false" outlineLevel="0" collapsed="false">
      <c r="A1186" s="1" t="n">
        <v>260</v>
      </c>
      <c r="B1186" s="1" t="s">
        <v>702</v>
      </c>
      <c r="C1186" s="1" t="s">
        <v>703</v>
      </c>
      <c r="D1186" s="1" t="n">
        <v>11197</v>
      </c>
      <c r="E1186" s="1" t="s">
        <v>53</v>
      </c>
      <c r="F1186" s="201" t="n">
        <v>200025888632</v>
      </c>
      <c r="G1186" s="198" t="s">
        <v>598</v>
      </c>
      <c r="H1186" s="163" t="s">
        <v>393</v>
      </c>
      <c r="I1186" s="161" t="n">
        <v>83</v>
      </c>
      <c r="J1186" s="156" t="s">
        <v>192</v>
      </c>
      <c r="K1186" s="200" t="n">
        <v>45453.5352893519</v>
      </c>
      <c r="L1186" s="1" t="n">
        <v>2</v>
      </c>
      <c r="M1186" s="1" t="n">
        <v>11197</v>
      </c>
      <c r="N1186" s="1" t="n">
        <v>354</v>
      </c>
    </row>
    <row r="1187" customFormat="false" ht="14.25" hidden="false" customHeight="false" outlineLevel="0" collapsed="false">
      <c r="A1187" s="1" t="n">
        <v>261</v>
      </c>
      <c r="B1187" s="1" t="s">
        <v>702</v>
      </c>
      <c r="C1187" s="1" t="s">
        <v>703</v>
      </c>
      <c r="D1187" s="1" t="n">
        <v>11197</v>
      </c>
      <c r="E1187" s="1" t="s">
        <v>53</v>
      </c>
      <c r="F1187" s="201" t="n">
        <v>200025888632</v>
      </c>
      <c r="G1187" s="198" t="s">
        <v>598</v>
      </c>
      <c r="H1187" s="163" t="s">
        <v>393</v>
      </c>
      <c r="I1187" s="161" t="n">
        <v>83</v>
      </c>
      <c r="J1187" s="156" t="s">
        <v>192</v>
      </c>
      <c r="K1187" s="200" t="n">
        <v>45453.5355092593</v>
      </c>
      <c r="L1187" s="1" t="n">
        <v>1</v>
      </c>
      <c r="M1187" s="1" t="n">
        <v>11197</v>
      </c>
      <c r="N1187" s="1" t="n">
        <v>355</v>
      </c>
    </row>
    <row r="1188" customFormat="false" ht="14.25" hidden="false" customHeight="false" outlineLevel="0" collapsed="false">
      <c r="A1188" s="1" t="n">
        <v>262</v>
      </c>
      <c r="B1188" s="1" t="s">
        <v>702</v>
      </c>
      <c r="C1188" s="1" t="s">
        <v>703</v>
      </c>
      <c r="D1188" s="1" t="n">
        <v>11197</v>
      </c>
      <c r="E1188" s="1" t="s">
        <v>53</v>
      </c>
      <c r="F1188" s="201" t="n">
        <v>200025888632</v>
      </c>
      <c r="G1188" s="198" t="s">
        <v>598</v>
      </c>
      <c r="H1188" s="163" t="s">
        <v>393</v>
      </c>
      <c r="I1188" s="161" t="n">
        <v>83</v>
      </c>
      <c r="J1188" s="156" t="s">
        <v>192</v>
      </c>
      <c r="K1188" s="200" t="n">
        <v>45453.5358796296</v>
      </c>
      <c r="L1188" s="1" t="n">
        <v>1</v>
      </c>
      <c r="M1188" s="1" t="n">
        <v>11197</v>
      </c>
      <c r="N1188" s="1" t="n">
        <v>356</v>
      </c>
    </row>
    <row r="1189" customFormat="false" ht="14.25" hidden="false" customHeight="false" outlineLevel="0" collapsed="false">
      <c r="A1189" s="1" t="n">
        <v>263</v>
      </c>
      <c r="B1189" s="1" t="s">
        <v>702</v>
      </c>
      <c r="C1189" s="1" t="s">
        <v>703</v>
      </c>
      <c r="D1189" s="1" t="n">
        <v>11197</v>
      </c>
      <c r="E1189" s="1" t="s">
        <v>53</v>
      </c>
      <c r="F1189" s="201" t="n">
        <v>200025888632</v>
      </c>
      <c r="G1189" s="198" t="s">
        <v>598</v>
      </c>
      <c r="H1189" s="163" t="s">
        <v>393</v>
      </c>
      <c r="I1189" s="161" t="n">
        <v>83</v>
      </c>
      <c r="J1189" s="156" t="s">
        <v>192</v>
      </c>
      <c r="K1189" s="200" t="n">
        <v>45453.5364467593</v>
      </c>
      <c r="L1189" s="1" t="n">
        <v>4</v>
      </c>
      <c r="M1189" s="1" t="n">
        <v>11197</v>
      </c>
      <c r="N1189" s="1" t="n">
        <v>357</v>
      </c>
    </row>
    <row r="1190" customFormat="false" ht="14.25" hidden="false" customHeight="false" outlineLevel="0" collapsed="false">
      <c r="A1190" s="1" t="n">
        <v>264</v>
      </c>
      <c r="B1190" s="1" t="s">
        <v>702</v>
      </c>
      <c r="C1190" s="1" t="s">
        <v>703</v>
      </c>
      <c r="D1190" s="1" t="n">
        <v>11197</v>
      </c>
      <c r="E1190" s="1" t="s">
        <v>53</v>
      </c>
      <c r="F1190" s="201" t="n">
        <v>200025888632</v>
      </c>
      <c r="G1190" s="198" t="s">
        <v>598</v>
      </c>
      <c r="H1190" s="163" t="s">
        <v>393</v>
      </c>
      <c r="I1190" s="161" t="n">
        <v>83</v>
      </c>
      <c r="J1190" s="156" t="s">
        <v>192</v>
      </c>
      <c r="K1190" s="200" t="n">
        <v>45453.537662037</v>
      </c>
      <c r="L1190" s="1" t="n">
        <v>1</v>
      </c>
      <c r="M1190" s="1" t="n">
        <v>11197</v>
      </c>
      <c r="N1190" s="1" t="n">
        <v>358</v>
      </c>
    </row>
    <row r="1191" customFormat="false" ht="14.25" hidden="false" customHeight="false" outlineLevel="0" collapsed="false">
      <c r="A1191" s="1" t="n">
        <v>265</v>
      </c>
      <c r="B1191" s="1" t="s">
        <v>702</v>
      </c>
      <c r="C1191" s="1" t="s">
        <v>703</v>
      </c>
      <c r="D1191" s="1" t="n">
        <v>11197</v>
      </c>
      <c r="E1191" s="1" t="s">
        <v>53</v>
      </c>
      <c r="F1191" s="201" t="n">
        <v>200025888632</v>
      </c>
      <c r="G1191" s="198" t="s">
        <v>598</v>
      </c>
      <c r="H1191" s="163" t="s">
        <v>393</v>
      </c>
      <c r="I1191" s="161" t="n">
        <v>83</v>
      </c>
      <c r="J1191" s="156" t="s">
        <v>192</v>
      </c>
      <c r="K1191" s="200" t="n">
        <v>45453.5376736111</v>
      </c>
      <c r="L1191" s="1" t="n">
        <v>1</v>
      </c>
      <c r="M1191" s="1" t="n">
        <v>11197</v>
      </c>
      <c r="N1191" s="1" t="n">
        <v>359</v>
      </c>
    </row>
    <row r="1192" customFormat="false" ht="14.25" hidden="false" customHeight="false" outlineLevel="0" collapsed="false">
      <c r="A1192" s="1" t="n">
        <v>266</v>
      </c>
      <c r="B1192" s="1" t="s">
        <v>702</v>
      </c>
      <c r="C1192" s="1" t="s">
        <v>703</v>
      </c>
      <c r="D1192" s="1" t="n">
        <v>11197</v>
      </c>
      <c r="E1192" s="1" t="s">
        <v>53</v>
      </c>
      <c r="F1192" s="201" t="n">
        <v>200025888632</v>
      </c>
      <c r="G1192" s="198" t="s">
        <v>598</v>
      </c>
      <c r="H1192" s="163" t="s">
        <v>393</v>
      </c>
      <c r="I1192" s="161" t="n">
        <v>83</v>
      </c>
      <c r="J1192" s="156" t="s">
        <v>192</v>
      </c>
      <c r="K1192" s="200" t="n">
        <v>45453.5376967593</v>
      </c>
      <c r="L1192" s="1" t="n">
        <v>1</v>
      </c>
      <c r="M1192" s="1" t="n">
        <v>11197</v>
      </c>
      <c r="N1192" s="1" t="n">
        <v>360</v>
      </c>
    </row>
    <row r="1193" customFormat="false" ht="14.25" hidden="false" customHeight="false" outlineLevel="0" collapsed="false">
      <c r="A1193" s="1" t="n">
        <v>267</v>
      </c>
      <c r="B1193" s="1" t="s">
        <v>702</v>
      </c>
      <c r="C1193" s="1" t="s">
        <v>703</v>
      </c>
      <c r="D1193" s="1" t="n">
        <v>11197</v>
      </c>
      <c r="E1193" s="1" t="s">
        <v>53</v>
      </c>
      <c r="F1193" s="201" t="n">
        <v>200025888632</v>
      </c>
      <c r="G1193" s="198" t="s">
        <v>598</v>
      </c>
      <c r="H1193" s="163" t="s">
        <v>393</v>
      </c>
      <c r="I1193" s="161" t="n">
        <v>83</v>
      </c>
      <c r="J1193" s="156" t="s">
        <v>192</v>
      </c>
      <c r="K1193" s="200" t="n">
        <v>45453.5377083333</v>
      </c>
      <c r="L1193" s="1" t="n">
        <v>0</v>
      </c>
      <c r="M1193" s="1" t="n">
        <v>11197</v>
      </c>
      <c r="N1193" s="1" t="n">
        <v>361</v>
      </c>
    </row>
    <row r="1194" customFormat="false" ht="14.25" hidden="false" customHeight="false" outlineLevel="0" collapsed="false">
      <c r="A1194" s="1" t="n">
        <v>268</v>
      </c>
      <c r="B1194" s="1" t="s">
        <v>702</v>
      </c>
      <c r="C1194" s="1" t="s">
        <v>703</v>
      </c>
      <c r="D1194" s="1" t="n">
        <v>11197</v>
      </c>
      <c r="E1194" s="1" t="s">
        <v>53</v>
      </c>
      <c r="F1194" s="201" t="n">
        <v>200025888632</v>
      </c>
      <c r="G1194" s="198" t="s">
        <v>598</v>
      </c>
      <c r="H1194" s="163" t="s">
        <v>393</v>
      </c>
      <c r="I1194" s="161" t="n">
        <v>83</v>
      </c>
      <c r="J1194" s="156" t="s">
        <v>192</v>
      </c>
      <c r="K1194" s="200" t="n">
        <v>45453.5377083333</v>
      </c>
      <c r="L1194" s="1" t="n">
        <v>1</v>
      </c>
      <c r="M1194" s="1" t="n">
        <v>11197</v>
      </c>
      <c r="N1194" s="1" t="n">
        <v>362</v>
      </c>
    </row>
    <row r="1195" customFormat="false" ht="14.25" hidden="false" customHeight="false" outlineLevel="0" collapsed="false">
      <c r="A1195" s="1" t="n">
        <v>269</v>
      </c>
      <c r="B1195" s="1" t="s">
        <v>702</v>
      </c>
      <c r="C1195" s="1" t="s">
        <v>703</v>
      </c>
      <c r="D1195" s="1" t="n">
        <v>11197</v>
      </c>
      <c r="E1195" s="1" t="s">
        <v>53</v>
      </c>
      <c r="F1195" s="201" t="n">
        <v>200025888839</v>
      </c>
      <c r="G1195" s="198" t="s">
        <v>690</v>
      </c>
      <c r="H1195" s="163" t="s">
        <v>297</v>
      </c>
      <c r="I1195" s="161" t="n">
        <v>14</v>
      </c>
      <c r="J1195" s="156" t="s">
        <v>192</v>
      </c>
      <c r="K1195" s="200" t="n">
        <v>45453.5555324074</v>
      </c>
      <c r="L1195" s="1" t="n">
        <v>2</v>
      </c>
      <c r="M1195" s="1" t="n">
        <v>11197</v>
      </c>
      <c r="N1195" s="1" t="n">
        <v>363</v>
      </c>
    </row>
    <row r="1196" customFormat="false" ht="14.25" hidden="false" customHeight="false" outlineLevel="0" collapsed="false">
      <c r="A1196" s="1" t="n">
        <v>270</v>
      </c>
      <c r="B1196" s="1" t="s">
        <v>702</v>
      </c>
      <c r="C1196" s="1" t="s">
        <v>703</v>
      </c>
      <c r="D1196" s="1" t="n">
        <v>11197</v>
      </c>
      <c r="E1196" s="1" t="s">
        <v>53</v>
      </c>
      <c r="F1196" s="201" t="n">
        <v>200025888839</v>
      </c>
      <c r="G1196" s="198" t="s">
        <v>690</v>
      </c>
      <c r="H1196" s="163" t="s">
        <v>297</v>
      </c>
      <c r="I1196" s="161" t="n">
        <v>14</v>
      </c>
      <c r="J1196" s="156" t="s">
        <v>192</v>
      </c>
      <c r="K1196" s="200" t="n">
        <v>45453.5559259259</v>
      </c>
      <c r="L1196" s="1" t="n">
        <v>2</v>
      </c>
      <c r="M1196" s="1" t="n">
        <v>11197</v>
      </c>
      <c r="N1196" s="1" t="n">
        <v>364</v>
      </c>
    </row>
    <row r="1197" customFormat="false" ht="14.25" hidden="false" customHeight="false" outlineLevel="0" collapsed="false">
      <c r="A1197" s="1" t="n">
        <v>271</v>
      </c>
      <c r="B1197" s="1" t="s">
        <v>702</v>
      </c>
      <c r="C1197" s="1" t="s">
        <v>703</v>
      </c>
      <c r="D1197" s="1" t="n">
        <v>11197</v>
      </c>
      <c r="E1197" s="1" t="s">
        <v>53</v>
      </c>
      <c r="F1197" s="201" t="n">
        <v>200025888632</v>
      </c>
      <c r="G1197" s="198" t="s">
        <v>598</v>
      </c>
      <c r="H1197" s="163" t="s">
        <v>393</v>
      </c>
      <c r="I1197" s="161" t="n">
        <v>83</v>
      </c>
      <c r="J1197" s="156" t="s">
        <v>192</v>
      </c>
      <c r="K1197" s="200" t="n">
        <v>45453.6287268519</v>
      </c>
      <c r="L1197" s="1" t="n">
        <v>2</v>
      </c>
      <c r="M1197" s="1" t="n">
        <v>11197</v>
      </c>
      <c r="N1197" s="1" t="n">
        <v>365</v>
      </c>
    </row>
    <row r="1198" customFormat="false" ht="14.25" hidden="false" customHeight="false" outlineLevel="0" collapsed="false">
      <c r="A1198" s="1" t="n">
        <v>272</v>
      </c>
      <c r="B1198" s="1" t="s">
        <v>702</v>
      </c>
      <c r="C1198" s="1" t="s">
        <v>703</v>
      </c>
      <c r="D1198" s="1" t="n">
        <v>11197</v>
      </c>
      <c r="E1198" s="1" t="s">
        <v>53</v>
      </c>
      <c r="F1198" s="201" t="n">
        <v>200025888910</v>
      </c>
      <c r="G1198" s="198" t="s">
        <v>635</v>
      </c>
      <c r="H1198" s="163" t="s">
        <v>418</v>
      </c>
      <c r="I1198" s="161" t="n">
        <v>109</v>
      </c>
      <c r="J1198" s="156" t="s">
        <v>185</v>
      </c>
      <c r="K1198" s="200" t="n">
        <v>45453.6356481482</v>
      </c>
      <c r="L1198" s="1" t="n">
        <v>1</v>
      </c>
      <c r="M1198" s="1" t="n">
        <v>11197</v>
      </c>
      <c r="N1198" s="1" t="n">
        <v>366</v>
      </c>
    </row>
    <row r="1199" customFormat="false" ht="14.25" hidden="false" customHeight="false" outlineLevel="0" collapsed="false">
      <c r="A1199" s="1" t="n">
        <v>273</v>
      </c>
      <c r="B1199" s="1" t="s">
        <v>702</v>
      </c>
      <c r="C1199" s="1" t="s">
        <v>703</v>
      </c>
      <c r="D1199" s="1" t="n">
        <v>11197</v>
      </c>
      <c r="E1199" s="1" t="s">
        <v>53</v>
      </c>
      <c r="F1199" s="201" t="n">
        <v>200025888910</v>
      </c>
      <c r="G1199" s="198" t="s">
        <v>635</v>
      </c>
      <c r="H1199" s="163" t="s">
        <v>418</v>
      </c>
      <c r="I1199" s="161" t="n">
        <v>109</v>
      </c>
      <c r="J1199" s="156" t="s">
        <v>185</v>
      </c>
      <c r="K1199" s="200" t="n">
        <v>45453.637037037</v>
      </c>
      <c r="L1199" s="1" t="n">
        <v>1</v>
      </c>
      <c r="M1199" s="1" t="n">
        <v>11197</v>
      </c>
      <c r="N1199" s="1" t="n">
        <v>367</v>
      </c>
    </row>
    <row r="1200" customFormat="false" ht="14.25" hidden="false" customHeight="false" outlineLevel="0" collapsed="false">
      <c r="A1200" s="1" t="n">
        <v>274</v>
      </c>
      <c r="B1200" s="1" t="s">
        <v>702</v>
      </c>
      <c r="C1200" s="1" t="s">
        <v>703</v>
      </c>
      <c r="D1200" s="1" t="n">
        <v>11197</v>
      </c>
      <c r="E1200" s="1" t="s">
        <v>53</v>
      </c>
      <c r="F1200" s="201" t="n">
        <v>200025888910</v>
      </c>
      <c r="G1200" s="198" t="s">
        <v>635</v>
      </c>
      <c r="H1200" s="163" t="s">
        <v>418</v>
      </c>
      <c r="I1200" s="161" t="n">
        <v>109</v>
      </c>
      <c r="J1200" s="156" t="s">
        <v>185</v>
      </c>
      <c r="K1200" s="200" t="n">
        <v>45453.6373032407</v>
      </c>
      <c r="L1200" s="1" t="n">
        <v>1</v>
      </c>
      <c r="M1200" s="1" t="n">
        <v>11197</v>
      </c>
      <c r="N1200" s="1" t="n">
        <v>368</v>
      </c>
    </row>
    <row r="1201" customFormat="false" ht="14.25" hidden="false" customHeight="false" outlineLevel="0" collapsed="false">
      <c r="A1201" s="1" t="n">
        <v>275</v>
      </c>
      <c r="B1201" s="1" t="s">
        <v>702</v>
      </c>
      <c r="C1201" s="1" t="s">
        <v>703</v>
      </c>
      <c r="D1201" s="1" t="n">
        <v>11197</v>
      </c>
      <c r="E1201" s="1" t="s">
        <v>53</v>
      </c>
      <c r="F1201" s="201" t="n">
        <v>200025888910</v>
      </c>
      <c r="G1201" s="198" t="s">
        <v>635</v>
      </c>
      <c r="H1201" s="163" t="s">
        <v>418</v>
      </c>
      <c r="I1201" s="161" t="n">
        <v>109</v>
      </c>
      <c r="J1201" s="156" t="s">
        <v>185</v>
      </c>
      <c r="K1201" s="200" t="n">
        <v>45453.6383217593</v>
      </c>
      <c r="L1201" s="1" t="n">
        <v>1</v>
      </c>
      <c r="M1201" s="1" t="n">
        <v>11197</v>
      </c>
      <c r="N1201" s="1" t="n">
        <v>369</v>
      </c>
    </row>
    <row r="1202" customFormat="false" ht="14.25" hidden="false" customHeight="false" outlineLevel="0" collapsed="false">
      <c r="A1202" s="1" t="n">
        <v>276</v>
      </c>
      <c r="B1202" s="1" t="s">
        <v>702</v>
      </c>
      <c r="C1202" s="1" t="s">
        <v>703</v>
      </c>
      <c r="D1202" s="1" t="n">
        <v>11197</v>
      </c>
      <c r="E1202" s="1" t="s">
        <v>53</v>
      </c>
      <c r="F1202" s="201" t="n">
        <v>200025888910</v>
      </c>
      <c r="G1202" s="198" t="s">
        <v>635</v>
      </c>
      <c r="H1202" s="163" t="s">
        <v>418</v>
      </c>
      <c r="I1202" s="161" t="n">
        <v>109</v>
      </c>
      <c r="J1202" s="156" t="s">
        <v>185</v>
      </c>
      <c r="K1202" s="200" t="n">
        <v>45453.6383449074</v>
      </c>
      <c r="L1202" s="207" t="n">
        <v>54</v>
      </c>
      <c r="M1202" s="1" t="n">
        <v>11197</v>
      </c>
      <c r="N1202" s="1" t="n">
        <v>370</v>
      </c>
    </row>
    <row r="1203" customFormat="false" ht="14.25" hidden="false" customHeight="false" outlineLevel="0" collapsed="false">
      <c r="A1203" s="1" t="n">
        <v>277</v>
      </c>
      <c r="B1203" s="1" t="s">
        <v>702</v>
      </c>
      <c r="C1203" s="1" t="s">
        <v>703</v>
      </c>
      <c r="D1203" s="1" t="n">
        <v>11197</v>
      </c>
      <c r="E1203" s="1" t="s">
        <v>53</v>
      </c>
      <c r="F1203" s="201" t="n">
        <v>200025889003</v>
      </c>
      <c r="G1203" s="198" t="s">
        <v>706</v>
      </c>
      <c r="H1203" s="163" t="s">
        <v>251</v>
      </c>
      <c r="I1203" s="161" t="n">
        <v>22</v>
      </c>
      <c r="J1203" s="156" t="s">
        <v>185</v>
      </c>
      <c r="K1203" s="200" t="n">
        <v>45453.6389699074</v>
      </c>
      <c r="L1203" s="1" t="n">
        <v>0</v>
      </c>
      <c r="M1203" s="1" t="n">
        <v>11197</v>
      </c>
      <c r="N1203" s="1" t="n">
        <v>371</v>
      </c>
    </row>
    <row r="1204" customFormat="false" ht="14.25" hidden="false" customHeight="false" outlineLevel="0" collapsed="false">
      <c r="A1204" s="1" t="n">
        <v>278</v>
      </c>
      <c r="B1204" s="1" t="s">
        <v>702</v>
      </c>
      <c r="C1204" s="1" t="s">
        <v>703</v>
      </c>
      <c r="D1204" s="1" t="n">
        <v>11197</v>
      </c>
      <c r="E1204" s="1" t="s">
        <v>53</v>
      </c>
      <c r="F1204" s="201" t="n">
        <v>200025889003</v>
      </c>
      <c r="G1204" s="198" t="s">
        <v>706</v>
      </c>
      <c r="H1204" s="163" t="s">
        <v>251</v>
      </c>
      <c r="I1204" s="161" t="n">
        <v>22</v>
      </c>
      <c r="J1204" s="156" t="s">
        <v>185</v>
      </c>
      <c r="K1204" s="200" t="n">
        <v>45453.6389814815</v>
      </c>
      <c r="L1204" s="1" t="n">
        <v>5</v>
      </c>
      <c r="M1204" s="1" t="n">
        <v>11197</v>
      </c>
      <c r="N1204" s="1" t="n">
        <v>372</v>
      </c>
    </row>
    <row r="1205" customFormat="false" ht="14.25" hidden="false" customHeight="false" outlineLevel="0" collapsed="false">
      <c r="A1205" s="1" t="n">
        <v>279</v>
      </c>
      <c r="B1205" s="1" t="s">
        <v>702</v>
      </c>
      <c r="C1205" s="1" t="s">
        <v>703</v>
      </c>
      <c r="D1205" s="1" t="n">
        <v>11197</v>
      </c>
      <c r="E1205" s="1" t="s">
        <v>53</v>
      </c>
      <c r="F1205" s="201" t="n">
        <v>200025888910</v>
      </c>
      <c r="G1205" s="198" t="s">
        <v>635</v>
      </c>
      <c r="H1205" s="163" t="s">
        <v>418</v>
      </c>
      <c r="I1205" s="161" t="n">
        <v>109</v>
      </c>
      <c r="J1205" s="156" t="s">
        <v>185</v>
      </c>
      <c r="K1205" s="200" t="n">
        <v>45453.6561342593</v>
      </c>
      <c r="L1205" s="1" t="n">
        <v>0</v>
      </c>
      <c r="M1205" s="1" t="n">
        <v>11197</v>
      </c>
      <c r="N1205" s="1" t="n">
        <v>373</v>
      </c>
    </row>
    <row r="1206" customFormat="false" ht="14.25" hidden="false" customHeight="false" outlineLevel="0" collapsed="false">
      <c r="A1206" s="1" t="n">
        <v>280</v>
      </c>
      <c r="B1206" s="1" t="s">
        <v>702</v>
      </c>
      <c r="C1206" s="1" t="s">
        <v>703</v>
      </c>
      <c r="D1206" s="1" t="n">
        <v>11197</v>
      </c>
      <c r="E1206" s="1" t="s">
        <v>53</v>
      </c>
      <c r="F1206" s="201" t="n">
        <v>200025888910</v>
      </c>
      <c r="G1206" s="198" t="s">
        <v>635</v>
      </c>
      <c r="H1206" s="163" t="s">
        <v>418</v>
      </c>
      <c r="I1206" s="161" t="n">
        <v>109</v>
      </c>
      <c r="J1206" s="156" t="s">
        <v>185</v>
      </c>
      <c r="K1206" s="200" t="n">
        <v>45453.6572222222</v>
      </c>
      <c r="L1206" s="1" t="n">
        <v>2</v>
      </c>
      <c r="M1206" s="1" t="n">
        <v>11197</v>
      </c>
      <c r="N1206" s="1" t="n">
        <v>374</v>
      </c>
    </row>
    <row r="1207" customFormat="false" ht="14.25" hidden="false" customHeight="false" outlineLevel="0" collapsed="false">
      <c r="A1207" s="1" t="n">
        <v>281</v>
      </c>
      <c r="B1207" s="1" t="s">
        <v>702</v>
      </c>
      <c r="C1207" s="1" t="s">
        <v>703</v>
      </c>
      <c r="D1207" s="1" t="n">
        <v>11197</v>
      </c>
      <c r="E1207" s="1" t="s">
        <v>53</v>
      </c>
      <c r="F1207" s="201" t="n">
        <v>200025888910</v>
      </c>
      <c r="G1207" s="198" t="s">
        <v>635</v>
      </c>
      <c r="H1207" s="163" t="s">
        <v>418</v>
      </c>
      <c r="I1207" s="161" t="n">
        <v>109</v>
      </c>
      <c r="J1207" s="156" t="s">
        <v>185</v>
      </c>
      <c r="K1207" s="200" t="n">
        <v>45453.6577430556</v>
      </c>
      <c r="L1207" s="1" t="n">
        <v>0</v>
      </c>
      <c r="M1207" s="1" t="n">
        <v>11197</v>
      </c>
      <c r="N1207" s="1" t="n">
        <v>375</v>
      </c>
    </row>
    <row r="1208" customFormat="false" ht="14.25" hidden="false" customHeight="false" outlineLevel="0" collapsed="false">
      <c r="A1208" s="1" t="n">
        <v>282</v>
      </c>
      <c r="B1208" s="1" t="s">
        <v>702</v>
      </c>
      <c r="C1208" s="1" t="s">
        <v>703</v>
      </c>
      <c r="D1208" s="1" t="n">
        <v>11197</v>
      </c>
      <c r="E1208" s="1" t="s">
        <v>53</v>
      </c>
      <c r="F1208" s="201" t="n">
        <v>200025888910</v>
      </c>
      <c r="G1208" s="198" t="s">
        <v>635</v>
      </c>
      <c r="H1208" s="163" t="s">
        <v>418</v>
      </c>
      <c r="I1208" s="161" t="n">
        <v>109</v>
      </c>
      <c r="J1208" s="156" t="s">
        <v>185</v>
      </c>
      <c r="K1208" s="200" t="n">
        <v>45453.6577430556</v>
      </c>
      <c r="L1208" s="1" t="n">
        <v>1</v>
      </c>
      <c r="M1208" s="1" t="n">
        <v>11197</v>
      </c>
      <c r="N1208" s="1" t="n">
        <v>376</v>
      </c>
    </row>
    <row r="1209" customFormat="false" ht="14.25" hidden="false" customHeight="false" outlineLevel="0" collapsed="false">
      <c r="A1209" s="1" t="n">
        <v>283</v>
      </c>
      <c r="B1209" s="1" t="s">
        <v>702</v>
      </c>
      <c r="C1209" s="1" t="s">
        <v>703</v>
      </c>
      <c r="D1209" s="1" t="n">
        <v>11197</v>
      </c>
      <c r="E1209" s="1" t="s">
        <v>53</v>
      </c>
      <c r="F1209" s="201" t="n">
        <v>200025888910</v>
      </c>
      <c r="G1209" s="198" t="s">
        <v>688</v>
      </c>
      <c r="H1209" s="163" t="s">
        <v>510</v>
      </c>
      <c r="I1209" s="161" t="n">
        <v>80</v>
      </c>
      <c r="J1209" s="156" t="s">
        <v>192</v>
      </c>
      <c r="K1209" s="200" t="n">
        <v>45453.6582638889</v>
      </c>
      <c r="L1209" s="1" t="n">
        <v>1</v>
      </c>
      <c r="M1209" s="1" t="n">
        <v>11197</v>
      </c>
      <c r="N1209" s="1" t="n">
        <v>377</v>
      </c>
    </row>
    <row r="1210" customFormat="false" ht="14.25" hidden="false" customHeight="false" outlineLevel="0" collapsed="false">
      <c r="A1210" s="1" t="n">
        <v>284</v>
      </c>
      <c r="B1210" s="1" t="s">
        <v>702</v>
      </c>
      <c r="C1210" s="1" t="s">
        <v>703</v>
      </c>
      <c r="D1210" s="1" t="n">
        <v>11197</v>
      </c>
      <c r="E1210" s="1" t="s">
        <v>53</v>
      </c>
      <c r="F1210" s="201" t="n">
        <v>200025888910</v>
      </c>
      <c r="G1210" s="198" t="s">
        <v>635</v>
      </c>
      <c r="H1210" s="163" t="s">
        <v>418</v>
      </c>
      <c r="I1210" s="161" t="n">
        <v>109</v>
      </c>
      <c r="J1210" s="156" t="s">
        <v>185</v>
      </c>
      <c r="K1210" s="200" t="n">
        <v>45453.658275463</v>
      </c>
      <c r="L1210" s="1" t="n">
        <v>1</v>
      </c>
      <c r="M1210" s="1" t="n">
        <v>11197</v>
      </c>
      <c r="N1210" s="1" t="n">
        <v>378</v>
      </c>
    </row>
    <row r="1211" customFormat="false" ht="14.25" hidden="false" customHeight="false" outlineLevel="0" collapsed="false">
      <c r="A1211" s="1" t="n">
        <v>285</v>
      </c>
      <c r="B1211" s="1" t="s">
        <v>702</v>
      </c>
      <c r="C1211" s="1" t="s">
        <v>703</v>
      </c>
      <c r="D1211" s="1" t="n">
        <v>11197</v>
      </c>
      <c r="E1211" s="1" t="s">
        <v>53</v>
      </c>
      <c r="F1211" s="201" t="n">
        <v>200025888910</v>
      </c>
      <c r="G1211" s="198" t="s">
        <v>635</v>
      </c>
      <c r="H1211" s="163" t="s">
        <v>418</v>
      </c>
      <c r="I1211" s="161" t="n">
        <v>109</v>
      </c>
      <c r="J1211" s="156" t="s">
        <v>185</v>
      </c>
      <c r="K1211" s="200" t="n">
        <v>45453.6586111111</v>
      </c>
      <c r="L1211" s="1" t="n">
        <v>0</v>
      </c>
      <c r="M1211" s="1" t="n">
        <v>11197</v>
      </c>
      <c r="N1211" s="1" t="n">
        <v>379</v>
      </c>
    </row>
    <row r="1212" customFormat="false" ht="14.25" hidden="false" customHeight="false" outlineLevel="0" collapsed="false">
      <c r="A1212" s="1" t="n">
        <v>286</v>
      </c>
      <c r="B1212" s="1" t="s">
        <v>702</v>
      </c>
      <c r="C1212" s="1" t="s">
        <v>703</v>
      </c>
      <c r="D1212" s="1" t="n">
        <v>11197</v>
      </c>
      <c r="E1212" s="1" t="s">
        <v>53</v>
      </c>
      <c r="F1212" s="201" t="n">
        <v>200025888910</v>
      </c>
      <c r="G1212" s="198" t="s">
        <v>635</v>
      </c>
      <c r="H1212" s="163" t="s">
        <v>418</v>
      </c>
      <c r="I1212" s="161" t="n">
        <v>109</v>
      </c>
      <c r="J1212" s="156" t="s">
        <v>185</v>
      </c>
      <c r="K1212" s="200" t="n">
        <v>45453.6586226852</v>
      </c>
      <c r="L1212" s="1" t="n">
        <v>0</v>
      </c>
      <c r="M1212" s="1" t="n">
        <v>11197</v>
      </c>
      <c r="N1212" s="1" t="n">
        <v>380</v>
      </c>
    </row>
    <row r="1213" customFormat="false" ht="14.25" hidden="false" customHeight="false" outlineLevel="0" collapsed="false">
      <c r="A1213" s="1" t="n">
        <v>287</v>
      </c>
      <c r="B1213" s="1" t="s">
        <v>702</v>
      </c>
      <c r="C1213" s="1" t="s">
        <v>703</v>
      </c>
      <c r="D1213" s="1" t="n">
        <v>11197</v>
      </c>
      <c r="E1213" s="1" t="s">
        <v>53</v>
      </c>
      <c r="F1213" s="201" t="n">
        <v>200025888910</v>
      </c>
      <c r="G1213" s="198" t="s">
        <v>635</v>
      </c>
      <c r="H1213" s="163" t="s">
        <v>418</v>
      </c>
      <c r="I1213" s="161" t="n">
        <v>109</v>
      </c>
      <c r="J1213" s="156" t="s">
        <v>185</v>
      </c>
      <c r="K1213" s="200" t="n">
        <v>45453.6597685185</v>
      </c>
      <c r="L1213" s="1" t="n">
        <v>0</v>
      </c>
      <c r="M1213" s="1" t="n">
        <v>11197</v>
      </c>
      <c r="N1213" s="1" t="n">
        <v>381</v>
      </c>
    </row>
    <row r="1214" customFormat="false" ht="14.25" hidden="false" customHeight="false" outlineLevel="0" collapsed="false">
      <c r="A1214" s="1" t="n">
        <v>288</v>
      </c>
      <c r="B1214" s="1" t="s">
        <v>702</v>
      </c>
      <c r="C1214" s="1" t="s">
        <v>703</v>
      </c>
      <c r="D1214" s="1" t="n">
        <v>11197</v>
      </c>
      <c r="E1214" s="1" t="s">
        <v>53</v>
      </c>
      <c r="F1214" s="201" t="n">
        <v>200025888910</v>
      </c>
      <c r="G1214" s="198" t="s">
        <v>635</v>
      </c>
      <c r="H1214" s="163" t="s">
        <v>418</v>
      </c>
      <c r="I1214" s="161" t="n">
        <v>109</v>
      </c>
      <c r="J1214" s="156" t="s">
        <v>185</v>
      </c>
      <c r="K1214" s="200" t="n">
        <v>45453.660462963</v>
      </c>
      <c r="L1214" s="1" t="n">
        <v>2</v>
      </c>
      <c r="M1214" s="1" t="n">
        <v>11197</v>
      </c>
      <c r="N1214" s="1" t="n">
        <v>382</v>
      </c>
    </row>
    <row r="1215" customFormat="false" ht="14.25" hidden="false" customHeight="false" outlineLevel="0" collapsed="false">
      <c r="A1215" s="1" t="n">
        <v>289</v>
      </c>
      <c r="B1215" s="1" t="s">
        <v>702</v>
      </c>
      <c r="C1215" s="1" t="s">
        <v>703</v>
      </c>
      <c r="D1215" s="1" t="n">
        <v>11197</v>
      </c>
      <c r="E1215" s="1" t="s">
        <v>53</v>
      </c>
      <c r="F1215" s="201" t="n">
        <v>200025888910</v>
      </c>
      <c r="G1215" s="198" t="s">
        <v>635</v>
      </c>
      <c r="H1215" s="163" t="s">
        <v>418</v>
      </c>
      <c r="I1215" s="161" t="n">
        <v>109</v>
      </c>
      <c r="J1215" s="156" t="s">
        <v>185</v>
      </c>
      <c r="K1215" s="200" t="n">
        <v>45453.6606944444</v>
      </c>
      <c r="L1215" s="1" t="n">
        <v>0</v>
      </c>
      <c r="M1215" s="1" t="n">
        <v>11197</v>
      </c>
      <c r="N1215" s="1" t="n">
        <v>383</v>
      </c>
    </row>
    <row r="1216" customFormat="false" ht="14.25" hidden="false" customHeight="false" outlineLevel="0" collapsed="false">
      <c r="A1216" s="1" t="n">
        <v>290</v>
      </c>
      <c r="B1216" s="1" t="s">
        <v>702</v>
      </c>
      <c r="C1216" s="1" t="s">
        <v>703</v>
      </c>
      <c r="D1216" s="1" t="n">
        <v>11197</v>
      </c>
      <c r="E1216" s="1" t="s">
        <v>53</v>
      </c>
      <c r="F1216" s="201" t="n">
        <v>200025888910</v>
      </c>
      <c r="G1216" s="198" t="s">
        <v>635</v>
      </c>
      <c r="H1216" s="163" t="s">
        <v>418</v>
      </c>
      <c r="I1216" s="161" t="n">
        <v>109</v>
      </c>
      <c r="J1216" s="156" t="s">
        <v>185</v>
      </c>
      <c r="K1216" s="200" t="n">
        <v>45453.6607060185</v>
      </c>
      <c r="L1216" s="1" t="n">
        <v>0</v>
      </c>
      <c r="M1216" s="1" t="n">
        <v>11197</v>
      </c>
      <c r="N1216" s="1" t="n">
        <v>384</v>
      </c>
    </row>
    <row r="1217" customFormat="false" ht="14.25" hidden="false" customHeight="false" outlineLevel="0" collapsed="false">
      <c r="A1217" s="1" t="n">
        <v>291</v>
      </c>
      <c r="B1217" s="1" t="s">
        <v>702</v>
      </c>
      <c r="C1217" s="1" t="s">
        <v>703</v>
      </c>
      <c r="D1217" s="1" t="n">
        <v>11197</v>
      </c>
      <c r="E1217" s="1" t="s">
        <v>53</v>
      </c>
      <c r="F1217" s="201" t="n">
        <v>200025888910</v>
      </c>
      <c r="G1217" s="198" t="s">
        <v>635</v>
      </c>
      <c r="H1217" s="163" t="s">
        <v>418</v>
      </c>
      <c r="I1217" s="161" t="n">
        <v>109</v>
      </c>
      <c r="J1217" s="156" t="s">
        <v>185</v>
      </c>
      <c r="K1217" s="200" t="n">
        <v>45453.6612962963</v>
      </c>
      <c r="L1217" s="1" t="n">
        <v>0</v>
      </c>
      <c r="M1217" s="1" t="n">
        <v>11197</v>
      </c>
      <c r="N1217" s="1" t="n">
        <v>385</v>
      </c>
    </row>
    <row r="1218" customFormat="false" ht="14.25" hidden="false" customHeight="false" outlineLevel="0" collapsed="false">
      <c r="A1218" s="1" t="n">
        <v>292</v>
      </c>
      <c r="B1218" s="1" t="s">
        <v>702</v>
      </c>
      <c r="C1218" s="1" t="s">
        <v>703</v>
      </c>
      <c r="D1218" s="1" t="n">
        <v>11197</v>
      </c>
      <c r="E1218" s="1" t="s">
        <v>53</v>
      </c>
      <c r="F1218" s="201" t="n">
        <v>200025888910</v>
      </c>
      <c r="G1218" s="198" t="s">
        <v>635</v>
      </c>
      <c r="H1218" s="163" t="s">
        <v>418</v>
      </c>
      <c r="I1218" s="161" t="n">
        <v>109</v>
      </c>
      <c r="J1218" s="156" t="s">
        <v>185</v>
      </c>
      <c r="K1218" s="200" t="n">
        <v>45453.6612962963</v>
      </c>
      <c r="L1218" s="1" t="n">
        <v>1</v>
      </c>
      <c r="M1218" s="1" t="n">
        <v>11197</v>
      </c>
      <c r="N1218" s="1" t="n">
        <v>386</v>
      </c>
    </row>
    <row r="1219" customFormat="false" ht="14.25" hidden="false" customHeight="false" outlineLevel="0" collapsed="false">
      <c r="A1219" s="1" t="n">
        <v>293</v>
      </c>
      <c r="B1219" s="1" t="s">
        <v>702</v>
      </c>
      <c r="C1219" s="1" t="s">
        <v>703</v>
      </c>
      <c r="D1219" s="1" t="n">
        <v>11197</v>
      </c>
      <c r="E1219" s="1" t="s">
        <v>53</v>
      </c>
      <c r="F1219" s="201" t="n">
        <v>200025888910</v>
      </c>
      <c r="G1219" s="198" t="s">
        <v>635</v>
      </c>
      <c r="H1219" s="163" t="s">
        <v>418</v>
      </c>
      <c r="I1219" s="161" t="n">
        <v>109</v>
      </c>
      <c r="J1219" s="156" t="s">
        <v>185</v>
      </c>
      <c r="K1219" s="200" t="n">
        <v>45453.6614814815</v>
      </c>
      <c r="L1219" s="1" t="n">
        <v>1</v>
      </c>
      <c r="M1219" s="1" t="n">
        <v>11197</v>
      </c>
      <c r="N1219" s="1" t="n">
        <v>387</v>
      </c>
    </row>
    <row r="1220" customFormat="false" ht="14.25" hidden="false" customHeight="false" outlineLevel="0" collapsed="false">
      <c r="A1220" s="1" t="n">
        <v>294</v>
      </c>
      <c r="B1220" s="1" t="s">
        <v>702</v>
      </c>
      <c r="C1220" s="1" t="s">
        <v>703</v>
      </c>
      <c r="D1220" s="1" t="n">
        <v>11197</v>
      </c>
      <c r="E1220" s="1" t="s">
        <v>53</v>
      </c>
      <c r="F1220" s="201" t="n">
        <v>200025888910</v>
      </c>
      <c r="G1220" s="198" t="s">
        <v>635</v>
      </c>
      <c r="H1220" s="163" t="s">
        <v>418</v>
      </c>
      <c r="I1220" s="161" t="n">
        <v>109</v>
      </c>
      <c r="J1220" s="156" t="s">
        <v>185</v>
      </c>
      <c r="K1220" s="200" t="n">
        <v>45453.6614930556</v>
      </c>
      <c r="L1220" s="1" t="n">
        <v>0</v>
      </c>
      <c r="M1220" s="1" t="n">
        <v>11197</v>
      </c>
      <c r="N1220" s="1" t="n">
        <v>388</v>
      </c>
    </row>
    <row r="1221" customFormat="false" ht="14.25" hidden="false" customHeight="false" outlineLevel="0" collapsed="false">
      <c r="A1221" s="1" t="n">
        <v>295</v>
      </c>
      <c r="B1221" s="1" t="s">
        <v>702</v>
      </c>
      <c r="C1221" s="1" t="s">
        <v>703</v>
      </c>
      <c r="D1221" s="1" t="n">
        <v>11197</v>
      </c>
      <c r="E1221" s="1" t="s">
        <v>53</v>
      </c>
      <c r="F1221" s="201" t="n">
        <v>200025888910</v>
      </c>
      <c r="G1221" s="198" t="s">
        <v>635</v>
      </c>
      <c r="H1221" s="163" t="s">
        <v>418</v>
      </c>
      <c r="I1221" s="161" t="n">
        <v>109</v>
      </c>
      <c r="J1221" s="156" t="s">
        <v>185</v>
      </c>
      <c r="K1221" s="200" t="n">
        <v>45453.6617361111</v>
      </c>
      <c r="L1221" s="1" t="n">
        <v>1</v>
      </c>
      <c r="M1221" s="1" t="n">
        <v>11197</v>
      </c>
      <c r="N1221" s="1" t="n">
        <v>389</v>
      </c>
    </row>
    <row r="1222" customFormat="false" ht="14.25" hidden="false" customHeight="false" outlineLevel="0" collapsed="false">
      <c r="A1222" s="1" t="n">
        <v>296</v>
      </c>
      <c r="B1222" s="1" t="s">
        <v>702</v>
      </c>
      <c r="C1222" s="1" t="s">
        <v>703</v>
      </c>
      <c r="D1222" s="1" t="n">
        <v>11197</v>
      </c>
      <c r="E1222" s="1" t="s">
        <v>53</v>
      </c>
      <c r="F1222" s="201" t="n">
        <v>200025888910</v>
      </c>
      <c r="G1222" s="198" t="s">
        <v>635</v>
      </c>
      <c r="H1222" s="163" t="s">
        <v>418</v>
      </c>
      <c r="I1222" s="161" t="n">
        <v>109</v>
      </c>
      <c r="J1222" s="156" t="s">
        <v>185</v>
      </c>
      <c r="K1222" s="200" t="n">
        <v>45453.6617592593</v>
      </c>
      <c r="L1222" s="1" t="n">
        <v>0</v>
      </c>
      <c r="M1222" s="1" t="n">
        <v>11197</v>
      </c>
      <c r="N1222" s="1" t="n">
        <v>390</v>
      </c>
    </row>
    <row r="1223" customFormat="false" ht="14.25" hidden="false" customHeight="false" outlineLevel="0" collapsed="false">
      <c r="A1223" s="1" t="n">
        <v>297</v>
      </c>
      <c r="B1223" s="1" t="s">
        <v>702</v>
      </c>
      <c r="C1223" s="1" t="s">
        <v>703</v>
      </c>
      <c r="D1223" s="1" t="n">
        <v>11197</v>
      </c>
      <c r="E1223" s="1" t="s">
        <v>53</v>
      </c>
      <c r="F1223" s="201" t="n">
        <v>200025888910</v>
      </c>
      <c r="G1223" s="198" t="s">
        <v>635</v>
      </c>
      <c r="H1223" s="163" t="s">
        <v>418</v>
      </c>
      <c r="I1223" s="161" t="n">
        <v>109</v>
      </c>
      <c r="J1223" s="156" t="s">
        <v>185</v>
      </c>
      <c r="K1223" s="200" t="n">
        <v>45453.6619675926</v>
      </c>
      <c r="L1223" s="1" t="n">
        <v>2</v>
      </c>
      <c r="M1223" s="1" t="n">
        <v>11197</v>
      </c>
      <c r="N1223" s="1" t="n">
        <v>391</v>
      </c>
    </row>
    <row r="1224" customFormat="false" ht="14.25" hidden="false" customHeight="false" outlineLevel="0" collapsed="false">
      <c r="A1224" s="1" t="n">
        <v>298</v>
      </c>
      <c r="B1224" s="1" t="s">
        <v>702</v>
      </c>
      <c r="C1224" s="1" t="s">
        <v>703</v>
      </c>
      <c r="D1224" s="1" t="n">
        <v>11197</v>
      </c>
      <c r="E1224" s="1" t="s">
        <v>53</v>
      </c>
      <c r="F1224" s="201" t="n">
        <v>200025888910</v>
      </c>
      <c r="G1224" s="198" t="s">
        <v>635</v>
      </c>
      <c r="H1224" s="163" t="s">
        <v>418</v>
      </c>
      <c r="I1224" s="161" t="n">
        <v>109</v>
      </c>
      <c r="J1224" s="156" t="s">
        <v>185</v>
      </c>
      <c r="K1224" s="200" t="n">
        <v>45453.6627199074</v>
      </c>
      <c r="L1224" s="1" t="n">
        <v>25</v>
      </c>
      <c r="M1224" s="1" t="n">
        <v>11197</v>
      </c>
      <c r="N1224" s="1" t="n">
        <v>392</v>
      </c>
    </row>
    <row r="1225" customFormat="false" ht="14.25" hidden="false" customHeight="false" outlineLevel="0" collapsed="false">
      <c r="A1225" s="1" t="n">
        <v>299</v>
      </c>
      <c r="B1225" s="1" t="s">
        <v>702</v>
      </c>
      <c r="C1225" s="1" t="s">
        <v>703</v>
      </c>
      <c r="D1225" s="1" t="n">
        <v>11197</v>
      </c>
      <c r="E1225" s="1" t="s">
        <v>53</v>
      </c>
      <c r="F1225" s="201" t="n">
        <v>200025888910</v>
      </c>
      <c r="G1225" s="198" t="s">
        <v>635</v>
      </c>
      <c r="H1225" s="163" t="s">
        <v>418</v>
      </c>
      <c r="I1225" s="161" t="n">
        <v>109</v>
      </c>
      <c r="J1225" s="156" t="s">
        <v>185</v>
      </c>
      <c r="K1225" s="200" t="n">
        <v>45453.6630208333</v>
      </c>
      <c r="L1225" s="1" t="n">
        <v>0</v>
      </c>
      <c r="M1225" s="1" t="n">
        <v>11197</v>
      </c>
      <c r="N1225" s="1" t="n">
        <v>393</v>
      </c>
    </row>
    <row r="1226" customFormat="false" ht="14.25" hidden="false" customHeight="false" outlineLevel="0" collapsed="false">
      <c r="A1226" s="1" t="n">
        <v>300</v>
      </c>
      <c r="B1226" s="1" t="s">
        <v>702</v>
      </c>
      <c r="C1226" s="1" t="s">
        <v>703</v>
      </c>
      <c r="D1226" s="1" t="n">
        <v>11197</v>
      </c>
      <c r="E1226" s="1" t="s">
        <v>53</v>
      </c>
      <c r="F1226" s="201" t="n">
        <v>200025888910</v>
      </c>
      <c r="G1226" s="198" t="s">
        <v>635</v>
      </c>
      <c r="H1226" s="163" t="s">
        <v>418</v>
      </c>
      <c r="I1226" s="161" t="n">
        <v>109</v>
      </c>
      <c r="J1226" s="156" t="s">
        <v>185</v>
      </c>
      <c r="K1226" s="200" t="n">
        <v>45453.6632986111</v>
      </c>
      <c r="L1226" s="1" t="n">
        <v>0</v>
      </c>
      <c r="M1226" s="1" t="n">
        <v>11197</v>
      </c>
      <c r="N1226" s="1" t="n">
        <v>394</v>
      </c>
    </row>
    <row r="1227" customFormat="false" ht="14.25" hidden="false" customHeight="false" outlineLevel="0" collapsed="false">
      <c r="A1227" s="1" t="n">
        <v>301</v>
      </c>
      <c r="B1227" s="1" t="s">
        <v>702</v>
      </c>
      <c r="C1227" s="1" t="s">
        <v>703</v>
      </c>
      <c r="D1227" s="1" t="n">
        <v>11197</v>
      </c>
      <c r="E1227" s="1" t="s">
        <v>53</v>
      </c>
      <c r="F1227" s="201" t="n">
        <v>200025888910</v>
      </c>
      <c r="G1227" s="198" t="s">
        <v>635</v>
      </c>
      <c r="H1227" s="163" t="s">
        <v>418</v>
      </c>
      <c r="I1227" s="161" t="n">
        <v>109</v>
      </c>
      <c r="J1227" s="156" t="s">
        <v>185</v>
      </c>
      <c r="K1227" s="200" t="n">
        <v>45453.6635648148</v>
      </c>
      <c r="L1227" s="1" t="n">
        <v>0</v>
      </c>
      <c r="M1227" s="1" t="n">
        <v>11197</v>
      </c>
      <c r="N1227" s="1" t="n">
        <v>395</v>
      </c>
    </row>
    <row r="1228" customFormat="false" ht="14.25" hidden="false" customHeight="false" outlineLevel="0" collapsed="false">
      <c r="A1228" s="1" t="n">
        <v>302</v>
      </c>
      <c r="B1228" s="1" t="s">
        <v>702</v>
      </c>
      <c r="C1228" s="1" t="s">
        <v>703</v>
      </c>
      <c r="D1228" s="1" t="n">
        <v>11197</v>
      </c>
      <c r="E1228" s="1" t="s">
        <v>53</v>
      </c>
      <c r="F1228" s="201" t="n">
        <v>200025888910</v>
      </c>
      <c r="G1228" s="198" t="s">
        <v>635</v>
      </c>
      <c r="H1228" s="163" t="s">
        <v>418</v>
      </c>
      <c r="I1228" s="161" t="n">
        <v>109</v>
      </c>
      <c r="J1228" s="156" t="s">
        <v>185</v>
      </c>
      <c r="K1228" s="200" t="n">
        <v>45453.6644444445</v>
      </c>
      <c r="L1228" s="1" t="n">
        <v>0</v>
      </c>
      <c r="M1228" s="1" t="n">
        <v>11197</v>
      </c>
      <c r="N1228" s="1" t="n">
        <v>396</v>
      </c>
    </row>
    <row r="1229" customFormat="false" ht="14.25" hidden="false" customHeight="false" outlineLevel="0" collapsed="false">
      <c r="A1229" s="1" t="n">
        <v>303</v>
      </c>
      <c r="B1229" s="1" t="s">
        <v>702</v>
      </c>
      <c r="C1229" s="1" t="s">
        <v>703</v>
      </c>
      <c r="D1229" s="1" t="n">
        <v>11197</v>
      </c>
      <c r="E1229" s="1" t="s">
        <v>53</v>
      </c>
      <c r="F1229" s="201" t="n">
        <v>200025888910</v>
      </c>
      <c r="G1229" s="198" t="s">
        <v>635</v>
      </c>
      <c r="H1229" s="163" t="s">
        <v>418</v>
      </c>
      <c r="I1229" s="161" t="n">
        <v>109</v>
      </c>
      <c r="J1229" s="156" t="s">
        <v>185</v>
      </c>
      <c r="K1229" s="200" t="n">
        <v>45453.6646759259</v>
      </c>
      <c r="L1229" s="1" t="n">
        <v>1</v>
      </c>
      <c r="M1229" s="1" t="n">
        <v>11197</v>
      </c>
      <c r="N1229" s="1" t="n">
        <v>397</v>
      </c>
    </row>
    <row r="1230" customFormat="false" ht="14.25" hidden="false" customHeight="false" outlineLevel="0" collapsed="false">
      <c r="A1230" s="1" t="n">
        <v>304</v>
      </c>
      <c r="B1230" s="1" t="s">
        <v>702</v>
      </c>
      <c r="C1230" s="1" t="s">
        <v>703</v>
      </c>
      <c r="D1230" s="1" t="n">
        <v>11197</v>
      </c>
      <c r="E1230" s="1" t="s">
        <v>53</v>
      </c>
      <c r="F1230" s="201" t="n">
        <v>200025888910</v>
      </c>
      <c r="G1230" s="198" t="s">
        <v>635</v>
      </c>
      <c r="H1230" s="163" t="s">
        <v>418</v>
      </c>
      <c r="I1230" s="161" t="n">
        <v>109</v>
      </c>
      <c r="J1230" s="156" t="s">
        <v>185</v>
      </c>
      <c r="K1230" s="200" t="n">
        <v>45453.6650231482</v>
      </c>
      <c r="L1230" s="1" t="n">
        <v>1</v>
      </c>
      <c r="M1230" s="1" t="n">
        <v>11197</v>
      </c>
      <c r="N1230" s="1" t="n">
        <v>398</v>
      </c>
    </row>
    <row r="1231" customFormat="false" ht="14.25" hidden="false" customHeight="false" outlineLevel="0" collapsed="false">
      <c r="A1231" s="1" t="n">
        <v>305</v>
      </c>
      <c r="B1231" s="1" t="s">
        <v>702</v>
      </c>
      <c r="C1231" s="1" t="s">
        <v>703</v>
      </c>
      <c r="D1231" s="1" t="n">
        <v>11197</v>
      </c>
      <c r="E1231" s="1" t="s">
        <v>53</v>
      </c>
      <c r="F1231" s="201" t="n">
        <v>200025888910</v>
      </c>
      <c r="G1231" s="198" t="s">
        <v>635</v>
      </c>
      <c r="H1231" s="163" t="s">
        <v>418</v>
      </c>
      <c r="I1231" s="161" t="n">
        <v>109</v>
      </c>
      <c r="J1231" s="156" t="s">
        <v>185</v>
      </c>
      <c r="K1231" s="200" t="n">
        <v>45453.6761805556</v>
      </c>
      <c r="L1231" s="1" t="n">
        <v>1</v>
      </c>
      <c r="M1231" s="1" t="n">
        <v>11197</v>
      </c>
      <c r="N1231" s="1" t="n">
        <v>399</v>
      </c>
    </row>
    <row r="1232" customFormat="false" ht="14.25" hidden="false" customHeight="false" outlineLevel="0" collapsed="false">
      <c r="A1232" s="1" t="n">
        <v>306</v>
      </c>
      <c r="B1232" s="1" t="s">
        <v>702</v>
      </c>
      <c r="C1232" s="1" t="s">
        <v>703</v>
      </c>
      <c r="D1232" s="1" t="n">
        <v>11197</v>
      </c>
      <c r="E1232" s="1" t="s">
        <v>53</v>
      </c>
      <c r="F1232" s="201" t="n">
        <v>200025888910</v>
      </c>
      <c r="G1232" s="198" t="s">
        <v>635</v>
      </c>
      <c r="H1232" s="163" t="s">
        <v>418</v>
      </c>
      <c r="I1232" s="161" t="n">
        <v>109</v>
      </c>
      <c r="J1232" s="156" t="s">
        <v>185</v>
      </c>
      <c r="K1232" s="200" t="n">
        <v>45453.6761921296</v>
      </c>
      <c r="L1232" s="1" t="n">
        <v>0</v>
      </c>
      <c r="M1232" s="1" t="n">
        <v>11197</v>
      </c>
      <c r="N1232" s="1" t="n">
        <v>400</v>
      </c>
    </row>
    <row r="1233" customFormat="false" ht="14.25" hidden="false" customHeight="false" outlineLevel="0" collapsed="false">
      <c r="A1233" s="1" t="n">
        <v>307</v>
      </c>
      <c r="B1233" s="1" t="s">
        <v>702</v>
      </c>
      <c r="C1233" s="1" t="s">
        <v>703</v>
      </c>
      <c r="D1233" s="1" t="n">
        <v>11197</v>
      </c>
      <c r="E1233" s="1" t="s">
        <v>53</v>
      </c>
      <c r="F1233" s="201" t="n">
        <v>200025888910</v>
      </c>
      <c r="G1233" s="198" t="s">
        <v>635</v>
      </c>
      <c r="H1233" s="163" t="s">
        <v>418</v>
      </c>
      <c r="I1233" s="161" t="n">
        <v>109</v>
      </c>
      <c r="J1233" s="156" t="s">
        <v>185</v>
      </c>
      <c r="K1233" s="200" t="n">
        <v>45453.6765625</v>
      </c>
      <c r="L1233" s="1" t="n">
        <v>3</v>
      </c>
      <c r="M1233" s="1" t="n">
        <v>11197</v>
      </c>
      <c r="N1233" s="1" t="n">
        <v>401</v>
      </c>
    </row>
    <row r="1234" customFormat="false" ht="14.25" hidden="false" customHeight="false" outlineLevel="0" collapsed="false">
      <c r="A1234" s="1" t="n">
        <v>308</v>
      </c>
      <c r="B1234" s="1" t="s">
        <v>702</v>
      </c>
      <c r="C1234" s="1" t="s">
        <v>703</v>
      </c>
      <c r="D1234" s="1" t="n">
        <v>11197</v>
      </c>
      <c r="E1234" s="1" t="s">
        <v>53</v>
      </c>
      <c r="F1234" s="201" t="n">
        <v>200025888910</v>
      </c>
      <c r="G1234" s="198" t="s">
        <v>635</v>
      </c>
      <c r="H1234" s="163" t="s">
        <v>418</v>
      </c>
      <c r="I1234" s="161" t="n">
        <v>109</v>
      </c>
      <c r="J1234" s="156" t="s">
        <v>185</v>
      </c>
      <c r="K1234" s="200" t="n">
        <v>45453.6780324074</v>
      </c>
      <c r="L1234" s="1" t="n">
        <v>1</v>
      </c>
      <c r="M1234" s="1" t="n">
        <v>11197</v>
      </c>
      <c r="N1234" s="1" t="n">
        <v>402</v>
      </c>
    </row>
    <row r="1235" customFormat="false" ht="14.25" hidden="false" customHeight="false" outlineLevel="0" collapsed="false">
      <c r="A1235" s="1" t="n">
        <v>309</v>
      </c>
      <c r="B1235" s="1" t="s">
        <v>702</v>
      </c>
      <c r="C1235" s="1" t="s">
        <v>703</v>
      </c>
      <c r="D1235" s="1" t="n">
        <v>11197</v>
      </c>
      <c r="E1235" s="1" t="s">
        <v>53</v>
      </c>
      <c r="F1235" s="201" t="n">
        <v>200025889003</v>
      </c>
      <c r="G1235" s="198" t="s">
        <v>706</v>
      </c>
      <c r="H1235" s="163" t="s">
        <v>251</v>
      </c>
      <c r="I1235" s="161" t="n">
        <v>22</v>
      </c>
      <c r="J1235" s="156" t="s">
        <v>185</v>
      </c>
      <c r="K1235" s="200" t="n">
        <v>45453.7402777778</v>
      </c>
      <c r="L1235" s="1" t="n">
        <v>2</v>
      </c>
      <c r="M1235" s="1" t="n">
        <v>11197</v>
      </c>
      <c r="N1235" s="1" t="n">
        <v>403</v>
      </c>
    </row>
    <row r="1236" customFormat="false" ht="14.25" hidden="false" customHeight="false" outlineLevel="0" collapsed="false">
      <c r="A1236" s="1" t="n">
        <v>310</v>
      </c>
      <c r="B1236" s="1" t="s">
        <v>702</v>
      </c>
      <c r="C1236" s="1" t="s">
        <v>703</v>
      </c>
      <c r="D1236" s="1" t="n">
        <v>11197</v>
      </c>
      <c r="E1236" s="1" t="s">
        <v>53</v>
      </c>
      <c r="F1236" s="201" t="n">
        <v>200025889003</v>
      </c>
      <c r="G1236" s="198" t="s">
        <v>706</v>
      </c>
      <c r="H1236" s="163" t="s">
        <v>251</v>
      </c>
      <c r="I1236" s="161" t="n">
        <v>22</v>
      </c>
      <c r="J1236" s="156" t="s">
        <v>185</v>
      </c>
      <c r="K1236" s="200" t="n">
        <v>45453.7458912037</v>
      </c>
      <c r="L1236" s="1" t="n">
        <v>1</v>
      </c>
      <c r="M1236" s="1" t="n">
        <v>11197</v>
      </c>
      <c r="N1236" s="1" t="n">
        <v>404</v>
      </c>
    </row>
    <row r="1237" customFormat="false" ht="14.25" hidden="false" customHeight="false" outlineLevel="0" collapsed="false">
      <c r="A1237" s="1" t="n">
        <v>311</v>
      </c>
      <c r="B1237" s="1" t="s">
        <v>702</v>
      </c>
      <c r="C1237" s="1" t="s">
        <v>703</v>
      </c>
      <c r="D1237" s="1" t="n">
        <v>11197</v>
      </c>
      <c r="E1237" s="1" t="s">
        <v>53</v>
      </c>
      <c r="F1237" s="201" t="n">
        <v>200025889003</v>
      </c>
      <c r="G1237" s="198" t="s">
        <v>706</v>
      </c>
      <c r="H1237" s="163" t="s">
        <v>251</v>
      </c>
      <c r="I1237" s="161" t="n">
        <v>22</v>
      </c>
      <c r="J1237" s="156" t="s">
        <v>185</v>
      </c>
      <c r="K1237" s="200" t="n">
        <v>45453.7465625</v>
      </c>
      <c r="L1237" s="1" t="n">
        <v>0</v>
      </c>
      <c r="M1237" s="1" t="n">
        <v>11197</v>
      </c>
      <c r="N1237" s="1" t="n">
        <v>405</v>
      </c>
    </row>
    <row r="1238" customFormat="false" ht="14.25" hidden="false" customHeight="false" outlineLevel="0" collapsed="false">
      <c r="A1238" s="1" t="n">
        <v>312</v>
      </c>
      <c r="B1238" s="1" t="s">
        <v>702</v>
      </c>
      <c r="C1238" s="1" t="s">
        <v>703</v>
      </c>
      <c r="D1238" s="1" t="n">
        <v>11197</v>
      </c>
      <c r="E1238" s="1" t="s">
        <v>53</v>
      </c>
      <c r="F1238" s="201" t="n">
        <v>200025889003</v>
      </c>
      <c r="G1238" s="198" t="s">
        <v>706</v>
      </c>
      <c r="H1238" s="163" t="s">
        <v>251</v>
      </c>
      <c r="I1238" s="161" t="n">
        <v>22</v>
      </c>
      <c r="J1238" s="156" t="s">
        <v>185</v>
      </c>
      <c r="K1238" s="200" t="n">
        <v>45453.7473842593</v>
      </c>
      <c r="L1238" s="1" t="n">
        <v>4</v>
      </c>
      <c r="M1238" s="1" t="n">
        <v>11197</v>
      </c>
      <c r="N1238" s="1" t="n">
        <v>406</v>
      </c>
    </row>
    <row r="1239" customFormat="false" ht="14.25" hidden="false" customHeight="false" outlineLevel="0" collapsed="false">
      <c r="A1239" s="1" t="n">
        <v>313</v>
      </c>
      <c r="B1239" s="1" t="s">
        <v>702</v>
      </c>
      <c r="C1239" s="1" t="s">
        <v>703</v>
      </c>
      <c r="D1239" s="1" t="n">
        <v>11197</v>
      </c>
      <c r="E1239" s="1" t="s">
        <v>53</v>
      </c>
      <c r="F1239" s="201" t="n">
        <v>200025888910</v>
      </c>
      <c r="G1239" s="198" t="s">
        <v>635</v>
      </c>
      <c r="H1239" s="163" t="s">
        <v>418</v>
      </c>
      <c r="I1239" s="161" t="n">
        <v>109</v>
      </c>
      <c r="J1239" s="156" t="s">
        <v>185</v>
      </c>
      <c r="K1239" s="200" t="n">
        <v>45453.8476736111</v>
      </c>
      <c r="L1239" s="1" t="n">
        <v>1</v>
      </c>
      <c r="M1239" s="1" t="n">
        <v>11197</v>
      </c>
      <c r="N1239" s="1" t="n">
        <v>407</v>
      </c>
    </row>
    <row r="1240" customFormat="false" ht="14.25" hidden="false" customHeight="false" outlineLevel="0" collapsed="false">
      <c r="A1240" s="1" t="n">
        <v>314</v>
      </c>
      <c r="B1240" s="1" t="s">
        <v>702</v>
      </c>
      <c r="C1240" s="1" t="s">
        <v>703</v>
      </c>
      <c r="D1240" s="1" t="n">
        <v>11197</v>
      </c>
      <c r="E1240" s="1" t="s">
        <v>53</v>
      </c>
      <c r="F1240" s="201" t="n">
        <v>200025888910</v>
      </c>
      <c r="G1240" s="198" t="s">
        <v>635</v>
      </c>
      <c r="H1240" s="163" t="s">
        <v>418</v>
      </c>
      <c r="I1240" s="161" t="n">
        <v>109</v>
      </c>
      <c r="J1240" s="156" t="s">
        <v>185</v>
      </c>
      <c r="K1240" s="200" t="n">
        <v>45453.8481481482</v>
      </c>
      <c r="L1240" s="1" t="n">
        <v>1</v>
      </c>
      <c r="M1240" s="1" t="n">
        <v>11197</v>
      </c>
      <c r="N1240" s="1" t="n">
        <v>408</v>
      </c>
    </row>
    <row r="1241" customFormat="false" ht="14.25" hidden="false" customHeight="false" outlineLevel="0" collapsed="false">
      <c r="A1241" s="1" t="n">
        <v>315</v>
      </c>
      <c r="B1241" s="1" t="s">
        <v>702</v>
      </c>
      <c r="C1241" s="1" t="s">
        <v>703</v>
      </c>
      <c r="D1241" s="1" t="n">
        <v>11197</v>
      </c>
      <c r="E1241" s="1" t="s">
        <v>53</v>
      </c>
      <c r="F1241" s="201" t="n">
        <v>200025888910</v>
      </c>
      <c r="G1241" s="198" t="s">
        <v>635</v>
      </c>
      <c r="H1241" s="163" t="s">
        <v>418</v>
      </c>
      <c r="I1241" s="161" t="n">
        <v>109</v>
      </c>
      <c r="J1241" s="156" t="s">
        <v>185</v>
      </c>
      <c r="K1241" s="200" t="n">
        <v>45453.848900463</v>
      </c>
      <c r="L1241" s="1" t="n">
        <v>1</v>
      </c>
      <c r="M1241" s="1" t="n">
        <v>11197</v>
      </c>
      <c r="N1241" s="1" t="n">
        <v>409</v>
      </c>
    </row>
    <row r="1242" customFormat="false" ht="14.25" hidden="false" customHeight="false" outlineLevel="0" collapsed="false">
      <c r="A1242" s="1" t="n">
        <v>316</v>
      </c>
      <c r="B1242" s="1" t="s">
        <v>702</v>
      </c>
      <c r="C1242" s="1" t="s">
        <v>703</v>
      </c>
      <c r="D1242" s="1" t="n">
        <v>11197</v>
      </c>
      <c r="E1242" s="1" t="s">
        <v>53</v>
      </c>
      <c r="F1242" s="201" t="n">
        <v>200025888910</v>
      </c>
      <c r="G1242" s="198" t="s">
        <v>635</v>
      </c>
      <c r="H1242" s="163" t="s">
        <v>418</v>
      </c>
      <c r="I1242" s="161" t="n">
        <v>109</v>
      </c>
      <c r="J1242" s="156" t="s">
        <v>185</v>
      </c>
      <c r="K1242" s="200" t="n">
        <v>45453.8491550926</v>
      </c>
      <c r="L1242" s="1" t="n">
        <v>0</v>
      </c>
      <c r="M1242" s="1" t="n">
        <v>11197</v>
      </c>
      <c r="N1242" s="1" t="n">
        <v>410</v>
      </c>
    </row>
    <row r="1243" customFormat="false" ht="14.25" hidden="false" customHeight="false" outlineLevel="0" collapsed="false">
      <c r="A1243" s="1" t="n">
        <v>317</v>
      </c>
      <c r="B1243" s="1" t="s">
        <v>702</v>
      </c>
      <c r="C1243" s="1" t="s">
        <v>703</v>
      </c>
      <c r="D1243" s="1" t="n">
        <v>11197</v>
      </c>
      <c r="E1243" s="1" t="s">
        <v>53</v>
      </c>
      <c r="F1243" s="201" t="n">
        <v>200025888910</v>
      </c>
      <c r="G1243" s="198" t="s">
        <v>635</v>
      </c>
      <c r="H1243" s="163" t="s">
        <v>418</v>
      </c>
      <c r="I1243" s="161" t="n">
        <v>109</v>
      </c>
      <c r="J1243" s="156" t="s">
        <v>185</v>
      </c>
      <c r="K1243" s="200" t="n">
        <v>45453.8495023148</v>
      </c>
      <c r="L1243" s="1" t="n">
        <v>1</v>
      </c>
      <c r="M1243" s="1" t="n">
        <v>11197</v>
      </c>
      <c r="N1243" s="1" t="n">
        <v>411</v>
      </c>
    </row>
    <row r="1244" customFormat="false" ht="14.25" hidden="false" customHeight="false" outlineLevel="0" collapsed="false">
      <c r="A1244" s="1" t="n">
        <v>318</v>
      </c>
      <c r="B1244" s="1" t="s">
        <v>702</v>
      </c>
      <c r="C1244" s="1" t="s">
        <v>703</v>
      </c>
      <c r="D1244" s="1" t="n">
        <v>11197</v>
      </c>
      <c r="E1244" s="1" t="s">
        <v>53</v>
      </c>
      <c r="F1244" s="201" t="n">
        <v>200025888910</v>
      </c>
      <c r="G1244" s="198" t="s">
        <v>635</v>
      </c>
      <c r="H1244" s="163" t="s">
        <v>418</v>
      </c>
      <c r="I1244" s="161" t="n">
        <v>109</v>
      </c>
      <c r="J1244" s="156" t="s">
        <v>185</v>
      </c>
      <c r="K1244" s="200" t="n">
        <v>45453.8606944445</v>
      </c>
      <c r="L1244" s="1" t="n">
        <v>0</v>
      </c>
      <c r="M1244" s="1" t="n">
        <v>11197</v>
      </c>
      <c r="N1244" s="1" t="n">
        <v>412</v>
      </c>
    </row>
    <row r="1245" customFormat="false" ht="14.25" hidden="false" customHeight="false" outlineLevel="0" collapsed="false">
      <c r="A1245" s="1" t="n">
        <v>319</v>
      </c>
      <c r="B1245" s="1" t="s">
        <v>702</v>
      </c>
      <c r="C1245" s="1" t="s">
        <v>703</v>
      </c>
      <c r="D1245" s="1" t="n">
        <v>11197</v>
      </c>
      <c r="E1245" s="1" t="s">
        <v>53</v>
      </c>
      <c r="F1245" s="201" t="n">
        <v>200025888910</v>
      </c>
      <c r="G1245" s="198" t="s">
        <v>635</v>
      </c>
      <c r="H1245" s="163" t="s">
        <v>418</v>
      </c>
      <c r="I1245" s="161" t="n">
        <v>109</v>
      </c>
      <c r="J1245" s="156" t="s">
        <v>185</v>
      </c>
      <c r="K1245" s="200" t="n">
        <v>45453.8616319444</v>
      </c>
      <c r="L1245" s="1" t="n">
        <v>0</v>
      </c>
      <c r="M1245" s="1" t="n">
        <v>11197</v>
      </c>
      <c r="N1245" s="1" t="n">
        <v>413</v>
      </c>
    </row>
    <row r="1246" customFormat="false" ht="14.25" hidden="false" customHeight="false" outlineLevel="0" collapsed="false">
      <c r="A1246" s="1" t="n">
        <v>320</v>
      </c>
      <c r="B1246" s="1" t="s">
        <v>702</v>
      </c>
      <c r="C1246" s="1" t="s">
        <v>703</v>
      </c>
      <c r="D1246" s="1" t="n">
        <v>11197</v>
      </c>
      <c r="E1246" s="1" t="s">
        <v>53</v>
      </c>
      <c r="F1246" s="201" t="n">
        <v>200025888910</v>
      </c>
      <c r="G1246" s="198" t="s">
        <v>635</v>
      </c>
      <c r="H1246" s="163" t="s">
        <v>418</v>
      </c>
      <c r="I1246" s="161" t="n">
        <v>109</v>
      </c>
      <c r="J1246" s="156" t="s">
        <v>185</v>
      </c>
      <c r="K1246" s="200" t="n">
        <v>45453.8620601852</v>
      </c>
      <c r="L1246" s="1" t="n">
        <v>0</v>
      </c>
      <c r="M1246" s="1" t="n">
        <v>11197</v>
      </c>
      <c r="N1246" s="1" t="n">
        <v>414</v>
      </c>
    </row>
    <row r="1247" customFormat="false" ht="14.25" hidden="false" customHeight="false" outlineLevel="0" collapsed="false">
      <c r="A1247" s="1" t="n">
        <v>321</v>
      </c>
      <c r="B1247" s="1" t="s">
        <v>702</v>
      </c>
      <c r="C1247" s="1" t="s">
        <v>703</v>
      </c>
      <c r="D1247" s="1" t="n">
        <v>11197</v>
      </c>
      <c r="E1247" s="1" t="s">
        <v>53</v>
      </c>
      <c r="F1247" s="201" t="n">
        <v>200025888910</v>
      </c>
      <c r="G1247" s="198" t="s">
        <v>635</v>
      </c>
      <c r="H1247" s="163" t="s">
        <v>418</v>
      </c>
      <c r="I1247" s="161" t="n">
        <v>109</v>
      </c>
      <c r="J1247" s="156" t="s">
        <v>185</v>
      </c>
      <c r="K1247" s="200" t="n">
        <v>45453.8622569444</v>
      </c>
      <c r="L1247" s="1" t="n">
        <v>1</v>
      </c>
      <c r="M1247" s="1" t="n">
        <v>11197</v>
      </c>
      <c r="N1247" s="1" t="n">
        <v>415</v>
      </c>
    </row>
    <row r="1248" customFormat="false" ht="14.25" hidden="false" customHeight="false" outlineLevel="0" collapsed="false">
      <c r="A1248" s="1" t="n">
        <v>322</v>
      </c>
      <c r="B1248" s="1" t="s">
        <v>702</v>
      </c>
      <c r="C1248" s="1" t="s">
        <v>703</v>
      </c>
      <c r="D1248" s="1" t="n">
        <v>11197</v>
      </c>
      <c r="E1248" s="1" t="s">
        <v>53</v>
      </c>
      <c r="F1248" s="201" t="n">
        <v>200025888910</v>
      </c>
      <c r="G1248" s="198" t="s">
        <v>635</v>
      </c>
      <c r="H1248" s="163" t="s">
        <v>418</v>
      </c>
      <c r="I1248" s="161" t="n">
        <v>109</v>
      </c>
      <c r="J1248" s="156" t="s">
        <v>185</v>
      </c>
      <c r="K1248" s="200" t="n">
        <v>45453.8624768519</v>
      </c>
      <c r="L1248" s="1" t="n">
        <v>1</v>
      </c>
      <c r="M1248" s="1" t="n">
        <v>11197</v>
      </c>
      <c r="N1248" s="1" t="n">
        <v>416</v>
      </c>
    </row>
    <row r="1249" customFormat="false" ht="14.25" hidden="false" customHeight="false" outlineLevel="0" collapsed="false">
      <c r="A1249" s="1" t="n">
        <v>323</v>
      </c>
      <c r="B1249" s="1" t="s">
        <v>702</v>
      </c>
      <c r="C1249" s="1" t="s">
        <v>703</v>
      </c>
      <c r="D1249" s="1" t="n">
        <v>11197</v>
      </c>
      <c r="E1249" s="1" t="s">
        <v>53</v>
      </c>
      <c r="F1249" s="201" t="n">
        <v>200025888910</v>
      </c>
      <c r="G1249" s="198" t="s">
        <v>635</v>
      </c>
      <c r="H1249" s="163" t="s">
        <v>418</v>
      </c>
      <c r="I1249" s="161" t="n">
        <v>109</v>
      </c>
      <c r="J1249" s="156" t="s">
        <v>185</v>
      </c>
      <c r="K1249" s="200" t="n">
        <v>45453.8627314815</v>
      </c>
      <c r="L1249" s="1" t="n">
        <v>0</v>
      </c>
      <c r="M1249" s="1" t="n">
        <v>11197</v>
      </c>
      <c r="N1249" s="1" t="n">
        <v>417</v>
      </c>
    </row>
    <row r="1250" customFormat="false" ht="14.25" hidden="false" customHeight="false" outlineLevel="0" collapsed="false">
      <c r="A1250" s="1" t="n">
        <v>324</v>
      </c>
      <c r="B1250" s="1" t="s">
        <v>702</v>
      </c>
      <c r="C1250" s="1" t="s">
        <v>703</v>
      </c>
      <c r="D1250" s="1" t="n">
        <v>11197</v>
      </c>
      <c r="E1250" s="1" t="s">
        <v>53</v>
      </c>
      <c r="F1250" s="201" t="n">
        <v>200025888910</v>
      </c>
      <c r="G1250" s="198" t="s">
        <v>635</v>
      </c>
      <c r="H1250" s="163" t="s">
        <v>418</v>
      </c>
      <c r="I1250" s="161" t="n">
        <v>109</v>
      </c>
      <c r="J1250" s="156" t="s">
        <v>185</v>
      </c>
      <c r="K1250" s="200" t="n">
        <v>45453.8635648148</v>
      </c>
      <c r="L1250" s="1" t="n">
        <v>1</v>
      </c>
      <c r="M1250" s="1" t="n">
        <v>11197</v>
      </c>
      <c r="N1250" s="1" t="n">
        <v>418</v>
      </c>
    </row>
    <row r="1251" customFormat="false" ht="14.25" hidden="false" customHeight="false" outlineLevel="0" collapsed="false">
      <c r="A1251" s="1" t="n">
        <v>325</v>
      </c>
      <c r="B1251" s="1" t="s">
        <v>702</v>
      </c>
      <c r="C1251" s="1" t="s">
        <v>703</v>
      </c>
      <c r="D1251" s="1" t="n">
        <v>11197</v>
      </c>
      <c r="E1251" s="1" t="s">
        <v>53</v>
      </c>
      <c r="F1251" s="201" t="n">
        <v>200025888910</v>
      </c>
      <c r="G1251" s="198" t="s">
        <v>635</v>
      </c>
      <c r="H1251" s="163" t="s">
        <v>418</v>
      </c>
      <c r="I1251" s="161" t="n">
        <v>109</v>
      </c>
      <c r="J1251" s="156" t="s">
        <v>185</v>
      </c>
      <c r="K1251" s="200" t="n">
        <v>45453.8638773148</v>
      </c>
      <c r="L1251" s="1" t="n">
        <v>1</v>
      </c>
      <c r="M1251" s="1" t="n">
        <v>11197</v>
      </c>
      <c r="N1251" s="1" t="n">
        <v>419</v>
      </c>
    </row>
    <row r="1252" customFormat="false" ht="14.25" hidden="false" customHeight="false" outlineLevel="0" collapsed="false">
      <c r="A1252" s="1" t="n">
        <v>326</v>
      </c>
      <c r="B1252" s="1" t="s">
        <v>702</v>
      </c>
      <c r="C1252" s="1" t="s">
        <v>703</v>
      </c>
      <c r="D1252" s="1" t="n">
        <v>11197</v>
      </c>
      <c r="E1252" s="1" t="s">
        <v>53</v>
      </c>
      <c r="F1252" s="201" t="n">
        <v>200025888910</v>
      </c>
      <c r="G1252" s="198" t="s">
        <v>635</v>
      </c>
      <c r="H1252" s="163" t="s">
        <v>418</v>
      </c>
      <c r="I1252" s="161" t="n">
        <v>109</v>
      </c>
      <c r="J1252" s="156" t="s">
        <v>185</v>
      </c>
      <c r="K1252" s="200" t="n">
        <v>45453.8646875</v>
      </c>
      <c r="L1252" s="1" t="n">
        <v>0</v>
      </c>
      <c r="M1252" s="1" t="n">
        <v>11197</v>
      </c>
      <c r="N1252" s="1" t="n">
        <v>420</v>
      </c>
    </row>
    <row r="1253" customFormat="false" ht="14.25" hidden="false" customHeight="false" outlineLevel="0" collapsed="false">
      <c r="A1253" s="1" t="n">
        <v>327</v>
      </c>
      <c r="B1253" s="1" t="s">
        <v>702</v>
      </c>
      <c r="C1253" s="1" t="s">
        <v>703</v>
      </c>
      <c r="D1253" s="1" t="n">
        <v>11197</v>
      </c>
      <c r="E1253" s="1" t="s">
        <v>53</v>
      </c>
      <c r="F1253" s="201" t="n">
        <v>200025888910</v>
      </c>
      <c r="G1253" s="198" t="s">
        <v>635</v>
      </c>
      <c r="H1253" s="163" t="s">
        <v>418</v>
      </c>
      <c r="I1253" s="161" t="n">
        <v>109</v>
      </c>
      <c r="J1253" s="156" t="s">
        <v>185</v>
      </c>
      <c r="K1253" s="200" t="n">
        <v>45453.865150463</v>
      </c>
      <c r="L1253" s="1" t="n">
        <v>3</v>
      </c>
      <c r="M1253" s="1" t="n">
        <v>11197</v>
      </c>
      <c r="N1253" s="1" t="n">
        <v>421</v>
      </c>
    </row>
    <row r="1254" customFormat="false" ht="14.25" hidden="false" customHeight="false" outlineLevel="0" collapsed="false">
      <c r="A1254" s="1" t="n">
        <v>328</v>
      </c>
      <c r="B1254" s="1" t="s">
        <v>702</v>
      </c>
      <c r="C1254" s="1" t="s">
        <v>703</v>
      </c>
      <c r="D1254" s="1" t="n">
        <v>11197</v>
      </c>
      <c r="E1254" s="1" t="s">
        <v>53</v>
      </c>
      <c r="F1254" s="201" t="n">
        <v>200025889003</v>
      </c>
      <c r="G1254" s="198" t="s">
        <v>706</v>
      </c>
      <c r="H1254" s="163" t="s">
        <v>251</v>
      </c>
      <c r="I1254" s="161" t="n">
        <v>22</v>
      </c>
      <c r="J1254" s="156" t="s">
        <v>185</v>
      </c>
      <c r="K1254" s="200" t="n">
        <v>45453.8673263889</v>
      </c>
      <c r="L1254" s="1" t="n">
        <v>4</v>
      </c>
      <c r="M1254" s="1" t="n">
        <v>11197</v>
      </c>
      <c r="N1254" s="1" t="n">
        <v>422</v>
      </c>
    </row>
    <row r="1255" customFormat="false" ht="14.25" hidden="false" customHeight="false" outlineLevel="0" collapsed="false">
      <c r="A1255" s="1" t="n">
        <v>329</v>
      </c>
      <c r="B1255" s="1" t="s">
        <v>702</v>
      </c>
      <c r="C1255" s="1" t="s">
        <v>703</v>
      </c>
      <c r="D1255" s="1" t="n">
        <v>11197</v>
      </c>
      <c r="E1255" s="1" t="s">
        <v>53</v>
      </c>
      <c r="F1255" s="201" t="n">
        <v>200025889003</v>
      </c>
      <c r="G1255" s="198" t="s">
        <v>706</v>
      </c>
      <c r="H1255" s="163" t="s">
        <v>251</v>
      </c>
      <c r="I1255" s="161" t="n">
        <v>22</v>
      </c>
      <c r="J1255" s="156" t="s">
        <v>185</v>
      </c>
      <c r="K1255" s="200" t="n">
        <v>45453.9559722222</v>
      </c>
      <c r="L1255" s="1" t="n">
        <v>2</v>
      </c>
      <c r="M1255" s="1" t="n">
        <v>11197</v>
      </c>
      <c r="N1255" s="1" t="n">
        <v>423</v>
      </c>
    </row>
    <row r="1256" customFormat="false" ht="14.25" hidden="false" customHeight="false" outlineLevel="0" collapsed="false">
      <c r="A1256" s="1" t="n">
        <v>330</v>
      </c>
      <c r="B1256" s="1" t="s">
        <v>702</v>
      </c>
      <c r="C1256" s="1" t="s">
        <v>703</v>
      </c>
      <c r="D1256" s="1" t="n">
        <v>11197</v>
      </c>
      <c r="E1256" s="1" t="s">
        <v>53</v>
      </c>
      <c r="F1256" s="201" t="n">
        <v>200025889003</v>
      </c>
      <c r="G1256" s="198" t="s">
        <v>706</v>
      </c>
      <c r="H1256" s="163" t="s">
        <v>251</v>
      </c>
      <c r="I1256" s="161" t="n">
        <v>22</v>
      </c>
      <c r="J1256" s="156" t="s">
        <v>185</v>
      </c>
      <c r="K1256" s="200" t="n">
        <v>45453.9574652778</v>
      </c>
      <c r="L1256" s="1" t="n">
        <v>0</v>
      </c>
      <c r="M1256" s="1" t="n">
        <v>11197</v>
      </c>
      <c r="N1256" s="1" t="n">
        <v>424</v>
      </c>
    </row>
    <row r="1257" customFormat="false" ht="14.25" hidden="false" customHeight="false" outlineLevel="0" collapsed="false">
      <c r="A1257" s="1" t="n">
        <v>331</v>
      </c>
      <c r="B1257" s="1" t="s">
        <v>702</v>
      </c>
      <c r="C1257" s="1" t="s">
        <v>703</v>
      </c>
      <c r="D1257" s="1" t="n">
        <v>11197</v>
      </c>
      <c r="E1257" s="1" t="s">
        <v>53</v>
      </c>
      <c r="F1257" s="201" t="n">
        <v>200025889003</v>
      </c>
      <c r="G1257" s="198" t="s">
        <v>706</v>
      </c>
      <c r="H1257" s="163" t="s">
        <v>251</v>
      </c>
      <c r="I1257" s="161" t="n">
        <v>22</v>
      </c>
      <c r="J1257" s="156" t="s">
        <v>185</v>
      </c>
      <c r="K1257" s="200" t="n">
        <v>45453.9574768519</v>
      </c>
      <c r="L1257" s="1" t="n">
        <v>0</v>
      </c>
      <c r="M1257" s="1" t="n">
        <v>11197</v>
      </c>
      <c r="N1257" s="1" t="n">
        <v>425</v>
      </c>
    </row>
    <row r="1258" customFormat="false" ht="14.25" hidden="false" customHeight="false" outlineLevel="0" collapsed="false">
      <c r="A1258" s="1" t="n">
        <v>332</v>
      </c>
      <c r="B1258" s="1" t="s">
        <v>702</v>
      </c>
      <c r="C1258" s="1" t="s">
        <v>703</v>
      </c>
      <c r="D1258" s="1" t="n">
        <v>11197</v>
      </c>
      <c r="E1258" s="1" t="s">
        <v>53</v>
      </c>
      <c r="F1258" s="201" t="n">
        <v>200025889003</v>
      </c>
      <c r="G1258" s="198" t="s">
        <v>706</v>
      </c>
      <c r="H1258" s="163" t="s">
        <v>251</v>
      </c>
      <c r="I1258" s="161" t="n">
        <v>22</v>
      </c>
      <c r="J1258" s="156" t="s">
        <v>185</v>
      </c>
      <c r="K1258" s="200" t="n">
        <v>45453.9574884259</v>
      </c>
      <c r="L1258" s="1" t="n">
        <v>0</v>
      </c>
      <c r="M1258" s="1" t="n">
        <v>11197</v>
      </c>
      <c r="N1258" s="1" t="n">
        <v>426</v>
      </c>
    </row>
    <row r="1259" customFormat="false" ht="14.25" hidden="false" customHeight="false" outlineLevel="0" collapsed="false">
      <c r="A1259" s="1" t="n">
        <v>333</v>
      </c>
      <c r="B1259" s="1" t="s">
        <v>702</v>
      </c>
      <c r="C1259" s="1" t="s">
        <v>703</v>
      </c>
      <c r="D1259" s="1" t="n">
        <v>11197</v>
      </c>
      <c r="E1259" s="1" t="s">
        <v>53</v>
      </c>
      <c r="F1259" s="201" t="n">
        <v>200025889003</v>
      </c>
      <c r="G1259" s="198" t="s">
        <v>706</v>
      </c>
      <c r="H1259" s="163" t="s">
        <v>251</v>
      </c>
      <c r="I1259" s="161" t="n">
        <v>22</v>
      </c>
      <c r="J1259" s="156" t="s">
        <v>185</v>
      </c>
      <c r="K1259" s="200" t="n">
        <v>45453.9575115741</v>
      </c>
      <c r="L1259" s="1" t="n">
        <v>0</v>
      </c>
      <c r="M1259" s="1" t="n">
        <v>11197</v>
      </c>
      <c r="N1259" s="1" t="n">
        <v>427</v>
      </c>
    </row>
    <row r="1260" customFormat="false" ht="14.25" hidden="false" customHeight="false" outlineLevel="0" collapsed="false">
      <c r="A1260" s="1" t="n">
        <v>334</v>
      </c>
      <c r="B1260" s="1" t="s">
        <v>702</v>
      </c>
      <c r="C1260" s="1" t="s">
        <v>703</v>
      </c>
      <c r="D1260" s="1" t="n">
        <v>11197</v>
      </c>
      <c r="E1260" s="1" t="s">
        <v>53</v>
      </c>
      <c r="F1260" s="201" t="n">
        <v>200025889003</v>
      </c>
      <c r="G1260" s="198" t="s">
        <v>706</v>
      </c>
      <c r="H1260" s="163" t="s">
        <v>251</v>
      </c>
      <c r="I1260" s="161" t="n">
        <v>22</v>
      </c>
      <c r="J1260" s="156" t="s">
        <v>185</v>
      </c>
      <c r="K1260" s="200" t="n">
        <v>45453.9575231482</v>
      </c>
      <c r="L1260" s="1" t="n">
        <v>1</v>
      </c>
      <c r="M1260" s="1" t="n">
        <v>11197</v>
      </c>
      <c r="N1260" s="1" t="n">
        <v>428</v>
      </c>
    </row>
    <row r="1261" customFormat="false" ht="14.25" hidden="false" customHeight="false" outlineLevel="0" collapsed="false">
      <c r="A1261" s="1" t="n">
        <v>335</v>
      </c>
      <c r="B1261" s="1" t="s">
        <v>702</v>
      </c>
      <c r="C1261" s="1" t="s">
        <v>703</v>
      </c>
      <c r="D1261" s="1" t="n">
        <v>11197</v>
      </c>
      <c r="E1261" s="1" t="s">
        <v>53</v>
      </c>
      <c r="F1261" s="201" t="n">
        <v>200025889003</v>
      </c>
      <c r="G1261" s="198" t="s">
        <v>706</v>
      </c>
      <c r="H1261" s="163" t="s">
        <v>251</v>
      </c>
      <c r="I1261" s="161" t="n">
        <v>22</v>
      </c>
      <c r="J1261" s="156" t="s">
        <v>185</v>
      </c>
      <c r="K1261" s="200" t="n">
        <v>45454.0472569445</v>
      </c>
      <c r="L1261" s="1" t="n">
        <v>1</v>
      </c>
      <c r="M1261" s="1" t="n">
        <v>11197</v>
      </c>
      <c r="N1261" s="1" t="n">
        <v>429</v>
      </c>
    </row>
    <row r="1262" customFormat="false" ht="14.25" hidden="false" customHeight="false" outlineLevel="0" collapsed="false">
      <c r="A1262" s="1" t="n">
        <v>336</v>
      </c>
      <c r="B1262" s="1" t="s">
        <v>702</v>
      </c>
      <c r="C1262" s="1" t="s">
        <v>703</v>
      </c>
      <c r="D1262" s="1" t="n">
        <v>11197</v>
      </c>
      <c r="E1262" s="1" t="s">
        <v>53</v>
      </c>
      <c r="F1262" s="201" t="n">
        <v>200025889003</v>
      </c>
      <c r="G1262" s="198" t="s">
        <v>706</v>
      </c>
      <c r="H1262" s="163" t="s">
        <v>251</v>
      </c>
      <c r="I1262" s="161" t="n">
        <v>22</v>
      </c>
      <c r="J1262" s="156" t="s">
        <v>185</v>
      </c>
      <c r="K1262" s="200" t="n">
        <v>45454.0494212963</v>
      </c>
      <c r="L1262" s="1" t="n">
        <v>1</v>
      </c>
      <c r="M1262" s="1" t="n">
        <v>11197</v>
      </c>
      <c r="N1262" s="1" t="n">
        <v>430</v>
      </c>
    </row>
    <row r="1263" customFormat="false" ht="14.25" hidden="false" customHeight="false" outlineLevel="0" collapsed="false">
      <c r="A1263" s="1" t="n">
        <v>337</v>
      </c>
      <c r="B1263" s="1" t="s">
        <v>702</v>
      </c>
      <c r="C1263" s="1" t="s">
        <v>703</v>
      </c>
      <c r="D1263" s="1" t="n">
        <v>11197</v>
      </c>
      <c r="E1263" s="1" t="s">
        <v>53</v>
      </c>
      <c r="F1263" s="201" t="n">
        <v>200025889003</v>
      </c>
      <c r="G1263" s="198" t="s">
        <v>706</v>
      </c>
      <c r="H1263" s="163" t="s">
        <v>251</v>
      </c>
      <c r="I1263" s="161" t="n">
        <v>22</v>
      </c>
      <c r="J1263" s="156" t="s">
        <v>185</v>
      </c>
      <c r="K1263" s="200" t="n">
        <v>45454.0498611111</v>
      </c>
      <c r="L1263" s="1" t="n">
        <v>1</v>
      </c>
      <c r="M1263" s="1" t="n">
        <v>11197</v>
      </c>
      <c r="N1263" s="1" t="n">
        <v>431</v>
      </c>
    </row>
    <row r="1264" customFormat="false" ht="14.25" hidden="false" customHeight="false" outlineLevel="0" collapsed="false">
      <c r="A1264" s="1" t="n">
        <v>338</v>
      </c>
      <c r="B1264" s="1" t="s">
        <v>702</v>
      </c>
      <c r="C1264" s="1" t="s">
        <v>703</v>
      </c>
      <c r="D1264" s="1" t="n">
        <v>11197</v>
      </c>
      <c r="E1264" s="1" t="s">
        <v>53</v>
      </c>
      <c r="F1264" s="201" t="n">
        <v>200025889003</v>
      </c>
      <c r="G1264" s="198" t="s">
        <v>706</v>
      </c>
      <c r="H1264" s="163" t="s">
        <v>251</v>
      </c>
      <c r="I1264" s="161" t="n">
        <v>22</v>
      </c>
      <c r="J1264" s="156" t="s">
        <v>185</v>
      </c>
      <c r="K1264" s="200" t="n">
        <v>45454.0541898148</v>
      </c>
      <c r="L1264" s="1" t="n">
        <v>1</v>
      </c>
      <c r="M1264" s="1" t="n">
        <v>11197</v>
      </c>
      <c r="N1264" s="1" t="n">
        <v>432</v>
      </c>
    </row>
    <row r="1265" customFormat="false" ht="14.25" hidden="false" customHeight="false" outlineLevel="0" collapsed="false">
      <c r="A1265" s="1" t="n">
        <v>339</v>
      </c>
      <c r="B1265" s="1" t="s">
        <v>702</v>
      </c>
      <c r="C1265" s="1" t="s">
        <v>703</v>
      </c>
      <c r="D1265" s="1" t="n">
        <v>11197</v>
      </c>
      <c r="E1265" s="1" t="s">
        <v>53</v>
      </c>
      <c r="F1265" s="201" t="n">
        <v>200025889003</v>
      </c>
      <c r="G1265" s="198" t="s">
        <v>706</v>
      </c>
      <c r="H1265" s="163" t="s">
        <v>251</v>
      </c>
      <c r="I1265" s="161" t="n">
        <v>22</v>
      </c>
      <c r="J1265" s="156" t="s">
        <v>185</v>
      </c>
      <c r="K1265" s="200" t="n">
        <v>45454.0694212963</v>
      </c>
      <c r="L1265" s="1" t="n">
        <v>0</v>
      </c>
      <c r="M1265" s="1" t="n">
        <v>11197</v>
      </c>
      <c r="N1265" s="1" t="n">
        <v>433</v>
      </c>
    </row>
    <row r="1266" customFormat="false" ht="14.25" hidden="false" customHeight="false" outlineLevel="0" collapsed="false">
      <c r="A1266" s="1" t="n">
        <v>340</v>
      </c>
      <c r="B1266" s="1" t="s">
        <v>702</v>
      </c>
      <c r="C1266" s="1" t="s">
        <v>703</v>
      </c>
      <c r="D1266" s="1" t="n">
        <v>11197</v>
      </c>
      <c r="E1266" s="1" t="s">
        <v>53</v>
      </c>
      <c r="F1266" s="201" t="n">
        <v>200025889003</v>
      </c>
      <c r="G1266" s="198" t="s">
        <v>706</v>
      </c>
      <c r="H1266" s="163" t="s">
        <v>251</v>
      </c>
      <c r="I1266" s="161" t="n">
        <v>22</v>
      </c>
      <c r="J1266" s="156" t="s">
        <v>185</v>
      </c>
      <c r="K1266" s="200" t="n">
        <v>45454.0860648148</v>
      </c>
      <c r="L1266" s="1" t="n">
        <v>1</v>
      </c>
      <c r="M1266" s="1" t="n">
        <v>11197</v>
      </c>
      <c r="N1266" s="1" t="n">
        <v>434</v>
      </c>
    </row>
    <row r="1267" customFormat="false" ht="14.25" hidden="false" customHeight="false" outlineLevel="0" collapsed="false">
      <c r="A1267" s="1" t="n">
        <v>341</v>
      </c>
      <c r="B1267" s="1" t="s">
        <v>702</v>
      </c>
      <c r="C1267" s="1" t="s">
        <v>703</v>
      </c>
      <c r="D1267" s="1" t="n">
        <v>11197</v>
      </c>
      <c r="E1267" s="1" t="s">
        <v>53</v>
      </c>
      <c r="F1267" s="201" t="n">
        <v>200025889003</v>
      </c>
      <c r="G1267" s="198" t="s">
        <v>706</v>
      </c>
      <c r="H1267" s="163" t="s">
        <v>251</v>
      </c>
      <c r="I1267" s="161" t="n">
        <v>22</v>
      </c>
      <c r="J1267" s="156" t="s">
        <v>185</v>
      </c>
      <c r="K1267" s="200" t="n">
        <v>45454.1805902778</v>
      </c>
      <c r="L1267" s="1" t="n">
        <v>0</v>
      </c>
      <c r="M1267" s="1" t="n">
        <v>11197</v>
      </c>
      <c r="N1267" s="1" t="n">
        <v>435</v>
      </c>
    </row>
    <row r="1268" customFormat="false" ht="14.25" hidden="false" customHeight="false" outlineLevel="0" collapsed="false">
      <c r="A1268" s="1" t="n">
        <v>342</v>
      </c>
      <c r="B1268" s="1" t="s">
        <v>702</v>
      </c>
      <c r="C1268" s="1" t="s">
        <v>703</v>
      </c>
      <c r="D1268" s="1" t="n">
        <v>11197</v>
      </c>
      <c r="E1268" s="1" t="s">
        <v>53</v>
      </c>
      <c r="F1268" s="201" t="n">
        <v>200025889003</v>
      </c>
      <c r="G1268" s="198" t="s">
        <v>706</v>
      </c>
      <c r="H1268" s="163" t="s">
        <v>251</v>
      </c>
      <c r="I1268" s="161" t="n">
        <v>22</v>
      </c>
      <c r="J1268" s="156" t="s">
        <v>185</v>
      </c>
      <c r="K1268" s="200" t="n">
        <v>45454.1814699074</v>
      </c>
      <c r="L1268" s="1" t="n">
        <v>2</v>
      </c>
      <c r="M1268" s="1" t="n">
        <v>11197</v>
      </c>
      <c r="N1268" s="1" t="n">
        <v>436</v>
      </c>
    </row>
    <row r="1269" customFormat="false" ht="14.25" hidden="false" customHeight="false" outlineLevel="0" collapsed="false">
      <c r="A1269" s="1" t="n">
        <v>343</v>
      </c>
      <c r="B1269" s="1" t="s">
        <v>702</v>
      </c>
      <c r="C1269" s="1" t="s">
        <v>703</v>
      </c>
      <c r="D1269" s="1" t="n">
        <v>11197</v>
      </c>
      <c r="E1269" s="1" t="s">
        <v>53</v>
      </c>
      <c r="F1269" s="201" t="n">
        <v>200025889003</v>
      </c>
      <c r="G1269" s="198" t="s">
        <v>706</v>
      </c>
      <c r="H1269" s="163" t="s">
        <v>251</v>
      </c>
      <c r="I1269" s="161" t="n">
        <v>22</v>
      </c>
      <c r="J1269" s="156" t="s">
        <v>185</v>
      </c>
      <c r="K1269" s="200" t="n">
        <v>45454.1814930556</v>
      </c>
      <c r="L1269" s="1" t="n">
        <v>1</v>
      </c>
      <c r="M1269" s="1" t="n">
        <v>11197</v>
      </c>
      <c r="N1269" s="1" t="n">
        <v>437</v>
      </c>
    </row>
    <row r="1270" customFormat="false" ht="14.25" hidden="false" customHeight="false" outlineLevel="0" collapsed="false">
      <c r="A1270" s="1" t="n">
        <v>344</v>
      </c>
      <c r="B1270" s="1" t="s">
        <v>702</v>
      </c>
      <c r="C1270" s="1" t="s">
        <v>703</v>
      </c>
      <c r="D1270" s="1" t="n">
        <v>11197</v>
      </c>
      <c r="E1270" s="1" t="s">
        <v>53</v>
      </c>
      <c r="F1270" s="201" t="n">
        <v>200025889003</v>
      </c>
      <c r="G1270" s="198" t="s">
        <v>706</v>
      </c>
      <c r="H1270" s="163" t="s">
        <v>251</v>
      </c>
      <c r="I1270" s="161" t="n">
        <v>22</v>
      </c>
      <c r="J1270" s="156" t="s">
        <v>185</v>
      </c>
      <c r="K1270" s="200" t="n">
        <v>45454.181712963</v>
      </c>
      <c r="L1270" s="1" t="n">
        <v>3</v>
      </c>
      <c r="M1270" s="1" t="n">
        <v>11197</v>
      </c>
      <c r="N1270" s="1" t="n">
        <v>438</v>
      </c>
    </row>
    <row r="1271" customFormat="false" ht="14.25" hidden="false" customHeight="false" outlineLevel="0" collapsed="false">
      <c r="A1271" s="1" t="n">
        <v>345</v>
      </c>
      <c r="B1271" s="1" t="s">
        <v>702</v>
      </c>
      <c r="C1271" s="1" t="s">
        <v>703</v>
      </c>
      <c r="D1271" s="1" t="n">
        <v>11197</v>
      </c>
      <c r="E1271" s="1" t="s">
        <v>53</v>
      </c>
      <c r="F1271" s="201" t="n">
        <v>200025889003</v>
      </c>
      <c r="G1271" s="198" t="s">
        <v>706</v>
      </c>
      <c r="H1271" s="163" t="s">
        <v>251</v>
      </c>
      <c r="I1271" s="161" t="n">
        <v>22</v>
      </c>
      <c r="J1271" s="156" t="s">
        <v>185</v>
      </c>
      <c r="K1271" s="200" t="n">
        <v>45454.2709490741</v>
      </c>
      <c r="L1271" s="1" t="n">
        <v>0</v>
      </c>
      <c r="M1271" s="1" t="n">
        <v>11197</v>
      </c>
      <c r="N1271" s="1" t="n">
        <v>439</v>
      </c>
    </row>
    <row r="1272" customFormat="false" ht="14.25" hidden="false" customHeight="false" outlineLevel="0" collapsed="false">
      <c r="A1272" s="1" t="n">
        <v>346</v>
      </c>
      <c r="B1272" s="1" t="s">
        <v>702</v>
      </c>
      <c r="C1272" s="1" t="s">
        <v>703</v>
      </c>
      <c r="D1272" s="1" t="n">
        <v>11197</v>
      </c>
      <c r="E1272" s="1" t="s">
        <v>53</v>
      </c>
      <c r="F1272" s="201" t="n">
        <v>200025889003</v>
      </c>
      <c r="G1272" s="198" t="s">
        <v>706</v>
      </c>
      <c r="H1272" s="163" t="s">
        <v>251</v>
      </c>
      <c r="I1272" s="161" t="n">
        <v>22</v>
      </c>
      <c r="J1272" s="156" t="s">
        <v>185</v>
      </c>
      <c r="K1272" s="200" t="n">
        <v>45454.2715740741</v>
      </c>
      <c r="L1272" s="1" t="n">
        <v>1</v>
      </c>
      <c r="M1272" s="1" t="n">
        <v>11197</v>
      </c>
      <c r="N1272" s="1" t="n">
        <v>440</v>
      </c>
    </row>
    <row r="1273" customFormat="false" ht="14.25" hidden="false" customHeight="false" outlineLevel="0" collapsed="false">
      <c r="A1273" s="1" t="n">
        <v>347</v>
      </c>
      <c r="B1273" s="1" t="s">
        <v>702</v>
      </c>
      <c r="C1273" s="1" t="s">
        <v>703</v>
      </c>
      <c r="D1273" s="1" t="n">
        <v>11197</v>
      </c>
      <c r="E1273" s="1" t="s">
        <v>53</v>
      </c>
      <c r="F1273" s="201" t="n">
        <v>200025889003</v>
      </c>
      <c r="G1273" s="198" t="s">
        <v>706</v>
      </c>
      <c r="H1273" s="163" t="s">
        <v>251</v>
      </c>
      <c r="I1273" s="161" t="n">
        <v>22</v>
      </c>
      <c r="J1273" s="156" t="s">
        <v>185</v>
      </c>
      <c r="K1273" s="200" t="n">
        <v>45454.2715972222</v>
      </c>
      <c r="L1273" s="1" t="n">
        <v>1</v>
      </c>
      <c r="M1273" s="1" t="n">
        <v>11197</v>
      </c>
      <c r="N1273" s="1" t="n">
        <v>441</v>
      </c>
    </row>
    <row r="1274" customFormat="false" ht="14.25" hidden="false" customHeight="false" outlineLevel="0" collapsed="false">
      <c r="A1274" s="1" t="n">
        <v>348</v>
      </c>
      <c r="B1274" s="1" t="s">
        <v>702</v>
      </c>
      <c r="C1274" s="1" t="s">
        <v>703</v>
      </c>
      <c r="D1274" s="1" t="n">
        <v>11197</v>
      </c>
      <c r="E1274" s="1" t="s">
        <v>53</v>
      </c>
      <c r="F1274" s="201" t="n">
        <v>200025889003</v>
      </c>
      <c r="G1274" s="198" t="s">
        <v>706</v>
      </c>
      <c r="H1274" s="163" t="s">
        <v>251</v>
      </c>
      <c r="I1274" s="161" t="n">
        <v>22</v>
      </c>
      <c r="J1274" s="156" t="s">
        <v>185</v>
      </c>
      <c r="K1274" s="200" t="n">
        <v>45454.2716087963</v>
      </c>
      <c r="L1274" s="1" t="n">
        <v>1</v>
      </c>
      <c r="M1274" s="1" t="n">
        <v>11197</v>
      </c>
      <c r="N1274" s="1" t="n">
        <v>442</v>
      </c>
    </row>
    <row r="1275" customFormat="false" ht="14.25" hidden="false" customHeight="false" outlineLevel="0" collapsed="false">
      <c r="A1275" s="1" t="n">
        <v>349</v>
      </c>
      <c r="B1275" s="1" t="s">
        <v>702</v>
      </c>
      <c r="C1275" s="1" t="s">
        <v>703</v>
      </c>
      <c r="D1275" s="1" t="n">
        <v>11197</v>
      </c>
      <c r="E1275" s="1" t="s">
        <v>53</v>
      </c>
      <c r="F1275" s="201" t="n">
        <v>200025889003</v>
      </c>
      <c r="G1275" s="198" t="s">
        <v>706</v>
      </c>
      <c r="H1275" s="163" t="s">
        <v>251</v>
      </c>
      <c r="I1275" s="161" t="n">
        <v>22</v>
      </c>
      <c r="J1275" s="156" t="s">
        <v>185</v>
      </c>
      <c r="K1275" s="200" t="n">
        <v>45454.2716203704</v>
      </c>
      <c r="L1275" s="1" t="n">
        <v>2</v>
      </c>
      <c r="M1275" s="1" t="n">
        <v>11197</v>
      </c>
      <c r="N1275" s="1" t="n">
        <v>443</v>
      </c>
    </row>
    <row r="1276" customFormat="false" ht="14.25" hidden="false" customHeight="false" outlineLevel="0" collapsed="false">
      <c r="A1276" s="1" t="n">
        <v>350</v>
      </c>
      <c r="B1276" s="1" t="s">
        <v>702</v>
      </c>
      <c r="C1276" s="1" t="s">
        <v>703</v>
      </c>
      <c r="D1276" s="1" t="n">
        <v>11197</v>
      </c>
      <c r="E1276" s="1" t="s">
        <v>53</v>
      </c>
      <c r="F1276" s="201" t="n">
        <v>200025889003</v>
      </c>
      <c r="G1276" s="198" t="s">
        <v>706</v>
      </c>
      <c r="H1276" s="163" t="s">
        <v>251</v>
      </c>
      <c r="I1276" s="161" t="n">
        <v>22</v>
      </c>
      <c r="J1276" s="156" t="s">
        <v>185</v>
      </c>
      <c r="K1276" s="200" t="n">
        <v>45454.2716435185</v>
      </c>
      <c r="L1276" s="207" t="n">
        <v>71</v>
      </c>
      <c r="M1276" s="1" t="n">
        <v>11197</v>
      </c>
      <c r="N1276" s="1" t="n">
        <v>444</v>
      </c>
    </row>
    <row r="1277" customFormat="false" ht="14.25" hidden="false" customHeight="false" outlineLevel="0" collapsed="false">
      <c r="A1277" s="1" t="n">
        <v>351</v>
      </c>
      <c r="B1277" s="1" t="s">
        <v>702</v>
      </c>
      <c r="C1277" s="1" t="s">
        <v>703</v>
      </c>
      <c r="D1277" s="1" t="n">
        <v>11197</v>
      </c>
      <c r="E1277" s="1" t="s">
        <v>53</v>
      </c>
      <c r="F1277" s="201" t="n">
        <v>200025889003</v>
      </c>
      <c r="G1277" s="198" t="s">
        <v>706</v>
      </c>
      <c r="H1277" s="163" t="s">
        <v>251</v>
      </c>
      <c r="I1277" s="161" t="n">
        <v>22</v>
      </c>
      <c r="J1277" s="156" t="s">
        <v>185</v>
      </c>
      <c r="K1277" s="200" t="n">
        <v>45454.3176967593</v>
      </c>
      <c r="L1277" s="1" t="n">
        <v>0</v>
      </c>
      <c r="M1277" s="1" t="n">
        <v>11197</v>
      </c>
      <c r="N1277" s="1" t="n">
        <v>445</v>
      </c>
    </row>
    <row r="1278" customFormat="false" ht="14.25" hidden="false" customHeight="false" outlineLevel="0" collapsed="false">
      <c r="A1278" s="1" t="n">
        <v>352</v>
      </c>
      <c r="B1278" s="1" t="s">
        <v>702</v>
      </c>
      <c r="C1278" s="1" t="s">
        <v>703</v>
      </c>
      <c r="D1278" s="1" t="n">
        <v>11197</v>
      </c>
      <c r="E1278" s="1" t="s">
        <v>53</v>
      </c>
      <c r="F1278" s="201" t="n">
        <v>200025889003</v>
      </c>
      <c r="G1278" s="198" t="s">
        <v>706</v>
      </c>
      <c r="H1278" s="163" t="s">
        <v>251</v>
      </c>
      <c r="I1278" s="161" t="n">
        <v>22</v>
      </c>
      <c r="J1278" s="156" t="s">
        <v>185</v>
      </c>
      <c r="K1278" s="200" t="n">
        <v>45454.3186574074</v>
      </c>
      <c r="L1278" s="1" t="n">
        <v>1</v>
      </c>
      <c r="M1278" s="1" t="n">
        <v>11197</v>
      </c>
      <c r="N1278" s="1" t="n">
        <v>446</v>
      </c>
    </row>
    <row r="1279" customFormat="false" ht="14.25" hidden="false" customHeight="false" outlineLevel="0" collapsed="false">
      <c r="A1279" s="1" t="n">
        <v>353</v>
      </c>
      <c r="B1279" s="1" t="s">
        <v>702</v>
      </c>
      <c r="C1279" s="1" t="s">
        <v>703</v>
      </c>
      <c r="D1279" s="1" t="n">
        <v>11197</v>
      </c>
      <c r="E1279" s="1" t="s">
        <v>53</v>
      </c>
      <c r="F1279" s="201" t="n">
        <v>200025889003</v>
      </c>
      <c r="G1279" s="198" t="s">
        <v>706</v>
      </c>
      <c r="H1279" s="163" t="s">
        <v>251</v>
      </c>
      <c r="I1279" s="161" t="n">
        <v>22</v>
      </c>
      <c r="J1279" s="156" t="s">
        <v>185</v>
      </c>
      <c r="K1279" s="200" t="n">
        <v>45454.3194791667</v>
      </c>
      <c r="L1279" s="1" t="n">
        <v>2</v>
      </c>
      <c r="M1279" s="1" t="n">
        <v>11197</v>
      </c>
      <c r="N1279" s="1" t="n">
        <v>447</v>
      </c>
    </row>
    <row r="1280" customFormat="false" ht="14.25" hidden="false" customHeight="false" outlineLevel="0" collapsed="false">
      <c r="A1280" s="1" t="n">
        <v>354</v>
      </c>
      <c r="B1280" s="1" t="s">
        <v>702</v>
      </c>
      <c r="C1280" s="1" t="s">
        <v>703</v>
      </c>
      <c r="D1280" s="1" t="n">
        <v>11197</v>
      </c>
      <c r="E1280" s="1" t="s">
        <v>53</v>
      </c>
      <c r="F1280" s="201" t="n">
        <v>200025888490</v>
      </c>
      <c r="G1280" s="198" t="s">
        <v>679</v>
      </c>
      <c r="H1280" s="172" t="n">
        <v>31334</v>
      </c>
      <c r="I1280" s="170" t="n">
        <v>116</v>
      </c>
      <c r="J1280" s="169" t="s">
        <v>185</v>
      </c>
      <c r="K1280" s="200" t="n">
        <v>45454.4865162037</v>
      </c>
      <c r="L1280" s="1" t="n">
        <v>0</v>
      </c>
      <c r="M1280" s="1" t="n">
        <v>11197</v>
      </c>
      <c r="N1280" s="1" t="n">
        <v>448</v>
      </c>
    </row>
    <row r="1281" customFormat="false" ht="14.25" hidden="false" customHeight="false" outlineLevel="0" collapsed="false">
      <c r="A1281" s="1" t="n">
        <v>280</v>
      </c>
      <c r="B1281" s="1" t="s">
        <v>565</v>
      </c>
      <c r="C1281" s="1" t="s">
        <v>566</v>
      </c>
      <c r="D1281" s="1" t="n">
        <v>11197</v>
      </c>
      <c r="E1281" s="1" t="s">
        <v>53</v>
      </c>
      <c r="F1281" s="198" t="n">
        <v>200025889154</v>
      </c>
      <c r="G1281" s="198" t="s">
        <v>641</v>
      </c>
      <c r="H1281" s="172" t="n">
        <v>91178</v>
      </c>
      <c r="I1281" s="170" t="n">
        <v>34</v>
      </c>
      <c r="J1281" s="169" t="s">
        <v>192</v>
      </c>
      <c r="K1281" s="199" t="n">
        <v>45455.4822106482</v>
      </c>
      <c r="L1281" s="1" t="n">
        <v>0</v>
      </c>
      <c r="M1281" s="1" t="n">
        <v>11197</v>
      </c>
      <c r="N1281" s="1" t="n">
        <v>449</v>
      </c>
    </row>
    <row r="1282" customFormat="false" ht="14.25" hidden="false" customHeight="false" outlineLevel="0" collapsed="false">
      <c r="A1282" s="1" t="n">
        <v>281</v>
      </c>
      <c r="B1282" s="1" t="s">
        <v>565</v>
      </c>
      <c r="C1282" s="1" t="s">
        <v>566</v>
      </c>
      <c r="D1282" s="1" t="n">
        <v>11197</v>
      </c>
      <c r="E1282" s="1" t="s">
        <v>53</v>
      </c>
      <c r="F1282" s="198" t="n">
        <v>200025889154</v>
      </c>
      <c r="G1282" s="198" t="s">
        <v>641</v>
      </c>
      <c r="H1282" s="172" t="n">
        <v>91178</v>
      </c>
      <c r="I1282" s="170" t="n">
        <v>34</v>
      </c>
      <c r="J1282" s="169" t="s">
        <v>192</v>
      </c>
      <c r="K1282" s="199" t="n">
        <v>45455.4822222222</v>
      </c>
      <c r="L1282" s="1" t="n">
        <v>0</v>
      </c>
      <c r="M1282" s="1" t="n">
        <v>11197</v>
      </c>
      <c r="N1282" s="1" t="n">
        <v>450</v>
      </c>
    </row>
    <row r="1283" customFormat="false" ht="14.25" hidden="false" customHeight="false" outlineLevel="0" collapsed="false">
      <c r="A1283" s="1" t="n">
        <v>282</v>
      </c>
      <c r="B1283" s="1" t="s">
        <v>565</v>
      </c>
      <c r="C1283" s="1" t="s">
        <v>566</v>
      </c>
      <c r="D1283" s="1" t="n">
        <v>11197</v>
      </c>
      <c r="E1283" s="1" t="s">
        <v>53</v>
      </c>
      <c r="F1283" s="198" t="n">
        <v>200025889154</v>
      </c>
      <c r="G1283" s="198" t="s">
        <v>641</v>
      </c>
      <c r="H1283" s="172" t="n">
        <v>91178</v>
      </c>
      <c r="I1283" s="170" t="n">
        <v>34</v>
      </c>
      <c r="J1283" s="169" t="s">
        <v>192</v>
      </c>
      <c r="K1283" s="199" t="n">
        <v>45455.4822222222</v>
      </c>
      <c r="L1283" s="1" t="n">
        <v>0</v>
      </c>
      <c r="M1283" s="1" t="n">
        <v>11197</v>
      </c>
      <c r="N1283" s="1" t="n">
        <v>451</v>
      </c>
    </row>
    <row r="1284" customFormat="false" ht="14.25" hidden="false" customHeight="false" outlineLevel="0" collapsed="false">
      <c r="A1284" s="1" t="n">
        <v>283</v>
      </c>
      <c r="B1284" s="1" t="s">
        <v>565</v>
      </c>
      <c r="C1284" s="1" t="s">
        <v>566</v>
      </c>
      <c r="D1284" s="1" t="n">
        <v>11197</v>
      </c>
      <c r="E1284" s="1" t="s">
        <v>53</v>
      </c>
      <c r="F1284" s="198" t="n">
        <v>200025889154</v>
      </c>
      <c r="G1284" s="198" t="s">
        <v>641</v>
      </c>
      <c r="H1284" s="172" t="n">
        <v>91178</v>
      </c>
      <c r="I1284" s="170" t="n">
        <v>34</v>
      </c>
      <c r="J1284" s="169" t="s">
        <v>192</v>
      </c>
      <c r="K1284" s="199" t="n">
        <v>45455.4822453704</v>
      </c>
      <c r="L1284" s="1" t="n">
        <v>1</v>
      </c>
      <c r="M1284" s="1" t="n">
        <v>11197</v>
      </c>
      <c r="N1284" s="1" t="n">
        <v>452</v>
      </c>
    </row>
    <row r="1285" customFormat="false" ht="14.25" hidden="false" customHeight="false" outlineLevel="0" collapsed="false">
      <c r="A1285" s="1" t="n">
        <v>284</v>
      </c>
      <c r="B1285" s="1" t="s">
        <v>565</v>
      </c>
      <c r="C1285" s="1" t="s">
        <v>566</v>
      </c>
      <c r="D1285" s="1" t="n">
        <v>11197</v>
      </c>
      <c r="E1285" s="1" t="s">
        <v>53</v>
      </c>
      <c r="F1285" s="198" t="n">
        <v>200025889154</v>
      </c>
      <c r="G1285" s="198" t="s">
        <v>641</v>
      </c>
      <c r="H1285" s="172" t="n">
        <v>91178</v>
      </c>
      <c r="I1285" s="170" t="n">
        <v>34</v>
      </c>
      <c r="J1285" s="169" t="s">
        <v>192</v>
      </c>
      <c r="K1285" s="199" t="n">
        <v>45455.4825810185</v>
      </c>
      <c r="L1285" s="1" t="n">
        <v>1</v>
      </c>
      <c r="M1285" s="1" t="n">
        <v>11197</v>
      </c>
      <c r="N1285" s="1" t="n">
        <v>453</v>
      </c>
    </row>
    <row r="1286" customFormat="false" ht="14.25" hidden="false" customHeight="false" outlineLevel="0" collapsed="false">
      <c r="A1286" s="1" t="n">
        <v>285</v>
      </c>
      <c r="B1286" s="1" t="s">
        <v>565</v>
      </c>
      <c r="C1286" s="1" t="s">
        <v>566</v>
      </c>
      <c r="D1286" s="1" t="n">
        <v>11197</v>
      </c>
      <c r="E1286" s="1" t="s">
        <v>53</v>
      </c>
      <c r="F1286" s="198" t="n">
        <v>200025889154</v>
      </c>
      <c r="G1286" s="198" t="s">
        <v>641</v>
      </c>
      <c r="H1286" s="172" t="n">
        <v>91178</v>
      </c>
      <c r="I1286" s="170" t="n">
        <v>34</v>
      </c>
      <c r="J1286" s="169" t="s">
        <v>192</v>
      </c>
      <c r="K1286" s="199" t="n">
        <v>45455.4955555556</v>
      </c>
      <c r="L1286" s="1" t="n">
        <v>1</v>
      </c>
      <c r="M1286" s="1" t="n">
        <v>11197</v>
      </c>
      <c r="N1286" s="1" t="n">
        <v>454</v>
      </c>
    </row>
    <row r="1287" customFormat="false" ht="14.25" hidden="false" customHeight="false" outlineLevel="0" collapsed="false">
      <c r="A1287" s="1" t="n">
        <v>286</v>
      </c>
      <c r="B1287" s="1" t="s">
        <v>565</v>
      </c>
      <c r="C1287" s="1" t="s">
        <v>566</v>
      </c>
      <c r="D1287" s="1" t="n">
        <v>11197</v>
      </c>
      <c r="E1287" s="1" t="s">
        <v>53</v>
      </c>
      <c r="F1287" s="198" t="n">
        <v>200025889154</v>
      </c>
      <c r="G1287" s="198" t="s">
        <v>641</v>
      </c>
      <c r="H1287" s="172" t="n">
        <v>91178</v>
      </c>
      <c r="I1287" s="170" t="n">
        <v>34</v>
      </c>
      <c r="J1287" s="169" t="s">
        <v>192</v>
      </c>
      <c r="K1287" s="199" t="n">
        <v>45455.4957407407</v>
      </c>
      <c r="L1287" s="1" t="n">
        <v>1</v>
      </c>
      <c r="M1287" s="1" t="n">
        <v>11197</v>
      </c>
      <c r="N1287" s="1" t="n">
        <v>455</v>
      </c>
    </row>
    <row r="1288" customFormat="false" ht="14.25" hidden="false" customHeight="false" outlineLevel="0" collapsed="false">
      <c r="A1288" s="1" t="n">
        <v>287</v>
      </c>
      <c r="B1288" s="1" t="s">
        <v>565</v>
      </c>
      <c r="C1288" s="1" t="s">
        <v>566</v>
      </c>
      <c r="D1288" s="1" t="n">
        <v>11197</v>
      </c>
      <c r="E1288" s="1" t="s">
        <v>53</v>
      </c>
      <c r="F1288" s="198" t="n">
        <v>200025889127</v>
      </c>
      <c r="G1288" s="198" t="s">
        <v>692</v>
      </c>
      <c r="H1288" s="163" t="s">
        <v>507</v>
      </c>
      <c r="I1288" s="161" t="n">
        <v>86</v>
      </c>
      <c r="J1288" s="156" t="s">
        <v>192</v>
      </c>
      <c r="K1288" s="199" t="n">
        <v>45455.5493634259</v>
      </c>
      <c r="L1288" s="1" t="n">
        <v>1</v>
      </c>
      <c r="M1288" s="1" t="n">
        <v>11197</v>
      </c>
      <c r="N1288" s="1" t="n">
        <v>456</v>
      </c>
    </row>
    <row r="1289" customFormat="false" ht="14.25" hidden="false" customHeight="false" outlineLevel="0" collapsed="false">
      <c r="A1289" s="1" t="n">
        <v>288</v>
      </c>
      <c r="B1289" s="1" t="s">
        <v>565</v>
      </c>
      <c r="C1289" s="1" t="s">
        <v>566</v>
      </c>
      <c r="D1289" s="1" t="n">
        <v>11197</v>
      </c>
      <c r="E1289" s="1" t="s">
        <v>53</v>
      </c>
      <c r="F1289" s="198" t="n">
        <v>200025889154</v>
      </c>
      <c r="G1289" s="198" t="s">
        <v>641</v>
      </c>
      <c r="H1289" s="172" t="n">
        <v>91178</v>
      </c>
      <c r="I1289" s="170" t="n">
        <v>34</v>
      </c>
      <c r="J1289" s="169" t="s">
        <v>192</v>
      </c>
      <c r="K1289" s="199" t="n">
        <v>45455.5987847222</v>
      </c>
      <c r="L1289" s="10" t="n">
        <v>92</v>
      </c>
      <c r="M1289" s="1" t="n">
        <v>11197</v>
      </c>
      <c r="N1289" s="1" t="n">
        <v>457</v>
      </c>
    </row>
    <row r="1290" customFormat="false" ht="14.25" hidden="false" customHeight="false" outlineLevel="0" collapsed="false">
      <c r="A1290" s="1" t="n">
        <v>289</v>
      </c>
      <c r="B1290" s="1" t="s">
        <v>565</v>
      </c>
      <c r="C1290" s="1" t="s">
        <v>566</v>
      </c>
      <c r="D1290" s="1" t="n">
        <v>11197</v>
      </c>
      <c r="E1290" s="1" t="s">
        <v>53</v>
      </c>
      <c r="F1290" s="198" t="n">
        <v>200025889154</v>
      </c>
      <c r="G1290" s="198" t="s">
        <v>641</v>
      </c>
      <c r="H1290" s="172" t="n">
        <v>91178</v>
      </c>
      <c r="I1290" s="170" t="n">
        <v>34</v>
      </c>
      <c r="J1290" s="169" t="s">
        <v>192</v>
      </c>
      <c r="K1290" s="199" t="n">
        <v>45455.599849537</v>
      </c>
      <c r="L1290" s="1" t="n">
        <v>0</v>
      </c>
      <c r="M1290" s="1" t="n">
        <v>11197</v>
      </c>
      <c r="N1290" s="1" t="n">
        <v>458</v>
      </c>
    </row>
    <row r="1291" customFormat="false" ht="14.25" hidden="false" customHeight="false" outlineLevel="0" collapsed="false">
      <c r="A1291" s="1" t="n">
        <v>290</v>
      </c>
      <c r="B1291" s="1" t="s">
        <v>565</v>
      </c>
      <c r="C1291" s="1" t="s">
        <v>566</v>
      </c>
      <c r="D1291" s="1" t="n">
        <v>11197</v>
      </c>
      <c r="E1291" s="1" t="s">
        <v>53</v>
      </c>
      <c r="F1291" s="198" t="n">
        <v>200025889154</v>
      </c>
      <c r="G1291" s="198" t="s">
        <v>641</v>
      </c>
      <c r="H1291" s="172" t="n">
        <v>91178</v>
      </c>
      <c r="I1291" s="170" t="n">
        <v>34</v>
      </c>
      <c r="J1291" s="169" t="s">
        <v>192</v>
      </c>
      <c r="K1291" s="199" t="n">
        <v>45455.5998611111</v>
      </c>
      <c r="L1291" s="1" t="n">
        <v>0</v>
      </c>
      <c r="M1291" s="1" t="n">
        <v>11197</v>
      </c>
      <c r="N1291" s="1" t="n">
        <v>459</v>
      </c>
    </row>
    <row r="1292" customFormat="false" ht="14.25" hidden="false" customHeight="false" outlineLevel="0" collapsed="false">
      <c r="A1292" s="1" t="n">
        <v>291</v>
      </c>
      <c r="B1292" s="1" t="s">
        <v>565</v>
      </c>
      <c r="C1292" s="1" t="s">
        <v>566</v>
      </c>
      <c r="D1292" s="1" t="n">
        <v>11197</v>
      </c>
      <c r="E1292" s="1" t="s">
        <v>53</v>
      </c>
      <c r="F1292" s="198" t="n">
        <v>200025889154</v>
      </c>
      <c r="G1292" s="198" t="s">
        <v>641</v>
      </c>
      <c r="H1292" s="172" t="n">
        <v>91178</v>
      </c>
      <c r="I1292" s="170" t="n">
        <v>34</v>
      </c>
      <c r="J1292" s="169" t="s">
        <v>192</v>
      </c>
      <c r="K1292" s="199" t="n">
        <v>45455.5998611111</v>
      </c>
      <c r="L1292" s="1" t="n">
        <v>3</v>
      </c>
      <c r="M1292" s="1" t="n">
        <v>11197</v>
      </c>
      <c r="N1292" s="1" t="n">
        <v>460</v>
      </c>
    </row>
    <row r="1293" customFormat="false" ht="14.25" hidden="false" customHeight="false" outlineLevel="0" collapsed="false">
      <c r="A1293" s="1" t="n">
        <v>292</v>
      </c>
      <c r="B1293" s="1" t="s">
        <v>565</v>
      </c>
      <c r="C1293" s="1" t="s">
        <v>566</v>
      </c>
      <c r="D1293" s="1" t="n">
        <v>11197</v>
      </c>
      <c r="E1293" s="1" t="s">
        <v>53</v>
      </c>
      <c r="F1293" s="198" t="n">
        <v>200025889154</v>
      </c>
      <c r="G1293" s="198" t="s">
        <v>641</v>
      </c>
      <c r="H1293" s="172" t="n">
        <v>91178</v>
      </c>
      <c r="I1293" s="170" t="n">
        <v>34</v>
      </c>
      <c r="J1293" s="169" t="s">
        <v>192</v>
      </c>
      <c r="K1293" s="199" t="n">
        <v>45455.6035069445</v>
      </c>
      <c r="L1293" s="1" t="n">
        <v>1</v>
      </c>
      <c r="M1293" s="1" t="n">
        <v>11197</v>
      </c>
      <c r="N1293" s="1" t="n">
        <v>461</v>
      </c>
    </row>
    <row r="1294" customFormat="false" ht="14.25" hidden="false" customHeight="false" outlineLevel="0" collapsed="false">
      <c r="A1294" s="1" t="n">
        <v>293</v>
      </c>
      <c r="B1294" s="1" t="s">
        <v>565</v>
      </c>
      <c r="C1294" s="1" t="s">
        <v>566</v>
      </c>
      <c r="D1294" s="1" t="n">
        <v>11197</v>
      </c>
      <c r="E1294" s="1" t="s">
        <v>53</v>
      </c>
      <c r="F1294" s="198" t="n">
        <v>200025888174</v>
      </c>
      <c r="G1294" s="198" t="s">
        <v>676</v>
      </c>
      <c r="H1294" s="163" t="s">
        <v>203</v>
      </c>
      <c r="I1294" s="161" t="n">
        <v>45</v>
      </c>
      <c r="J1294" s="156" t="s">
        <v>185</v>
      </c>
      <c r="K1294" s="199" t="n">
        <v>45456.4585532407</v>
      </c>
      <c r="L1294" s="1" t="n">
        <v>1</v>
      </c>
      <c r="M1294" s="1" t="n">
        <v>11197</v>
      </c>
      <c r="N1294" s="1" t="n">
        <v>462</v>
      </c>
    </row>
    <row r="1295" customFormat="false" ht="14.25" hidden="false" customHeight="false" outlineLevel="0" collapsed="false">
      <c r="A1295" s="1" t="n">
        <v>294</v>
      </c>
      <c r="B1295" s="1" t="s">
        <v>565</v>
      </c>
      <c r="C1295" s="1" t="s">
        <v>566</v>
      </c>
      <c r="D1295" s="1" t="n">
        <v>11197</v>
      </c>
      <c r="E1295" s="1" t="s">
        <v>53</v>
      </c>
      <c r="F1295" s="198" t="n">
        <v>200025888174</v>
      </c>
      <c r="G1295" s="198" t="s">
        <v>676</v>
      </c>
      <c r="H1295" s="163" t="s">
        <v>203</v>
      </c>
      <c r="I1295" s="161" t="n">
        <v>45</v>
      </c>
      <c r="J1295" s="156" t="s">
        <v>185</v>
      </c>
      <c r="K1295" s="199" t="n">
        <v>45456.4585763889</v>
      </c>
      <c r="L1295" s="1" t="n">
        <v>0</v>
      </c>
      <c r="M1295" s="1" t="n">
        <v>11197</v>
      </c>
      <c r="N1295" s="1" t="n">
        <v>463</v>
      </c>
    </row>
    <row r="1296" customFormat="false" ht="14.25" hidden="false" customHeight="false" outlineLevel="0" collapsed="false">
      <c r="A1296" s="1" t="n">
        <v>355</v>
      </c>
      <c r="B1296" s="1" t="s">
        <v>702</v>
      </c>
      <c r="C1296" s="1" t="s">
        <v>703</v>
      </c>
      <c r="D1296" s="1" t="n">
        <v>11197</v>
      </c>
      <c r="E1296" s="1" t="s">
        <v>53</v>
      </c>
      <c r="F1296" s="201" t="n">
        <v>200025888527</v>
      </c>
      <c r="G1296" s="198" t="s">
        <v>665</v>
      </c>
      <c r="H1296" s="163" t="s">
        <v>339</v>
      </c>
      <c r="I1296" s="161" t="n">
        <v>92</v>
      </c>
      <c r="J1296" s="156" t="s">
        <v>185</v>
      </c>
      <c r="K1296" s="200" t="n">
        <v>45457.486875</v>
      </c>
      <c r="L1296" s="1" t="n">
        <v>0</v>
      </c>
      <c r="M1296" s="1" t="n">
        <v>11197</v>
      </c>
      <c r="N1296" s="1" t="n">
        <v>464</v>
      </c>
    </row>
    <row r="1297" customFormat="false" ht="14.25" hidden="false" customHeight="false" outlineLevel="0" collapsed="false">
      <c r="A1297" s="1" t="n">
        <v>296</v>
      </c>
      <c r="B1297" s="1" t="s">
        <v>565</v>
      </c>
      <c r="C1297" s="1" t="s">
        <v>566</v>
      </c>
      <c r="D1297" s="208" t="n">
        <v>11197</v>
      </c>
      <c r="E1297" s="1" t="s">
        <v>53</v>
      </c>
      <c r="F1297" s="198" t="n">
        <v>200025889246</v>
      </c>
      <c r="G1297" s="198" t="s">
        <v>693</v>
      </c>
      <c r="H1297" s="163" t="s">
        <v>227</v>
      </c>
      <c r="I1297" s="161" t="n">
        <v>6</v>
      </c>
      <c r="J1297" s="156" t="s">
        <v>192</v>
      </c>
      <c r="K1297" s="199" t="n">
        <v>45458.3689236111</v>
      </c>
      <c r="L1297" s="10" t="n">
        <v>6099</v>
      </c>
      <c r="M1297" s="208" t="n">
        <v>11197</v>
      </c>
      <c r="N1297" s="1" t="n">
        <v>465</v>
      </c>
    </row>
    <row r="1298" customFormat="false" ht="14.25" hidden="false" customHeight="false" outlineLevel="0" collapsed="false">
      <c r="A1298" s="1" t="n">
        <v>297</v>
      </c>
      <c r="B1298" s="1" t="s">
        <v>565</v>
      </c>
      <c r="C1298" s="1" t="s">
        <v>566</v>
      </c>
      <c r="D1298" s="208" t="n">
        <v>11197</v>
      </c>
      <c r="E1298" s="1" t="s">
        <v>53</v>
      </c>
      <c r="F1298" s="198" t="n">
        <v>200025889246</v>
      </c>
      <c r="G1298" s="198" t="s">
        <v>693</v>
      </c>
      <c r="H1298" s="163" t="s">
        <v>227</v>
      </c>
      <c r="I1298" s="161" t="n">
        <v>6</v>
      </c>
      <c r="J1298" s="156" t="s">
        <v>192</v>
      </c>
      <c r="K1298" s="199" t="n">
        <v>45458.439525463</v>
      </c>
      <c r="L1298" s="1" t="n">
        <v>0</v>
      </c>
      <c r="M1298" s="208" t="n">
        <v>11197</v>
      </c>
      <c r="N1298" s="1" t="n">
        <v>466</v>
      </c>
    </row>
    <row r="1299" customFormat="false" ht="14.25" hidden="false" customHeight="false" outlineLevel="0" collapsed="false">
      <c r="A1299" s="1" t="n">
        <v>298</v>
      </c>
      <c r="B1299" s="1" t="s">
        <v>565</v>
      </c>
      <c r="C1299" s="1" t="s">
        <v>566</v>
      </c>
      <c r="D1299" s="208" t="n">
        <v>11197</v>
      </c>
      <c r="E1299" s="1" t="s">
        <v>53</v>
      </c>
      <c r="F1299" s="198" t="n">
        <v>200025889212</v>
      </c>
      <c r="G1299" s="198" t="s">
        <v>683</v>
      </c>
      <c r="H1299" s="163" t="s">
        <v>519</v>
      </c>
      <c r="I1299" s="161" t="n">
        <v>112</v>
      </c>
      <c r="J1299" s="156" t="s">
        <v>192</v>
      </c>
      <c r="K1299" s="199" t="n">
        <v>45458.4418287037</v>
      </c>
      <c r="L1299" s="1" t="n">
        <v>0</v>
      </c>
      <c r="M1299" s="208" t="n">
        <v>11197</v>
      </c>
      <c r="N1299" s="1" t="n">
        <v>467</v>
      </c>
    </row>
    <row r="1300" customFormat="false" ht="14.25" hidden="false" customHeight="false" outlineLevel="0" collapsed="false">
      <c r="A1300" s="1" t="n">
        <v>299</v>
      </c>
      <c r="B1300" s="1" t="s">
        <v>565</v>
      </c>
      <c r="C1300" s="1" t="s">
        <v>566</v>
      </c>
      <c r="D1300" s="208" t="n">
        <v>11197</v>
      </c>
      <c r="E1300" s="1" t="s">
        <v>53</v>
      </c>
      <c r="F1300" s="198" t="n">
        <v>200025889212</v>
      </c>
      <c r="G1300" s="198" t="s">
        <v>683</v>
      </c>
      <c r="H1300" s="163" t="s">
        <v>519</v>
      </c>
      <c r="I1300" s="161" t="n">
        <v>112</v>
      </c>
      <c r="J1300" s="156" t="s">
        <v>192</v>
      </c>
      <c r="K1300" s="199" t="n">
        <v>45458.4418287037</v>
      </c>
      <c r="L1300" s="10" t="n">
        <v>8547</v>
      </c>
      <c r="M1300" s="208" t="n">
        <v>11197</v>
      </c>
      <c r="N1300" s="1" t="n">
        <v>468</v>
      </c>
    </row>
    <row r="1301" customFormat="false" ht="14.25" hidden="false" customHeight="false" outlineLevel="0" collapsed="false">
      <c r="A1301" s="1" t="n">
        <v>300</v>
      </c>
      <c r="B1301" s="1" t="s">
        <v>565</v>
      </c>
      <c r="C1301" s="1" t="s">
        <v>566</v>
      </c>
      <c r="D1301" s="208" t="n">
        <v>11197</v>
      </c>
      <c r="E1301" s="1" t="s">
        <v>53</v>
      </c>
      <c r="F1301" s="198" t="n">
        <v>200025889212</v>
      </c>
      <c r="G1301" s="198" t="s">
        <v>683</v>
      </c>
      <c r="H1301" s="163" t="s">
        <v>519</v>
      </c>
      <c r="I1301" s="161" t="n">
        <v>112</v>
      </c>
      <c r="J1301" s="156" t="s">
        <v>192</v>
      </c>
      <c r="K1301" s="199" t="n">
        <v>45459.4581828704</v>
      </c>
      <c r="L1301" s="10" t="n">
        <v>6117</v>
      </c>
      <c r="M1301" s="208" t="n">
        <v>11197</v>
      </c>
      <c r="N1301" s="1" t="n">
        <v>469</v>
      </c>
    </row>
    <row r="1302" customFormat="false" ht="14.25" hidden="false" customHeight="false" outlineLevel="0" collapsed="false">
      <c r="A1302" s="1" t="n">
        <v>301</v>
      </c>
      <c r="B1302" s="1" t="s">
        <v>565</v>
      </c>
      <c r="C1302" s="1" t="s">
        <v>566</v>
      </c>
      <c r="D1302" s="208" t="n">
        <v>11197</v>
      </c>
      <c r="E1302" s="1" t="s">
        <v>53</v>
      </c>
      <c r="F1302" s="198" t="n">
        <v>200025888606</v>
      </c>
      <c r="G1302" s="198" t="s">
        <v>576</v>
      </c>
      <c r="H1302" s="163" t="s">
        <v>366</v>
      </c>
      <c r="I1302" s="161" t="n">
        <v>28</v>
      </c>
      <c r="J1302" s="156" t="s">
        <v>192</v>
      </c>
      <c r="K1302" s="199" t="n">
        <v>45459.6105902778</v>
      </c>
      <c r="L1302" s="1" t="n">
        <v>1</v>
      </c>
      <c r="M1302" s="208" t="n">
        <v>11197</v>
      </c>
      <c r="N1302" s="1" t="n">
        <v>470</v>
      </c>
    </row>
    <row r="1303" customFormat="false" ht="14.25" hidden="false" customHeight="false" outlineLevel="0" collapsed="false">
      <c r="A1303" s="1" t="n">
        <v>302</v>
      </c>
      <c r="B1303" s="1" t="s">
        <v>565</v>
      </c>
      <c r="C1303" s="1" t="s">
        <v>566</v>
      </c>
      <c r="D1303" s="208" t="n">
        <v>11197</v>
      </c>
      <c r="E1303" s="1" t="s">
        <v>53</v>
      </c>
      <c r="F1303" s="198" t="n">
        <v>200025889407</v>
      </c>
      <c r="G1303" s="198" t="s">
        <v>580</v>
      </c>
      <c r="H1303" s="163" t="s">
        <v>465</v>
      </c>
      <c r="I1303" s="161" t="n">
        <v>54</v>
      </c>
      <c r="J1303" s="156" t="s">
        <v>192</v>
      </c>
      <c r="K1303" s="199" t="n">
        <v>45459.6765277778</v>
      </c>
      <c r="L1303" s="1" t="n">
        <v>1</v>
      </c>
      <c r="M1303" s="208" t="n">
        <v>11197</v>
      </c>
      <c r="N1303" s="1" t="n">
        <v>471</v>
      </c>
    </row>
    <row r="1304" customFormat="false" ht="14.25" hidden="false" customHeight="false" outlineLevel="0" collapsed="false">
      <c r="A1304" s="1" t="n">
        <v>356</v>
      </c>
      <c r="B1304" s="1" t="s">
        <v>702</v>
      </c>
      <c r="C1304" s="1" t="s">
        <v>703</v>
      </c>
      <c r="D1304" s="1" t="n">
        <v>11197</v>
      </c>
      <c r="E1304" s="1" t="s">
        <v>53</v>
      </c>
      <c r="F1304" s="201" t="n">
        <v>200025889372</v>
      </c>
      <c r="G1304" s="198" t="s">
        <v>697</v>
      </c>
      <c r="H1304" s="163" t="s">
        <v>272</v>
      </c>
      <c r="I1304" s="161" t="n">
        <v>81</v>
      </c>
      <c r="J1304" s="156" t="s">
        <v>192</v>
      </c>
      <c r="K1304" s="200" t="n">
        <v>45460.2661574074</v>
      </c>
      <c r="L1304" s="207" t="n">
        <v>55</v>
      </c>
      <c r="M1304" s="1" t="n">
        <v>11197</v>
      </c>
      <c r="N1304" s="1" t="n">
        <v>472</v>
      </c>
    </row>
    <row r="1305" customFormat="false" ht="14.25" hidden="false" customHeight="false" outlineLevel="0" collapsed="false">
      <c r="A1305" s="1" t="n">
        <v>357</v>
      </c>
      <c r="B1305" s="1" t="s">
        <v>702</v>
      </c>
      <c r="C1305" s="1" t="s">
        <v>703</v>
      </c>
      <c r="D1305" s="1" t="n">
        <v>11197</v>
      </c>
      <c r="E1305" s="1" t="s">
        <v>53</v>
      </c>
      <c r="F1305" s="201" t="n">
        <v>200025889372</v>
      </c>
      <c r="G1305" s="198" t="s">
        <v>697</v>
      </c>
      <c r="H1305" s="163" t="s">
        <v>272</v>
      </c>
      <c r="I1305" s="161" t="n">
        <v>81</v>
      </c>
      <c r="J1305" s="156" t="s">
        <v>192</v>
      </c>
      <c r="K1305" s="200" t="n">
        <v>45460.2668055556</v>
      </c>
      <c r="L1305" s="1" t="n">
        <v>5</v>
      </c>
      <c r="M1305" s="1" t="n">
        <v>11197</v>
      </c>
      <c r="N1305" s="1" t="n">
        <v>473</v>
      </c>
    </row>
    <row r="1306" customFormat="false" ht="14.25" hidden="false" customHeight="false" outlineLevel="0" collapsed="false">
      <c r="A1306" s="1" t="n">
        <v>358</v>
      </c>
      <c r="B1306" s="1" t="s">
        <v>702</v>
      </c>
      <c r="C1306" s="1" t="s">
        <v>703</v>
      </c>
      <c r="D1306" s="1" t="n">
        <v>11197</v>
      </c>
      <c r="E1306" s="1" t="s">
        <v>53</v>
      </c>
      <c r="F1306" s="201" t="n">
        <v>200025889372</v>
      </c>
      <c r="G1306" s="198" t="s">
        <v>697</v>
      </c>
      <c r="H1306" s="163" t="s">
        <v>272</v>
      </c>
      <c r="I1306" s="161" t="n">
        <v>81</v>
      </c>
      <c r="J1306" s="156" t="s">
        <v>192</v>
      </c>
      <c r="K1306" s="200" t="n">
        <v>45460.2670833333</v>
      </c>
      <c r="L1306" s="1" t="n">
        <v>15</v>
      </c>
      <c r="M1306" s="1" t="n">
        <v>11197</v>
      </c>
      <c r="N1306" s="1" t="n">
        <v>474</v>
      </c>
    </row>
    <row r="1307" customFormat="false" ht="14.25" hidden="false" customHeight="false" outlineLevel="0" collapsed="false">
      <c r="A1307" s="1" t="n">
        <v>359</v>
      </c>
      <c r="B1307" s="1" t="s">
        <v>702</v>
      </c>
      <c r="C1307" s="1" t="s">
        <v>703</v>
      </c>
      <c r="D1307" s="1" t="n">
        <v>11197</v>
      </c>
      <c r="E1307" s="1" t="s">
        <v>53</v>
      </c>
      <c r="F1307" s="201" t="n">
        <v>200025889372</v>
      </c>
      <c r="G1307" s="198" t="s">
        <v>697</v>
      </c>
      <c r="H1307" s="163" t="s">
        <v>272</v>
      </c>
      <c r="I1307" s="161" t="n">
        <v>81</v>
      </c>
      <c r="J1307" s="156" t="s">
        <v>192</v>
      </c>
      <c r="K1307" s="200" t="n">
        <v>45460.2672800926</v>
      </c>
      <c r="L1307" s="1" t="n">
        <v>49</v>
      </c>
      <c r="M1307" s="1" t="n">
        <v>11197</v>
      </c>
      <c r="N1307" s="1" t="n">
        <v>475</v>
      </c>
    </row>
    <row r="1308" customFormat="false" ht="14.25" hidden="false" customHeight="false" outlineLevel="0" collapsed="false">
      <c r="A1308" s="1" t="n">
        <v>360</v>
      </c>
      <c r="B1308" s="1" t="s">
        <v>702</v>
      </c>
      <c r="C1308" s="1" t="s">
        <v>703</v>
      </c>
      <c r="D1308" s="1" t="n">
        <v>11197</v>
      </c>
      <c r="E1308" s="1" t="s">
        <v>53</v>
      </c>
      <c r="F1308" s="201" t="n">
        <v>200025889372</v>
      </c>
      <c r="G1308" s="198" t="s">
        <v>697</v>
      </c>
      <c r="H1308" s="163" t="s">
        <v>272</v>
      </c>
      <c r="I1308" s="161" t="n">
        <v>81</v>
      </c>
      <c r="J1308" s="156" t="s">
        <v>192</v>
      </c>
      <c r="K1308" s="200" t="n">
        <v>45460.2678819444</v>
      </c>
      <c r="L1308" s="207" t="n">
        <v>147</v>
      </c>
      <c r="M1308" s="1" t="n">
        <v>11197</v>
      </c>
      <c r="N1308" s="1" t="n">
        <v>476</v>
      </c>
    </row>
    <row r="1309" customFormat="false" ht="14.25" hidden="false" customHeight="false" outlineLevel="0" collapsed="false">
      <c r="A1309" s="1" t="n">
        <v>361</v>
      </c>
      <c r="B1309" s="1" t="s">
        <v>702</v>
      </c>
      <c r="C1309" s="1" t="s">
        <v>703</v>
      </c>
      <c r="D1309" s="1" t="n">
        <v>11197</v>
      </c>
      <c r="E1309" s="1" t="s">
        <v>53</v>
      </c>
      <c r="F1309" s="201" t="n">
        <v>200025889372</v>
      </c>
      <c r="G1309" s="198" t="s">
        <v>697</v>
      </c>
      <c r="H1309" s="163" t="s">
        <v>272</v>
      </c>
      <c r="I1309" s="161" t="n">
        <v>81</v>
      </c>
      <c r="J1309" s="156" t="s">
        <v>192</v>
      </c>
      <c r="K1309" s="200" t="n">
        <v>45460.2696296296</v>
      </c>
      <c r="L1309" s="207" t="n">
        <v>216</v>
      </c>
      <c r="M1309" s="1" t="n">
        <v>11197</v>
      </c>
      <c r="N1309" s="1" t="n">
        <v>477</v>
      </c>
    </row>
    <row r="1310" customFormat="false" ht="14.25" hidden="false" customHeight="false" outlineLevel="0" collapsed="false">
      <c r="A1310" s="1" t="n">
        <v>362</v>
      </c>
      <c r="B1310" s="1" t="s">
        <v>702</v>
      </c>
      <c r="C1310" s="1" t="s">
        <v>703</v>
      </c>
      <c r="D1310" s="1" t="n">
        <v>11197</v>
      </c>
      <c r="E1310" s="1" t="s">
        <v>53</v>
      </c>
      <c r="F1310" s="201" t="n">
        <v>200025889372</v>
      </c>
      <c r="G1310" s="198" t="s">
        <v>697</v>
      </c>
      <c r="H1310" s="163" t="s">
        <v>272</v>
      </c>
      <c r="I1310" s="161" t="n">
        <v>81</v>
      </c>
      <c r="J1310" s="156" t="s">
        <v>192</v>
      </c>
      <c r="K1310" s="200" t="n">
        <v>45460.2721412037</v>
      </c>
      <c r="L1310" s="207" t="n">
        <v>293</v>
      </c>
      <c r="M1310" s="1" t="n">
        <v>11197</v>
      </c>
      <c r="N1310" s="1" t="n">
        <v>478</v>
      </c>
    </row>
    <row r="1311" customFormat="false" ht="14.25" hidden="false" customHeight="false" outlineLevel="0" collapsed="false">
      <c r="A1311" s="1" t="n">
        <v>363</v>
      </c>
      <c r="B1311" s="1" t="s">
        <v>702</v>
      </c>
      <c r="C1311" s="1" t="s">
        <v>703</v>
      </c>
      <c r="D1311" s="1" t="n">
        <v>11197</v>
      </c>
      <c r="E1311" s="1" t="s">
        <v>53</v>
      </c>
      <c r="F1311" s="201" t="n">
        <v>200025889372</v>
      </c>
      <c r="G1311" s="198" t="s">
        <v>697</v>
      </c>
      <c r="H1311" s="163" t="s">
        <v>272</v>
      </c>
      <c r="I1311" s="161" t="n">
        <v>81</v>
      </c>
      <c r="J1311" s="156" t="s">
        <v>192</v>
      </c>
      <c r="K1311" s="200" t="n">
        <v>45460.2755439815</v>
      </c>
      <c r="L1311" s="207" t="n">
        <v>201</v>
      </c>
      <c r="M1311" s="1" t="n">
        <v>11197</v>
      </c>
      <c r="N1311" s="1" t="n">
        <v>479</v>
      </c>
    </row>
    <row r="1312" customFormat="false" ht="14.25" hidden="false" customHeight="false" outlineLevel="0" collapsed="false">
      <c r="A1312" s="1" t="n">
        <v>364</v>
      </c>
      <c r="B1312" s="1" t="s">
        <v>702</v>
      </c>
      <c r="C1312" s="1" t="s">
        <v>703</v>
      </c>
      <c r="D1312" s="1" t="n">
        <v>11197</v>
      </c>
      <c r="E1312" s="1" t="s">
        <v>53</v>
      </c>
      <c r="F1312" s="201" t="n">
        <v>200025889372</v>
      </c>
      <c r="G1312" s="198" t="s">
        <v>697</v>
      </c>
      <c r="H1312" s="163" t="s">
        <v>272</v>
      </c>
      <c r="I1312" s="161" t="n">
        <v>81</v>
      </c>
      <c r="J1312" s="156" t="s">
        <v>192</v>
      </c>
      <c r="K1312" s="200" t="n">
        <v>45460.2778935185</v>
      </c>
      <c r="L1312" s="1" t="n">
        <v>6</v>
      </c>
      <c r="M1312" s="1" t="n">
        <v>11197</v>
      </c>
      <c r="N1312" s="1" t="n">
        <v>480</v>
      </c>
    </row>
    <row r="1313" customFormat="false" ht="14.25" hidden="false" customHeight="false" outlineLevel="0" collapsed="false">
      <c r="A1313" s="1" t="n">
        <v>365</v>
      </c>
      <c r="B1313" s="1" t="s">
        <v>702</v>
      </c>
      <c r="C1313" s="1" t="s">
        <v>703</v>
      </c>
      <c r="D1313" s="1" t="n">
        <v>11197</v>
      </c>
      <c r="E1313" s="1" t="s">
        <v>53</v>
      </c>
      <c r="F1313" s="201" t="n">
        <v>200025889372</v>
      </c>
      <c r="G1313" s="198" t="s">
        <v>697</v>
      </c>
      <c r="H1313" s="163" t="s">
        <v>272</v>
      </c>
      <c r="I1313" s="161" t="n">
        <v>81</v>
      </c>
      <c r="J1313" s="156" t="s">
        <v>192</v>
      </c>
      <c r="K1313" s="200" t="n">
        <v>45460.2780208333</v>
      </c>
      <c r="L1313" s="207" t="n">
        <v>371</v>
      </c>
      <c r="M1313" s="1" t="n">
        <v>11197</v>
      </c>
      <c r="N1313" s="1" t="n">
        <v>481</v>
      </c>
    </row>
    <row r="1314" customFormat="false" ht="14.25" hidden="false" customHeight="false" outlineLevel="0" collapsed="false">
      <c r="A1314" s="1" t="n">
        <v>366</v>
      </c>
      <c r="B1314" s="1" t="s">
        <v>702</v>
      </c>
      <c r="C1314" s="1" t="s">
        <v>703</v>
      </c>
      <c r="D1314" s="1" t="n">
        <v>11197</v>
      </c>
      <c r="E1314" s="1" t="s">
        <v>53</v>
      </c>
      <c r="F1314" s="201" t="n">
        <v>200025889372</v>
      </c>
      <c r="G1314" s="198" t="s">
        <v>697</v>
      </c>
      <c r="H1314" s="163" t="s">
        <v>272</v>
      </c>
      <c r="I1314" s="161" t="n">
        <v>81</v>
      </c>
      <c r="J1314" s="156" t="s">
        <v>192</v>
      </c>
      <c r="K1314" s="200" t="n">
        <v>45460.2823148148</v>
      </c>
      <c r="L1314" s="1" t="n">
        <v>48</v>
      </c>
      <c r="M1314" s="1" t="n">
        <v>11197</v>
      </c>
      <c r="N1314" s="1" t="n">
        <v>482</v>
      </c>
    </row>
    <row r="1315" customFormat="false" ht="14.25" hidden="false" customHeight="false" outlineLevel="0" collapsed="false">
      <c r="A1315" s="1" t="n">
        <v>367</v>
      </c>
      <c r="B1315" s="1" t="s">
        <v>702</v>
      </c>
      <c r="C1315" s="1" t="s">
        <v>703</v>
      </c>
      <c r="D1315" s="1" t="n">
        <v>11197</v>
      </c>
      <c r="E1315" s="1" t="s">
        <v>53</v>
      </c>
      <c r="F1315" s="201" t="n">
        <v>200025889372</v>
      </c>
      <c r="G1315" s="198" t="s">
        <v>697</v>
      </c>
      <c r="H1315" s="163" t="s">
        <v>272</v>
      </c>
      <c r="I1315" s="161" t="n">
        <v>81</v>
      </c>
      <c r="J1315" s="156" t="s">
        <v>192</v>
      </c>
      <c r="K1315" s="200" t="n">
        <v>45460.2829050926</v>
      </c>
      <c r="L1315" s="207" t="n">
        <v>80</v>
      </c>
      <c r="M1315" s="1" t="n">
        <v>11197</v>
      </c>
      <c r="N1315" s="1" t="n">
        <v>483</v>
      </c>
    </row>
    <row r="1316" customFormat="false" ht="14.25" hidden="false" customHeight="false" outlineLevel="0" collapsed="false">
      <c r="A1316" s="1" t="n">
        <v>368</v>
      </c>
      <c r="B1316" s="1" t="s">
        <v>702</v>
      </c>
      <c r="C1316" s="1" t="s">
        <v>703</v>
      </c>
      <c r="D1316" s="1" t="n">
        <v>11197</v>
      </c>
      <c r="E1316" s="1" t="s">
        <v>53</v>
      </c>
      <c r="F1316" s="201" t="n">
        <v>200025889372</v>
      </c>
      <c r="G1316" s="198" t="s">
        <v>697</v>
      </c>
      <c r="H1316" s="163" t="s">
        <v>272</v>
      </c>
      <c r="I1316" s="161" t="n">
        <v>81</v>
      </c>
      <c r="J1316" s="156" t="s">
        <v>192</v>
      </c>
      <c r="K1316" s="200" t="n">
        <v>45460.2838541667</v>
      </c>
      <c r="L1316" s="1" t="n">
        <v>2</v>
      </c>
      <c r="M1316" s="1" t="n">
        <v>11197</v>
      </c>
      <c r="N1316" s="1" t="n">
        <v>484</v>
      </c>
    </row>
    <row r="1317" customFormat="false" ht="14.25" hidden="false" customHeight="false" outlineLevel="0" collapsed="false">
      <c r="A1317" s="1" t="n">
        <v>369</v>
      </c>
      <c r="B1317" s="1" t="s">
        <v>702</v>
      </c>
      <c r="C1317" s="1" t="s">
        <v>703</v>
      </c>
      <c r="D1317" s="1" t="n">
        <v>11197</v>
      </c>
      <c r="E1317" s="1" t="s">
        <v>53</v>
      </c>
      <c r="F1317" s="201" t="n">
        <v>200025889372</v>
      </c>
      <c r="G1317" s="198" t="s">
        <v>697</v>
      </c>
      <c r="H1317" s="163" t="s">
        <v>272</v>
      </c>
      <c r="I1317" s="161" t="n">
        <v>81</v>
      </c>
      <c r="J1317" s="156" t="s">
        <v>192</v>
      </c>
      <c r="K1317" s="200" t="n">
        <v>45460.283900463</v>
      </c>
      <c r="L1317" s="207" t="n">
        <v>159</v>
      </c>
      <c r="M1317" s="1" t="n">
        <v>11197</v>
      </c>
      <c r="N1317" s="1" t="n">
        <v>485</v>
      </c>
    </row>
    <row r="1318" customFormat="false" ht="14.25" hidden="false" customHeight="false" outlineLevel="0" collapsed="false">
      <c r="A1318" s="1" t="n">
        <v>370</v>
      </c>
      <c r="B1318" s="1" t="s">
        <v>702</v>
      </c>
      <c r="C1318" s="1" t="s">
        <v>703</v>
      </c>
      <c r="D1318" s="1" t="n">
        <v>11197</v>
      </c>
      <c r="E1318" s="1" t="s">
        <v>53</v>
      </c>
      <c r="F1318" s="201" t="n">
        <v>200025889372</v>
      </c>
      <c r="G1318" s="198" t="s">
        <v>697</v>
      </c>
      <c r="H1318" s="163" t="s">
        <v>272</v>
      </c>
      <c r="I1318" s="161" t="n">
        <v>81</v>
      </c>
      <c r="J1318" s="156" t="s">
        <v>192</v>
      </c>
      <c r="K1318" s="200" t="n">
        <v>45460.285775463</v>
      </c>
      <c r="L1318" s="207" t="n">
        <v>144</v>
      </c>
      <c r="M1318" s="1" t="n">
        <v>11197</v>
      </c>
      <c r="N1318" s="1" t="n">
        <v>486</v>
      </c>
    </row>
    <row r="1319" customFormat="false" ht="14.25" hidden="false" customHeight="false" outlineLevel="0" collapsed="false">
      <c r="A1319" s="1" t="n">
        <v>371</v>
      </c>
      <c r="B1319" s="1" t="s">
        <v>702</v>
      </c>
      <c r="C1319" s="1" t="s">
        <v>703</v>
      </c>
      <c r="D1319" s="1" t="n">
        <v>11197</v>
      </c>
      <c r="E1319" s="1" t="s">
        <v>53</v>
      </c>
      <c r="F1319" s="201" t="n">
        <v>200025889372</v>
      </c>
      <c r="G1319" s="198" t="s">
        <v>697</v>
      </c>
      <c r="H1319" s="163" t="s">
        <v>272</v>
      </c>
      <c r="I1319" s="161" t="n">
        <v>81</v>
      </c>
      <c r="J1319" s="156" t="s">
        <v>192</v>
      </c>
      <c r="K1319" s="200" t="n">
        <v>45460.2874652778</v>
      </c>
      <c r="L1319" s="1" t="n">
        <v>4</v>
      </c>
      <c r="M1319" s="1" t="n">
        <v>11197</v>
      </c>
      <c r="N1319" s="1" t="n">
        <v>487</v>
      </c>
    </row>
    <row r="1320" customFormat="false" ht="14.25" hidden="false" customHeight="false" outlineLevel="0" collapsed="false">
      <c r="A1320" s="1" t="n">
        <v>372</v>
      </c>
      <c r="B1320" s="1" t="s">
        <v>702</v>
      </c>
      <c r="C1320" s="1" t="s">
        <v>703</v>
      </c>
      <c r="D1320" s="1" t="n">
        <v>11197</v>
      </c>
      <c r="E1320" s="1" t="s">
        <v>53</v>
      </c>
      <c r="F1320" s="201" t="n">
        <v>200025889372</v>
      </c>
      <c r="G1320" s="198" t="s">
        <v>697</v>
      </c>
      <c r="H1320" s="163" t="s">
        <v>272</v>
      </c>
      <c r="I1320" s="161" t="n">
        <v>81</v>
      </c>
      <c r="J1320" s="156" t="s">
        <v>192</v>
      </c>
      <c r="K1320" s="200" t="n">
        <v>45460.2875231481</v>
      </c>
      <c r="L1320" s="1" t="n">
        <v>10</v>
      </c>
      <c r="M1320" s="1" t="n">
        <v>11197</v>
      </c>
      <c r="N1320" s="1" t="n">
        <v>488</v>
      </c>
    </row>
    <row r="1321" customFormat="false" ht="14.25" hidden="false" customHeight="false" outlineLevel="0" collapsed="false">
      <c r="A1321" s="1" t="n">
        <v>18</v>
      </c>
      <c r="B1321" s="1" t="s">
        <v>624</v>
      </c>
      <c r="C1321" s="1" t="s">
        <v>625</v>
      </c>
      <c r="D1321" s="1" t="n">
        <v>21261</v>
      </c>
      <c r="E1321" s="1" t="s">
        <v>57</v>
      </c>
      <c r="F1321" s="201" t="n">
        <v>200025889333</v>
      </c>
      <c r="G1321" s="198" t="s">
        <v>652</v>
      </c>
      <c r="H1321" s="163" t="s">
        <v>445</v>
      </c>
      <c r="I1321" s="161" t="n">
        <v>50</v>
      </c>
      <c r="J1321" s="156" t="s">
        <v>192</v>
      </c>
      <c r="K1321" s="200" t="n">
        <v>45433.5341782407</v>
      </c>
      <c r="L1321" s="1" t="n">
        <v>2</v>
      </c>
      <c r="M1321" s="1" t="n">
        <v>21261</v>
      </c>
      <c r="N1321" s="1" t="n">
        <v>1</v>
      </c>
    </row>
    <row r="1322" customFormat="false" ht="14.25" hidden="false" customHeight="false" outlineLevel="0" collapsed="false">
      <c r="A1322" s="1" t="n">
        <v>19</v>
      </c>
      <c r="B1322" s="1" t="s">
        <v>624</v>
      </c>
      <c r="C1322" s="1" t="s">
        <v>625</v>
      </c>
      <c r="D1322" s="1" t="n">
        <v>21261</v>
      </c>
      <c r="E1322" s="1" t="s">
        <v>57</v>
      </c>
      <c r="F1322" s="201" t="n">
        <v>200025889333</v>
      </c>
      <c r="G1322" s="198" t="s">
        <v>652</v>
      </c>
      <c r="H1322" s="163" t="s">
        <v>445</v>
      </c>
      <c r="I1322" s="161" t="n">
        <v>50</v>
      </c>
      <c r="J1322" s="156" t="s">
        <v>192</v>
      </c>
      <c r="K1322" s="200" t="n">
        <v>45433.6460300926</v>
      </c>
      <c r="L1322" s="1" t="n">
        <v>1</v>
      </c>
      <c r="M1322" s="1" t="n">
        <v>21261</v>
      </c>
      <c r="N1322" s="1" t="n">
        <v>2</v>
      </c>
    </row>
    <row r="1323" customFormat="false" ht="14.25" hidden="false" customHeight="false" outlineLevel="0" collapsed="false">
      <c r="A1323" s="1" t="n">
        <v>20</v>
      </c>
      <c r="B1323" s="1" t="s">
        <v>624</v>
      </c>
      <c r="C1323" s="1" t="s">
        <v>625</v>
      </c>
      <c r="D1323" s="1" t="n">
        <v>21261</v>
      </c>
      <c r="E1323" s="1" t="s">
        <v>57</v>
      </c>
      <c r="F1323" s="201" t="n">
        <v>200025889333</v>
      </c>
      <c r="G1323" s="198" t="s">
        <v>652</v>
      </c>
      <c r="H1323" s="163" t="s">
        <v>445</v>
      </c>
      <c r="I1323" s="161" t="n">
        <v>50</v>
      </c>
      <c r="J1323" s="156" t="s">
        <v>192</v>
      </c>
      <c r="K1323" s="200" t="n">
        <v>45433.6780671296</v>
      </c>
      <c r="L1323" s="1" t="n">
        <v>1</v>
      </c>
      <c r="M1323" s="1" t="n">
        <v>21261</v>
      </c>
      <c r="N1323" s="1" t="n">
        <v>3</v>
      </c>
    </row>
    <row r="1324" customFormat="false" ht="14.25" hidden="false" customHeight="false" outlineLevel="0" collapsed="false">
      <c r="A1324" s="1" t="n">
        <v>21</v>
      </c>
      <c r="B1324" s="1" t="s">
        <v>624</v>
      </c>
      <c r="C1324" s="1" t="s">
        <v>625</v>
      </c>
      <c r="D1324" s="1" t="n">
        <v>21261</v>
      </c>
      <c r="E1324" s="1" t="s">
        <v>57</v>
      </c>
      <c r="F1324" s="201" t="n">
        <v>200025888479</v>
      </c>
      <c r="G1324" s="198" t="s">
        <v>640</v>
      </c>
      <c r="H1324" s="163" t="s">
        <v>254</v>
      </c>
      <c r="I1324" s="161" t="n">
        <v>9</v>
      </c>
      <c r="J1324" s="156" t="s">
        <v>192</v>
      </c>
      <c r="K1324" s="200" t="n">
        <v>45433.7053587963</v>
      </c>
      <c r="L1324" s="10" t="n">
        <v>2083</v>
      </c>
      <c r="M1324" s="1" t="n">
        <v>21261</v>
      </c>
      <c r="N1324" s="1" t="n">
        <v>4</v>
      </c>
    </row>
    <row r="1325" customFormat="false" ht="14.25" hidden="false" customHeight="false" outlineLevel="0" collapsed="false">
      <c r="A1325" s="1" t="n">
        <v>22</v>
      </c>
      <c r="B1325" s="1" t="s">
        <v>624</v>
      </c>
      <c r="C1325" s="1" t="s">
        <v>625</v>
      </c>
      <c r="D1325" s="1" t="n">
        <v>21261</v>
      </c>
      <c r="E1325" s="1" t="s">
        <v>57</v>
      </c>
      <c r="F1325" s="201" t="n">
        <v>200025888864</v>
      </c>
      <c r="G1325" s="198" t="s">
        <v>590</v>
      </c>
      <c r="H1325" s="163" t="s">
        <v>474</v>
      </c>
      <c r="I1325" s="161" t="n">
        <v>87</v>
      </c>
      <c r="J1325" s="156" t="s">
        <v>192</v>
      </c>
      <c r="K1325" s="200" t="n">
        <v>45433.7299074074</v>
      </c>
      <c r="L1325" s="1" t="n">
        <v>28</v>
      </c>
      <c r="M1325" s="1" t="n">
        <v>21261</v>
      </c>
      <c r="N1325" s="1" t="n">
        <v>5</v>
      </c>
    </row>
    <row r="1326" customFormat="false" ht="14.25" hidden="false" customHeight="false" outlineLevel="0" collapsed="false">
      <c r="A1326" s="1" t="n">
        <v>23</v>
      </c>
      <c r="B1326" s="1" t="s">
        <v>624</v>
      </c>
      <c r="C1326" s="1" t="s">
        <v>625</v>
      </c>
      <c r="D1326" s="1" t="n">
        <v>21261</v>
      </c>
      <c r="E1326" s="1" t="s">
        <v>57</v>
      </c>
      <c r="F1326" s="201" t="n">
        <v>200025888864</v>
      </c>
      <c r="G1326" s="198" t="s">
        <v>590</v>
      </c>
      <c r="H1326" s="163" t="s">
        <v>474</v>
      </c>
      <c r="I1326" s="161" t="n">
        <v>87</v>
      </c>
      <c r="J1326" s="156" t="s">
        <v>192</v>
      </c>
      <c r="K1326" s="200" t="n">
        <v>45433.7303935185</v>
      </c>
      <c r="L1326" s="1" t="n">
        <v>0</v>
      </c>
      <c r="M1326" s="1" t="n">
        <v>21261</v>
      </c>
      <c r="N1326" s="1" t="n">
        <v>6</v>
      </c>
    </row>
    <row r="1327" customFormat="false" ht="14.25" hidden="false" customHeight="false" outlineLevel="0" collapsed="false">
      <c r="A1327" s="1" t="n">
        <v>24</v>
      </c>
      <c r="B1327" s="1" t="s">
        <v>624</v>
      </c>
      <c r="C1327" s="1" t="s">
        <v>625</v>
      </c>
      <c r="D1327" s="1" t="n">
        <v>21261</v>
      </c>
      <c r="E1327" s="1" t="s">
        <v>57</v>
      </c>
      <c r="F1327" s="201" t="n">
        <v>200025888864</v>
      </c>
      <c r="G1327" s="198" t="s">
        <v>590</v>
      </c>
      <c r="H1327" s="163" t="s">
        <v>474</v>
      </c>
      <c r="I1327" s="161" t="n">
        <v>87</v>
      </c>
      <c r="J1327" s="156" t="s">
        <v>192</v>
      </c>
      <c r="K1327" s="200" t="n">
        <v>45433.7304861111</v>
      </c>
      <c r="L1327" s="1" t="n">
        <v>1</v>
      </c>
      <c r="M1327" s="1" t="n">
        <v>21261</v>
      </c>
      <c r="N1327" s="1" t="n">
        <v>7</v>
      </c>
    </row>
    <row r="1328" customFormat="false" ht="14.25" hidden="false" customHeight="false" outlineLevel="0" collapsed="false">
      <c r="A1328" s="1" t="n">
        <v>25</v>
      </c>
      <c r="B1328" s="1" t="s">
        <v>624</v>
      </c>
      <c r="C1328" s="1" t="s">
        <v>625</v>
      </c>
      <c r="D1328" s="1" t="n">
        <v>21261</v>
      </c>
      <c r="E1328" s="1" t="s">
        <v>57</v>
      </c>
      <c r="F1328" s="201" t="n">
        <v>200025889394</v>
      </c>
      <c r="G1328" s="198" t="s">
        <v>662</v>
      </c>
      <c r="H1328" s="163" t="s">
        <v>543</v>
      </c>
      <c r="I1328" s="161" t="n">
        <v>120</v>
      </c>
      <c r="J1328" s="156" t="s">
        <v>192</v>
      </c>
      <c r="K1328" s="200" t="n">
        <v>45433.7520486111</v>
      </c>
      <c r="L1328" s="1" t="n">
        <v>1</v>
      </c>
      <c r="M1328" s="1" t="n">
        <v>21261</v>
      </c>
      <c r="N1328" s="1" t="n">
        <v>8</v>
      </c>
    </row>
    <row r="1329" customFormat="false" ht="14.25" hidden="false" customHeight="false" outlineLevel="0" collapsed="false">
      <c r="A1329" s="1" t="n">
        <v>26</v>
      </c>
      <c r="B1329" s="1" t="s">
        <v>624</v>
      </c>
      <c r="C1329" s="1" t="s">
        <v>625</v>
      </c>
      <c r="D1329" s="1" t="n">
        <v>21261</v>
      </c>
      <c r="E1329" s="1" t="s">
        <v>57</v>
      </c>
      <c r="F1329" s="201" t="n">
        <v>200025889394</v>
      </c>
      <c r="G1329" s="198" t="s">
        <v>662</v>
      </c>
      <c r="H1329" s="163" t="s">
        <v>543</v>
      </c>
      <c r="I1329" s="161" t="n">
        <v>120</v>
      </c>
      <c r="J1329" s="156" t="s">
        <v>192</v>
      </c>
      <c r="K1329" s="200" t="n">
        <v>45433.7520717593</v>
      </c>
      <c r="L1329" s="1" t="n">
        <v>0</v>
      </c>
      <c r="M1329" s="1" t="n">
        <v>21261</v>
      </c>
      <c r="N1329" s="1" t="n">
        <v>9</v>
      </c>
    </row>
    <row r="1330" customFormat="false" ht="14.25" hidden="false" customHeight="false" outlineLevel="0" collapsed="false">
      <c r="A1330" s="1" t="n">
        <v>27</v>
      </c>
      <c r="B1330" s="1" t="s">
        <v>624</v>
      </c>
      <c r="C1330" s="1" t="s">
        <v>625</v>
      </c>
      <c r="D1330" s="1" t="n">
        <v>21261</v>
      </c>
      <c r="E1330" s="1" t="s">
        <v>57</v>
      </c>
      <c r="F1330" s="201" t="n">
        <v>200025889394</v>
      </c>
      <c r="G1330" s="198" t="s">
        <v>662</v>
      </c>
      <c r="H1330" s="163" t="s">
        <v>543</v>
      </c>
      <c r="I1330" s="161" t="n">
        <v>120</v>
      </c>
      <c r="J1330" s="156" t="s">
        <v>192</v>
      </c>
      <c r="K1330" s="200" t="n">
        <v>45433.7545833333</v>
      </c>
      <c r="L1330" s="1" t="n">
        <v>2</v>
      </c>
      <c r="M1330" s="1" t="n">
        <v>21261</v>
      </c>
      <c r="N1330" s="1" t="n">
        <v>10</v>
      </c>
    </row>
    <row r="1331" customFormat="false" ht="14.25" hidden="false" customHeight="false" outlineLevel="0" collapsed="false">
      <c r="A1331" s="1" t="n">
        <v>28</v>
      </c>
      <c r="B1331" s="1" t="s">
        <v>624</v>
      </c>
      <c r="C1331" s="1" t="s">
        <v>625</v>
      </c>
      <c r="D1331" s="1" t="n">
        <v>21261</v>
      </c>
      <c r="E1331" s="1" t="s">
        <v>57</v>
      </c>
      <c r="F1331" s="201" t="n">
        <v>200025889394</v>
      </c>
      <c r="G1331" s="198" t="s">
        <v>662</v>
      </c>
      <c r="H1331" s="163" t="s">
        <v>543</v>
      </c>
      <c r="I1331" s="161" t="n">
        <v>120</v>
      </c>
      <c r="J1331" s="156" t="s">
        <v>192</v>
      </c>
      <c r="K1331" s="200" t="n">
        <v>45433.7548726852</v>
      </c>
      <c r="L1331" s="1" t="n">
        <v>0</v>
      </c>
      <c r="M1331" s="1" t="n">
        <v>21261</v>
      </c>
      <c r="N1331" s="1" t="n">
        <v>11</v>
      </c>
    </row>
    <row r="1332" customFormat="false" ht="14.25" hidden="false" customHeight="false" outlineLevel="0" collapsed="false">
      <c r="A1332" s="1" t="n">
        <v>29</v>
      </c>
      <c r="B1332" s="1" t="s">
        <v>624</v>
      </c>
      <c r="C1332" s="1" t="s">
        <v>625</v>
      </c>
      <c r="D1332" s="1" t="n">
        <v>21261</v>
      </c>
      <c r="E1332" s="1" t="s">
        <v>57</v>
      </c>
      <c r="F1332" s="201" t="n">
        <v>200025889394</v>
      </c>
      <c r="G1332" s="198" t="s">
        <v>662</v>
      </c>
      <c r="H1332" s="163" t="s">
        <v>543</v>
      </c>
      <c r="I1332" s="161" t="n">
        <v>120</v>
      </c>
      <c r="J1332" s="156" t="s">
        <v>192</v>
      </c>
      <c r="K1332" s="200" t="n">
        <v>45433.7557291667</v>
      </c>
      <c r="L1332" s="1" t="n">
        <v>1</v>
      </c>
      <c r="M1332" s="1" t="n">
        <v>21261</v>
      </c>
      <c r="N1332" s="1" t="n">
        <v>12</v>
      </c>
    </row>
    <row r="1333" customFormat="false" ht="14.25" hidden="false" customHeight="false" outlineLevel="0" collapsed="false">
      <c r="A1333" s="1" t="n">
        <v>30</v>
      </c>
      <c r="B1333" s="1" t="s">
        <v>624</v>
      </c>
      <c r="C1333" s="1" t="s">
        <v>625</v>
      </c>
      <c r="D1333" s="1" t="n">
        <v>21261</v>
      </c>
      <c r="E1333" s="1" t="s">
        <v>57</v>
      </c>
      <c r="F1333" s="201" t="n">
        <v>200025889394</v>
      </c>
      <c r="G1333" s="198" t="s">
        <v>662</v>
      </c>
      <c r="H1333" s="163" t="s">
        <v>543</v>
      </c>
      <c r="I1333" s="161" t="n">
        <v>120</v>
      </c>
      <c r="J1333" s="156" t="s">
        <v>192</v>
      </c>
      <c r="K1333" s="200" t="n">
        <v>45433.7557523148</v>
      </c>
      <c r="L1333" s="1" t="n">
        <v>2</v>
      </c>
      <c r="M1333" s="1" t="n">
        <v>21261</v>
      </c>
      <c r="N1333" s="1" t="n">
        <v>13</v>
      </c>
    </row>
    <row r="1334" customFormat="false" ht="14.25" hidden="false" customHeight="false" outlineLevel="0" collapsed="false">
      <c r="A1334" s="1" t="n">
        <v>31</v>
      </c>
      <c r="B1334" s="1" t="s">
        <v>624</v>
      </c>
      <c r="C1334" s="1" t="s">
        <v>625</v>
      </c>
      <c r="D1334" s="1" t="n">
        <v>21261</v>
      </c>
      <c r="E1334" s="1" t="s">
        <v>57</v>
      </c>
      <c r="F1334" s="201" t="n">
        <v>200025889333</v>
      </c>
      <c r="G1334" s="198" t="s">
        <v>652</v>
      </c>
      <c r="H1334" s="163" t="s">
        <v>445</v>
      </c>
      <c r="I1334" s="161" t="n">
        <v>50</v>
      </c>
      <c r="J1334" s="156" t="s">
        <v>192</v>
      </c>
      <c r="K1334" s="200" t="n">
        <v>45433.7660300926</v>
      </c>
      <c r="L1334" s="1" t="n">
        <v>1</v>
      </c>
      <c r="M1334" s="1" t="n">
        <v>21261</v>
      </c>
      <c r="N1334" s="1" t="n">
        <v>14</v>
      </c>
    </row>
    <row r="1335" customFormat="false" ht="14.25" hidden="false" customHeight="false" outlineLevel="0" collapsed="false">
      <c r="A1335" s="1" t="n">
        <v>32</v>
      </c>
      <c r="B1335" s="1" t="s">
        <v>624</v>
      </c>
      <c r="C1335" s="1" t="s">
        <v>625</v>
      </c>
      <c r="D1335" s="1" t="n">
        <v>21261</v>
      </c>
      <c r="E1335" s="1" t="s">
        <v>57</v>
      </c>
      <c r="F1335" s="201" t="n">
        <v>200025889333</v>
      </c>
      <c r="G1335" s="198" t="s">
        <v>652</v>
      </c>
      <c r="H1335" s="163" t="s">
        <v>445</v>
      </c>
      <c r="I1335" s="161" t="n">
        <v>50</v>
      </c>
      <c r="J1335" s="156" t="s">
        <v>192</v>
      </c>
      <c r="K1335" s="200" t="n">
        <v>45433.8191203704</v>
      </c>
      <c r="L1335" s="1" t="n">
        <v>1</v>
      </c>
      <c r="M1335" s="1" t="n">
        <v>21261</v>
      </c>
      <c r="N1335" s="1" t="n">
        <v>15</v>
      </c>
    </row>
    <row r="1336" customFormat="false" ht="14.25" hidden="false" customHeight="false" outlineLevel="0" collapsed="false">
      <c r="A1336" s="1" t="n">
        <v>33</v>
      </c>
      <c r="B1336" s="1" t="s">
        <v>624</v>
      </c>
      <c r="C1336" s="1" t="s">
        <v>625</v>
      </c>
      <c r="D1336" s="1" t="n">
        <v>21261</v>
      </c>
      <c r="E1336" s="1" t="s">
        <v>57</v>
      </c>
      <c r="F1336" s="201" t="n">
        <v>200025889333</v>
      </c>
      <c r="G1336" s="198" t="s">
        <v>652</v>
      </c>
      <c r="H1336" s="163" t="s">
        <v>445</v>
      </c>
      <c r="I1336" s="161" t="n">
        <v>50</v>
      </c>
      <c r="J1336" s="156" t="s">
        <v>192</v>
      </c>
      <c r="K1336" s="200" t="n">
        <v>45433.819224537</v>
      </c>
      <c r="L1336" s="1" t="n">
        <v>0</v>
      </c>
      <c r="M1336" s="1" t="n">
        <v>21261</v>
      </c>
      <c r="N1336" s="1" t="n">
        <v>16</v>
      </c>
    </row>
    <row r="1337" customFormat="false" ht="14.25" hidden="false" customHeight="false" outlineLevel="0" collapsed="false">
      <c r="A1337" s="1" t="n">
        <v>34</v>
      </c>
      <c r="B1337" s="1" t="s">
        <v>624</v>
      </c>
      <c r="C1337" s="1" t="s">
        <v>625</v>
      </c>
      <c r="D1337" s="1" t="n">
        <v>21261</v>
      </c>
      <c r="E1337" s="1" t="s">
        <v>57</v>
      </c>
      <c r="F1337" s="201" t="n">
        <v>200025889333</v>
      </c>
      <c r="G1337" s="198" t="s">
        <v>652</v>
      </c>
      <c r="H1337" s="163" t="s">
        <v>445</v>
      </c>
      <c r="I1337" s="161" t="n">
        <v>50</v>
      </c>
      <c r="J1337" s="156" t="s">
        <v>192</v>
      </c>
      <c r="K1337" s="200" t="n">
        <v>45433.8193634259</v>
      </c>
      <c r="L1337" s="1" t="n">
        <v>1</v>
      </c>
      <c r="M1337" s="1" t="n">
        <v>21261</v>
      </c>
      <c r="N1337" s="1" t="n">
        <v>17</v>
      </c>
    </row>
    <row r="1338" customFormat="false" ht="14.25" hidden="false" customHeight="false" outlineLevel="0" collapsed="false">
      <c r="A1338" s="1" t="n">
        <v>35</v>
      </c>
      <c r="B1338" s="1" t="s">
        <v>624</v>
      </c>
      <c r="C1338" s="1" t="s">
        <v>625</v>
      </c>
      <c r="D1338" s="1" t="n">
        <v>21261</v>
      </c>
      <c r="E1338" s="1" t="s">
        <v>57</v>
      </c>
      <c r="F1338" s="201" t="n">
        <v>200025889333</v>
      </c>
      <c r="G1338" s="198" t="s">
        <v>652</v>
      </c>
      <c r="H1338" s="163" t="s">
        <v>445</v>
      </c>
      <c r="I1338" s="161" t="n">
        <v>50</v>
      </c>
      <c r="J1338" s="156" t="s">
        <v>192</v>
      </c>
      <c r="K1338" s="200" t="n">
        <v>45433.8199189815</v>
      </c>
      <c r="L1338" s="1" t="n">
        <v>1</v>
      </c>
      <c r="M1338" s="1" t="n">
        <v>21261</v>
      </c>
      <c r="N1338" s="1" t="n">
        <v>18</v>
      </c>
    </row>
    <row r="1339" customFormat="false" ht="14.25" hidden="false" customHeight="false" outlineLevel="0" collapsed="false">
      <c r="A1339" s="1" t="n">
        <v>36</v>
      </c>
      <c r="B1339" s="1" t="s">
        <v>624</v>
      </c>
      <c r="C1339" s="1" t="s">
        <v>625</v>
      </c>
      <c r="D1339" s="1" t="n">
        <v>21261</v>
      </c>
      <c r="E1339" s="1" t="s">
        <v>57</v>
      </c>
      <c r="F1339" s="201" t="n">
        <v>200025889333</v>
      </c>
      <c r="G1339" s="198" t="s">
        <v>652</v>
      </c>
      <c r="H1339" s="163" t="s">
        <v>445</v>
      </c>
      <c r="I1339" s="161" t="n">
        <v>50</v>
      </c>
      <c r="J1339" s="156" t="s">
        <v>192</v>
      </c>
      <c r="K1339" s="200" t="n">
        <v>45433.8201273148</v>
      </c>
      <c r="L1339" s="1" t="n">
        <v>1</v>
      </c>
      <c r="M1339" s="1" t="n">
        <v>21261</v>
      </c>
      <c r="N1339" s="1" t="n">
        <v>19</v>
      </c>
    </row>
    <row r="1340" customFormat="false" ht="14.25" hidden="false" customHeight="false" outlineLevel="0" collapsed="false">
      <c r="A1340" s="1" t="n">
        <v>37</v>
      </c>
      <c r="B1340" s="1" t="s">
        <v>624</v>
      </c>
      <c r="C1340" s="1" t="s">
        <v>625</v>
      </c>
      <c r="D1340" s="1" t="n">
        <v>21261</v>
      </c>
      <c r="E1340" s="1" t="s">
        <v>57</v>
      </c>
      <c r="F1340" s="201" t="n">
        <v>200025889333</v>
      </c>
      <c r="G1340" s="198" t="s">
        <v>652</v>
      </c>
      <c r="H1340" s="163" t="s">
        <v>445</v>
      </c>
      <c r="I1340" s="161" t="n">
        <v>50</v>
      </c>
      <c r="J1340" s="156" t="s">
        <v>192</v>
      </c>
      <c r="K1340" s="200" t="n">
        <v>45433.8203472222</v>
      </c>
      <c r="L1340" s="1" t="n">
        <v>0</v>
      </c>
      <c r="M1340" s="1" t="n">
        <v>21261</v>
      </c>
      <c r="N1340" s="1" t="n">
        <v>20</v>
      </c>
    </row>
    <row r="1341" customFormat="false" ht="14.25" hidden="false" customHeight="false" outlineLevel="0" collapsed="false">
      <c r="A1341" s="1" t="n">
        <v>38</v>
      </c>
      <c r="B1341" s="1" t="s">
        <v>624</v>
      </c>
      <c r="C1341" s="1" t="s">
        <v>625</v>
      </c>
      <c r="D1341" s="1" t="n">
        <v>21261</v>
      </c>
      <c r="E1341" s="1" t="s">
        <v>57</v>
      </c>
      <c r="F1341" s="201" t="n">
        <v>200025889333</v>
      </c>
      <c r="G1341" s="198" t="s">
        <v>652</v>
      </c>
      <c r="H1341" s="163" t="s">
        <v>445</v>
      </c>
      <c r="I1341" s="161" t="n">
        <v>50</v>
      </c>
      <c r="J1341" s="156" t="s">
        <v>192</v>
      </c>
      <c r="K1341" s="200" t="n">
        <v>45433.8214583333</v>
      </c>
      <c r="L1341" s="1" t="n">
        <v>0</v>
      </c>
      <c r="M1341" s="1" t="n">
        <v>21261</v>
      </c>
      <c r="N1341" s="1" t="n">
        <v>21</v>
      </c>
    </row>
    <row r="1342" customFormat="false" ht="14.25" hidden="false" customHeight="false" outlineLevel="0" collapsed="false">
      <c r="A1342" s="1" t="n">
        <v>39</v>
      </c>
      <c r="B1342" s="1" t="s">
        <v>624</v>
      </c>
      <c r="C1342" s="1" t="s">
        <v>625</v>
      </c>
      <c r="D1342" s="1" t="n">
        <v>21261</v>
      </c>
      <c r="E1342" s="1" t="s">
        <v>57</v>
      </c>
      <c r="F1342" s="201" t="n">
        <v>200025889333</v>
      </c>
      <c r="G1342" s="198" t="s">
        <v>652</v>
      </c>
      <c r="H1342" s="163" t="s">
        <v>445</v>
      </c>
      <c r="I1342" s="161" t="n">
        <v>50</v>
      </c>
      <c r="J1342" s="156" t="s">
        <v>192</v>
      </c>
      <c r="K1342" s="200" t="n">
        <v>45433.8219444445</v>
      </c>
      <c r="L1342" s="1" t="n">
        <v>0</v>
      </c>
      <c r="M1342" s="1" t="n">
        <v>21261</v>
      </c>
      <c r="N1342" s="1" t="n">
        <v>22</v>
      </c>
    </row>
    <row r="1343" customFormat="false" ht="14.25" hidden="false" customHeight="false" outlineLevel="0" collapsed="false">
      <c r="A1343" s="1" t="n">
        <v>40</v>
      </c>
      <c r="B1343" s="1" t="s">
        <v>624</v>
      </c>
      <c r="C1343" s="1" t="s">
        <v>625</v>
      </c>
      <c r="D1343" s="1" t="n">
        <v>21261</v>
      </c>
      <c r="E1343" s="1" t="s">
        <v>57</v>
      </c>
      <c r="F1343" s="201" t="n">
        <v>200025889333</v>
      </c>
      <c r="G1343" s="198" t="s">
        <v>652</v>
      </c>
      <c r="H1343" s="163" t="s">
        <v>445</v>
      </c>
      <c r="I1343" s="161" t="n">
        <v>50</v>
      </c>
      <c r="J1343" s="156" t="s">
        <v>192</v>
      </c>
      <c r="K1343" s="200" t="n">
        <v>45433.8222222222</v>
      </c>
      <c r="L1343" s="1" t="n">
        <v>2</v>
      </c>
      <c r="M1343" s="1" t="n">
        <v>21261</v>
      </c>
      <c r="N1343" s="1" t="n">
        <v>23</v>
      </c>
    </row>
    <row r="1344" customFormat="false" ht="14.25" hidden="false" customHeight="false" outlineLevel="0" collapsed="false">
      <c r="A1344" s="1" t="n">
        <v>41</v>
      </c>
      <c r="B1344" s="1" t="s">
        <v>624</v>
      </c>
      <c r="C1344" s="1" t="s">
        <v>625</v>
      </c>
      <c r="D1344" s="1" t="n">
        <v>21261</v>
      </c>
      <c r="E1344" s="1" t="s">
        <v>57</v>
      </c>
      <c r="F1344" s="201" t="n">
        <v>200025889333</v>
      </c>
      <c r="G1344" s="198" t="s">
        <v>652</v>
      </c>
      <c r="H1344" s="163" t="s">
        <v>445</v>
      </c>
      <c r="I1344" s="161" t="n">
        <v>50</v>
      </c>
      <c r="J1344" s="156" t="s">
        <v>192</v>
      </c>
      <c r="K1344" s="200" t="n">
        <v>45433.8726388889</v>
      </c>
      <c r="L1344" s="1" t="n">
        <v>1</v>
      </c>
      <c r="M1344" s="1" t="n">
        <v>21261</v>
      </c>
      <c r="N1344" s="1" t="n">
        <v>24</v>
      </c>
    </row>
    <row r="1345" customFormat="false" ht="14.25" hidden="false" customHeight="false" outlineLevel="0" collapsed="false">
      <c r="A1345" s="1" t="n">
        <v>42</v>
      </c>
      <c r="B1345" s="1" t="s">
        <v>624</v>
      </c>
      <c r="C1345" s="1" t="s">
        <v>625</v>
      </c>
      <c r="D1345" s="1" t="n">
        <v>21261</v>
      </c>
      <c r="E1345" s="1" t="s">
        <v>57</v>
      </c>
      <c r="F1345" s="201" t="n">
        <v>200025889333</v>
      </c>
      <c r="G1345" s="198" t="s">
        <v>652</v>
      </c>
      <c r="H1345" s="163" t="s">
        <v>445</v>
      </c>
      <c r="I1345" s="161" t="n">
        <v>50</v>
      </c>
      <c r="J1345" s="156" t="s">
        <v>192</v>
      </c>
      <c r="K1345" s="200" t="n">
        <v>45433.9523032407</v>
      </c>
      <c r="L1345" s="1" t="n">
        <v>1</v>
      </c>
      <c r="M1345" s="1" t="n">
        <v>21261</v>
      </c>
      <c r="N1345" s="1" t="n">
        <v>25</v>
      </c>
    </row>
    <row r="1346" customFormat="false" ht="14.25" hidden="false" customHeight="false" outlineLevel="0" collapsed="false">
      <c r="A1346" s="1" t="n">
        <v>43</v>
      </c>
      <c r="B1346" s="1" t="s">
        <v>624</v>
      </c>
      <c r="C1346" s="1" t="s">
        <v>625</v>
      </c>
      <c r="D1346" s="1" t="n">
        <v>21261</v>
      </c>
      <c r="E1346" s="1" t="s">
        <v>57</v>
      </c>
      <c r="F1346" s="201" t="n">
        <v>200025889333</v>
      </c>
      <c r="G1346" s="198" t="s">
        <v>652</v>
      </c>
      <c r="H1346" s="163" t="s">
        <v>445</v>
      </c>
      <c r="I1346" s="161" t="n">
        <v>50</v>
      </c>
      <c r="J1346" s="156" t="s">
        <v>192</v>
      </c>
      <c r="K1346" s="200" t="n">
        <v>45433.9548263889</v>
      </c>
      <c r="L1346" s="1" t="n">
        <v>0</v>
      </c>
      <c r="M1346" s="1" t="n">
        <v>21261</v>
      </c>
      <c r="N1346" s="1" t="n">
        <v>26</v>
      </c>
    </row>
    <row r="1347" customFormat="false" ht="14.25" hidden="false" customHeight="false" outlineLevel="0" collapsed="false">
      <c r="A1347" s="1" t="n">
        <v>44</v>
      </c>
      <c r="B1347" s="1" t="s">
        <v>624</v>
      </c>
      <c r="C1347" s="1" t="s">
        <v>625</v>
      </c>
      <c r="D1347" s="1" t="n">
        <v>21261</v>
      </c>
      <c r="E1347" s="1" t="s">
        <v>57</v>
      </c>
      <c r="F1347" s="201" t="n">
        <v>200025889333</v>
      </c>
      <c r="G1347" s="198" t="s">
        <v>652</v>
      </c>
      <c r="H1347" s="163" t="s">
        <v>445</v>
      </c>
      <c r="I1347" s="161" t="n">
        <v>50</v>
      </c>
      <c r="J1347" s="156" t="s">
        <v>192</v>
      </c>
      <c r="K1347" s="200" t="n">
        <v>45433.955787037</v>
      </c>
      <c r="L1347" s="1" t="n">
        <v>0</v>
      </c>
      <c r="M1347" s="1" t="n">
        <v>21261</v>
      </c>
      <c r="N1347" s="1" t="n">
        <v>27</v>
      </c>
    </row>
    <row r="1348" customFormat="false" ht="14.25" hidden="false" customHeight="false" outlineLevel="0" collapsed="false">
      <c r="A1348" s="1" t="n">
        <v>45</v>
      </c>
      <c r="B1348" s="1" t="s">
        <v>624</v>
      </c>
      <c r="C1348" s="1" t="s">
        <v>625</v>
      </c>
      <c r="D1348" s="1" t="n">
        <v>21261</v>
      </c>
      <c r="E1348" s="1" t="s">
        <v>57</v>
      </c>
      <c r="F1348" s="201" t="n">
        <v>200025889248</v>
      </c>
      <c r="G1348" s="198" t="s">
        <v>691</v>
      </c>
      <c r="H1348" s="163" t="s">
        <v>531</v>
      </c>
      <c r="I1348" s="161" t="n">
        <v>95</v>
      </c>
      <c r="J1348" s="156" t="s">
        <v>192</v>
      </c>
      <c r="K1348" s="200" t="n">
        <v>45434.2915509259</v>
      </c>
      <c r="L1348" s="1" t="n">
        <v>1</v>
      </c>
      <c r="M1348" s="1" t="n">
        <v>21261</v>
      </c>
      <c r="N1348" s="1" t="n">
        <v>28</v>
      </c>
    </row>
    <row r="1349" customFormat="false" ht="14.25" hidden="false" customHeight="false" outlineLevel="0" collapsed="false">
      <c r="A1349" s="1" t="n">
        <v>46</v>
      </c>
      <c r="B1349" s="1" t="s">
        <v>624</v>
      </c>
      <c r="C1349" s="1" t="s">
        <v>625</v>
      </c>
      <c r="D1349" s="1" t="n">
        <v>21261</v>
      </c>
      <c r="E1349" s="1" t="s">
        <v>57</v>
      </c>
      <c r="F1349" s="201" t="n">
        <v>200025889248</v>
      </c>
      <c r="G1349" s="198" t="s">
        <v>691</v>
      </c>
      <c r="H1349" s="163" t="s">
        <v>531</v>
      </c>
      <c r="I1349" s="161" t="n">
        <v>95</v>
      </c>
      <c r="J1349" s="156" t="s">
        <v>192</v>
      </c>
      <c r="K1349" s="200" t="n">
        <v>45434.2925231482</v>
      </c>
      <c r="L1349" s="1" t="n">
        <v>1</v>
      </c>
      <c r="M1349" s="1" t="n">
        <v>21261</v>
      </c>
      <c r="N1349" s="1" t="n">
        <v>29</v>
      </c>
    </row>
    <row r="1350" customFormat="false" ht="14.25" hidden="false" customHeight="false" outlineLevel="0" collapsed="false">
      <c r="A1350" s="1" t="n">
        <v>47</v>
      </c>
      <c r="B1350" s="1" t="s">
        <v>624</v>
      </c>
      <c r="C1350" s="1" t="s">
        <v>625</v>
      </c>
      <c r="D1350" s="1" t="n">
        <v>21261</v>
      </c>
      <c r="E1350" s="1" t="s">
        <v>57</v>
      </c>
      <c r="F1350" s="201" t="n">
        <v>200025889248</v>
      </c>
      <c r="G1350" s="198" t="s">
        <v>691</v>
      </c>
      <c r="H1350" s="163" t="s">
        <v>531</v>
      </c>
      <c r="I1350" s="161" t="n">
        <v>95</v>
      </c>
      <c r="J1350" s="156" t="s">
        <v>192</v>
      </c>
      <c r="K1350" s="200" t="n">
        <v>45434.3000231482</v>
      </c>
      <c r="L1350" s="1" t="n">
        <v>2</v>
      </c>
      <c r="M1350" s="1" t="n">
        <v>21261</v>
      </c>
      <c r="N1350" s="1" t="n">
        <v>30</v>
      </c>
    </row>
    <row r="1351" customFormat="false" ht="14.25" hidden="false" customHeight="false" outlineLevel="0" collapsed="false">
      <c r="A1351" s="1" t="n">
        <v>48</v>
      </c>
      <c r="B1351" s="1" t="s">
        <v>624</v>
      </c>
      <c r="C1351" s="1" t="s">
        <v>625</v>
      </c>
      <c r="D1351" s="1" t="n">
        <v>21261</v>
      </c>
      <c r="E1351" s="1" t="s">
        <v>57</v>
      </c>
      <c r="F1351" s="201" t="n">
        <v>200025889333</v>
      </c>
      <c r="G1351" s="198" t="s">
        <v>652</v>
      </c>
      <c r="H1351" s="163" t="s">
        <v>445</v>
      </c>
      <c r="I1351" s="161" t="n">
        <v>50</v>
      </c>
      <c r="J1351" s="156" t="s">
        <v>192</v>
      </c>
      <c r="K1351" s="200" t="n">
        <v>45434.3275578704</v>
      </c>
      <c r="L1351" s="1" t="n">
        <v>1</v>
      </c>
      <c r="M1351" s="1" t="n">
        <v>21261</v>
      </c>
      <c r="N1351" s="1" t="n">
        <v>31</v>
      </c>
    </row>
    <row r="1352" customFormat="false" ht="14.25" hidden="false" customHeight="false" outlineLevel="0" collapsed="false">
      <c r="A1352" s="1" t="n">
        <v>49</v>
      </c>
      <c r="B1352" s="1" t="s">
        <v>624</v>
      </c>
      <c r="C1352" s="1" t="s">
        <v>625</v>
      </c>
      <c r="D1352" s="1" t="n">
        <v>21261</v>
      </c>
      <c r="E1352" s="1" t="s">
        <v>57</v>
      </c>
      <c r="F1352" s="201" t="n">
        <v>200025889333</v>
      </c>
      <c r="G1352" s="198" t="s">
        <v>652</v>
      </c>
      <c r="H1352" s="163" t="s">
        <v>445</v>
      </c>
      <c r="I1352" s="161" t="n">
        <v>50</v>
      </c>
      <c r="J1352" s="156" t="s">
        <v>192</v>
      </c>
      <c r="K1352" s="200" t="n">
        <v>45434.3277777778</v>
      </c>
      <c r="L1352" s="1" t="n">
        <v>1</v>
      </c>
      <c r="M1352" s="1" t="n">
        <v>21261</v>
      </c>
      <c r="N1352" s="1" t="n">
        <v>32</v>
      </c>
    </row>
    <row r="1353" customFormat="false" ht="14.25" hidden="false" customHeight="false" outlineLevel="0" collapsed="false">
      <c r="A1353" s="1" t="n">
        <v>50</v>
      </c>
      <c r="B1353" s="1" t="s">
        <v>624</v>
      </c>
      <c r="C1353" s="1" t="s">
        <v>625</v>
      </c>
      <c r="D1353" s="1" t="n">
        <v>21261</v>
      </c>
      <c r="E1353" s="1" t="s">
        <v>57</v>
      </c>
      <c r="F1353" s="201" t="n">
        <v>200025889333</v>
      </c>
      <c r="G1353" s="198" t="s">
        <v>652</v>
      </c>
      <c r="H1353" s="163" t="s">
        <v>445</v>
      </c>
      <c r="I1353" s="161" t="n">
        <v>50</v>
      </c>
      <c r="J1353" s="156" t="s">
        <v>192</v>
      </c>
      <c r="K1353" s="200" t="n">
        <v>45434.3278009259</v>
      </c>
      <c r="L1353" s="1" t="n">
        <v>0</v>
      </c>
      <c r="M1353" s="1" t="n">
        <v>21261</v>
      </c>
      <c r="N1353" s="1" t="n">
        <v>33</v>
      </c>
    </row>
    <row r="1354" customFormat="false" ht="14.25" hidden="false" customHeight="false" outlineLevel="0" collapsed="false">
      <c r="A1354" s="1" t="n">
        <v>51</v>
      </c>
      <c r="B1354" s="1" t="s">
        <v>624</v>
      </c>
      <c r="C1354" s="1" t="s">
        <v>625</v>
      </c>
      <c r="D1354" s="1" t="n">
        <v>21261</v>
      </c>
      <c r="E1354" s="1" t="s">
        <v>57</v>
      </c>
      <c r="F1354" s="201" t="n">
        <v>200025889333</v>
      </c>
      <c r="G1354" s="198" t="s">
        <v>652</v>
      </c>
      <c r="H1354" s="163" t="s">
        <v>445</v>
      </c>
      <c r="I1354" s="161" t="n">
        <v>50</v>
      </c>
      <c r="J1354" s="156" t="s">
        <v>192</v>
      </c>
      <c r="K1354" s="200" t="n">
        <v>45434.3285300926</v>
      </c>
      <c r="L1354" s="1" t="n">
        <v>1</v>
      </c>
      <c r="M1354" s="1" t="n">
        <v>21261</v>
      </c>
      <c r="N1354" s="1" t="n">
        <v>34</v>
      </c>
    </row>
    <row r="1355" customFormat="false" ht="14.25" hidden="false" customHeight="false" outlineLevel="0" collapsed="false">
      <c r="A1355" s="1" t="n">
        <v>52</v>
      </c>
      <c r="B1355" s="1" t="s">
        <v>624</v>
      </c>
      <c r="C1355" s="1" t="s">
        <v>625</v>
      </c>
      <c r="D1355" s="1" t="n">
        <v>21261</v>
      </c>
      <c r="E1355" s="1" t="s">
        <v>57</v>
      </c>
      <c r="F1355" s="201" t="n">
        <v>200025889333</v>
      </c>
      <c r="G1355" s="198" t="s">
        <v>652</v>
      </c>
      <c r="H1355" s="163" t="s">
        <v>445</v>
      </c>
      <c r="I1355" s="161" t="n">
        <v>50</v>
      </c>
      <c r="J1355" s="156" t="s">
        <v>192</v>
      </c>
      <c r="K1355" s="200" t="n">
        <v>45434.3286574074</v>
      </c>
      <c r="L1355" s="1" t="n">
        <v>2</v>
      </c>
      <c r="M1355" s="1" t="n">
        <v>21261</v>
      </c>
      <c r="N1355" s="1" t="n">
        <v>35</v>
      </c>
    </row>
    <row r="1356" customFormat="false" ht="14.25" hidden="false" customHeight="false" outlineLevel="0" collapsed="false">
      <c r="A1356" s="1" t="n">
        <v>53</v>
      </c>
      <c r="B1356" s="1" t="s">
        <v>624</v>
      </c>
      <c r="C1356" s="1" t="s">
        <v>625</v>
      </c>
      <c r="D1356" s="1" t="n">
        <v>21261</v>
      </c>
      <c r="E1356" s="1" t="s">
        <v>57</v>
      </c>
      <c r="F1356" s="201" t="n">
        <v>200025889333</v>
      </c>
      <c r="G1356" s="198" t="s">
        <v>652</v>
      </c>
      <c r="H1356" s="163" t="s">
        <v>445</v>
      </c>
      <c r="I1356" s="161" t="n">
        <v>50</v>
      </c>
      <c r="J1356" s="156" t="s">
        <v>192</v>
      </c>
      <c r="K1356" s="200" t="n">
        <v>45434.3290740741</v>
      </c>
      <c r="L1356" s="1" t="n">
        <v>1</v>
      </c>
      <c r="M1356" s="1" t="n">
        <v>21261</v>
      </c>
      <c r="N1356" s="1" t="n">
        <v>36</v>
      </c>
    </row>
    <row r="1357" customFormat="false" ht="14.25" hidden="false" customHeight="false" outlineLevel="0" collapsed="false">
      <c r="A1357" s="1" t="n">
        <v>54</v>
      </c>
      <c r="B1357" s="1" t="s">
        <v>624</v>
      </c>
      <c r="C1357" s="1" t="s">
        <v>625</v>
      </c>
      <c r="D1357" s="1" t="n">
        <v>21261</v>
      </c>
      <c r="E1357" s="1" t="s">
        <v>57</v>
      </c>
      <c r="F1357" s="201" t="n">
        <v>200025889356</v>
      </c>
      <c r="G1357" s="198" t="s">
        <v>654</v>
      </c>
      <c r="H1357" s="163" t="s">
        <v>193</v>
      </c>
      <c r="I1357" s="161" t="n">
        <v>30</v>
      </c>
      <c r="J1357" s="156" t="s">
        <v>192</v>
      </c>
      <c r="K1357" s="200" t="n">
        <v>45434.4552777778</v>
      </c>
      <c r="L1357" s="1" t="n">
        <v>1</v>
      </c>
      <c r="M1357" s="1" t="n">
        <v>21261</v>
      </c>
      <c r="N1357" s="1" t="n">
        <v>37</v>
      </c>
    </row>
    <row r="1358" customFormat="false" ht="14.25" hidden="false" customHeight="false" outlineLevel="0" collapsed="false">
      <c r="A1358" s="1" t="n">
        <v>55</v>
      </c>
      <c r="B1358" s="1" t="s">
        <v>624</v>
      </c>
      <c r="C1358" s="1" t="s">
        <v>625</v>
      </c>
      <c r="D1358" s="1" t="n">
        <v>21261</v>
      </c>
      <c r="E1358" s="1" t="s">
        <v>57</v>
      </c>
      <c r="F1358" s="201" t="n">
        <v>200025888224</v>
      </c>
      <c r="G1358" s="198" t="s">
        <v>656</v>
      </c>
      <c r="H1358" s="163" t="s">
        <v>245</v>
      </c>
      <c r="I1358" s="161" t="n">
        <v>8</v>
      </c>
      <c r="J1358" s="156" t="s">
        <v>192</v>
      </c>
      <c r="K1358" s="200" t="n">
        <v>45434.5035416667</v>
      </c>
      <c r="L1358" s="1" t="n">
        <v>0</v>
      </c>
      <c r="M1358" s="1" t="n">
        <v>21261</v>
      </c>
      <c r="N1358" s="1" t="n">
        <v>38</v>
      </c>
    </row>
    <row r="1359" customFormat="false" ht="14.25" hidden="false" customHeight="false" outlineLevel="0" collapsed="false">
      <c r="A1359" s="1" t="n">
        <v>56</v>
      </c>
      <c r="B1359" s="1" t="s">
        <v>624</v>
      </c>
      <c r="C1359" s="1" t="s">
        <v>625</v>
      </c>
      <c r="D1359" s="1" t="n">
        <v>21261</v>
      </c>
      <c r="E1359" s="1" t="s">
        <v>57</v>
      </c>
      <c r="F1359" s="201" t="n">
        <v>200025888655</v>
      </c>
      <c r="G1359" s="198" t="s">
        <v>707</v>
      </c>
      <c r="H1359" s="163" t="s">
        <v>399</v>
      </c>
      <c r="I1359" s="161" t="n">
        <v>41</v>
      </c>
      <c r="J1359" s="156" t="s">
        <v>192</v>
      </c>
      <c r="K1359" s="200" t="n">
        <v>45434.7024074074</v>
      </c>
      <c r="L1359" s="1" t="n">
        <v>2</v>
      </c>
      <c r="M1359" s="1" t="n">
        <v>21261</v>
      </c>
      <c r="N1359" s="1" t="n">
        <v>39</v>
      </c>
    </row>
    <row r="1360" customFormat="false" ht="14.25" hidden="false" customHeight="false" outlineLevel="0" collapsed="false">
      <c r="A1360" s="1" t="n">
        <v>57</v>
      </c>
      <c r="B1360" s="1" t="s">
        <v>624</v>
      </c>
      <c r="C1360" s="1" t="s">
        <v>625</v>
      </c>
      <c r="D1360" s="1" t="n">
        <v>21261</v>
      </c>
      <c r="E1360" s="1" t="s">
        <v>57</v>
      </c>
      <c r="F1360" s="201" t="n">
        <v>200025888655</v>
      </c>
      <c r="G1360" s="198" t="s">
        <v>707</v>
      </c>
      <c r="H1360" s="163" t="s">
        <v>399</v>
      </c>
      <c r="I1360" s="161" t="n">
        <v>41</v>
      </c>
      <c r="J1360" s="156" t="s">
        <v>192</v>
      </c>
      <c r="K1360" s="200" t="n">
        <v>45434.7031828704</v>
      </c>
      <c r="L1360" s="1" t="n">
        <v>3</v>
      </c>
      <c r="M1360" s="1" t="n">
        <v>21261</v>
      </c>
      <c r="N1360" s="1" t="n">
        <v>40</v>
      </c>
    </row>
    <row r="1361" customFormat="false" ht="14.25" hidden="false" customHeight="false" outlineLevel="0" collapsed="false">
      <c r="A1361" s="1" t="n">
        <v>58</v>
      </c>
      <c r="B1361" s="1" t="s">
        <v>624</v>
      </c>
      <c r="C1361" s="1" t="s">
        <v>625</v>
      </c>
      <c r="D1361" s="1" t="n">
        <v>21261</v>
      </c>
      <c r="E1361" s="1" t="s">
        <v>57</v>
      </c>
      <c r="F1361" s="201" t="n">
        <v>200025888655</v>
      </c>
      <c r="G1361" s="198" t="s">
        <v>707</v>
      </c>
      <c r="H1361" s="163" t="s">
        <v>399</v>
      </c>
      <c r="I1361" s="161" t="n">
        <v>41</v>
      </c>
      <c r="J1361" s="156" t="s">
        <v>192</v>
      </c>
      <c r="K1361" s="200" t="n">
        <v>45434.7037847222</v>
      </c>
      <c r="L1361" s="1" t="n">
        <v>2</v>
      </c>
      <c r="M1361" s="1" t="n">
        <v>21261</v>
      </c>
      <c r="N1361" s="1" t="n">
        <v>41</v>
      </c>
    </row>
    <row r="1362" customFormat="false" ht="14.25" hidden="false" customHeight="false" outlineLevel="0" collapsed="false">
      <c r="A1362" s="1" t="n">
        <v>59</v>
      </c>
      <c r="B1362" s="1" t="s">
        <v>624</v>
      </c>
      <c r="C1362" s="1" t="s">
        <v>625</v>
      </c>
      <c r="D1362" s="1" t="n">
        <v>21261</v>
      </c>
      <c r="E1362" s="1" t="s">
        <v>57</v>
      </c>
      <c r="F1362" s="201" t="n">
        <v>200025888655</v>
      </c>
      <c r="G1362" s="198" t="s">
        <v>707</v>
      </c>
      <c r="H1362" s="163" t="s">
        <v>399</v>
      </c>
      <c r="I1362" s="161" t="n">
        <v>41</v>
      </c>
      <c r="J1362" s="156" t="s">
        <v>192</v>
      </c>
      <c r="K1362" s="200" t="n">
        <v>45434.7042476852</v>
      </c>
      <c r="L1362" s="1" t="n">
        <v>1</v>
      </c>
      <c r="M1362" s="1" t="n">
        <v>21261</v>
      </c>
      <c r="N1362" s="1" t="n">
        <v>42</v>
      </c>
    </row>
    <row r="1363" customFormat="false" ht="14.25" hidden="false" customHeight="false" outlineLevel="0" collapsed="false">
      <c r="A1363" s="1" t="n">
        <v>60</v>
      </c>
      <c r="B1363" s="1" t="s">
        <v>624</v>
      </c>
      <c r="C1363" s="1" t="s">
        <v>625</v>
      </c>
      <c r="D1363" s="1" t="n">
        <v>21261</v>
      </c>
      <c r="E1363" s="1" t="s">
        <v>57</v>
      </c>
      <c r="F1363" s="201" t="n">
        <v>200025888655</v>
      </c>
      <c r="G1363" s="198" t="s">
        <v>707</v>
      </c>
      <c r="H1363" s="163" t="s">
        <v>399</v>
      </c>
      <c r="I1363" s="161" t="n">
        <v>41</v>
      </c>
      <c r="J1363" s="156" t="s">
        <v>192</v>
      </c>
      <c r="K1363" s="200" t="n">
        <v>45434.7046064815</v>
      </c>
      <c r="L1363" s="1" t="n">
        <v>1</v>
      </c>
      <c r="M1363" s="1" t="n">
        <v>21261</v>
      </c>
      <c r="N1363" s="1" t="n">
        <v>43</v>
      </c>
    </row>
    <row r="1364" customFormat="false" ht="14.25" hidden="false" customHeight="false" outlineLevel="0" collapsed="false">
      <c r="A1364" s="1" t="n">
        <v>61</v>
      </c>
      <c r="B1364" s="1" t="s">
        <v>624</v>
      </c>
      <c r="C1364" s="1" t="s">
        <v>625</v>
      </c>
      <c r="D1364" s="1" t="n">
        <v>21261</v>
      </c>
      <c r="E1364" s="1" t="s">
        <v>57</v>
      </c>
      <c r="F1364" s="201" t="n">
        <v>200025888655</v>
      </c>
      <c r="G1364" s="198" t="s">
        <v>707</v>
      </c>
      <c r="H1364" s="163" t="s">
        <v>399</v>
      </c>
      <c r="I1364" s="161" t="n">
        <v>41</v>
      </c>
      <c r="J1364" s="156" t="s">
        <v>192</v>
      </c>
      <c r="K1364" s="200" t="n">
        <v>45434.705150463</v>
      </c>
      <c r="L1364" s="1" t="n">
        <v>2</v>
      </c>
      <c r="M1364" s="1" t="n">
        <v>21261</v>
      </c>
      <c r="N1364" s="1" t="n">
        <v>44</v>
      </c>
    </row>
    <row r="1365" customFormat="false" ht="14.25" hidden="false" customHeight="false" outlineLevel="0" collapsed="false">
      <c r="A1365" s="1" t="n">
        <v>62</v>
      </c>
      <c r="B1365" s="1" t="s">
        <v>624</v>
      </c>
      <c r="C1365" s="1" t="s">
        <v>625</v>
      </c>
      <c r="D1365" s="1" t="n">
        <v>21261</v>
      </c>
      <c r="E1365" s="1" t="s">
        <v>57</v>
      </c>
      <c r="F1365" s="201" t="n">
        <v>200025888655</v>
      </c>
      <c r="G1365" s="198" t="s">
        <v>707</v>
      </c>
      <c r="H1365" s="163" t="s">
        <v>399</v>
      </c>
      <c r="I1365" s="161" t="n">
        <v>41</v>
      </c>
      <c r="J1365" s="156" t="s">
        <v>192</v>
      </c>
      <c r="K1365" s="200" t="n">
        <v>45434.7057407407</v>
      </c>
      <c r="L1365" s="1" t="n">
        <v>1</v>
      </c>
      <c r="M1365" s="1" t="n">
        <v>21261</v>
      </c>
      <c r="N1365" s="1" t="n">
        <v>45</v>
      </c>
    </row>
    <row r="1366" customFormat="false" ht="14.25" hidden="false" customHeight="false" outlineLevel="0" collapsed="false">
      <c r="A1366" s="1" t="n">
        <v>63</v>
      </c>
      <c r="B1366" s="1" t="s">
        <v>624</v>
      </c>
      <c r="C1366" s="1" t="s">
        <v>625</v>
      </c>
      <c r="D1366" s="1" t="n">
        <v>21261</v>
      </c>
      <c r="E1366" s="1" t="s">
        <v>57</v>
      </c>
      <c r="F1366" s="201" t="n">
        <v>200025888655</v>
      </c>
      <c r="G1366" s="198" t="s">
        <v>707</v>
      </c>
      <c r="H1366" s="163" t="s">
        <v>399</v>
      </c>
      <c r="I1366" s="161" t="n">
        <v>41</v>
      </c>
      <c r="J1366" s="156" t="s">
        <v>192</v>
      </c>
      <c r="K1366" s="200" t="n">
        <v>45434.7057523148</v>
      </c>
      <c r="L1366" s="1" t="n">
        <v>1</v>
      </c>
      <c r="M1366" s="1" t="n">
        <v>21261</v>
      </c>
      <c r="N1366" s="1" t="n">
        <v>46</v>
      </c>
    </row>
    <row r="1367" customFormat="false" ht="14.25" hidden="false" customHeight="false" outlineLevel="0" collapsed="false">
      <c r="A1367" s="1" t="n">
        <v>64</v>
      </c>
      <c r="B1367" s="1" t="s">
        <v>624</v>
      </c>
      <c r="C1367" s="1" t="s">
        <v>625</v>
      </c>
      <c r="D1367" s="1" t="n">
        <v>21261</v>
      </c>
      <c r="E1367" s="1" t="s">
        <v>57</v>
      </c>
      <c r="F1367" s="201" t="n">
        <v>200025888655</v>
      </c>
      <c r="G1367" s="198" t="s">
        <v>707</v>
      </c>
      <c r="H1367" s="163" t="s">
        <v>399</v>
      </c>
      <c r="I1367" s="161" t="n">
        <v>41</v>
      </c>
      <c r="J1367" s="156" t="s">
        <v>192</v>
      </c>
      <c r="K1367" s="200" t="n">
        <v>45434.7071759259</v>
      </c>
      <c r="L1367" s="1" t="n">
        <v>1</v>
      </c>
      <c r="M1367" s="1" t="n">
        <v>21261</v>
      </c>
      <c r="N1367" s="1" t="n">
        <v>47</v>
      </c>
    </row>
    <row r="1368" customFormat="false" ht="14.25" hidden="false" customHeight="false" outlineLevel="0" collapsed="false">
      <c r="A1368" s="1" t="n">
        <v>65</v>
      </c>
      <c r="B1368" s="1" t="s">
        <v>624</v>
      </c>
      <c r="C1368" s="1" t="s">
        <v>625</v>
      </c>
      <c r="D1368" s="1" t="n">
        <v>21261</v>
      </c>
      <c r="E1368" s="1" t="s">
        <v>57</v>
      </c>
      <c r="F1368" s="201" t="n">
        <v>200025888999</v>
      </c>
      <c r="G1368" s="198" t="s">
        <v>604</v>
      </c>
      <c r="H1368" s="163" t="s">
        <v>489</v>
      </c>
      <c r="I1368" s="161" t="n">
        <v>82</v>
      </c>
      <c r="J1368" s="156" t="s">
        <v>192</v>
      </c>
      <c r="K1368" s="200" t="n">
        <v>45434.7387037037</v>
      </c>
      <c r="L1368" s="10" t="n">
        <v>38</v>
      </c>
      <c r="M1368" s="1" t="n">
        <v>21261</v>
      </c>
      <c r="N1368" s="1" t="n">
        <v>48</v>
      </c>
    </row>
    <row r="1369" customFormat="false" ht="14.25" hidden="false" customHeight="false" outlineLevel="0" collapsed="false">
      <c r="A1369" s="1" t="n">
        <v>66</v>
      </c>
      <c r="B1369" s="1" t="s">
        <v>624</v>
      </c>
      <c r="C1369" s="1" t="s">
        <v>625</v>
      </c>
      <c r="D1369" s="1" t="n">
        <v>21261</v>
      </c>
      <c r="E1369" s="1" t="s">
        <v>57</v>
      </c>
      <c r="F1369" s="201" t="n">
        <v>200025888999</v>
      </c>
      <c r="G1369" s="198" t="s">
        <v>604</v>
      </c>
      <c r="H1369" s="163" t="s">
        <v>489</v>
      </c>
      <c r="I1369" s="161" t="n">
        <v>82</v>
      </c>
      <c r="J1369" s="156" t="s">
        <v>192</v>
      </c>
      <c r="K1369" s="200" t="n">
        <v>45434.7401157407</v>
      </c>
      <c r="L1369" s="1" t="n">
        <v>1</v>
      </c>
      <c r="M1369" s="1" t="n">
        <v>21261</v>
      </c>
      <c r="N1369" s="1" t="n">
        <v>49</v>
      </c>
    </row>
    <row r="1370" customFormat="false" ht="14.25" hidden="false" customHeight="false" outlineLevel="0" collapsed="false">
      <c r="A1370" s="1" t="n">
        <v>67</v>
      </c>
      <c r="B1370" s="1" t="s">
        <v>624</v>
      </c>
      <c r="C1370" s="1" t="s">
        <v>625</v>
      </c>
      <c r="D1370" s="1" t="n">
        <v>21261</v>
      </c>
      <c r="E1370" s="1" t="s">
        <v>57</v>
      </c>
      <c r="F1370" s="201" t="n">
        <v>200025888999</v>
      </c>
      <c r="G1370" s="198" t="s">
        <v>604</v>
      </c>
      <c r="H1370" s="163" t="s">
        <v>489</v>
      </c>
      <c r="I1370" s="161" t="n">
        <v>82</v>
      </c>
      <c r="J1370" s="156" t="s">
        <v>192</v>
      </c>
      <c r="K1370" s="200" t="n">
        <v>45434.7421180556</v>
      </c>
      <c r="L1370" s="1" t="n">
        <v>2</v>
      </c>
      <c r="M1370" s="1" t="n">
        <v>21261</v>
      </c>
      <c r="N1370" s="1" t="n">
        <v>50</v>
      </c>
    </row>
    <row r="1371" customFormat="false" ht="14.25" hidden="false" customHeight="false" outlineLevel="0" collapsed="false">
      <c r="A1371" s="1" t="n">
        <v>68</v>
      </c>
      <c r="B1371" s="1" t="s">
        <v>624</v>
      </c>
      <c r="C1371" s="1" t="s">
        <v>625</v>
      </c>
      <c r="D1371" s="1" t="n">
        <v>21261</v>
      </c>
      <c r="E1371" s="1" t="s">
        <v>57</v>
      </c>
      <c r="F1371" s="201" t="n">
        <v>200025889281</v>
      </c>
      <c r="G1371" s="198" t="s">
        <v>570</v>
      </c>
      <c r="H1371" s="163" t="s">
        <v>279</v>
      </c>
      <c r="I1371" s="161" t="n">
        <v>12</v>
      </c>
      <c r="J1371" s="156" t="s">
        <v>192</v>
      </c>
      <c r="K1371" s="200" t="n">
        <v>45434.7427199074</v>
      </c>
      <c r="L1371" s="1" t="n">
        <v>1</v>
      </c>
      <c r="M1371" s="1" t="n">
        <v>21261</v>
      </c>
      <c r="N1371" s="1" t="n">
        <v>51</v>
      </c>
    </row>
    <row r="1372" customFormat="false" ht="14.25" hidden="false" customHeight="false" outlineLevel="0" collapsed="false">
      <c r="A1372" s="1" t="n">
        <v>69</v>
      </c>
      <c r="B1372" s="1" t="s">
        <v>624</v>
      </c>
      <c r="C1372" s="1" t="s">
        <v>625</v>
      </c>
      <c r="D1372" s="1" t="n">
        <v>21261</v>
      </c>
      <c r="E1372" s="1" t="s">
        <v>57</v>
      </c>
      <c r="F1372" s="201" t="n">
        <v>200025889248</v>
      </c>
      <c r="G1372" s="198" t="s">
        <v>691</v>
      </c>
      <c r="H1372" s="163" t="s">
        <v>531</v>
      </c>
      <c r="I1372" s="161" t="n">
        <v>95</v>
      </c>
      <c r="J1372" s="156" t="s">
        <v>192</v>
      </c>
      <c r="K1372" s="200" t="n">
        <v>45434.8462731482</v>
      </c>
      <c r="L1372" s="1" t="n">
        <v>2</v>
      </c>
      <c r="M1372" s="1" t="n">
        <v>21261</v>
      </c>
      <c r="N1372" s="1" t="n">
        <v>52</v>
      </c>
    </row>
    <row r="1373" customFormat="false" ht="14.25" hidden="false" customHeight="false" outlineLevel="0" collapsed="false">
      <c r="A1373" s="1" t="n">
        <v>70</v>
      </c>
      <c r="B1373" s="1" t="s">
        <v>624</v>
      </c>
      <c r="C1373" s="1" t="s">
        <v>625</v>
      </c>
      <c r="D1373" s="1" t="n">
        <v>21261</v>
      </c>
      <c r="E1373" s="1" t="s">
        <v>57</v>
      </c>
      <c r="F1373" s="201" t="n">
        <v>200025889350</v>
      </c>
      <c r="G1373" s="198" t="s">
        <v>582</v>
      </c>
      <c r="H1373" s="163" t="s">
        <v>378</v>
      </c>
      <c r="I1373" s="161" t="n">
        <v>29</v>
      </c>
      <c r="J1373" s="156" t="s">
        <v>192</v>
      </c>
      <c r="K1373" s="200" t="n">
        <v>45434.8526736111</v>
      </c>
      <c r="L1373" s="1" t="n">
        <v>2</v>
      </c>
      <c r="M1373" s="1" t="n">
        <v>21261</v>
      </c>
      <c r="N1373" s="1" t="n">
        <v>53</v>
      </c>
    </row>
    <row r="1374" customFormat="false" ht="14.25" hidden="false" customHeight="false" outlineLevel="0" collapsed="false">
      <c r="A1374" s="1" t="n">
        <v>71</v>
      </c>
      <c r="B1374" s="1" t="s">
        <v>624</v>
      </c>
      <c r="C1374" s="1" t="s">
        <v>625</v>
      </c>
      <c r="D1374" s="1" t="n">
        <v>21261</v>
      </c>
      <c r="E1374" s="1" t="s">
        <v>57</v>
      </c>
      <c r="F1374" s="201" t="n">
        <v>200025888655</v>
      </c>
      <c r="G1374" s="198" t="s">
        <v>707</v>
      </c>
      <c r="H1374" s="163" t="s">
        <v>399</v>
      </c>
      <c r="I1374" s="161" t="n">
        <v>41</v>
      </c>
      <c r="J1374" s="156" t="s">
        <v>192</v>
      </c>
      <c r="K1374" s="200" t="n">
        <v>45434.853275463</v>
      </c>
      <c r="L1374" s="1" t="n">
        <v>2</v>
      </c>
      <c r="M1374" s="1" t="n">
        <v>21261</v>
      </c>
      <c r="N1374" s="1" t="n">
        <v>54</v>
      </c>
    </row>
    <row r="1375" customFormat="false" ht="14.25" hidden="false" customHeight="false" outlineLevel="0" collapsed="false">
      <c r="A1375" s="1" t="n">
        <v>72</v>
      </c>
      <c r="B1375" s="1" t="s">
        <v>624</v>
      </c>
      <c r="C1375" s="1" t="s">
        <v>625</v>
      </c>
      <c r="D1375" s="1" t="n">
        <v>21261</v>
      </c>
      <c r="E1375" s="1" t="s">
        <v>57</v>
      </c>
      <c r="F1375" s="201" t="n">
        <v>200025888655</v>
      </c>
      <c r="G1375" s="198" t="s">
        <v>707</v>
      </c>
      <c r="H1375" s="163" t="s">
        <v>399</v>
      </c>
      <c r="I1375" s="161" t="n">
        <v>41</v>
      </c>
      <c r="J1375" s="156" t="s">
        <v>192</v>
      </c>
      <c r="K1375" s="200" t="n">
        <v>45434.8534722222</v>
      </c>
      <c r="L1375" s="1" t="n">
        <v>1</v>
      </c>
      <c r="M1375" s="1" t="n">
        <v>21261</v>
      </c>
      <c r="N1375" s="1" t="n">
        <v>55</v>
      </c>
    </row>
    <row r="1376" customFormat="false" ht="14.25" hidden="false" customHeight="false" outlineLevel="0" collapsed="false">
      <c r="A1376" s="1" t="n">
        <v>73</v>
      </c>
      <c r="B1376" s="1" t="s">
        <v>624</v>
      </c>
      <c r="C1376" s="1" t="s">
        <v>625</v>
      </c>
      <c r="D1376" s="1" t="n">
        <v>21261</v>
      </c>
      <c r="E1376" s="1" t="s">
        <v>57</v>
      </c>
      <c r="F1376" s="201" t="n">
        <v>200025888890</v>
      </c>
      <c r="G1376" s="198" t="s">
        <v>661</v>
      </c>
      <c r="H1376" s="163" t="s">
        <v>421</v>
      </c>
      <c r="I1376" s="161" t="n">
        <v>40</v>
      </c>
      <c r="J1376" s="156" t="s">
        <v>192</v>
      </c>
      <c r="K1376" s="200" t="n">
        <v>45434.8796064815</v>
      </c>
      <c r="L1376" s="1" t="n">
        <v>1</v>
      </c>
      <c r="M1376" s="1" t="n">
        <v>21261</v>
      </c>
      <c r="N1376" s="1" t="n">
        <v>56</v>
      </c>
    </row>
    <row r="1377" customFormat="false" ht="14.25" hidden="false" customHeight="false" outlineLevel="0" collapsed="false">
      <c r="A1377" s="1" t="n">
        <v>74</v>
      </c>
      <c r="B1377" s="1" t="s">
        <v>624</v>
      </c>
      <c r="C1377" s="1" t="s">
        <v>625</v>
      </c>
      <c r="D1377" s="1" t="n">
        <v>21261</v>
      </c>
      <c r="E1377" s="1" t="s">
        <v>57</v>
      </c>
      <c r="F1377" s="201" t="n">
        <v>200025888890</v>
      </c>
      <c r="G1377" s="198" t="s">
        <v>661</v>
      </c>
      <c r="H1377" s="163" t="s">
        <v>421</v>
      </c>
      <c r="I1377" s="161" t="n">
        <v>40</v>
      </c>
      <c r="J1377" s="156" t="s">
        <v>192</v>
      </c>
      <c r="K1377" s="200" t="n">
        <v>45434.8820833333</v>
      </c>
      <c r="L1377" s="1" t="n">
        <v>1</v>
      </c>
      <c r="M1377" s="1" t="n">
        <v>21261</v>
      </c>
      <c r="N1377" s="1" t="n">
        <v>57</v>
      </c>
    </row>
    <row r="1378" customFormat="false" ht="14.25" hidden="false" customHeight="false" outlineLevel="0" collapsed="false">
      <c r="A1378" s="1" t="n">
        <v>75</v>
      </c>
      <c r="B1378" s="1" t="s">
        <v>624</v>
      </c>
      <c r="C1378" s="1" t="s">
        <v>625</v>
      </c>
      <c r="D1378" s="1" t="n">
        <v>21261</v>
      </c>
      <c r="E1378" s="1" t="s">
        <v>57</v>
      </c>
      <c r="F1378" s="201" t="n">
        <v>200025888712</v>
      </c>
      <c r="G1378" s="198" t="s">
        <v>578</v>
      </c>
      <c r="H1378" s="163" t="s">
        <v>427</v>
      </c>
      <c r="I1378" s="161" t="n">
        <v>48</v>
      </c>
      <c r="J1378" s="156" t="s">
        <v>192</v>
      </c>
      <c r="K1378" s="200" t="n">
        <v>45434.8968171296</v>
      </c>
      <c r="L1378" s="1" t="n">
        <v>1</v>
      </c>
      <c r="M1378" s="1" t="n">
        <v>21261</v>
      </c>
      <c r="N1378" s="1" t="n">
        <v>58</v>
      </c>
    </row>
    <row r="1379" customFormat="false" ht="14.25" hidden="false" customHeight="false" outlineLevel="0" collapsed="false">
      <c r="A1379" s="1" t="n">
        <v>76</v>
      </c>
      <c r="B1379" s="1" t="s">
        <v>624</v>
      </c>
      <c r="C1379" s="1" t="s">
        <v>625</v>
      </c>
      <c r="D1379" s="1" t="n">
        <v>21261</v>
      </c>
      <c r="E1379" s="1" t="s">
        <v>57</v>
      </c>
      <c r="F1379" s="201" t="n">
        <v>200025889281</v>
      </c>
      <c r="G1379" s="198" t="s">
        <v>570</v>
      </c>
      <c r="H1379" s="163" t="s">
        <v>279</v>
      </c>
      <c r="I1379" s="161" t="n">
        <v>12</v>
      </c>
      <c r="J1379" s="156" t="s">
        <v>192</v>
      </c>
      <c r="K1379" s="200" t="n">
        <v>45434.8973726852</v>
      </c>
      <c r="L1379" s="1" t="n">
        <v>0</v>
      </c>
      <c r="M1379" s="1" t="n">
        <v>21261</v>
      </c>
      <c r="N1379" s="1" t="n">
        <v>59</v>
      </c>
    </row>
    <row r="1380" customFormat="false" ht="14.25" hidden="false" customHeight="false" outlineLevel="0" collapsed="false">
      <c r="A1380" s="1" t="n">
        <v>77</v>
      </c>
      <c r="B1380" s="1" t="s">
        <v>624</v>
      </c>
      <c r="C1380" s="1" t="s">
        <v>625</v>
      </c>
      <c r="D1380" s="1" t="n">
        <v>21261</v>
      </c>
      <c r="E1380" s="1" t="s">
        <v>57</v>
      </c>
      <c r="F1380" s="201" t="n">
        <v>200025888479</v>
      </c>
      <c r="G1380" s="198" t="s">
        <v>640</v>
      </c>
      <c r="H1380" s="163" t="s">
        <v>254</v>
      </c>
      <c r="I1380" s="161" t="n">
        <v>9</v>
      </c>
      <c r="J1380" s="156" t="s">
        <v>192</v>
      </c>
      <c r="K1380" s="200" t="n">
        <v>45434.8983912037</v>
      </c>
      <c r="L1380" s="1" t="n">
        <v>3</v>
      </c>
      <c r="M1380" s="1" t="n">
        <v>21261</v>
      </c>
      <c r="N1380" s="1" t="n">
        <v>60</v>
      </c>
    </row>
    <row r="1381" customFormat="false" ht="14.25" hidden="false" customHeight="false" outlineLevel="0" collapsed="false">
      <c r="A1381" s="1" t="n">
        <v>78</v>
      </c>
      <c r="B1381" s="1" t="s">
        <v>624</v>
      </c>
      <c r="C1381" s="1" t="s">
        <v>625</v>
      </c>
      <c r="D1381" s="1" t="n">
        <v>21261</v>
      </c>
      <c r="E1381" s="1" t="s">
        <v>57</v>
      </c>
      <c r="F1381" s="201" t="n">
        <v>200025888479</v>
      </c>
      <c r="G1381" s="198" t="s">
        <v>640</v>
      </c>
      <c r="H1381" s="163" t="s">
        <v>254</v>
      </c>
      <c r="I1381" s="161" t="n">
        <v>9</v>
      </c>
      <c r="J1381" s="156" t="s">
        <v>192</v>
      </c>
      <c r="K1381" s="200" t="n">
        <v>45434.8991782407</v>
      </c>
      <c r="L1381" s="1" t="n">
        <v>2</v>
      </c>
      <c r="M1381" s="1" t="n">
        <v>21261</v>
      </c>
      <c r="N1381" s="1" t="n">
        <v>61</v>
      </c>
    </row>
    <row r="1382" customFormat="false" ht="14.25" hidden="false" customHeight="false" outlineLevel="0" collapsed="false">
      <c r="A1382" s="1" t="n">
        <v>79</v>
      </c>
      <c r="B1382" s="1" t="s">
        <v>624</v>
      </c>
      <c r="C1382" s="1" t="s">
        <v>625</v>
      </c>
      <c r="D1382" s="1" t="n">
        <v>21261</v>
      </c>
      <c r="E1382" s="1" t="s">
        <v>57</v>
      </c>
      <c r="F1382" s="201" t="n">
        <v>200025888664</v>
      </c>
      <c r="G1382" s="198" t="s">
        <v>592</v>
      </c>
      <c r="H1382" s="163" t="s">
        <v>415</v>
      </c>
      <c r="I1382" s="161" t="n">
        <v>75</v>
      </c>
      <c r="J1382" s="156" t="s">
        <v>192</v>
      </c>
      <c r="K1382" s="200" t="n">
        <v>45434.8995601852</v>
      </c>
      <c r="L1382" s="1" t="n">
        <v>1</v>
      </c>
      <c r="M1382" s="1" t="n">
        <v>21261</v>
      </c>
      <c r="N1382" s="1" t="n">
        <v>62</v>
      </c>
    </row>
    <row r="1383" customFormat="false" ht="14.25" hidden="false" customHeight="false" outlineLevel="0" collapsed="false">
      <c r="A1383" s="1" t="n">
        <v>80</v>
      </c>
      <c r="B1383" s="1" t="s">
        <v>624</v>
      </c>
      <c r="C1383" s="1" t="s">
        <v>625</v>
      </c>
      <c r="D1383" s="1" t="n">
        <v>21261</v>
      </c>
      <c r="E1383" s="1" t="s">
        <v>57</v>
      </c>
      <c r="F1383" s="201" t="n">
        <v>200025888609</v>
      </c>
      <c r="G1383" s="198" t="s">
        <v>568</v>
      </c>
      <c r="H1383" s="163" t="s">
        <v>381</v>
      </c>
      <c r="I1383" s="161" t="n">
        <v>44</v>
      </c>
      <c r="J1383" s="156" t="s">
        <v>192</v>
      </c>
      <c r="K1383" s="200" t="n">
        <v>45434.8997685185</v>
      </c>
      <c r="L1383" s="1" t="n">
        <v>2</v>
      </c>
      <c r="M1383" s="1" t="n">
        <v>21261</v>
      </c>
      <c r="N1383" s="1" t="n">
        <v>63</v>
      </c>
    </row>
    <row r="1384" customFormat="false" ht="14.25" hidden="false" customHeight="false" outlineLevel="0" collapsed="false">
      <c r="A1384" s="1" t="n">
        <v>81</v>
      </c>
      <c r="B1384" s="1" t="s">
        <v>624</v>
      </c>
      <c r="C1384" s="1" t="s">
        <v>625</v>
      </c>
      <c r="D1384" s="1" t="n">
        <v>21261</v>
      </c>
      <c r="E1384" s="1" t="s">
        <v>57</v>
      </c>
      <c r="F1384" s="201" t="n">
        <v>200025888712</v>
      </c>
      <c r="G1384" s="198" t="s">
        <v>578</v>
      </c>
      <c r="H1384" s="163" t="s">
        <v>427</v>
      </c>
      <c r="I1384" s="161" t="n">
        <v>48</v>
      </c>
      <c r="J1384" s="156" t="s">
        <v>192</v>
      </c>
      <c r="K1384" s="200" t="n">
        <v>45434.9002199074</v>
      </c>
      <c r="L1384" s="1" t="n">
        <v>1</v>
      </c>
      <c r="M1384" s="1" t="n">
        <v>21261</v>
      </c>
      <c r="N1384" s="1" t="n">
        <v>64</v>
      </c>
    </row>
    <row r="1385" customFormat="false" ht="14.25" hidden="false" customHeight="false" outlineLevel="0" collapsed="false">
      <c r="A1385" s="1" t="n">
        <v>82</v>
      </c>
      <c r="B1385" s="1" t="s">
        <v>624</v>
      </c>
      <c r="C1385" s="1" t="s">
        <v>625</v>
      </c>
      <c r="D1385" s="1" t="n">
        <v>21261</v>
      </c>
      <c r="E1385" s="1" t="s">
        <v>57</v>
      </c>
      <c r="F1385" s="201" t="n">
        <v>200025888712</v>
      </c>
      <c r="G1385" s="198" t="s">
        <v>578</v>
      </c>
      <c r="H1385" s="163" t="s">
        <v>427</v>
      </c>
      <c r="I1385" s="161" t="n">
        <v>48</v>
      </c>
      <c r="J1385" s="156" t="s">
        <v>192</v>
      </c>
      <c r="K1385" s="200" t="n">
        <v>45434.9007060185</v>
      </c>
      <c r="L1385" s="1" t="n">
        <v>1</v>
      </c>
      <c r="M1385" s="1" t="n">
        <v>21261</v>
      </c>
      <c r="N1385" s="1" t="n">
        <v>65</v>
      </c>
    </row>
    <row r="1386" customFormat="false" ht="14.25" hidden="false" customHeight="false" outlineLevel="0" collapsed="false">
      <c r="A1386" s="1" t="n">
        <v>83</v>
      </c>
      <c r="B1386" s="1" t="s">
        <v>624</v>
      </c>
      <c r="C1386" s="1" t="s">
        <v>625</v>
      </c>
      <c r="D1386" s="1" t="n">
        <v>21261</v>
      </c>
      <c r="E1386" s="1" t="s">
        <v>57</v>
      </c>
      <c r="F1386" s="201" t="n">
        <v>200025888664</v>
      </c>
      <c r="G1386" s="198" t="s">
        <v>592</v>
      </c>
      <c r="H1386" s="163" t="s">
        <v>415</v>
      </c>
      <c r="I1386" s="161" t="n">
        <v>75</v>
      </c>
      <c r="J1386" s="156" t="s">
        <v>192</v>
      </c>
      <c r="K1386" s="200" t="n">
        <v>45434.9012847222</v>
      </c>
      <c r="L1386" s="1" t="n">
        <v>1</v>
      </c>
      <c r="M1386" s="1" t="n">
        <v>21261</v>
      </c>
      <c r="N1386" s="1" t="n">
        <v>66</v>
      </c>
    </row>
    <row r="1387" customFormat="false" ht="14.25" hidden="false" customHeight="false" outlineLevel="0" collapsed="false">
      <c r="A1387" s="1" t="n">
        <v>84</v>
      </c>
      <c r="B1387" s="1" t="s">
        <v>624</v>
      </c>
      <c r="C1387" s="1" t="s">
        <v>625</v>
      </c>
      <c r="D1387" s="1" t="n">
        <v>21261</v>
      </c>
      <c r="E1387" s="1" t="s">
        <v>57</v>
      </c>
      <c r="F1387" s="201" t="n">
        <v>200025888712</v>
      </c>
      <c r="G1387" s="198" t="s">
        <v>578</v>
      </c>
      <c r="H1387" s="163" t="s">
        <v>427</v>
      </c>
      <c r="I1387" s="161" t="n">
        <v>48</v>
      </c>
      <c r="J1387" s="156" t="s">
        <v>192</v>
      </c>
      <c r="K1387" s="200" t="n">
        <v>45434.9020601852</v>
      </c>
      <c r="L1387" s="1" t="n">
        <v>1</v>
      </c>
      <c r="M1387" s="1" t="n">
        <v>21261</v>
      </c>
      <c r="N1387" s="1" t="n">
        <v>67</v>
      </c>
    </row>
    <row r="1388" customFormat="false" ht="14.25" hidden="false" customHeight="false" outlineLevel="0" collapsed="false">
      <c r="A1388" s="1" t="n">
        <v>85</v>
      </c>
      <c r="B1388" s="1" t="s">
        <v>624</v>
      </c>
      <c r="C1388" s="1" t="s">
        <v>625</v>
      </c>
      <c r="D1388" s="1" t="n">
        <v>21261</v>
      </c>
      <c r="E1388" s="1" t="s">
        <v>57</v>
      </c>
      <c r="F1388" s="201" t="n">
        <v>200025888655</v>
      </c>
      <c r="G1388" s="198" t="s">
        <v>707</v>
      </c>
      <c r="H1388" s="163" t="s">
        <v>399</v>
      </c>
      <c r="I1388" s="161" t="n">
        <v>41</v>
      </c>
      <c r="J1388" s="156" t="s">
        <v>192</v>
      </c>
      <c r="K1388" s="200" t="n">
        <v>45434.9027430556</v>
      </c>
      <c r="L1388" s="1" t="n">
        <v>0</v>
      </c>
      <c r="M1388" s="1" t="n">
        <v>21261</v>
      </c>
      <c r="N1388" s="1" t="n">
        <v>68</v>
      </c>
    </row>
    <row r="1389" customFormat="false" ht="14.25" hidden="false" customHeight="false" outlineLevel="0" collapsed="false">
      <c r="A1389" s="1" t="n">
        <v>86</v>
      </c>
      <c r="B1389" s="1" t="s">
        <v>624</v>
      </c>
      <c r="C1389" s="1" t="s">
        <v>625</v>
      </c>
      <c r="D1389" s="1" t="n">
        <v>21261</v>
      </c>
      <c r="E1389" s="1" t="s">
        <v>57</v>
      </c>
      <c r="F1389" s="201" t="n">
        <v>200025888655</v>
      </c>
      <c r="G1389" s="198" t="s">
        <v>707</v>
      </c>
      <c r="H1389" s="163" t="s">
        <v>399</v>
      </c>
      <c r="I1389" s="161" t="n">
        <v>41</v>
      </c>
      <c r="J1389" s="156" t="s">
        <v>192</v>
      </c>
      <c r="K1389" s="200" t="n">
        <v>45434.9027546296</v>
      </c>
      <c r="L1389" s="1" t="n">
        <v>0</v>
      </c>
      <c r="M1389" s="1" t="n">
        <v>21261</v>
      </c>
      <c r="N1389" s="1" t="n">
        <v>69</v>
      </c>
    </row>
    <row r="1390" customFormat="false" ht="14.25" hidden="false" customHeight="false" outlineLevel="0" collapsed="false">
      <c r="A1390" s="1" t="n">
        <v>87</v>
      </c>
      <c r="B1390" s="1" t="s">
        <v>624</v>
      </c>
      <c r="C1390" s="1" t="s">
        <v>625</v>
      </c>
      <c r="D1390" s="1" t="n">
        <v>21261</v>
      </c>
      <c r="E1390" s="1" t="s">
        <v>57</v>
      </c>
      <c r="F1390" s="201" t="n">
        <v>200025888655</v>
      </c>
      <c r="G1390" s="198" t="s">
        <v>707</v>
      </c>
      <c r="H1390" s="163" t="s">
        <v>399</v>
      </c>
      <c r="I1390" s="161" t="n">
        <v>41</v>
      </c>
      <c r="J1390" s="156" t="s">
        <v>192</v>
      </c>
      <c r="K1390" s="200" t="n">
        <v>45434.9029166667</v>
      </c>
      <c r="L1390" s="1" t="n">
        <v>0</v>
      </c>
      <c r="M1390" s="1" t="n">
        <v>21261</v>
      </c>
      <c r="N1390" s="1" t="n">
        <v>70</v>
      </c>
    </row>
    <row r="1391" customFormat="false" ht="14.25" hidden="false" customHeight="false" outlineLevel="0" collapsed="false">
      <c r="A1391" s="1" t="n">
        <v>88</v>
      </c>
      <c r="B1391" s="1" t="s">
        <v>624</v>
      </c>
      <c r="C1391" s="1" t="s">
        <v>625</v>
      </c>
      <c r="D1391" s="1" t="n">
        <v>21261</v>
      </c>
      <c r="E1391" s="1" t="s">
        <v>57</v>
      </c>
      <c r="F1391" s="201" t="n">
        <v>200025888712</v>
      </c>
      <c r="G1391" s="198" t="s">
        <v>578</v>
      </c>
      <c r="H1391" s="163" t="s">
        <v>427</v>
      </c>
      <c r="I1391" s="161" t="n">
        <v>48</v>
      </c>
      <c r="J1391" s="156" t="s">
        <v>192</v>
      </c>
      <c r="K1391" s="200" t="n">
        <v>45434.9039814815</v>
      </c>
      <c r="L1391" s="1" t="n">
        <v>2</v>
      </c>
      <c r="M1391" s="1" t="n">
        <v>21261</v>
      </c>
      <c r="N1391" s="1" t="n">
        <v>71</v>
      </c>
    </row>
    <row r="1392" customFormat="false" ht="14.25" hidden="false" customHeight="false" outlineLevel="0" collapsed="false">
      <c r="A1392" s="1" t="n">
        <v>89</v>
      </c>
      <c r="B1392" s="1" t="s">
        <v>624</v>
      </c>
      <c r="C1392" s="1" t="s">
        <v>625</v>
      </c>
      <c r="D1392" s="1" t="n">
        <v>21261</v>
      </c>
      <c r="E1392" s="1" t="s">
        <v>57</v>
      </c>
      <c r="F1392" s="201" t="n">
        <v>200025889281</v>
      </c>
      <c r="G1392" s="198" t="s">
        <v>570</v>
      </c>
      <c r="H1392" s="163" t="s">
        <v>279</v>
      </c>
      <c r="I1392" s="161" t="n">
        <v>12</v>
      </c>
      <c r="J1392" s="156" t="s">
        <v>192</v>
      </c>
      <c r="K1392" s="200" t="n">
        <v>45434.9045138889</v>
      </c>
      <c r="L1392" s="1" t="n">
        <v>1</v>
      </c>
      <c r="M1392" s="1" t="n">
        <v>21261</v>
      </c>
      <c r="N1392" s="1" t="n">
        <v>72</v>
      </c>
    </row>
    <row r="1393" customFormat="false" ht="14.25" hidden="false" customHeight="false" outlineLevel="0" collapsed="false">
      <c r="A1393" s="1" t="n">
        <v>90</v>
      </c>
      <c r="B1393" s="1" t="s">
        <v>624</v>
      </c>
      <c r="C1393" s="1" t="s">
        <v>625</v>
      </c>
      <c r="D1393" s="1" t="n">
        <v>21261</v>
      </c>
      <c r="E1393" s="1" t="s">
        <v>57</v>
      </c>
      <c r="F1393" s="201" t="n">
        <v>200025888479</v>
      </c>
      <c r="G1393" s="198" t="s">
        <v>640</v>
      </c>
      <c r="H1393" s="163" t="s">
        <v>254</v>
      </c>
      <c r="I1393" s="161" t="n">
        <v>9</v>
      </c>
      <c r="J1393" s="156" t="s">
        <v>192</v>
      </c>
      <c r="K1393" s="200" t="n">
        <v>45434.9059490741</v>
      </c>
      <c r="L1393" s="1" t="n">
        <v>3</v>
      </c>
      <c r="M1393" s="1" t="n">
        <v>21261</v>
      </c>
      <c r="N1393" s="1" t="n">
        <v>73</v>
      </c>
    </row>
    <row r="1394" customFormat="false" ht="14.25" hidden="false" customHeight="false" outlineLevel="0" collapsed="false">
      <c r="A1394" s="1" t="n">
        <v>91</v>
      </c>
      <c r="B1394" s="1" t="s">
        <v>624</v>
      </c>
      <c r="C1394" s="1" t="s">
        <v>625</v>
      </c>
      <c r="D1394" s="1" t="n">
        <v>21261</v>
      </c>
      <c r="E1394" s="1" t="s">
        <v>57</v>
      </c>
      <c r="F1394" s="201" t="n">
        <v>200025888479</v>
      </c>
      <c r="G1394" s="198" t="s">
        <v>640</v>
      </c>
      <c r="H1394" s="163" t="s">
        <v>254</v>
      </c>
      <c r="I1394" s="161" t="n">
        <v>9</v>
      </c>
      <c r="J1394" s="156" t="s">
        <v>192</v>
      </c>
      <c r="K1394" s="200" t="n">
        <v>45434.9079166667</v>
      </c>
      <c r="L1394" s="1" t="n">
        <v>1</v>
      </c>
      <c r="M1394" s="1" t="n">
        <v>21261</v>
      </c>
      <c r="N1394" s="1" t="n">
        <v>74</v>
      </c>
    </row>
    <row r="1395" customFormat="false" ht="14.25" hidden="false" customHeight="false" outlineLevel="0" collapsed="false">
      <c r="A1395" s="1" t="n">
        <v>92</v>
      </c>
      <c r="B1395" s="1" t="s">
        <v>624</v>
      </c>
      <c r="C1395" s="1" t="s">
        <v>625</v>
      </c>
      <c r="D1395" s="1" t="n">
        <v>21261</v>
      </c>
      <c r="E1395" s="1" t="s">
        <v>57</v>
      </c>
      <c r="F1395" s="201" t="n">
        <v>200025888748</v>
      </c>
      <c r="G1395" s="198" t="s">
        <v>626</v>
      </c>
      <c r="H1395" s="163" t="s">
        <v>430</v>
      </c>
      <c r="I1395" s="161" t="n">
        <v>85</v>
      </c>
      <c r="J1395" s="156" t="s">
        <v>192</v>
      </c>
      <c r="K1395" s="200" t="n">
        <v>45434.9088657407</v>
      </c>
      <c r="L1395" s="1" t="n">
        <v>0</v>
      </c>
      <c r="M1395" s="1" t="n">
        <v>21261</v>
      </c>
      <c r="N1395" s="1" t="n">
        <v>75</v>
      </c>
    </row>
    <row r="1396" customFormat="false" ht="14.25" hidden="false" customHeight="false" outlineLevel="0" collapsed="false">
      <c r="A1396" s="1" t="n">
        <v>93</v>
      </c>
      <c r="B1396" s="1" t="s">
        <v>624</v>
      </c>
      <c r="C1396" s="1" t="s">
        <v>625</v>
      </c>
      <c r="D1396" s="1" t="n">
        <v>21261</v>
      </c>
      <c r="E1396" s="1" t="s">
        <v>57</v>
      </c>
      <c r="F1396" s="201" t="n">
        <v>200025888664</v>
      </c>
      <c r="G1396" s="198" t="s">
        <v>592</v>
      </c>
      <c r="H1396" s="163" t="s">
        <v>415</v>
      </c>
      <c r="I1396" s="161" t="n">
        <v>75</v>
      </c>
      <c r="J1396" s="156" t="s">
        <v>192</v>
      </c>
      <c r="K1396" s="200" t="n">
        <v>45434.912349537</v>
      </c>
      <c r="L1396" s="1" t="n">
        <v>2</v>
      </c>
      <c r="M1396" s="1" t="n">
        <v>21261</v>
      </c>
      <c r="N1396" s="1" t="n">
        <v>76</v>
      </c>
    </row>
    <row r="1397" customFormat="false" ht="14.25" hidden="false" customHeight="false" outlineLevel="0" collapsed="false">
      <c r="A1397" s="1" t="n">
        <v>94</v>
      </c>
      <c r="B1397" s="1" t="s">
        <v>624</v>
      </c>
      <c r="C1397" s="1" t="s">
        <v>625</v>
      </c>
      <c r="D1397" s="1" t="n">
        <v>21261</v>
      </c>
      <c r="E1397" s="1" t="s">
        <v>57</v>
      </c>
      <c r="F1397" s="201" t="n">
        <v>200025888608</v>
      </c>
      <c r="G1397" s="198" t="s">
        <v>708</v>
      </c>
      <c r="H1397" s="163" t="s">
        <v>372</v>
      </c>
      <c r="I1397" s="161" t="n">
        <v>38</v>
      </c>
      <c r="J1397" s="156" t="s">
        <v>192</v>
      </c>
      <c r="K1397" s="200" t="n">
        <v>45434.9163310185</v>
      </c>
      <c r="L1397" s="1" t="n">
        <v>1</v>
      </c>
      <c r="M1397" s="1" t="n">
        <v>21261</v>
      </c>
      <c r="N1397" s="1" t="n">
        <v>77</v>
      </c>
    </row>
    <row r="1398" customFormat="false" ht="14.25" hidden="false" customHeight="false" outlineLevel="0" collapsed="false">
      <c r="A1398" s="1" t="n">
        <v>95</v>
      </c>
      <c r="B1398" s="1" t="s">
        <v>624</v>
      </c>
      <c r="C1398" s="1" t="s">
        <v>625</v>
      </c>
      <c r="D1398" s="1" t="n">
        <v>21261</v>
      </c>
      <c r="E1398" s="1" t="s">
        <v>57</v>
      </c>
      <c r="F1398" s="201" t="n">
        <v>200025888608</v>
      </c>
      <c r="G1398" s="198" t="s">
        <v>708</v>
      </c>
      <c r="H1398" s="163" t="s">
        <v>372</v>
      </c>
      <c r="I1398" s="161" t="n">
        <v>38</v>
      </c>
      <c r="J1398" s="156" t="s">
        <v>192</v>
      </c>
      <c r="K1398" s="200" t="n">
        <v>45434.9171064815</v>
      </c>
      <c r="L1398" s="1" t="n">
        <v>1</v>
      </c>
      <c r="M1398" s="1" t="n">
        <v>21261</v>
      </c>
      <c r="N1398" s="1" t="n">
        <v>78</v>
      </c>
    </row>
    <row r="1399" customFormat="false" ht="14.25" hidden="false" customHeight="false" outlineLevel="0" collapsed="false">
      <c r="A1399" s="1" t="n">
        <v>96</v>
      </c>
      <c r="B1399" s="1" t="s">
        <v>624</v>
      </c>
      <c r="C1399" s="1" t="s">
        <v>625</v>
      </c>
      <c r="D1399" s="1" t="n">
        <v>21261</v>
      </c>
      <c r="E1399" s="1" t="s">
        <v>57</v>
      </c>
      <c r="F1399" s="201" t="n">
        <v>200025888608</v>
      </c>
      <c r="G1399" s="198" t="s">
        <v>708</v>
      </c>
      <c r="H1399" s="163" t="s">
        <v>372</v>
      </c>
      <c r="I1399" s="161" t="n">
        <v>38</v>
      </c>
      <c r="J1399" s="156" t="s">
        <v>192</v>
      </c>
      <c r="K1399" s="200" t="n">
        <v>45434.9187037037</v>
      </c>
      <c r="L1399" s="1" t="n">
        <v>1</v>
      </c>
      <c r="M1399" s="1" t="n">
        <v>21261</v>
      </c>
      <c r="N1399" s="1" t="n">
        <v>79</v>
      </c>
    </row>
    <row r="1400" customFormat="false" ht="14.25" hidden="false" customHeight="false" outlineLevel="0" collapsed="false">
      <c r="A1400" s="1" t="n">
        <v>97</v>
      </c>
      <c r="B1400" s="1" t="s">
        <v>624</v>
      </c>
      <c r="C1400" s="1" t="s">
        <v>625</v>
      </c>
      <c r="D1400" s="1" t="n">
        <v>21261</v>
      </c>
      <c r="E1400" s="1" t="s">
        <v>57</v>
      </c>
      <c r="F1400" s="201" t="n">
        <v>200025888890</v>
      </c>
      <c r="G1400" s="198" t="s">
        <v>661</v>
      </c>
      <c r="H1400" s="163" t="s">
        <v>421</v>
      </c>
      <c r="I1400" s="161" t="n">
        <v>40</v>
      </c>
      <c r="J1400" s="156" t="s">
        <v>192</v>
      </c>
      <c r="K1400" s="200" t="n">
        <v>45434.9198032407</v>
      </c>
      <c r="L1400" s="1" t="n">
        <v>1</v>
      </c>
      <c r="M1400" s="1" t="n">
        <v>21261</v>
      </c>
      <c r="N1400" s="1" t="n">
        <v>80</v>
      </c>
    </row>
    <row r="1401" customFormat="false" ht="14.25" hidden="false" customHeight="false" outlineLevel="0" collapsed="false">
      <c r="A1401" s="1" t="n">
        <v>98</v>
      </c>
      <c r="B1401" s="1" t="s">
        <v>624</v>
      </c>
      <c r="C1401" s="1" t="s">
        <v>625</v>
      </c>
      <c r="D1401" s="1" t="n">
        <v>21261</v>
      </c>
      <c r="E1401" s="1" t="s">
        <v>57</v>
      </c>
      <c r="F1401" s="201" t="n">
        <v>200025889248</v>
      </c>
      <c r="G1401" s="198" t="s">
        <v>691</v>
      </c>
      <c r="H1401" s="163" t="s">
        <v>531</v>
      </c>
      <c r="I1401" s="161" t="n">
        <v>95</v>
      </c>
      <c r="J1401" s="156" t="s">
        <v>192</v>
      </c>
      <c r="K1401" s="200" t="n">
        <v>45434.9624189815</v>
      </c>
      <c r="L1401" s="1" t="n">
        <v>0</v>
      </c>
      <c r="M1401" s="1" t="n">
        <v>21261</v>
      </c>
      <c r="N1401" s="1" t="n">
        <v>81</v>
      </c>
    </row>
    <row r="1402" customFormat="false" ht="14.25" hidden="false" customHeight="false" outlineLevel="0" collapsed="false">
      <c r="A1402" s="1" t="n">
        <v>99</v>
      </c>
      <c r="B1402" s="1" t="s">
        <v>624</v>
      </c>
      <c r="C1402" s="1" t="s">
        <v>625</v>
      </c>
      <c r="D1402" s="1" t="n">
        <v>21261</v>
      </c>
      <c r="E1402" s="1" t="s">
        <v>57</v>
      </c>
      <c r="F1402" s="201" t="n">
        <v>200025889350</v>
      </c>
      <c r="G1402" s="198" t="s">
        <v>582</v>
      </c>
      <c r="H1402" s="163" t="s">
        <v>378</v>
      </c>
      <c r="I1402" s="161" t="n">
        <v>29</v>
      </c>
      <c r="J1402" s="156" t="s">
        <v>192</v>
      </c>
      <c r="K1402" s="200" t="n">
        <v>45435.042025463</v>
      </c>
      <c r="L1402" s="1" t="n">
        <v>2</v>
      </c>
      <c r="M1402" s="1" t="n">
        <v>21261</v>
      </c>
      <c r="N1402" s="1" t="n">
        <v>82</v>
      </c>
    </row>
    <row r="1403" customFormat="false" ht="14.25" hidden="false" customHeight="false" outlineLevel="0" collapsed="false">
      <c r="A1403" s="1" t="n">
        <v>100</v>
      </c>
      <c r="B1403" s="1" t="s">
        <v>624</v>
      </c>
      <c r="C1403" s="1" t="s">
        <v>625</v>
      </c>
      <c r="D1403" s="1" t="n">
        <v>21261</v>
      </c>
      <c r="E1403" s="1" t="s">
        <v>57</v>
      </c>
      <c r="F1403" s="201" t="n">
        <v>200025889350</v>
      </c>
      <c r="G1403" s="198" t="s">
        <v>582</v>
      </c>
      <c r="H1403" s="163" t="s">
        <v>378</v>
      </c>
      <c r="I1403" s="161" t="n">
        <v>29</v>
      </c>
      <c r="J1403" s="156" t="s">
        <v>192</v>
      </c>
      <c r="K1403" s="200" t="n">
        <v>45435.0444328704</v>
      </c>
      <c r="L1403" s="1" t="n">
        <v>1</v>
      </c>
      <c r="M1403" s="1" t="n">
        <v>21261</v>
      </c>
      <c r="N1403" s="1" t="n">
        <v>83</v>
      </c>
    </row>
    <row r="1404" customFormat="false" ht="14.25" hidden="false" customHeight="false" outlineLevel="0" collapsed="false">
      <c r="A1404" s="1" t="n">
        <v>101</v>
      </c>
      <c r="B1404" s="1" t="s">
        <v>624</v>
      </c>
      <c r="C1404" s="1" t="s">
        <v>625</v>
      </c>
      <c r="D1404" s="1" t="n">
        <v>21261</v>
      </c>
      <c r="E1404" s="1" t="s">
        <v>57</v>
      </c>
      <c r="F1404" s="201" t="n">
        <v>200025888299</v>
      </c>
      <c r="G1404" s="198" t="s">
        <v>629</v>
      </c>
      <c r="H1404" s="163" t="s">
        <v>312</v>
      </c>
      <c r="I1404" s="161" t="n">
        <v>43</v>
      </c>
      <c r="J1404" s="156" t="s">
        <v>192</v>
      </c>
      <c r="K1404" s="200" t="n">
        <v>45435.045775463</v>
      </c>
      <c r="L1404" s="1" t="n">
        <v>1</v>
      </c>
      <c r="M1404" s="1" t="n">
        <v>21261</v>
      </c>
      <c r="N1404" s="1" t="n">
        <v>84</v>
      </c>
    </row>
    <row r="1405" customFormat="false" ht="14.25" hidden="false" customHeight="false" outlineLevel="0" collapsed="false">
      <c r="A1405" s="1" t="n">
        <v>102</v>
      </c>
      <c r="B1405" s="1" t="s">
        <v>624</v>
      </c>
      <c r="C1405" s="1" t="s">
        <v>625</v>
      </c>
      <c r="D1405" s="1" t="n">
        <v>21261</v>
      </c>
      <c r="E1405" s="1" t="s">
        <v>57</v>
      </c>
      <c r="F1405" s="201" t="n">
        <v>200025888712</v>
      </c>
      <c r="G1405" s="198" t="s">
        <v>578</v>
      </c>
      <c r="H1405" s="163" t="s">
        <v>427</v>
      </c>
      <c r="I1405" s="161" t="n">
        <v>48</v>
      </c>
      <c r="J1405" s="156" t="s">
        <v>192</v>
      </c>
      <c r="K1405" s="200" t="n">
        <v>45435.0466550926</v>
      </c>
      <c r="L1405" s="1" t="n">
        <v>2</v>
      </c>
      <c r="M1405" s="1" t="n">
        <v>21261</v>
      </c>
      <c r="N1405" s="1" t="n">
        <v>85</v>
      </c>
    </row>
    <row r="1406" customFormat="false" ht="14.25" hidden="false" customHeight="false" outlineLevel="0" collapsed="false">
      <c r="A1406" s="1" t="n">
        <v>103</v>
      </c>
      <c r="B1406" s="1" t="s">
        <v>624</v>
      </c>
      <c r="C1406" s="1" t="s">
        <v>625</v>
      </c>
      <c r="D1406" s="1" t="n">
        <v>21261</v>
      </c>
      <c r="E1406" s="1" t="s">
        <v>57</v>
      </c>
      <c r="F1406" s="201" t="n">
        <v>200025888712</v>
      </c>
      <c r="G1406" s="198" t="s">
        <v>578</v>
      </c>
      <c r="H1406" s="163" t="s">
        <v>427</v>
      </c>
      <c r="I1406" s="161" t="n">
        <v>48</v>
      </c>
      <c r="J1406" s="156" t="s">
        <v>192</v>
      </c>
      <c r="K1406" s="200" t="n">
        <v>45435.0483680556</v>
      </c>
      <c r="L1406" s="1" t="n">
        <v>2</v>
      </c>
      <c r="M1406" s="1" t="n">
        <v>21261</v>
      </c>
      <c r="N1406" s="1" t="n">
        <v>86</v>
      </c>
    </row>
    <row r="1407" customFormat="false" ht="14.25" hidden="false" customHeight="false" outlineLevel="0" collapsed="false">
      <c r="A1407" s="1" t="n">
        <v>104</v>
      </c>
      <c r="B1407" s="1" t="s">
        <v>624</v>
      </c>
      <c r="C1407" s="1" t="s">
        <v>625</v>
      </c>
      <c r="D1407" s="1" t="n">
        <v>21261</v>
      </c>
      <c r="E1407" s="1" t="s">
        <v>57</v>
      </c>
      <c r="F1407" s="201" t="n">
        <v>200025888479</v>
      </c>
      <c r="G1407" s="198" t="s">
        <v>640</v>
      </c>
      <c r="H1407" s="163" t="s">
        <v>254</v>
      </c>
      <c r="I1407" s="161" t="n">
        <v>9</v>
      </c>
      <c r="J1407" s="156" t="s">
        <v>192</v>
      </c>
      <c r="K1407" s="200" t="n">
        <v>45435.0616550926</v>
      </c>
      <c r="L1407" s="1" t="n">
        <v>1</v>
      </c>
      <c r="M1407" s="1" t="n">
        <v>21261</v>
      </c>
      <c r="N1407" s="1" t="n">
        <v>87</v>
      </c>
    </row>
    <row r="1408" customFormat="false" ht="14.25" hidden="false" customHeight="false" outlineLevel="0" collapsed="false">
      <c r="A1408" s="1" t="n">
        <v>105</v>
      </c>
      <c r="B1408" s="1" t="s">
        <v>624</v>
      </c>
      <c r="C1408" s="1" t="s">
        <v>625</v>
      </c>
      <c r="D1408" s="1" t="n">
        <v>21261</v>
      </c>
      <c r="E1408" s="1" t="s">
        <v>57</v>
      </c>
      <c r="F1408" s="201" t="n">
        <v>200025888830</v>
      </c>
      <c r="G1408" s="198" t="s">
        <v>709</v>
      </c>
      <c r="H1408" s="163" t="s">
        <v>462</v>
      </c>
      <c r="I1408" s="161" t="n">
        <v>97</v>
      </c>
      <c r="J1408" s="156" t="s">
        <v>192</v>
      </c>
      <c r="K1408" s="200" t="n">
        <v>45435.0660532407</v>
      </c>
      <c r="L1408" s="1" t="n">
        <v>2</v>
      </c>
      <c r="M1408" s="1" t="n">
        <v>21261</v>
      </c>
      <c r="N1408" s="1" t="n">
        <v>88</v>
      </c>
    </row>
    <row r="1409" customFormat="false" ht="14.25" hidden="false" customHeight="false" outlineLevel="0" collapsed="false">
      <c r="A1409" s="1" t="n">
        <v>106</v>
      </c>
      <c r="B1409" s="1" t="s">
        <v>624</v>
      </c>
      <c r="C1409" s="1" t="s">
        <v>625</v>
      </c>
      <c r="D1409" s="1" t="n">
        <v>21261</v>
      </c>
      <c r="E1409" s="1" t="s">
        <v>57</v>
      </c>
      <c r="F1409" s="201" t="n">
        <v>200025888890</v>
      </c>
      <c r="G1409" s="198" t="s">
        <v>661</v>
      </c>
      <c r="H1409" s="163" t="s">
        <v>421</v>
      </c>
      <c r="I1409" s="161" t="n">
        <v>40</v>
      </c>
      <c r="J1409" s="156" t="s">
        <v>192</v>
      </c>
      <c r="K1409" s="200" t="n">
        <v>45435.0679282407</v>
      </c>
      <c r="L1409" s="1" t="n">
        <v>1</v>
      </c>
      <c r="M1409" s="1" t="n">
        <v>21261</v>
      </c>
      <c r="N1409" s="1" t="n">
        <v>89</v>
      </c>
    </row>
    <row r="1410" customFormat="false" ht="14.25" hidden="false" customHeight="false" outlineLevel="0" collapsed="false">
      <c r="A1410" s="1" t="n">
        <v>107</v>
      </c>
      <c r="B1410" s="1" t="s">
        <v>624</v>
      </c>
      <c r="C1410" s="1" t="s">
        <v>625</v>
      </c>
      <c r="D1410" s="1" t="n">
        <v>21261</v>
      </c>
      <c r="E1410" s="1" t="s">
        <v>57</v>
      </c>
      <c r="F1410" s="201" t="n">
        <v>200025888655</v>
      </c>
      <c r="G1410" s="198" t="s">
        <v>707</v>
      </c>
      <c r="H1410" s="163" t="s">
        <v>399</v>
      </c>
      <c r="I1410" s="161" t="n">
        <v>41</v>
      </c>
      <c r="J1410" s="156" t="s">
        <v>192</v>
      </c>
      <c r="K1410" s="200" t="n">
        <v>45435.0702546296</v>
      </c>
      <c r="L1410" s="1" t="n">
        <v>1</v>
      </c>
      <c r="M1410" s="1" t="n">
        <v>21261</v>
      </c>
      <c r="N1410" s="1" t="n">
        <v>90</v>
      </c>
    </row>
    <row r="1411" customFormat="false" ht="14.25" hidden="false" customHeight="false" outlineLevel="0" collapsed="false">
      <c r="A1411" s="1" t="n">
        <v>108</v>
      </c>
      <c r="B1411" s="1" t="s">
        <v>624</v>
      </c>
      <c r="C1411" s="1" t="s">
        <v>625</v>
      </c>
      <c r="D1411" s="1" t="n">
        <v>21261</v>
      </c>
      <c r="E1411" s="1" t="s">
        <v>57</v>
      </c>
      <c r="F1411" s="201" t="n">
        <v>200025888655</v>
      </c>
      <c r="G1411" s="198" t="s">
        <v>707</v>
      </c>
      <c r="H1411" s="163" t="s">
        <v>399</v>
      </c>
      <c r="I1411" s="161" t="n">
        <v>41</v>
      </c>
      <c r="J1411" s="156" t="s">
        <v>192</v>
      </c>
      <c r="K1411" s="200" t="n">
        <v>45435.0709606482</v>
      </c>
      <c r="L1411" s="1" t="n">
        <v>1</v>
      </c>
      <c r="M1411" s="1" t="n">
        <v>21261</v>
      </c>
      <c r="N1411" s="1" t="n">
        <v>91</v>
      </c>
    </row>
    <row r="1412" customFormat="false" ht="14.25" hidden="false" customHeight="false" outlineLevel="0" collapsed="false">
      <c r="A1412" s="1" t="n">
        <v>109</v>
      </c>
      <c r="B1412" s="1" t="s">
        <v>624</v>
      </c>
      <c r="C1412" s="1" t="s">
        <v>625</v>
      </c>
      <c r="D1412" s="1" t="n">
        <v>21261</v>
      </c>
      <c r="E1412" s="1" t="s">
        <v>57</v>
      </c>
      <c r="F1412" s="201" t="n">
        <v>200025889447</v>
      </c>
      <c r="G1412" s="198" t="s">
        <v>710</v>
      </c>
      <c r="H1412" s="163" t="s">
        <v>528</v>
      </c>
      <c r="I1412" s="161" t="n">
        <v>91</v>
      </c>
      <c r="J1412" s="156" t="s">
        <v>192</v>
      </c>
      <c r="K1412" s="200" t="n">
        <v>45435.0715393519</v>
      </c>
      <c r="L1412" s="1" t="n">
        <v>0</v>
      </c>
      <c r="M1412" s="1" t="n">
        <v>21261</v>
      </c>
      <c r="N1412" s="1" t="n">
        <v>92</v>
      </c>
    </row>
    <row r="1413" customFormat="false" ht="14.25" hidden="false" customHeight="false" outlineLevel="0" collapsed="false">
      <c r="A1413" s="1" t="n">
        <v>110</v>
      </c>
      <c r="B1413" s="1" t="s">
        <v>624</v>
      </c>
      <c r="C1413" s="1" t="s">
        <v>625</v>
      </c>
      <c r="D1413" s="1" t="n">
        <v>21261</v>
      </c>
      <c r="E1413" s="1" t="s">
        <v>57</v>
      </c>
      <c r="F1413" s="201" t="n">
        <v>200025889447</v>
      </c>
      <c r="G1413" s="198" t="s">
        <v>710</v>
      </c>
      <c r="H1413" s="163" t="s">
        <v>528</v>
      </c>
      <c r="I1413" s="161" t="n">
        <v>91</v>
      </c>
      <c r="J1413" s="156" t="s">
        <v>192</v>
      </c>
      <c r="K1413" s="200" t="n">
        <v>45435.0715509259</v>
      </c>
      <c r="L1413" s="1" t="n">
        <v>0</v>
      </c>
      <c r="M1413" s="1" t="n">
        <v>21261</v>
      </c>
      <c r="N1413" s="1" t="n">
        <v>93</v>
      </c>
    </row>
    <row r="1414" customFormat="false" ht="14.25" hidden="false" customHeight="false" outlineLevel="0" collapsed="false">
      <c r="A1414" s="1" t="n">
        <v>111</v>
      </c>
      <c r="B1414" s="1" t="s">
        <v>624</v>
      </c>
      <c r="C1414" s="1" t="s">
        <v>625</v>
      </c>
      <c r="D1414" s="1" t="n">
        <v>21261</v>
      </c>
      <c r="E1414" s="1" t="s">
        <v>57</v>
      </c>
      <c r="F1414" s="201" t="n">
        <v>200025889447</v>
      </c>
      <c r="G1414" s="198" t="s">
        <v>710</v>
      </c>
      <c r="H1414" s="163" t="s">
        <v>528</v>
      </c>
      <c r="I1414" s="161" t="n">
        <v>91</v>
      </c>
      <c r="J1414" s="156" t="s">
        <v>192</v>
      </c>
      <c r="K1414" s="200" t="n">
        <v>45435.0715625</v>
      </c>
      <c r="L1414" s="1" t="n">
        <v>1</v>
      </c>
      <c r="M1414" s="1" t="n">
        <v>21261</v>
      </c>
      <c r="N1414" s="1" t="n">
        <v>94</v>
      </c>
    </row>
    <row r="1415" customFormat="false" ht="14.25" hidden="false" customHeight="false" outlineLevel="0" collapsed="false">
      <c r="A1415" s="1" t="n">
        <v>112</v>
      </c>
      <c r="B1415" s="1" t="s">
        <v>624</v>
      </c>
      <c r="C1415" s="1" t="s">
        <v>625</v>
      </c>
      <c r="D1415" s="1" t="n">
        <v>21261</v>
      </c>
      <c r="E1415" s="1" t="s">
        <v>57</v>
      </c>
      <c r="F1415" s="201" t="n">
        <v>200025888655</v>
      </c>
      <c r="G1415" s="198" t="s">
        <v>707</v>
      </c>
      <c r="H1415" s="163" t="s">
        <v>399</v>
      </c>
      <c r="I1415" s="161" t="n">
        <v>41</v>
      </c>
      <c r="J1415" s="156" t="s">
        <v>192</v>
      </c>
      <c r="K1415" s="200" t="n">
        <v>45435.0728819444</v>
      </c>
      <c r="L1415" s="1" t="n">
        <v>1</v>
      </c>
      <c r="M1415" s="1" t="n">
        <v>21261</v>
      </c>
      <c r="N1415" s="1" t="n">
        <v>95</v>
      </c>
    </row>
    <row r="1416" customFormat="false" ht="14.25" hidden="false" customHeight="false" outlineLevel="0" collapsed="false">
      <c r="A1416" s="1" t="n">
        <v>113</v>
      </c>
      <c r="B1416" s="1" t="s">
        <v>624</v>
      </c>
      <c r="C1416" s="1" t="s">
        <v>625</v>
      </c>
      <c r="D1416" s="1" t="n">
        <v>21261</v>
      </c>
      <c r="E1416" s="1" t="s">
        <v>57</v>
      </c>
      <c r="F1416" s="201" t="n">
        <v>200025888655</v>
      </c>
      <c r="G1416" s="198" t="s">
        <v>707</v>
      </c>
      <c r="H1416" s="163" t="s">
        <v>399</v>
      </c>
      <c r="I1416" s="161" t="n">
        <v>41</v>
      </c>
      <c r="J1416" s="156" t="s">
        <v>192</v>
      </c>
      <c r="K1416" s="200" t="n">
        <v>45435.0728935185</v>
      </c>
      <c r="L1416" s="1" t="n">
        <v>1</v>
      </c>
      <c r="M1416" s="1" t="n">
        <v>21261</v>
      </c>
      <c r="N1416" s="1" t="n">
        <v>96</v>
      </c>
    </row>
    <row r="1417" customFormat="false" ht="14.25" hidden="false" customHeight="false" outlineLevel="0" collapsed="false">
      <c r="A1417" s="1" t="n">
        <v>114</v>
      </c>
      <c r="B1417" s="1" t="s">
        <v>624</v>
      </c>
      <c r="C1417" s="1" t="s">
        <v>625</v>
      </c>
      <c r="D1417" s="1" t="n">
        <v>21261</v>
      </c>
      <c r="E1417" s="1" t="s">
        <v>57</v>
      </c>
      <c r="F1417" s="201" t="n">
        <v>200025888830</v>
      </c>
      <c r="G1417" s="198" t="s">
        <v>709</v>
      </c>
      <c r="H1417" s="163" t="s">
        <v>462</v>
      </c>
      <c r="I1417" s="161" t="n">
        <v>97</v>
      </c>
      <c r="J1417" s="156" t="s">
        <v>192</v>
      </c>
      <c r="K1417" s="200" t="n">
        <v>45435.0736111111</v>
      </c>
      <c r="L1417" s="1" t="n">
        <v>3</v>
      </c>
      <c r="M1417" s="1" t="n">
        <v>21261</v>
      </c>
      <c r="N1417" s="1" t="n">
        <v>97</v>
      </c>
    </row>
    <row r="1418" customFormat="false" ht="14.25" hidden="false" customHeight="false" outlineLevel="0" collapsed="false">
      <c r="A1418" s="1" t="n">
        <v>115</v>
      </c>
      <c r="B1418" s="1" t="s">
        <v>624</v>
      </c>
      <c r="C1418" s="1" t="s">
        <v>625</v>
      </c>
      <c r="D1418" s="1" t="n">
        <v>21261</v>
      </c>
      <c r="E1418" s="1" t="s">
        <v>57</v>
      </c>
      <c r="F1418" s="201" t="n">
        <v>200025889281</v>
      </c>
      <c r="G1418" s="198" t="s">
        <v>570</v>
      </c>
      <c r="H1418" s="163" t="s">
        <v>279</v>
      </c>
      <c r="I1418" s="161" t="n">
        <v>12</v>
      </c>
      <c r="J1418" s="156" t="s">
        <v>192</v>
      </c>
      <c r="K1418" s="200" t="n">
        <v>45435.0748726852</v>
      </c>
      <c r="L1418" s="1" t="n">
        <v>2</v>
      </c>
      <c r="M1418" s="1" t="n">
        <v>21261</v>
      </c>
      <c r="N1418" s="1" t="n">
        <v>98</v>
      </c>
    </row>
    <row r="1419" customFormat="false" ht="14.25" hidden="false" customHeight="false" outlineLevel="0" collapsed="false">
      <c r="A1419" s="1" t="n">
        <v>116</v>
      </c>
      <c r="B1419" s="1" t="s">
        <v>624</v>
      </c>
      <c r="C1419" s="1" t="s">
        <v>625</v>
      </c>
      <c r="D1419" s="1" t="n">
        <v>21261</v>
      </c>
      <c r="E1419" s="1" t="s">
        <v>57</v>
      </c>
      <c r="F1419" s="201" t="n">
        <v>200025889281</v>
      </c>
      <c r="G1419" s="198" t="s">
        <v>570</v>
      </c>
      <c r="H1419" s="163" t="s">
        <v>279</v>
      </c>
      <c r="I1419" s="161" t="n">
        <v>12</v>
      </c>
      <c r="J1419" s="156" t="s">
        <v>192</v>
      </c>
      <c r="K1419" s="200" t="n">
        <v>45435.0757060185</v>
      </c>
      <c r="L1419" s="1" t="n">
        <v>2</v>
      </c>
      <c r="M1419" s="1" t="n">
        <v>21261</v>
      </c>
      <c r="N1419" s="1" t="n">
        <v>99</v>
      </c>
    </row>
    <row r="1420" customFormat="false" ht="14.25" hidden="false" customHeight="false" outlineLevel="0" collapsed="false">
      <c r="A1420" s="1" t="n">
        <v>117</v>
      </c>
      <c r="B1420" s="1" t="s">
        <v>624</v>
      </c>
      <c r="C1420" s="1" t="s">
        <v>625</v>
      </c>
      <c r="D1420" s="1" t="n">
        <v>21261</v>
      </c>
      <c r="E1420" s="1" t="s">
        <v>57</v>
      </c>
      <c r="F1420" s="201" t="n">
        <v>200025888999</v>
      </c>
      <c r="G1420" s="198" t="s">
        <v>604</v>
      </c>
      <c r="H1420" s="163" t="s">
        <v>489</v>
      </c>
      <c r="I1420" s="161" t="n">
        <v>82</v>
      </c>
      <c r="J1420" s="156" t="s">
        <v>192</v>
      </c>
      <c r="K1420" s="200" t="n">
        <v>45435.0932175926</v>
      </c>
      <c r="L1420" s="1" t="n">
        <v>3</v>
      </c>
      <c r="M1420" s="1" t="n">
        <v>21261</v>
      </c>
      <c r="N1420" s="1" t="n">
        <v>100</v>
      </c>
    </row>
    <row r="1421" customFormat="false" ht="14.25" hidden="false" customHeight="false" outlineLevel="0" collapsed="false">
      <c r="A1421" s="1" t="n">
        <v>118</v>
      </c>
      <c r="B1421" s="1" t="s">
        <v>624</v>
      </c>
      <c r="C1421" s="1" t="s">
        <v>625</v>
      </c>
      <c r="D1421" s="1" t="n">
        <v>21261</v>
      </c>
      <c r="E1421" s="1" t="s">
        <v>57</v>
      </c>
      <c r="F1421" s="201" t="n">
        <v>200025888999</v>
      </c>
      <c r="G1421" s="198" t="s">
        <v>604</v>
      </c>
      <c r="H1421" s="163" t="s">
        <v>489</v>
      </c>
      <c r="I1421" s="161" t="n">
        <v>82</v>
      </c>
      <c r="J1421" s="156" t="s">
        <v>192</v>
      </c>
      <c r="K1421" s="200" t="n">
        <v>45435.0978472222</v>
      </c>
      <c r="L1421" s="1" t="n">
        <v>1</v>
      </c>
      <c r="M1421" s="1" t="n">
        <v>21261</v>
      </c>
      <c r="N1421" s="1" t="n">
        <v>101</v>
      </c>
    </row>
    <row r="1422" customFormat="false" ht="14.25" hidden="false" customHeight="false" outlineLevel="0" collapsed="false">
      <c r="A1422" s="1" t="n">
        <v>119</v>
      </c>
      <c r="B1422" s="1" t="s">
        <v>624</v>
      </c>
      <c r="C1422" s="1" t="s">
        <v>625</v>
      </c>
      <c r="D1422" s="1" t="n">
        <v>21261</v>
      </c>
      <c r="E1422" s="1" t="s">
        <v>57</v>
      </c>
      <c r="F1422" s="201" t="n">
        <v>200025888830</v>
      </c>
      <c r="G1422" s="198" t="s">
        <v>709</v>
      </c>
      <c r="H1422" s="163" t="s">
        <v>462</v>
      </c>
      <c r="I1422" s="161" t="n">
        <v>97</v>
      </c>
      <c r="J1422" s="156" t="s">
        <v>192</v>
      </c>
      <c r="K1422" s="200" t="n">
        <v>45435.0998611111</v>
      </c>
      <c r="L1422" s="1" t="n">
        <v>1</v>
      </c>
      <c r="M1422" s="1" t="n">
        <v>21261</v>
      </c>
      <c r="N1422" s="1" t="n">
        <v>102</v>
      </c>
    </row>
    <row r="1423" customFormat="false" ht="14.25" hidden="false" customHeight="false" outlineLevel="0" collapsed="false">
      <c r="A1423" s="1" t="n">
        <v>120</v>
      </c>
      <c r="B1423" s="1" t="s">
        <v>624</v>
      </c>
      <c r="C1423" s="1" t="s">
        <v>625</v>
      </c>
      <c r="D1423" s="1" t="n">
        <v>21261</v>
      </c>
      <c r="E1423" s="1" t="s">
        <v>57</v>
      </c>
      <c r="F1423" s="201" t="n">
        <v>200025888479</v>
      </c>
      <c r="G1423" s="198" t="s">
        <v>640</v>
      </c>
      <c r="H1423" s="163" t="s">
        <v>254</v>
      </c>
      <c r="I1423" s="161" t="n">
        <v>9</v>
      </c>
      <c r="J1423" s="156" t="s">
        <v>192</v>
      </c>
      <c r="K1423" s="200" t="n">
        <v>45435.1008333333</v>
      </c>
      <c r="L1423" s="1" t="n">
        <v>11</v>
      </c>
      <c r="M1423" s="1" t="n">
        <v>21261</v>
      </c>
      <c r="N1423" s="1" t="n">
        <v>103</v>
      </c>
    </row>
    <row r="1424" customFormat="false" ht="14.25" hidden="false" customHeight="false" outlineLevel="0" collapsed="false">
      <c r="A1424" s="1" t="n">
        <v>121</v>
      </c>
      <c r="B1424" s="1" t="s">
        <v>624</v>
      </c>
      <c r="C1424" s="1" t="s">
        <v>625</v>
      </c>
      <c r="D1424" s="1" t="n">
        <v>21261</v>
      </c>
      <c r="E1424" s="1" t="s">
        <v>57</v>
      </c>
      <c r="F1424" s="201" t="n">
        <v>200025888479</v>
      </c>
      <c r="G1424" s="198" t="s">
        <v>640</v>
      </c>
      <c r="H1424" s="163" t="s">
        <v>254</v>
      </c>
      <c r="I1424" s="161" t="n">
        <v>9</v>
      </c>
      <c r="J1424" s="156" t="s">
        <v>192</v>
      </c>
      <c r="K1424" s="200" t="n">
        <v>45435.1013310185</v>
      </c>
      <c r="L1424" s="1" t="n">
        <v>2</v>
      </c>
      <c r="M1424" s="1" t="n">
        <v>21261</v>
      </c>
      <c r="N1424" s="1" t="n">
        <v>104</v>
      </c>
    </row>
    <row r="1425" customFormat="false" ht="14.25" hidden="false" customHeight="false" outlineLevel="0" collapsed="false">
      <c r="A1425" s="1" t="n">
        <v>122</v>
      </c>
      <c r="B1425" s="1" t="s">
        <v>624</v>
      </c>
      <c r="C1425" s="1" t="s">
        <v>625</v>
      </c>
      <c r="D1425" s="1" t="n">
        <v>21261</v>
      </c>
      <c r="E1425" s="1" t="s">
        <v>57</v>
      </c>
      <c r="F1425" s="201" t="n">
        <v>200025889226</v>
      </c>
      <c r="G1425" s="198" t="s">
        <v>610</v>
      </c>
      <c r="H1425" s="163" t="s">
        <v>486</v>
      </c>
      <c r="I1425" s="161" t="n">
        <v>69</v>
      </c>
      <c r="J1425" s="156" t="s">
        <v>192</v>
      </c>
      <c r="K1425" s="200" t="n">
        <v>45435.1028356482</v>
      </c>
      <c r="L1425" s="1" t="n">
        <v>10</v>
      </c>
      <c r="M1425" s="1" t="n">
        <v>21261</v>
      </c>
      <c r="N1425" s="1" t="n">
        <v>105</v>
      </c>
    </row>
    <row r="1426" customFormat="false" ht="14.25" hidden="false" customHeight="false" outlineLevel="0" collapsed="false">
      <c r="A1426" s="1" t="n">
        <v>123</v>
      </c>
      <c r="B1426" s="1" t="s">
        <v>624</v>
      </c>
      <c r="C1426" s="1" t="s">
        <v>625</v>
      </c>
      <c r="D1426" s="1" t="n">
        <v>21261</v>
      </c>
      <c r="E1426" s="1" t="s">
        <v>57</v>
      </c>
      <c r="F1426" s="201" t="n">
        <v>200025888828</v>
      </c>
      <c r="G1426" s="198" t="s">
        <v>606</v>
      </c>
      <c r="H1426" s="163" t="s">
        <v>456</v>
      </c>
      <c r="I1426" s="161" t="n">
        <v>113</v>
      </c>
      <c r="J1426" s="156" t="s">
        <v>192</v>
      </c>
      <c r="K1426" s="200" t="n">
        <v>45435.105625</v>
      </c>
      <c r="L1426" s="1" t="n">
        <v>3</v>
      </c>
      <c r="M1426" s="1" t="n">
        <v>21261</v>
      </c>
      <c r="N1426" s="1" t="n">
        <v>106</v>
      </c>
    </row>
    <row r="1427" customFormat="false" ht="14.25" hidden="false" customHeight="false" outlineLevel="0" collapsed="false">
      <c r="A1427" s="1" t="n">
        <v>124</v>
      </c>
      <c r="B1427" s="1" t="s">
        <v>624</v>
      </c>
      <c r="C1427" s="1" t="s">
        <v>625</v>
      </c>
      <c r="D1427" s="1" t="n">
        <v>21261</v>
      </c>
      <c r="E1427" s="1" t="s">
        <v>57</v>
      </c>
      <c r="F1427" s="201" t="n">
        <v>200025888828</v>
      </c>
      <c r="G1427" s="198" t="s">
        <v>606</v>
      </c>
      <c r="H1427" s="163" t="s">
        <v>456</v>
      </c>
      <c r="I1427" s="161" t="n">
        <v>113</v>
      </c>
      <c r="J1427" s="156" t="s">
        <v>192</v>
      </c>
      <c r="K1427" s="200" t="n">
        <v>45435.1071643519</v>
      </c>
      <c r="L1427" s="1" t="n">
        <v>2</v>
      </c>
      <c r="M1427" s="1" t="n">
        <v>21261</v>
      </c>
      <c r="N1427" s="1" t="n">
        <v>107</v>
      </c>
    </row>
    <row r="1428" customFormat="false" ht="14.25" hidden="false" customHeight="false" outlineLevel="0" collapsed="false">
      <c r="A1428" s="1" t="n">
        <v>125</v>
      </c>
      <c r="B1428" s="1" t="s">
        <v>624</v>
      </c>
      <c r="C1428" s="1" t="s">
        <v>625</v>
      </c>
      <c r="D1428" s="1" t="n">
        <v>21261</v>
      </c>
      <c r="E1428" s="1" t="s">
        <v>57</v>
      </c>
      <c r="F1428" s="201" t="n">
        <v>200025888828</v>
      </c>
      <c r="G1428" s="198" t="s">
        <v>606</v>
      </c>
      <c r="H1428" s="163" t="s">
        <v>456</v>
      </c>
      <c r="I1428" s="161" t="n">
        <v>113</v>
      </c>
      <c r="J1428" s="156" t="s">
        <v>192</v>
      </c>
      <c r="K1428" s="200" t="n">
        <v>45435.1074305556</v>
      </c>
      <c r="L1428" s="1" t="n">
        <v>2</v>
      </c>
      <c r="M1428" s="1" t="n">
        <v>21261</v>
      </c>
      <c r="N1428" s="1" t="n">
        <v>108</v>
      </c>
    </row>
    <row r="1429" customFormat="false" ht="14.25" hidden="false" customHeight="false" outlineLevel="0" collapsed="false">
      <c r="A1429" s="1" t="n">
        <v>126</v>
      </c>
      <c r="B1429" s="1" t="s">
        <v>624</v>
      </c>
      <c r="C1429" s="1" t="s">
        <v>625</v>
      </c>
      <c r="D1429" s="1" t="n">
        <v>21261</v>
      </c>
      <c r="E1429" s="1" t="s">
        <v>57</v>
      </c>
      <c r="F1429" s="201" t="n">
        <v>200025888828</v>
      </c>
      <c r="G1429" s="198" t="s">
        <v>606</v>
      </c>
      <c r="H1429" s="163" t="s">
        <v>456</v>
      </c>
      <c r="I1429" s="161" t="n">
        <v>113</v>
      </c>
      <c r="J1429" s="156" t="s">
        <v>192</v>
      </c>
      <c r="K1429" s="200" t="n">
        <v>45435.1078009259</v>
      </c>
      <c r="L1429" s="1" t="n">
        <v>2</v>
      </c>
      <c r="M1429" s="1" t="n">
        <v>21261</v>
      </c>
      <c r="N1429" s="1" t="n">
        <v>109</v>
      </c>
    </row>
    <row r="1430" customFormat="false" ht="14.25" hidden="false" customHeight="false" outlineLevel="0" collapsed="false">
      <c r="A1430" s="1" t="n">
        <v>127</v>
      </c>
      <c r="B1430" s="1" t="s">
        <v>624</v>
      </c>
      <c r="C1430" s="1" t="s">
        <v>625</v>
      </c>
      <c r="D1430" s="1" t="n">
        <v>21261</v>
      </c>
      <c r="E1430" s="1" t="s">
        <v>57</v>
      </c>
      <c r="F1430" s="201" t="n">
        <v>200025888299</v>
      </c>
      <c r="G1430" s="198" t="s">
        <v>629</v>
      </c>
      <c r="H1430" s="163" t="s">
        <v>312</v>
      </c>
      <c r="I1430" s="161" t="n">
        <v>43</v>
      </c>
      <c r="J1430" s="156" t="s">
        <v>192</v>
      </c>
      <c r="K1430" s="200" t="n">
        <v>45435.1083680556</v>
      </c>
      <c r="L1430" s="1" t="n">
        <v>1</v>
      </c>
      <c r="M1430" s="1" t="n">
        <v>21261</v>
      </c>
      <c r="N1430" s="1" t="n">
        <v>110</v>
      </c>
    </row>
    <row r="1431" customFormat="false" ht="14.25" hidden="false" customHeight="false" outlineLevel="0" collapsed="false">
      <c r="A1431" s="1" t="n">
        <v>128</v>
      </c>
      <c r="B1431" s="1" t="s">
        <v>624</v>
      </c>
      <c r="C1431" s="1" t="s">
        <v>625</v>
      </c>
      <c r="D1431" s="1" t="n">
        <v>21261</v>
      </c>
      <c r="E1431" s="1" t="s">
        <v>57</v>
      </c>
      <c r="F1431" s="201" t="n">
        <v>200025888299</v>
      </c>
      <c r="G1431" s="198" t="s">
        <v>629</v>
      </c>
      <c r="H1431" s="163" t="s">
        <v>312</v>
      </c>
      <c r="I1431" s="161" t="n">
        <v>43</v>
      </c>
      <c r="J1431" s="156" t="s">
        <v>192</v>
      </c>
      <c r="K1431" s="200" t="n">
        <v>45435.1087037037</v>
      </c>
      <c r="L1431" s="1" t="n">
        <v>2</v>
      </c>
      <c r="M1431" s="1" t="n">
        <v>21261</v>
      </c>
      <c r="N1431" s="1" t="n">
        <v>111</v>
      </c>
    </row>
    <row r="1432" customFormat="false" ht="14.25" hidden="false" customHeight="false" outlineLevel="0" collapsed="false">
      <c r="A1432" s="1" t="n">
        <v>129</v>
      </c>
      <c r="B1432" s="1" t="s">
        <v>624</v>
      </c>
      <c r="C1432" s="1" t="s">
        <v>625</v>
      </c>
      <c r="D1432" s="1" t="n">
        <v>21261</v>
      </c>
      <c r="E1432" s="1" t="s">
        <v>57</v>
      </c>
      <c r="F1432" s="201" t="n">
        <v>200025888272</v>
      </c>
      <c r="G1432" s="198" t="s">
        <v>711</v>
      </c>
      <c r="H1432" s="163" t="s">
        <v>300</v>
      </c>
      <c r="I1432" s="161" t="n">
        <v>57</v>
      </c>
      <c r="J1432" s="156" t="s">
        <v>192</v>
      </c>
      <c r="K1432" s="200" t="n">
        <v>45435.1253819445</v>
      </c>
      <c r="L1432" s="1" t="n">
        <v>1</v>
      </c>
      <c r="M1432" s="1" t="n">
        <v>21261</v>
      </c>
      <c r="N1432" s="1" t="n">
        <v>112</v>
      </c>
    </row>
    <row r="1433" customFormat="false" ht="14.25" hidden="false" customHeight="false" outlineLevel="0" collapsed="false">
      <c r="A1433" s="1" t="n">
        <v>130</v>
      </c>
      <c r="B1433" s="1" t="s">
        <v>624</v>
      </c>
      <c r="C1433" s="1" t="s">
        <v>625</v>
      </c>
      <c r="D1433" s="1" t="n">
        <v>21261</v>
      </c>
      <c r="E1433" s="1" t="s">
        <v>57</v>
      </c>
      <c r="F1433" s="201" t="n">
        <v>200025888272</v>
      </c>
      <c r="G1433" s="198" t="s">
        <v>711</v>
      </c>
      <c r="H1433" s="163" t="s">
        <v>300</v>
      </c>
      <c r="I1433" s="161" t="n">
        <v>57</v>
      </c>
      <c r="J1433" s="156" t="s">
        <v>192</v>
      </c>
      <c r="K1433" s="200" t="n">
        <v>45435.1267592593</v>
      </c>
      <c r="L1433" s="1" t="n">
        <v>4</v>
      </c>
      <c r="M1433" s="1" t="n">
        <v>21261</v>
      </c>
      <c r="N1433" s="1" t="n">
        <v>113</v>
      </c>
    </row>
    <row r="1434" customFormat="false" ht="14.25" hidden="false" customHeight="false" outlineLevel="0" collapsed="false">
      <c r="A1434" s="1" t="n">
        <v>131</v>
      </c>
      <c r="B1434" s="1" t="s">
        <v>624</v>
      </c>
      <c r="C1434" s="1" t="s">
        <v>625</v>
      </c>
      <c r="D1434" s="1" t="n">
        <v>21261</v>
      </c>
      <c r="E1434" s="1" t="s">
        <v>57</v>
      </c>
      <c r="F1434" s="201" t="n">
        <v>200025888272</v>
      </c>
      <c r="G1434" s="198" t="s">
        <v>711</v>
      </c>
      <c r="H1434" s="163" t="s">
        <v>300</v>
      </c>
      <c r="I1434" s="161" t="n">
        <v>57</v>
      </c>
      <c r="J1434" s="156" t="s">
        <v>192</v>
      </c>
      <c r="K1434" s="200" t="n">
        <v>45435.1268055556</v>
      </c>
      <c r="L1434" s="1" t="n">
        <v>1</v>
      </c>
      <c r="M1434" s="1" t="n">
        <v>21261</v>
      </c>
      <c r="N1434" s="1" t="n">
        <v>114</v>
      </c>
    </row>
    <row r="1435" customFormat="false" ht="14.25" hidden="false" customHeight="false" outlineLevel="0" collapsed="false">
      <c r="A1435" s="1" t="n">
        <v>132</v>
      </c>
      <c r="B1435" s="1" t="s">
        <v>624</v>
      </c>
      <c r="C1435" s="1" t="s">
        <v>625</v>
      </c>
      <c r="D1435" s="1" t="n">
        <v>21261</v>
      </c>
      <c r="E1435" s="1" t="s">
        <v>57</v>
      </c>
      <c r="F1435" s="201" t="n">
        <v>200025889281</v>
      </c>
      <c r="G1435" s="198" t="s">
        <v>570</v>
      </c>
      <c r="H1435" s="163" t="s">
        <v>279</v>
      </c>
      <c r="I1435" s="161" t="n">
        <v>12</v>
      </c>
      <c r="J1435" s="156" t="s">
        <v>192</v>
      </c>
      <c r="K1435" s="200" t="n">
        <v>45435.221412037</v>
      </c>
      <c r="L1435" s="1" t="n">
        <v>2</v>
      </c>
      <c r="M1435" s="1" t="n">
        <v>21261</v>
      </c>
      <c r="N1435" s="1" t="n">
        <v>115</v>
      </c>
    </row>
    <row r="1436" customFormat="false" ht="14.25" hidden="false" customHeight="false" outlineLevel="0" collapsed="false">
      <c r="A1436" s="1" t="n">
        <v>133</v>
      </c>
      <c r="B1436" s="1" t="s">
        <v>624</v>
      </c>
      <c r="C1436" s="1" t="s">
        <v>625</v>
      </c>
      <c r="D1436" s="1" t="n">
        <v>21261</v>
      </c>
      <c r="E1436" s="1" t="s">
        <v>57</v>
      </c>
      <c r="F1436" s="201" t="n">
        <v>200025888479</v>
      </c>
      <c r="G1436" s="198" t="s">
        <v>640</v>
      </c>
      <c r="H1436" s="163" t="s">
        <v>254</v>
      </c>
      <c r="I1436" s="161" t="n">
        <v>9</v>
      </c>
      <c r="J1436" s="156" t="s">
        <v>192</v>
      </c>
      <c r="K1436" s="200" t="n">
        <v>45435.2227777778</v>
      </c>
      <c r="L1436" s="1" t="n">
        <v>3</v>
      </c>
      <c r="M1436" s="1" t="n">
        <v>21261</v>
      </c>
      <c r="N1436" s="1" t="n">
        <v>116</v>
      </c>
    </row>
    <row r="1437" customFormat="false" ht="14.25" hidden="false" customHeight="false" outlineLevel="0" collapsed="false">
      <c r="A1437" s="1" t="n">
        <v>134</v>
      </c>
      <c r="B1437" s="1" t="s">
        <v>624</v>
      </c>
      <c r="C1437" s="1" t="s">
        <v>625</v>
      </c>
      <c r="D1437" s="1" t="n">
        <v>21261</v>
      </c>
      <c r="E1437" s="1" t="s">
        <v>57</v>
      </c>
      <c r="F1437" s="201" t="n">
        <v>200025889101</v>
      </c>
      <c r="G1437" s="198" t="s">
        <v>600</v>
      </c>
      <c r="H1437" s="163" t="s">
        <v>236</v>
      </c>
      <c r="I1437" s="161" t="n">
        <v>7</v>
      </c>
      <c r="J1437" s="156" t="s">
        <v>192</v>
      </c>
      <c r="K1437" s="200" t="n">
        <v>45435.2269560185</v>
      </c>
      <c r="L1437" s="1" t="n">
        <v>2</v>
      </c>
      <c r="M1437" s="1" t="n">
        <v>21261</v>
      </c>
      <c r="N1437" s="1" t="n">
        <v>117</v>
      </c>
    </row>
    <row r="1438" customFormat="false" ht="14.25" hidden="false" customHeight="false" outlineLevel="0" collapsed="false">
      <c r="A1438" s="1" t="n">
        <v>135</v>
      </c>
      <c r="B1438" s="1" t="s">
        <v>624</v>
      </c>
      <c r="C1438" s="1" t="s">
        <v>625</v>
      </c>
      <c r="D1438" s="1" t="n">
        <v>21261</v>
      </c>
      <c r="E1438" s="1" t="s">
        <v>57</v>
      </c>
      <c r="F1438" s="201" t="n">
        <v>200025889101</v>
      </c>
      <c r="G1438" s="198" t="s">
        <v>600</v>
      </c>
      <c r="H1438" s="163" t="s">
        <v>236</v>
      </c>
      <c r="I1438" s="161" t="n">
        <v>7</v>
      </c>
      <c r="J1438" s="156" t="s">
        <v>192</v>
      </c>
      <c r="K1438" s="200" t="n">
        <v>45435.2279398148</v>
      </c>
      <c r="L1438" s="1" t="n">
        <v>3</v>
      </c>
      <c r="M1438" s="1" t="n">
        <v>21261</v>
      </c>
      <c r="N1438" s="1" t="n">
        <v>118</v>
      </c>
    </row>
    <row r="1439" customFormat="false" ht="14.25" hidden="false" customHeight="false" outlineLevel="0" collapsed="false">
      <c r="A1439" s="1" t="n">
        <v>136</v>
      </c>
      <c r="B1439" s="1" t="s">
        <v>624</v>
      </c>
      <c r="C1439" s="1" t="s">
        <v>625</v>
      </c>
      <c r="D1439" s="1" t="n">
        <v>21261</v>
      </c>
      <c r="E1439" s="1" t="s">
        <v>57</v>
      </c>
      <c r="F1439" s="201" t="n">
        <v>200025888664</v>
      </c>
      <c r="G1439" s="198" t="s">
        <v>592</v>
      </c>
      <c r="H1439" s="163" t="s">
        <v>415</v>
      </c>
      <c r="I1439" s="161" t="n">
        <v>75</v>
      </c>
      <c r="J1439" s="156" t="s">
        <v>192</v>
      </c>
      <c r="K1439" s="200" t="n">
        <v>45435.228900463</v>
      </c>
      <c r="L1439" s="1" t="n">
        <v>2</v>
      </c>
      <c r="M1439" s="1" t="n">
        <v>21261</v>
      </c>
      <c r="N1439" s="1" t="n">
        <v>119</v>
      </c>
    </row>
    <row r="1440" customFormat="false" ht="14.25" hidden="false" customHeight="false" outlineLevel="0" collapsed="false">
      <c r="A1440" s="1" t="n">
        <v>137</v>
      </c>
      <c r="B1440" s="1" t="s">
        <v>624</v>
      </c>
      <c r="C1440" s="1" t="s">
        <v>625</v>
      </c>
      <c r="D1440" s="1" t="n">
        <v>21261</v>
      </c>
      <c r="E1440" s="1" t="s">
        <v>57</v>
      </c>
      <c r="F1440" s="201" t="n">
        <v>200025888664</v>
      </c>
      <c r="G1440" s="198" t="s">
        <v>592</v>
      </c>
      <c r="H1440" s="163" t="s">
        <v>415</v>
      </c>
      <c r="I1440" s="161" t="n">
        <v>75</v>
      </c>
      <c r="J1440" s="156" t="s">
        <v>192</v>
      </c>
      <c r="K1440" s="200" t="n">
        <v>45435.2295717593</v>
      </c>
      <c r="L1440" s="1" t="n">
        <v>3</v>
      </c>
      <c r="M1440" s="1" t="n">
        <v>21261</v>
      </c>
      <c r="N1440" s="1" t="n">
        <v>120</v>
      </c>
    </row>
    <row r="1441" customFormat="false" ht="14.25" hidden="false" customHeight="false" outlineLevel="0" collapsed="false">
      <c r="A1441" s="1" t="n">
        <v>138</v>
      </c>
      <c r="B1441" s="1" t="s">
        <v>624</v>
      </c>
      <c r="C1441" s="1" t="s">
        <v>625</v>
      </c>
      <c r="D1441" s="1" t="n">
        <v>21261</v>
      </c>
      <c r="E1441" s="1" t="s">
        <v>57</v>
      </c>
      <c r="F1441" s="201" t="n">
        <v>200025889101</v>
      </c>
      <c r="G1441" s="198" t="s">
        <v>600</v>
      </c>
      <c r="H1441" s="163" t="s">
        <v>236</v>
      </c>
      <c r="I1441" s="161" t="n">
        <v>7</v>
      </c>
      <c r="J1441" s="156" t="s">
        <v>192</v>
      </c>
      <c r="K1441" s="200" t="n">
        <v>45435.2299189815</v>
      </c>
      <c r="L1441" s="1" t="n">
        <v>2</v>
      </c>
      <c r="M1441" s="1" t="n">
        <v>21261</v>
      </c>
      <c r="N1441" s="1" t="n">
        <v>121</v>
      </c>
    </row>
    <row r="1442" customFormat="false" ht="14.25" hidden="false" customHeight="false" outlineLevel="0" collapsed="false">
      <c r="A1442" s="1" t="n">
        <v>139</v>
      </c>
      <c r="B1442" s="1" t="s">
        <v>624</v>
      </c>
      <c r="C1442" s="1" t="s">
        <v>625</v>
      </c>
      <c r="D1442" s="1" t="n">
        <v>21261</v>
      </c>
      <c r="E1442" s="1" t="s">
        <v>57</v>
      </c>
      <c r="F1442" s="201" t="n">
        <v>200025888980</v>
      </c>
      <c r="G1442" s="198" t="s">
        <v>584</v>
      </c>
      <c r="H1442" s="163" t="s">
        <v>303</v>
      </c>
      <c r="I1442" s="161" t="n">
        <v>16</v>
      </c>
      <c r="J1442" s="156" t="s">
        <v>192</v>
      </c>
      <c r="K1442" s="200" t="n">
        <v>45435.2303472222</v>
      </c>
      <c r="L1442" s="1" t="n">
        <v>3</v>
      </c>
      <c r="M1442" s="1" t="n">
        <v>21261</v>
      </c>
      <c r="N1442" s="1" t="n">
        <v>122</v>
      </c>
    </row>
    <row r="1443" customFormat="false" ht="14.25" hidden="false" customHeight="false" outlineLevel="0" collapsed="false">
      <c r="A1443" s="1" t="n">
        <v>140</v>
      </c>
      <c r="B1443" s="1" t="s">
        <v>624</v>
      </c>
      <c r="C1443" s="1" t="s">
        <v>625</v>
      </c>
      <c r="D1443" s="1" t="n">
        <v>21261</v>
      </c>
      <c r="E1443" s="1" t="s">
        <v>57</v>
      </c>
      <c r="F1443" s="201" t="n">
        <v>200025888980</v>
      </c>
      <c r="G1443" s="198" t="s">
        <v>584</v>
      </c>
      <c r="H1443" s="163" t="s">
        <v>303</v>
      </c>
      <c r="I1443" s="161" t="n">
        <v>16</v>
      </c>
      <c r="J1443" s="156" t="s">
        <v>192</v>
      </c>
      <c r="K1443" s="200" t="n">
        <v>45435.2309027778</v>
      </c>
      <c r="L1443" s="1" t="n">
        <v>1</v>
      </c>
      <c r="M1443" s="1" t="n">
        <v>21261</v>
      </c>
      <c r="N1443" s="1" t="n">
        <v>123</v>
      </c>
    </row>
    <row r="1444" customFormat="false" ht="14.25" hidden="false" customHeight="false" outlineLevel="0" collapsed="false">
      <c r="A1444" s="1" t="n">
        <v>141</v>
      </c>
      <c r="B1444" s="1" t="s">
        <v>624</v>
      </c>
      <c r="C1444" s="1" t="s">
        <v>625</v>
      </c>
      <c r="D1444" s="1" t="n">
        <v>21261</v>
      </c>
      <c r="E1444" s="1" t="s">
        <v>57</v>
      </c>
      <c r="F1444" s="201" t="n">
        <v>200025888980</v>
      </c>
      <c r="G1444" s="198" t="s">
        <v>584</v>
      </c>
      <c r="H1444" s="163" t="s">
        <v>303</v>
      </c>
      <c r="I1444" s="161" t="n">
        <v>16</v>
      </c>
      <c r="J1444" s="156" t="s">
        <v>192</v>
      </c>
      <c r="K1444" s="200" t="n">
        <v>45435.2320601852</v>
      </c>
      <c r="L1444" s="1" t="n">
        <v>2</v>
      </c>
      <c r="M1444" s="1" t="n">
        <v>21261</v>
      </c>
      <c r="N1444" s="1" t="n">
        <v>124</v>
      </c>
    </row>
    <row r="1445" customFormat="false" ht="14.25" hidden="false" customHeight="false" outlineLevel="0" collapsed="false">
      <c r="A1445" s="1" t="n">
        <v>142</v>
      </c>
      <c r="B1445" s="1" t="s">
        <v>624</v>
      </c>
      <c r="C1445" s="1" t="s">
        <v>625</v>
      </c>
      <c r="D1445" s="1" t="n">
        <v>21261</v>
      </c>
      <c r="E1445" s="1" t="s">
        <v>57</v>
      </c>
      <c r="F1445" s="201" t="n">
        <v>200025889447</v>
      </c>
      <c r="G1445" s="198" t="s">
        <v>710</v>
      </c>
      <c r="H1445" s="163" t="s">
        <v>528</v>
      </c>
      <c r="I1445" s="161" t="n">
        <v>91</v>
      </c>
      <c r="J1445" s="156" t="s">
        <v>192</v>
      </c>
      <c r="K1445" s="200" t="n">
        <v>45435.2326967593</v>
      </c>
      <c r="L1445" s="1" t="n">
        <v>1</v>
      </c>
      <c r="M1445" s="1" t="n">
        <v>21261</v>
      </c>
      <c r="N1445" s="1" t="n">
        <v>125</v>
      </c>
    </row>
    <row r="1446" customFormat="false" ht="14.25" hidden="false" customHeight="false" outlineLevel="0" collapsed="false">
      <c r="A1446" s="1" t="n">
        <v>143</v>
      </c>
      <c r="B1446" s="1" t="s">
        <v>624</v>
      </c>
      <c r="C1446" s="1" t="s">
        <v>625</v>
      </c>
      <c r="D1446" s="1" t="n">
        <v>21261</v>
      </c>
      <c r="E1446" s="1" t="s">
        <v>57</v>
      </c>
      <c r="F1446" s="201" t="n">
        <v>200025888763</v>
      </c>
      <c r="G1446" s="198" t="s">
        <v>712</v>
      </c>
      <c r="H1446" s="163" t="s">
        <v>436</v>
      </c>
      <c r="I1446" s="161" t="n">
        <v>59</v>
      </c>
      <c r="J1446" s="156" t="s">
        <v>192</v>
      </c>
      <c r="K1446" s="200" t="n">
        <v>45435.2347685185</v>
      </c>
      <c r="L1446" s="1" t="n">
        <v>0</v>
      </c>
      <c r="M1446" s="1" t="n">
        <v>21261</v>
      </c>
      <c r="N1446" s="1" t="n">
        <v>126</v>
      </c>
    </row>
    <row r="1447" customFormat="false" ht="14.25" hidden="false" customHeight="false" outlineLevel="0" collapsed="false">
      <c r="A1447" s="1" t="n">
        <v>144</v>
      </c>
      <c r="B1447" s="1" t="s">
        <v>624</v>
      </c>
      <c r="C1447" s="1" t="s">
        <v>625</v>
      </c>
      <c r="D1447" s="1" t="n">
        <v>21261</v>
      </c>
      <c r="E1447" s="1" t="s">
        <v>57</v>
      </c>
      <c r="F1447" s="201" t="n">
        <v>200025888608</v>
      </c>
      <c r="G1447" s="198" t="s">
        <v>708</v>
      </c>
      <c r="H1447" s="163" t="s">
        <v>372</v>
      </c>
      <c r="I1447" s="161" t="n">
        <v>38</v>
      </c>
      <c r="J1447" s="156" t="s">
        <v>192</v>
      </c>
      <c r="K1447" s="200" t="n">
        <v>45435.2353240741</v>
      </c>
      <c r="L1447" s="1" t="n">
        <v>0</v>
      </c>
      <c r="M1447" s="1" t="n">
        <v>21261</v>
      </c>
      <c r="N1447" s="1" t="n">
        <v>127</v>
      </c>
    </row>
    <row r="1448" customFormat="false" ht="14.25" hidden="false" customHeight="false" outlineLevel="0" collapsed="false">
      <c r="A1448" s="1" t="n">
        <v>145</v>
      </c>
      <c r="B1448" s="1" t="s">
        <v>624</v>
      </c>
      <c r="C1448" s="1" t="s">
        <v>625</v>
      </c>
      <c r="D1448" s="1" t="n">
        <v>21261</v>
      </c>
      <c r="E1448" s="1" t="s">
        <v>57</v>
      </c>
      <c r="F1448" s="201" t="n">
        <v>200025888608</v>
      </c>
      <c r="G1448" s="198" t="s">
        <v>708</v>
      </c>
      <c r="H1448" s="163" t="s">
        <v>372</v>
      </c>
      <c r="I1448" s="161" t="n">
        <v>38</v>
      </c>
      <c r="J1448" s="156" t="s">
        <v>192</v>
      </c>
      <c r="K1448" s="200" t="n">
        <v>45435.2364930556</v>
      </c>
      <c r="L1448" s="1" t="n">
        <v>1</v>
      </c>
      <c r="M1448" s="1" t="n">
        <v>21261</v>
      </c>
      <c r="N1448" s="1" t="n">
        <v>128</v>
      </c>
    </row>
    <row r="1449" customFormat="false" ht="14.25" hidden="false" customHeight="false" outlineLevel="0" collapsed="false">
      <c r="A1449" s="1" t="n">
        <v>146</v>
      </c>
      <c r="B1449" s="1" t="s">
        <v>624</v>
      </c>
      <c r="C1449" s="1" t="s">
        <v>625</v>
      </c>
      <c r="D1449" s="1" t="n">
        <v>21261</v>
      </c>
      <c r="E1449" s="1" t="s">
        <v>57</v>
      </c>
      <c r="F1449" s="201" t="n">
        <v>200025888608</v>
      </c>
      <c r="G1449" s="198" t="s">
        <v>708</v>
      </c>
      <c r="H1449" s="163" t="s">
        <v>372</v>
      </c>
      <c r="I1449" s="161" t="n">
        <v>38</v>
      </c>
      <c r="J1449" s="156" t="s">
        <v>192</v>
      </c>
      <c r="K1449" s="200" t="n">
        <v>45435.2374074074</v>
      </c>
      <c r="L1449" s="1" t="n">
        <v>2</v>
      </c>
      <c r="M1449" s="1" t="n">
        <v>21261</v>
      </c>
      <c r="N1449" s="1" t="n">
        <v>129</v>
      </c>
    </row>
    <row r="1450" customFormat="false" ht="14.25" hidden="false" customHeight="false" outlineLevel="0" collapsed="false">
      <c r="A1450" s="1" t="n">
        <v>147</v>
      </c>
      <c r="B1450" s="1" t="s">
        <v>624</v>
      </c>
      <c r="C1450" s="1" t="s">
        <v>625</v>
      </c>
      <c r="D1450" s="1" t="n">
        <v>21261</v>
      </c>
      <c r="E1450" s="1" t="s">
        <v>57</v>
      </c>
      <c r="F1450" s="201" t="n">
        <v>200025888608</v>
      </c>
      <c r="G1450" s="198" t="s">
        <v>708</v>
      </c>
      <c r="H1450" s="163" t="s">
        <v>372</v>
      </c>
      <c r="I1450" s="161" t="n">
        <v>38</v>
      </c>
      <c r="J1450" s="156" t="s">
        <v>192</v>
      </c>
      <c r="K1450" s="200" t="n">
        <v>45435.2374537037</v>
      </c>
      <c r="L1450" s="1" t="n">
        <v>0</v>
      </c>
      <c r="M1450" s="1" t="n">
        <v>21261</v>
      </c>
      <c r="N1450" s="1" t="n">
        <v>130</v>
      </c>
    </row>
    <row r="1451" customFormat="false" ht="14.25" hidden="false" customHeight="false" outlineLevel="0" collapsed="false">
      <c r="A1451" s="1" t="n">
        <v>148</v>
      </c>
      <c r="B1451" s="1" t="s">
        <v>624</v>
      </c>
      <c r="C1451" s="1" t="s">
        <v>625</v>
      </c>
      <c r="D1451" s="1" t="n">
        <v>21261</v>
      </c>
      <c r="E1451" s="1" t="s">
        <v>57</v>
      </c>
      <c r="F1451" s="201" t="n">
        <v>200025888608</v>
      </c>
      <c r="G1451" s="198" t="s">
        <v>708</v>
      </c>
      <c r="H1451" s="163" t="s">
        <v>372</v>
      </c>
      <c r="I1451" s="161" t="n">
        <v>38</v>
      </c>
      <c r="J1451" s="156" t="s">
        <v>192</v>
      </c>
      <c r="K1451" s="200" t="n">
        <v>45435.2374537037</v>
      </c>
      <c r="L1451" s="1" t="n">
        <v>0</v>
      </c>
      <c r="M1451" s="1" t="n">
        <v>21261</v>
      </c>
      <c r="N1451" s="1" t="n">
        <v>131</v>
      </c>
    </row>
    <row r="1452" customFormat="false" ht="14.25" hidden="false" customHeight="false" outlineLevel="0" collapsed="false">
      <c r="A1452" s="1" t="n">
        <v>149</v>
      </c>
      <c r="B1452" s="1" t="s">
        <v>624</v>
      </c>
      <c r="C1452" s="1" t="s">
        <v>625</v>
      </c>
      <c r="D1452" s="1" t="n">
        <v>21261</v>
      </c>
      <c r="E1452" s="1" t="s">
        <v>57</v>
      </c>
      <c r="F1452" s="201" t="n">
        <v>200025888608</v>
      </c>
      <c r="G1452" s="198" t="s">
        <v>708</v>
      </c>
      <c r="H1452" s="163" t="s">
        <v>372</v>
      </c>
      <c r="I1452" s="161" t="n">
        <v>38</v>
      </c>
      <c r="J1452" s="156" t="s">
        <v>192</v>
      </c>
      <c r="K1452" s="200" t="n">
        <v>45435.2374768519</v>
      </c>
      <c r="L1452" s="1" t="n">
        <v>0</v>
      </c>
      <c r="M1452" s="1" t="n">
        <v>21261</v>
      </c>
      <c r="N1452" s="1" t="n">
        <v>132</v>
      </c>
    </row>
    <row r="1453" customFormat="false" ht="14.25" hidden="false" customHeight="false" outlineLevel="0" collapsed="false">
      <c r="A1453" s="1" t="n">
        <v>150</v>
      </c>
      <c r="B1453" s="1" t="s">
        <v>624</v>
      </c>
      <c r="C1453" s="1" t="s">
        <v>625</v>
      </c>
      <c r="D1453" s="1" t="n">
        <v>21261</v>
      </c>
      <c r="E1453" s="1" t="s">
        <v>57</v>
      </c>
      <c r="F1453" s="201" t="n">
        <v>200025888748</v>
      </c>
      <c r="G1453" s="198" t="s">
        <v>626</v>
      </c>
      <c r="H1453" s="163" t="s">
        <v>430</v>
      </c>
      <c r="I1453" s="161" t="n">
        <v>85</v>
      </c>
      <c r="J1453" s="156" t="s">
        <v>192</v>
      </c>
      <c r="K1453" s="200" t="n">
        <v>45435.2385185185</v>
      </c>
      <c r="L1453" s="1" t="n">
        <v>1</v>
      </c>
      <c r="M1453" s="1" t="n">
        <v>21261</v>
      </c>
      <c r="N1453" s="1" t="n">
        <v>133</v>
      </c>
    </row>
    <row r="1454" customFormat="false" ht="14.25" hidden="false" customHeight="false" outlineLevel="0" collapsed="false">
      <c r="A1454" s="1" t="n">
        <v>151</v>
      </c>
      <c r="B1454" s="1" t="s">
        <v>624</v>
      </c>
      <c r="C1454" s="1" t="s">
        <v>625</v>
      </c>
      <c r="D1454" s="1" t="n">
        <v>21261</v>
      </c>
      <c r="E1454" s="1" t="s">
        <v>57</v>
      </c>
      <c r="F1454" s="201" t="n">
        <v>200025889226</v>
      </c>
      <c r="G1454" s="198" t="s">
        <v>610</v>
      </c>
      <c r="H1454" s="163" t="s">
        <v>486</v>
      </c>
      <c r="I1454" s="161" t="n">
        <v>69</v>
      </c>
      <c r="J1454" s="156" t="s">
        <v>192</v>
      </c>
      <c r="K1454" s="200" t="n">
        <v>45435.2386805556</v>
      </c>
      <c r="L1454" s="1" t="n">
        <v>0</v>
      </c>
      <c r="M1454" s="1" t="n">
        <v>21261</v>
      </c>
      <c r="N1454" s="1" t="n">
        <v>134</v>
      </c>
    </row>
    <row r="1455" customFormat="false" ht="14.25" hidden="false" customHeight="false" outlineLevel="0" collapsed="false">
      <c r="A1455" s="1" t="n">
        <v>152</v>
      </c>
      <c r="B1455" s="1" t="s">
        <v>624</v>
      </c>
      <c r="C1455" s="1" t="s">
        <v>625</v>
      </c>
      <c r="D1455" s="1" t="n">
        <v>21261</v>
      </c>
      <c r="E1455" s="1" t="s">
        <v>57</v>
      </c>
      <c r="F1455" s="201" t="n">
        <v>200025888777</v>
      </c>
      <c r="G1455" s="198" t="s">
        <v>713</v>
      </c>
      <c r="H1455" s="163" t="s">
        <v>439</v>
      </c>
      <c r="I1455" s="161" t="n">
        <v>66</v>
      </c>
      <c r="J1455" s="156" t="s">
        <v>192</v>
      </c>
      <c r="K1455" s="200" t="n">
        <v>45435.2406944444</v>
      </c>
      <c r="L1455" s="1" t="n">
        <v>1</v>
      </c>
      <c r="M1455" s="1" t="n">
        <v>21261</v>
      </c>
      <c r="N1455" s="1" t="n">
        <v>135</v>
      </c>
    </row>
    <row r="1456" customFormat="false" ht="14.25" hidden="false" customHeight="false" outlineLevel="0" collapsed="false">
      <c r="A1456" s="1" t="n">
        <v>153</v>
      </c>
      <c r="B1456" s="1" t="s">
        <v>624</v>
      </c>
      <c r="C1456" s="1" t="s">
        <v>625</v>
      </c>
      <c r="D1456" s="1" t="n">
        <v>21261</v>
      </c>
      <c r="E1456" s="1" t="s">
        <v>57</v>
      </c>
      <c r="F1456" s="201" t="n">
        <v>200025888777</v>
      </c>
      <c r="G1456" s="198" t="s">
        <v>713</v>
      </c>
      <c r="H1456" s="163" t="s">
        <v>439</v>
      </c>
      <c r="I1456" s="161" t="n">
        <v>66</v>
      </c>
      <c r="J1456" s="156" t="s">
        <v>192</v>
      </c>
      <c r="K1456" s="200" t="n">
        <v>45435.2407060185</v>
      </c>
      <c r="L1456" s="1" t="n">
        <v>1</v>
      </c>
      <c r="M1456" s="1" t="n">
        <v>21261</v>
      </c>
      <c r="N1456" s="1" t="n">
        <v>136</v>
      </c>
    </row>
    <row r="1457" customFormat="false" ht="14.25" hidden="false" customHeight="false" outlineLevel="0" collapsed="false">
      <c r="A1457" s="1" t="n">
        <v>154</v>
      </c>
      <c r="B1457" s="1" t="s">
        <v>624</v>
      </c>
      <c r="C1457" s="1" t="s">
        <v>625</v>
      </c>
      <c r="D1457" s="1" t="n">
        <v>21261</v>
      </c>
      <c r="E1457" s="1" t="s">
        <v>57</v>
      </c>
      <c r="F1457" s="201" t="n">
        <v>200025889007</v>
      </c>
      <c r="G1457" s="198" t="s">
        <v>594</v>
      </c>
      <c r="H1457" s="163" t="s">
        <v>495</v>
      </c>
      <c r="I1457" s="161" t="n">
        <v>101</v>
      </c>
      <c r="J1457" s="156" t="s">
        <v>192</v>
      </c>
      <c r="K1457" s="200" t="n">
        <v>45435.3076273148</v>
      </c>
      <c r="L1457" s="1" t="n">
        <v>1</v>
      </c>
      <c r="M1457" s="1" t="n">
        <v>21261</v>
      </c>
      <c r="N1457" s="1" t="n">
        <v>137</v>
      </c>
    </row>
    <row r="1458" customFormat="false" ht="14.25" hidden="false" customHeight="false" outlineLevel="0" collapsed="false">
      <c r="A1458" s="1" t="n">
        <v>155</v>
      </c>
      <c r="B1458" s="1" t="s">
        <v>624</v>
      </c>
      <c r="C1458" s="1" t="s">
        <v>625</v>
      </c>
      <c r="D1458" s="1" t="n">
        <v>21261</v>
      </c>
      <c r="E1458" s="1" t="s">
        <v>57</v>
      </c>
      <c r="F1458" s="201" t="n">
        <v>200025889007</v>
      </c>
      <c r="G1458" s="198" t="s">
        <v>594</v>
      </c>
      <c r="H1458" s="163" t="s">
        <v>495</v>
      </c>
      <c r="I1458" s="161" t="n">
        <v>101</v>
      </c>
      <c r="J1458" s="156" t="s">
        <v>192</v>
      </c>
      <c r="K1458" s="200" t="n">
        <v>45435.3080324074</v>
      </c>
      <c r="L1458" s="1" t="n">
        <v>1</v>
      </c>
      <c r="M1458" s="1" t="n">
        <v>21261</v>
      </c>
      <c r="N1458" s="1" t="n">
        <v>138</v>
      </c>
    </row>
    <row r="1459" customFormat="false" ht="14.25" hidden="false" customHeight="false" outlineLevel="0" collapsed="false">
      <c r="A1459" s="1" t="n">
        <v>156</v>
      </c>
      <c r="B1459" s="1" t="s">
        <v>624</v>
      </c>
      <c r="C1459" s="1" t="s">
        <v>625</v>
      </c>
      <c r="D1459" s="1" t="n">
        <v>21261</v>
      </c>
      <c r="E1459" s="1" t="s">
        <v>57</v>
      </c>
      <c r="F1459" s="201" t="n">
        <v>200025889007</v>
      </c>
      <c r="G1459" s="198" t="s">
        <v>594</v>
      </c>
      <c r="H1459" s="163" t="s">
        <v>495</v>
      </c>
      <c r="I1459" s="161" t="n">
        <v>101</v>
      </c>
      <c r="J1459" s="156" t="s">
        <v>192</v>
      </c>
      <c r="K1459" s="200" t="n">
        <v>45435.310474537</v>
      </c>
      <c r="L1459" s="1" t="n">
        <v>1</v>
      </c>
      <c r="M1459" s="1" t="n">
        <v>21261</v>
      </c>
      <c r="N1459" s="1" t="n">
        <v>139</v>
      </c>
    </row>
    <row r="1460" customFormat="false" ht="14.25" hidden="false" customHeight="false" outlineLevel="0" collapsed="false">
      <c r="A1460" s="1" t="n">
        <v>157</v>
      </c>
      <c r="B1460" s="1" t="s">
        <v>624</v>
      </c>
      <c r="C1460" s="1" t="s">
        <v>625</v>
      </c>
      <c r="D1460" s="1" t="n">
        <v>21261</v>
      </c>
      <c r="E1460" s="1" t="s">
        <v>57</v>
      </c>
      <c r="F1460" s="201" t="n">
        <v>200025888712</v>
      </c>
      <c r="G1460" s="198" t="s">
        <v>578</v>
      </c>
      <c r="H1460" s="163" t="s">
        <v>427</v>
      </c>
      <c r="I1460" s="161" t="n">
        <v>48</v>
      </c>
      <c r="J1460" s="156" t="s">
        <v>192</v>
      </c>
      <c r="K1460" s="200" t="n">
        <v>45435.3161342593</v>
      </c>
      <c r="L1460" s="1" t="n">
        <v>2</v>
      </c>
      <c r="M1460" s="1" t="n">
        <v>21261</v>
      </c>
      <c r="N1460" s="1" t="n">
        <v>140</v>
      </c>
    </row>
    <row r="1461" customFormat="false" ht="14.25" hidden="false" customHeight="false" outlineLevel="0" collapsed="false">
      <c r="A1461" s="1" t="n">
        <v>158</v>
      </c>
      <c r="B1461" s="1" t="s">
        <v>624</v>
      </c>
      <c r="C1461" s="1" t="s">
        <v>625</v>
      </c>
      <c r="D1461" s="1" t="n">
        <v>21261</v>
      </c>
      <c r="E1461" s="1" t="s">
        <v>57</v>
      </c>
      <c r="F1461" s="201" t="n">
        <v>200025888712</v>
      </c>
      <c r="G1461" s="198" t="s">
        <v>578</v>
      </c>
      <c r="H1461" s="163" t="s">
        <v>427</v>
      </c>
      <c r="I1461" s="161" t="n">
        <v>48</v>
      </c>
      <c r="J1461" s="156" t="s">
        <v>192</v>
      </c>
      <c r="K1461" s="200" t="n">
        <v>45435.3161689815</v>
      </c>
      <c r="L1461" s="10" t="n">
        <v>101</v>
      </c>
      <c r="M1461" s="1" t="n">
        <v>21261</v>
      </c>
      <c r="N1461" s="1" t="n">
        <v>141</v>
      </c>
    </row>
    <row r="1462" customFormat="false" ht="14.25" hidden="false" customHeight="false" outlineLevel="0" collapsed="false">
      <c r="A1462" s="1" t="n">
        <v>159</v>
      </c>
      <c r="B1462" s="1" t="s">
        <v>624</v>
      </c>
      <c r="C1462" s="1" t="s">
        <v>625</v>
      </c>
      <c r="D1462" s="1" t="n">
        <v>21261</v>
      </c>
      <c r="E1462" s="1" t="s">
        <v>57</v>
      </c>
      <c r="F1462" s="201" t="n">
        <v>200025889007</v>
      </c>
      <c r="G1462" s="198" t="s">
        <v>594</v>
      </c>
      <c r="H1462" s="163" t="s">
        <v>495</v>
      </c>
      <c r="I1462" s="161" t="n">
        <v>101</v>
      </c>
      <c r="J1462" s="156" t="s">
        <v>192</v>
      </c>
      <c r="K1462" s="200" t="n">
        <v>45435.3266898148</v>
      </c>
      <c r="L1462" s="1" t="n">
        <v>0</v>
      </c>
      <c r="M1462" s="1" t="n">
        <v>21261</v>
      </c>
      <c r="N1462" s="1" t="n">
        <v>142</v>
      </c>
    </row>
    <row r="1463" customFormat="false" ht="14.25" hidden="false" customHeight="false" outlineLevel="0" collapsed="false">
      <c r="A1463" s="1" t="n">
        <v>160</v>
      </c>
      <c r="B1463" s="1" t="s">
        <v>624</v>
      </c>
      <c r="C1463" s="1" t="s">
        <v>625</v>
      </c>
      <c r="D1463" s="1" t="n">
        <v>21261</v>
      </c>
      <c r="E1463" s="1" t="s">
        <v>57</v>
      </c>
      <c r="F1463" s="201" t="n">
        <v>200025889007</v>
      </c>
      <c r="G1463" s="198" t="s">
        <v>594</v>
      </c>
      <c r="H1463" s="163" t="s">
        <v>495</v>
      </c>
      <c r="I1463" s="161" t="n">
        <v>101</v>
      </c>
      <c r="J1463" s="156" t="s">
        <v>192</v>
      </c>
      <c r="K1463" s="200" t="n">
        <v>45435.3268981481</v>
      </c>
      <c r="L1463" s="1" t="n">
        <v>2</v>
      </c>
      <c r="M1463" s="1" t="n">
        <v>21261</v>
      </c>
      <c r="N1463" s="1" t="n">
        <v>143</v>
      </c>
    </row>
    <row r="1464" customFormat="false" ht="14.25" hidden="false" customHeight="false" outlineLevel="0" collapsed="false">
      <c r="A1464" s="1" t="n">
        <v>161</v>
      </c>
      <c r="B1464" s="1" t="s">
        <v>624</v>
      </c>
      <c r="C1464" s="1" t="s">
        <v>625</v>
      </c>
      <c r="D1464" s="1" t="n">
        <v>21261</v>
      </c>
      <c r="E1464" s="1" t="s">
        <v>57</v>
      </c>
      <c r="F1464" s="201" t="n">
        <v>200025889007</v>
      </c>
      <c r="G1464" s="198" t="s">
        <v>594</v>
      </c>
      <c r="H1464" s="163" t="s">
        <v>495</v>
      </c>
      <c r="I1464" s="161" t="n">
        <v>101</v>
      </c>
      <c r="J1464" s="156" t="s">
        <v>192</v>
      </c>
      <c r="K1464" s="200" t="n">
        <v>45435.3396296296</v>
      </c>
      <c r="L1464" s="1" t="n">
        <v>4</v>
      </c>
      <c r="M1464" s="1" t="n">
        <v>21261</v>
      </c>
      <c r="N1464" s="1" t="n">
        <v>144</v>
      </c>
    </row>
    <row r="1465" customFormat="false" ht="14.25" hidden="false" customHeight="false" outlineLevel="0" collapsed="false">
      <c r="A1465" s="1" t="n">
        <v>162</v>
      </c>
      <c r="B1465" s="1" t="s">
        <v>624</v>
      </c>
      <c r="C1465" s="1" t="s">
        <v>625</v>
      </c>
      <c r="D1465" s="1" t="n">
        <v>21261</v>
      </c>
      <c r="E1465" s="1" t="s">
        <v>57</v>
      </c>
      <c r="F1465" s="201" t="n">
        <v>200025889289</v>
      </c>
      <c r="G1465" s="198" t="s">
        <v>673</v>
      </c>
      <c r="H1465" s="163" t="s">
        <v>309</v>
      </c>
      <c r="I1465" s="161" t="n">
        <v>47</v>
      </c>
      <c r="J1465" s="156" t="s">
        <v>185</v>
      </c>
      <c r="K1465" s="200" t="n">
        <v>45435.4617592593</v>
      </c>
      <c r="L1465" s="1" t="n">
        <v>0</v>
      </c>
      <c r="M1465" s="1" t="n">
        <v>21261</v>
      </c>
      <c r="N1465" s="1" t="n">
        <v>145</v>
      </c>
    </row>
    <row r="1466" customFormat="false" ht="14.25" hidden="false" customHeight="false" outlineLevel="0" collapsed="false">
      <c r="A1466" s="1" t="n">
        <v>163</v>
      </c>
      <c r="B1466" s="1" t="s">
        <v>624</v>
      </c>
      <c r="C1466" s="1" t="s">
        <v>625</v>
      </c>
      <c r="D1466" s="1" t="n">
        <v>21261</v>
      </c>
      <c r="E1466" s="1" t="s">
        <v>57</v>
      </c>
      <c r="F1466" s="201" t="n">
        <v>200025888174</v>
      </c>
      <c r="G1466" s="198" t="s">
        <v>676</v>
      </c>
      <c r="H1466" s="163" t="s">
        <v>203</v>
      </c>
      <c r="I1466" s="161" t="n">
        <v>45</v>
      </c>
      <c r="J1466" s="156" t="s">
        <v>185</v>
      </c>
      <c r="K1466" s="200" t="n">
        <v>45435.6732523148</v>
      </c>
      <c r="L1466" s="1" t="n">
        <v>0</v>
      </c>
      <c r="M1466" s="1" t="n">
        <v>21261</v>
      </c>
      <c r="N1466" s="1" t="n">
        <v>146</v>
      </c>
    </row>
    <row r="1467" customFormat="false" ht="14.25" hidden="false" customHeight="false" outlineLevel="0" collapsed="false">
      <c r="A1467" s="1" t="n">
        <v>164</v>
      </c>
      <c r="B1467" s="1" t="s">
        <v>624</v>
      </c>
      <c r="C1467" s="1" t="s">
        <v>625</v>
      </c>
      <c r="D1467" s="1" t="n">
        <v>21261</v>
      </c>
      <c r="E1467" s="1" t="s">
        <v>57</v>
      </c>
      <c r="F1467" s="201" t="n">
        <v>200025888174</v>
      </c>
      <c r="G1467" s="198" t="s">
        <v>676</v>
      </c>
      <c r="H1467" s="163" t="s">
        <v>203</v>
      </c>
      <c r="I1467" s="161" t="n">
        <v>45</v>
      </c>
      <c r="J1467" s="156" t="s">
        <v>185</v>
      </c>
      <c r="K1467" s="200" t="n">
        <v>45435.8660532407</v>
      </c>
      <c r="L1467" s="1" t="n">
        <v>1</v>
      </c>
      <c r="M1467" s="1" t="n">
        <v>21261</v>
      </c>
      <c r="N1467" s="1" t="n">
        <v>147</v>
      </c>
    </row>
    <row r="1468" customFormat="false" ht="14.25" hidden="false" customHeight="false" outlineLevel="0" collapsed="false">
      <c r="A1468" s="1" t="n">
        <v>165</v>
      </c>
      <c r="B1468" s="1" t="s">
        <v>624</v>
      </c>
      <c r="C1468" s="1" t="s">
        <v>625</v>
      </c>
      <c r="D1468" s="1" t="n">
        <v>21261</v>
      </c>
      <c r="E1468" s="1" t="s">
        <v>57</v>
      </c>
      <c r="F1468" s="201" t="n">
        <v>200025888174</v>
      </c>
      <c r="G1468" s="198" t="s">
        <v>676</v>
      </c>
      <c r="H1468" s="163" t="s">
        <v>203</v>
      </c>
      <c r="I1468" s="161" t="n">
        <v>45</v>
      </c>
      <c r="J1468" s="156" t="s">
        <v>185</v>
      </c>
      <c r="K1468" s="200" t="n">
        <v>45435.8660648148</v>
      </c>
      <c r="L1468" s="1" t="n">
        <v>0</v>
      </c>
      <c r="M1468" s="1" t="n">
        <v>21261</v>
      </c>
      <c r="N1468" s="1" t="n">
        <v>148</v>
      </c>
    </row>
    <row r="1469" customFormat="false" ht="14.25" hidden="false" customHeight="false" outlineLevel="0" collapsed="false">
      <c r="A1469" s="1" t="n">
        <v>166</v>
      </c>
      <c r="B1469" s="1" t="s">
        <v>624</v>
      </c>
      <c r="C1469" s="1" t="s">
        <v>625</v>
      </c>
      <c r="D1469" s="1" t="n">
        <v>21261</v>
      </c>
      <c r="E1469" s="1" t="s">
        <v>57</v>
      </c>
      <c r="F1469" s="201" t="n">
        <v>200025888910</v>
      </c>
      <c r="G1469" s="198" t="s">
        <v>635</v>
      </c>
      <c r="H1469" s="163" t="s">
        <v>418</v>
      </c>
      <c r="I1469" s="161" t="n">
        <v>109</v>
      </c>
      <c r="J1469" s="156" t="s">
        <v>185</v>
      </c>
      <c r="K1469" s="200" t="n">
        <v>45435.8751736111</v>
      </c>
      <c r="L1469" s="1" t="n">
        <v>1</v>
      </c>
      <c r="M1469" s="1" t="n">
        <v>21261</v>
      </c>
      <c r="N1469" s="1" t="n">
        <v>149</v>
      </c>
    </row>
    <row r="1470" customFormat="false" ht="14.25" hidden="false" customHeight="false" outlineLevel="0" collapsed="false">
      <c r="A1470" s="1" t="n">
        <v>167</v>
      </c>
      <c r="B1470" s="1" t="s">
        <v>624</v>
      </c>
      <c r="C1470" s="1" t="s">
        <v>625</v>
      </c>
      <c r="D1470" s="1" t="n">
        <v>21261</v>
      </c>
      <c r="E1470" s="1" t="s">
        <v>57</v>
      </c>
      <c r="F1470" s="201" t="n">
        <v>200025889003</v>
      </c>
      <c r="G1470" s="198" t="s">
        <v>706</v>
      </c>
      <c r="H1470" s="163" t="s">
        <v>251</v>
      </c>
      <c r="I1470" s="161" t="n">
        <v>22</v>
      </c>
      <c r="J1470" s="156" t="s">
        <v>185</v>
      </c>
      <c r="K1470" s="200" t="n">
        <v>45435.8878240741</v>
      </c>
      <c r="L1470" s="1" t="n">
        <v>1</v>
      </c>
      <c r="M1470" s="1" t="n">
        <v>21261</v>
      </c>
      <c r="N1470" s="1" t="n">
        <v>150</v>
      </c>
    </row>
    <row r="1471" customFormat="false" ht="14.25" hidden="false" customHeight="false" outlineLevel="0" collapsed="false">
      <c r="A1471" s="1" t="n">
        <v>168</v>
      </c>
      <c r="B1471" s="1" t="s">
        <v>624</v>
      </c>
      <c r="C1471" s="1" t="s">
        <v>625</v>
      </c>
      <c r="D1471" s="1" t="n">
        <v>21261</v>
      </c>
      <c r="E1471" s="1" t="s">
        <v>57</v>
      </c>
      <c r="F1471" s="201" t="n">
        <v>200025888174</v>
      </c>
      <c r="G1471" s="198" t="s">
        <v>676</v>
      </c>
      <c r="H1471" s="163" t="s">
        <v>203</v>
      </c>
      <c r="I1471" s="161" t="n">
        <v>45</v>
      </c>
      <c r="J1471" s="156" t="s">
        <v>185</v>
      </c>
      <c r="K1471" s="200" t="n">
        <v>45435.8885069444</v>
      </c>
      <c r="L1471" s="1" t="n">
        <v>0</v>
      </c>
      <c r="M1471" s="1" t="n">
        <v>21261</v>
      </c>
      <c r="N1471" s="1" t="n">
        <v>151</v>
      </c>
    </row>
    <row r="1472" customFormat="false" ht="14.25" hidden="false" customHeight="false" outlineLevel="0" collapsed="false">
      <c r="A1472" s="1" t="n">
        <v>169</v>
      </c>
      <c r="B1472" s="1" t="s">
        <v>624</v>
      </c>
      <c r="C1472" s="1" t="s">
        <v>625</v>
      </c>
      <c r="D1472" s="1" t="n">
        <v>21261</v>
      </c>
      <c r="E1472" s="1" t="s">
        <v>57</v>
      </c>
      <c r="F1472" s="201" t="n">
        <v>200025888469</v>
      </c>
      <c r="G1472" s="198" t="s">
        <v>664</v>
      </c>
      <c r="H1472" s="163" t="s">
        <v>318</v>
      </c>
      <c r="I1472" s="161" t="n">
        <v>114</v>
      </c>
      <c r="J1472" s="156" t="s">
        <v>185</v>
      </c>
      <c r="K1472" s="200" t="n">
        <v>45435.9283680556</v>
      </c>
      <c r="L1472" s="1" t="n">
        <v>0</v>
      </c>
      <c r="M1472" s="1" t="n">
        <v>21261</v>
      </c>
      <c r="N1472" s="1" t="n">
        <v>152</v>
      </c>
    </row>
    <row r="1473" customFormat="false" ht="14.25" hidden="false" customHeight="false" outlineLevel="0" collapsed="false">
      <c r="A1473" s="1" t="n">
        <v>170</v>
      </c>
      <c r="B1473" s="1" t="s">
        <v>624</v>
      </c>
      <c r="C1473" s="1" t="s">
        <v>625</v>
      </c>
      <c r="D1473" s="1" t="n">
        <v>21261</v>
      </c>
      <c r="E1473" s="1" t="s">
        <v>57</v>
      </c>
      <c r="F1473" s="201" t="n">
        <v>200025888256</v>
      </c>
      <c r="G1473" s="198" t="s">
        <v>668</v>
      </c>
      <c r="H1473" s="163" t="s">
        <v>291</v>
      </c>
      <c r="I1473" s="161" t="n">
        <v>68</v>
      </c>
      <c r="J1473" s="156" t="s">
        <v>185</v>
      </c>
      <c r="K1473" s="200" t="n">
        <v>45436.0140740741</v>
      </c>
      <c r="L1473" s="1" t="n">
        <v>0</v>
      </c>
      <c r="M1473" s="1" t="n">
        <v>21261</v>
      </c>
      <c r="N1473" s="1" t="n">
        <v>153</v>
      </c>
    </row>
    <row r="1474" customFormat="false" ht="14.25" hidden="false" customHeight="false" outlineLevel="0" collapsed="false">
      <c r="A1474" s="1" t="n">
        <v>171</v>
      </c>
      <c r="B1474" s="1" t="s">
        <v>624</v>
      </c>
      <c r="C1474" s="1" t="s">
        <v>625</v>
      </c>
      <c r="D1474" s="1" t="n">
        <v>21261</v>
      </c>
      <c r="E1474" s="1" t="s">
        <v>57</v>
      </c>
      <c r="F1474" s="201" t="n">
        <v>200025888256</v>
      </c>
      <c r="G1474" s="198" t="s">
        <v>668</v>
      </c>
      <c r="H1474" s="163" t="s">
        <v>291</v>
      </c>
      <c r="I1474" s="161" t="n">
        <v>68</v>
      </c>
      <c r="J1474" s="156" t="s">
        <v>185</v>
      </c>
      <c r="K1474" s="200" t="n">
        <v>45436.0162037037</v>
      </c>
      <c r="L1474" s="1" t="n">
        <v>48</v>
      </c>
      <c r="M1474" s="1" t="n">
        <v>21261</v>
      </c>
      <c r="N1474" s="1" t="n">
        <v>154</v>
      </c>
    </row>
    <row r="1475" customFormat="false" ht="14.25" hidden="false" customHeight="false" outlineLevel="0" collapsed="false">
      <c r="A1475" s="1" t="n">
        <v>260</v>
      </c>
      <c r="B1475" s="1" t="s">
        <v>621</v>
      </c>
      <c r="C1475" s="1" t="s">
        <v>622</v>
      </c>
      <c r="D1475" s="1" t="n">
        <v>21261</v>
      </c>
      <c r="E1475" s="1" t="s">
        <v>57</v>
      </c>
      <c r="F1475" s="201" t="n">
        <v>200025888637</v>
      </c>
      <c r="G1475" s="198" t="s">
        <v>669</v>
      </c>
      <c r="H1475" s="163" t="s">
        <v>206</v>
      </c>
      <c r="I1475" s="161" t="n">
        <v>4</v>
      </c>
      <c r="J1475" s="156" t="s">
        <v>185</v>
      </c>
      <c r="K1475" s="200" t="n">
        <v>45443.6448726852</v>
      </c>
      <c r="L1475" s="1" t="n">
        <v>1</v>
      </c>
      <c r="M1475" s="1" t="n">
        <v>21261</v>
      </c>
      <c r="N1475" s="1" t="n">
        <v>155</v>
      </c>
    </row>
    <row r="1476" customFormat="false" ht="14.25" hidden="false" customHeight="false" outlineLevel="0" collapsed="false">
      <c r="A1476" s="1" t="n">
        <v>262</v>
      </c>
      <c r="B1476" s="1" t="s">
        <v>621</v>
      </c>
      <c r="C1476" s="1" t="s">
        <v>622</v>
      </c>
      <c r="D1476" s="1" t="n">
        <v>21296</v>
      </c>
      <c r="E1476" s="1" t="s">
        <v>57</v>
      </c>
      <c r="F1476" s="201" t="n">
        <v>200025889350</v>
      </c>
      <c r="G1476" s="198" t="s">
        <v>582</v>
      </c>
      <c r="H1476" s="163" t="s">
        <v>378</v>
      </c>
      <c r="I1476" s="161" t="n">
        <v>29</v>
      </c>
      <c r="J1476" s="156" t="s">
        <v>192</v>
      </c>
      <c r="K1476" s="200" t="n">
        <v>45447.5959953704</v>
      </c>
      <c r="L1476" s="1" t="n">
        <v>0</v>
      </c>
      <c r="M1476" s="1" t="n">
        <v>21296</v>
      </c>
      <c r="N1476" s="1" t="n">
        <v>1</v>
      </c>
    </row>
    <row r="1477" customFormat="false" ht="14.25" hidden="false" customHeight="false" outlineLevel="0" collapsed="false">
      <c r="A1477" s="1" t="n">
        <v>263</v>
      </c>
      <c r="B1477" s="1" t="s">
        <v>621</v>
      </c>
      <c r="C1477" s="1" t="s">
        <v>622</v>
      </c>
      <c r="D1477" s="1" t="n">
        <v>21296</v>
      </c>
      <c r="E1477" s="1" t="s">
        <v>57</v>
      </c>
      <c r="F1477" s="201" t="n">
        <v>200025889350</v>
      </c>
      <c r="G1477" s="198" t="s">
        <v>582</v>
      </c>
      <c r="H1477" s="163" t="s">
        <v>378</v>
      </c>
      <c r="I1477" s="161" t="n">
        <v>29</v>
      </c>
      <c r="J1477" s="156" t="s">
        <v>192</v>
      </c>
      <c r="K1477" s="200" t="n">
        <v>45447.5960069444</v>
      </c>
      <c r="L1477" s="1" t="n">
        <v>0</v>
      </c>
      <c r="M1477" s="1" t="n">
        <v>21296</v>
      </c>
      <c r="N1477" s="1" t="n">
        <v>2</v>
      </c>
    </row>
    <row r="1478" customFormat="false" ht="14.25" hidden="false" customHeight="false" outlineLevel="0" collapsed="false">
      <c r="A1478" s="1" t="n">
        <v>264</v>
      </c>
      <c r="B1478" s="1" t="s">
        <v>621</v>
      </c>
      <c r="C1478" s="1" t="s">
        <v>622</v>
      </c>
      <c r="D1478" s="1" t="n">
        <v>21296</v>
      </c>
      <c r="E1478" s="1" t="s">
        <v>57</v>
      </c>
      <c r="F1478" s="201" t="n">
        <v>200025889350</v>
      </c>
      <c r="G1478" s="198" t="s">
        <v>582</v>
      </c>
      <c r="H1478" s="163" t="s">
        <v>378</v>
      </c>
      <c r="I1478" s="161" t="n">
        <v>29</v>
      </c>
      <c r="J1478" s="156" t="s">
        <v>192</v>
      </c>
      <c r="K1478" s="200" t="n">
        <v>45447.5960069444</v>
      </c>
      <c r="L1478" s="1" t="n">
        <v>1</v>
      </c>
      <c r="M1478" s="1" t="n">
        <v>21296</v>
      </c>
      <c r="N1478" s="1" t="n">
        <v>3</v>
      </c>
    </row>
    <row r="1479" customFormat="false" ht="14.25" hidden="false" customHeight="false" outlineLevel="0" collapsed="false">
      <c r="A1479" s="1" t="n">
        <v>12</v>
      </c>
      <c r="B1479" s="1" t="s">
        <v>684</v>
      </c>
      <c r="C1479" s="1" t="s">
        <v>685</v>
      </c>
      <c r="D1479" s="1" t="n">
        <v>21296</v>
      </c>
      <c r="E1479" s="1" t="s">
        <v>57</v>
      </c>
      <c r="F1479" s="201" t="n">
        <v>200025888174</v>
      </c>
      <c r="G1479" s="198" t="s">
        <v>676</v>
      </c>
      <c r="H1479" s="163" t="s">
        <v>203</v>
      </c>
      <c r="I1479" s="161" t="n">
        <v>45</v>
      </c>
      <c r="J1479" s="156" t="s">
        <v>185</v>
      </c>
      <c r="K1479" s="200" t="n">
        <v>45448.7446296296</v>
      </c>
      <c r="L1479" s="1" t="n">
        <v>1</v>
      </c>
      <c r="M1479" s="1" t="n">
        <v>21296</v>
      </c>
      <c r="N1479" s="1" t="n">
        <v>4</v>
      </c>
    </row>
    <row r="1480" customFormat="false" ht="14.25" hidden="false" customHeight="false" outlineLevel="0" collapsed="false">
      <c r="A1480" s="1" t="n">
        <v>13</v>
      </c>
      <c r="B1480" s="1" t="s">
        <v>684</v>
      </c>
      <c r="C1480" s="1" t="s">
        <v>685</v>
      </c>
      <c r="D1480" s="1" t="n">
        <v>21296</v>
      </c>
      <c r="E1480" s="1" t="s">
        <v>57</v>
      </c>
      <c r="F1480" s="201" t="n">
        <v>200025888174</v>
      </c>
      <c r="G1480" s="198" t="s">
        <v>676</v>
      </c>
      <c r="H1480" s="163" t="s">
        <v>203</v>
      </c>
      <c r="I1480" s="161" t="n">
        <v>45</v>
      </c>
      <c r="J1480" s="156" t="s">
        <v>185</v>
      </c>
      <c r="K1480" s="200" t="n">
        <v>45448.7446412037</v>
      </c>
      <c r="L1480" s="10" t="n">
        <v>4054</v>
      </c>
      <c r="M1480" s="1" t="n">
        <v>21296</v>
      </c>
      <c r="N1480" s="1" t="n">
        <v>5</v>
      </c>
    </row>
    <row r="1481" customFormat="false" ht="14.25" hidden="false" customHeight="false" outlineLevel="0" collapsed="false">
      <c r="A1481" s="1" t="n">
        <v>14</v>
      </c>
      <c r="B1481" s="1" t="s">
        <v>684</v>
      </c>
      <c r="C1481" s="1" t="s">
        <v>685</v>
      </c>
      <c r="D1481" s="1" t="n">
        <v>21296</v>
      </c>
      <c r="E1481" s="1" t="s">
        <v>57</v>
      </c>
      <c r="F1481" s="201" t="n">
        <v>200025889127</v>
      </c>
      <c r="G1481" s="198" t="s">
        <v>692</v>
      </c>
      <c r="H1481" s="163" t="s">
        <v>507</v>
      </c>
      <c r="I1481" s="161" t="n">
        <v>86</v>
      </c>
      <c r="J1481" s="156" t="s">
        <v>192</v>
      </c>
      <c r="K1481" s="200" t="n">
        <v>45449.5091087963</v>
      </c>
      <c r="L1481" s="1" t="n">
        <v>0</v>
      </c>
      <c r="M1481" s="1" t="n">
        <v>21296</v>
      </c>
      <c r="N1481" s="1" t="n">
        <v>6</v>
      </c>
    </row>
    <row r="1482" customFormat="false" ht="14.25" hidden="false" customHeight="false" outlineLevel="0" collapsed="false">
      <c r="A1482" s="1" t="n">
        <v>15</v>
      </c>
      <c r="B1482" s="1" t="s">
        <v>684</v>
      </c>
      <c r="C1482" s="1" t="s">
        <v>685</v>
      </c>
      <c r="D1482" s="1" t="n">
        <v>21296</v>
      </c>
      <c r="E1482" s="1" t="s">
        <v>57</v>
      </c>
      <c r="F1482" s="201" t="n">
        <v>200025888890</v>
      </c>
      <c r="G1482" s="198" t="s">
        <v>661</v>
      </c>
      <c r="H1482" s="163" t="s">
        <v>421</v>
      </c>
      <c r="I1482" s="161" t="n">
        <v>40</v>
      </c>
      <c r="J1482" s="156" t="s">
        <v>192</v>
      </c>
      <c r="K1482" s="200" t="n">
        <v>45450.4923263889</v>
      </c>
      <c r="L1482" s="1" t="n">
        <v>1</v>
      </c>
      <c r="M1482" s="1" t="n">
        <v>21296</v>
      </c>
      <c r="N1482" s="1" t="n">
        <v>7</v>
      </c>
    </row>
    <row r="1483" customFormat="false" ht="14.25" hidden="false" customHeight="false" outlineLevel="0" collapsed="false">
      <c r="A1483" s="1" t="n">
        <v>16</v>
      </c>
      <c r="B1483" s="1" t="s">
        <v>684</v>
      </c>
      <c r="C1483" s="1" t="s">
        <v>685</v>
      </c>
      <c r="D1483" s="1" t="n">
        <v>21296</v>
      </c>
      <c r="E1483" s="1" t="s">
        <v>57</v>
      </c>
      <c r="F1483" s="201" t="n">
        <v>200025888890</v>
      </c>
      <c r="G1483" s="198" t="s">
        <v>661</v>
      </c>
      <c r="H1483" s="163" t="s">
        <v>421</v>
      </c>
      <c r="I1483" s="161" t="n">
        <v>40</v>
      </c>
      <c r="J1483" s="156" t="s">
        <v>192</v>
      </c>
      <c r="K1483" s="200" t="n">
        <v>45450.492337963</v>
      </c>
      <c r="L1483" s="1" t="n">
        <v>1</v>
      </c>
      <c r="M1483" s="1" t="n">
        <v>21296</v>
      </c>
      <c r="N1483" s="1" t="n">
        <v>8</v>
      </c>
    </row>
    <row r="1484" customFormat="false" ht="14.25" hidden="false" customHeight="false" outlineLevel="0" collapsed="false">
      <c r="A1484" s="1" t="n">
        <v>17</v>
      </c>
      <c r="B1484" s="1" t="s">
        <v>684</v>
      </c>
      <c r="C1484" s="1" t="s">
        <v>685</v>
      </c>
      <c r="D1484" s="1" t="n">
        <v>21296</v>
      </c>
      <c r="E1484" s="1" t="s">
        <v>57</v>
      </c>
      <c r="F1484" s="201" t="n">
        <v>200025889159</v>
      </c>
      <c r="G1484" s="198" t="s">
        <v>639</v>
      </c>
      <c r="H1484" s="163" t="s">
        <v>513</v>
      </c>
      <c r="I1484" s="161" t="n">
        <v>111</v>
      </c>
      <c r="J1484" s="156" t="s">
        <v>192</v>
      </c>
      <c r="K1484" s="200" t="n">
        <v>45450.4976388889</v>
      </c>
      <c r="L1484" s="1" t="n">
        <v>3</v>
      </c>
      <c r="M1484" s="1" t="n">
        <v>21296</v>
      </c>
      <c r="N1484" s="1" t="n">
        <v>9</v>
      </c>
    </row>
    <row r="1485" customFormat="false" ht="14.25" hidden="false" customHeight="false" outlineLevel="0" collapsed="false">
      <c r="A1485" s="1" t="n">
        <v>18</v>
      </c>
      <c r="B1485" s="1" t="s">
        <v>684</v>
      </c>
      <c r="C1485" s="1" t="s">
        <v>685</v>
      </c>
      <c r="D1485" s="1" t="n">
        <v>21296</v>
      </c>
      <c r="E1485" s="1" t="s">
        <v>57</v>
      </c>
      <c r="F1485" s="201" t="n">
        <v>200025889232</v>
      </c>
      <c r="G1485" s="198" t="s">
        <v>627</v>
      </c>
      <c r="H1485" s="163" t="s">
        <v>525</v>
      </c>
      <c r="I1485" s="161" t="n">
        <v>107</v>
      </c>
      <c r="J1485" s="156" t="s">
        <v>192</v>
      </c>
      <c r="K1485" s="200" t="n">
        <v>45450.595462963</v>
      </c>
      <c r="L1485" s="1" t="n">
        <v>1</v>
      </c>
      <c r="M1485" s="1" t="n">
        <v>21296</v>
      </c>
      <c r="N1485" s="1" t="n">
        <v>10</v>
      </c>
    </row>
    <row r="1486" customFormat="false" ht="14.25" hidden="false" customHeight="false" outlineLevel="0" collapsed="false">
      <c r="A1486" s="1" t="n">
        <v>19</v>
      </c>
      <c r="B1486" s="1" t="s">
        <v>684</v>
      </c>
      <c r="C1486" s="1" t="s">
        <v>685</v>
      </c>
      <c r="D1486" s="1" t="n">
        <v>21296</v>
      </c>
      <c r="E1486" s="1" t="s">
        <v>57</v>
      </c>
      <c r="F1486" s="201" t="n">
        <v>200025888748</v>
      </c>
      <c r="G1486" s="198" t="s">
        <v>626</v>
      </c>
      <c r="H1486" s="163" t="s">
        <v>430</v>
      </c>
      <c r="I1486" s="161" t="n">
        <v>85</v>
      </c>
      <c r="J1486" s="156" t="s">
        <v>192</v>
      </c>
      <c r="K1486" s="200" t="n">
        <v>45450.598900463</v>
      </c>
      <c r="L1486" s="1" t="n">
        <v>1</v>
      </c>
      <c r="M1486" s="1" t="n">
        <v>21296</v>
      </c>
      <c r="N1486" s="1" t="n">
        <v>11</v>
      </c>
    </row>
    <row r="1487" customFormat="false" ht="14.25" hidden="false" customHeight="false" outlineLevel="0" collapsed="false">
      <c r="A1487" s="1" t="n">
        <v>20</v>
      </c>
      <c r="B1487" s="1" t="s">
        <v>684</v>
      </c>
      <c r="C1487" s="1" t="s">
        <v>685</v>
      </c>
      <c r="D1487" s="1" t="n">
        <v>21296</v>
      </c>
      <c r="E1487" s="1" t="s">
        <v>57</v>
      </c>
      <c r="F1487" s="201" t="n">
        <v>200025889427</v>
      </c>
      <c r="G1487" s="198" t="s">
        <v>596</v>
      </c>
      <c r="H1487" s="163" t="s">
        <v>534</v>
      </c>
      <c r="I1487" s="161" t="n">
        <v>98</v>
      </c>
      <c r="J1487" s="156" t="s">
        <v>192</v>
      </c>
      <c r="K1487" s="200" t="n">
        <v>45450.6012152778</v>
      </c>
      <c r="L1487" s="1" t="n">
        <v>1</v>
      </c>
      <c r="M1487" s="1" t="n">
        <v>21296</v>
      </c>
      <c r="N1487" s="1" t="n">
        <v>12</v>
      </c>
    </row>
    <row r="1488" customFormat="false" ht="14.25" hidden="false" customHeight="false" outlineLevel="0" collapsed="false">
      <c r="A1488" s="1" t="n">
        <v>21</v>
      </c>
      <c r="B1488" s="1" t="s">
        <v>684</v>
      </c>
      <c r="C1488" s="1" t="s">
        <v>685</v>
      </c>
      <c r="D1488" s="1" t="n">
        <v>21296</v>
      </c>
      <c r="E1488" s="1" t="s">
        <v>57</v>
      </c>
      <c r="F1488" s="201" t="n">
        <v>200025889427</v>
      </c>
      <c r="G1488" s="198" t="s">
        <v>596</v>
      </c>
      <c r="H1488" s="163" t="s">
        <v>534</v>
      </c>
      <c r="I1488" s="161" t="n">
        <v>98</v>
      </c>
      <c r="J1488" s="156" t="s">
        <v>192</v>
      </c>
      <c r="K1488" s="200" t="n">
        <v>45450.6013425926</v>
      </c>
      <c r="L1488" s="1" t="n">
        <v>1</v>
      </c>
      <c r="M1488" s="1" t="n">
        <v>21296</v>
      </c>
      <c r="N1488" s="1" t="n">
        <v>13</v>
      </c>
    </row>
    <row r="1489" customFormat="false" ht="14.25" hidden="false" customHeight="false" outlineLevel="0" collapsed="false">
      <c r="A1489" s="1" t="n">
        <v>13</v>
      </c>
      <c r="B1489" s="1" t="s">
        <v>637</v>
      </c>
      <c r="C1489" s="1" t="s">
        <v>638</v>
      </c>
      <c r="D1489" s="1" t="n">
        <v>21296</v>
      </c>
      <c r="E1489" s="1" t="s">
        <v>57</v>
      </c>
      <c r="F1489" s="198" t="n">
        <v>200025888864</v>
      </c>
      <c r="G1489" s="198" t="s">
        <v>590</v>
      </c>
      <c r="H1489" s="163" t="s">
        <v>474</v>
      </c>
      <c r="I1489" s="161" t="n">
        <v>87</v>
      </c>
      <c r="J1489" s="156" t="s">
        <v>192</v>
      </c>
      <c r="K1489" s="200" t="n">
        <v>45450.7462731482</v>
      </c>
      <c r="L1489" s="10" t="n">
        <v>765</v>
      </c>
      <c r="M1489" s="1" t="n">
        <v>21296</v>
      </c>
      <c r="N1489" s="1" t="n">
        <v>14</v>
      </c>
    </row>
    <row r="1490" customFormat="false" ht="14.25" hidden="false" customHeight="false" outlineLevel="0" collapsed="false">
      <c r="A1490" s="1" t="n">
        <v>14</v>
      </c>
      <c r="B1490" s="1" t="s">
        <v>637</v>
      </c>
      <c r="C1490" s="1" t="s">
        <v>638</v>
      </c>
      <c r="D1490" s="1" t="n">
        <v>21296</v>
      </c>
      <c r="E1490" s="1" t="s">
        <v>57</v>
      </c>
      <c r="F1490" s="198" t="n">
        <v>200025888299</v>
      </c>
      <c r="G1490" s="198" t="s">
        <v>629</v>
      </c>
      <c r="H1490" s="163" t="s">
        <v>312</v>
      </c>
      <c r="I1490" s="161" t="n">
        <v>43</v>
      </c>
      <c r="J1490" s="156" t="s">
        <v>192</v>
      </c>
      <c r="K1490" s="200" t="n">
        <v>45451.3293171296</v>
      </c>
      <c r="L1490" s="1" t="n">
        <v>1</v>
      </c>
      <c r="M1490" s="1" t="n">
        <v>21296</v>
      </c>
      <c r="N1490" s="1" t="n">
        <v>15</v>
      </c>
    </row>
    <row r="1491" customFormat="false" ht="14.25" hidden="false" customHeight="false" outlineLevel="0" collapsed="false">
      <c r="A1491" s="1" t="n">
        <v>15</v>
      </c>
      <c r="B1491" s="1" t="s">
        <v>637</v>
      </c>
      <c r="C1491" s="1" t="s">
        <v>638</v>
      </c>
      <c r="D1491" s="1" t="n">
        <v>21296</v>
      </c>
      <c r="E1491" s="1" t="s">
        <v>57</v>
      </c>
      <c r="F1491" s="198" t="n">
        <v>200025888299</v>
      </c>
      <c r="G1491" s="198" t="s">
        <v>629</v>
      </c>
      <c r="H1491" s="163" t="s">
        <v>312</v>
      </c>
      <c r="I1491" s="161" t="n">
        <v>43</v>
      </c>
      <c r="J1491" s="156" t="s">
        <v>192</v>
      </c>
      <c r="K1491" s="200" t="n">
        <v>45451.3293402778</v>
      </c>
      <c r="L1491" s="1" t="n">
        <v>0</v>
      </c>
      <c r="M1491" s="1" t="n">
        <v>21296</v>
      </c>
      <c r="N1491" s="1" t="n">
        <v>16</v>
      </c>
    </row>
    <row r="1492" customFormat="false" ht="14.25" hidden="false" customHeight="false" outlineLevel="0" collapsed="false">
      <c r="A1492" s="1" t="n">
        <v>16</v>
      </c>
      <c r="B1492" s="1" t="s">
        <v>637</v>
      </c>
      <c r="C1492" s="1" t="s">
        <v>638</v>
      </c>
      <c r="D1492" s="1" t="n">
        <v>21296</v>
      </c>
      <c r="E1492" s="1" t="s">
        <v>57</v>
      </c>
      <c r="F1492" s="198" t="n">
        <v>200025888995</v>
      </c>
      <c r="G1492" s="198" t="s">
        <v>628</v>
      </c>
      <c r="H1492" s="163" t="s">
        <v>483</v>
      </c>
      <c r="I1492" s="161" t="n">
        <v>67</v>
      </c>
      <c r="J1492" s="156" t="s">
        <v>192</v>
      </c>
      <c r="K1492" s="200" t="n">
        <v>45451.5655439815</v>
      </c>
      <c r="L1492" s="1" t="n">
        <v>0</v>
      </c>
      <c r="M1492" s="1" t="n">
        <v>21296</v>
      </c>
      <c r="N1492" s="1" t="n">
        <v>17</v>
      </c>
    </row>
    <row r="1493" customFormat="false" ht="14.25" hidden="false" customHeight="false" outlineLevel="0" collapsed="false">
      <c r="A1493" s="1" t="n">
        <v>17</v>
      </c>
      <c r="B1493" s="1" t="s">
        <v>637</v>
      </c>
      <c r="C1493" s="1" t="s">
        <v>638</v>
      </c>
      <c r="D1493" s="1" t="n">
        <v>21296</v>
      </c>
      <c r="E1493" s="1" t="s">
        <v>57</v>
      </c>
      <c r="F1493" s="201" t="n">
        <v>200025888995</v>
      </c>
      <c r="G1493" s="198" t="s">
        <v>628</v>
      </c>
      <c r="H1493" s="163" t="s">
        <v>483</v>
      </c>
      <c r="I1493" s="161" t="n">
        <v>67</v>
      </c>
      <c r="J1493" s="156" t="s">
        <v>192</v>
      </c>
      <c r="K1493" s="200" t="n">
        <v>45451.5655439815</v>
      </c>
      <c r="L1493" s="1" t="n">
        <v>0</v>
      </c>
      <c r="M1493" s="1" t="n">
        <v>21296</v>
      </c>
      <c r="N1493" s="1" t="n">
        <v>18</v>
      </c>
    </row>
    <row r="1494" customFormat="false" ht="14.25" hidden="false" customHeight="false" outlineLevel="0" collapsed="false">
      <c r="A1494" s="1" t="n">
        <v>18</v>
      </c>
      <c r="B1494" s="1" t="s">
        <v>637</v>
      </c>
      <c r="C1494" s="1" t="s">
        <v>638</v>
      </c>
      <c r="D1494" s="1" t="n">
        <v>21296</v>
      </c>
      <c r="E1494" s="1" t="s">
        <v>57</v>
      </c>
      <c r="F1494" s="201" t="n">
        <v>200025888995</v>
      </c>
      <c r="G1494" s="198" t="s">
        <v>628</v>
      </c>
      <c r="H1494" s="163" t="s">
        <v>483</v>
      </c>
      <c r="I1494" s="161" t="n">
        <v>67</v>
      </c>
      <c r="J1494" s="156" t="s">
        <v>192</v>
      </c>
      <c r="K1494" s="200" t="n">
        <v>45451.5655555556</v>
      </c>
      <c r="L1494" s="1" t="n">
        <v>1</v>
      </c>
      <c r="M1494" s="1" t="n">
        <v>21296</v>
      </c>
      <c r="N1494" s="1" t="n">
        <v>19</v>
      </c>
    </row>
    <row r="1495" customFormat="false" ht="14.25" hidden="false" customHeight="false" outlineLevel="0" collapsed="false">
      <c r="A1495" s="1" t="n">
        <v>19</v>
      </c>
      <c r="B1495" s="1" t="s">
        <v>637</v>
      </c>
      <c r="C1495" s="1" t="s">
        <v>638</v>
      </c>
      <c r="D1495" s="1" t="n">
        <v>21296</v>
      </c>
      <c r="E1495" s="1" t="s">
        <v>57</v>
      </c>
      <c r="F1495" s="201" t="n">
        <v>200025888995</v>
      </c>
      <c r="G1495" s="198" t="s">
        <v>628</v>
      </c>
      <c r="H1495" s="163" t="s">
        <v>483</v>
      </c>
      <c r="I1495" s="161" t="n">
        <v>67</v>
      </c>
      <c r="J1495" s="156" t="s">
        <v>192</v>
      </c>
      <c r="K1495" s="200" t="n">
        <v>45451.5699884259</v>
      </c>
      <c r="L1495" s="1" t="n">
        <v>1</v>
      </c>
      <c r="M1495" s="1" t="n">
        <v>21296</v>
      </c>
      <c r="N1495" s="1" t="n">
        <v>20</v>
      </c>
    </row>
    <row r="1496" customFormat="false" ht="14.25" hidden="false" customHeight="false" outlineLevel="0" collapsed="false">
      <c r="A1496" s="1" t="n">
        <v>20</v>
      </c>
      <c r="B1496" s="1" t="s">
        <v>637</v>
      </c>
      <c r="C1496" s="1" t="s">
        <v>638</v>
      </c>
      <c r="D1496" s="1" t="n">
        <v>21296</v>
      </c>
      <c r="E1496" s="1" t="s">
        <v>57</v>
      </c>
      <c r="F1496" s="201" t="n">
        <v>200025888995</v>
      </c>
      <c r="G1496" s="198" t="s">
        <v>628</v>
      </c>
      <c r="H1496" s="163" t="s">
        <v>483</v>
      </c>
      <c r="I1496" s="161" t="n">
        <v>67</v>
      </c>
      <c r="J1496" s="156" t="s">
        <v>192</v>
      </c>
      <c r="K1496" s="200" t="n">
        <v>45451.57</v>
      </c>
      <c r="L1496" s="1" t="n">
        <v>1</v>
      </c>
      <c r="M1496" s="1" t="n">
        <v>21296</v>
      </c>
      <c r="N1496" s="1" t="n">
        <v>21</v>
      </c>
    </row>
    <row r="1497" customFormat="false" ht="14.25" hidden="false" customHeight="false" outlineLevel="0" collapsed="false">
      <c r="A1497" s="1" t="n">
        <v>21</v>
      </c>
      <c r="B1497" s="1" t="s">
        <v>637</v>
      </c>
      <c r="C1497" s="1" t="s">
        <v>638</v>
      </c>
      <c r="D1497" s="1" t="n">
        <v>21296</v>
      </c>
      <c r="E1497" s="1" t="s">
        <v>57</v>
      </c>
      <c r="F1497" s="201" t="n">
        <v>200025888995</v>
      </c>
      <c r="G1497" s="198" t="s">
        <v>628</v>
      </c>
      <c r="H1497" s="163" t="s">
        <v>483</v>
      </c>
      <c r="I1497" s="161" t="n">
        <v>67</v>
      </c>
      <c r="J1497" s="156" t="s">
        <v>192</v>
      </c>
      <c r="K1497" s="200" t="n">
        <v>45451.6068287037</v>
      </c>
      <c r="L1497" s="10" t="n">
        <v>5707</v>
      </c>
      <c r="M1497" s="1" t="n">
        <v>21296</v>
      </c>
      <c r="N1497" s="1" t="n">
        <v>22</v>
      </c>
    </row>
    <row r="1498" customFormat="false" ht="14.25" hidden="false" customHeight="false" outlineLevel="0" collapsed="false">
      <c r="A1498" s="1" t="n">
        <v>22</v>
      </c>
      <c r="B1498" s="1" t="s">
        <v>637</v>
      </c>
      <c r="C1498" s="1" t="s">
        <v>638</v>
      </c>
      <c r="D1498" s="1" t="n">
        <v>21296</v>
      </c>
      <c r="E1498" s="1" t="s">
        <v>57</v>
      </c>
      <c r="F1498" s="201" t="n">
        <v>200025888995</v>
      </c>
      <c r="G1498" s="198" t="s">
        <v>628</v>
      </c>
      <c r="H1498" s="163" t="s">
        <v>483</v>
      </c>
      <c r="I1498" s="161" t="n">
        <v>67</v>
      </c>
      <c r="J1498" s="156" t="s">
        <v>192</v>
      </c>
      <c r="K1498" s="200" t="n">
        <v>45451.6728819445</v>
      </c>
      <c r="L1498" s="1" t="n">
        <v>1</v>
      </c>
      <c r="M1498" s="1" t="n">
        <v>21296</v>
      </c>
      <c r="N1498" s="1" t="n">
        <v>23</v>
      </c>
    </row>
    <row r="1499" customFormat="false" ht="14.25" hidden="false" customHeight="false" outlineLevel="0" collapsed="false">
      <c r="A1499" s="1" t="n">
        <v>23</v>
      </c>
      <c r="B1499" s="1" t="s">
        <v>637</v>
      </c>
      <c r="C1499" s="1" t="s">
        <v>638</v>
      </c>
      <c r="D1499" s="1" t="n">
        <v>21296</v>
      </c>
      <c r="E1499" s="1" t="s">
        <v>57</v>
      </c>
      <c r="F1499" s="201" t="n">
        <v>200025888995</v>
      </c>
      <c r="G1499" s="198" t="s">
        <v>628</v>
      </c>
      <c r="H1499" s="163" t="s">
        <v>483</v>
      </c>
      <c r="I1499" s="161" t="n">
        <v>67</v>
      </c>
      <c r="J1499" s="156" t="s">
        <v>192</v>
      </c>
      <c r="K1499" s="200" t="n">
        <v>45451.6728935185</v>
      </c>
      <c r="L1499" s="1" t="n">
        <v>1</v>
      </c>
      <c r="M1499" s="1" t="n">
        <v>21296</v>
      </c>
      <c r="N1499" s="1" t="n">
        <v>24</v>
      </c>
    </row>
    <row r="1500" customFormat="false" ht="14.25" hidden="false" customHeight="false" outlineLevel="0" collapsed="false">
      <c r="A1500" s="1" t="n">
        <v>24</v>
      </c>
      <c r="B1500" s="1" t="s">
        <v>637</v>
      </c>
      <c r="C1500" s="1" t="s">
        <v>638</v>
      </c>
      <c r="D1500" s="1" t="n">
        <v>21296</v>
      </c>
      <c r="E1500" s="1" t="s">
        <v>57</v>
      </c>
      <c r="F1500" s="201" t="n">
        <v>200025888995</v>
      </c>
      <c r="G1500" s="198" t="s">
        <v>628</v>
      </c>
      <c r="H1500" s="163" t="s">
        <v>483</v>
      </c>
      <c r="I1500" s="161" t="n">
        <v>67</v>
      </c>
      <c r="J1500" s="156" t="s">
        <v>192</v>
      </c>
      <c r="K1500" s="200" t="n">
        <v>45451.6729050926</v>
      </c>
      <c r="L1500" s="1" t="n">
        <v>1</v>
      </c>
      <c r="M1500" s="1" t="n">
        <v>21296</v>
      </c>
      <c r="N1500" s="1" t="n">
        <v>25</v>
      </c>
    </row>
    <row r="1501" customFormat="false" ht="14.25" hidden="false" customHeight="false" outlineLevel="0" collapsed="false">
      <c r="A1501" s="1" t="n">
        <v>25</v>
      </c>
      <c r="B1501" s="1" t="s">
        <v>637</v>
      </c>
      <c r="C1501" s="1" t="s">
        <v>638</v>
      </c>
      <c r="D1501" s="1" t="n">
        <v>21296</v>
      </c>
      <c r="E1501" s="1" t="s">
        <v>57</v>
      </c>
      <c r="F1501" s="201" t="n">
        <v>200025888995</v>
      </c>
      <c r="G1501" s="198" t="s">
        <v>628</v>
      </c>
      <c r="H1501" s="163" t="s">
        <v>483</v>
      </c>
      <c r="I1501" s="161" t="n">
        <v>67</v>
      </c>
      <c r="J1501" s="156" t="s">
        <v>192</v>
      </c>
      <c r="K1501" s="200" t="n">
        <v>45451.7208101852</v>
      </c>
      <c r="L1501" s="1" t="n">
        <v>1</v>
      </c>
      <c r="M1501" s="1" t="n">
        <v>21296</v>
      </c>
      <c r="N1501" s="1" t="n">
        <v>26</v>
      </c>
    </row>
    <row r="1502" customFormat="false" ht="14.25" hidden="false" customHeight="false" outlineLevel="0" collapsed="false">
      <c r="A1502" s="1" t="n">
        <v>26</v>
      </c>
      <c r="B1502" s="1" t="s">
        <v>637</v>
      </c>
      <c r="C1502" s="1" t="s">
        <v>638</v>
      </c>
      <c r="D1502" s="1" t="n">
        <v>21296</v>
      </c>
      <c r="E1502" s="1" t="s">
        <v>57</v>
      </c>
      <c r="F1502" s="201" t="n">
        <v>200025888995</v>
      </c>
      <c r="G1502" s="198" t="s">
        <v>628</v>
      </c>
      <c r="H1502" s="163" t="s">
        <v>483</v>
      </c>
      <c r="I1502" s="161" t="n">
        <v>67</v>
      </c>
      <c r="J1502" s="156" t="s">
        <v>192</v>
      </c>
      <c r="K1502" s="200" t="n">
        <v>45451.7208333333</v>
      </c>
      <c r="L1502" s="1" t="n">
        <v>1</v>
      </c>
      <c r="M1502" s="1" t="n">
        <v>21296</v>
      </c>
      <c r="N1502" s="1" t="n">
        <v>27</v>
      </c>
    </row>
    <row r="1503" customFormat="false" ht="14.25" hidden="false" customHeight="false" outlineLevel="0" collapsed="false">
      <c r="A1503" s="1" t="n">
        <v>27</v>
      </c>
      <c r="B1503" s="1" t="s">
        <v>637</v>
      </c>
      <c r="C1503" s="1" t="s">
        <v>638</v>
      </c>
      <c r="D1503" s="1" t="n">
        <v>21296</v>
      </c>
      <c r="E1503" s="1" t="s">
        <v>57</v>
      </c>
      <c r="F1503" s="201" t="n">
        <v>200025888995</v>
      </c>
      <c r="G1503" s="198" t="s">
        <v>628</v>
      </c>
      <c r="H1503" s="163" t="s">
        <v>483</v>
      </c>
      <c r="I1503" s="161" t="n">
        <v>67</v>
      </c>
      <c r="J1503" s="156" t="s">
        <v>192</v>
      </c>
      <c r="K1503" s="200" t="n">
        <v>45451.7216666667</v>
      </c>
      <c r="L1503" s="1" t="n">
        <v>1</v>
      </c>
      <c r="M1503" s="1" t="n">
        <v>21296</v>
      </c>
      <c r="N1503" s="1" t="n">
        <v>28</v>
      </c>
    </row>
    <row r="1504" customFormat="false" ht="14.25" hidden="false" customHeight="false" outlineLevel="0" collapsed="false">
      <c r="A1504" s="1" t="n">
        <v>28</v>
      </c>
      <c r="B1504" s="1" t="s">
        <v>637</v>
      </c>
      <c r="C1504" s="1" t="s">
        <v>638</v>
      </c>
      <c r="D1504" s="1" t="n">
        <v>21296</v>
      </c>
      <c r="E1504" s="1" t="s">
        <v>57</v>
      </c>
      <c r="F1504" s="201" t="n">
        <v>200025888995</v>
      </c>
      <c r="G1504" s="198" t="s">
        <v>628</v>
      </c>
      <c r="H1504" s="163" t="s">
        <v>483</v>
      </c>
      <c r="I1504" s="161" t="n">
        <v>67</v>
      </c>
      <c r="J1504" s="156" t="s">
        <v>192</v>
      </c>
      <c r="K1504" s="200" t="n">
        <v>45451.7216898148</v>
      </c>
      <c r="L1504" s="1" t="n">
        <v>0</v>
      </c>
      <c r="M1504" s="1" t="n">
        <v>21296</v>
      </c>
      <c r="N1504" s="1" t="n">
        <v>29</v>
      </c>
    </row>
    <row r="1505" customFormat="false" ht="14.25" hidden="false" customHeight="false" outlineLevel="0" collapsed="false">
      <c r="A1505" s="1" t="n">
        <v>29</v>
      </c>
      <c r="B1505" s="1" t="s">
        <v>637</v>
      </c>
      <c r="C1505" s="1" t="s">
        <v>638</v>
      </c>
      <c r="D1505" s="1" t="n">
        <v>21296</v>
      </c>
      <c r="E1505" s="1" t="s">
        <v>57</v>
      </c>
      <c r="F1505" s="201" t="n">
        <v>200025888158</v>
      </c>
      <c r="G1505" s="198" t="s">
        <v>630</v>
      </c>
      <c r="H1505" s="163" t="s">
        <v>193</v>
      </c>
      <c r="I1505" s="161" t="n">
        <v>30</v>
      </c>
      <c r="J1505" s="156" t="s">
        <v>192</v>
      </c>
      <c r="K1505" s="200" t="n">
        <v>45451.8589814815</v>
      </c>
      <c r="L1505" s="1" t="n">
        <v>0</v>
      </c>
      <c r="M1505" s="1" t="n">
        <v>21296</v>
      </c>
      <c r="N1505" s="1" t="n">
        <v>30</v>
      </c>
    </row>
    <row r="1506" customFormat="false" ht="14.25" hidden="false" customHeight="false" outlineLevel="0" collapsed="false">
      <c r="A1506" s="1" t="n">
        <v>30</v>
      </c>
      <c r="B1506" s="1" t="s">
        <v>637</v>
      </c>
      <c r="C1506" s="1" t="s">
        <v>638</v>
      </c>
      <c r="D1506" s="1" t="n">
        <v>21296</v>
      </c>
      <c r="E1506" s="1" t="s">
        <v>57</v>
      </c>
      <c r="F1506" s="201" t="n">
        <v>200025888158</v>
      </c>
      <c r="G1506" s="198" t="s">
        <v>630</v>
      </c>
      <c r="H1506" s="163" t="s">
        <v>193</v>
      </c>
      <c r="I1506" s="161" t="n">
        <v>30</v>
      </c>
      <c r="J1506" s="156" t="s">
        <v>192</v>
      </c>
      <c r="K1506" s="200" t="n">
        <v>45452.2109953704</v>
      </c>
      <c r="L1506" s="1" t="n">
        <v>0</v>
      </c>
      <c r="M1506" s="1" t="n">
        <v>21296</v>
      </c>
      <c r="N1506" s="1" t="n">
        <v>31</v>
      </c>
    </row>
    <row r="1507" customFormat="false" ht="14.25" hidden="false" customHeight="false" outlineLevel="0" collapsed="false">
      <c r="A1507" s="1" t="n">
        <v>31</v>
      </c>
      <c r="B1507" s="1" t="s">
        <v>637</v>
      </c>
      <c r="C1507" s="1" t="s">
        <v>638</v>
      </c>
      <c r="D1507" s="1" t="n">
        <v>21296</v>
      </c>
      <c r="E1507" s="1" t="s">
        <v>57</v>
      </c>
      <c r="F1507" s="201" t="n">
        <v>200025888864</v>
      </c>
      <c r="G1507" s="198" t="s">
        <v>590</v>
      </c>
      <c r="H1507" s="163" t="s">
        <v>474</v>
      </c>
      <c r="I1507" s="161" t="n">
        <v>87</v>
      </c>
      <c r="J1507" s="156" t="s">
        <v>192</v>
      </c>
      <c r="K1507" s="200" t="n">
        <v>45452.2444791667</v>
      </c>
      <c r="L1507" s="1" t="n">
        <v>0</v>
      </c>
      <c r="M1507" s="1" t="n">
        <v>21296</v>
      </c>
      <c r="N1507" s="1" t="n">
        <v>32</v>
      </c>
    </row>
    <row r="1508" customFormat="false" ht="14.25" hidden="false" customHeight="false" outlineLevel="0" collapsed="false">
      <c r="A1508" s="1" t="n">
        <v>32</v>
      </c>
      <c r="B1508" s="1" t="s">
        <v>637</v>
      </c>
      <c r="C1508" s="1" t="s">
        <v>638</v>
      </c>
      <c r="D1508" s="1" t="n">
        <v>21296</v>
      </c>
      <c r="E1508" s="1" t="s">
        <v>57</v>
      </c>
      <c r="F1508" s="201" t="n">
        <v>200025888181</v>
      </c>
      <c r="G1508" s="198" t="s">
        <v>631</v>
      </c>
      <c r="H1508" s="163" t="s">
        <v>215</v>
      </c>
      <c r="I1508" s="161" t="n">
        <v>115</v>
      </c>
      <c r="J1508" s="156" t="s">
        <v>192</v>
      </c>
      <c r="K1508" s="200" t="n">
        <v>45452.277337963</v>
      </c>
      <c r="L1508" s="1" t="n">
        <v>0</v>
      </c>
      <c r="M1508" s="1" t="n">
        <v>21296</v>
      </c>
      <c r="N1508" s="1" t="n">
        <v>33</v>
      </c>
    </row>
    <row r="1509" customFormat="false" ht="14.25" hidden="false" customHeight="false" outlineLevel="0" collapsed="false">
      <c r="A1509" s="1" t="n">
        <v>33</v>
      </c>
      <c r="B1509" s="1" t="s">
        <v>637</v>
      </c>
      <c r="C1509" s="1" t="s">
        <v>638</v>
      </c>
      <c r="D1509" s="1" t="n">
        <v>21296</v>
      </c>
      <c r="E1509" s="1" t="s">
        <v>57</v>
      </c>
      <c r="F1509" s="201" t="n">
        <v>200025888181</v>
      </c>
      <c r="G1509" s="198" t="s">
        <v>631</v>
      </c>
      <c r="H1509" s="163" t="s">
        <v>215</v>
      </c>
      <c r="I1509" s="161" t="n">
        <v>115</v>
      </c>
      <c r="J1509" s="156" t="s">
        <v>192</v>
      </c>
      <c r="K1509" s="200" t="n">
        <v>45452.2781018519</v>
      </c>
      <c r="L1509" s="1" t="n">
        <v>1</v>
      </c>
      <c r="M1509" s="1" t="n">
        <v>21296</v>
      </c>
      <c r="N1509" s="1" t="n">
        <v>34</v>
      </c>
    </row>
    <row r="1510" customFormat="false" ht="14.25" hidden="false" customHeight="false" outlineLevel="0" collapsed="false">
      <c r="A1510" s="1" t="n">
        <v>34</v>
      </c>
      <c r="B1510" s="1" t="s">
        <v>637</v>
      </c>
      <c r="C1510" s="1" t="s">
        <v>638</v>
      </c>
      <c r="D1510" s="1" t="n">
        <v>21296</v>
      </c>
      <c r="E1510" s="1" t="s">
        <v>57</v>
      </c>
      <c r="F1510" s="198" t="n">
        <v>200025888158</v>
      </c>
      <c r="G1510" s="198" t="s">
        <v>630</v>
      </c>
      <c r="H1510" s="163" t="s">
        <v>193</v>
      </c>
      <c r="I1510" s="161" t="n">
        <v>30</v>
      </c>
      <c r="J1510" s="156" t="s">
        <v>192</v>
      </c>
      <c r="K1510" s="200" t="n">
        <v>45452.3300694445</v>
      </c>
      <c r="L1510" s="1" t="n">
        <v>0</v>
      </c>
      <c r="M1510" s="1" t="n">
        <v>21296</v>
      </c>
      <c r="N1510" s="1" t="n">
        <v>35</v>
      </c>
    </row>
    <row r="1511" customFormat="false" ht="14.25" hidden="false" customHeight="false" outlineLevel="0" collapsed="false">
      <c r="A1511" s="1" t="n">
        <v>35</v>
      </c>
      <c r="B1511" s="1" t="s">
        <v>637</v>
      </c>
      <c r="C1511" s="1" t="s">
        <v>638</v>
      </c>
      <c r="D1511" s="1" t="n">
        <v>21296</v>
      </c>
      <c r="E1511" s="1" t="s">
        <v>57</v>
      </c>
      <c r="F1511" s="198" t="n">
        <v>200025889051</v>
      </c>
      <c r="G1511" s="198" t="s">
        <v>633</v>
      </c>
      <c r="H1511" s="163" t="s">
        <v>269</v>
      </c>
      <c r="I1511" s="161" t="n">
        <v>26</v>
      </c>
      <c r="J1511" s="156" t="s">
        <v>185</v>
      </c>
      <c r="K1511" s="200" t="n">
        <v>45452.4318518519</v>
      </c>
      <c r="L1511" s="1" t="n">
        <v>0</v>
      </c>
      <c r="M1511" s="1" t="n">
        <v>21296</v>
      </c>
      <c r="N1511" s="1" t="n">
        <v>36</v>
      </c>
    </row>
    <row r="1512" customFormat="false" ht="14.25" hidden="false" customHeight="false" outlineLevel="0" collapsed="false">
      <c r="A1512" s="1" t="n">
        <v>36</v>
      </c>
      <c r="B1512" s="1" t="s">
        <v>637</v>
      </c>
      <c r="C1512" s="1" t="s">
        <v>638</v>
      </c>
      <c r="D1512" s="1" t="n">
        <v>21296</v>
      </c>
      <c r="E1512" s="1" t="s">
        <v>57</v>
      </c>
      <c r="F1512" s="198" t="n">
        <v>200025888529</v>
      </c>
      <c r="G1512" s="198" t="s">
        <v>704</v>
      </c>
      <c r="H1512" s="163" t="s">
        <v>345</v>
      </c>
      <c r="I1512" s="161" t="n">
        <v>118</v>
      </c>
      <c r="J1512" s="156" t="s">
        <v>185</v>
      </c>
      <c r="K1512" s="200" t="n">
        <v>45452.4697800926</v>
      </c>
      <c r="L1512" s="1" t="n">
        <v>1</v>
      </c>
      <c r="M1512" s="1" t="n">
        <v>21296</v>
      </c>
      <c r="N1512" s="1" t="n">
        <v>37</v>
      </c>
    </row>
    <row r="1513" customFormat="false" ht="14.25" hidden="false" customHeight="false" outlineLevel="0" collapsed="false">
      <c r="A1513" s="1" t="n">
        <v>37</v>
      </c>
      <c r="B1513" s="1" t="s">
        <v>637</v>
      </c>
      <c r="C1513" s="1" t="s">
        <v>638</v>
      </c>
      <c r="D1513" s="1" t="n">
        <v>21296</v>
      </c>
      <c r="E1513" s="1" t="s">
        <v>57</v>
      </c>
      <c r="F1513" s="198" t="n">
        <v>200025888808</v>
      </c>
      <c r="G1513" s="198" t="s">
        <v>705</v>
      </c>
      <c r="H1513" s="163" t="s">
        <v>402</v>
      </c>
      <c r="I1513" s="161" t="n">
        <v>103</v>
      </c>
      <c r="J1513" s="156" t="s">
        <v>185</v>
      </c>
      <c r="K1513" s="200" t="n">
        <v>45452.4999652778</v>
      </c>
      <c r="L1513" s="1" t="n">
        <v>4</v>
      </c>
      <c r="M1513" s="1" t="n">
        <v>21296</v>
      </c>
      <c r="N1513" s="1" t="n">
        <v>38</v>
      </c>
    </row>
    <row r="1514" customFormat="false" ht="14.25" hidden="false" customHeight="false" outlineLevel="0" collapsed="false">
      <c r="A1514" s="1" t="n">
        <v>38</v>
      </c>
      <c r="B1514" s="1" t="s">
        <v>637</v>
      </c>
      <c r="C1514" s="1" t="s">
        <v>638</v>
      </c>
      <c r="D1514" s="1" t="n">
        <v>21296</v>
      </c>
      <c r="E1514" s="1" t="s">
        <v>57</v>
      </c>
      <c r="F1514" s="198" t="n">
        <v>200025888808</v>
      </c>
      <c r="G1514" s="198" t="s">
        <v>705</v>
      </c>
      <c r="H1514" s="163" t="s">
        <v>402</v>
      </c>
      <c r="I1514" s="161" t="n">
        <v>103</v>
      </c>
      <c r="J1514" s="156" t="s">
        <v>185</v>
      </c>
      <c r="K1514" s="200" t="n">
        <v>45452.6125810185</v>
      </c>
      <c r="L1514" s="1" t="n">
        <v>1</v>
      </c>
      <c r="M1514" s="1" t="n">
        <v>21296</v>
      </c>
      <c r="N1514" s="1" t="n">
        <v>39</v>
      </c>
    </row>
    <row r="1515" customFormat="false" ht="14.25" hidden="false" customHeight="false" outlineLevel="0" collapsed="false">
      <c r="A1515" s="1" t="n">
        <v>39</v>
      </c>
      <c r="B1515" s="1" t="s">
        <v>637</v>
      </c>
      <c r="C1515" s="1" t="s">
        <v>638</v>
      </c>
      <c r="D1515" s="1" t="n">
        <v>21296</v>
      </c>
      <c r="E1515" s="1" t="s">
        <v>57</v>
      </c>
      <c r="F1515" s="198" t="n">
        <v>200025888808</v>
      </c>
      <c r="G1515" s="198" t="s">
        <v>705</v>
      </c>
      <c r="H1515" s="163" t="s">
        <v>402</v>
      </c>
      <c r="I1515" s="161" t="n">
        <v>103</v>
      </c>
      <c r="J1515" s="156" t="s">
        <v>185</v>
      </c>
      <c r="K1515" s="200" t="n">
        <v>45452.6126157407</v>
      </c>
      <c r="L1515" s="1" t="n">
        <v>0</v>
      </c>
      <c r="M1515" s="1" t="n">
        <v>21296</v>
      </c>
      <c r="N1515" s="1" t="n">
        <v>40</v>
      </c>
    </row>
    <row r="1516" customFormat="false" ht="14.25" hidden="false" customHeight="false" outlineLevel="0" collapsed="false">
      <c r="A1516" s="1" t="n">
        <v>40</v>
      </c>
      <c r="B1516" s="1" t="s">
        <v>637</v>
      </c>
      <c r="C1516" s="1" t="s">
        <v>638</v>
      </c>
      <c r="D1516" s="1" t="n">
        <v>21296</v>
      </c>
      <c r="E1516" s="1" t="s">
        <v>57</v>
      </c>
      <c r="F1516" s="198" t="n">
        <v>200025888808</v>
      </c>
      <c r="G1516" s="198" t="s">
        <v>705</v>
      </c>
      <c r="H1516" s="163" t="s">
        <v>402</v>
      </c>
      <c r="I1516" s="161" t="n">
        <v>103</v>
      </c>
      <c r="J1516" s="156" t="s">
        <v>185</v>
      </c>
      <c r="K1516" s="200" t="n">
        <v>45452.7136805556</v>
      </c>
      <c r="L1516" s="1" t="n">
        <v>0</v>
      </c>
      <c r="M1516" s="1" t="n">
        <v>21296</v>
      </c>
      <c r="N1516" s="1" t="n">
        <v>41</v>
      </c>
    </row>
    <row r="1517" customFormat="false" ht="14.25" hidden="false" customHeight="false" outlineLevel="0" collapsed="false">
      <c r="A1517" s="1" t="n">
        <v>41</v>
      </c>
      <c r="B1517" s="1" t="s">
        <v>637</v>
      </c>
      <c r="C1517" s="1" t="s">
        <v>638</v>
      </c>
      <c r="D1517" s="1" t="n">
        <v>21296</v>
      </c>
      <c r="E1517" s="1" t="s">
        <v>57</v>
      </c>
      <c r="F1517" s="198" t="n">
        <v>200025888808</v>
      </c>
      <c r="G1517" s="198" t="s">
        <v>705</v>
      </c>
      <c r="H1517" s="163" t="s">
        <v>402</v>
      </c>
      <c r="I1517" s="161" t="n">
        <v>103</v>
      </c>
      <c r="J1517" s="156" t="s">
        <v>185</v>
      </c>
      <c r="K1517" s="200" t="n">
        <v>45452.7137037037</v>
      </c>
      <c r="L1517" s="1" t="n">
        <v>1</v>
      </c>
      <c r="M1517" s="1" t="n">
        <v>21296</v>
      </c>
      <c r="N1517" s="1" t="n">
        <v>42</v>
      </c>
    </row>
    <row r="1518" customFormat="false" ht="14.25" hidden="false" customHeight="false" outlineLevel="0" collapsed="false">
      <c r="A1518" s="1" t="n">
        <v>42</v>
      </c>
      <c r="B1518" s="1" t="s">
        <v>637</v>
      </c>
      <c r="C1518" s="1" t="s">
        <v>638</v>
      </c>
      <c r="D1518" s="1" t="n">
        <v>21296</v>
      </c>
      <c r="E1518" s="1" t="s">
        <v>57</v>
      </c>
      <c r="F1518" s="198" t="n">
        <v>200025888485</v>
      </c>
      <c r="G1518" s="198" t="s">
        <v>634</v>
      </c>
      <c r="H1518" s="163" t="s">
        <v>327</v>
      </c>
      <c r="I1518" s="161" t="n">
        <v>93</v>
      </c>
      <c r="J1518" s="156" t="s">
        <v>185</v>
      </c>
      <c r="K1518" s="200" t="n">
        <v>45452.8429513889</v>
      </c>
      <c r="L1518" s="10" t="n">
        <v>2436</v>
      </c>
      <c r="M1518" s="1" t="n">
        <v>21296</v>
      </c>
      <c r="N1518" s="1" t="n">
        <v>43</v>
      </c>
    </row>
    <row r="1519" customFormat="false" ht="14.25" hidden="false" customHeight="false" outlineLevel="0" collapsed="false">
      <c r="A1519" s="1" t="n">
        <v>43</v>
      </c>
      <c r="B1519" s="1" t="s">
        <v>637</v>
      </c>
      <c r="C1519" s="1" t="s">
        <v>638</v>
      </c>
      <c r="D1519" s="1" t="n">
        <v>21296</v>
      </c>
      <c r="E1519" s="1" t="s">
        <v>57</v>
      </c>
      <c r="F1519" s="198" t="n">
        <v>200025888485</v>
      </c>
      <c r="G1519" s="198" t="s">
        <v>634</v>
      </c>
      <c r="H1519" s="163" t="s">
        <v>327</v>
      </c>
      <c r="I1519" s="161" t="n">
        <v>93</v>
      </c>
      <c r="J1519" s="156" t="s">
        <v>185</v>
      </c>
      <c r="K1519" s="200" t="n">
        <v>45452.9012962963</v>
      </c>
      <c r="L1519" s="1" t="n">
        <v>0</v>
      </c>
      <c r="M1519" s="1" t="n">
        <v>21296</v>
      </c>
      <c r="N1519" s="1" t="n">
        <v>44</v>
      </c>
    </row>
    <row r="1520" customFormat="false" ht="14.25" hidden="false" customHeight="false" outlineLevel="0" collapsed="false">
      <c r="A1520" s="1" t="n">
        <v>44</v>
      </c>
      <c r="B1520" s="1" t="s">
        <v>637</v>
      </c>
      <c r="C1520" s="1" t="s">
        <v>638</v>
      </c>
      <c r="D1520" s="1" t="n">
        <v>21296</v>
      </c>
      <c r="E1520" s="1" t="s">
        <v>57</v>
      </c>
      <c r="F1520" s="198" t="n">
        <v>200025888485</v>
      </c>
      <c r="G1520" s="198" t="s">
        <v>634</v>
      </c>
      <c r="H1520" s="163" t="s">
        <v>327</v>
      </c>
      <c r="I1520" s="161" t="n">
        <v>93</v>
      </c>
      <c r="J1520" s="156" t="s">
        <v>185</v>
      </c>
      <c r="K1520" s="200" t="n">
        <v>45452.9081828704</v>
      </c>
      <c r="L1520" s="10" t="n">
        <v>4912</v>
      </c>
      <c r="M1520" s="1" t="n">
        <v>21296</v>
      </c>
      <c r="N1520" s="1" t="n">
        <v>45</v>
      </c>
    </row>
    <row r="1521" customFormat="false" ht="14.25" hidden="false" customHeight="false" outlineLevel="0" collapsed="false">
      <c r="A1521" s="1" t="n">
        <v>45</v>
      </c>
      <c r="B1521" s="1" t="s">
        <v>637</v>
      </c>
      <c r="C1521" s="1" t="s">
        <v>638</v>
      </c>
      <c r="D1521" s="1" t="n">
        <v>21296</v>
      </c>
      <c r="E1521" s="1" t="s">
        <v>57</v>
      </c>
      <c r="F1521" s="198" t="n">
        <v>200025888485</v>
      </c>
      <c r="G1521" s="198" t="s">
        <v>634</v>
      </c>
      <c r="H1521" s="163" t="s">
        <v>327</v>
      </c>
      <c r="I1521" s="161" t="n">
        <v>93</v>
      </c>
      <c r="J1521" s="156" t="s">
        <v>185</v>
      </c>
      <c r="K1521" s="200" t="n">
        <v>45452.9650347222</v>
      </c>
      <c r="L1521" s="1" t="n">
        <v>1</v>
      </c>
      <c r="M1521" s="1" t="n">
        <v>21296</v>
      </c>
      <c r="N1521" s="1" t="n">
        <v>46</v>
      </c>
    </row>
    <row r="1522" customFormat="false" ht="14.25" hidden="false" customHeight="false" outlineLevel="0" collapsed="false">
      <c r="A1522" s="1" t="n">
        <v>46</v>
      </c>
      <c r="B1522" s="1" t="s">
        <v>637</v>
      </c>
      <c r="C1522" s="1" t="s">
        <v>638</v>
      </c>
      <c r="D1522" s="1" t="n">
        <v>21296</v>
      </c>
      <c r="E1522" s="1" t="s">
        <v>57</v>
      </c>
      <c r="F1522" s="198" t="n">
        <v>200025888485</v>
      </c>
      <c r="G1522" s="198" t="s">
        <v>634</v>
      </c>
      <c r="H1522" s="163" t="s">
        <v>327</v>
      </c>
      <c r="I1522" s="161" t="n">
        <v>93</v>
      </c>
      <c r="J1522" s="156" t="s">
        <v>185</v>
      </c>
      <c r="K1522" s="200" t="n">
        <v>45453.0863541667</v>
      </c>
      <c r="L1522" s="1" t="n">
        <v>0</v>
      </c>
      <c r="M1522" s="1" t="n">
        <v>21296</v>
      </c>
      <c r="N1522" s="1" t="n">
        <v>47</v>
      </c>
    </row>
    <row r="1523" customFormat="false" ht="14.25" hidden="false" customHeight="false" outlineLevel="0" collapsed="false">
      <c r="A1523" s="1" t="n">
        <v>47</v>
      </c>
      <c r="B1523" s="1" t="s">
        <v>637</v>
      </c>
      <c r="C1523" s="1" t="s">
        <v>638</v>
      </c>
      <c r="D1523" s="1" t="n">
        <v>21296</v>
      </c>
      <c r="E1523" s="1" t="s">
        <v>57</v>
      </c>
      <c r="F1523" s="198" t="n">
        <v>200025888485</v>
      </c>
      <c r="G1523" s="198" t="s">
        <v>634</v>
      </c>
      <c r="H1523" s="163" t="s">
        <v>327</v>
      </c>
      <c r="I1523" s="161" t="n">
        <v>93</v>
      </c>
      <c r="J1523" s="156" t="s">
        <v>185</v>
      </c>
      <c r="K1523" s="200" t="n">
        <v>45453.0863773148</v>
      </c>
      <c r="L1523" s="1" t="n">
        <v>1</v>
      </c>
      <c r="M1523" s="1" t="n">
        <v>21296</v>
      </c>
      <c r="N1523" s="1" t="n">
        <v>48</v>
      </c>
    </row>
    <row r="1524" customFormat="false" ht="14.25" hidden="false" customHeight="false" outlineLevel="0" collapsed="false">
      <c r="A1524" s="1" t="n">
        <v>48</v>
      </c>
      <c r="B1524" s="1" t="s">
        <v>637</v>
      </c>
      <c r="C1524" s="1" t="s">
        <v>638</v>
      </c>
      <c r="D1524" s="1" t="n">
        <v>21296</v>
      </c>
      <c r="E1524" s="1" t="s">
        <v>57</v>
      </c>
      <c r="F1524" s="198" t="n">
        <v>200025889051</v>
      </c>
      <c r="G1524" s="198" t="s">
        <v>633</v>
      </c>
      <c r="H1524" s="163" t="s">
        <v>269</v>
      </c>
      <c r="I1524" s="161" t="n">
        <v>26</v>
      </c>
      <c r="J1524" s="156" t="s">
        <v>185</v>
      </c>
      <c r="K1524" s="200" t="n">
        <v>45453.1302083333</v>
      </c>
      <c r="L1524" s="1" t="n">
        <v>1</v>
      </c>
      <c r="M1524" s="1" t="n">
        <v>21296</v>
      </c>
      <c r="N1524" s="1" t="n">
        <v>49</v>
      </c>
    </row>
    <row r="1525" customFormat="false" ht="14.25" hidden="false" customHeight="false" outlineLevel="0" collapsed="false">
      <c r="A1525" s="1" t="n">
        <v>49</v>
      </c>
      <c r="B1525" s="1" t="s">
        <v>637</v>
      </c>
      <c r="C1525" s="1" t="s">
        <v>638</v>
      </c>
      <c r="D1525" s="1" t="n">
        <v>21296</v>
      </c>
      <c r="E1525" s="1" t="s">
        <v>57</v>
      </c>
      <c r="F1525" s="201" t="n">
        <v>200025889051</v>
      </c>
      <c r="G1525" s="198" t="s">
        <v>633</v>
      </c>
      <c r="H1525" s="163" t="s">
        <v>269</v>
      </c>
      <c r="I1525" s="161" t="n">
        <v>26</v>
      </c>
      <c r="J1525" s="156" t="s">
        <v>185</v>
      </c>
      <c r="K1525" s="200" t="n">
        <v>45453.1305439815</v>
      </c>
      <c r="L1525" s="1" t="n">
        <v>0</v>
      </c>
      <c r="M1525" s="1" t="n">
        <v>21296</v>
      </c>
      <c r="N1525" s="1" t="n">
        <v>50</v>
      </c>
    </row>
    <row r="1526" customFormat="false" ht="14.25" hidden="false" customHeight="false" outlineLevel="0" collapsed="false">
      <c r="A1526" s="1" t="n">
        <v>50</v>
      </c>
      <c r="B1526" s="1" t="s">
        <v>637</v>
      </c>
      <c r="C1526" s="1" t="s">
        <v>638</v>
      </c>
      <c r="D1526" s="1" t="n">
        <v>21296</v>
      </c>
      <c r="E1526" s="1" t="s">
        <v>57</v>
      </c>
      <c r="F1526" s="201" t="n">
        <v>200025889051</v>
      </c>
      <c r="G1526" s="198" t="s">
        <v>633</v>
      </c>
      <c r="H1526" s="163" t="s">
        <v>269</v>
      </c>
      <c r="I1526" s="161" t="n">
        <v>26</v>
      </c>
      <c r="J1526" s="156" t="s">
        <v>185</v>
      </c>
      <c r="K1526" s="200" t="n">
        <v>45453.1306712963</v>
      </c>
      <c r="L1526" s="1" t="n">
        <v>1</v>
      </c>
      <c r="M1526" s="1" t="n">
        <v>21296</v>
      </c>
      <c r="N1526" s="1" t="n">
        <v>51</v>
      </c>
    </row>
    <row r="1527" customFormat="false" ht="14.25" hidden="false" customHeight="false" outlineLevel="0" collapsed="false">
      <c r="A1527" s="1" t="n">
        <v>51</v>
      </c>
      <c r="B1527" s="1" t="s">
        <v>637</v>
      </c>
      <c r="C1527" s="1" t="s">
        <v>638</v>
      </c>
      <c r="D1527" s="1" t="n">
        <v>21296</v>
      </c>
      <c r="E1527" s="1" t="s">
        <v>57</v>
      </c>
      <c r="F1527" s="201" t="n">
        <v>200025889051</v>
      </c>
      <c r="G1527" s="198" t="s">
        <v>633</v>
      </c>
      <c r="H1527" s="163" t="s">
        <v>269</v>
      </c>
      <c r="I1527" s="161" t="n">
        <v>26</v>
      </c>
      <c r="J1527" s="156" t="s">
        <v>185</v>
      </c>
      <c r="K1527" s="200" t="n">
        <v>45453.1313194444</v>
      </c>
      <c r="L1527" s="1" t="n">
        <v>0</v>
      </c>
      <c r="M1527" s="1" t="n">
        <v>21296</v>
      </c>
      <c r="N1527" s="1" t="n">
        <v>52</v>
      </c>
    </row>
    <row r="1528" customFormat="false" ht="14.25" hidden="false" customHeight="false" outlineLevel="0" collapsed="false">
      <c r="A1528" s="1" t="n">
        <v>52</v>
      </c>
      <c r="B1528" s="1" t="s">
        <v>637</v>
      </c>
      <c r="C1528" s="1" t="s">
        <v>638</v>
      </c>
      <c r="D1528" s="1" t="n">
        <v>21296</v>
      </c>
      <c r="E1528" s="1" t="s">
        <v>57</v>
      </c>
      <c r="F1528" s="198" t="n">
        <v>200025888910</v>
      </c>
      <c r="G1528" s="198" t="s">
        <v>635</v>
      </c>
      <c r="H1528" s="163" t="s">
        <v>418</v>
      </c>
      <c r="I1528" s="161" t="n">
        <v>109</v>
      </c>
      <c r="J1528" s="156" t="s">
        <v>185</v>
      </c>
      <c r="K1528" s="200" t="n">
        <v>45453.2733449074</v>
      </c>
      <c r="L1528" s="1" t="n">
        <v>0</v>
      </c>
      <c r="M1528" s="1" t="n">
        <v>21296</v>
      </c>
      <c r="N1528" s="1" t="n">
        <v>53</v>
      </c>
    </row>
    <row r="1529" customFormat="false" ht="14.25" hidden="false" customHeight="false" outlineLevel="0" collapsed="false">
      <c r="A1529" s="1" t="n">
        <v>53</v>
      </c>
      <c r="B1529" s="1" t="s">
        <v>637</v>
      </c>
      <c r="C1529" s="1" t="s">
        <v>638</v>
      </c>
      <c r="D1529" s="1" t="n">
        <v>21296</v>
      </c>
      <c r="E1529" s="1" t="s">
        <v>57</v>
      </c>
      <c r="F1529" s="198" t="n">
        <v>200025888910</v>
      </c>
      <c r="G1529" s="198" t="s">
        <v>635</v>
      </c>
      <c r="H1529" s="163" t="s">
        <v>418</v>
      </c>
      <c r="I1529" s="161" t="n">
        <v>109</v>
      </c>
      <c r="J1529" s="156" t="s">
        <v>185</v>
      </c>
      <c r="K1529" s="200" t="n">
        <v>45453.2743518519</v>
      </c>
      <c r="L1529" s="1" t="n">
        <v>17</v>
      </c>
      <c r="M1529" s="1" t="n">
        <v>21296</v>
      </c>
      <c r="N1529" s="1" t="n">
        <v>54</v>
      </c>
    </row>
    <row r="1530" customFormat="false" ht="14.25" hidden="false" customHeight="false" outlineLevel="0" collapsed="false">
      <c r="A1530" s="1" t="n">
        <v>54</v>
      </c>
      <c r="B1530" s="1" t="s">
        <v>637</v>
      </c>
      <c r="C1530" s="1" t="s">
        <v>638</v>
      </c>
      <c r="D1530" s="1" t="n">
        <v>21296</v>
      </c>
      <c r="E1530" s="1" t="s">
        <v>57</v>
      </c>
      <c r="F1530" s="198" t="n">
        <v>200025888910</v>
      </c>
      <c r="G1530" s="198" t="s">
        <v>635</v>
      </c>
      <c r="H1530" s="163" t="s">
        <v>418</v>
      </c>
      <c r="I1530" s="161" t="n">
        <v>109</v>
      </c>
      <c r="J1530" s="156" t="s">
        <v>185</v>
      </c>
      <c r="K1530" s="200" t="n">
        <v>45453.2745486111</v>
      </c>
      <c r="L1530" s="1" t="n">
        <v>0</v>
      </c>
      <c r="M1530" s="1" t="n">
        <v>21296</v>
      </c>
      <c r="N1530" s="1" t="n">
        <v>55</v>
      </c>
    </row>
    <row r="1531" customFormat="false" ht="14.25" hidden="false" customHeight="false" outlineLevel="0" collapsed="false">
      <c r="A1531" s="1" t="n">
        <v>55</v>
      </c>
      <c r="B1531" s="1" t="s">
        <v>637</v>
      </c>
      <c r="C1531" s="1" t="s">
        <v>638</v>
      </c>
      <c r="D1531" s="1" t="n">
        <v>21296</v>
      </c>
      <c r="E1531" s="1" t="s">
        <v>57</v>
      </c>
      <c r="F1531" s="198" t="n">
        <v>200025888910</v>
      </c>
      <c r="G1531" s="198" t="s">
        <v>635</v>
      </c>
      <c r="H1531" s="163" t="s">
        <v>418</v>
      </c>
      <c r="I1531" s="161" t="n">
        <v>109</v>
      </c>
      <c r="J1531" s="156" t="s">
        <v>185</v>
      </c>
      <c r="K1531" s="200" t="n">
        <v>45453.3159606482</v>
      </c>
      <c r="L1531" s="1" t="n">
        <v>1</v>
      </c>
      <c r="M1531" s="1" t="n">
        <v>21296</v>
      </c>
      <c r="N1531" s="1" t="n">
        <v>56</v>
      </c>
    </row>
    <row r="1532" customFormat="false" ht="14.25" hidden="false" customHeight="false" outlineLevel="0" collapsed="false">
      <c r="A1532" s="1" t="n">
        <v>56</v>
      </c>
      <c r="B1532" s="1" t="s">
        <v>637</v>
      </c>
      <c r="C1532" s="1" t="s">
        <v>638</v>
      </c>
      <c r="D1532" s="1" t="n">
        <v>21296</v>
      </c>
      <c r="E1532" s="1" t="s">
        <v>57</v>
      </c>
      <c r="F1532" s="198" t="n">
        <v>200025888910</v>
      </c>
      <c r="G1532" s="198" t="s">
        <v>635</v>
      </c>
      <c r="H1532" s="163" t="s">
        <v>418</v>
      </c>
      <c r="I1532" s="161" t="n">
        <v>109</v>
      </c>
      <c r="J1532" s="156" t="s">
        <v>185</v>
      </c>
      <c r="K1532" s="200" t="n">
        <v>45453.4523726852</v>
      </c>
      <c r="L1532" s="10" t="n">
        <v>77</v>
      </c>
      <c r="M1532" s="1" t="n">
        <v>21296</v>
      </c>
      <c r="N1532" s="1" t="n">
        <v>57</v>
      </c>
    </row>
    <row r="1533" customFormat="false" ht="14.25" hidden="false" customHeight="false" outlineLevel="0" collapsed="false">
      <c r="A1533" s="1" t="n">
        <v>57</v>
      </c>
      <c r="B1533" s="1" t="s">
        <v>637</v>
      </c>
      <c r="C1533" s="1" t="s">
        <v>638</v>
      </c>
      <c r="D1533" s="1" t="n">
        <v>21296</v>
      </c>
      <c r="E1533" s="1" t="s">
        <v>57</v>
      </c>
      <c r="F1533" s="198" t="n">
        <v>200025888910</v>
      </c>
      <c r="G1533" s="198" t="s">
        <v>635</v>
      </c>
      <c r="H1533" s="163" t="s">
        <v>418</v>
      </c>
      <c r="I1533" s="161" t="n">
        <v>109</v>
      </c>
      <c r="J1533" s="156" t="s">
        <v>185</v>
      </c>
      <c r="K1533" s="200" t="n">
        <v>45453.4536226852</v>
      </c>
      <c r="L1533" s="10" t="n">
        <v>6702</v>
      </c>
      <c r="M1533" s="1" t="n">
        <v>21296</v>
      </c>
      <c r="N1533" s="1" t="n">
        <v>58</v>
      </c>
    </row>
    <row r="1534" customFormat="false" ht="14.25" hidden="false" customHeight="false" outlineLevel="0" collapsed="false">
      <c r="A1534" s="1" t="n">
        <v>58</v>
      </c>
      <c r="B1534" s="1" t="s">
        <v>637</v>
      </c>
      <c r="C1534" s="1" t="s">
        <v>638</v>
      </c>
      <c r="D1534" s="1" t="n">
        <v>21296</v>
      </c>
      <c r="E1534" s="1" t="s">
        <v>57</v>
      </c>
      <c r="F1534" s="198" t="n">
        <v>200025888910</v>
      </c>
      <c r="G1534" s="198" t="s">
        <v>635</v>
      </c>
      <c r="H1534" s="163" t="s">
        <v>418</v>
      </c>
      <c r="I1534" s="161" t="n">
        <v>109</v>
      </c>
      <c r="J1534" s="156" t="s">
        <v>185</v>
      </c>
      <c r="K1534" s="200" t="n">
        <v>45453.602349537</v>
      </c>
      <c r="L1534" s="1" t="n">
        <v>1</v>
      </c>
      <c r="M1534" s="1" t="n">
        <v>21296</v>
      </c>
      <c r="N1534" s="1" t="n">
        <v>59</v>
      </c>
    </row>
    <row r="1535" customFormat="false" ht="14.25" hidden="false" customHeight="false" outlineLevel="0" collapsed="false">
      <c r="A1535" s="1" t="n">
        <v>22</v>
      </c>
      <c r="B1535" s="1" t="s">
        <v>684</v>
      </c>
      <c r="C1535" s="1" t="s">
        <v>685</v>
      </c>
      <c r="D1535" s="1" t="n">
        <v>21296</v>
      </c>
      <c r="E1535" s="1" t="s">
        <v>57</v>
      </c>
      <c r="F1535" s="201" t="n">
        <v>200025889791</v>
      </c>
      <c r="G1535" s="198" t="s">
        <v>688</v>
      </c>
      <c r="H1535" s="163" t="s">
        <v>510</v>
      </c>
      <c r="I1535" s="161" t="n">
        <v>80</v>
      </c>
      <c r="J1535" s="156" t="s">
        <v>192</v>
      </c>
      <c r="K1535" s="200" t="n">
        <v>45453.6422453704</v>
      </c>
      <c r="L1535" s="1" t="n">
        <v>0</v>
      </c>
      <c r="M1535" s="1" t="n">
        <v>21296</v>
      </c>
      <c r="N1535" s="1" t="n">
        <v>60</v>
      </c>
    </row>
    <row r="1536" customFormat="false" ht="14.25" hidden="false" customHeight="false" outlineLevel="0" collapsed="false">
      <c r="A1536" s="1" t="n">
        <v>23</v>
      </c>
      <c r="B1536" s="1" t="s">
        <v>684</v>
      </c>
      <c r="C1536" s="1" t="s">
        <v>685</v>
      </c>
      <c r="D1536" s="1" t="n">
        <v>21296</v>
      </c>
      <c r="E1536" s="1" t="s">
        <v>57</v>
      </c>
      <c r="F1536" s="201" t="n">
        <v>200025889791</v>
      </c>
      <c r="G1536" s="198" t="s">
        <v>688</v>
      </c>
      <c r="H1536" s="163" t="s">
        <v>510</v>
      </c>
      <c r="I1536" s="161" t="n">
        <v>80</v>
      </c>
      <c r="J1536" s="156" t="s">
        <v>192</v>
      </c>
      <c r="K1536" s="200" t="n">
        <v>45453.6422453704</v>
      </c>
      <c r="L1536" s="1" t="n">
        <v>5</v>
      </c>
      <c r="M1536" s="1" t="n">
        <v>21296</v>
      </c>
      <c r="N1536" s="1" t="n">
        <v>61</v>
      </c>
    </row>
    <row r="1537" customFormat="false" ht="14.25" hidden="false" customHeight="false" outlineLevel="0" collapsed="false">
      <c r="A1537" s="1" t="n">
        <v>24</v>
      </c>
      <c r="B1537" s="1" t="s">
        <v>684</v>
      </c>
      <c r="C1537" s="1" t="s">
        <v>685</v>
      </c>
      <c r="D1537" s="1" t="n">
        <v>21296</v>
      </c>
      <c r="E1537" s="1" t="s">
        <v>57</v>
      </c>
      <c r="F1537" s="201" t="n">
        <v>200025889791</v>
      </c>
      <c r="G1537" s="198" t="s">
        <v>688</v>
      </c>
      <c r="H1537" s="163" t="s">
        <v>510</v>
      </c>
      <c r="I1537" s="161" t="n">
        <v>80</v>
      </c>
      <c r="J1537" s="156" t="s">
        <v>192</v>
      </c>
      <c r="K1537" s="200" t="n">
        <v>45453.6427893519</v>
      </c>
      <c r="L1537" s="1" t="n">
        <v>1</v>
      </c>
      <c r="M1537" s="1" t="n">
        <v>21296</v>
      </c>
      <c r="N1537" s="1" t="n">
        <v>62</v>
      </c>
    </row>
    <row r="1538" customFormat="false" ht="14.25" hidden="false" customHeight="false" outlineLevel="0" collapsed="false">
      <c r="A1538" s="1" t="n">
        <v>25</v>
      </c>
      <c r="B1538" s="1" t="s">
        <v>684</v>
      </c>
      <c r="C1538" s="1" t="s">
        <v>685</v>
      </c>
      <c r="D1538" s="1" t="n">
        <v>21296</v>
      </c>
      <c r="E1538" s="1" t="s">
        <v>57</v>
      </c>
      <c r="F1538" s="201" t="n">
        <v>200025888632</v>
      </c>
      <c r="G1538" s="198" t="s">
        <v>598</v>
      </c>
      <c r="H1538" s="163" t="s">
        <v>393</v>
      </c>
      <c r="I1538" s="161" t="n">
        <v>83</v>
      </c>
      <c r="J1538" s="156" t="s">
        <v>192</v>
      </c>
      <c r="K1538" s="200" t="n">
        <v>45453.6519675926</v>
      </c>
      <c r="L1538" s="10" t="n">
        <v>100</v>
      </c>
      <c r="M1538" s="1" t="n">
        <v>21296</v>
      </c>
      <c r="N1538" s="1" t="n">
        <v>63</v>
      </c>
    </row>
    <row r="1539" customFormat="false" ht="14.25" hidden="false" customHeight="false" outlineLevel="0" collapsed="false">
      <c r="A1539" s="1" t="n">
        <v>26</v>
      </c>
      <c r="B1539" s="1" t="s">
        <v>684</v>
      </c>
      <c r="C1539" s="1" t="s">
        <v>685</v>
      </c>
      <c r="D1539" s="1" t="n">
        <v>21296</v>
      </c>
      <c r="E1539" s="1" t="s">
        <v>57</v>
      </c>
      <c r="F1539" s="201" t="n">
        <v>200025889791</v>
      </c>
      <c r="G1539" s="198" t="s">
        <v>688</v>
      </c>
      <c r="H1539" s="163" t="s">
        <v>510</v>
      </c>
      <c r="I1539" s="161" t="n">
        <v>80</v>
      </c>
      <c r="J1539" s="156" t="s">
        <v>192</v>
      </c>
      <c r="K1539" s="200" t="n">
        <v>45453.6572106482</v>
      </c>
      <c r="L1539" s="1" t="n">
        <v>1</v>
      </c>
      <c r="M1539" s="1" t="n">
        <v>21296</v>
      </c>
      <c r="N1539" s="1" t="n">
        <v>64</v>
      </c>
    </row>
    <row r="1540" customFormat="false" ht="14.25" hidden="false" customHeight="false" outlineLevel="0" collapsed="false">
      <c r="A1540" s="1" t="n">
        <v>27</v>
      </c>
      <c r="B1540" s="1" t="s">
        <v>684</v>
      </c>
      <c r="C1540" s="1" t="s">
        <v>685</v>
      </c>
      <c r="D1540" s="1" t="n">
        <v>21296</v>
      </c>
      <c r="E1540" s="1" t="s">
        <v>57</v>
      </c>
      <c r="F1540" s="201" t="n">
        <v>200025889791</v>
      </c>
      <c r="G1540" s="198" t="s">
        <v>688</v>
      </c>
      <c r="H1540" s="163" t="s">
        <v>510</v>
      </c>
      <c r="I1540" s="161" t="n">
        <v>80</v>
      </c>
      <c r="J1540" s="156" t="s">
        <v>192</v>
      </c>
      <c r="K1540" s="200" t="n">
        <v>45453.6572337963</v>
      </c>
      <c r="L1540" s="1" t="n">
        <v>0</v>
      </c>
      <c r="M1540" s="1" t="n">
        <v>21296</v>
      </c>
      <c r="N1540" s="1" t="n">
        <v>65</v>
      </c>
    </row>
    <row r="1541" customFormat="false" ht="14.25" hidden="false" customHeight="false" outlineLevel="0" collapsed="false">
      <c r="A1541" s="1" t="n">
        <v>28</v>
      </c>
      <c r="B1541" s="1" t="s">
        <v>684</v>
      </c>
      <c r="C1541" s="1" t="s">
        <v>685</v>
      </c>
      <c r="D1541" s="1" t="n">
        <v>21296</v>
      </c>
      <c r="E1541" s="1" t="s">
        <v>57</v>
      </c>
      <c r="F1541" s="201" t="n">
        <v>200025889791</v>
      </c>
      <c r="G1541" s="198" t="s">
        <v>688</v>
      </c>
      <c r="H1541" s="163" t="s">
        <v>510</v>
      </c>
      <c r="I1541" s="161" t="n">
        <v>80</v>
      </c>
      <c r="J1541" s="156" t="s">
        <v>192</v>
      </c>
      <c r="K1541" s="200" t="n">
        <v>45453.6582291667</v>
      </c>
      <c r="L1541" s="1" t="n">
        <v>1</v>
      </c>
      <c r="M1541" s="1" t="n">
        <v>21296</v>
      </c>
      <c r="N1541" s="1" t="n">
        <v>66</v>
      </c>
    </row>
    <row r="1542" customFormat="false" ht="14.25" hidden="false" customHeight="false" outlineLevel="0" collapsed="false">
      <c r="A1542" s="1" t="n">
        <v>29</v>
      </c>
      <c r="B1542" s="1" t="s">
        <v>684</v>
      </c>
      <c r="C1542" s="1" t="s">
        <v>685</v>
      </c>
      <c r="D1542" s="1" t="n">
        <v>21296</v>
      </c>
      <c r="E1542" s="1" t="s">
        <v>57</v>
      </c>
      <c r="F1542" s="201" t="n">
        <v>200025889791</v>
      </c>
      <c r="G1542" s="198" t="s">
        <v>635</v>
      </c>
      <c r="H1542" s="163" t="s">
        <v>418</v>
      </c>
      <c r="I1542" s="161" t="n">
        <v>109</v>
      </c>
      <c r="J1542" s="156" t="s">
        <v>185</v>
      </c>
      <c r="K1542" s="200" t="n">
        <v>45453.6582638889</v>
      </c>
      <c r="L1542" s="1" t="n">
        <v>0</v>
      </c>
      <c r="M1542" s="1" t="n">
        <v>21296</v>
      </c>
      <c r="N1542" s="1" t="n">
        <v>67</v>
      </c>
    </row>
    <row r="1543" customFormat="false" ht="14.25" hidden="false" customHeight="false" outlineLevel="0" collapsed="false">
      <c r="A1543" s="1" t="n">
        <v>30</v>
      </c>
      <c r="B1543" s="1" t="s">
        <v>684</v>
      </c>
      <c r="C1543" s="1" t="s">
        <v>685</v>
      </c>
      <c r="D1543" s="1" t="n">
        <v>21296</v>
      </c>
      <c r="E1543" s="1" t="s">
        <v>57</v>
      </c>
      <c r="F1543" s="201" t="n">
        <v>200025889791</v>
      </c>
      <c r="G1543" s="198" t="s">
        <v>688</v>
      </c>
      <c r="H1543" s="163" t="s">
        <v>510</v>
      </c>
      <c r="I1543" s="161" t="n">
        <v>80</v>
      </c>
      <c r="J1543" s="156" t="s">
        <v>192</v>
      </c>
      <c r="K1543" s="200" t="n">
        <v>45453.6587384259</v>
      </c>
      <c r="L1543" s="1" t="n">
        <v>2</v>
      </c>
      <c r="M1543" s="1" t="n">
        <v>21296</v>
      </c>
      <c r="N1543" s="1" t="n">
        <v>68</v>
      </c>
    </row>
    <row r="1544" customFormat="false" ht="14.25" hidden="false" customHeight="false" outlineLevel="0" collapsed="false">
      <c r="A1544" s="1" t="n">
        <v>31</v>
      </c>
      <c r="B1544" s="1" t="s">
        <v>684</v>
      </c>
      <c r="C1544" s="1" t="s">
        <v>685</v>
      </c>
      <c r="D1544" s="1" t="n">
        <v>21296</v>
      </c>
      <c r="E1544" s="1" t="s">
        <v>57</v>
      </c>
      <c r="F1544" s="201" t="n">
        <v>200025888632</v>
      </c>
      <c r="G1544" s="198" t="s">
        <v>598</v>
      </c>
      <c r="H1544" s="163" t="s">
        <v>393</v>
      </c>
      <c r="I1544" s="161" t="n">
        <v>83</v>
      </c>
      <c r="J1544" s="156" t="s">
        <v>192</v>
      </c>
      <c r="K1544" s="200" t="n">
        <v>45453.685474537</v>
      </c>
      <c r="L1544" s="1" t="n">
        <v>3</v>
      </c>
      <c r="M1544" s="1" t="n">
        <v>21296</v>
      </c>
      <c r="N1544" s="1" t="n">
        <v>69</v>
      </c>
    </row>
    <row r="1545" customFormat="false" ht="14.25" hidden="false" customHeight="false" outlineLevel="0" collapsed="false">
      <c r="A1545" s="1" t="n">
        <v>32</v>
      </c>
      <c r="B1545" s="1" t="s">
        <v>684</v>
      </c>
      <c r="C1545" s="1" t="s">
        <v>685</v>
      </c>
      <c r="D1545" s="1" t="n">
        <v>21296</v>
      </c>
      <c r="E1545" s="1" t="s">
        <v>57</v>
      </c>
      <c r="F1545" s="201" t="n">
        <v>200025888632</v>
      </c>
      <c r="G1545" s="198" t="s">
        <v>598</v>
      </c>
      <c r="H1545" s="163" t="s">
        <v>393</v>
      </c>
      <c r="I1545" s="161" t="n">
        <v>83</v>
      </c>
      <c r="J1545" s="156" t="s">
        <v>192</v>
      </c>
      <c r="K1545" s="200" t="n">
        <v>45453.6967592593</v>
      </c>
      <c r="L1545" s="1" t="n">
        <v>2</v>
      </c>
      <c r="M1545" s="1" t="n">
        <v>21296</v>
      </c>
      <c r="N1545" s="1" t="n">
        <v>70</v>
      </c>
    </row>
    <row r="1546" customFormat="false" ht="14.25" hidden="false" customHeight="false" outlineLevel="0" collapsed="false">
      <c r="A1546" s="1" t="n">
        <v>33</v>
      </c>
      <c r="B1546" s="1" t="s">
        <v>684</v>
      </c>
      <c r="C1546" s="1" t="s">
        <v>685</v>
      </c>
      <c r="D1546" s="1" t="n">
        <v>21296</v>
      </c>
      <c r="E1546" s="1" t="s">
        <v>57</v>
      </c>
      <c r="F1546" s="201" t="n">
        <v>200025888632</v>
      </c>
      <c r="G1546" s="198" t="s">
        <v>598</v>
      </c>
      <c r="H1546" s="163" t="s">
        <v>393</v>
      </c>
      <c r="I1546" s="161" t="n">
        <v>83</v>
      </c>
      <c r="J1546" s="156" t="s">
        <v>192</v>
      </c>
      <c r="K1546" s="200" t="n">
        <v>45453.6970833333</v>
      </c>
      <c r="L1546" s="1" t="n">
        <v>2</v>
      </c>
      <c r="M1546" s="1" t="n">
        <v>21296</v>
      </c>
      <c r="N1546" s="1" t="n">
        <v>71</v>
      </c>
    </row>
    <row r="1547" customFormat="false" ht="14.25" hidden="false" customHeight="false" outlineLevel="0" collapsed="false">
      <c r="A1547" s="1" t="n">
        <v>34</v>
      </c>
      <c r="B1547" s="1" t="s">
        <v>684</v>
      </c>
      <c r="C1547" s="1" t="s">
        <v>685</v>
      </c>
      <c r="D1547" s="1" t="n">
        <v>21296</v>
      </c>
      <c r="E1547" s="1" t="s">
        <v>57</v>
      </c>
      <c r="F1547" s="201" t="n">
        <v>200025888632</v>
      </c>
      <c r="G1547" s="198" t="s">
        <v>598</v>
      </c>
      <c r="H1547" s="163" t="s">
        <v>393</v>
      </c>
      <c r="I1547" s="161" t="n">
        <v>83</v>
      </c>
      <c r="J1547" s="156" t="s">
        <v>192</v>
      </c>
      <c r="K1547" s="200" t="n">
        <v>45453.6977430556</v>
      </c>
      <c r="L1547" s="1" t="n">
        <v>2</v>
      </c>
      <c r="M1547" s="1" t="n">
        <v>21296</v>
      </c>
      <c r="N1547" s="1" t="n">
        <v>72</v>
      </c>
    </row>
    <row r="1548" customFormat="false" ht="14.25" hidden="false" customHeight="false" outlineLevel="0" collapsed="false">
      <c r="A1548" s="1" t="n">
        <v>35</v>
      </c>
      <c r="B1548" s="1" t="s">
        <v>684</v>
      </c>
      <c r="C1548" s="1" t="s">
        <v>685</v>
      </c>
      <c r="D1548" s="1" t="n">
        <v>21296</v>
      </c>
      <c r="E1548" s="1" t="s">
        <v>57</v>
      </c>
      <c r="F1548" s="201" t="n">
        <v>200025888632</v>
      </c>
      <c r="G1548" s="198" t="s">
        <v>598</v>
      </c>
      <c r="H1548" s="163" t="s">
        <v>393</v>
      </c>
      <c r="I1548" s="161" t="n">
        <v>83</v>
      </c>
      <c r="J1548" s="156" t="s">
        <v>192</v>
      </c>
      <c r="K1548" s="200" t="n">
        <v>45453.6979050926</v>
      </c>
      <c r="L1548" s="1" t="n">
        <v>0</v>
      </c>
      <c r="M1548" s="1" t="n">
        <v>21296</v>
      </c>
      <c r="N1548" s="1" t="n">
        <v>73</v>
      </c>
    </row>
    <row r="1549" customFormat="false" ht="14.25" hidden="false" customHeight="false" outlineLevel="0" collapsed="false">
      <c r="A1549" s="1" t="n">
        <v>36</v>
      </c>
      <c r="B1549" s="1" t="s">
        <v>684</v>
      </c>
      <c r="C1549" s="1" t="s">
        <v>685</v>
      </c>
      <c r="D1549" s="1" t="n">
        <v>21296</v>
      </c>
      <c r="E1549" s="1" t="s">
        <v>57</v>
      </c>
      <c r="F1549" s="201" t="n">
        <v>200025888632</v>
      </c>
      <c r="G1549" s="198" t="s">
        <v>598</v>
      </c>
      <c r="H1549" s="163" t="s">
        <v>393</v>
      </c>
      <c r="I1549" s="161" t="n">
        <v>83</v>
      </c>
      <c r="J1549" s="156" t="s">
        <v>192</v>
      </c>
      <c r="K1549" s="200" t="n">
        <v>45453.6981597222</v>
      </c>
      <c r="L1549" s="1" t="n">
        <v>1</v>
      </c>
      <c r="M1549" s="1" t="n">
        <v>21296</v>
      </c>
      <c r="N1549" s="1" t="n">
        <v>74</v>
      </c>
    </row>
    <row r="1550" customFormat="false" ht="14.25" hidden="false" customHeight="false" outlineLevel="0" collapsed="false">
      <c r="A1550" s="1" t="n">
        <v>37</v>
      </c>
      <c r="B1550" s="1" t="s">
        <v>684</v>
      </c>
      <c r="C1550" s="1" t="s">
        <v>685</v>
      </c>
      <c r="D1550" s="1" t="n">
        <v>21296</v>
      </c>
      <c r="E1550" s="1" t="s">
        <v>57</v>
      </c>
      <c r="F1550" s="201" t="n">
        <v>200025888632</v>
      </c>
      <c r="G1550" s="198" t="s">
        <v>598</v>
      </c>
      <c r="H1550" s="163" t="s">
        <v>393</v>
      </c>
      <c r="I1550" s="161" t="n">
        <v>83</v>
      </c>
      <c r="J1550" s="156" t="s">
        <v>192</v>
      </c>
      <c r="K1550" s="200" t="n">
        <v>45453.7567708333</v>
      </c>
      <c r="L1550" s="1" t="n">
        <v>1</v>
      </c>
      <c r="M1550" s="1" t="n">
        <v>21296</v>
      </c>
      <c r="N1550" s="1" t="n">
        <v>75</v>
      </c>
    </row>
    <row r="1551" customFormat="false" ht="14.25" hidden="false" customHeight="false" outlineLevel="0" collapsed="false">
      <c r="A1551" s="1" t="n">
        <v>38</v>
      </c>
      <c r="B1551" s="1" t="s">
        <v>684</v>
      </c>
      <c r="C1551" s="1" t="s">
        <v>685</v>
      </c>
      <c r="D1551" s="1" t="n">
        <v>21296</v>
      </c>
      <c r="E1551" s="1" t="s">
        <v>57</v>
      </c>
      <c r="F1551" s="201" t="n">
        <v>200025888632</v>
      </c>
      <c r="G1551" s="198" t="s">
        <v>598</v>
      </c>
      <c r="H1551" s="163" t="s">
        <v>393</v>
      </c>
      <c r="I1551" s="161" t="n">
        <v>83</v>
      </c>
      <c r="J1551" s="156" t="s">
        <v>192</v>
      </c>
      <c r="K1551" s="200" t="n">
        <v>45453.7572337963</v>
      </c>
      <c r="L1551" s="10" t="n">
        <v>210</v>
      </c>
      <c r="M1551" s="1" t="n">
        <v>21296</v>
      </c>
      <c r="N1551" s="1" t="n">
        <v>76</v>
      </c>
    </row>
    <row r="1552" customFormat="false" ht="14.25" hidden="false" customHeight="false" outlineLevel="0" collapsed="false">
      <c r="A1552" s="1" t="n">
        <v>39</v>
      </c>
      <c r="B1552" s="1" t="s">
        <v>684</v>
      </c>
      <c r="C1552" s="1" t="s">
        <v>685</v>
      </c>
      <c r="D1552" s="1" t="n">
        <v>21296</v>
      </c>
      <c r="E1552" s="1" t="s">
        <v>57</v>
      </c>
      <c r="F1552" s="201" t="n">
        <v>200025888839</v>
      </c>
      <c r="G1552" s="198" t="s">
        <v>690</v>
      </c>
      <c r="H1552" s="163" t="s">
        <v>297</v>
      </c>
      <c r="I1552" s="161" t="n">
        <v>14</v>
      </c>
      <c r="J1552" s="156" t="s">
        <v>192</v>
      </c>
      <c r="K1552" s="200" t="n">
        <v>45453.8043981481</v>
      </c>
      <c r="L1552" s="10" t="n">
        <v>924</v>
      </c>
      <c r="M1552" s="1" t="n">
        <v>21296</v>
      </c>
      <c r="N1552" s="1" t="n">
        <v>77</v>
      </c>
    </row>
    <row r="1553" customFormat="false" ht="14.25" hidden="false" customHeight="false" outlineLevel="0" collapsed="false">
      <c r="A1553" s="1" t="n">
        <v>40</v>
      </c>
      <c r="B1553" s="1" t="s">
        <v>684</v>
      </c>
      <c r="C1553" s="1" t="s">
        <v>685</v>
      </c>
      <c r="D1553" s="1" t="n">
        <v>21296</v>
      </c>
      <c r="E1553" s="1" t="s">
        <v>57</v>
      </c>
      <c r="F1553" s="201" t="n">
        <v>200025888632</v>
      </c>
      <c r="G1553" s="198" t="s">
        <v>598</v>
      </c>
      <c r="H1553" s="163" t="s">
        <v>393</v>
      </c>
      <c r="I1553" s="161" t="n">
        <v>83</v>
      </c>
      <c r="J1553" s="156" t="s">
        <v>192</v>
      </c>
      <c r="K1553" s="200" t="n">
        <v>45453.8353935185</v>
      </c>
      <c r="L1553" s="1" t="n">
        <v>1</v>
      </c>
      <c r="M1553" s="1" t="n">
        <v>21296</v>
      </c>
      <c r="N1553" s="1" t="n">
        <v>78</v>
      </c>
    </row>
    <row r="1554" customFormat="false" ht="14.25" hidden="false" customHeight="false" outlineLevel="0" collapsed="false">
      <c r="A1554" s="1" t="n">
        <v>41</v>
      </c>
      <c r="B1554" s="1" t="s">
        <v>684</v>
      </c>
      <c r="C1554" s="1" t="s">
        <v>685</v>
      </c>
      <c r="D1554" s="1" t="n">
        <v>21296</v>
      </c>
      <c r="E1554" s="1" t="s">
        <v>57</v>
      </c>
      <c r="F1554" s="201" t="n">
        <v>200025888839</v>
      </c>
      <c r="G1554" s="198" t="s">
        <v>690</v>
      </c>
      <c r="H1554" s="163" t="s">
        <v>297</v>
      </c>
      <c r="I1554" s="161" t="n">
        <v>14</v>
      </c>
      <c r="J1554" s="156" t="s">
        <v>192</v>
      </c>
      <c r="K1554" s="200" t="n">
        <v>45453.8680902778</v>
      </c>
      <c r="L1554" s="1" t="n">
        <v>0</v>
      </c>
      <c r="M1554" s="1" t="n">
        <v>21296</v>
      </c>
      <c r="N1554" s="1" t="n">
        <v>79</v>
      </c>
    </row>
    <row r="1555" customFormat="false" ht="14.25" hidden="false" customHeight="false" outlineLevel="0" collapsed="false">
      <c r="A1555" s="1" t="n">
        <v>42</v>
      </c>
      <c r="B1555" s="1" t="s">
        <v>684</v>
      </c>
      <c r="C1555" s="1" t="s">
        <v>685</v>
      </c>
      <c r="D1555" s="1" t="n">
        <v>21296</v>
      </c>
      <c r="E1555" s="1" t="s">
        <v>57</v>
      </c>
      <c r="F1555" s="201" t="n">
        <v>200025888839</v>
      </c>
      <c r="G1555" s="198" t="s">
        <v>690</v>
      </c>
      <c r="H1555" s="163" t="s">
        <v>297</v>
      </c>
      <c r="I1555" s="161" t="n">
        <v>14</v>
      </c>
      <c r="J1555" s="156" t="s">
        <v>192</v>
      </c>
      <c r="K1555" s="200" t="n">
        <v>45453.8690277778</v>
      </c>
      <c r="L1555" s="1" t="n">
        <v>0</v>
      </c>
      <c r="M1555" s="1" t="n">
        <v>21296</v>
      </c>
      <c r="N1555" s="1" t="n">
        <v>80</v>
      </c>
    </row>
    <row r="1556" customFormat="false" ht="14.25" hidden="false" customHeight="false" outlineLevel="0" collapsed="false">
      <c r="A1556" s="1" t="n">
        <v>43</v>
      </c>
      <c r="B1556" s="1" t="s">
        <v>684</v>
      </c>
      <c r="C1556" s="1" t="s">
        <v>685</v>
      </c>
      <c r="D1556" s="1" t="n">
        <v>21296</v>
      </c>
      <c r="E1556" s="1" t="s">
        <v>57</v>
      </c>
      <c r="F1556" s="201" t="n">
        <v>200025888839</v>
      </c>
      <c r="G1556" s="198" t="s">
        <v>690</v>
      </c>
      <c r="H1556" s="163" t="s">
        <v>297</v>
      </c>
      <c r="I1556" s="161" t="n">
        <v>14</v>
      </c>
      <c r="J1556" s="156" t="s">
        <v>192</v>
      </c>
      <c r="K1556" s="200" t="n">
        <v>45453.8699305556</v>
      </c>
      <c r="L1556" s="1" t="n">
        <v>1</v>
      </c>
      <c r="M1556" s="1" t="n">
        <v>21296</v>
      </c>
      <c r="N1556" s="1" t="n">
        <v>81</v>
      </c>
    </row>
    <row r="1557" customFormat="false" ht="14.25" hidden="false" customHeight="false" outlineLevel="0" collapsed="false">
      <c r="A1557" s="1" t="n">
        <v>44</v>
      </c>
      <c r="B1557" s="1" t="s">
        <v>684</v>
      </c>
      <c r="C1557" s="1" t="s">
        <v>685</v>
      </c>
      <c r="D1557" s="1" t="n">
        <v>21296</v>
      </c>
      <c r="E1557" s="1" t="s">
        <v>57</v>
      </c>
      <c r="F1557" s="201" t="n">
        <v>200025888839</v>
      </c>
      <c r="G1557" s="198" t="s">
        <v>690</v>
      </c>
      <c r="H1557" s="163" t="s">
        <v>297</v>
      </c>
      <c r="I1557" s="161" t="n">
        <v>14</v>
      </c>
      <c r="J1557" s="156" t="s">
        <v>192</v>
      </c>
      <c r="K1557" s="200" t="n">
        <v>45453.8699537037</v>
      </c>
      <c r="L1557" s="1" t="n">
        <v>0</v>
      </c>
      <c r="M1557" s="1" t="n">
        <v>21296</v>
      </c>
      <c r="N1557" s="1" t="n">
        <v>82</v>
      </c>
    </row>
    <row r="1558" customFormat="false" ht="14.25" hidden="false" customHeight="false" outlineLevel="0" collapsed="false">
      <c r="A1558" s="1" t="n">
        <v>45</v>
      </c>
      <c r="B1558" s="1" t="s">
        <v>684</v>
      </c>
      <c r="C1558" s="1" t="s">
        <v>685</v>
      </c>
      <c r="D1558" s="1" t="n">
        <v>21296</v>
      </c>
      <c r="E1558" s="1" t="s">
        <v>57</v>
      </c>
      <c r="F1558" s="201" t="n">
        <v>200025888632</v>
      </c>
      <c r="G1558" s="198" t="s">
        <v>598</v>
      </c>
      <c r="H1558" s="163" t="s">
        <v>393</v>
      </c>
      <c r="I1558" s="161" t="n">
        <v>83</v>
      </c>
      <c r="J1558" s="156" t="s">
        <v>192</v>
      </c>
      <c r="K1558" s="200" t="n">
        <v>45453.9012037037</v>
      </c>
      <c r="L1558" s="10" t="n">
        <v>71</v>
      </c>
      <c r="M1558" s="1" t="n">
        <v>21296</v>
      </c>
      <c r="N1558" s="1" t="n">
        <v>83</v>
      </c>
    </row>
    <row r="1559" customFormat="false" ht="14.25" hidden="false" customHeight="false" outlineLevel="0" collapsed="false">
      <c r="A1559" s="1" t="n">
        <v>46</v>
      </c>
      <c r="B1559" s="1" t="s">
        <v>684</v>
      </c>
      <c r="C1559" s="1" t="s">
        <v>685</v>
      </c>
      <c r="D1559" s="1" t="n">
        <v>21296</v>
      </c>
      <c r="E1559" s="1" t="s">
        <v>57</v>
      </c>
      <c r="F1559" s="201" t="n">
        <v>200025888632</v>
      </c>
      <c r="G1559" s="198" t="s">
        <v>598</v>
      </c>
      <c r="H1559" s="163" t="s">
        <v>393</v>
      </c>
      <c r="I1559" s="161" t="n">
        <v>83</v>
      </c>
      <c r="J1559" s="156" t="s">
        <v>192</v>
      </c>
      <c r="K1559" s="200" t="n">
        <v>45453.902037037</v>
      </c>
      <c r="L1559" s="1" t="n">
        <v>1</v>
      </c>
      <c r="M1559" s="1" t="n">
        <v>21296</v>
      </c>
      <c r="N1559" s="1" t="n">
        <v>84</v>
      </c>
    </row>
    <row r="1560" customFormat="false" ht="14.25" hidden="false" customHeight="false" outlineLevel="0" collapsed="false">
      <c r="A1560" s="1" t="n">
        <v>47</v>
      </c>
      <c r="B1560" s="1" t="s">
        <v>684</v>
      </c>
      <c r="C1560" s="1" t="s">
        <v>685</v>
      </c>
      <c r="D1560" s="1" t="n">
        <v>21296</v>
      </c>
      <c r="E1560" s="1" t="s">
        <v>57</v>
      </c>
      <c r="F1560" s="201" t="n">
        <v>200025889226</v>
      </c>
      <c r="G1560" s="198" t="s">
        <v>610</v>
      </c>
      <c r="H1560" s="163" t="s">
        <v>486</v>
      </c>
      <c r="I1560" s="161" t="n">
        <v>69</v>
      </c>
      <c r="J1560" s="156" t="s">
        <v>192</v>
      </c>
      <c r="K1560" s="200" t="n">
        <v>45453.9086111111</v>
      </c>
      <c r="L1560" s="1" t="n">
        <v>0</v>
      </c>
      <c r="M1560" s="1" t="n">
        <v>21296</v>
      </c>
      <c r="N1560" s="1" t="n">
        <v>85</v>
      </c>
    </row>
    <row r="1561" customFormat="false" ht="14.25" hidden="false" customHeight="false" outlineLevel="0" collapsed="false">
      <c r="A1561" s="1" t="n">
        <v>48</v>
      </c>
      <c r="B1561" s="1" t="s">
        <v>684</v>
      </c>
      <c r="C1561" s="1" t="s">
        <v>685</v>
      </c>
      <c r="D1561" s="1" t="n">
        <v>21296</v>
      </c>
      <c r="E1561" s="1" t="s">
        <v>57</v>
      </c>
      <c r="F1561" s="201" t="n">
        <v>200025889226</v>
      </c>
      <c r="G1561" s="198" t="s">
        <v>610</v>
      </c>
      <c r="H1561" s="163" t="s">
        <v>486</v>
      </c>
      <c r="I1561" s="161" t="n">
        <v>69</v>
      </c>
      <c r="J1561" s="156" t="s">
        <v>192</v>
      </c>
      <c r="K1561" s="200" t="n">
        <v>45453.9086226852</v>
      </c>
      <c r="L1561" s="1" t="n">
        <v>0</v>
      </c>
      <c r="M1561" s="1" t="n">
        <v>21296</v>
      </c>
      <c r="N1561" s="1" t="n">
        <v>86</v>
      </c>
    </row>
    <row r="1562" customFormat="false" ht="14.25" hidden="false" customHeight="false" outlineLevel="0" collapsed="false">
      <c r="A1562" s="1" t="n">
        <v>49</v>
      </c>
      <c r="B1562" s="1" t="s">
        <v>684</v>
      </c>
      <c r="C1562" s="1" t="s">
        <v>685</v>
      </c>
      <c r="D1562" s="1" t="n">
        <v>21296</v>
      </c>
      <c r="E1562" s="1" t="s">
        <v>57</v>
      </c>
      <c r="F1562" s="201" t="n">
        <v>200025889226</v>
      </c>
      <c r="G1562" s="198" t="s">
        <v>610</v>
      </c>
      <c r="H1562" s="163" t="s">
        <v>486</v>
      </c>
      <c r="I1562" s="161" t="n">
        <v>69</v>
      </c>
      <c r="J1562" s="156" t="s">
        <v>192</v>
      </c>
      <c r="K1562" s="200" t="n">
        <v>45453.9086342593</v>
      </c>
      <c r="L1562" s="1" t="n">
        <v>0</v>
      </c>
      <c r="M1562" s="1" t="n">
        <v>21296</v>
      </c>
      <c r="N1562" s="1" t="n">
        <v>87</v>
      </c>
    </row>
    <row r="1563" customFormat="false" ht="14.25" hidden="false" customHeight="false" outlineLevel="0" collapsed="false">
      <c r="A1563" s="1" t="n">
        <v>50</v>
      </c>
      <c r="B1563" s="1" t="s">
        <v>684</v>
      </c>
      <c r="C1563" s="1" t="s">
        <v>685</v>
      </c>
      <c r="D1563" s="1" t="n">
        <v>21296</v>
      </c>
      <c r="E1563" s="1" t="s">
        <v>57</v>
      </c>
      <c r="F1563" s="201" t="n">
        <v>200025888839</v>
      </c>
      <c r="G1563" s="198" t="s">
        <v>690</v>
      </c>
      <c r="H1563" s="163" t="s">
        <v>297</v>
      </c>
      <c r="I1563" s="161" t="n">
        <v>14</v>
      </c>
      <c r="J1563" s="156" t="s">
        <v>192</v>
      </c>
      <c r="K1563" s="200" t="n">
        <v>45453.9428935185</v>
      </c>
      <c r="L1563" s="1" t="n">
        <v>0</v>
      </c>
      <c r="M1563" s="1" t="n">
        <v>21296</v>
      </c>
      <c r="N1563" s="1" t="n">
        <v>88</v>
      </c>
    </row>
    <row r="1564" customFormat="false" ht="14.25" hidden="false" customHeight="false" outlineLevel="0" collapsed="false">
      <c r="A1564" s="1" t="n">
        <v>51</v>
      </c>
      <c r="B1564" s="1" t="s">
        <v>684</v>
      </c>
      <c r="C1564" s="1" t="s">
        <v>685</v>
      </c>
      <c r="D1564" s="1" t="n">
        <v>21296</v>
      </c>
      <c r="E1564" s="1" t="s">
        <v>57</v>
      </c>
      <c r="F1564" s="201" t="n">
        <v>200025888839</v>
      </c>
      <c r="G1564" s="198" t="s">
        <v>690</v>
      </c>
      <c r="H1564" s="163" t="s">
        <v>297</v>
      </c>
      <c r="I1564" s="161" t="n">
        <v>14</v>
      </c>
      <c r="J1564" s="156" t="s">
        <v>192</v>
      </c>
      <c r="K1564" s="200" t="n">
        <v>45453.9429050926</v>
      </c>
      <c r="L1564" s="10" t="n">
        <v>3476</v>
      </c>
      <c r="M1564" s="1" t="n">
        <v>21296</v>
      </c>
      <c r="N1564" s="1" t="n">
        <v>89</v>
      </c>
    </row>
    <row r="1565" customFormat="false" ht="14.25" hidden="false" customHeight="false" outlineLevel="0" collapsed="false">
      <c r="A1565" s="1" t="n">
        <v>52</v>
      </c>
      <c r="B1565" s="1" t="s">
        <v>684</v>
      </c>
      <c r="C1565" s="1" t="s">
        <v>685</v>
      </c>
      <c r="D1565" s="1" t="n">
        <v>21296</v>
      </c>
      <c r="E1565" s="1" t="s">
        <v>57</v>
      </c>
      <c r="F1565" s="201" t="n">
        <v>200025888837</v>
      </c>
      <c r="G1565" s="198" t="s">
        <v>714</v>
      </c>
      <c r="H1565" s="163" t="s">
        <v>468</v>
      </c>
      <c r="I1565" s="161" t="n">
        <v>79</v>
      </c>
      <c r="J1565" s="156" t="s">
        <v>192</v>
      </c>
      <c r="K1565" s="200" t="n">
        <v>45453.9971296296</v>
      </c>
      <c r="L1565" s="1" t="n">
        <v>0</v>
      </c>
      <c r="M1565" s="1" t="n">
        <v>21296</v>
      </c>
      <c r="N1565" s="1" t="n">
        <v>90</v>
      </c>
    </row>
    <row r="1566" customFormat="false" ht="14.25" hidden="false" customHeight="false" outlineLevel="0" collapsed="false">
      <c r="A1566" s="1" t="n">
        <v>53</v>
      </c>
      <c r="B1566" s="1" t="s">
        <v>684</v>
      </c>
      <c r="C1566" s="1" t="s">
        <v>685</v>
      </c>
      <c r="D1566" s="1" t="n">
        <v>21296</v>
      </c>
      <c r="E1566" s="1" t="s">
        <v>57</v>
      </c>
      <c r="F1566" s="201" t="n">
        <v>200025888837</v>
      </c>
      <c r="G1566" s="198" t="s">
        <v>714</v>
      </c>
      <c r="H1566" s="163" t="s">
        <v>468</v>
      </c>
      <c r="I1566" s="161" t="n">
        <v>79</v>
      </c>
      <c r="J1566" s="156" t="s">
        <v>192</v>
      </c>
      <c r="K1566" s="200" t="n">
        <v>45454.0500694444</v>
      </c>
      <c r="L1566" s="1" t="n">
        <v>1</v>
      </c>
      <c r="M1566" s="1" t="n">
        <v>21296</v>
      </c>
      <c r="N1566" s="1" t="n">
        <v>91</v>
      </c>
    </row>
    <row r="1567" customFormat="false" ht="14.25" hidden="false" customHeight="false" outlineLevel="0" collapsed="false">
      <c r="A1567" s="1" t="n">
        <v>54</v>
      </c>
      <c r="B1567" s="1" t="s">
        <v>684</v>
      </c>
      <c r="C1567" s="1" t="s">
        <v>685</v>
      </c>
      <c r="D1567" s="1" t="n">
        <v>21296</v>
      </c>
      <c r="E1567" s="1" t="s">
        <v>57</v>
      </c>
      <c r="F1567" s="201" t="n">
        <v>200025888837</v>
      </c>
      <c r="G1567" s="198" t="s">
        <v>714</v>
      </c>
      <c r="H1567" s="163" t="s">
        <v>468</v>
      </c>
      <c r="I1567" s="161" t="n">
        <v>79</v>
      </c>
      <c r="J1567" s="156" t="s">
        <v>192</v>
      </c>
      <c r="K1567" s="200" t="n">
        <v>45454.0508449074</v>
      </c>
      <c r="L1567" s="10" t="n">
        <v>246</v>
      </c>
      <c r="M1567" s="1" t="n">
        <v>21296</v>
      </c>
      <c r="N1567" s="1" t="n">
        <v>92</v>
      </c>
    </row>
    <row r="1568" customFormat="false" ht="14.25" hidden="false" customHeight="false" outlineLevel="0" collapsed="false">
      <c r="A1568" s="1" t="n">
        <v>55</v>
      </c>
      <c r="B1568" s="1" t="s">
        <v>684</v>
      </c>
      <c r="C1568" s="1" t="s">
        <v>685</v>
      </c>
      <c r="D1568" s="1" t="n">
        <v>21296</v>
      </c>
      <c r="E1568" s="1" t="s">
        <v>57</v>
      </c>
      <c r="F1568" s="201" t="n">
        <v>200025888839</v>
      </c>
      <c r="G1568" s="198" t="s">
        <v>690</v>
      </c>
      <c r="H1568" s="163" t="s">
        <v>297</v>
      </c>
      <c r="I1568" s="161" t="n">
        <v>14</v>
      </c>
      <c r="J1568" s="156" t="s">
        <v>192</v>
      </c>
      <c r="K1568" s="200" t="n">
        <v>45454.0633333333</v>
      </c>
      <c r="L1568" s="1" t="n">
        <v>1</v>
      </c>
      <c r="M1568" s="1" t="n">
        <v>21296</v>
      </c>
      <c r="N1568" s="1" t="n">
        <v>93</v>
      </c>
    </row>
    <row r="1569" customFormat="false" ht="14.25" hidden="false" customHeight="false" outlineLevel="0" collapsed="false">
      <c r="A1569" s="1" t="n">
        <v>56</v>
      </c>
      <c r="B1569" s="1" t="s">
        <v>684</v>
      </c>
      <c r="C1569" s="1" t="s">
        <v>685</v>
      </c>
      <c r="D1569" s="1" t="n">
        <v>21296</v>
      </c>
      <c r="E1569" s="1" t="s">
        <v>57</v>
      </c>
      <c r="F1569" s="201" t="n">
        <v>200025888228</v>
      </c>
      <c r="G1569" s="198" t="s">
        <v>680</v>
      </c>
      <c r="H1569" s="163" t="s">
        <v>282</v>
      </c>
      <c r="I1569" s="161" t="n">
        <v>106</v>
      </c>
      <c r="J1569" s="156" t="s">
        <v>192</v>
      </c>
      <c r="K1569" s="200" t="n">
        <v>45454.1398842593</v>
      </c>
      <c r="L1569" s="1" t="n">
        <v>0</v>
      </c>
      <c r="M1569" s="1" t="n">
        <v>21296</v>
      </c>
      <c r="N1569" s="1" t="n">
        <v>94</v>
      </c>
    </row>
    <row r="1570" customFormat="false" ht="14.25" hidden="false" customHeight="false" outlineLevel="0" collapsed="false">
      <c r="A1570" s="1" t="n">
        <v>57</v>
      </c>
      <c r="B1570" s="1" t="s">
        <v>684</v>
      </c>
      <c r="C1570" s="1" t="s">
        <v>685</v>
      </c>
      <c r="D1570" s="1" t="n">
        <v>21296</v>
      </c>
      <c r="E1570" s="1" t="s">
        <v>57</v>
      </c>
      <c r="F1570" s="201" t="n">
        <v>200025888228</v>
      </c>
      <c r="G1570" s="198" t="s">
        <v>680</v>
      </c>
      <c r="H1570" s="163" t="s">
        <v>282</v>
      </c>
      <c r="I1570" s="161" t="n">
        <v>106</v>
      </c>
      <c r="J1570" s="156" t="s">
        <v>192</v>
      </c>
      <c r="K1570" s="200" t="n">
        <v>45454.1418634259</v>
      </c>
      <c r="L1570" s="1" t="n">
        <v>1</v>
      </c>
      <c r="M1570" s="1" t="n">
        <v>21296</v>
      </c>
      <c r="N1570" s="1" t="n">
        <v>95</v>
      </c>
    </row>
    <row r="1571" customFormat="false" ht="14.25" hidden="false" customHeight="false" outlineLevel="0" collapsed="false">
      <c r="A1571" s="1" t="n">
        <v>58</v>
      </c>
      <c r="B1571" s="1" t="s">
        <v>684</v>
      </c>
      <c r="C1571" s="1" t="s">
        <v>685</v>
      </c>
      <c r="D1571" s="1" t="n">
        <v>21296</v>
      </c>
      <c r="E1571" s="1" t="s">
        <v>57</v>
      </c>
      <c r="F1571" s="201" t="n">
        <v>200025888839</v>
      </c>
      <c r="G1571" s="198" t="s">
        <v>690</v>
      </c>
      <c r="H1571" s="163" t="s">
        <v>297</v>
      </c>
      <c r="I1571" s="161" t="n">
        <v>14</v>
      </c>
      <c r="J1571" s="156" t="s">
        <v>192</v>
      </c>
      <c r="K1571" s="200" t="n">
        <v>45454.2122685185</v>
      </c>
      <c r="L1571" s="10" t="n">
        <v>3962</v>
      </c>
      <c r="M1571" s="1" t="n">
        <v>21296</v>
      </c>
      <c r="N1571" s="1" t="n">
        <v>96</v>
      </c>
    </row>
    <row r="1572" customFormat="false" ht="14.25" hidden="false" customHeight="false" outlineLevel="0" collapsed="false">
      <c r="A1572" s="1" t="n">
        <v>59</v>
      </c>
      <c r="B1572" s="1" t="s">
        <v>684</v>
      </c>
      <c r="C1572" s="1" t="s">
        <v>685</v>
      </c>
      <c r="D1572" s="1" t="n">
        <v>21296</v>
      </c>
      <c r="E1572" s="1" t="s">
        <v>57</v>
      </c>
      <c r="F1572" s="201" t="n">
        <v>200025888837</v>
      </c>
      <c r="G1572" s="198" t="s">
        <v>714</v>
      </c>
      <c r="H1572" s="163" t="s">
        <v>468</v>
      </c>
      <c r="I1572" s="161" t="n">
        <v>79</v>
      </c>
      <c r="J1572" s="156" t="s">
        <v>192</v>
      </c>
      <c r="K1572" s="200" t="n">
        <v>45454.2581365741</v>
      </c>
      <c r="L1572" s="10" t="n">
        <v>68</v>
      </c>
      <c r="M1572" s="1" t="n">
        <v>21296</v>
      </c>
      <c r="N1572" s="1" t="n">
        <v>97</v>
      </c>
    </row>
    <row r="1573" customFormat="false" ht="14.25" hidden="false" customHeight="false" outlineLevel="0" collapsed="false">
      <c r="A1573" s="1" t="n">
        <v>60</v>
      </c>
      <c r="B1573" s="1" t="s">
        <v>684</v>
      </c>
      <c r="C1573" s="1" t="s">
        <v>685</v>
      </c>
      <c r="D1573" s="1" t="n">
        <v>21296</v>
      </c>
      <c r="E1573" s="1" t="s">
        <v>57</v>
      </c>
      <c r="F1573" s="201" t="n">
        <v>200025888837</v>
      </c>
      <c r="G1573" s="198" t="s">
        <v>714</v>
      </c>
      <c r="H1573" s="163" t="s">
        <v>468</v>
      </c>
      <c r="I1573" s="161" t="n">
        <v>79</v>
      </c>
      <c r="J1573" s="156" t="s">
        <v>192</v>
      </c>
      <c r="K1573" s="200" t="n">
        <v>45454.2593171296</v>
      </c>
      <c r="L1573" s="1" t="n">
        <v>1</v>
      </c>
      <c r="M1573" s="1" t="n">
        <v>21296</v>
      </c>
      <c r="N1573" s="1" t="n">
        <v>98</v>
      </c>
    </row>
    <row r="1574" customFormat="false" ht="14.25" hidden="false" customHeight="false" outlineLevel="0" collapsed="false">
      <c r="A1574" s="1" t="n">
        <v>61</v>
      </c>
      <c r="B1574" s="1" t="s">
        <v>684</v>
      </c>
      <c r="C1574" s="1" t="s">
        <v>685</v>
      </c>
      <c r="D1574" s="1" t="n">
        <v>21296</v>
      </c>
      <c r="E1574" s="1" t="s">
        <v>57</v>
      </c>
      <c r="F1574" s="201" t="n">
        <v>200025888837</v>
      </c>
      <c r="G1574" s="198" t="s">
        <v>714</v>
      </c>
      <c r="H1574" s="163" t="s">
        <v>468</v>
      </c>
      <c r="I1574" s="161" t="n">
        <v>79</v>
      </c>
      <c r="J1574" s="156" t="s">
        <v>192</v>
      </c>
      <c r="K1574" s="200" t="n">
        <v>45454.2593287037</v>
      </c>
      <c r="L1574" s="1" t="n">
        <v>0</v>
      </c>
      <c r="M1574" s="1" t="n">
        <v>21296</v>
      </c>
      <c r="N1574" s="1" t="n">
        <v>99</v>
      </c>
    </row>
    <row r="1575" customFormat="false" ht="14.25" hidden="false" customHeight="false" outlineLevel="0" collapsed="false">
      <c r="A1575" s="1" t="n">
        <v>62</v>
      </c>
      <c r="B1575" s="1" t="s">
        <v>684</v>
      </c>
      <c r="C1575" s="1" t="s">
        <v>685</v>
      </c>
      <c r="D1575" s="1" t="n">
        <v>21296</v>
      </c>
      <c r="E1575" s="1" t="s">
        <v>57</v>
      </c>
      <c r="F1575" s="201" t="n">
        <v>200025888837</v>
      </c>
      <c r="G1575" s="198" t="s">
        <v>714</v>
      </c>
      <c r="H1575" s="163" t="s">
        <v>468</v>
      </c>
      <c r="I1575" s="161" t="n">
        <v>79</v>
      </c>
      <c r="J1575" s="156" t="s">
        <v>192</v>
      </c>
      <c r="K1575" s="200" t="n">
        <v>45454.2593402778</v>
      </c>
      <c r="L1575" s="1" t="n">
        <v>1</v>
      </c>
      <c r="M1575" s="1" t="n">
        <v>21296</v>
      </c>
      <c r="N1575" s="1" t="n">
        <v>100</v>
      </c>
    </row>
    <row r="1576" customFormat="false" ht="14.25" hidden="false" customHeight="false" outlineLevel="0" collapsed="false">
      <c r="A1576" s="1" t="n">
        <v>63</v>
      </c>
      <c r="B1576" s="1" t="s">
        <v>684</v>
      </c>
      <c r="C1576" s="1" t="s">
        <v>685</v>
      </c>
      <c r="D1576" s="1" t="n">
        <v>21296</v>
      </c>
      <c r="E1576" s="1" t="s">
        <v>57</v>
      </c>
      <c r="F1576" s="201" t="n">
        <v>200025888837</v>
      </c>
      <c r="G1576" s="198" t="s">
        <v>714</v>
      </c>
      <c r="H1576" s="163" t="s">
        <v>468</v>
      </c>
      <c r="I1576" s="161" t="n">
        <v>79</v>
      </c>
      <c r="J1576" s="156" t="s">
        <v>192</v>
      </c>
      <c r="K1576" s="200" t="n">
        <v>45454.2595023148</v>
      </c>
      <c r="L1576" s="1" t="n">
        <v>0</v>
      </c>
      <c r="M1576" s="1" t="n">
        <v>21296</v>
      </c>
      <c r="N1576" s="1" t="n">
        <v>101</v>
      </c>
    </row>
    <row r="1577" customFormat="false" ht="14.25" hidden="false" customHeight="false" outlineLevel="0" collapsed="false">
      <c r="A1577" s="1" t="n">
        <v>64</v>
      </c>
      <c r="B1577" s="1" t="s">
        <v>684</v>
      </c>
      <c r="C1577" s="1" t="s">
        <v>685</v>
      </c>
      <c r="D1577" s="1" t="n">
        <v>21296</v>
      </c>
      <c r="E1577" s="1" t="s">
        <v>57</v>
      </c>
      <c r="F1577" s="201" t="n">
        <v>200025888837</v>
      </c>
      <c r="G1577" s="198" t="s">
        <v>714</v>
      </c>
      <c r="H1577" s="163" t="s">
        <v>468</v>
      </c>
      <c r="I1577" s="161" t="n">
        <v>79</v>
      </c>
      <c r="J1577" s="156" t="s">
        <v>192</v>
      </c>
      <c r="K1577" s="200" t="n">
        <v>45454.2595138889</v>
      </c>
      <c r="L1577" s="1" t="n">
        <v>19</v>
      </c>
      <c r="M1577" s="1" t="n">
        <v>21296</v>
      </c>
      <c r="N1577" s="1" t="n">
        <v>102</v>
      </c>
    </row>
    <row r="1578" customFormat="false" ht="14.25" hidden="false" customHeight="false" outlineLevel="0" collapsed="false">
      <c r="A1578" s="1" t="n">
        <v>65</v>
      </c>
      <c r="B1578" s="1" t="s">
        <v>684</v>
      </c>
      <c r="C1578" s="1" t="s">
        <v>685</v>
      </c>
      <c r="D1578" s="1" t="n">
        <v>21296</v>
      </c>
      <c r="E1578" s="1" t="s">
        <v>57</v>
      </c>
      <c r="F1578" s="201" t="n">
        <v>200025888837</v>
      </c>
      <c r="G1578" s="198" t="s">
        <v>714</v>
      </c>
      <c r="H1578" s="163" t="s">
        <v>468</v>
      </c>
      <c r="I1578" s="161" t="n">
        <v>79</v>
      </c>
      <c r="J1578" s="156" t="s">
        <v>192</v>
      </c>
      <c r="K1578" s="200" t="n">
        <v>45454.2597569445</v>
      </c>
      <c r="L1578" s="1" t="n">
        <v>17</v>
      </c>
      <c r="M1578" s="1" t="n">
        <v>21296</v>
      </c>
      <c r="N1578" s="1" t="n">
        <v>103</v>
      </c>
    </row>
    <row r="1579" customFormat="false" ht="14.25" hidden="false" customHeight="false" outlineLevel="0" collapsed="false">
      <c r="A1579" s="1" t="n">
        <v>66</v>
      </c>
      <c r="B1579" s="1" t="s">
        <v>684</v>
      </c>
      <c r="C1579" s="1" t="s">
        <v>685</v>
      </c>
      <c r="D1579" s="1" t="n">
        <v>21296</v>
      </c>
      <c r="E1579" s="1" t="s">
        <v>57</v>
      </c>
      <c r="F1579" s="201" t="n">
        <v>200025888837</v>
      </c>
      <c r="G1579" s="198" t="s">
        <v>714</v>
      </c>
      <c r="H1579" s="163" t="s">
        <v>468</v>
      </c>
      <c r="I1579" s="161" t="n">
        <v>79</v>
      </c>
      <c r="J1579" s="156" t="s">
        <v>192</v>
      </c>
      <c r="K1579" s="200" t="n">
        <v>45454.2599537037</v>
      </c>
      <c r="L1579" s="1" t="n">
        <v>0</v>
      </c>
      <c r="M1579" s="1" t="n">
        <v>21296</v>
      </c>
      <c r="N1579" s="1" t="n">
        <v>104</v>
      </c>
    </row>
    <row r="1580" customFormat="false" ht="14.25" hidden="false" customHeight="false" outlineLevel="0" collapsed="false">
      <c r="A1580" s="1" t="n">
        <v>67</v>
      </c>
      <c r="B1580" s="1" t="s">
        <v>684</v>
      </c>
      <c r="C1580" s="1" t="s">
        <v>685</v>
      </c>
      <c r="D1580" s="1" t="n">
        <v>21296</v>
      </c>
      <c r="E1580" s="1" t="s">
        <v>57</v>
      </c>
      <c r="F1580" s="201" t="n">
        <v>200025888837</v>
      </c>
      <c r="G1580" s="198" t="s">
        <v>714</v>
      </c>
      <c r="H1580" s="163" t="s">
        <v>468</v>
      </c>
      <c r="I1580" s="161" t="n">
        <v>79</v>
      </c>
      <c r="J1580" s="156" t="s">
        <v>192</v>
      </c>
      <c r="K1580" s="200" t="n">
        <v>45454.2599652778</v>
      </c>
      <c r="L1580" s="1" t="n">
        <v>0</v>
      </c>
      <c r="M1580" s="1" t="n">
        <v>21296</v>
      </c>
      <c r="N1580" s="1" t="n">
        <v>105</v>
      </c>
    </row>
    <row r="1581" customFormat="false" ht="14.25" hidden="false" customHeight="false" outlineLevel="0" collapsed="false">
      <c r="A1581" s="1" t="n">
        <v>68</v>
      </c>
      <c r="B1581" s="1" t="s">
        <v>684</v>
      </c>
      <c r="C1581" s="1" t="s">
        <v>685</v>
      </c>
      <c r="D1581" s="1" t="n">
        <v>21296</v>
      </c>
      <c r="E1581" s="1" t="s">
        <v>57</v>
      </c>
      <c r="F1581" s="201" t="n">
        <v>200025888837</v>
      </c>
      <c r="G1581" s="198" t="s">
        <v>714</v>
      </c>
      <c r="H1581" s="163" t="s">
        <v>468</v>
      </c>
      <c r="I1581" s="161" t="n">
        <v>79</v>
      </c>
      <c r="J1581" s="156" t="s">
        <v>192</v>
      </c>
      <c r="K1581" s="200" t="n">
        <v>45454.2599768519</v>
      </c>
      <c r="L1581" s="1" t="n">
        <v>1</v>
      </c>
      <c r="M1581" s="1" t="n">
        <v>21296</v>
      </c>
      <c r="N1581" s="1" t="n">
        <v>106</v>
      </c>
    </row>
    <row r="1582" customFormat="false" ht="14.25" hidden="false" customHeight="false" outlineLevel="0" collapsed="false">
      <c r="A1582" s="1" t="n">
        <v>69</v>
      </c>
      <c r="B1582" s="1" t="s">
        <v>684</v>
      </c>
      <c r="C1582" s="1" t="s">
        <v>685</v>
      </c>
      <c r="D1582" s="1" t="n">
        <v>21296</v>
      </c>
      <c r="E1582" s="1" t="s">
        <v>57</v>
      </c>
      <c r="F1582" s="201" t="n">
        <v>200025888837</v>
      </c>
      <c r="G1582" s="198" t="s">
        <v>714</v>
      </c>
      <c r="H1582" s="163" t="s">
        <v>468</v>
      </c>
      <c r="I1582" s="161" t="n">
        <v>79</v>
      </c>
      <c r="J1582" s="156" t="s">
        <v>192</v>
      </c>
      <c r="K1582" s="200" t="n">
        <v>45454.2606944444</v>
      </c>
      <c r="L1582" s="1" t="n">
        <v>0</v>
      </c>
      <c r="M1582" s="1" t="n">
        <v>21296</v>
      </c>
      <c r="N1582" s="1" t="n">
        <v>107</v>
      </c>
    </row>
    <row r="1583" customFormat="false" ht="14.25" hidden="false" customHeight="false" outlineLevel="0" collapsed="false">
      <c r="A1583" s="1" t="n">
        <v>70</v>
      </c>
      <c r="B1583" s="1" t="s">
        <v>684</v>
      </c>
      <c r="C1583" s="1" t="s">
        <v>685</v>
      </c>
      <c r="D1583" s="1" t="n">
        <v>21296</v>
      </c>
      <c r="E1583" s="1" t="s">
        <v>57</v>
      </c>
      <c r="F1583" s="201" t="n">
        <v>200025888228</v>
      </c>
      <c r="G1583" s="198" t="s">
        <v>680</v>
      </c>
      <c r="H1583" s="163" t="s">
        <v>282</v>
      </c>
      <c r="I1583" s="161" t="n">
        <v>106</v>
      </c>
      <c r="J1583" s="156" t="s">
        <v>192</v>
      </c>
      <c r="K1583" s="200" t="n">
        <v>45454.2735300926</v>
      </c>
      <c r="L1583" s="1" t="n">
        <v>1</v>
      </c>
      <c r="M1583" s="1" t="n">
        <v>21296</v>
      </c>
      <c r="N1583" s="1" t="n">
        <v>108</v>
      </c>
    </row>
    <row r="1584" customFormat="false" ht="14.25" hidden="false" customHeight="false" outlineLevel="0" collapsed="false">
      <c r="A1584" s="1" t="n">
        <v>71</v>
      </c>
      <c r="B1584" s="1" t="s">
        <v>684</v>
      </c>
      <c r="C1584" s="1" t="s">
        <v>685</v>
      </c>
      <c r="D1584" s="1" t="n">
        <v>21296</v>
      </c>
      <c r="E1584" s="1" t="s">
        <v>57</v>
      </c>
      <c r="F1584" s="201" t="n">
        <v>200025888228</v>
      </c>
      <c r="G1584" s="198" t="s">
        <v>680</v>
      </c>
      <c r="H1584" s="163" t="s">
        <v>282</v>
      </c>
      <c r="I1584" s="161" t="n">
        <v>106</v>
      </c>
      <c r="J1584" s="156" t="s">
        <v>192</v>
      </c>
      <c r="K1584" s="200" t="n">
        <v>45454.2753935185</v>
      </c>
      <c r="L1584" s="1" t="n">
        <v>0</v>
      </c>
      <c r="M1584" s="1" t="n">
        <v>21296</v>
      </c>
      <c r="N1584" s="1" t="n">
        <v>109</v>
      </c>
    </row>
    <row r="1585" customFormat="false" ht="14.25" hidden="false" customHeight="false" outlineLevel="0" collapsed="false">
      <c r="A1585" s="1" t="n">
        <v>72</v>
      </c>
      <c r="B1585" s="1" t="s">
        <v>684</v>
      </c>
      <c r="C1585" s="1" t="s">
        <v>685</v>
      </c>
      <c r="D1585" s="1" t="n">
        <v>21296</v>
      </c>
      <c r="E1585" s="1" t="s">
        <v>57</v>
      </c>
      <c r="F1585" s="201" t="n">
        <v>200025889226</v>
      </c>
      <c r="G1585" s="198" t="s">
        <v>610</v>
      </c>
      <c r="H1585" s="163" t="s">
        <v>486</v>
      </c>
      <c r="I1585" s="161" t="n">
        <v>69</v>
      </c>
      <c r="J1585" s="156" t="s">
        <v>192</v>
      </c>
      <c r="K1585" s="200" t="n">
        <v>45454.3158333333</v>
      </c>
      <c r="L1585" s="1" t="n">
        <v>1</v>
      </c>
      <c r="M1585" s="1" t="n">
        <v>21296</v>
      </c>
      <c r="N1585" s="1" t="n">
        <v>110</v>
      </c>
    </row>
    <row r="1586" customFormat="false" ht="14.25" hidden="false" customHeight="false" outlineLevel="0" collapsed="false">
      <c r="A1586" s="1" t="n">
        <v>73</v>
      </c>
      <c r="B1586" s="1" t="s">
        <v>684</v>
      </c>
      <c r="C1586" s="1" t="s">
        <v>685</v>
      </c>
      <c r="D1586" s="1" t="n">
        <v>21296</v>
      </c>
      <c r="E1586" s="1" t="s">
        <v>57</v>
      </c>
      <c r="F1586" s="201" t="n">
        <v>200025889226</v>
      </c>
      <c r="G1586" s="198" t="s">
        <v>610</v>
      </c>
      <c r="H1586" s="163" t="s">
        <v>486</v>
      </c>
      <c r="I1586" s="161" t="n">
        <v>69</v>
      </c>
      <c r="J1586" s="156" t="s">
        <v>192</v>
      </c>
      <c r="K1586" s="200" t="n">
        <v>45454.3456365741</v>
      </c>
      <c r="L1586" s="1" t="n">
        <v>0</v>
      </c>
      <c r="M1586" s="1" t="n">
        <v>21296</v>
      </c>
      <c r="N1586" s="1" t="n">
        <v>111</v>
      </c>
    </row>
    <row r="1587" customFormat="false" ht="14.25" hidden="false" customHeight="false" outlineLevel="0" collapsed="false">
      <c r="A1587" s="1" t="n">
        <v>74</v>
      </c>
      <c r="B1587" s="1" t="s">
        <v>684</v>
      </c>
      <c r="C1587" s="1" t="s">
        <v>685</v>
      </c>
      <c r="D1587" s="1" t="n">
        <v>21296</v>
      </c>
      <c r="E1587" s="1" t="s">
        <v>57</v>
      </c>
      <c r="F1587" s="201" t="n">
        <v>200025889226</v>
      </c>
      <c r="G1587" s="198" t="s">
        <v>610</v>
      </c>
      <c r="H1587" s="163" t="s">
        <v>486</v>
      </c>
      <c r="I1587" s="161" t="n">
        <v>69</v>
      </c>
      <c r="J1587" s="156" t="s">
        <v>192</v>
      </c>
      <c r="K1587" s="200" t="n">
        <v>45454.3456481482</v>
      </c>
      <c r="L1587" s="1" t="n">
        <v>1</v>
      </c>
      <c r="M1587" s="1" t="n">
        <v>21296</v>
      </c>
      <c r="N1587" s="1" t="n">
        <v>112</v>
      </c>
    </row>
    <row r="1588" customFormat="false" ht="14.25" hidden="false" customHeight="false" outlineLevel="0" collapsed="false">
      <c r="A1588" s="1" t="n">
        <v>75</v>
      </c>
      <c r="B1588" s="1" t="s">
        <v>684</v>
      </c>
      <c r="C1588" s="1" t="s">
        <v>685</v>
      </c>
      <c r="D1588" s="1" t="n">
        <v>21296</v>
      </c>
      <c r="E1588" s="1" t="s">
        <v>57</v>
      </c>
      <c r="F1588" s="201" t="n">
        <v>200025888837</v>
      </c>
      <c r="G1588" s="198" t="s">
        <v>714</v>
      </c>
      <c r="H1588" s="163" t="s">
        <v>468</v>
      </c>
      <c r="I1588" s="161" t="n">
        <v>79</v>
      </c>
      <c r="J1588" s="156" t="s">
        <v>192</v>
      </c>
      <c r="K1588" s="200" t="n">
        <v>45454.421087963</v>
      </c>
      <c r="L1588" s="1" t="n">
        <v>1</v>
      </c>
      <c r="M1588" s="1" t="n">
        <v>21296</v>
      </c>
      <c r="N1588" s="1" t="n">
        <v>113</v>
      </c>
    </row>
    <row r="1589" customFormat="false" ht="14.25" hidden="false" customHeight="false" outlineLevel="0" collapsed="false">
      <c r="A1589" s="1" t="n">
        <v>76</v>
      </c>
      <c r="B1589" s="1" t="s">
        <v>684</v>
      </c>
      <c r="C1589" s="1" t="s">
        <v>685</v>
      </c>
      <c r="D1589" s="1" t="n">
        <v>21296</v>
      </c>
      <c r="E1589" s="1" t="s">
        <v>57</v>
      </c>
      <c r="F1589" s="201" t="n">
        <v>200025888837</v>
      </c>
      <c r="G1589" s="198" t="s">
        <v>714</v>
      </c>
      <c r="H1589" s="163" t="s">
        <v>468</v>
      </c>
      <c r="I1589" s="161" t="n">
        <v>79</v>
      </c>
      <c r="J1589" s="156" t="s">
        <v>192</v>
      </c>
      <c r="K1589" s="200" t="n">
        <v>45454.4211111111</v>
      </c>
      <c r="L1589" s="1" t="n">
        <v>33</v>
      </c>
      <c r="M1589" s="1" t="n">
        <v>21296</v>
      </c>
      <c r="N1589" s="1" t="n">
        <v>114</v>
      </c>
    </row>
    <row r="1590" customFormat="false" ht="14.25" hidden="false" customHeight="false" outlineLevel="0" collapsed="false">
      <c r="A1590" s="1" t="n">
        <v>77</v>
      </c>
      <c r="B1590" s="1" t="s">
        <v>684</v>
      </c>
      <c r="C1590" s="1" t="s">
        <v>685</v>
      </c>
      <c r="D1590" s="1" t="n">
        <v>21296</v>
      </c>
      <c r="E1590" s="1" t="s">
        <v>57</v>
      </c>
      <c r="F1590" s="201" t="n">
        <v>200025888228</v>
      </c>
      <c r="G1590" s="198" t="s">
        <v>680</v>
      </c>
      <c r="H1590" s="163" t="s">
        <v>282</v>
      </c>
      <c r="I1590" s="161" t="n">
        <v>106</v>
      </c>
      <c r="J1590" s="156" t="s">
        <v>192</v>
      </c>
      <c r="K1590" s="200" t="n">
        <v>45454.4263541667</v>
      </c>
      <c r="L1590" s="1" t="n">
        <v>1</v>
      </c>
      <c r="M1590" s="1" t="n">
        <v>21296</v>
      </c>
      <c r="N1590" s="1" t="n">
        <v>115</v>
      </c>
    </row>
    <row r="1591" customFormat="false" ht="14.25" hidden="false" customHeight="false" outlineLevel="0" collapsed="false">
      <c r="A1591" s="1" t="n">
        <v>78</v>
      </c>
      <c r="B1591" s="1" t="s">
        <v>684</v>
      </c>
      <c r="C1591" s="1" t="s">
        <v>685</v>
      </c>
      <c r="D1591" s="1" t="n">
        <v>21296</v>
      </c>
      <c r="E1591" s="1" t="s">
        <v>57</v>
      </c>
      <c r="F1591" s="201" t="n">
        <v>200025888228</v>
      </c>
      <c r="G1591" s="198" t="s">
        <v>680</v>
      </c>
      <c r="H1591" s="163" t="s">
        <v>282</v>
      </c>
      <c r="I1591" s="161" t="n">
        <v>106</v>
      </c>
      <c r="J1591" s="156" t="s">
        <v>192</v>
      </c>
      <c r="K1591" s="200" t="n">
        <v>45454.4263773148</v>
      </c>
      <c r="L1591" s="1" t="n">
        <v>0</v>
      </c>
      <c r="M1591" s="1" t="n">
        <v>21296</v>
      </c>
      <c r="N1591" s="1" t="n">
        <v>116</v>
      </c>
    </row>
    <row r="1592" customFormat="false" ht="14.25" hidden="false" customHeight="false" outlineLevel="0" collapsed="false">
      <c r="A1592" s="1" t="n">
        <v>79</v>
      </c>
      <c r="B1592" s="1" t="s">
        <v>684</v>
      </c>
      <c r="C1592" s="1" t="s">
        <v>685</v>
      </c>
      <c r="D1592" s="1" t="n">
        <v>21296</v>
      </c>
      <c r="E1592" s="1" t="s">
        <v>57</v>
      </c>
      <c r="F1592" s="201" t="n">
        <v>200025888790</v>
      </c>
      <c r="G1592" s="198" t="s">
        <v>588</v>
      </c>
      <c r="H1592" s="163" t="s">
        <v>442</v>
      </c>
      <c r="I1592" s="161" t="n">
        <v>117</v>
      </c>
      <c r="J1592" s="156" t="s">
        <v>192</v>
      </c>
      <c r="K1592" s="200" t="n">
        <v>45454.5052777778</v>
      </c>
      <c r="L1592" s="1" t="n">
        <v>1</v>
      </c>
      <c r="M1592" s="1" t="n">
        <v>21296</v>
      </c>
      <c r="N1592" s="1" t="n">
        <v>117</v>
      </c>
    </row>
    <row r="1593" customFormat="false" ht="14.25" hidden="false" customHeight="false" outlineLevel="0" collapsed="false">
      <c r="A1593" s="1" t="n">
        <v>80</v>
      </c>
      <c r="B1593" s="1" t="s">
        <v>684</v>
      </c>
      <c r="C1593" s="1" t="s">
        <v>685</v>
      </c>
      <c r="D1593" s="1" t="n">
        <v>21296</v>
      </c>
      <c r="E1593" s="1" t="s">
        <v>57</v>
      </c>
      <c r="F1593" s="201" t="n">
        <v>200025888790</v>
      </c>
      <c r="G1593" s="198" t="s">
        <v>588</v>
      </c>
      <c r="H1593" s="163" t="s">
        <v>442</v>
      </c>
      <c r="I1593" s="161" t="n">
        <v>117</v>
      </c>
      <c r="J1593" s="156" t="s">
        <v>192</v>
      </c>
      <c r="K1593" s="200" t="n">
        <v>45454.5052893519</v>
      </c>
      <c r="L1593" s="1" t="n">
        <v>2</v>
      </c>
      <c r="M1593" s="1" t="n">
        <v>21296</v>
      </c>
      <c r="N1593" s="1" t="n">
        <v>118</v>
      </c>
    </row>
    <row r="1594" customFormat="false" ht="14.25" hidden="false" customHeight="false" outlineLevel="0" collapsed="false">
      <c r="A1594" s="1" t="n">
        <v>81</v>
      </c>
      <c r="B1594" s="1" t="s">
        <v>684</v>
      </c>
      <c r="C1594" s="1" t="s">
        <v>685</v>
      </c>
      <c r="D1594" s="1" t="n">
        <v>21296</v>
      </c>
      <c r="E1594" s="1" t="s">
        <v>57</v>
      </c>
      <c r="F1594" s="201" t="n">
        <v>200025888790</v>
      </c>
      <c r="G1594" s="198" t="s">
        <v>588</v>
      </c>
      <c r="H1594" s="163" t="s">
        <v>442</v>
      </c>
      <c r="I1594" s="161" t="n">
        <v>117</v>
      </c>
      <c r="J1594" s="156" t="s">
        <v>192</v>
      </c>
      <c r="K1594" s="200" t="n">
        <v>45454.5848263889</v>
      </c>
      <c r="L1594" s="1" t="n">
        <v>2</v>
      </c>
      <c r="M1594" s="1" t="n">
        <v>21296</v>
      </c>
      <c r="N1594" s="1" t="n">
        <v>119</v>
      </c>
    </row>
    <row r="1595" customFormat="false" ht="14.25" hidden="false" customHeight="false" outlineLevel="0" collapsed="false">
      <c r="A1595" s="1" t="n">
        <v>82</v>
      </c>
      <c r="B1595" s="1" t="s">
        <v>684</v>
      </c>
      <c r="C1595" s="1" t="s">
        <v>685</v>
      </c>
      <c r="D1595" s="1" t="n">
        <v>21296</v>
      </c>
      <c r="E1595" s="1" t="s">
        <v>57</v>
      </c>
      <c r="F1595" s="201" t="n">
        <v>200025888790</v>
      </c>
      <c r="G1595" s="198" t="s">
        <v>588</v>
      </c>
      <c r="H1595" s="163" t="s">
        <v>442</v>
      </c>
      <c r="I1595" s="161" t="n">
        <v>117</v>
      </c>
      <c r="J1595" s="156" t="s">
        <v>192</v>
      </c>
      <c r="K1595" s="200" t="n">
        <v>45454.584849537</v>
      </c>
      <c r="L1595" s="1" t="n">
        <v>1</v>
      </c>
      <c r="M1595" s="1" t="n">
        <v>21296</v>
      </c>
      <c r="N1595" s="1" t="n">
        <v>120</v>
      </c>
    </row>
    <row r="1596" customFormat="false" ht="14.25" hidden="false" customHeight="false" outlineLevel="0" collapsed="false">
      <c r="A1596" s="1" t="n">
        <v>83</v>
      </c>
      <c r="B1596" s="1" t="s">
        <v>684</v>
      </c>
      <c r="C1596" s="1" t="s">
        <v>685</v>
      </c>
      <c r="D1596" s="1" t="n">
        <v>21296</v>
      </c>
      <c r="E1596" s="1" t="s">
        <v>57</v>
      </c>
      <c r="F1596" s="201" t="n">
        <v>200025888790</v>
      </c>
      <c r="G1596" s="198" t="s">
        <v>588</v>
      </c>
      <c r="H1596" s="163" t="s">
        <v>442</v>
      </c>
      <c r="I1596" s="161" t="n">
        <v>117</v>
      </c>
      <c r="J1596" s="156" t="s">
        <v>192</v>
      </c>
      <c r="K1596" s="200" t="n">
        <v>45454.5848611111</v>
      </c>
      <c r="L1596" s="1" t="n">
        <v>1</v>
      </c>
      <c r="M1596" s="1" t="n">
        <v>21296</v>
      </c>
      <c r="N1596" s="1" t="n">
        <v>121</v>
      </c>
    </row>
    <row r="1597" customFormat="false" ht="14.25" hidden="false" customHeight="false" outlineLevel="0" collapsed="false">
      <c r="A1597" s="1" t="n">
        <v>84</v>
      </c>
      <c r="B1597" s="1" t="s">
        <v>684</v>
      </c>
      <c r="C1597" s="1" t="s">
        <v>685</v>
      </c>
      <c r="D1597" s="1" t="n">
        <v>21296</v>
      </c>
      <c r="E1597" s="1" t="s">
        <v>57</v>
      </c>
      <c r="F1597" s="201" t="n">
        <v>200025889127</v>
      </c>
      <c r="G1597" s="198" t="s">
        <v>692</v>
      </c>
      <c r="H1597" s="163" t="s">
        <v>507</v>
      </c>
      <c r="I1597" s="161" t="n">
        <v>86</v>
      </c>
      <c r="J1597" s="156" t="s">
        <v>192</v>
      </c>
      <c r="K1597" s="200" t="n">
        <v>45454.6131828704</v>
      </c>
      <c r="L1597" s="1" t="n">
        <v>1</v>
      </c>
      <c r="M1597" s="1" t="n">
        <v>21296</v>
      </c>
      <c r="N1597" s="1" t="n">
        <v>122</v>
      </c>
    </row>
    <row r="1598" customFormat="false" ht="14.25" hidden="false" customHeight="false" outlineLevel="0" collapsed="false">
      <c r="A1598" s="1" t="n">
        <v>85</v>
      </c>
      <c r="B1598" s="1" t="s">
        <v>684</v>
      </c>
      <c r="C1598" s="1" t="s">
        <v>685</v>
      </c>
      <c r="D1598" s="1" t="n">
        <v>21296</v>
      </c>
      <c r="E1598" s="1" t="s">
        <v>57</v>
      </c>
      <c r="F1598" s="201" t="n">
        <v>200025889154</v>
      </c>
      <c r="G1598" s="198" t="s">
        <v>641</v>
      </c>
      <c r="H1598" s="172" t="n">
        <v>91178</v>
      </c>
      <c r="I1598" s="170" t="n">
        <v>34</v>
      </c>
      <c r="J1598" s="169" t="s">
        <v>192</v>
      </c>
      <c r="K1598" s="200" t="n">
        <v>45454.6458564815</v>
      </c>
      <c r="L1598" s="1" t="n">
        <v>1</v>
      </c>
      <c r="M1598" s="1" t="n">
        <v>21296</v>
      </c>
      <c r="N1598" s="1" t="n">
        <v>123</v>
      </c>
    </row>
    <row r="1599" customFormat="false" ht="14.25" hidden="false" customHeight="false" outlineLevel="0" collapsed="false">
      <c r="A1599" s="1" t="n">
        <v>86</v>
      </c>
      <c r="B1599" s="1" t="s">
        <v>684</v>
      </c>
      <c r="C1599" s="1" t="s">
        <v>685</v>
      </c>
      <c r="D1599" s="1" t="n">
        <v>21296</v>
      </c>
      <c r="E1599" s="1" t="s">
        <v>57</v>
      </c>
      <c r="F1599" s="201" t="n">
        <v>200025889154</v>
      </c>
      <c r="G1599" s="198" t="s">
        <v>641</v>
      </c>
      <c r="H1599" s="172" t="n">
        <v>91178</v>
      </c>
      <c r="I1599" s="170" t="n">
        <v>34</v>
      </c>
      <c r="J1599" s="169" t="s">
        <v>192</v>
      </c>
      <c r="K1599" s="200" t="n">
        <v>45454.6458796296</v>
      </c>
      <c r="L1599" s="1" t="n">
        <v>3</v>
      </c>
      <c r="M1599" s="1" t="n">
        <v>21296</v>
      </c>
      <c r="N1599" s="1" t="n">
        <v>124</v>
      </c>
    </row>
    <row r="1600" customFormat="false" ht="14.25" hidden="false" customHeight="false" outlineLevel="0" collapsed="false">
      <c r="A1600" s="1" t="n">
        <v>87</v>
      </c>
      <c r="B1600" s="1" t="s">
        <v>684</v>
      </c>
      <c r="C1600" s="1" t="s">
        <v>685</v>
      </c>
      <c r="D1600" s="1" t="n">
        <v>21296</v>
      </c>
      <c r="E1600" s="1" t="s">
        <v>57</v>
      </c>
      <c r="F1600" s="201" t="n">
        <v>200025889154</v>
      </c>
      <c r="G1600" s="198" t="s">
        <v>641</v>
      </c>
      <c r="H1600" s="172" t="n">
        <v>91178</v>
      </c>
      <c r="I1600" s="170" t="n">
        <v>34</v>
      </c>
      <c r="J1600" s="169" t="s">
        <v>192</v>
      </c>
      <c r="K1600" s="200" t="n">
        <v>45454.6473958333</v>
      </c>
      <c r="L1600" s="1" t="n">
        <v>1</v>
      </c>
      <c r="M1600" s="1" t="n">
        <v>21296</v>
      </c>
      <c r="N1600" s="1" t="n">
        <v>125</v>
      </c>
    </row>
    <row r="1601" customFormat="false" ht="14.25" hidden="false" customHeight="false" outlineLevel="0" collapsed="false">
      <c r="A1601" s="1" t="n">
        <v>88</v>
      </c>
      <c r="B1601" s="1" t="s">
        <v>684</v>
      </c>
      <c r="C1601" s="1" t="s">
        <v>685</v>
      </c>
      <c r="D1601" s="1" t="n">
        <v>21296</v>
      </c>
      <c r="E1601" s="1" t="s">
        <v>57</v>
      </c>
      <c r="F1601" s="201" t="n">
        <v>200025889154</v>
      </c>
      <c r="G1601" s="198" t="s">
        <v>641</v>
      </c>
      <c r="H1601" s="172" t="n">
        <v>91178</v>
      </c>
      <c r="I1601" s="170" t="n">
        <v>34</v>
      </c>
      <c r="J1601" s="169" t="s">
        <v>192</v>
      </c>
      <c r="K1601" s="200" t="n">
        <v>45454.6474074074</v>
      </c>
      <c r="L1601" s="1" t="n">
        <v>1</v>
      </c>
      <c r="M1601" s="1" t="n">
        <v>21296</v>
      </c>
      <c r="N1601" s="1" t="n">
        <v>126</v>
      </c>
    </row>
    <row r="1602" customFormat="false" ht="14.25" hidden="false" customHeight="false" outlineLevel="0" collapsed="false">
      <c r="A1602" s="1" t="n">
        <v>89</v>
      </c>
      <c r="B1602" s="1" t="s">
        <v>684</v>
      </c>
      <c r="C1602" s="1" t="s">
        <v>685</v>
      </c>
      <c r="D1602" s="1" t="n">
        <v>21296</v>
      </c>
      <c r="E1602" s="1" t="s">
        <v>57</v>
      </c>
      <c r="F1602" s="201" t="n">
        <v>200025889154</v>
      </c>
      <c r="G1602" s="198" t="s">
        <v>641</v>
      </c>
      <c r="H1602" s="172" t="n">
        <v>91178</v>
      </c>
      <c r="I1602" s="170" t="n">
        <v>34</v>
      </c>
      <c r="J1602" s="169" t="s">
        <v>192</v>
      </c>
      <c r="K1602" s="200" t="n">
        <v>45454.6474189815</v>
      </c>
      <c r="L1602" s="1" t="n">
        <v>1</v>
      </c>
      <c r="M1602" s="1" t="n">
        <v>21296</v>
      </c>
      <c r="N1602" s="1" t="n">
        <v>127</v>
      </c>
    </row>
    <row r="1603" customFormat="false" ht="14.25" hidden="false" customHeight="false" outlineLevel="0" collapsed="false">
      <c r="A1603" s="1" t="n">
        <v>90</v>
      </c>
      <c r="B1603" s="1" t="s">
        <v>684</v>
      </c>
      <c r="C1603" s="1" t="s">
        <v>685</v>
      </c>
      <c r="D1603" s="1" t="n">
        <v>21296</v>
      </c>
      <c r="E1603" s="1" t="s">
        <v>57</v>
      </c>
      <c r="F1603" s="201" t="n">
        <v>200025889154</v>
      </c>
      <c r="G1603" s="198" t="s">
        <v>641</v>
      </c>
      <c r="H1603" s="172" t="n">
        <v>91178</v>
      </c>
      <c r="I1603" s="170" t="n">
        <v>34</v>
      </c>
      <c r="J1603" s="169" t="s">
        <v>192</v>
      </c>
      <c r="K1603" s="200" t="n">
        <v>45454.6478472222</v>
      </c>
      <c r="L1603" s="1" t="n">
        <v>1</v>
      </c>
      <c r="M1603" s="1" t="n">
        <v>21296</v>
      </c>
      <c r="N1603" s="1" t="n">
        <v>128</v>
      </c>
    </row>
    <row r="1604" customFormat="false" ht="14.25" hidden="false" customHeight="false" outlineLevel="0" collapsed="false">
      <c r="A1604" s="1" t="n">
        <v>91</v>
      </c>
      <c r="B1604" s="1" t="s">
        <v>684</v>
      </c>
      <c r="C1604" s="1" t="s">
        <v>685</v>
      </c>
      <c r="D1604" s="1" t="n">
        <v>21296</v>
      </c>
      <c r="E1604" s="1" t="s">
        <v>57</v>
      </c>
      <c r="F1604" s="201" t="n">
        <v>200025889154</v>
      </c>
      <c r="G1604" s="198" t="s">
        <v>641</v>
      </c>
      <c r="H1604" s="172" t="n">
        <v>91178</v>
      </c>
      <c r="I1604" s="170" t="n">
        <v>34</v>
      </c>
      <c r="J1604" s="169" t="s">
        <v>192</v>
      </c>
      <c r="K1604" s="200" t="n">
        <v>45454.6478703704</v>
      </c>
      <c r="L1604" s="1" t="n">
        <v>0</v>
      </c>
      <c r="M1604" s="1" t="n">
        <v>21296</v>
      </c>
      <c r="N1604" s="1" t="n">
        <v>129</v>
      </c>
    </row>
    <row r="1605" customFormat="false" ht="14.25" hidden="false" customHeight="false" outlineLevel="0" collapsed="false">
      <c r="A1605" s="1" t="n">
        <v>92</v>
      </c>
      <c r="B1605" s="1" t="s">
        <v>684</v>
      </c>
      <c r="C1605" s="1" t="s">
        <v>685</v>
      </c>
      <c r="D1605" s="1" t="n">
        <v>21296</v>
      </c>
      <c r="E1605" s="1" t="s">
        <v>57</v>
      </c>
      <c r="F1605" s="201" t="n">
        <v>200025889154</v>
      </c>
      <c r="G1605" s="198" t="s">
        <v>641</v>
      </c>
      <c r="H1605" s="172" t="n">
        <v>91178</v>
      </c>
      <c r="I1605" s="170" t="n">
        <v>34</v>
      </c>
      <c r="J1605" s="169" t="s">
        <v>192</v>
      </c>
      <c r="K1605" s="200" t="n">
        <v>45454.6478819444</v>
      </c>
      <c r="L1605" s="1" t="n">
        <v>2</v>
      </c>
      <c r="M1605" s="1" t="n">
        <v>21296</v>
      </c>
      <c r="N1605" s="1" t="n">
        <v>130</v>
      </c>
    </row>
    <row r="1606" customFormat="false" ht="14.25" hidden="false" customHeight="false" outlineLevel="0" collapsed="false">
      <c r="A1606" s="1" t="n">
        <v>93</v>
      </c>
      <c r="B1606" s="1" t="s">
        <v>684</v>
      </c>
      <c r="C1606" s="1" t="s">
        <v>685</v>
      </c>
      <c r="D1606" s="1" t="n">
        <v>21296</v>
      </c>
      <c r="E1606" s="1" t="s">
        <v>57</v>
      </c>
      <c r="F1606" s="201" t="n">
        <v>200025889154</v>
      </c>
      <c r="G1606" s="198" t="s">
        <v>641</v>
      </c>
      <c r="H1606" s="172" t="n">
        <v>91178</v>
      </c>
      <c r="I1606" s="170" t="n">
        <v>34</v>
      </c>
      <c r="J1606" s="169" t="s">
        <v>192</v>
      </c>
      <c r="K1606" s="200" t="n">
        <v>45454.6484375</v>
      </c>
      <c r="L1606" s="10" t="n">
        <v>356</v>
      </c>
      <c r="M1606" s="1" t="n">
        <v>21296</v>
      </c>
      <c r="N1606" s="1" t="n">
        <v>131</v>
      </c>
    </row>
    <row r="1607" customFormat="false" ht="14.25" hidden="false" customHeight="false" outlineLevel="0" collapsed="false">
      <c r="A1607" s="1" t="n">
        <v>94</v>
      </c>
      <c r="B1607" s="1" t="s">
        <v>684</v>
      </c>
      <c r="C1607" s="1" t="s">
        <v>685</v>
      </c>
      <c r="D1607" s="1" t="n">
        <v>21296</v>
      </c>
      <c r="E1607" s="1" t="s">
        <v>57</v>
      </c>
      <c r="F1607" s="201" t="n">
        <v>200025889154</v>
      </c>
      <c r="G1607" s="198" t="s">
        <v>641</v>
      </c>
      <c r="H1607" s="172" t="n">
        <v>91178</v>
      </c>
      <c r="I1607" s="170" t="n">
        <v>34</v>
      </c>
      <c r="J1607" s="169" t="s">
        <v>192</v>
      </c>
      <c r="K1607" s="200" t="n">
        <v>45454.7037268519</v>
      </c>
      <c r="L1607" s="1" t="n">
        <v>2</v>
      </c>
      <c r="M1607" s="1" t="n">
        <v>21296</v>
      </c>
      <c r="N1607" s="1" t="n">
        <v>132</v>
      </c>
    </row>
    <row r="1608" customFormat="false" ht="14.25" hidden="false" customHeight="false" outlineLevel="0" collapsed="false">
      <c r="A1608" s="1" t="n">
        <v>95</v>
      </c>
      <c r="B1608" s="1" t="s">
        <v>684</v>
      </c>
      <c r="C1608" s="1" t="s">
        <v>685</v>
      </c>
      <c r="D1608" s="1" t="n">
        <v>21296</v>
      </c>
      <c r="E1608" s="1" t="s">
        <v>57</v>
      </c>
      <c r="F1608" s="201" t="n">
        <v>200025889154</v>
      </c>
      <c r="G1608" s="198" t="s">
        <v>641</v>
      </c>
      <c r="H1608" s="172" t="n">
        <v>91178</v>
      </c>
      <c r="I1608" s="170" t="n">
        <v>34</v>
      </c>
      <c r="J1608" s="169" t="s">
        <v>192</v>
      </c>
      <c r="K1608" s="200" t="n">
        <v>45454.70375</v>
      </c>
      <c r="L1608" s="1" t="n">
        <v>0</v>
      </c>
      <c r="M1608" s="1" t="n">
        <v>21296</v>
      </c>
      <c r="N1608" s="1" t="n">
        <v>133</v>
      </c>
    </row>
    <row r="1609" customFormat="false" ht="14.25" hidden="false" customHeight="false" outlineLevel="0" collapsed="false">
      <c r="A1609" s="1" t="n">
        <v>96</v>
      </c>
      <c r="B1609" s="1" t="s">
        <v>684</v>
      </c>
      <c r="C1609" s="1" t="s">
        <v>685</v>
      </c>
      <c r="D1609" s="1" t="n">
        <v>21296</v>
      </c>
      <c r="E1609" s="1" t="s">
        <v>57</v>
      </c>
      <c r="F1609" s="201" t="n">
        <v>200025889154</v>
      </c>
      <c r="G1609" s="198" t="s">
        <v>641</v>
      </c>
      <c r="H1609" s="172" t="n">
        <v>91178</v>
      </c>
      <c r="I1609" s="170" t="n">
        <v>34</v>
      </c>
      <c r="J1609" s="169" t="s">
        <v>192</v>
      </c>
      <c r="K1609" s="200" t="n">
        <v>45454.7037615741</v>
      </c>
      <c r="L1609" s="1" t="n">
        <v>0</v>
      </c>
      <c r="M1609" s="1" t="n">
        <v>21296</v>
      </c>
      <c r="N1609" s="1" t="n">
        <v>134</v>
      </c>
    </row>
    <row r="1610" customFormat="false" ht="14.25" hidden="false" customHeight="false" outlineLevel="0" collapsed="false">
      <c r="A1610" s="1" t="n">
        <v>97</v>
      </c>
      <c r="B1610" s="1" t="s">
        <v>684</v>
      </c>
      <c r="C1610" s="1" t="s">
        <v>685</v>
      </c>
      <c r="D1610" s="1" t="n">
        <v>21296</v>
      </c>
      <c r="E1610" s="1" t="s">
        <v>57</v>
      </c>
      <c r="F1610" s="201" t="n">
        <v>200025889154</v>
      </c>
      <c r="G1610" s="198" t="s">
        <v>641</v>
      </c>
      <c r="H1610" s="172" t="n">
        <v>91178</v>
      </c>
      <c r="I1610" s="170" t="n">
        <v>34</v>
      </c>
      <c r="J1610" s="169" t="s">
        <v>192</v>
      </c>
      <c r="K1610" s="200" t="n">
        <v>45454.7037731482</v>
      </c>
      <c r="L1610" s="1" t="n">
        <v>0</v>
      </c>
      <c r="M1610" s="1" t="n">
        <v>21296</v>
      </c>
      <c r="N1610" s="1" t="n">
        <v>135</v>
      </c>
    </row>
    <row r="1611" customFormat="false" ht="14.25" hidden="false" customHeight="false" outlineLevel="0" collapsed="false">
      <c r="A1611" s="1" t="n">
        <v>98</v>
      </c>
      <c r="B1611" s="1" t="s">
        <v>684</v>
      </c>
      <c r="C1611" s="1" t="s">
        <v>685</v>
      </c>
      <c r="D1611" s="1" t="n">
        <v>21296</v>
      </c>
      <c r="E1611" s="1" t="s">
        <v>57</v>
      </c>
      <c r="F1611" s="201" t="n">
        <v>200025889154</v>
      </c>
      <c r="G1611" s="198" t="s">
        <v>641</v>
      </c>
      <c r="H1611" s="172" t="n">
        <v>91178</v>
      </c>
      <c r="I1611" s="170" t="n">
        <v>34</v>
      </c>
      <c r="J1611" s="169" t="s">
        <v>192</v>
      </c>
      <c r="K1611" s="200" t="n">
        <v>45454.704375</v>
      </c>
      <c r="L1611" s="1" t="n">
        <v>1</v>
      </c>
      <c r="M1611" s="1" t="n">
        <v>21296</v>
      </c>
      <c r="N1611" s="1" t="n">
        <v>136</v>
      </c>
    </row>
    <row r="1612" customFormat="false" ht="14.25" hidden="false" customHeight="false" outlineLevel="0" collapsed="false">
      <c r="A1612" s="1" t="n">
        <v>99</v>
      </c>
      <c r="B1612" s="1" t="s">
        <v>684</v>
      </c>
      <c r="C1612" s="1" t="s">
        <v>685</v>
      </c>
      <c r="D1612" s="1" t="n">
        <v>21296</v>
      </c>
      <c r="E1612" s="1" t="s">
        <v>57</v>
      </c>
      <c r="F1612" s="201" t="n">
        <v>200025889154</v>
      </c>
      <c r="G1612" s="198" t="s">
        <v>641</v>
      </c>
      <c r="H1612" s="172" t="n">
        <v>91178</v>
      </c>
      <c r="I1612" s="170" t="n">
        <v>34</v>
      </c>
      <c r="J1612" s="169" t="s">
        <v>192</v>
      </c>
      <c r="K1612" s="200" t="n">
        <v>45454.7043981482</v>
      </c>
      <c r="L1612" s="1" t="n">
        <v>1</v>
      </c>
      <c r="M1612" s="1" t="n">
        <v>21296</v>
      </c>
      <c r="N1612" s="1" t="n">
        <v>137</v>
      </c>
    </row>
    <row r="1613" customFormat="false" ht="14.25" hidden="false" customHeight="false" outlineLevel="0" collapsed="false">
      <c r="A1613" s="1" t="n">
        <v>100</v>
      </c>
      <c r="B1613" s="1" t="s">
        <v>684</v>
      </c>
      <c r="C1613" s="1" t="s">
        <v>685</v>
      </c>
      <c r="D1613" s="1" t="n">
        <v>21296</v>
      </c>
      <c r="E1613" s="1" t="s">
        <v>57</v>
      </c>
      <c r="F1613" s="201" t="n">
        <v>200025889154</v>
      </c>
      <c r="G1613" s="198" t="s">
        <v>641</v>
      </c>
      <c r="H1613" s="172" t="n">
        <v>91178</v>
      </c>
      <c r="I1613" s="170" t="n">
        <v>34</v>
      </c>
      <c r="J1613" s="169" t="s">
        <v>192</v>
      </c>
      <c r="K1613" s="200" t="n">
        <v>45454.7049652778</v>
      </c>
      <c r="L1613" s="1" t="n">
        <v>3</v>
      </c>
      <c r="M1613" s="1" t="n">
        <v>21296</v>
      </c>
      <c r="N1613" s="1" t="n">
        <v>138</v>
      </c>
    </row>
    <row r="1614" customFormat="false" ht="14.25" hidden="false" customHeight="false" outlineLevel="0" collapsed="false">
      <c r="A1614" s="1" t="n">
        <v>101</v>
      </c>
      <c r="B1614" s="1" t="s">
        <v>684</v>
      </c>
      <c r="C1614" s="1" t="s">
        <v>685</v>
      </c>
      <c r="D1614" s="1" t="n">
        <v>21296</v>
      </c>
      <c r="E1614" s="1" t="s">
        <v>57</v>
      </c>
      <c r="F1614" s="201" t="n">
        <v>200025889154</v>
      </c>
      <c r="G1614" s="198" t="s">
        <v>641</v>
      </c>
      <c r="H1614" s="172" t="n">
        <v>91178</v>
      </c>
      <c r="I1614" s="170" t="n">
        <v>34</v>
      </c>
      <c r="J1614" s="169" t="s">
        <v>192</v>
      </c>
      <c r="K1614" s="200" t="n">
        <v>45454.7070023148</v>
      </c>
      <c r="L1614" s="1" t="n">
        <v>0</v>
      </c>
      <c r="M1614" s="1" t="n">
        <v>21296</v>
      </c>
      <c r="N1614" s="1" t="n">
        <v>139</v>
      </c>
    </row>
    <row r="1615" customFormat="false" ht="14.25" hidden="false" customHeight="false" outlineLevel="0" collapsed="false">
      <c r="A1615" s="1" t="n">
        <v>102</v>
      </c>
      <c r="B1615" s="1" t="s">
        <v>684</v>
      </c>
      <c r="C1615" s="1" t="s">
        <v>685</v>
      </c>
      <c r="D1615" s="1" t="n">
        <v>21296</v>
      </c>
      <c r="E1615" s="1" t="s">
        <v>57</v>
      </c>
      <c r="F1615" s="201" t="n">
        <v>200025889154</v>
      </c>
      <c r="G1615" s="198" t="s">
        <v>641</v>
      </c>
      <c r="H1615" s="172" t="n">
        <v>91178</v>
      </c>
      <c r="I1615" s="170" t="n">
        <v>34</v>
      </c>
      <c r="J1615" s="169" t="s">
        <v>192</v>
      </c>
      <c r="K1615" s="200" t="n">
        <v>45454.7072453704</v>
      </c>
      <c r="L1615" s="1" t="n">
        <v>0</v>
      </c>
      <c r="M1615" s="1" t="n">
        <v>21296</v>
      </c>
      <c r="N1615" s="1" t="n">
        <v>140</v>
      </c>
    </row>
    <row r="1616" customFormat="false" ht="14.25" hidden="false" customHeight="false" outlineLevel="0" collapsed="false">
      <c r="A1616" s="1" t="n">
        <v>103</v>
      </c>
      <c r="B1616" s="1" t="s">
        <v>684</v>
      </c>
      <c r="C1616" s="1" t="s">
        <v>685</v>
      </c>
      <c r="D1616" s="1" t="n">
        <v>21296</v>
      </c>
      <c r="E1616" s="1" t="s">
        <v>57</v>
      </c>
      <c r="F1616" s="201" t="n">
        <v>200025889154</v>
      </c>
      <c r="G1616" s="198" t="s">
        <v>641</v>
      </c>
      <c r="H1616" s="172" t="n">
        <v>91178</v>
      </c>
      <c r="I1616" s="170" t="n">
        <v>34</v>
      </c>
      <c r="J1616" s="169" t="s">
        <v>192</v>
      </c>
      <c r="K1616" s="200" t="n">
        <v>45454.7072453704</v>
      </c>
      <c r="L1616" s="1" t="n">
        <v>1</v>
      </c>
      <c r="M1616" s="1" t="n">
        <v>21296</v>
      </c>
      <c r="N1616" s="1" t="n">
        <v>141</v>
      </c>
    </row>
    <row r="1617" customFormat="false" ht="14.25" hidden="false" customHeight="false" outlineLevel="0" collapsed="false">
      <c r="A1617" s="1" t="n">
        <v>104</v>
      </c>
      <c r="B1617" s="1" t="s">
        <v>684</v>
      </c>
      <c r="C1617" s="1" t="s">
        <v>685</v>
      </c>
      <c r="D1617" s="1" t="n">
        <v>21296</v>
      </c>
      <c r="E1617" s="1" t="s">
        <v>57</v>
      </c>
      <c r="F1617" s="201" t="n">
        <v>200025889154</v>
      </c>
      <c r="G1617" s="198" t="s">
        <v>641</v>
      </c>
      <c r="H1617" s="172" t="n">
        <v>91178</v>
      </c>
      <c r="I1617" s="170" t="n">
        <v>34</v>
      </c>
      <c r="J1617" s="169" t="s">
        <v>192</v>
      </c>
      <c r="K1617" s="200" t="n">
        <v>45454.7082060185</v>
      </c>
      <c r="L1617" s="1" t="n">
        <v>0</v>
      </c>
      <c r="M1617" s="1" t="n">
        <v>21296</v>
      </c>
      <c r="N1617" s="1" t="n">
        <v>142</v>
      </c>
    </row>
    <row r="1618" customFormat="false" ht="14.25" hidden="false" customHeight="false" outlineLevel="0" collapsed="false">
      <c r="A1618" s="1" t="n">
        <v>105</v>
      </c>
      <c r="B1618" s="1" t="s">
        <v>684</v>
      </c>
      <c r="C1618" s="1" t="s">
        <v>685</v>
      </c>
      <c r="D1618" s="1" t="n">
        <v>21296</v>
      </c>
      <c r="E1618" s="1" t="s">
        <v>57</v>
      </c>
      <c r="F1618" s="201" t="n">
        <v>200025889154</v>
      </c>
      <c r="G1618" s="198" t="s">
        <v>641</v>
      </c>
      <c r="H1618" s="172" t="n">
        <v>91178</v>
      </c>
      <c r="I1618" s="170" t="n">
        <v>34</v>
      </c>
      <c r="J1618" s="169" t="s">
        <v>192</v>
      </c>
      <c r="K1618" s="200" t="n">
        <v>45454.7082175926</v>
      </c>
      <c r="L1618" s="1" t="n">
        <v>1</v>
      </c>
      <c r="M1618" s="1" t="n">
        <v>21296</v>
      </c>
      <c r="N1618" s="1" t="n">
        <v>143</v>
      </c>
    </row>
    <row r="1619" customFormat="false" ht="14.25" hidden="false" customHeight="false" outlineLevel="0" collapsed="false">
      <c r="A1619" s="1" t="n">
        <v>106</v>
      </c>
      <c r="B1619" s="1" t="s">
        <v>684</v>
      </c>
      <c r="C1619" s="1" t="s">
        <v>685</v>
      </c>
      <c r="D1619" s="1" t="n">
        <v>21296</v>
      </c>
      <c r="E1619" s="1" t="s">
        <v>57</v>
      </c>
      <c r="F1619" s="201" t="n">
        <v>200025889127</v>
      </c>
      <c r="G1619" s="198" t="s">
        <v>692</v>
      </c>
      <c r="H1619" s="163" t="s">
        <v>507</v>
      </c>
      <c r="I1619" s="161" t="n">
        <v>86</v>
      </c>
      <c r="J1619" s="156" t="s">
        <v>192</v>
      </c>
      <c r="K1619" s="200" t="n">
        <v>45454.8006481482</v>
      </c>
      <c r="L1619" s="1" t="n">
        <v>1</v>
      </c>
      <c r="M1619" s="1" t="n">
        <v>21296</v>
      </c>
      <c r="N1619" s="1" t="n">
        <v>144</v>
      </c>
    </row>
    <row r="1620" customFormat="false" ht="14.25" hidden="false" customHeight="false" outlineLevel="0" collapsed="false">
      <c r="A1620" s="1" t="n">
        <v>107</v>
      </c>
      <c r="B1620" s="1" t="s">
        <v>684</v>
      </c>
      <c r="C1620" s="1" t="s">
        <v>685</v>
      </c>
      <c r="D1620" s="1" t="n">
        <v>21296</v>
      </c>
      <c r="E1620" s="1" t="s">
        <v>57</v>
      </c>
      <c r="F1620" s="201" t="n">
        <v>200025889127</v>
      </c>
      <c r="G1620" s="198" t="s">
        <v>692</v>
      </c>
      <c r="H1620" s="163" t="s">
        <v>507</v>
      </c>
      <c r="I1620" s="161" t="n">
        <v>86</v>
      </c>
      <c r="J1620" s="156" t="s">
        <v>192</v>
      </c>
      <c r="K1620" s="200" t="n">
        <v>45454.8006712963</v>
      </c>
      <c r="L1620" s="1" t="n">
        <v>0</v>
      </c>
      <c r="M1620" s="1" t="n">
        <v>21296</v>
      </c>
      <c r="N1620" s="1" t="n">
        <v>145</v>
      </c>
    </row>
    <row r="1621" customFormat="false" ht="14.25" hidden="false" customHeight="false" outlineLevel="0" collapsed="false">
      <c r="A1621" s="1" t="n">
        <v>108</v>
      </c>
      <c r="B1621" s="1" t="s">
        <v>684</v>
      </c>
      <c r="C1621" s="1" t="s">
        <v>685</v>
      </c>
      <c r="D1621" s="1" t="n">
        <v>21296</v>
      </c>
      <c r="E1621" s="1" t="s">
        <v>57</v>
      </c>
      <c r="F1621" s="201" t="n">
        <v>200025889127</v>
      </c>
      <c r="G1621" s="198" t="s">
        <v>692</v>
      </c>
      <c r="H1621" s="163" t="s">
        <v>507</v>
      </c>
      <c r="I1621" s="161" t="n">
        <v>86</v>
      </c>
      <c r="J1621" s="156" t="s">
        <v>192</v>
      </c>
      <c r="K1621" s="200" t="n">
        <v>45454.8006712963</v>
      </c>
      <c r="L1621" s="1" t="n">
        <v>1</v>
      </c>
      <c r="M1621" s="1" t="n">
        <v>21296</v>
      </c>
      <c r="N1621" s="1" t="n">
        <v>146</v>
      </c>
    </row>
    <row r="1622" customFormat="false" ht="14.25" hidden="false" customHeight="false" outlineLevel="0" collapsed="false">
      <c r="A1622" s="1" t="n">
        <v>109</v>
      </c>
      <c r="B1622" s="1" t="s">
        <v>684</v>
      </c>
      <c r="C1622" s="1" t="s">
        <v>685</v>
      </c>
      <c r="D1622" s="1" t="n">
        <v>21296</v>
      </c>
      <c r="E1622" s="1" t="s">
        <v>57</v>
      </c>
      <c r="F1622" s="201" t="n">
        <v>200025889127</v>
      </c>
      <c r="G1622" s="198" t="s">
        <v>692</v>
      </c>
      <c r="H1622" s="163" t="s">
        <v>507</v>
      </c>
      <c r="I1622" s="161" t="n">
        <v>86</v>
      </c>
      <c r="J1622" s="156" t="s">
        <v>192</v>
      </c>
      <c r="K1622" s="200" t="n">
        <v>45454.8006828704</v>
      </c>
      <c r="L1622" s="1" t="n">
        <v>1</v>
      </c>
      <c r="M1622" s="1" t="n">
        <v>21296</v>
      </c>
      <c r="N1622" s="1" t="n">
        <v>147</v>
      </c>
    </row>
    <row r="1623" customFormat="false" ht="14.25" hidden="false" customHeight="false" outlineLevel="0" collapsed="false">
      <c r="A1623" s="1" t="n">
        <v>110</v>
      </c>
      <c r="B1623" s="1" t="s">
        <v>684</v>
      </c>
      <c r="C1623" s="1" t="s">
        <v>685</v>
      </c>
      <c r="D1623" s="1" t="n">
        <v>21296</v>
      </c>
      <c r="E1623" s="1" t="s">
        <v>57</v>
      </c>
      <c r="F1623" s="201" t="n">
        <v>200025889127</v>
      </c>
      <c r="G1623" s="198" t="s">
        <v>692</v>
      </c>
      <c r="H1623" s="163" t="s">
        <v>507</v>
      </c>
      <c r="I1623" s="161" t="n">
        <v>86</v>
      </c>
      <c r="J1623" s="156" t="s">
        <v>192</v>
      </c>
      <c r="K1623" s="200" t="n">
        <v>45454.801087963</v>
      </c>
      <c r="L1623" s="1" t="n">
        <v>3</v>
      </c>
      <c r="M1623" s="1" t="n">
        <v>21296</v>
      </c>
      <c r="N1623" s="1" t="n">
        <v>148</v>
      </c>
    </row>
    <row r="1624" customFormat="false" ht="14.25" hidden="false" customHeight="false" outlineLevel="0" collapsed="false">
      <c r="A1624" s="1" t="n">
        <v>111</v>
      </c>
      <c r="B1624" s="1" t="s">
        <v>684</v>
      </c>
      <c r="C1624" s="1" t="s">
        <v>685</v>
      </c>
      <c r="D1624" s="1" t="n">
        <v>21296</v>
      </c>
      <c r="E1624" s="1" t="s">
        <v>57</v>
      </c>
      <c r="F1624" s="201" t="n">
        <v>200025889127</v>
      </c>
      <c r="G1624" s="198" t="s">
        <v>692</v>
      </c>
      <c r="H1624" s="163" t="s">
        <v>507</v>
      </c>
      <c r="I1624" s="161" t="n">
        <v>86</v>
      </c>
      <c r="J1624" s="156" t="s">
        <v>192</v>
      </c>
      <c r="K1624" s="200" t="n">
        <v>45454.8014236111</v>
      </c>
      <c r="L1624" s="1" t="n">
        <v>0</v>
      </c>
      <c r="M1624" s="1" t="n">
        <v>21296</v>
      </c>
      <c r="N1624" s="1" t="n">
        <v>149</v>
      </c>
    </row>
    <row r="1625" customFormat="false" ht="14.25" hidden="false" customHeight="false" outlineLevel="0" collapsed="false">
      <c r="A1625" s="1" t="n">
        <v>112</v>
      </c>
      <c r="B1625" s="1" t="s">
        <v>684</v>
      </c>
      <c r="C1625" s="1" t="s">
        <v>685</v>
      </c>
      <c r="D1625" s="1" t="n">
        <v>21296</v>
      </c>
      <c r="E1625" s="1" t="s">
        <v>57</v>
      </c>
      <c r="F1625" s="201" t="n">
        <v>200025889127</v>
      </c>
      <c r="G1625" s="198" t="s">
        <v>692</v>
      </c>
      <c r="H1625" s="163" t="s">
        <v>507</v>
      </c>
      <c r="I1625" s="161" t="n">
        <v>86</v>
      </c>
      <c r="J1625" s="156" t="s">
        <v>192</v>
      </c>
      <c r="K1625" s="200" t="n">
        <v>45454.8014467593</v>
      </c>
      <c r="L1625" s="1" t="n">
        <v>0</v>
      </c>
      <c r="M1625" s="1" t="n">
        <v>21296</v>
      </c>
      <c r="N1625" s="1" t="n">
        <v>150</v>
      </c>
    </row>
    <row r="1626" customFormat="false" ht="14.25" hidden="false" customHeight="false" outlineLevel="0" collapsed="false">
      <c r="A1626" s="1" t="n">
        <v>113</v>
      </c>
      <c r="B1626" s="1" t="s">
        <v>684</v>
      </c>
      <c r="C1626" s="1" t="s">
        <v>685</v>
      </c>
      <c r="D1626" s="1" t="n">
        <v>21296</v>
      </c>
      <c r="E1626" s="1" t="s">
        <v>57</v>
      </c>
      <c r="F1626" s="201" t="n">
        <v>200025889154</v>
      </c>
      <c r="G1626" s="198" t="s">
        <v>641</v>
      </c>
      <c r="H1626" s="172" t="n">
        <v>91178</v>
      </c>
      <c r="I1626" s="170" t="n">
        <v>34</v>
      </c>
      <c r="J1626" s="169" t="s">
        <v>192</v>
      </c>
      <c r="K1626" s="200" t="n">
        <v>45454.8396180556</v>
      </c>
      <c r="L1626" s="1" t="n">
        <v>1</v>
      </c>
      <c r="M1626" s="1" t="n">
        <v>21296</v>
      </c>
      <c r="N1626" s="1" t="n">
        <v>151</v>
      </c>
    </row>
    <row r="1627" customFormat="false" ht="14.25" hidden="false" customHeight="false" outlineLevel="0" collapsed="false">
      <c r="A1627" s="1" t="n">
        <v>114</v>
      </c>
      <c r="B1627" s="1" t="s">
        <v>684</v>
      </c>
      <c r="C1627" s="1" t="s">
        <v>685</v>
      </c>
      <c r="D1627" s="1" t="n">
        <v>21296</v>
      </c>
      <c r="E1627" s="1" t="s">
        <v>57</v>
      </c>
      <c r="F1627" s="201" t="n">
        <v>200025889154</v>
      </c>
      <c r="G1627" s="198" t="s">
        <v>641</v>
      </c>
      <c r="H1627" s="172" t="n">
        <v>91178</v>
      </c>
      <c r="I1627" s="170" t="n">
        <v>34</v>
      </c>
      <c r="J1627" s="169" t="s">
        <v>192</v>
      </c>
      <c r="K1627" s="200" t="n">
        <v>45454.8396296296</v>
      </c>
      <c r="L1627" s="1" t="n">
        <v>3</v>
      </c>
      <c r="M1627" s="1" t="n">
        <v>21296</v>
      </c>
      <c r="N1627" s="1" t="n">
        <v>152</v>
      </c>
    </row>
    <row r="1628" customFormat="false" ht="14.25" hidden="false" customHeight="false" outlineLevel="0" collapsed="false">
      <c r="A1628" s="1" t="n">
        <v>115</v>
      </c>
      <c r="B1628" s="1" t="s">
        <v>684</v>
      </c>
      <c r="C1628" s="1" t="s">
        <v>685</v>
      </c>
      <c r="D1628" s="1" t="n">
        <v>21296</v>
      </c>
      <c r="E1628" s="1" t="s">
        <v>57</v>
      </c>
      <c r="F1628" s="201" t="n">
        <v>200025889154</v>
      </c>
      <c r="G1628" s="198" t="s">
        <v>641</v>
      </c>
      <c r="H1628" s="172" t="n">
        <v>91178</v>
      </c>
      <c r="I1628" s="170" t="n">
        <v>34</v>
      </c>
      <c r="J1628" s="169" t="s">
        <v>192</v>
      </c>
      <c r="K1628" s="200" t="n">
        <v>45454.8400925926</v>
      </c>
      <c r="L1628" s="1" t="n">
        <v>0</v>
      </c>
      <c r="M1628" s="1" t="n">
        <v>21296</v>
      </c>
      <c r="N1628" s="1" t="n">
        <v>153</v>
      </c>
    </row>
    <row r="1629" customFormat="false" ht="14.25" hidden="false" customHeight="false" outlineLevel="0" collapsed="false">
      <c r="A1629" s="1" t="n">
        <v>116</v>
      </c>
      <c r="B1629" s="1" t="s">
        <v>684</v>
      </c>
      <c r="C1629" s="1" t="s">
        <v>685</v>
      </c>
      <c r="D1629" s="1" t="n">
        <v>21296</v>
      </c>
      <c r="E1629" s="1" t="s">
        <v>57</v>
      </c>
      <c r="F1629" s="201" t="n">
        <v>200025889154</v>
      </c>
      <c r="G1629" s="198" t="s">
        <v>641</v>
      </c>
      <c r="H1629" s="172" t="n">
        <v>91178</v>
      </c>
      <c r="I1629" s="170" t="n">
        <v>34</v>
      </c>
      <c r="J1629" s="169" t="s">
        <v>192</v>
      </c>
      <c r="K1629" s="200" t="n">
        <v>45454.8401041667</v>
      </c>
      <c r="L1629" s="1" t="n">
        <v>0</v>
      </c>
      <c r="M1629" s="1" t="n">
        <v>21296</v>
      </c>
      <c r="N1629" s="1" t="n">
        <v>154</v>
      </c>
    </row>
    <row r="1630" customFormat="false" ht="14.25" hidden="false" customHeight="false" outlineLevel="0" collapsed="false">
      <c r="A1630" s="1" t="n">
        <v>117</v>
      </c>
      <c r="B1630" s="1" t="s">
        <v>684</v>
      </c>
      <c r="C1630" s="1" t="s">
        <v>685</v>
      </c>
      <c r="D1630" s="1" t="n">
        <v>21296</v>
      </c>
      <c r="E1630" s="1" t="s">
        <v>57</v>
      </c>
      <c r="F1630" s="201" t="n">
        <v>200025889154</v>
      </c>
      <c r="G1630" s="198" t="s">
        <v>641</v>
      </c>
      <c r="H1630" s="172" t="n">
        <v>91178</v>
      </c>
      <c r="I1630" s="170" t="n">
        <v>34</v>
      </c>
      <c r="J1630" s="169" t="s">
        <v>192</v>
      </c>
      <c r="K1630" s="200" t="n">
        <v>45454.8402662037</v>
      </c>
      <c r="L1630" s="1" t="n">
        <v>1</v>
      </c>
      <c r="M1630" s="1" t="n">
        <v>21296</v>
      </c>
      <c r="N1630" s="1" t="n">
        <v>155</v>
      </c>
    </row>
    <row r="1631" customFormat="false" ht="14.25" hidden="false" customHeight="false" outlineLevel="0" collapsed="false">
      <c r="A1631" s="1" t="n">
        <v>118</v>
      </c>
      <c r="B1631" s="1" t="s">
        <v>684</v>
      </c>
      <c r="C1631" s="1" t="s">
        <v>685</v>
      </c>
      <c r="D1631" s="1" t="n">
        <v>21296</v>
      </c>
      <c r="E1631" s="1" t="s">
        <v>57</v>
      </c>
      <c r="F1631" s="201" t="n">
        <v>200025889154</v>
      </c>
      <c r="G1631" s="198" t="s">
        <v>641</v>
      </c>
      <c r="H1631" s="172" t="n">
        <v>91178</v>
      </c>
      <c r="I1631" s="170" t="n">
        <v>34</v>
      </c>
      <c r="J1631" s="169" t="s">
        <v>192</v>
      </c>
      <c r="K1631" s="200" t="n">
        <v>45454.8402893519</v>
      </c>
      <c r="L1631" s="1" t="n">
        <v>1</v>
      </c>
      <c r="M1631" s="1" t="n">
        <v>21296</v>
      </c>
      <c r="N1631" s="1" t="n">
        <v>156</v>
      </c>
    </row>
    <row r="1632" customFormat="false" ht="14.25" hidden="false" customHeight="false" outlineLevel="0" collapsed="false">
      <c r="A1632" s="1" t="n">
        <v>119</v>
      </c>
      <c r="B1632" s="1" t="s">
        <v>684</v>
      </c>
      <c r="C1632" s="1" t="s">
        <v>685</v>
      </c>
      <c r="D1632" s="1" t="n">
        <v>21296</v>
      </c>
      <c r="E1632" s="1" t="s">
        <v>57</v>
      </c>
      <c r="F1632" s="201" t="n">
        <v>200025889154</v>
      </c>
      <c r="G1632" s="198" t="s">
        <v>641</v>
      </c>
      <c r="H1632" s="172" t="n">
        <v>91178</v>
      </c>
      <c r="I1632" s="170" t="n">
        <v>34</v>
      </c>
      <c r="J1632" s="169" t="s">
        <v>192</v>
      </c>
      <c r="K1632" s="200" t="n">
        <v>45454.8403009259</v>
      </c>
      <c r="L1632" s="1" t="n">
        <v>0</v>
      </c>
      <c r="M1632" s="1" t="n">
        <v>21296</v>
      </c>
      <c r="N1632" s="1" t="n">
        <v>157</v>
      </c>
    </row>
    <row r="1633" customFormat="false" ht="14.25" hidden="false" customHeight="false" outlineLevel="0" collapsed="false">
      <c r="A1633" s="1" t="n">
        <v>120</v>
      </c>
      <c r="B1633" s="1" t="s">
        <v>684</v>
      </c>
      <c r="C1633" s="1" t="s">
        <v>685</v>
      </c>
      <c r="D1633" s="1" t="n">
        <v>21296</v>
      </c>
      <c r="E1633" s="1" t="s">
        <v>57</v>
      </c>
      <c r="F1633" s="201" t="n">
        <v>200025889154</v>
      </c>
      <c r="G1633" s="198" t="s">
        <v>641</v>
      </c>
      <c r="H1633" s="172" t="n">
        <v>91178</v>
      </c>
      <c r="I1633" s="170" t="n">
        <v>34</v>
      </c>
      <c r="J1633" s="169" t="s">
        <v>192</v>
      </c>
      <c r="K1633" s="200" t="n">
        <v>45454.9048263889</v>
      </c>
      <c r="L1633" s="1" t="n">
        <v>0</v>
      </c>
      <c r="M1633" s="1" t="n">
        <v>21296</v>
      </c>
      <c r="N1633" s="1" t="n">
        <v>158</v>
      </c>
    </row>
    <row r="1634" customFormat="false" ht="14.25" hidden="false" customHeight="false" outlineLevel="0" collapsed="false">
      <c r="A1634" s="1" t="n">
        <v>121</v>
      </c>
      <c r="B1634" s="1" t="s">
        <v>684</v>
      </c>
      <c r="C1634" s="1" t="s">
        <v>685</v>
      </c>
      <c r="D1634" s="1" t="n">
        <v>21296</v>
      </c>
      <c r="E1634" s="1" t="s">
        <v>57</v>
      </c>
      <c r="F1634" s="201" t="n">
        <v>200025889127</v>
      </c>
      <c r="G1634" s="198" t="s">
        <v>692</v>
      </c>
      <c r="H1634" s="163" t="s">
        <v>507</v>
      </c>
      <c r="I1634" s="161" t="n">
        <v>86</v>
      </c>
      <c r="J1634" s="156" t="s">
        <v>192</v>
      </c>
      <c r="K1634" s="200" t="n">
        <v>45454.9293634259</v>
      </c>
      <c r="L1634" s="1" t="n">
        <v>0</v>
      </c>
      <c r="M1634" s="1" t="n">
        <v>21296</v>
      </c>
      <c r="N1634" s="1" t="n">
        <v>159</v>
      </c>
    </row>
    <row r="1635" customFormat="false" ht="14.25" hidden="false" customHeight="false" outlineLevel="0" collapsed="false">
      <c r="A1635" s="1" t="n">
        <v>122</v>
      </c>
      <c r="B1635" s="1" t="s">
        <v>684</v>
      </c>
      <c r="C1635" s="1" t="s">
        <v>685</v>
      </c>
      <c r="D1635" s="1" t="n">
        <v>21296</v>
      </c>
      <c r="E1635" s="1" t="s">
        <v>57</v>
      </c>
      <c r="F1635" s="201" t="n">
        <v>200025888790</v>
      </c>
      <c r="G1635" s="198" t="s">
        <v>588</v>
      </c>
      <c r="H1635" s="163" t="s">
        <v>442</v>
      </c>
      <c r="I1635" s="161" t="n">
        <v>117</v>
      </c>
      <c r="J1635" s="156" t="s">
        <v>192</v>
      </c>
      <c r="K1635" s="200" t="n">
        <v>45454.932650463</v>
      </c>
      <c r="L1635" s="1" t="n">
        <v>2</v>
      </c>
      <c r="M1635" s="1" t="n">
        <v>21296</v>
      </c>
      <c r="N1635" s="1" t="n">
        <v>160</v>
      </c>
    </row>
    <row r="1636" customFormat="false" ht="14.25" hidden="false" customHeight="false" outlineLevel="0" collapsed="false">
      <c r="A1636" s="1" t="n">
        <v>123</v>
      </c>
      <c r="B1636" s="1" t="s">
        <v>684</v>
      </c>
      <c r="C1636" s="1" t="s">
        <v>685</v>
      </c>
      <c r="D1636" s="1" t="n">
        <v>21296</v>
      </c>
      <c r="E1636" s="1" t="s">
        <v>57</v>
      </c>
      <c r="F1636" s="201" t="n">
        <v>200025888790</v>
      </c>
      <c r="G1636" s="198" t="s">
        <v>588</v>
      </c>
      <c r="H1636" s="163" t="s">
        <v>442</v>
      </c>
      <c r="I1636" s="161" t="n">
        <v>117</v>
      </c>
      <c r="J1636" s="156" t="s">
        <v>192</v>
      </c>
      <c r="K1636" s="200" t="n">
        <v>45454.9326736111</v>
      </c>
      <c r="L1636" s="1" t="n">
        <v>0</v>
      </c>
      <c r="M1636" s="1" t="n">
        <v>21296</v>
      </c>
      <c r="N1636" s="1" t="n">
        <v>161</v>
      </c>
    </row>
    <row r="1637" customFormat="false" ht="14.25" hidden="false" customHeight="false" outlineLevel="0" collapsed="false">
      <c r="A1637" s="1" t="n">
        <v>124</v>
      </c>
      <c r="B1637" s="1" t="s">
        <v>684</v>
      </c>
      <c r="C1637" s="1" t="s">
        <v>685</v>
      </c>
      <c r="D1637" s="1" t="n">
        <v>21296</v>
      </c>
      <c r="E1637" s="1" t="s">
        <v>57</v>
      </c>
      <c r="F1637" s="201" t="n">
        <v>200025888790</v>
      </c>
      <c r="G1637" s="198" t="s">
        <v>588</v>
      </c>
      <c r="H1637" s="163" t="s">
        <v>442</v>
      </c>
      <c r="I1637" s="161" t="n">
        <v>117</v>
      </c>
      <c r="J1637" s="156" t="s">
        <v>192</v>
      </c>
      <c r="K1637" s="200" t="n">
        <v>45454.9326967593</v>
      </c>
      <c r="L1637" s="1" t="n">
        <v>0</v>
      </c>
      <c r="M1637" s="1" t="n">
        <v>21296</v>
      </c>
      <c r="N1637" s="1" t="n">
        <v>162</v>
      </c>
    </row>
    <row r="1638" customFormat="false" ht="14.25" hidden="false" customHeight="false" outlineLevel="0" collapsed="false">
      <c r="A1638" s="1" t="n">
        <v>125</v>
      </c>
      <c r="B1638" s="1" t="s">
        <v>684</v>
      </c>
      <c r="C1638" s="1" t="s">
        <v>685</v>
      </c>
      <c r="D1638" s="1" t="n">
        <v>21296</v>
      </c>
      <c r="E1638" s="1" t="s">
        <v>57</v>
      </c>
      <c r="F1638" s="201" t="n">
        <v>200025889127</v>
      </c>
      <c r="G1638" s="198" t="s">
        <v>692</v>
      </c>
      <c r="H1638" s="163" t="s">
        <v>507</v>
      </c>
      <c r="I1638" s="161" t="n">
        <v>86</v>
      </c>
      <c r="J1638" s="156" t="s">
        <v>192</v>
      </c>
      <c r="K1638" s="200" t="n">
        <v>45455.0438541667</v>
      </c>
      <c r="L1638" s="1" t="n">
        <v>0</v>
      </c>
      <c r="M1638" s="1" t="n">
        <v>21296</v>
      </c>
      <c r="N1638" s="1" t="n">
        <v>163</v>
      </c>
    </row>
    <row r="1639" customFormat="false" ht="14.25" hidden="false" customHeight="false" outlineLevel="0" collapsed="false">
      <c r="A1639" s="1" t="n">
        <v>126</v>
      </c>
      <c r="B1639" s="1" t="s">
        <v>684</v>
      </c>
      <c r="C1639" s="1" t="s">
        <v>685</v>
      </c>
      <c r="D1639" s="1" t="n">
        <v>21296</v>
      </c>
      <c r="E1639" s="1" t="s">
        <v>57</v>
      </c>
      <c r="F1639" s="201" t="n">
        <v>200025889127</v>
      </c>
      <c r="G1639" s="198" t="s">
        <v>692</v>
      </c>
      <c r="H1639" s="163" t="s">
        <v>507</v>
      </c>
      <c r="I1639" s="161" t="n">
        <v>86</v>
      </c>
      <c r="J1639" s="156" t="s">
        <v>192</v>
      </c>
      <c r="K1639" s="200" t="n">
        <v>45455.0446064815</v>
      </c>
      <c r="L1639" s="1" t="n">
        <v>0</v>
      </c>
      <c r="M1639" s="1" t="n">
        <v>21296</v>
      </c>
      <c r="N1639" s="1" t="n">
        <v>164</v>
      </c>
    </row>
    <row r="1640" customFormat="false" ht="14.25" hidden="false" customHeight="false" outlineLevel="0" collapsed="false">
      <c r="A1640" s="1" t="n">
        <v>127</v>
      </c>
      <c r="B1640" s="1" t="s">
        <v>684</v>
      </c>
      <c r="C1640" s="1" t="s">
        <v>685</v>
      </c>
      <c r="D1640" s="1" t="n">
        <v>21296</v>
      </c>
      <c r="E1640" s="1" t="s">
        <v>57</v>
      </c>
      <c r="F1640" s="201" t="n">
        <v>200025889127</v>
      </c>
      <c r="G1640" s="198" t="s">
        <v>692</v>
      </c>
      <c r="H1640" s="163" t="s">
        <v>507</v>
      </c>
      <c r="I1640" s="161" t="n">
        <v>86</v>
      </c>
      <c r="J1640" s="156" t="s">
        <v>192</v>
      </c>
      <c r="K1640" s="200" t="n">
        <v>45455.1373842593</v>
      </c>
      <c r="L1640" s="1" t="n">
        <v>1</v>
      </c>
      <c r="M1640" s="1" t="n">
        <v>21296</v>
      </c>
      <c r="N1640" s="1" t="n">
        <v>165</v>
      </c>
    </row>
    <row r="1641" customFormat="false" ht="14.25" hidden="false" customHeight="false" outlineLevel="0" collapsed="false">
      <c r="A1641" s="1" t="n">
        <v>128</v>
      </c>
      <c r="B1641" s="1" t="s">
        <v>684</v>
      </c>
      <c r="C1641" s="1" t="s">
        <v>685</v>
      </c>
      <c r="D1641" s="1" t="n">
        <v>21296</v>
      </c>
      <c r="E1641" s="1" t="s">
        <v>57</v>
      </c>
      <c r="F1641" s="201" t="n">
        <v>200025889127</v>
      </c>
      <c r="G1641" s="198" t="s">
        <v>692</v>
      </c>
      <c r="H1641" s="163" t="s">
        <v>507</v>
      </c>
      <c r="I1641" s="161" t="n">
        <v>86</v>
      </c>
      <c r="J1641" s="156" t="s">
        <v>192</v>
      </c>
      <c r="K1641" s="200" t="n">
        <v>45455.269837963</v>
      </c>
      <c r="L1641" s="1" t="n">
        <v>0</v>
      </c>
      <c r="M1641" s="1" t="n">
        <v>21296</v>
      </c>
      <c r="N1641" s="1" t="n">
        <v>166</v>
      </c>
    </row>
    <row r="1642" customFormat="false" ht="14.25" hidden="false" customHeight="false" outlineLevel="0" collapsed="false">
      <c r="A1642" s="1" t="n">
        <v>129</v>
      </c>
      <c r="B1642" s="1" t="s">
        <v>684</v>
      </c>
      <c r="C1642" s="1" t="s">
        <v>685</v>
      </c>
      <c r="D1642" s="1" t="n">
        <v>21296</v>
      </c>
      <c r="E1642" s="1" t="s">
        <v>57</v>
      </c>
      <c r="F1642" s="201" t="n">
        <v>200025889127</v>
      </c>
      <c r="G1642" s="198" t="s">
        <v>692</v>
      </c>
      <c r="H1642" s="163" t="s">
        <v>507</v>
      </c>
      <c r="I1642" s="161" t="n">
        <v>86</v>
      </c>
      <c r="J1642" s="156" t="s">
        <v>192</v>
      </c>
      <c r="K1642" s="200" t="n">
        <v>45455.2705555556</v>
      </c>
      <c r="L1642" s="1" t="n">
        <v>1</v>
      </c>
      <c r="M1642" s="1" t="n">
        <v>21296</v>
      </c>
      <c r="N1642" s="1" t="n">
        <v>167</v>
      </c>
    </row>
    <row r="1643" customFormat="false" ht="14.25" hidden="false" customHeight="false" outlineLevel="0" collapsed="false">
      <c r="A1643" s="1" t="n">
        <v>130</v>
      </c>
      <c r="B1643" s="1" t="s">
        <v>684</v>
      </c>
      <c r="C1643" s="1" t="s">
        <v>685</v>
      </c>
      <c r="D1643" s="1" t="n">
        <v>21296</v>
      </c>
      <c r="E1643" s="1" t="s">
        <v>57</v>
      </c>
      <c r="F1643" s="201" t="n">
        <v>200025889154</v>
      </c>
      <c r="G1643" s="198" t="s">
        <v>641</v>
      </c>
      <c r="H1643" s="172" t="n">
        <v>91178</v>
      </c>
      <c r="I1643" s="170" t="n">
        <v>34</v>
      </c>
      <c r="J1643" s="169" t="s">
        <v>192</v>
      </c>
      <c r="K1643" s="200" t="n">
        <v>45455.3333217593</v>
      </c>
      <c r="L1643" s="1" t="n">
        <v>1</v>
      </c>
      <c r="M1643" s="1" t="n">
        <v>21296</v>
      </c>
      <c r="N1643" s="1" t="n">
        <v>168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43"/>
  <sheetViews>
    <sheetView showFormulas="false" showGridLines="true" showRowColHeaders="true" showZeros="true" rightToLeft="false" tabSelected="false" showOutlineSymbols="true" defaultGridColor="true" view="normal" topLeftCell="K2" colorId="64" zoomScale="100" zoomScaleNormal="100" zoomScalePageLayoutView="100" workbookViewId="0">
      <selection pane="topLeft" activeCell="AC10" activeCellId="0" sqref="AC10"/>
    </sheetView>
  </sheetViews>
  <sheetFormatPr defaultColWidth="11.562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.56"/>
    <col collapsed="false" customWidth="true" hidden="false" outlineLevel="0" max="3" min="3" style="1" width="10.44"/>
    <col collapsed="false" customWidth="true" hidden="false" outlineLevel="0" max="4" min="4" style="1" width="8.56"/>
    <col collapsed="false" customWidth="true" hidden="false" outlineLevel="0" max="5" min="5" style="1" width="7.33"/>
    <col collapsed="false" customWidth="true" hidden="false" outlineLevel="0" max="6" min="6" style="1" width="15"/>
    <col collapsed="false" customWidth="true" hidden="false" outlineLevel="0" max="8" min="7" style="1" width="8.34"/>
    <col collapsed="false" customWidth="true" hidden="false" outlineLevel="0" max="9" min="9" style="1" width="6.33"/>
    <col collapsed="false" customWidth="true" hidden="false" outlineLevel="0" max="10" min="10" style="1" width="8.34"/>
    <col collapsed="false" customWidth="true" hidden="false" outlineLevel="0" max="11" min="11" style="1" width="20.33"/>
    <col collapsed="false" customWidth="true" hidden="false" outlineLevel="0" max="12" min="12" style="1" width="6.33"/>
    <col collapsed="false" customWidth="true" hidden="false" outlineLevel="0" max="13" min="13" style="1" width="8.34"/>
    <col collapsed="false" customWidth="true" hidden="false" outlineLevel="0" max="14" min="14" style="1" width="7.56"/>
  </cols>
  <sheetData>
    <row r="1" customFormat="false" ht="47.25" hidden="false" customHeight="true" outlineLevel="0" collapsed="false">
      <c r="A1" s="28" t="s">
        <v>552</v>
      </c>
      <c r="B1" s="28" t="s">
        <v>553</v>
      </c>
      <c r="C1" s="29" t="s">
        <v>554</v>
      </c>
      <c r="D1" s="29" t="s">
        <v>555</v>
      </c>
      <c r="E1" s="29" t="s">
        <v>556</v>
      </c>
      <c r="F1" s="28" t="s">
        <v>557</v>
      </c>
      <c r="G1" s="29" t="s">
        <v>558</v>
      </c>
      <c r="H1" s="194" t="s">
        <v>559</v>
      </c>
      <c r="I1" s="194" t="s">
        <v>560</v>
      </c>
      <c r="J1" s="194" t="s">
        <v>561</v>
      </c>
      <c r="K1" s="28" t="s">
        <v>562</v>
      </c>
      <c r="L1" s="28" t="s">
        <v>563</v>
      </c>
      <c r="M1" s="194" t="s">
        <v>561</v>
      </c>
      <c r="N1" s="194" t="s">
        <v>715</v>
      </c>
      <c r="O1" s="195"/>
    </row>
    <row r="2" customFormat="false" ht="14.25" hidden="false" customHeight="false" outlineLevel="0" collapsed="false">
      <c r="A2" s="1" t="n">
        <v>18</v>
      </c>
      <c r="B2" s="1" t="s">
        <v>565</v>
      </c>
      <c r="C2" s="1" t="s">
        <v>566</v>
      </c>
      <c r="D2" s="196" t="n">
        <v>2644</v>
      </c>
      <c r="E2" s="196" t="s">
        <v>51</v>
      </c>
      <c r="F2" s="198" t="s">
        <v>647</v>
      </c>
      <c r="G2" s="198" t="s">
        <v>648</v>
      </c>
      <c r="H2" s="163" t="s">
        <v>294</v>
      </c>
      <c r="I2" s="161" t="n">
        <v>36</v>
      </c>
      <c r="J2" s="156" t="s">
        <v>185</v>
      </c>
      <c r="K2" s="199" t="n">
        <v>45434.2611111111</v>
      </c>
      <c r="L2" s="1" t="n">
        <v>2</v>
      </c>
      <c r="M2" s="156" t="s">
        <v>185</v>
      </c>
      <c r="N2" s="1" t="n">
        <v>1</v>
      </c>
    </row>
    <row r="3" customFormat="false" ht="14.25" hidden="false" customHeight="false" outlineLevel="0" collapsed="false">
      <c r="A3" s="1" t="n">
        <v>19</v>
      </c>
      <c r="B3" s="1" t="s">
        <v>565</v>
      </c>
      <c r="C3" s="1" t="s">
        <v>566</v>
      </c>
      <c r="D3" s="196" t="n">
        <v>2644</v>
      </c>
      <c r="E3" s="196" t="s">
        <v>51</v>
      </c>
      <c r="F3" s="198" t="s">
        <v>647</v>
      </c>
      <c r="G3" s="198" t="s">
        <v>648</v>
      </c>
      <c r="H3" s="163" t="s">
        <v>294</v>
      </c>
      <c r="I3" s="161" t="n">
        <v>36</v>
      </c>
      <c r="J3" s="156" t="s">
        <v>185</v>
      </c>
      <c r="K3" s="199" t="n">
        <v>45434.2613657407</v>
      </c>
      <c r="L3" s="1" t="n">
        <v>1</v>
      </c>
      <c r="M3" s="156" t="s">
        <v>185</v>
      </c>
      <c r="N3" s="1" t="n">
        <v>2</v>
      </c>
    </row>
    <row r="4" customFormat="false" ht="14.25" hidden="false" customHeight="false" outlineLevel="0" collapsed="false">
      <c r="A4" s="1" t="n">
        <v>20</v>
      </c>
      <c r="B4" s="1" t="s">
        <v>565</v>
      </c>
      <c r="C4" s="1" t="s">
        <v>566</v>
      </c>
      <c r="D4" s="196" t="n">
        <v>2644</v>
      </c>
      <c r="E4" s="196" t="s">
        <v>51</v>
      </c>
      <c r="F4" s="198" t="s">
        <v>647</v>
      </c>
      <c r="G4" s="198" t="s">
        <v>648</v>
      </c>
      <c r="H4" s="163" t="s">
        <v>294</v>
      </c>
      <c r="I4" s="161" t="n">
        <v>36</v>
      </c>
      <c r="J4" s="156" t="s">
        <v>185</v>
      </c>
      <c r="K4" s="199" t="n">
        <v>45434.2638657407</v>
      </c>
      <c r="L4" s="1" t="n">
        <v>1</v>
      </c>
      <c r="M4" s="156" t="s">
        <v>185</v>
      </c>
      <c r="N4" s="1" t="n">
        <v>3</v>
      </c>
    </row>
    <row r="5" customFormat="false" ht="14.25" hidden="false" customHeight="false" outlineLevel="0" collapsed="false">
      <c r="A5" s="1" t="n">
        <v>21</v>
      </c>
      <c r="B5" s="1" t="s">
        <v>565</v>
      </c>
      <c r="C5" s="1" t="s">
        <v>566</v>
      </c>
      <c r="D5" s="196" t="n">
        <v>2644</v>
      </c>
      <c r="E5" s="196" t="s">
        <v>51</v>
      </c>
      <c r="F5" s="198" t="s">
        <v>647</v>
      </c>
      <c r="G5" s="198" t="s">
        <v>648</v>
      </c>
      <c r="H5" s="163" t="s">
        <v>294</v>
      </c>
      <c r="I5" s="161" t="n">
        <v>36</v>
      </c>
      <c r="J5" s="156" t="s">
        <v>185</v>
      </c>
      <c r="K5" s="199" t="n">
        <v>45434.268599537</v>
      </c>
      <c r="L5" s="1" t="n">
        <v>0</v>
      </c>
      <c r="M5" s="156" t="s">
        <v>185</v>
      </c>
      <c r="N5" s="3" t="n">
        <v>4</v>
      </c>
    </row>
    <row r="6" customFormat="false" ht="14.25" hidden="false" customHeight="false" outlineLevel="0" collapsed="false">
      <c r="A6" s="1" t="n">
        <v>22</v>
      </c>
      <c r="B6" s="1" t="s">
        <v>565</v>
      </c>
      <c r="C6" s="1" t="s">
        <v>566</v>
      </c>
      <c r="D6" s="196" t="n">
        <v>2644</v>
      </c>
      <c r="E6" s="196" t="s">
        <v>51</v>
      </c>
      <c r="F6" s="198" t="s">
        <v>647</v>
      </c>
      <c r="G6" s="198" t="s">
        <v>648</v>
      </c>
      <c r="H6" s="163" t="s">
        <v>294</v>
      </c>
      <c r="I6" s="161" t="n">
        <v>36</v>
      </c>
      <c r="J6" s="156" t="s">
        <v>185</v>
      </c>
      <c r="K6" s="199" t="n">
        <v>45434.2686111111</v>
      </c>
      <c r="L6" s="10" t="n">
        <v>91</v>
      </c>
      <c r="M6" s="156" t="s">
        <v>185</v>
      </c>
      <c r="N6" s="3" t="n">
        <v>5</v>
      </c>
    </row>
    <row r="7" customFormat="false" ht="14.25" hidden="false" customHeight="false" outlineLevel="0" collapsed="false">
      <c r="A7" s="1" t="n">
        <v>23</v>
      </c>
      <c r="B7" s="1" t="s">
        <v>565</v>
      </c>
      <c r="C7" s="1" t="s">
        <v>566</v>
      </c>
      <c r="D7" s="196" t="n">
        <v>2644</v>
      </c>
      <c r="E7" s="196" t="s">
        <v>51</v>
      </c>
      <c r="F7" s="198" t="s">
        <v>649</v>
      </c>
      <c r="G7" s="198" t="s">
        <v>650</v>
      </c>
      <c r="H7" s="163" t="s">
        <v>212</v>
      </c>
      <c r="I7" s="161" t="n">
        <v>5</v>
      </c>
      <c r="J7" s="156" t="s">
        <v>185</v>
      </c>
      <c r="K7" s="199" t="n">
        <v>45434.3279282407</v>
      </c>
      <c r="L7" s="1" t="n">
        <v>1</v>
      </c>
      <c r="M7" s="156" t="s">
        <v>185</v>
      </c>
      <c r="N7" s="1" t="n">
        <v>6</v>
      </c>
    </row>
    <row r="8" customFormat="false" ht="14.25" hidden="false" customHeight="false" outlineLevel="0" collapsed="false">
      <c r="A8" s="1" t="n">
        <v>24</v>
      </c>
      <c r="B8" s="1" t="s">
        <v>565</v>
      </c>
      <c r="C8" s="1" t="s">
        <v>566</v>
      </c>
      <c r="D8" s="196" t="n">
        <v>2644</v>
      </c>
      <c r="E8" s="196" t="s">
        <v>51</v>
      </c>
      <c r="F8" s="198" t="s">
        <v>649</v>
      </c>
      <c r="G8" s="198" t="s">
        <v>650</v>
      </c>
      <c r="H8" s="163" t="s">
        <v>212</v>
      </c>
      <c r="I8" s="161" t="n">
        <v>5</v>
      </c>
      <c r="J8" s="156" t="s">
        <v>185</v>
      </c>
      <c r="K8" s="199" t="n">
        <v>45434.3284375</v>
      </c>
      <c r="L8" s="1" t="n">
        <v>1</v>
      </c>
      <c r="M8" s="156" t="s">
        <v>185</v>
      </c>
      <c r="N8" s="1" t="n">
        <v>7</v>
      </c>
    </row>
    <row r="9" customFormat="false" ht="14.25" hidden="false" customHeight="false" outlineLevel="0" collapsed="false">
      <c r="A9" s="1" t="n">
        <v>25</v>
      </c>
      <c r="B9" s="1" t="s">
        <v>565</v>
      </c>
      <c r="C9" s="1" t="s">
        <v>566</v>
      </c>
      <c r="D9" s="196" t="n">
        <v>2644</v>
      </c>
      <c r="E9" s="196" t="s">
        <v>51</v>
      </c>
      <c r="F9" s="198" t="s">
        <v>649</v>
      </c>
      <c r="G9" s="198" t="s">
        <v>650</v>
      </c>
      <c r="H9" s="163" t="s">
        <v>212</v>
      </c>
      <c r="I9" s="161" t="n">
        <v>5</v>
      </c>
      <c r="J9" s="156" t="s">
        <v>185</v>
      </c>
      <c r="K9" s="199" t="n">
        <v>45434.3295601852</v>
      </c>
      <c r="L9" s="1" t="n">
        <v>1</v>
      </c>
      <c r="M9" s="156" t="s">
        <v>185</v>
      </c>
      <c r="N9" s="1" t="n">
        <v>8</v>
      </c>
    </row>
    <row r="10" customFormat="false" ht="14.25" hidden="false" customHeight="false" outlineLevel="0" collapsed="false">
      <c r="A10" s="1" t="n">
        <v>26</v>
      </c>
      <c r="B10" s="1" t="s">
        <v>565</v>
      </c>
      <c r="C10" s="1" t="s">
        <v>566</v>
      </c>
      <c r="D10" s="196" t="n">
        <v>2644</v>
      </c>
      <c r="E10" s="196" t="s">
        <v>51</v>
      </c>
      <c r="F10" s="198" t="s">
        <v>649</v>
      </c>
      <c r="G10" s="198" t="s">
        <v>650</v>
      </c>
      <c r="H10" s="163" t="s">
        <v>212</v>
      </c>
      <c r="I10" s="161" t="n">
        <v>5</v>
      </c>
      <c r="J10" s="156" t="s">
        <v>185</v>
      </c>
      <c r="K10" s="199" t="n">
        <v>45434.3295717593</v>
      </c>
      <c r="L10" s="1" t="n">
        <v>1</v>
      </c>
      <c r="M10" s="156" t="s">
        <v>185</v>
      </c>
      <c r="N10" s="3" t="n">
        <v>9</v>
      </c>
    </row>
    <row r="11" customFormat="false" ht="14.25" hidden="false" customHeight="false" outlineLevel="0" collapsed="false">
      <c r="A11" s="1" t="n">
        <v>112</v>
      </c>
      <c r="B11" s="1" t="s">
        <v>621</v>
      </c>
      <c r="C11" s="1" t="s">
        <v>622</v>
      </c>
      <c r="D11" s="1" t="n">
        <v>11171</v>
      </c>
      <c r="E11" s="1" t="s">
        <v>55</v>
      </c>
      <c r="F11" s="201" t="n">
        <v>200025888221</v>
      </c>
      <c r="G11" s="198" t="s">
        <v>663</v>
      </c>
      <c r="H11" s="163" t="s">
        <v>266</v>
      </c>
      <c r="I11" s="161" t="n">
        <v>42</v>
      </c>
      <c r="J11" s="156" t="s">
        <v>185</v>
      </c>
      <c r="K11" s="200" t="n">
        <v>45434.5105324074</v>
      </c>
      <c r="L11" s="1" t="n">
        <v>3</v>
      </c>
      <c r="M11" s="156" t="s">
        <v>185</v>
      </c>
      <c r="N11" s="3" t="n">
        <v>10</v>
      </c>
    </row>
    <row r="12" customFormat="false" ht="14.25" hidden="false" customHeight="false" outlineLevel="0" collapsed="false">
      <c r="A12" s="1" t="n">
        <v>113</v>
      </c>
      <c r="B12" s="1" t="s">
        <v>621</v>
      </c>
      <c r="C12" s="1" t="s">
        <v>622</v>
      </c>
      <c r="D12" s="1" t="n">
        <v>11171</v>
      </c>
      <c r="E12" s="1" t="s">
        <v>55</v>
      </c>
      <c r="F12" s="201" t="n">
        <v>200025888221</v>
      </c>
      <c r="G12" s="198" t="s">
        <v>663</v>
      </c>
      <c r="H12" s="163" t="s">
        <v>266</v>
      </c>
      <c r="I12" s="161" t="n">
        <v>42</v>
      </c>
      <c r="J12" s="156" t="s">
        <v>185</v>
      </c>
      <c r="K12" s="200" t="n">
        <v>45434.5951041667</v>
      </c>
      <c r="L12" s="1" t="n">
        <v>2</v>
      </c>
      <c r="M12" s="156" t="s">
        <v>185</v>
      </c>
      <c r="N12" s="1" t="n">
        <v>11</v>
      </c>
    </row>
    <row r="13" customFormat="false" ht="14.25" hidden="false" customHeight="false" outlineLevel="0" collapsed="false">
      <c r="A13" s="1" t="n">
        <v>114</v>
      </c>
      <c r="B13" s="1" t="s">
        <v>621</v>
      </c>
      <c r="C13" s="1" t="s">
        <v>622</v>
      </c>
      <c r="D13" s="1" t="n">
        <v>11171</v>
      </c>
      <c r="E13" s="1" t="s">
        <v>55</v>
      </c>
      <c r="F13" s="201" t="n">
        <v>200025888469</v>
      </c>
      <c r="G13" s="198" t="s">
        <v>664</v>
      </c>
      <c r="H13" s="163" t="s">
        <v>318</v>
      </c>
      <c r="I13" s="161" t="n">
        <v>114</v>
      </c>
      <c r="J13" s="156" t="s">
        <v>185</v>
      </c>
      <c r="K13" s="200" t="n">
        <v>45434.5965277778</v>
      </c>
      <c r="L13" s="1" t="n">
        <v>0</v>
      </c>
      <c r="M13" s="156" t="s">
        <v>185</v>
      </c>
      <c r="N13" s="1" t="n">
        <v>12</v>
      </c>
    </row>
    <row r="14" customFormat="false" ht="14.25" hidden="false" customHeight="false" outlineLevel="0" collapsed="false">
      <c r="A14" s="1" t="n">
        <v>115</v>
      </c>
      <c r="B14" s="1" t="s">
        <v>621</v>
      </c>
      <c r="C14" s="1" t="s">
        <v>622</v>
      </c>
      <c r="D14" s="1" t="n">
        <v>11171</v>
      </c>
      <c r="E14" s="1" t="s">
        <v>55</v>
      </c>
      <c r="F14" s="201" t="n">
        <v>200025888469</v>
      </c>
      <c r="G14" s="198" t="s">
        <v>664</v>
      </c>
      <c r="H14" s="163" t="s">
        <v>318</v>
      </c>
      <c r="I14" s="161" t="n">
        <v>114</v>
      </c>
      <c r="J14" s="156" t="s">
        <v>185</v>
      </c>
      <c r="K14" s="200" t="n">
        <v>45434.5968634259</v>
      </c>
      <c r="L14" s="1" t="n">
        <v>1</v>
      </c>
      <c r="M14" s="156" t="s">
        <v>185</v>
      </c>
      <c r="N14" s="1" t="n">
        <v>13</v>
      </c>
    </row>
    <row r="15" customFormat="false" ht="14.25" hidden="false" customHeight="false" outlineLevel="0" collapsed="false">
      <c r="A15" s="1" t="n">
        <v>116</v>
      </c>
      <c r="B15" s="1" t="s">
        <v>621</v>
      </c>
      <c r="C15" s="1" t="s">
        <v>622</v>
      </c>
      <c r="D15" s="1" t="n">
        <v>11171</v>
      </c>
      <c r="E15" s="1" t="s">
        <v>55</v>
      </c>
      <c r="F15" s="201" t="n">
        <v>200025888527</v>
      </c>
      <c r="G15" s="198" t="s">
        <v>665</v>
      </c>
      <c r="H15" s="163" t="s">
        <v>339</v>
      </c>
      <c r="I15" s="161" t="n">
        <v>92</v>
      </c>
      <c r="J15" s="156" t="s">
        <v>185</v>
      </c>
      <c r="K15" s="200" t="n">
        <v>45434.6269212963</v>
      </c>
      <c r="L15" s="1" t="n">
        <v>0</v>
      </c>
      <c r="M15" s="156" t="s">
        <v>185</v>
      </c>
      <c r="N15" s="3" t="n">
        <v>14</v>
      </c>
    </row>
    <row r="16" customFormat="false" ht="14.25" hidden="false" customHeight="false" outlineLevel="0" collapsed="false">
      <c r="A16" s="1" t="n">
        <v>117</v>
      </c>
      <c r="B16" s="1" t="s">
        <v>621</v>
      </c>
      <c r="C16" s="1" t="s">
        <v>622</v>
      </c>
      <c r="D16" s="1" t="n">
        <v>11171</v>
      </c>
      <c r="E16" s="1" t="s">
        <v>55</v>
      </c>
      <c r="F16" s="201" t="n">
        <v>200025888527</v>
      </c>
      <c r="G16" s="198" t="s">
        <v>665</v>
      </c>
      <c r="H16" s="163" t="s">
        <v>339</v>
      </c>
      <c r="I16" s="161" t="n">
        <v>92</v>
      </c>
      <c r="J16" s="156" t="s">
        <v>185</v>
      </c>
      <c r="K16" s="200" t="n">
        <v>45434.6563425926</v>
      </c>
      <c r="L16" s="1" t="n">
        <v>1</v>
      </c>
      <c r="M16" s="156" t="s">
        <v>185</v>
      </c>
      <c r="N16" s="3" t="n">
        <v>15</v>
      </c>
    </row>
    <row r="17" customFormat="false" ht="14.25" hidden="false" customHeight="false" outlineLevel="0" collapsed="false">
      <c r="A17" s="1" t="n">
        <v>118</v>
      </c>
      <c r="B17" s="1" t="s">
        <v>621</v>
      </c>
      <c r="C17" s="1" t="s">
        <v>622</v>
      </c>
      <c r="D17" s="1" t="n">
        <v>11171</v>
      </c>
      <c r="E17" s="1" t="s">
        <v>55</v>
      </c>
      <c r="F17" s="201" t="n">
        <v>200025888527</v>
      </c>
      <c r="G17" s="198" t="s">
        <v>665</v>
      </c>
      <c r="H17" s="163" t="s">
        <v>339</v>
      </c>
      <c r="I17" s="161" t="n">
        <v>92</v>
      </c>
      <c r="J17" s="156" t="s">
        <v>185</v>
      </c>
      <c r="K17" s="200" t="n">
        <v>45434.6563541667</v>
      </c>
      <c r="L17" s="1" t="n">
        <v>2</v>
      </c>
      <c r="M17" s="156" t="s">
        <v>185</v>
      </c>
      <c r="N17" s="1" t="n">
        <v>16</v>
      </c>
    </row>
    <row r="18" customFormat="false" ht="14.25" hidden="false" customHeight="false" outlineLevel="0" collapsed="false">
      <c r="A18" s="1" t="n">
        <v>119</v>
      </c>
      <c r="B18" s="1" t="s">
        <v>621</v>
      </c>
      <c r="C18" s="1" t="s">
        <v>622</v>
      </c>
      <c r="D18" s="1" t="n">
        <v>11171</v>
      </c>
      <c r="E18" s="1" t="s">
        <v>55</v>
      </c>
      <c r="F18" s="201" t="n">
        <v>200025888527</v>
      </c>
      <c r="G18" s="198" t="s">
        <v>665</v>
      </c>
      <c r="H18" s="163" t="s">
        <v>339</v>
      </c>
      <c r="I18" s="161" t="n">
        <v>92</v>
      </c>
      <c r="J18" s="156" t="s">
        <v>185</v>
      </c>
      <c r="K18" s="200" t="n">
        <v>45434.6581481482</v>
      </c>
      <c r="L18" s="1" t="n">
        <v>3</v>
      </c>
      <c r="M18" s="156" t="s">
        <v>185</v>
      </c>
      <c r="N18" s="1" t="n">
        <v>17</v>
      </c>
    </row>
    <row r="19" customFormat="false" ht="14.25" hidden="false" customHeight="false" outlineLevel="0" collapsed="false">
      <c r="A19" s="1" t="n">
        <v>120</v>
      </c>
      <c r="B19" s="1" t="s">
        <v>621</v>
      </c>
      <c r="C19" s="1" t="s">
        <v>622</v>
      </c>
      <c r="D19" s="1" t="n">
        <v>11171</v>
      </c>
      <c r="E19" s="1" t="s">
        <v>55</v>
      </c>
      <c r="F19" s="201" t="n">
        <v>200025888527</v>
      </c>
      <c r="G19" s="198" t="s">
        <v>665</v>
      </c>
      <c r="H19" s="163" t="s">
        <v>339</v>
      </c>
      <c r="I19" s="161" t="n">
        <v>92</v>
      </c>
      <c r="J19" s="156" t="s">
        <v>185</v>
      </c>
      <c r="K19" s="200" t="n">
        <v>45434.6599884259</v>
      </c>
      <c r="L19" s="1" t="n">
        <v>2</v>
      </c>
      <c r="M19" s="156" t="s">
        <v>185</v>
      </c>
      <c r="N19" s="1" t="n">
        <v>18</v>
      </c>
    </row>
    <row r="20" customFormat="false" ht="14.25" hidden="false" customHeight="false" outlineLevel="0" collapsed="false">
      <c r="A20" s="1" t="n">
        <v>121</v>
      </c>
      <c r="B20" s="1" t="s">
        <v>621</v>
      </c>
      <c r="C20" s="1" t="s">
        <v>622</v>
      </c>
      <c r="D20" s="1" t="n">
        <v>11171</v>
      </c>
      <c r="E20" s="1" t="s">
        <v>55</v>
      </c>
      <c r="F20" s="201" t="n">
        <v>200025888527</v>
      </c>
      <c r="G20" s="198" t="s">
        <v>665</v>
      </c>
      <c r="H20" s="163" t="s">
        <v>339</v>
      </c>
      <c r="I20" s="161" t="n">
        <v>92</v>
      </c>
      <c r="J20" s="156" t="s">
        <v>185</v>
      </c>
      <c r="K20" s="200" t="n">
        <v>45434.6711458333</v>
      </c>
      <c r="L20" s="1" t="n">
        <v>1</v>
      </c>
      <c r="M20" s="156" t="s">
        <v>185</v>
      </c>
      <c r="N20" s="3" t="n">
        <v>19</v>
      </c>
    </row>
    <row r="21" customFormat="false" ht="14.25" hidden="false" customHeight="false" outlineLevel="0" collapsed="false">
      <c r="A21" s="1" t="n">
        <v>122</v>
      </c>
      <c r="B21" s="1" t="s">
        <v>621</v>
      </c>
      <c r="C21" s="1" t="s">
        <v>622</v>
      </c>
      <c r="D21" s="1" t="n">
        <v>11171</v>
      </c>
      <c r="E21" s="1" t="s">
        <v>55</v>
      </c>
      <c r="F21" s="201" t="n">
        <v>200025888527</v>
      </c>
      <c r="G21" s="198" t="s">
        <v>665</v>
      </c>
      <c r="H21" s="163" t="s">
        <v>339</v>
      </c>
      <c r="I21" s="161" t="n">
        <v>92</v>
      </c>
      <c r="J21" s="156" t="s">
        <v>185</v>
      </c>
      <c r="K21" s="200" t="n">
        <v>45434.7257175926</v>
      </c>
      <c r="L21" s="1" t="n">
        <v>3</v>
      </c>
      <c r="M21" s="156" t="s">
        <v>185</v>
      </c>
      <c r="N21" s="3" t="n">
        <v>20</v>
      </c>
    </row>
    <row r="22" customFormat="false" ht="14.25" hidden="false" customHeight="false" outlineLevel="0" collapsed="false">
      <c r="A22" s="1" t="n">
        <v>123</v>
      </c>
      <c r="B22" s="1" t="s">
        <v>621</v>
      </c>
      <c r="C22" s="1" t="s">
        <v>622</v>
      </c>
      <c r="D22" s="1" t="n">
        <v>11171</v>
      </c>
      <c r="E22" s="1" t="s">
        <v>55</v>
      </c>
      <c r="F22" s="201" t="n">
        <v>200025888916</v>
      </c>
      <c r="G22" s="198" t="s">
        <v>666</v>
      </c>
      <c r="H22" s="163" t="s">
        <v>360</v>
      </c>
      <c r="I22" s="161" t="n">
        <v>73</v>
      </c>
      <c r="J22" s="156" t="s">
        <v>185</v>
      </c>
      <c r="K22" s="200" t="n">
        <v>45434.7562152778</v>
      </c>
      <c r="L22" s="1" t="n">
        <v>3</v>
      </c>
      <c r="M22" s="156" t="s">
        <v>185</v>
      </c>
      <c r="N22" s="1" t="n">
        <v>21</v>
      </c>
    </row>
    <row r="23" customFormat="false" ht="14.25" hidden="false" customHeight="false" outlineLevel="0" collapsed="false">
      <c r="A23" s="1" t="n">
        <v>124</v>
      </c>
      <c r="B23" s="1" t="s">
        <v>621</v>
      </c>
      <c r="C23" s="1" t="s">
        <v>622</v>
      </c>
      <c r="D23" s="1" t="n">
        <v>11171</v>
      </c>
      <c r="E23" s="1" t="s">
        <v>55</v>
      </c>
      <c r="F23" s="201" t="n">
        <v>200025888916</v>
      </c>
      <c r="G23" s="198" t="s">
        <v>666</v>
      </c>
      <c r="H23" s="163" t="s">
        <v>360</v>
      </c>
      <c r="I23" s="161" t="n">
        <v>73</v>
      </c>
      <c r="J23" s="156" t="s">
        <v>185</v>
      </c>
      <c r="K23" s="200" t="n">
        <v>45434.7570949074</v>
      </c>
      <c r="L23" s="1" t="n">
        <v>3</v>
      </c>
      <c r="M23" s="156" t="s">
        <v>185</v>
      </c>
      <c r="N23" s="1" t="n">
        <v>22</v>
      </c>
    </row>
    <row r="24" customFormat="false" ht="14.25" hidden="false" customHeight="false" outlineLevel="0" collapsed="false">
      <c r="A24" s="1" t="n">
        <v>125</v>
      </c>
      <c r="B24" s="1" t="s">
        <v>621</v>
      </c>
      <c r="C24" s="1" t="s">
        <v>622</v>
      </c>
      <c r="D24" s="1" t="n">
        <v>11171</v>
      </c>
      <c r="E24" s="1" t="s">
        <v>55</v>
      </c>
      <c r="F24" s="201" t="n">
        <v>200025888916</v>
      </c>
      <c r="G24" s="198" t="s">
        <v>666</v>
      </c>
      <c r="H24" s="163" t="s">
        <v>360</v>
      </c>
      <c r="I24" s="161" t="n">
        <v>73</v>
      </c>
      <c r="J24" s="156" t="s">
        <v>185</v>
      </c>
      <c r="K24" s="200" t="n">
        <v>45434.7578935185</v>
      </c>
      <c r="L24" s="1" t="n">
        <v>1</v>
      </c>
      <c r="M24" s="156" t="s">
        <v>185</v>
      </c>
      <c r="N24" s="1" t="n">
        <v>23</v>
      </c>
    </row>
    <row r="25" customFormat="false" ht="14.25" hidden="false" customHeight="false" outlineLevel="0" collapsed="false">
      <c r="A25" s="1" t="n">
        <v>126</v>
      </c>
      <c r="B25" s="1" t="s">
        <v>621</v>
      </c>
      <c r="C25" s="1" t="s">
        <v>622</v>
      </c>
      <c r="D25" s="1" t="n">
        <v>11171</v>
      </c>
      <c r="E25" s="1" t="s">
        <v>55</v>
      </c>
      <c r="F25" s="201" t="n">
        <v>200025888916</v>
      </c>
      <c r="G25" s="198" t="s">
        <v>666</v>
      </c>
      <c r="H25" s="163" t="s">
        <v>360</v>
      </c>
      <c r="I25" s="161" t="n">
        <v>73</v>
      </c>
      <c r="J25" s="156" t="s">
        <v>185</v>
      </c>
      <c r="K25" s="200" t="n">
        <v>45434.8180439815</v>
      </c>
      <c r="L25" s="1" t="n">
        <v>0</v>
      </c>
      <c r="M25" s="156" t="s">
        <v>185</v>
      </c>
      <c r="N25" s="3" t="n">
        <v>24</v>
      </c>
    </row>
    <row r="26" customFormat="false" ht="14.25" hidden="false" customHeight="false" outlineLevel="0" collapsed="false">
      <c r="A26" s="1" t="n">
        <v>127</v>
      </c>
      <c r="B26" s="1" t="s">
        <v>621</v>
      </c>
      <c r="C26" s="1" t="s">
        <v>622</v>
      </c>
      <c r="D26" s="1" t="n">
        <v>11171</v>
      </c>
      <c r="E26" s="1" t="s">
        <v>55</v>
      </c>
      <c r="F26" s="201" t="n">
        <v>200025888916</v>
      </c>
      <c r="G26" s="198" t="s">
        <v>666</v>
      </c>
      <c r="H26" s="163" t="s">
        <v>360</v>
      </c>
      <c r="I26" s="161" t="n">
        <v>73</v>
      </c>
      <c r="J26" s="156" t="s">
        <v>185</v>
      </c>
      <c r="K26" s="200" t="n">
        <v>45434.8322453704</v>
      </c>
      <c r="L26" s="1" t="n">
        <v>2</v>
      </c>
      <c r="M26" s="156" t="s">
        <v>185</v>
      </c>
      <c r="N26" s="3" t="n">
        <v>25</v>
      </c>
    </row>
    <row r="27" customFormat="false" ht="14.25" hidden="false" customHeight="false" outlineLevel="0" collapsed="false">
      <c r="A27" s="1" t="n">
        <v>23</v>
      </c>
      <c r="B27" s="1" t="s">
        <v>681</v>
      </c>
      <c r="C27" s="1" t="s">
        <v>682</v>
      </c>
      <c r="D27" s="1" t="n">
        <v>11197</v>
      </c>
      <c r="E27" s="1" t="s">
        <v>53</v>
      </c>
      <c r="F27" s="201" t="n">
        <v>200025889051</v>
      </c>
      <c r="G27" s="198" t="s">
        <v>633</v>
      </c>
      <c r="H27" s="163" t="s">
        <v>269</v>
      </c>
      <c r="I27" s="161" t="n">
        <v>26</v>
      </c>
      <c r="J27" s="156" t="s">
        <v>185</v>
      </c>
      <c r="K27" s="199" t="n">
        <v>45434.8794097222</v>
      </c>
      <c r="L27" s="1" t="n">
        <v>1</v>
      </c>
      <c r="M27" s="156" t="s">
        <v>185</v>
      </c>
      <c r="N27" s="1" t="n">
        <v>26</v>
      </c>
    </row>
    <row r="28" customFormat="false" ht="14.25" hidden="false" customHeight="false" outlineLevel="0" collapsed="false">
      <c r="A28" s="1" t="n">
        <v>24</v>
      </c>
      <c r="B28" s="1" t="s">
        <v>681</v>
      </c>
      <c r="C28" s="1" t="s">
        <v>682</v>
      </c>
      <c r="D28" s="1" t="n">
        <v>11197</v>
      </c>
      <c r="E28" s="1" t="s">
        <v>53</v>
      </c>
      <c r="F28" s="201" t="n">
        <v>200025888729</v>
      </c>
      <c r="G28" s="198" t="s">
        <v>695</v>
      </c>
      <c r="H28" s="163" t="s">
        <v>321</v>
      </c>
      <c r="I28" s="161" t="n">
        <v>56</v>
      </c>
      <c r="J28" s="156" t="s">
        <v>185</v>
      </c>
      <c r="K28" s="199" t="n">
        <v>45434.9282060185</v>
      </c>
      <c r="L28" s="1" t="n">
        <v>1</v>
      </c>
      <c r="M28" s="156" t="s">
        <v>185</v>
      </c>
      <c r="N28" s="1" t="n">
        <v>27</v>
      </c>
    </row>
    <row r="29" customFormat="false" ht="14.25" hidden="false" customHeight="false" outlineLevel="0" collapsed="false">
      <c r="A29" s="1" t="n">
        <v>25</v>
      </c>
      <c r="B29" s="1" t="s">
        <v>681</v>
      </c>
      <c r="C29" s="1" t="s">
        <v>682</v>
      </c>
      <c r="D29" s="1" t="n">
        <v>11197</v>
      </c>
      <c r="E29" s="1" t="s">
        <v>53</v>
      </c>
      <c r="F29" s="201" t="n">
        <v>200025888665</v>
      </c>
      <c r="G29" s="198" t="s">
        <v>667</v>
      </c>
      <c r="H29" s="163" t="s">
        <v>218</v>
      </c>
      <c r="I29" s="161" t="n">
        <v>11</v>
      </c>
      <c r="J29" s="156" t="s">
        <v>185</v>
      </c>
      <c r="K29" s="199" t="n">
        <v>45434.9305902778</v>
      </c>
      <c r="L29" s="1" t="n">
        <v>2</v>
      </c>
      <c r="M29" s="156" t="s">
        <v>185</v>
      </c>
      <c r="N29" s="1" t="n">
        <v>28</v>
      </c>
    </row>
    <row r="30" customFormat="false" ht="14.25" hidden="false" customHeight="false" outlineLevel="0" collapsed="false">
      <c r="A30" s="1" t="n">
        <v>26</v>
      </c>
      <c r="B30" s="1" t="s">
        <v>681</v>
      </c>
      <c r="C30" s="1" t="s">
        <v>682</v>
      </c>
      <c r="D30" s="1" t="n">
        <v>11197</v>
      </c>
      <c r="E30" s="1" t="s">
        <v>53</v>
      </c>
      <c r="F30" s="201" t="n">
        <v>200025888665</v>
      </c>
      <c r="G30" s="198" t="s">
        <v>667</v>
      </c>
      <c r="H30" s="163" t="s">
        <v>218</v>
      </c>
      <c r="I30" s="161" t="n">
        <v>11</v>
      </c>
      <c r="J30" s="156" t="s">
        <v>185</v>
      </c>
      <c r="K30" s="199" t="n">
        <v>45434.930625</v>
      </c>
      <c r="L30" s="10" t="n">
        <v>948</v>
      </c>
      <c r="M30" s="156" t="s">
        <v>185</v>
      </c>
      <c r="N30" s="3" t="n">
        <v>29</v>
      </c>
    </row>
    <row r="31" customFormat="false" ht="14.25" hidden="false" customHeight="false" outlineLevel="0" collapsed="false">
      <c r="A31" s="1" t="n">
        <v>27</v>
      </c>
      <c r="B31" s="1" t="s">
        <v>681</v>
      </c>
      <c r="C31" s="1" t="s">
        <v>682</v>
      </c>
      <c r="D31" s="1" t="n">
        <v>11197</v>
      </c>
      <c r="E31" s="1" t="s">
        <v>53</v>
      </c>
      <c r="F31" s="201" t="n">
        <v>200025889051</v>
      </c>
      <c r="G31" s="198" t="s">
        <v>633</v>
      </c>
      <c r="H31" s="163" t="s">
        <v>269</v>
      </c>
      <c r="I31" s="161" t="n">
        <v>26</v>
      </c>
      <c r="J31" s="156" t="s">
        <v>185</v>
      </c>
      <c r="K31" s="199" t="n">
        <v>45434.9459490741</v>
      </c>
      <c r="L31" s="1" t="n">
        <v>1</v>
      </c>
      <c r="M31" s="156" t="s">
        <v>185</v>
      </c>
      <c r="N31" s="3" t="n">
        <v>30</v>
      </c>
    </row>
    <row r="32" customFormat="false" ht="14.25" hidden="false" customHeight="false" outlineLevel="0" collapsed="false">
      <c r="A32" s="1" t="n">
        <v>128</v>
      </c>
      <c r="B32" s="1" t="s">
        <v>621</v>
      </c>
      <c r="C32" s="1" t="s">
        <v>622</v>
      </c>
      <c r="D32" s="1" t="n">
        <v>11171</v>
      </c>
      <c r="E32" s="1" t="s">
        <v>55</v>
      </c>
      <c r="F32" s="201" t="n">
        <v>200025888916</v>
      </c>
      <c r="G32" s="198" t="s">
        <v>666</v>
      </c>
      <c r="H32" s="163" t="s">
        <v>360</v>
      </c>
      <c r="I32" s="161" t="n">
        <v>73</v>
      </c>
      <c r="J32" s="156" t="s">
        <v>185</v>
      </c>
      <c r="K32" s="200" t="n">
        <v>45434.9561342593</v>
      </c>
      <c r="L32" s="1" t="n">
        <v>1</v>
      </c>
      <c r="M32" s="156" t="s">
        <v>185</v>
      </c>
      <c r="N32" s="1" t="n">
        <v>31</v>
      </c>
    </row>
    <row r="33" customFormat="false" ht="14.25" hidden="false" customHeight="false" outlineLevel="0" collapsed="false">
      <c r="A33" s="1" t="n">
        <v>129</v>
      </c>
      <c r="B33" s="1" t="s">
        <v>621</v>
      </c>
      <c r="C33" s="1" t="s">
        <v>622</v>
      </c>
      <c r="D33" s="1" t="n">
        <v>11171</v>
      </c>
      <c r="E33" s="1" t="s">
        <v>55</v>
      </c>
      <c r="F33" s="201" t="n">
        <v>200025888916</v>
      </c>
      <c r="G33" s="198" t="s">
        <v>666</v>
      </c>
      <c r="H33" s="163" t="s">
        <v>360</v>
      </c>
      <c r="I33" s="161" t="n">
        <v>73</v>
      </c>
      <c r="J33" s="156" t="s">
        <v>185</v>
      </c>
      <c r="K33" s="200" t="n">
        <v>45434.9561458333</v>
      </c>
      <c r="L33" s="1" t="n">
        <v>1</v>
      </c>
      <c r="M33" s="156" t="s">
        <v>185</v>
      </c>
      <c r="N33" s="1" t="n">
        <v>32</v>
      </c>
    </row>
    <row r="34" customFormat="false" ht="14.25" hidden="false" customHeight="false" outlineLevel="0" collapsed="false">
      <c r="A34" s="1" t="n">
        <v>130</v>
      </c>
      <c r="B34" s="1" t="s">
        <v>621</v>
      </c>
      <c r="C34" s="1" t="s">
        <v>622</v>
      </c>
      <c r="D34" s="1" t="n">
        <v>11171</v>
      </c>
      <c r="E34" s="1" t="s">
        <v>55</v>
      </c>
      <c r="F34" s="201" t="n">
        <v>200025888916</v>
      </c>
      <c r="G34" s="198" t="s">
        <v>666</v>
      </c>
      <c r="H34" s="163" t="s">
        <v>360</v>
      </c>
      <c r="I34" s="161" t="n">
        <v>73</v>
      </c>
      <c r="J34" s="156" t="s">
        <v>185</v>
      </c>
      <c r="K34" s="200" t="n">
        <v>45434.9561574074</v>
      </c>
      <c r="L34" s="1" t="n">
        <v>4</v>
      </c>
      <c r="M34" s="156" t="s">
        <v>185</v>
      </c>
      <c r="N34" s="1" t="n">
        <v>33</v>
      </c>
    </row>
    <row r="35" customFormat="false" ht="14.25" hidden="false" customHeight="false" outlineLevel="0" collapsed="false">
      <c r="A35" s="1" t="n">
        <v>131</v>
      </c>
      <c r="B35" s="1" t="s">
        <v>621</v>
      </c>
      <c r="C35" s="1" t="s">
        <v>622</v>
      </c>
      <c r="D35" s="1" t="n">
        <v>11171</v>
      </c>
      <c r="E35" s="1" t="s">
        <v>55</v>
      </c>
      <c r="F35" s="201" t="n">
        <v>200025888665</v>
      </c>
      <c r="G35" s="198" t="s">
        <v>667</v>
      </c>
      <c r="H35" s="163" t="s">
        <v>218</v>
      </c>
      <c r="I35" s="161" t="n">
        <v>11</v>
      </c>
      <c r="J35" s="156" t="s">
        <v>185</v>
      </c>
      <c r="K35" s="200" t="n">
        <v>45434.9603935185</v>
      </c>
      <c r="L35" s="1" t="n">
        <v>2</v>
      </c>
      <c r="M35" s="156" t="s">
        <v>185</v>
      </c>
      <c r="N35" s="3" t="n">
        <v>34</v>
      </c>
    </row>
    <row r="36" customFormat="false" ht="14.25" hidden="false" customHeight="false" outlineLevel="0" collapsed="false">
      <c r="A36" s="1" t="n">
        <v>132</v>
      </c>
      <c r="B36" s="1" t="s">
        <v>621</v>
      </c>
      <c r="C36" s="1" t="s">
        <v>622</v>
      </c>
      <c r="D36" s="1" t="n">
        <v>11171</v>
      </c>
      <c r="E36" s="1" t="s">
        <v>55</v>
      </c>
      <c r="F36" s="201" t="n">
        <v>200025888221</v>
      </c>
      <c r="G36" s="198" t="s">
        <v>663</v>
      </c>
      <c r="H36" s="163" t="s">
        <v>266</v>
      </c>
      <c r="I36" s="161" t="n">
        <v>42</v>
      </c>
      <c r="J36" s="156" t="s">
        <v>185</v>
      </c>
      <c r="K36" s="200" t="n">
        <v>45434.9783680556</v>
      </c>
      <c r="L36" s="1" t="n">
        <v>3</v>
      </c>
      <c r="M36" s="156" t="s">
        <v>185</v>
      </c>
      <c r="N36" s="3" t="n">
        <v>35</v>
      </c>
    </row>
    <row r="37" customFormat="false" ht="14.25" hidden="false" customHeight="false" outlineLevel="0" collapsed="false">
      <c r="A37" s="1" t="n">
        <v>28</v>
      </c>
      <c r="B37" s="1" t="s">
        <v>681</v>
      </c>
      <c r="C37" s="1" t="s">
        <v>682</v>
      </c>
      <c r="D37" s="1" t="n">
        <v>11197</v>
      </c>
      <c r="E37" s="1" t="s">
        <v>53</v>
      </c>
      <c r="F37" s="201" t="n">
        <v>200025888665</v>
      </c>
      <c r="G37" s="198" t="s">
        <v>667</v>
      </c>
      <c r="H37" s="163" t="s">
        <v>218</v>
      </c>
      <c r="I37" s="161" t="n">
        <v>11</v>
      </c>
      <c r="J37" s="156" t="s">
        <v>185</v>
      </c>
      <c r="K37" s="199" t="n">
        <v>45434.9887384259</v>
      </c>
      <c r="L37" s="1" t="n">
        <v>1</v>
      </c>
      <c r="M37" s="156" t="s">
        <v>185</v>
      </c>
      <c r="N37" s="1" t="n">
        <v>36</v>
      </c>
    </row>
    <row r="38" customFormat="false" ht="14.25" hidden="false" customHeight="false" outlineLevel="0" collapsed="false">
      <c r="A38" s="1" t="n">
        <v>133</v>
      </c>
      <c r="B38" s="1" t="s">
        <v>621</v>
      </c>
      <c r="C38" s="1" t="s">
        <v>622</v>
      </c>
      <c r="D38" s="1" t="n">
        <v>11171</v>
      </c>
      <c r="E38" s="1" t="s">
        <v>55</v>
      </c>
      <c r="F38" s="201" t="n">
        <v>200025888916</v>
      </c>
      <c r="G38" s="198" t="s">
        <v>666</v>
      </c>
      <c r="H38" s="163" t="s">
        <v>360</v>
      </c>
      <c r="I38" s="161" t="n">
        <v>73</v>
      </c>
      <c r="J38" s="156" t="s">
        <v>185</v>
      </c>
      <c r="K38" s="200" t="n">
        <v>45435.034212963</v>
      </c>
      <c r="L38" s="1" t="n">
        <v>11</v>
      </c>
      <c r="M38" s="156" t="s">
        <v>185</v>
      </c>
      <c r="N38" s="1" t="n">
        <v>37</v>
      </c>
    </row>
    <row r="39" customFormat="false" ht="14.25" hidden="false" customHeight="false" outlineLevel="0" collapsed="false">
      <c r="A39" s="1" t="n">
        <v>134</v>
      </c>
      <c r="B39" s="1" t="s">
        <v>621</v>
      </c>
      <c r="C39" s="1" t="s">
        <v>622</v>
      </c>
      <c r="D39" s="1" t="n">
        <v>11171</v>
      </c>
      <c r="E39" s="1" t="s">
        <v>55</v>
      </c>
      <c r="F39" s="201" t="n">
        <v>200025888916</v>
      </c>
      <c r="G39" s="198" t="s">
        <v>666</v>
      </c>
      <c r="H39" s="163" t="s">
        <v>360</v>
      </c>
      <c r="I39" s="161" t="n">
        <v>73</v>
      </c>
      <c r="J39" s="156" t="s">
        <v>185</v>
      </c>
      <c r="K39" s="200" t="n">
        <v>45435.0740046296</v>
      </c>
      <c r="L39" s="1" t="n">
        <v>3</v>
      </c>
      <c r="M39" s="156" t="s">
        <v>185</v>
      </c>
      <c r="N39" s="1" t="n">
        <v>38</v>
      </c>
    </row>
    <row r="40" customFormat="false" ht="14.25" hidden="false" customHeight="false" outlineLevel="0" collapsed="false">
      <c r="A40" s="1" t="n">
        <v>135</v>
      </c>
      <c r="B40" s="1" t="s">
        <v>621</v>
      </c>
      <c r="C40" s="1" t="s">
        <v>622</v>
      </c>
      <c r="D40" s="1" t="n">
        <v>11171</v>
      </c>
      <c r="E40" s="1" t="s">
        <v>55</v>
      </c>
      <c r="F40" s="201" t="n">
        <v>200025888665</v>
      </c>
      <c r="G40" s="198" t="s">
        <v>667</v>
      </c>
      <c r="H40" s="163" t="s">
        <v>218</v>
      </c>
      <c r="I40" s="161" t="n">
        <v>11</v>
      </c>
      <c r="J40" s="156" t="s">
        <v>185</v>
      </c>
      <c r="K40" s="200" t="n">
        <v>45435.0753240741</v>
      </c>
      <c r="L40" s="1" t="n">
        <v>2</v>
      </c>
      <c r="M40" s="156" t="s">
        <v>185</v>
      </c>
      <c r="N40" s="3" t="n">
        <v>39</v>
      </c>
    </row>
    <row r="41" customFormat="false" ht="14.25" hidden="false" customHeight="false" outlineLevel="0" collapsed="false">
      <c r="A41" s="1" t="n">
        <v>136</v>
      </c>
      <c r="B41" s="1" t="s">
        <v>621</v>
      </c>
      <c r="C41" s="1" t="s">
        <v>622</v>
      </c>
      <c r="D41" s="1" t="n">
        <v>11171</v>
      </c>
      <c r="E41" s="1" t="s">
        <v>55</v>
      </c>
      <c r="F41" s="201" t="n">
        <v>200025888665</v>
      </c>
      <c r="G41" s="198" t="s">
        <v>667</v>
      </c>
      <c r="H41" s="163" t="s">
        <v>218</v>
      </c>
      <c r="I41" s="161" t="n">
        <v>11</v>
      </c>
      <c r="J41" s="156" t="s">
        <v>185</v>
      </c>
      <c r="K41" s="200" t="n">
        <v>45435.0758796296</v>
      </c>
      <c r="L41" s="1" t="n">
        <v>2</v>
      </c>
      <c r="M41" s="156" t="s">
        <v>185</v>
      </c>
      <c r="N41" s="3" t="n">
        <v>40</v>
      </c>
    </row>
    <row r="42" customFormat="false" ht="14.25" hidden="false" customHeight="false" outlineLevel="0" collapsed="false">
      <c r="A42" s="1" t="n">
        <v>137</v>
      </c>
      <c r="B42" s="1" t="s">
        <v>621</v>
      </c>
      <c r="C42" s="1" t="s">
        <v>622</v>
      </c>
      <c r="D42" s="1" t="n">
        <v>11171</v>
      </c>
      <c r="E42" s="1" t="s">
        <v>55</v>
      </c>
      <c r="F42" s="201" t="n">
        <v>200025888665</v>
      </c>
      <c r="G42" s="198" t="s">
        <v>667</v>
      </c>
      <c r="H42" s="163" t="s">
        <v>218</v>
      </c>
      <c r="I42" s="161" t="n">
        <v>11</v>
      </c>
      <c r="J42" s="156" t="s">
        <v>185</v>
      </c>
      <c r="K42" s="200" t="n">
        <v>45435.0760648148</v>
      </c>
      <c r="L42" s="1" t="n">
        <v>0</v>
      </c>
      <c r="M42" s="156" t="s">
        <v>185</v>
      </c>
      <c r="N42" s="1" t="n">
        <v>41</v>
      </c>
    </row>
    <row r="43" customFormat="false" ht="14.25" hidden="false" customHeight="false" outlineLevel="0" collapsed="false">
      <c r="A43" s="1" t="n">
        <v>138</v>
      </c>
      <c r="B43" s="1" t="s">
        <v>621</v>
      </c>
      <c r="C43" s="1" t="s">
        <v>622</v>
      </c>
      <c r="D43" s="1" t="n">
        <v>11171</v>
      </c>
      <c r="E43" s="1" t="s">
        <v>55</v>
      </c>
      <c r="F43" s="201" t="n">
        <v>200025888665</v>
      </c>
      <c r="G43" s="198" t="s">
        <v>667</v>
      </c>
      <c r="H43" s="163" t="s">
        <v>218</v>
      </c>
      <c r="I43" s="161" t="n">
        <v>11</v>
      </c>
      <c r="J43" s="156" t="s">
        <v>185</v>
      </c>
      <c r="K43" s="200" t="n">
        <v>45435.0762962963</v>
      </c>
      <c r="L43" s="1" t="n">
        <v>2</v>
      </c>
      <c r="M43" s="156" t="s">
        <v>185</v>
      </c>
      <c r="N43" s="1" t="n">
        <v>42</v>
      </c>
    </row>
    <row r="44" customFormat="false" ht="14.25" hidden="false" customHeight="false" outlineLevel="0" collapsed="false">
      <c r="A44" s="1" t="n">
        <v>139</v>
      </c>
      <c r="B44" s="1" t="s">
        <v>621</v>
      </c>
      <c r="C44" s="1" t="s">
        <v>622</v>
      </c>
      <c r="D44" s="1" t="n">
        <v>11171</v>
      </c>
      <c r="E44" s="1" t="s">
        <v>55</v>
      </c>
      <c r="F44" s="201" t="n">
        <v>200025888916</v>
      </c>
      <c r="G44" s="198" t="s">
        <v>666</v>
      </c>
      <c r="H44" s="163" t="s">
        <v>360</v>
      </c>
      <c r="I44" s="161" t="n">
        <v>73</v>
      </c>
      <c r="J44" s="156" t="s">
        <v>185</v>
      </c>
      <c r="K44" s="200" t="n">
        <v>45435.0811574074</v>
      </c>
      <c r="L44" s="1" t="n">
        <v>3</v>
      </c>
      <c r="M44" s="156" t="s">
        <v>185</v>
      </c>
      <c r="N44" s="1" t="n">
        <v>43</v>
      </c>
    </row>
    <row r="45" customFormat="false" ht="14.25" hidden="false" customHeight="false" outlineLevel="0" collapsed="false">
      <c r="A45" s="1" t="n">
        <v>140</v>
      </c>
      <c r="B45" s="1" t="s">
        <v>621</v>
      </c>
      <c r="C45" s="1" t="s">
        <v>622</v>
      </c>
      <c r="D45" s="1" t="n">
        <v>11171</v>
      </c>
      <c r="E45" s="1" t="s">
        <v>55</v>
      </c>
      <c r="F45" s="201" t="n">
        <v>200025888916</v>
      </c>
      <c r="G45" s="198" t="s">
        <v>666</v>
      </c>
      <c r="H45" s="163" t="s">
        <v>360</v>
      </c>
      <c r="I45" s="161" t="n">
        <v>73</v>
      </c>
      <c r="J45" s="156" t="s">
        <v>185</v>
      </c>
      <c r="K45" s="200" t="n">
        <v>45435.0856828704</v>
      </c>
      <c r="L45" s="1" t="n">
        <v>7</v>
      </c>
      <c r="M45" s="156" t="s">
        <v>185</v>
      </c>
      <c r="N45" s="3" t="n">
        <v>44</v>
      </c>
    </row>
    <row r="46" customFormat="false" ht="14.25" hidden="false" customHeight="false" outlineLevel="0" collapsed="false">
      <c r="A46" s="1" t="n">
        <v>141</v>
      </c>
      <c r="B46" s="1" t="s">
        <v>621</v>
      </c>
      <c r="C46" s="1" t="s">
        <v>622</v>
      </c>
      <c r="D46" s="1" t="n">
        <v>11171</v>
      </c>
      <c r="E46" s="1" t="s">
        <v>55</v>
      </c>
      <c r="F46" s="201" t="n">
        <v>200025888665</v>
      </c>
      <c r="G46" s="198" t="s">
        <v>667</v>
      </c>
      <c r="H46" s="163" t="s">
        <v>218</v>
      </c>
      <c r="I46" s="161" t="n">
        <v>11</v>
      </c>
      <c r="J46" s="156" t="s">
        <v>185</v>
      </c>
      <c r="K46" s="200" t="n">
        <v>45435.0964583333</v>
      </c>
      <c r="L46" s="1" t="n">
        <v>2</v>
      </c>
      <c r="M46" s="156" t="s">
        <v>185</v>
      </c>
      <c r="N46" s="3" t="n">
        <v>45</v>
      </c>
    </row>
    <row r="47" customFormat="false" ht="14.25" hidden="false" customHeight="false" outlineLevel="0" collapsed="false">
      <c r="A47" s="1" t="n">
        <v>29</v>
      </c>
      <c r="B47" s="1" t="s">
        <v>681</v>
      </c>
      <c r="C47" s="1" t="s">
        <v>682</v>
      </c>
      <c r="D47" s="1" t="n">
        <v>11197</v>
      </c>
      <c r="E47" s="1" t="s">
        <v>53</v>
      </c>
      <c r="F47" s="201" t="n">
        <v>200025888916</v>
      </c>
      <c r="G47" s="198" t="s">
        <v>666</v>
      </c>
      <c r="H47" s="163" t="s">
        <v>360</v>
      </c>
      <c r="I47" s="161" t="n">
        <v>73</v>
      </c>
      <c r="J47" s="156" t="s">
        <v>185</v>
      </c>
      <c r="K47" s="199" t="n">
        <v>45435.0965625</v>
      </c>
      <c r="L47" s="1" t="n">
        <v>2</v>
      </c>
      <c r="M47" s="156" t="s">
        <v>185</v>
      </c>
      <c r="N47" s="1" t="n">
        <v>46</v>
      </c>
    </row>
    <row r="48" customFormat="false" ht="14.25" hidden="false" customHeight="false" outlineLevel="0" collapsed="false">
      <c r="A48" s="1" t="n">
        <v>30</v>
      </c>
      <c r="B48" s="1" t="s">
        <v>681</v>
      </c>
      <c r="C48" s="1" t="s">
        <v>682</v>
      </c>
      <c r="D48" s="1" t="n">
        <v>11197</v>
      </c>
      <c r="E48" s="1" t="s">
        <v>53</v>
      </c>
      <c r="F48" s="201" t="n">
        <v>200025888916</v>
      </c>
      <c r="G48" s="198" t="s">
        <v>666</v>
      </c>
      <c r="H48" s="163" t="s">
        <v>360</v>
      </c>
      <c r="I48" s="161" t="n">
        <v>73</v>
      </c>
      <c r="J48" s="156" t="s">
        <v>185</v>
      </c>
      <c r="K48" s="199" t="n">
        <v>45435.0967592593</v>
      </c>
      <c r="L48" s="1" t="n">
        <v>2</v>
      </c>
      <c r="M48" s="156" t="s">
        <v>185</v>
      </c>
      <c r="N48" s="1" t="n">
        <v>47</v>
      </c>
    </row>
    <row r="49" customFormat="false" ht="14.25" hidden="false" customHeight="false" outlineLevel="0" collapsed="false">
      <c r="A49" s="1" t="n">
        <v>31</v>
      </c>
      <c r="B49" s="1" t="s">
        <v>681</v>
      </c>
      <c r="C49" s="1" t="s">
        <v>682</v>
      </c>
      <c r="D49" s="1" t="n">
        <v>11197</v>
      </c>
      <c r="E49" s="1" t="s">
        <v>53</v>
      </c>
      <c r="F49" s="201" t="n">
        <v>200025888916</v>
      </c>
      <c r="G49" s="198" t="s">
        <v>666</v>
      </c>
      <c r="H49" s="163" t="s">
        <v>360</v>
      </c>
      <c r="I49" s="161" t="n">
        <v>73</v>
      </c>
      <c r="J49" s="156" t="s">
        <v>185</v>
      </c>
      <c r="K49" s="199" t="n">
        <v>45435.0972106482</v>
      </c>
      <c r="L49" s="1" t="n">
        <v>0</v>
      </c>
      <c r="M49" s="156" t="s">
        <v>185</v>
      </c>
      <c r="N49" s="1" t="n">
        <v>48</v>
      </c>
    </row>
    <row r="50" customFormat="false" ht="14.25" hidden="false" customHeight="false" outlineLevel="0" collapsed="false">
      <c r="A50" s="1" t="n">
        <v>32</v>
      </c>
      <c r="B50" s="1" t="s">
        <v>681</v>
      </c>
      <c r="C50" s="1" t="s">
        <v>682</v>
      </c>
      <c r="D50" s="1" t="n">
        <v>11197</v>
      </c>
      <c r="E50" s="1" t="s">
        <v>53</v>
      </c>
      <c r="F50" s="201" t="n">
        <v>200025888916</v>
      </c>
      <c r="G50" s="198" t="s">
        <v>666</v>
      </c>
      <c r="H50" s="163" t="s">
        <v>360</v>
      </c>
      <c r="I50" s="161" t="n">
        <v>73</v>
      </c>
      <c r="J50" s="156" t="s">
        <v>185</v>
      </c>
      <c r="K50" s="199" t="n">
        <v>45435.098275463</v>
      </c>
      <c r="L50" s="1" t="n">
        <v>3</v>
      </c>
      <c r="M50" s="156" t="s">
        <v>185</v>
      </c>
      <c r="N50" s="3" t="n">
        <v>49</v>
      </c>
    </row>
    <row r="51" customFormat="false" ht="14.25" hidden="false" customHeight="false" outlineLevel="0" collapsed="false">
      <c r="A51" s="1" t="n">
        <v>33</v>
      </c>
      <c r="B51" s="1" t="s">
        <v>681</v>
      </c>
      <c r="C51" s="1" t="s">
        <v>682</v>
      </c>
      <c r="D51" s="1" t="n">
        <v>11197</v>
      </c>
      <c r="E51" s="1" t="s">
        <v>53</v>
      </c>
      <c r="F51" s="201" t="n">
        <v>200025888916</v>
      </c>
      <c r="G51" s="198" t="s">
        <v>666</v>
      </c>
      <c r="H51" s="163" t="s">
        <v>360</v>
      </c>
      <c r="I51" s="161" t="n">
        <v>73</v>
      </c>
      <c r="J51" s="156" t="s">
        <v>185</v>
      </c>
      <c r="K51" s="199" t="n">
        <v>45435.1098263889</v>
      </c>
      <c r="L51" s="1" t="n">
        <v>1</v>
      </c>
      <c r="M51" s="156" t="s">
        <v>185</v>
      </c>
      <c r="N51" s="3" t="n">
        <v>50</v>
      </c>
    </row>
    <row r="52" customFormat="false" ht="14.25" hidden="false" customHeight="false" outlineLevel="0" collapsed="false">
      <c r="A52" s="1" t="n">
        <v>34</v>
      </c>
      <c r="B52" s="1" t="s">
        <v>681</v>
      </c>
      <c r="C52" s="1" t="s">
        <v>682</v>
      </c>
      <c r="D52" s="1" t="n">
        <v>11197</v>
      </c>
      <c r="E52" s="1" t="s">
        <v>53</v>
      </c>
      <c r="F52" s="201" t="n">
        <v>200025888916</v>
      </c>
      <c r="G52" s="198" t="s">
        <v>666</v>
      </c>
      <c r="H52" s="163" t="s">
        <v>360</v>
      </c>
      <c r="I52" s="161" t="n">
        <v>73</v>
      </c>
      <c r="J52" s="156" t="s">
        <v>185</v>
      </c>
      <c r="K52" s="199" t="n">
        <v>45435.11</v>
      </c>
      <c r="L52" s="1" t="n">
        <v>1</v>
      </c>
      <c r="M52" s="156" t="s">
        <v>185</v>
      </c>
      <c r="N52" s="1" t="n">
        <v>51</v>
      </c>
    </row>
    <row r="53" customFormat="false" ht="14.25" hidden="false" customHeight="false" outlineLevel="0" collapsed="false">
      <c r="A53" s="1" t="n">
        <v>35</v>
      </c>
      <c r="B53" s="1" t="s">
        <v>681</v>
      </c>
      <c r="C53" s="1" t="s">
        <v>682</v>
      </c>
      <c r="D53" s="1" t="n">
        <v>11197</v>
      </c>
      <c r="E53" s="1" t="s">
        <v>53</v>
      </c>
      <c r="F53" s="201" t="n">
        <v>200025888916</v>
      </c>
      <c r="G53" s="198" t="s">
        <v>666</v>
      </c>
      <c r="H53" s="163" t="s">
        <v>360</v>
      </c>
      <c r="I53" s="161" t="n">
        <v>73</v>
      </c>
      <c r="J53" s="156" t="s">
        <v>185</v>
      </c>
      <c r="K53" s="199" t="n">
        <v>45435.1109027778</v>
      </c>
      <c r="L53" s="1" t="n">
        <v>1</v>
      </c>
      <c r="M53" s="156" t="s">
        <v>185</v>
      </c>
      <c r="N53" s="1" t="n">
        <v>52</v>
      </c>
    </row>
    <row r="54" customFormat="false" ht="14.25" hidden="false" customHeight="false" outlineLevel="0" collapsed="false">
      <c r="A54" s="1" t="n">
        <v>36</v>
      </c>
      <c r="B54" s="1" t="s">
        <v>681</v>
      </c>
      <c r="C54" s="1" t="s">
        <v>682</v>
      </c>
      <c r="D54" s="1" t="n">
        <v>11197</v>
      </c>
      <c r="E54" s="1" t="s">
        <v>53</v>
      </c>
      <c r="F54" s="201" t="n">
        <v>200025888173</v>
      </c>
      <c r="G54" s="198" t="s">
        <v>670</v>
      </c>
      <c r="H54" s="163" t="s">
        <v>189</v>
      </c>
      <c r="I54" s="161" t="n">
        <v>63</v>
      </c>
      <c r="J54" s="156" t="s">
        <v>185</v>
      </c>
      <c r="K54" s="199" t="n">
        <v>45435.1121064815</v>
      </c>
      <c r="L54" s="1" t="n">
        <v>0</v>
      </c>
      <c r="M54" s="156" t="s">
        <v>185</v>
      </c>
      <c r="N54" s="1" t="n">
        <v>53</v>
      </c>
    </row>
    <row r="55" customFormat="false" ht="14.25" hidden="false" customHeight="false" outlineLevel="0" collapsed="false">
      <c r="A55" s="1" t="n">
        <v>142</v>
      </c>
      <c r="B55" s="1" t="s">
        <v>621</v>
      </c>
      <c r="C55" s="1" t="s">
        <v>622</v>
      </c>
      <c r="D55" s="1" t="n">
        <v>11171</v>
      </c>
      <c r="E55" s="1" t="s">
        <v>55</v>
      </c>
      <c r="F55" s="201" t="n">
        <v>200025888916</v>
      </c>
      <c r="G55" s="198" t="s">
        <v>666</v>
      </c>
      <c r="H55" s="163" t="s">
        <v>360</v>
      </c>
      <c r="I55" s="161" t="n">
        <v>73</v>
      </c>
      <c r="J55" s="156" t="s">
        <v>185</v>
      </c>
      <c r="K55" s="200" t="n">
        <v>45435.1402430556</v>
      </c>
      <c r="L55" s="1" t="n">
        <v>9</v>
      </c>
      <c r="M55" s="156" t="s">
        <v>185</v>
      </c>
      <c r="N55" s="3" t="n">
        <v>54</v>
      </c>
    </row>
    <row r="56" customFormat="false" ht="14.25" hidden="false" customHeight="false" outlineLevel="0" collapsed="false">
      <c r="A56" s="1" t="n">
        <v>37</v>
      </c>
      <c r="B56" s="1" t="s">
        <v>681</v>
      </c>
      <c r="C56" s="1" t="s">
        <v>682</v>
      </c>
      <c r="D56" s="1" t="n">
        <v>11197</v>
      </c>
      <c r="E56" s="1" t="s">
        <v>53</v>
      </c>
      <c r="F56" s="201" t="n">
        <v>200025889051</v>
      </c>
      <c r="G56" s="198" t="s">
        <v>633</v>
      </c>
      <c r="H56" s="163" t="s">
        <v>269</v>
      </c>
      <c r="I56" s="161" t="n">
        <v>26</v>
      </c>
      <c r="J56" s="156" t="s">
        <v>185</v>
      </c>
      <c r="K56" s="199" t="n">
        <v>45435.1565046296</v>
      </c>
      <c r="L56" s="1" t="n">
        <v>2</v>
      </c>
      <c r="M56" s="156" t="s">
        <v>185</v>
      </c>
      <c r="N56" s="3" t="n">
        <v>55</v>
      </c>
    </row>
    <row r="57" customFormat="false" ht="14.25" hidden="false" customHeight="false" outlineLevel="0" collapsed="false">
      <c r="A57" s="1" t="n">
        <v>38</v>
      </c>
      <c r="B57" s="1" t="s">
        <v>681</v>
      </c>
      <c r="C57" s="1" t="s">
        <v>682</v>
      </c>
      <c r="D57" s="1" t="n">
        <v>11197</v>
      </c>
      <c r="E57" s="1" t="s">
        <v>53</v>
      </c>
      <c r="F57" s="201" t="n">
        <v>200025889051</v>
      </c>
      <c r="G57" s="198" t="s">
        <v>633</v>
      </c>
      <c r="H57" s="163" t="s">
        <v>269</v>
      </c>
      <c r="I57" s="161" t="n">
        <v>26</v>
      </c>
      <c r="J57" s="156" t="s">
        <v>185</v>
      </c>
      <c r="K57" s="199" t="n">
        <v>45435.1565277778</v>
      </c>
      <c r="L57" s="1" t="n">
        <v>0</v>
      </c>
      <c r="M57" s="156" t="s">
        <v>185</v>
      </c>
      <c r="N57" s="1" t="n">
        <v>56</v>
      </c>
    </row>
    <row r="58" customFormat="false" ht="14.25" hidden="false" customHeight="false" outlineLevel="0" collapsed="false">
      <c r="A58" s="1" t="n">
        <v>39</v>
      </c>
      <c r="B58" s="1" t="s">
        <v>681</v>
      </c>
      <c r="C58" s="1" t="s">
        <v>682</v>
      </c>
      <c r="D58" s="1" t="n">
        <v>11197</v>
      </c>
      <c r="E58" s="1" t="s">
        <v>53</v>
      </c>
      <c r="F58" s="201" t="n">
        <v>200025889051</v>
      </c>
      <c r="G58" s="198" t="s">
        <v>633</v>
      </c>
      <c r="H58" s="163" t="s">
        <v>269</v>
      </c>
      <c r="I58" s="161" t="n">
        <v>26</v>
      </c>
      <c r="J58" s="156" t="s">
        <v>185</v>
      </c>
      <c r="K58" s="199" t="n">
        <v>45435.1569675926</v>
      </c>
      <c r="L58" s="1" t="n">
        <v>1</v>
      </c>
      <c r="M58" s="156" t="s">
        <v>185</v>
      </c>
      <c r="N58" s="1" t="n">
        <v>57</v>
      </c>
    </row>
    <row r="59" customFormat="false" ht="14.25" hidden="false" customHeight="false" outlineLevel="0" collapsed="false">
      <c r="A59" s="1" t="n">
        <v>40</v>
      </c>
      <c r="B59" s="1" t="s">
        <v>681</v>
      </c>
      <c r="C59" s="1" t="s">
        <v>682</v>
      </c>
      <c r="D59" s="1" t="n">
        <v>11197</v>
      </c>
      <c r="E59" s="1" t="s">
        <v>53</v>
      </c>
      <c r="F59" s="201" t="n">
        <v>200025889051</v>
      </c>
      <c r="G59" s="198" t="s">
        <v>633</v>
      </c>
      <c r="H59" s="163" t="s">
        <v>269</v>
      </c>
      <c r="I59" s="161" t="n">
        <v>26</v>
      </c>
      <c r="J59" s="156" t="s">
        <v>185</v>
      </c>
      <c r="K59" s="199" t="n">
        <v>45435.1569907407</v>
      </c>
      <c r="L59" s="1" t="n">
        <v>0</v>
      </c>
      <c r="M59" s="156" t="s">
        <v>185</v>
      </c>
      <c r="N59" s="1" t="n">
        <v>58</v>
      </c>
    </row>
    <row r="60" customFormat="false" ht="14.25" hidden="false" customHeight="false" outlineLevel="0" collapsed="false">
      <c r="A60" s="1" t="n">
        <v>41</v>
      </c>
      <c r="B60" s="1" t="s">
        <v>681</v>
      </c>
      <c r="C60" s="1" t="s">
        <v>682</v>
      </c>
      <c r="D60" s="1" t="n">
        <v>11197</v>
      </c>
      <c r="E60" s="1" t="s">
        <v>53</v>
      </c>
      <c r="F60" s="201" t="n">
        <v>200025889051</v>
      </c>
      <c r="G60" s="198" t="s">
        <v>633</v>
      </c>
      <c r="H60" s="163" t="s">
        <v>269</v>
      </c>
      <c r="I60" s="161" t="n">
        <v>26</v>
      </c>
      <c r="J60" s="156" t="s">
        <v>185</v>
      </c>
      <c r="K60" s="199" t="n">
        <v>45435.1569907407</v>
      </c>
      <c r="L60" s="1" t="n">
        <v>33</v>
      </c>
      <c r="M60" s="156" t="s">
        <v>185</v>
      </c>
      <c r="N60" s="3" t="n">
        <v>59</v>
      </c>
    </row>
    <row r="61" customFormat="false" ht="14.25" hidden="false" customHeight="false" outlineLevel="0" collapsed="false">
      <c r="A61" s="1" t="n">
        <v>42</v>
      </c>
      <c r="B61" s="1" t="s">
        <v>681</v>
      </c>
      <c r="C61" s="1" t="s">
        <v>682</v>
      </c>
      <c r="D61" s="1" t="n">
        <v>11197</v>
      </c>
      <c r="E61" s="1" t="s">
        <v>53</v>
      </c>
      <c r="F61" s="201" t="n">
        <v>200025889051</v>
      </c>
      <c r="G61" s="198" t="s">
        <v>633</v>
      </c>
      <c r="H61" s="163" t="s">
        <v>269</v>
      </c>
      <c r="I61" s="161" t="n">
        <v>26</v>
      </c>
      <c r="J61" s="156" t="s">
        <v>185</v>
      </c>
      <c r="K61" s="199" t="n">
        <v>45435.1573842593</v>
      </c>
      <c r="L61" s="1" t="n">
        <v>0</v>
      </c>
      <c r="M61" s="156" t="s">
        <v>185</v>
      </c>
      <c r="N61" s="3" t="n">
        <v>60</v>
      </c>
    </row>
    <row r="62" customFormat="false" ht="14.25" hidden="false" customHeight="false" outlineLevel="0" collapsed="false">
      <c r="A62" s="1" t="n">
        <v>43</v>
      </c>
      <c r="B62" s="1" t="s">
        <v>681</v>
      </c>
      <c r="C62" s="1" t="s">
        <v>682</v>
      </c>
      <c r="D62" s="1" t="n">
        <v>11197</v>
      </c>
      <c r="E62" s="1" t="s">
        <v>53</v>
      </c>
      <c r="F62" s="201" t="n">
        <v>200025888729</v>
      </c>
      <c r="G62" s="198" t="s">
        <v>695</v>
      </c>
      <c r="H62" s="163" t="s">
        <v>321</v>
      </c>
      <c r="I62" s="161" t="n">
        <v>56</v>
      </c>
      <c r="J62" s="156" t="s">
        <v>185</v>
      </c>
      <c r="K62" s="199" t="n">
        <v>45435.1610416667</v>
      </c>
      <c r="L62" s="1" t="n">
        <v>0</v>
      </c>
      <c r="M62" s="156" t="s">
        <v>185</v>
      </c>
      <c r="N62" s="1" t="n">
        <v>61</v>
      </c>
    </row>
    <row r="63" customFormat="false" ht="14.25" hidden="false" customHeight="false" outlineLevel="0" collapsed="false">
      <c r="A63" s="1" t="n">
        <v>44</v>
      </c>
      <c r="B63" s="1" t="s">
        <v>681</v>
      </c>
      <c r="C63" s="1" t="s">
        <v>682</v>
      </c>
      <c r="D63" s="1" t="n">
        <v>11197</v>
      </c>
      <c r="E63" s="1" t="s">
        <v>53</v>
      </c>
      <c r="F63" s="201" t="n">
        <v>200025888729</v>
      </c>
      <c r="G63" s="198" t="s">
        <v>695</v>
      </c>
      <c r="H63" s="163" t="s">
        <v>321</v>
      </c>
      <c r="I63" s="161" t="n">
        <v>56</v>
      </c>
      <c r="J63" s="156" t="s">
        <v>185</v>
      </c>
      <c r="K63" s="199" t="n">
        <v>45435.1610532407</v>
      </c>
      <c r="L63" s="1" t="n">
        <v>1</v>
      </c>
      <c r="M63" s="156" t="s">
        <v>185</v>
      </c>
      <c r="N63" s="1" t="n">
        <v>62</v>
      </c>
    </row>
    <row r="64" customFormat="false" ht="14.25" hidden="false" customHeight="false" outlineLevel="0" collapsed="false">
      <c r="A64" s="1" t="n">
        <v>45</v>
      </c>
      <c r="B64" s="1" t="s">
        <v>681</v>
      </c>
      <c r="C64" s="1" t="s">
        <v>682</v>
      </c>
      <c r="D64" s="1" t="n">
        <v>11197</v>
      </c>
      <c r="E64" s="1" t="s">
        <v>53</v>
      </c>
      <c r="F64" s="201" t="n">
        <v>200025889051</v>
      </c>
      <c r="G64" s="198" t="s">
        <v>633</v>
      </c>
      <c r="H64" s="163" t="s">
        <v>269</v>
      </c>
      <c r="I64" s="161" t="n">
        <v>26</v>
      </c>
      <c r="J64" s="156" t="s">
        <v>185</v>
      </c>
      <c r="K64" s="199" t="n">
        <v>45435.1649421296</v>
      </c>
      <c r="L64" s="1" t="n">
        <v>1</v>
      </c>
      <c r="M64" s="156" t="s">
        <v>185</v>
      </c>
      <c r="N64" s="1" t="n">
        <v>63</v>
      </c>
    </row>
    <row r="65" customFormat="false" ht="14.25" hidden="false" customHeight="false" outlineLevel="0" collapsed="false">
      <c r="A65" s="1" t="n">
        <v>46</v>
      </c>
      <c r="B65" s="1" t="s">
        <v>681</v>
      </c>
      <c r="C65" s="1" t="s">
        <v>682</v>
      </c>
      <c r="D65" s="1" t="n">
        <v>11197</v>
      </c>
      <c r="E65" s="1" t="s">
        <v>53</v>
      </c>
      <c r="F65" s="201" t="n">
        <v>200025889051</v>
      </c>
      <c r="G65" s="198" t="s">
        <v>633</v>
      </c>
      <c r="H65" s="163" t="s">
        <v>269</v>
      </c>
      <c r="I65" s="161" t="n">
        <v>26</v>
      </c>
      <c r="J65" s="156" t="s">
        <v>185</v>
      </c>
      <c r="K65" s="199" t="n">
        <v>45435.1649652778</v>
      </c>
      <c r="L65" s="1" t="n">
        <v>1</v>
      </c>
      <c r="M65" s="156" t="s">
        <v>185</v>
      </c>
      <c r="N65" s="3" t="n">
        <v>64</v>
      </c>
    </row>
    <row r="66" customFormat="false" ht="14.25" hidden="false" customHeight="false" outlineLevel="0" collapsed="false">
      <c r="A66" s="1" t="n">
        <v>143</v>
      </c>
      <c r="B66" s="1" t="s">
        <v>621</v>
      </c>
      <c r="C66" s="1" t="s">
        <v>622</v>
      </c>
      <c r="D66" s="1" t="n">
        <v>11171</v>
      </c>
      <c r="E66" s="1" t="s">
        <v>55</v>
      </c>
      <c r="F66" s="201" t="n">
        <v>200025888916</v>
      </c>
      <c r="G66" s="198" t="s">
        <v>666</v>
      </c>
      <c r="H66" s="163" t="s">
        <v>360</v>
      </c>
      <c r="I66" s="161" t="n">
        <v>73</v>
      </c>
      <c r="J66" s="156" t="s">
        <v>185</v>
      </c>
      <c r="K66" s="200" t="n">
        <v>45435.1699421296</v>
      </c>
      <c r="L66" s="1" t="n">
        <v>3</v>
      </c>
      <c r="M66" s="156" t="s">
        <v>185</v>
      </c>
      <c r="N66" s="3" t="n">
        <v>65</v>
      </c>
    </row>
    <row r="67" customFormat="false" ht="14.25" hidden="false" customHeight="false" outlineLevel="0" collapsed="false">
      <c r="A67" s="1" t="n">
        <v>47</v>
      </c>
      <c r="B67" s="1" t="s">
        <v>681</v>
      </c>
      <c r="C67" s="1" t="s">
        <v>682</v>
      </c>
      <c r="D67" s="1" t="n">
        <v>11197</v>
      </c>
      <c r="E67" s="1" t="s">
        <v>53</v>
      </c>
      <c r="F67" s="201" t="n">
        <v>200025889051</v>
      </c>
      <c r="G67" s="198" t="s">
        <v>633</v>
      </c>
      <c r="H67" s="163" t="s">
        <v>269</v>
      </c>
      <c r="I67" s="161" t="n">
        <v>26</v>
      </c>
      <c r="J67" s="156" t="s">
        <v>185</v>
      </c>
      <c r="K67" s="199" t="n">
        <v>45435.174525463</v>
      </c>
      <c r="L67" s="1" t="n">
        <v>0</v>
      </c>
      <c r="M67" s="156" t="s">
        <v>185</v>
      </c>
      <c r="N67" s="1" t="n">
        <v>66</v>
      </c>
    </row>
    <row r="68" customFormat="false" ht="14.25" hidden="false" customHeight="false" outlineLevel="0" collapsed="false">
      <c r="A68" s="1" t="n">
        <v>48</v>
      </c>
      <c r="B68" s="1" t="s">
        <v>681</v>
      </c>
      <c r="C68" s="1" t="s">
        <v>682</v>
      </c>
      <c r="D68" s="1" t="n">
        <v>11197</v>
      </c>
      <c r="E68" s="1" t="s">
        <v>53</v>
      </c>
      <c r="F68" s="201" t="n">
        <v>200025889051</v>
      </c>
      <c r="G68" s="198" t="s">
        <v>633</v>
      </c>
      <c r="H68" s="163" t="s">
        <v>269</v>
      </c>
      <c r="I68" s="161" t="n">
        <v>26</v>
      </c>
      <c r="J68" s="156" t="s">
        <v>185</v>
      </c>
      <c r="K68" s="199" t="n">
        <v>45435.1763425926</v>
      </c>
      <c r="L68" s="1" t="n">
        <v>4</v>
      </c>
      <c r="M68" s="156" t="s">
        <v>185</v>
      </c>
      <c r="N68" s="1" t="n">
        <v>67</v>
      </c>
    </row>
    <row r="69" customFormat="false" ht="14.25" hidden="false" customHeight="false" outlineLevel="0" collapsed="false">
      <c r="A69" s="1" t="n">
        <v>144</v>
      </c>
      <c r="B69" s="1" t="s">
        <v>621</v>
      </c>
      <c r="C69" s="1" t="s">
        <v>622</v>
      </c>
      <c r="D69" s="1" t="n">
        <v>11171</v>
      </c>
      <c r="E69" s="1" t="s">
        <v>55</v>
      </c>
      <c r="F69" s="201" t="n">
        <v>200025888485</v>
      </c>
      <c r="G69" s="198" t="s">
        <v>634</v>
      </c>
      <c r="H69" s="163" t="s">
        <v>327</v>
      </c>
      <c r="I69" s="161" t="n">
        <v>93</v>
      </c>
      <c r="J69" s="156" t="s">
        <v>185</v>
      </c>
      <c r="K69" s="200" t="n">
        <v>45435.1764351852</v>
      </c>
      <c r="L69" s="1" t="n">
        <v>2</v>
      </c>
      <c r="M69" s="156" t="s">
        <v>185</v>
      </c>
      <c r="N69" s="1" t="n">
        <v>68</v>
      </c>
    </row>
    <row r="70" customFormat="false" ht="14.25" hidden="false" customHeight="false" outlineLevel="0" collapsed="false">
      <c r="A70" s="1" t="n">
        <v>49</v>
      </c>
      <c r="B70" s="1" t="s">
        <v>681</v>
      </c>
      <c r="C70" s="1" t="s">
        <v>682</v>
      </c>
      <c r="D70" s="1" t="n">
        <v>11197</v>
      </c>
      <c r="E70" s="1" t="s">
        <v>53</v>
      </c>
      <c r="F70" s="201" t="n">
        <v>200025889051</v>
      </c>
      <c r="G70" s="198" t="s">
        <v>633</v>
      </c>
      <c r="H70" s="163" t="s">
        <v>269</v>
      </c>
      <c r="I70" s="161" t="n">
        <v>26</v>
      </c>
      <c r="J70" s="156" t="s">
        <v>185</v>
      </c>
      <c r="K70" s="199" t="n">
        <v>45435.1769907407</v>
      </c>
      <c r="L70" s="1" t="n">
        <v>1</v>
      </c>
      <c r="M70" s="156" t="s">
        <v>185</v>
      </c>
      <c r="N70" s="3" t="n">
        <v>69</v>
      </c>
    </row>
    <row r="71" customFormat="false" ht="14.25" hidden="false" customHeight="false" outlineLevel="0" collapsed="false">
      <c r="A71" s="1" t="n">
        <v>145</v>
      </c>
      <c r="B71" s="1" t="s">
        <v>621</v>
      </c>
      <c r="C71" s="1" t="s">
        <v>622</v>
      </c>
      <c r="D71" s="1" t="n">
        <v>11171</v>
      </c>
      <c r="E71" s="1" t="s">
        <v>55</v>
      </c>
      <c r="F71" s="201" t="n">
        <v>200025888485</v>
      </c>
      <c r="G71" s="198" t="s">
        <v>634</v>
      </c>
      <c r="H71" s="163" t="s">
        <v>327</v>
      </c>
      <c r="I71" s="161" t="n">
        <v>93</v>
      </c>
      <c r="J71" s="156" t="s">
        <v>185</v>
      </c>
      <c r="K71" s="200" t="n">
        <v>45435.1770833333</v>
      </c>
      <c r="L71" s="1" t="n">
        <v>0</v>
      </c>
      <c r="M71" s="156" t="s">
        <v>185</v>
      </c>
      <c r="N71" s="3" t="n">
        <v>70</v>
      </c>
    </row>
    <row r="72" customFormat="false" ht="14.25" hidden="false" customHeight="false" outlineLevel="0" collapsed="false">
      <c r="A72" s="1" t="n">
        <v>146</v>
      </c>
      <c r="B72" s="1" t="s">
        <v>621</v>
      </c>
      <c r="C72" s="1" t="s">
        <v>622</v>
      </c>
      <c r="D72" s="1" t="n">
        <v>11171</v>
      </c>
      <c r="E72" s="1" t="s">
        <v>55</v>
      </c>
      <c r="F72" s="201" t="n">
        <v>200025888485</v>
      </c>
      <c r="G72" s="198" t="s">
        <v>634</v>
      </c>
      <c r="H72" s="163" t="s">
        <v>327</v>
      </c>
      <c r="I72" s="161" t="n">
        <v>93</v>
      </c>
      <c r="J72" s="156" t="s">
        <v>185</v>
      </c>
      <c r="K72" s="200" t="n">
        <v>45435.1770949074</v>
      </c>
      <c r="L72" s="1" t="n">
        <v>1</v>
      </c>
      <c r="M72" s="156" t="s">
        <v>185</v>
      </c>
      <c r="N72" s="1" t="n">
        <v>71</v>
      </c>
    </row>
    <row r="73" customFormat="false" ht="14.25" hidden="false" customHeight="false" outlineLevel="0" collapsed="false">
      <c r="A73" s="1" t="n">
        <v>50</v>
      </c>
      <c r="B73" s="1" t="s">
        <v>681</v>
      </c>
      <c r="C73" s="1" t="s">
        <v>682</v>
      </c>
      <c r="D73" s="1" t="n">
        <v>11197</v>
      </c>
      <c r="E73" s="1" t="s">
        <v>53</v>
      </c>
      <c r="F73" s="201" t="n">
        <v>200025888665</v>
      </c>
      <c r="G73" s="198" t="s">
        <v>667</v>
      </c>
      <c r="H73" s="163" t="s">
        <v>218</v>
      </c>
      <c r="I73" s="161" t="n">
        <v>11</v>
      </c>
      <c r="J73" s="156" t="s">
        <v>185</v>
      </c>
      <c r="K73" s="199" t="n">
        <v>45435.1777314815</v>
      </c>
      <c r="L73" s="1" t="n">
        <v>35</v>
      </c>
      <c r="M73" s="156" t="s">
        <v>185</v>
      </c>
      <c r="N73" s="1" t="n">
        <v>72</v>
      </c>
    </row>
    <row r="74" customFormat="false" ht="14.25" hidden="false" customHeight="false" outlineLevel="0" collapsed="false">
      <c r="A74" s="1" t="n">
        <v>147</v>
      </c>
      <c r="B74" s="1" t="s">
        <v>621</v>
      </c>
      <c r="C74" s="1" t="s">
        <v>622</v>
      </c>
      <c r="D74" s="1" t="n">
        <v>11171</v>
      </c>
      <c r="E74" s="1" t="s">
        <v>55</v>
      </c>
      <c r="F74" s="201" t="n">
        <v>200025888485</v>
      </c>
      <c r="G74" s="198" t="s">
        <v>634</v>
      </c>
      <c r="H74" s="163" t="s">
        <v>327</v>
      </c>
      <c r="I74" s="161" t="n">
        <v>93</v>
      </c>
      <c r="J74" s="156" t="s">
        <v>185</v>
      </c>
      <c r="K74" s="200" t="n">
        <v>45435.1778240741</v>
      </c>
      <c r="L74" s="1" t="n">
        <v>0</v>
      </c>
      <c r="M74" s="156" t="s">
        <v>185</v>
      </c>
      <c r="N74" s="1" t="n">
        <v>73</v>
      </c>
    </row>
    <row r="75" customFormat="false" ht="14.25" hidden="false" customHeight="false" outlineLevel="0" collapsed="false">
      <c r="A75" s="1" t="n">
        <v>148</v>
      </c>
      <c r="B75" s="1" t="s">
        <v>621</v>
      </c>
      <c r="C75" s="1" t="s">
        <v>622</v>
      </c>
      <c r="D75" s="1" t="n">
        <v>11171</v>
      </c>
      <c r="E75" s="1" t="s">
        <v>55</v>
      </c>
      <c r="F75" s="201" t="n">
        <v>200025888485</v>
      </c>
      <c r="G75" s="198" t="s">
        <v>634</v>
      </c>
      <c r="H75" s="163" t="s">
        <v>327</v>
      </c>
      <c r="I75" s="161" t="n">
        <v>93</v>
      </c>
      <c r="J75" s="156" t="s">
        <v>185</v>
      </c>
      <c r="K75" s="200" t="n">
        <v>45435.1778356481</v>
      </c>
      <c r="L75" s="1" t="n">
        <v>0</v>
      </c>
      <c r="M75" s="156" t="s">
        <v>185</v>
      </c>
      <c r="N75" s="3" t="n">
        <v>74</v>
      </c>
    </row>
    <row r="76" customFormat="false" ht="14.25" hidden="false" customHeight="false" outlineLevel="0" collapsed="false">
      <c r="A76" s="1" t="n">
        <v>51</v>
      </c>
      <c r="B76" s="1" t="s">
        <v>681</v>
      </c>
      <c r="C76" s="1" t="s">
        <v>682</v>
      </c>
      <c r="D76" s="1" t="n">
        <v>11197</v>
      </c>
      <c r="E76" s="1" t="s">
        <v>53</v>
      </c>
      <c r="F76" s="201" t="n">
        <v>200025888665</v>
      </c>
      <c r="G76" s="198" t="s">
        <v>667</v>
      </c>
      <c r="H76" s="163" t="s">
        <v>218</v>
      </c>
      <c r="I76" s="161" t="n">
        <v>11</v>
      </c>
      <c r="J76" s="156" t="s">
        <v>185</v>
      </c>
      <c r="K76" s="199" t="n">
        <v>45435.1797685185</v>
      </c>
      <c r="L76" s="1" t="n">
        <v>0</v>
      </c>
      <c r="M76" s="156" t="s">
        <v>185</v>
      </c>
      <c r="N76" s="3" t="n">
        <v>75</v>
      </c>
    </row>
    <row r="77" customFormat="false" ht="14.25" hidden="false" customHeight="false" outlineLevel="0" collapsed="false">
      <c r="A77" s="1" t="n">
        <v>149</v>
      </c>
      <c r="B77" s="1" t="s">
        <v>621</v>
      </c>
      <c r="C77" s="1" t="s">
        <v>622</v>
      </c>
      <c r="D77" s="1" t="n">
        <v>11171</v>
      </c>
      <c r="E77" s="1" t="s">
        <v>55</v>
      </c>
      <c r="F77" s="201" t="n">
        <v>200025888485</v>
      </c>
      <c r="G77" s="198" t="s">
        <v>634</v>
      </c>
      <c r="H77" s="163" t="s">
        <v>327</v>
      </c>
      <c r="I77" s="161" t="n">
        <v>93</v>
      </c>
      <c r="J77" s="156" t="s">
        <v>185</v>
      </c>
      <c r="K77" s="200" t="n">
        <v>45435.1889236111</v>
      </c>
      <c r="L77" s="1" t="n">
        <v>2</v>
      </c>
      <c r="M77" s="156" t="s">
        <v>185</v>
      </c>
      <c r="N77" s="1" t="n">
        <v>76</v>
      </c>
    </row>
    <row r="78" customFormat="false" ht="14.25" hidden="false" customHeight="false" outlineLevel="0" collapsed="false">
      <c r="A78" s="1" t="n">
        <v>52</v>
      </c>
      <c r="B78" s="1" t="s">
        <v>681</v>
      </c>
      <c r="C78" s="1" t="s">
        <v>682</v>
      </c>
      <c r="D78" s="1" t="n">
        <v>11197</v>
      </c>
      <c r="E78" s="1" t="s">
        <v>53</v>
      </c>
      <c r="F78" s="201" t="n">
        <v>200025889051</v>
      </c>
      <c r="G78" s="198" t="s">
        <v>633</v>
      </c>
      <c r="H78" s="163" t="s">
        <v>269</v>
      </c>
      <c r="I78" s="161" t="n">
        <v>26</v>
      </c>
      <c r="J78" s="156" t="s">
        <v>185</v>
      </c>
      <c r="K78" s="199" t="n">
        <v>45435.1892013889</v>
      </c>
      <c r="L78" s="1" t="n">
        <v>4</v>
      </c>
      <c r="M78" s="156" t="s">
        <v>185</v>
      </c>
      <c r="N78" s="1" t="n">
        <v>77</v>
      </c>
    </row>
    <row r="79" customFormat="false" ht="14.25" hidden="false" customHeight="false" outlineLevel="0" collapsed="false">
      <c r="A79" s="1" t="n">
        <v>150</v>
      </c>
      <c r="B79" s="1" t="s">
        <v>621</v>
      </c>
      <c r="C79" s="1" t="s">
        <v>622</v>
      </c>
      <c r="D79" s="1" t="n">
        <v>11171</v>
      </c>
      <c r="E79" s="1" t="s">
        <v>55</v>
      </c>
      <c r="F79" s="201" t="n">
        <v>200025888485</v>
      </c>
      <c r="G79" s="198" t="s">
        <v>634</v>
      </c>
      <c r="H79" s="163" t="s">
        <v>327</v>
      </c>
      <c r="I79" s="161" t="n">
        <v>93</v>
      </c>
      <c r="J79" s="156" t="s">
        <v>185</v>
      </c>
      <c r="K79" s="200" t="n">
        <v>45435.1908564815</v>
      </c>
      <c r="L79" s="1" t="n">
        <v>3</v>
      </c>
      <c r="M79" s="156" t="s">
        <v>185</v>
      </c>
      <c r="N79" s="1" t="n">
        <v>78</v>
      </c>
    </row>
    <row r="80" customFormat="false" ht="14.25" hidden="false" customHeight="false" outlineLevel="0" collapsed="false">
      <c r="A80" s="1" t="n">
        <v>53</v>
      </c>
      <c r="B80" s="1" t="s">
        <v>681</v>
      </c>
      <c r="C80" s="1" t="s">
        <v>682</v>
      </c>
      <c r="D80" s="1" t="n">
        <v>11197</v>
      </c>
      <c r="E80" s="1" t="s">
        <v>53</v>
      </c>
      <c r="F80" s="201" t="n">
        <v>200025889051</v>
      </c>
      <c r="G80" s="198" t="s">
        <v>633</v>
      </c>
      <c r="H80" s="163" t="s">
        <v>269</v>
      </c>
      <c r="I80" s="161" t="n">
        <v>26</v>
      </c>
      <c r="J80" s="156" t="s">
        <v>185</v>
      </c>
      <c r="K80" s="199" t="n">
        <v>45435.1910185185</v>
      </c>
      <c r="L80" s="1" t="n">
        <v>3</v>
      </c>
      <c r="M80" s="156" t="s">
        <v>185</v>
      </c>
      <c r="N80" s="3" t="n">
        <v>79</v>
      </c>
    </row>
    <row r="81" customFormat="false" ht="14.25" hidden="false" customHeight="false" outlineLevel="0" collapsed="false">
      <c r="A81" s="1" t="n">
        <v>151</v>
      </c>
      <c r="B81" s="1" t="s">
        <v>621</v>
      </c>
      <c r="C81" s="1" t="s">
        <v>622</v>
      </c>
      <c r="D81" s="1" t="n">
        <v>11171</v>
      </c>
      <c r="E81" s="1" t="s">
        <v>55</v>
      </c>
      <c r="F81" s="201" t="n">
        <v>200025888665</v>
      </c>
      <c r="G81" s="198" t="s">
        <v>667</v>
      </c>
      <c r="H81" s="163" t="s">
        <v>218</v>
      </c>
      <c r="I81" s="161" t="n">
        <v>11</v>
      </c>
      <c r="J81" s="156" t="s">
        <v>185</v>
      </c>
      <c r="K81" s="200" t="n">
        <v>45435.1917592593</v>
      </c>
      <c r="L81" s="1" t="n">
        <v>3</v>
      </c>
      <c r="M81" s="156" t="s">
        <v>185</v>
      </c>
      <c r="N81" s="3" t="n">
        <v>80</v>
      </c>
    </row>
    <row r="82" customFormat="false" ht="14.25" hidden="false" customHeight="false" outlineLevel="0" collapsed="false">
      <c r="A82" s="1" t="n">
        <v>152</v>
      </c>
      <c r="B82" s="1" t="s">
        <v>621</v>
      </c>
      <c r="C82" s="1" t="s">
        <v>622</v>
      </c>
      <c r="D82" s="1" t="n">
        <v>11171</v>
      </c>
      <c r="E82" s="1" t="s">
        <v>55</v>
      </c>
      <c r="F82" s="201" t="n">
        <v>200025888527</v>
      </c>
      <c r="G82" s="198" t="s">
        <v>665</v>
      </c>
      <c r="H82" s="163" t="s">
        <v>339</v>
      </c>
      <c r="I82" s="161" t="n">
        <v>92</v>
      </c>
      <c r="J82" s="156" t="s">
        <v>185</v>
      </c>
      <c r="K82" s="200" t="n">
        <v>45435.1961111111</v>
      </c>
      <c r="L82" s="1" t="n">
        <v>3</v>
      </c>
      <c r="M82" s="156" t="s">
        <v>185</v>
      </c>
      <c r="N82" s="1" t="n">
        <v>81</v>
      </c>
    </row>
    <row r="83" customFormat="false" ht="14.25" hidden="false" customHeight="false" outlineLevel="0" collapsed="false">
      <c r="A83" s="1" t="n">
        <v>153</v>
      </c>
      <c r="B83" s="1" t="s">
        <v>621</v>
      </c>
      <c r="C83" s="1" t="s">
        <v>622</v>
      </c>
      <c r="D83" s="1" t="n">
        <v>11171</v>
      </c>
      <c r="E83" s="1" t="s">
        <v>55</v>
      </c>
      <c r="F83" s="201" t="n">
        <v>200025888256</v>
      </c>
      <c r="G83" s="198" t="s">
        <v>668</v>
      </c>
      <c r="H83" s="163" t="s">
        <v>291</v>
      </c>
      <c r="I83" s="161" t="n">
        <v>68</v>
      </c>
      <c r="J83" s="156" t="s">
        <v>185</v>
      </c>
      <c r="K83" s="200" t="n">
        <v>45435.1986689815</v>
      </c>
      <c r="L83" s="1" t="n">
        <v>2</v>
      </c>
      <c r="M83" s="156" t="s">
        <v>185</v>
      </c>
      <c r="N83" s="1" t="n">
        <v>82</v>
      </c>
    </row>
    <row r="84" customFormat="false" ht="14.25" hidden="false" customHeight="false" outlineLevel="0" collapsed="false">
      <c r="A84" s="1" t="n">
        <v>154</v>
      </c>
      <c r="B84" s="1" t="s">
        <v>621</v>
      </c>
      <c r="C84" s="1" t="s">
        <v>622</v>
      </c>
      <c r="D84" s="1" t="n">
        <v>11171</v>
      </c>
      <c r="E84" s="1" t="s">
        <v>55</v>
      </c>
      <c r="F84" s="201" t="n">
        <v>200025888665</v>
      </c>
      <c r="G84" s="198" t="s">
        <v>667</v>
      </c>
      <c r="H84" s="163" t="s">
        <v>218</v>
      </c>
      <c r="I84" s="161" t="n">
        <v>11</v>
      </c>
      <c r="J84" s="156" t="s">
        <v>185</v>
      </c>
      <c r="K84" s="200" t="n">
        <v>45435.2000115741</v>
      </c>
      <c r="L84" s="1" t="n">
        <v>3</v>
      </c>
      <c r="M84" s="156" t="s">
        <v>185</v>
      </c>
      <c r="N84" s="1" t="n">
        <v>83</v>
      </c>
    </row>
    <row r="85" customFormat="false" ht="14.25" hidden="false" customHeight="false" outlineLevel="0" collapsed="false">
      <c r="A85" s="1" t="n">
        <v>155</v>
      </c>
      <c r="B85" s="1" t="s">
        <v>621</v>
      </c>
      <c r="C85" s="1" t="s">
        <v>622</v>
      </c>
      <c r="D85" s="1" t="n">
        <v>11171</v>
      </c>
      <c r="E85" s="1" t="s">
        <v>55</v>
      </c>
      <c r="F85" s="201" t="n">
        <v>200025888665</v>
      </c>
      <c r="G85" s="198" t="s">
        <v>667</v>
      </c>
      <c r="H85" s="163" t="s">
        <v>218</v>
      </c>
      <c r="I85" s="161" t="n">
        <v>11</v>
      </c>
      <c r="J85" s="156" t="s">
        <v>185</v>
      </c>
      <c r="K85" s="200" t="n">
        <v>45435.2001736111</v>
      </c>
      <c r="L85" s="1" t="n">
        <v>1</v>
      </c>
      <c r="M85" s="156" t="s">
        <v>185</v>
      </c>
      <c r="N85" s="3" t="n">
        <v>84</v>
      </c>
    </row>
    <row r="86" customFormat="false" ht="14.25" hidden="false" customHeight="false" outlineLevel="0" collapsed="false">
      <c r="A86" s="1" t="n">
        <v>156</v>
      </c>
      <c r="B86" s="1" t="s">
        <v>621</v>
      </c>
      <c r="C86" s="1" t="s">
        <v>622</v>
      </c>
      <c r="D86" s="1" t="n">
        <v>11171</v>
      </c>
      <c r="E86" s="1" t="s">
        <v>55</v>
      </c>
      <c r="F86" s="201" t="n">
        <v>200025888485</v>
      </c>
      <c r="G86" s="198" t="s">
        <v>634</v>
      </c>
      <c r="H86" s="163" t="s">
        <v>327</v>
      </c>
      <c r="I86" s="161" t="n">
        <v>93</v>
      </c>
      <c r="J86" s="156" t="s">
        <v>185</v>
      </c>
      <c r="K86" s="200" t="n">
        <v>45435.2036226852</v>
      </c>
      <c r="L86" s="1" t="n">
        <v>2</v>
      </c>
      <c r="M86" s="156" t="s">
        <v>185</v>
      </c>
      <c r="N86" s="3" t="n">
        <v>85</v>
      </c>
    </row>
    <row r="87" customFormat="false" ht="14.25" hidden="false" customHeight="false" outlineLevel="0" collapsed="false">
      <c r="A87" s="1" t="n">
        <v>157</v>
      </c>
      <c r="B87" s="1" t="s">
        <v>621</v>
      </c>
      <c r="C87" s="1" t="s">
        <v>622</v>
      </c>
      <c r="D87" s="1" t="n">
        <v>11171</v>
      </c>
      <c r="E87" s="1" t="s">
        <v>55</v>
      </c>
      <c r="F87" s="201" t="n">
        <v>200025888485</v>
      </c>
      <c r="G87" s="198" t="s">
        <v>634</v>
      </c>
      <c r="H87" s="163" t="s">
        <v>327</v>
      </c>
      <c r="I87" s="161" t="n">
        <v>93</v>
      </c>
      <c r="J87" s="156" t="s">
        <v>185</v>
      </c>
      <c r="K87" s="200" t="n">
        <v>45435.2062615741</v>
      </c>
      <c r="L87" s="1" t="n">
        <v>3</v>
      </c>
      <c r="M87" s="156" t="s">
        <v>185</v>
      </c>
      <c r="N87" s="1" t="n">
        <v>86</v>
      </c>
    </row>
    <row r="88" customFormat="false" ht="14.25" hidden="false" customHeight="false" outlineLevel="0" collapsed="false">
      <c r="A88" s="1" t="n">
        <v>158</v>
      </c>
      <c r="B88" s="1" t="s">
        <v>621</v>
      </c>
      <c r="C88" s="1" t="s">
        <v>622</v>
      </c>
      <c r="D88" s="1" t="n">
        <v>11171</v>
      </c>
      <c r="E88" s="1" t="s">
        <v>55</v>
      </c>
      <c r="F88" s="201" t="n">
        <v>200025888916</v>
      </c>
      <c r="G88" s="198" t="s">
        <v>666</v>
      </c>
      <c r="H88" s="163" t="s">
        <v>360</v>
      </c>
      <c r="I88" s="161" t="n">
        <v>73</v>
      </c>
      <c r="J88" s="156" t="s">
        <v>185</v>
      </c>
      <c r="K88" s="200" t="n">
        <v>45435.2085532407</v>
      </c>
      <c r="L88" s="1" t="n">
        <v>2</v>
      </c>
      <c r="M88" s="156" t="s">
        <v>185</v>
      </c>
      <c r="N88" s="1" t="n">
        <v>87</v>
      </c>
    </row>
    <row r="89" customFormat="false" ht="14.25" hidden="false" customHeight="false" outlineLevel="0" collapsed="false">
      <c r="A89" s="1" t="n">
        <v>54</v>
      </c>
      <c r="B89" s="1" t="s">
        <v>681</v>
      </c>
      <c r="C89" s="1" t="s">
        <v>682</v>
      </c>
      <c r="D89" s="1" t="n">
        <v>11197</v>
      </c>
      <c r="E89" s="1" t="s">
        <v>53</v>
      </c>
      <c r="F89" s="201" t="n">
        <v>200025888856</v>
      </c>
      <c r="G89" s="198" t="s">
        <v>696</v>
      </c>
      <c r="H89" s="163" t="s">
        <v>276</v>
      </c>
      <c r="I89" s="161" t="n">
        <v>31</v>
      </c>
      <c r="J89" s="156" t="s">
        <v>185</v>
      </c>
      <c r="K89" s="199" t="n">
        <v>45435.2559490741</v>
      </c>
      <c r="L89" s="1" t="n">
        <v>4</v>
      </c>
      <c r="M89" s="156" t="s">
        <v>185</v>
      </c>
      <c r="N89" s="1" t="n">
        <v>88</v>
      </c>
    </row>
    <row r="90" customFormat="false" ht="14.25" hidden="false" customHeight="false" outlineLevel="0" collapsed="false">
      <c r="A90" s="1" t="n">
        <v>55</v>
      </c>
      <c r="B90" s="1" t="s">
        <v>681</v>
      </c>
      <c r="C90" s="1" t="s">
        <v>682</v>
      </c>
      <c r="D90" s="1" t="n">
        <v>11197</v>
      </c>
      <c r="E90" s="1" t="s">
        <v>53</v>
      </c>
      <c r="F90" s="201" t="n">
        <v>200025888860</v>
      </c>
      <c r="G90" s="198" t="s">
        <v>674</v>
      </c>
      <c r="H90" s="163" t="s">
        <v>197</v>
      </c>
      <c r="I90" s="161" t="n">
        <v>3</v>
      </c>
      <c r="J90" s="156" t="s">
        <v>185</v>
      </c>
      <c r="K90" s="199" t="n">
        <v>45435.2599768519</v>
      </c>
      <c r="L90" s="1" t="n">
        <v>1</v>
      </c>
      <c r="M90" s="156" t="s">
        <v>185</v>
      </c>
      <c r="N90" s="3" t="n">
        <v>89</v>
      </c>
    </row>
    <row r="91" customFormat="false" ht="14.25" hidden="false" customHeight="false" outlineLevel="0" collapsed="false">
      <c r="A91" s="1" t="n">
        <v>56</v>
      </c>
      <c r="B91" s="1" t="s">
        <v>681</v>
      </c>
      <c r="C91" s="1" t="s">
        <v>682</v>
      </c>
      <c r="D91" s="1" t="n">
        <v>11197</v>
      </c>
      <c r="E91" s="1" t="s">
        <v>53</v>
      </c>
      <c r="F91" s="201" t="n">
        <v>200025889051</v>
      </c>
      <c r="G91" s="198" t="s">
        <v>633</v>
      </c>
      <c r="H91" s="163" t="s">
        <v>269</v>
      </c>
      <c r="I91" s="161" t="n">
        <v>26</v>
      </c>
      <c r="J91" s="156" t="s">
        <v>185</v>
      </c>
      <c r="K91" s="199" t="n">
        <v>45435.2612847222</v>
      </c>
      <c r="L91" s="1" t="n">
        <v>1</v>
      </c>
      <c r="M91" s="156" t="s">
        <v>185</v>
      </c>
      <c r="N91" s="3" t="n">
        <v>90</v>
      </c>
    </row>
    <row r="92" customFormat="false" ht="14.25" hidden="false" customHeight="false" outlineLevel="0" collapsed="false">
      <c r="A92" s="1" t="n">
        <v>57</v>
      </c>
      <c r="B92" s="1" t="s">
        <v>681</v>
      </c>
      <c r="C92" s="1" t="s">
        <v>682</v>
      </c>
      <c r="D92" s="1" t="n">
        <v>11197</v>
      </c>
      <c r="E92" s="1" t="s">
        <v>53</v>
      </c>
      <c r="F92" s="201" t="n">
        <v>200025889051</v>
      </c>
      <c r="G92" s="198" t="s">
        <v>633</v>
      </c>
      <c r="H92" s="163" t="s">
        <v>269</v>
      </c>
      <c r="I92" s="161" t="n">
        <v>26</v>
      </c>
      <c r="J92" s="156" t="s">
        <v>185</v>
      </c>
      <c r="K92" s="199" t="n">
        <v>45435.2612962963</v>
      </c>
      <c r="L92" s="1" t="n">
        <v>1</v>
      </c>
      <c r="M92" s="156" t="s">
        <v>185</v>
      </c>
      <c r="N92" s="1" t="n">
        <v>91</v>
      </c>
    </row>
    <row r="93" customFormat="false" ht="14.25" hidden="false" customHeight="false" outlineLevel="0" collapsed="false">
      <c r="A93" s="1" t="n">
        <v>58</v>
      </c>
      <c r="B93" s="1" t="s">
        <v>681</v>
      </c>
      <c r="C93" s="1" t="s">
        <v>682</v>
      </c>
      <c r="D93" s="1" t="n">
        <v>11197</v>
      </c>
      <c r="E93" s="1" t="s">
        <v>53</v>
      </c>
      <c r="F93" s="201" t="n">
        <v>200025889051</v>
      </c>
      <c r="G93" s="198" t="s">
        <v>633</v>
      </c>
      <c r="H93" s="163" t="s">
        <v>269</v>
      </c>
      <c r="I93" s="161" t="n">
        <v>26</v>
      </c>
      <c r="J93" s="156" t="s">
        <v>185</v>
      </c>
      <c r="K93" s="199" t="n">
        <v>45435.2621643519</v>
      </c>
      <c r="L93" s="1" t="n">
        <v>3</v>
      </c>
      <c r="M93" s="156" t="s">
        <v>185</v>
      </c>
      <c r="N93" s="1" t="n">
        <v>92</v>
      </c>
    </row>
    <row r="94" customFormat="false" ht="14.25" hidden="false" customHeight="false" outlineLevel="0" collapsed="false">
      <c r="A94" s="1" t="n">
        <v>59</v>
      </c>
      <c r="B94" s="1" t="s">
        <v>681</v>
      </c>
      <c r="C94" s="1" t="s">
        <v>682</v>
      </c>
      <c r="D94" s="1" t="n">
        <v>11197</v>
      </c>
      <c r="E94" s="1" t="s">
        <v>53</v>
      </c>
      <c r="F94" s="201" t="n">
        <v>200025889051</v>
      </c>
      <c r="G94" s="198" t="s">
        <v>633</v>
      </c>
      <c r="H94" s="163" t="s">
        <v>269</v>
      </c>
      <c r="I94" s="161" t="n">
        <v>26</v>
      </c>
      <c r="J94" s="156" t="s">
        <v>185</v>
      </c>
      <c r="K94" s="199" t="n">
        <v>45435.2625231482</v>
      </c>
      <c r="L94" s="1" t="n">
        <v>1</v>
      </c>
      <c r="M94" s="156" t="s">
        <v>185</v>
      </c>
      <c r="N94" s="1" t="n">
        <v>93</v>
      </c>
    </row>
    <row r="95" customFormat="false" ht="14.25" hidden="false" customHeight="false" outlineLevel="0" collapsed="false">
      <c r="A95" s="1" t="n">
        <v>60</v>
      </c>
      <c r="B95" s="1" t="s">
        <v>681</v>
      </c>
      <c r="C95" s="1" t="s">
        <v>682</v>
      </c>
      <c r="D95" s="1" t="n">
        <v>11197</v>
      </c>
      <c r="E95" s="1" t="s">
        <v>53</v>
      </c>
      <c r="F95" s="201" t="n">
        <v>200025889051</v>
      </c>
      <c r="G95" s="198" t="s">
        <v>633</v>
      </c>
      <c r="H95" s="163" t="s">
        <v>269</v>
      </c>
      <c r="I95" s="161" t="n">
        <v>26</v>
      </c>
      <c r="J95" s="156" t="s">
        <v>185</v>
      </c>
      <c r="K95" s="199" t="n">
        <v>45435.2632638889</v>
      </c>
      <c r="L95" s="1" t="n">
        <v>2</v>
      </c>
      <c r="M95" s="156" t="s">
        <v>185</v>
      </c>
      <c r="N95" s="3" t="n">
        <v>94</v>
      </c>
    </row>
    <row r="96" customFormat="false" ht="14.25" hidden="false" customHeight="false" outlineLevel="0" collapsed="false">
      <c r="A96" s="1" t="n">
        <v>61</v>
      </c>
      <c r="B96" s="1" t="s">
        <v>681</v>
      </c>
      <c r="C96" s="1" t="s">
        <v>682</v>
      </c>
      <c r="D96" s="1" t="n">
        <v>11197</v>
      </c>
      <c r="E96" s="1" t="s">
        <v>53</v>
      </c>
      <c r="F96" s="201" t="n">
        <v>200025888485</v>
      </c>
      <c r="G96" s="198" t="s">
        <v>634</v>
      </c>
      <c r="H96" s="163" t="s">
        <v>327</v>
      </c>
      <c r="I96" s="161" t="n">
        <v>93</v>
      </c>
      <c r="J96" s="156" t="s">
        <v>185</v>
      </c>
      <c r="K96" s="199" t="n">
        <v>45435.2672337963</v>
      </c>
      <c r="L96" s="1" t="n">
        <v>2</v>
      </c>
      <c r="M96" s="156" t="s">
        <v>185</v>
      </c>
      <c r="N96" s="3" t="n">
        <v>95</v>
      </c>
    </row>
    <row r="97" customFormat="false" ht="14.25" hidden="false" customHeight="false" outlineLevel="0" collapsed="false">
      <c r="A97" s="1" t="n">
        <v>62</v>
      </c>
      <c r="B97" s="1" t="s">
        <v>681</v>
      </c>
      <c r="C97" s="1" t="s">
        <v>682</v>
      </c>
      <c r="D97" s="1" t="n">
        <v>11197</v>
      </c>
      <c r="E97" s="1" t="s">
        <v>53</v>
      </c>
      <c r="F97" s="201" t="n">
        <v>200025888485</v>
      </c>
      <c r="G97" s="198" t="s">
        <v>634</v>
      </c>
      <c r="H97" s="163" t="s">
        <v>327</v>
      </c>
      <c r="I97" s="161" t="n">
        <v>93</v>
      </c>
      <c r="J97" s="156" t="s">
        <v>185</v>
      </c>
      <c r="K97" s="199" t="n">
        <v>45435.2679513889</v>
      </c>
      <c r="L97" s="1" t="n">
        <v>0</v>
      </c>
      <c r="M97" s="156" t="s">
        <v>185</v>
      </c>
      <c r="N97" s="1" t="n">
        <v>96</v>
      </c>
    </row>
    <row r="98" customFormat="false" ht="14.25" hidden="false" customHeight="false" outlineLevel="0" collapsed="false">
      <c r="A98" s="1" t="n">
        <v>63</v>
      </c>
      <c r="B98" s="1" t="s">
        <v>681</v>
      </c>
      <c r="C98" s="1" t="s">
        <v>682</v>
      </c>
      <c r="D98" s="1" t="n">
        <v>11197</v>
      </c>
      <c r="E98" s="1" t="s">
        <v>53</v>
      </c>
      <c r="F98" s="201" t="n">
        <v>200025888485</v>
      </c>
      <c r="G98" s="198" t="s">
        <v>634</v>
      </c>
      <c r="H98" s="163" t="s">
        <v>327</v>
      </c>
      <c r="I98" s="161" t="n">
        <v>93</v>
      </c>
      <c r="J98" s="156" t="s">
        <v>185</v>
      </c>
      <c r="K98" s="199" t="n">
        <v>45435.2679513889</v>
      </c>
      <c r="L98" s="1" t="n">
        <v>1</v>
      </c>
      <c r="M98" s="156" t="s">
        <v>185</v>
      </c>
      <c r="N98" s="1" t="n">
        <v>97</v>
      </c>
    </row>
    <row r="99" customFormat="false" ht="14.25" hidden="false" customHeight="false" outlineLevel="0" collapsed="false">
      <c r="A99" s="1" t="n">
        <v>64</v>
      </c>
      <c r="B99" s="1" t="s">
        <v>681</v>
      </c>
      <c r="C99" s="1" t="s">
        <v>682</v>
      </c>
      <c r="D99" s="1" t="n">
        <v>11197</v>
      </c>
      <c r="E99" s="1" t="s">
        <v>53</v>
      </c>
      <c r="F99" s="201" t="n">
        <v>200025888485</v>
      </c>
      <c r="G99" s="198" t="s">
        <v>634</v>
      </c>
      <c r="H99" s="163" t="s">
        <v>327</v>
      </c>
      <c r="I99" s="161" t="n">
        <v>93</v>
      </c>
      <c r="J99" s="156" t="s">
        <v>185</v>
      </c>
      <c r="K99" s="199" t="n">
        <v>45435.2697453704</v>
      </c>
      <c r="L99" s="1" t="n">
        <v>0</v>
      </c>
      <c r="M99" s="156" t="s">
        <v>185</v>
      </c>
      <c r="N99" s="1" t="n">
        <v>98</v>
      </c>
    </row>
    <row r="100" customFormat="false" ht="14.25" hidden="false" customHeight="false" outlineLevel="0" collapsed="false">
      <c r="A100" s="1" t="n">
        <v>65</v>
      </c>
      <c r="B100" s="1" t="s">
        <v>681</v>
      </c>
      <c r="C100" s="1" t="s">
        <v>682</v>
      </c>
      <c r="D100" s="1" t="n">
        <v>11197</v>
      </c>
      <c r="E100" s="1" t="s">
        <v>53</v>
      </c>
      <c r="F100" s="201" t="n">
        <v>200025888729</v>
      </c>
      <c r="G100" s="198" t="s">
        <v>695</v>
      </c>
      <c r="H100" s="163" t="s">
        <v>321</v>
      </c>
      <c r="I100" s="161" t="n">
        <v>56</v>
      </c>
      <c r="J100" s="156" t="s">
        <v>185</v>
      </c>
      <c r="K100" s="199" t="n">
        <v>45435.2713310185</v>
      </c>
      <c r="L100" s="1" t="n">
        <v>1</v>
      </c>
      <c r="M100" s="156" t="s">
        <v>185</v>
      </c>
      <c r="N100" s="3" t="n">
        <v>99</v>
      </c>
    </row>
    <row r="101" customFormat="false" ht="14.25" hidden="false" customHeight="false" outlineLevel="0" collapsed="false">
      <c r="A101" s="1" t="n">
        <v>159</v>
      </c>
      <c r="B101" s="1" t="s">
        <v>621</v>
      </c>
      <c r="C101" s="1" t="s">
        <v>622</v>
      </c>
      <c r="D101" s="1" t="n">
        <v>11171</v>
      </c>
      <c r="E101" s="1" t="s">
        <v>55</v>
      </c>
      <c r="F101" s="201" t="n">
        <v>200025888485</v>
      </c>
      <c r="G101" s="198" t="s">
        <v>634</v>
      </c>
      <c r="H101" s="163" t="s">
        <v>327</v>
      </c>
      <c r="I101" s="161" t="n">
        <v>93</v>
      </c>
      <c r="J101" s="156" t="s">
        <v>185</v>
      </c>
      <c r="K101" s="200" t="n">
        <v>45435.280625</v>
      </c>
      <c r="L101" s="1" t="n">
        <v>3</v>
      </c>
      <c r="M101" s="156" t="s">
        <v>185</v>
      </c>
      <c r="N101" s="3" t="n">
        <v>100</v>
      </c>
    </row>
    <row r="102" customFormat="false" ht="14.25" hidden="false" customHeight="false" outlineLevel="0" collapsed="false">
      <c r="A102" s="1" t="n">
        <v>160</v>
      </c>
      <c r="B102" s="1" t="s">
        <v>621</v>
      </c>
      <c r="C102" s="1" t="s">
        <v>622</v>
      </c>
      <c r="D102" s="1" t="n">
        <v>11171</v>
      </c>
      <c r="E102" s="1" t="s">
        <v>55</v>
      </c>
      <c r="F102" s="201" t="n">
        <v>200025888665</v>
      </c>
      <c r="G102" s="198" t="s">
        <v>667</v>
      </c>
      <c r="H102" s="163" t="s">
        <v>218</v>
      </c>
      <c r="I102" s="161" t="n">
        <v>11</v>
      </c>
      <c r="J102" s="156" t="s">
        <v>185</v>
      </c>
      <c r="K102" s="200" t="n">
        <v>45435.307025463</v>
      </c>
      <c r="L102" s="1" t="n">
        <v>1</v>
      </c>
      <c r="M102" s="156" t="s">
        <v>185</v>
      </c>
      <c r="N102" s="1" t="n">
        <v>101</v>
      </c>
    </row>
    <row r="103" customFormat="false" ht="14.25" hidden="false" customHeight="false" outlineLevel="0" collapsed="false">
      <c r="A103" s="1" t="n">
        <v>161</v>
      </c>
      <c r="B103" s="1" t="s">
        <v>621</v>
      </c>
      <c r="C103" s="1" t="s">
        <v>622</v>
      </c>
      <c r="D103" s="1" t="n">
        <v>11171</v>
      </c>
      <c r="E103" s="1" t="s">
        <v>55</v>
      </c>
      <c r="F103" s="201" t="n">
        <v>200025888665</v>
      </c>
      <c r="G103" s="198" t="s">
        <v>667</v>
      </c>
      <c r="H103" s="163" t="s">
        <v>218</v>
      </c>
      <c r="I103" s="161" t="n">
        <v>11</v>
      </c>
      <c r="J103" s="156" t="s">
        <v>185</v>
      </c>
      <c r="K103" s="200" t="n">
        <v>45435.307037037</v>
      </c>
      <c r="L103" s="1" t="n">
        <v>2</v>
      </c>
      <c r="M103" s="156" t="s">
        <v>185</v>
      </c>
      <c r="N103" s="1" t="n">
        <v>102</v>
      </c>
    </row>
    <row r="104" customFormat="false" ht="14.25" hidden="false" customHeight="false" outlineLevel="0" collapsed="false">
      <c r="A104" s="1" t="n">
        <v>162</v>
      </c>
      <c r="B104" s="1" t="s">
        <v>621</v>
      </c>
      <c r="C104" s="1" t="s">
        <v>622</v>
      </c>
      <c r="D104" s="1" t="n">
        <v>11171</v>
      </c>
      <c r="E104" s="1" t="s">
        <v>55</v>
      </c>
      <c r="F104" s="201" t="n">
        <v>200025888665</v>
      </c>
      <c r="G104" s="198" t="s">
        <v>667</v>
      </c>
      <c r="H104" s="163" t="s">
        <v>218</v>
      </c>
      <c r="I104" s="161" t="n">
        <v>11</v>
      </c>
      <c r="J104" s="156" t="s">
        <v>185</v>
      </c>
      <c r="K104" s="200" t="n">
        <v>45435.3070601852</v>
      </c>
      <c r="L104" s="1" t="n">
        <v>1</v>
      </c>
      <c r="M104" s="156" t="s">
        <v>185</v>
      </c>
      <c r="N104" s="1" t="n">
        <v>103</v>
      </c>
    </row>
    <row r="105" customFormat="false" ht="14.25" hidden="false" customHeight="false" outlineLevel="0" collapsed="false">
      <c r="A105" s="1" t="n">
        <v>163</v>
      </c>
      <c r="B105" s="1" t="s">
        <v>621</v>
      </c>
      <c r="C105" s="1" t="s">
        <v>622</v>
      </c>
      <c r="D105" s="1" t="n">
        <v>11171</v>
      </c>
      <c r="E105" s="1" t="s">
        <v>55</v>
      </c>
      <c r="F105" s="201" t="n">
        <v>200025888665</v>
      </c>
      <c r="G105" s="198" t="s">
        <v>667</v>
      </c>
      <c r="H105" s="163" t="s">
        <v>218</v>
      </c>
      <c r="I105" s="161" t="n">
        <v>11</v>
      </c>
      <c r="J105" s="156" t="s">
        <v>185</v>
      </c>
      <c r="K105" s="200" t="n">
        <v>45435.3070717593</v>
      </c>
      <c r="L105" s="1" t="n">
        <v>0</v>
      </c>
      <c r="M105" s="156" t="s">
        <v>185</v>
      </c>
      <c r="N105" s="3" t="n">
        <v>104</v>
      </c>
    </row>
    <row r="106" customFormat="false" ht="14.25" hidden="false" customHeight="false" outlineLevel="0" collapsed="false">
      <c r="A106" s="1" t="n">
        <v>164</v>
      </c>
      <c r="B106" s="1" t="s">
        <v>621</v>
      </c>
      <c r="C106" s="1" t="s">
        <v>622</v>
      </c>
      <c r="D106" s="1" t="n">
        <v>11171</v>
      </c>
      <c r="E106" s="1" t="s">
        <v>55</v>
      </c>
      <c r="F106" s="201" t="n">
        <v>200025888665</v>
      </c>
      <c r="G106" s="198" t="s">
        <v>667</v>
      </c>
      <c r="H106" s="163" t="s">
        <v>218</v>
      </c>
      <c r="I106" s="161" t="n">
        <v>11</v>
      </c>
      <c r="J106" s="156" t="s">
        <v>185</v>
      </c>
      <c r="K106" s="200" t="n">
        <v>45435.3080439815</v>
      </c>
      <c r="L106" s="1" t="n">
        <v>3</v>
      </c>
      <c r="M106" s="156" t="s">
        <v>185</v>
      </c>
      <c r="N106" s="3" t="n">
        <v>105</v>
      </c>
    </row>
    <row r="107" customFormat="false" ht="14.25" hidden="false" customHeight="false" outlineLevel="0" collapsed="false">
      <c r="A107" s="1" t="n">
        <v>165</v>
      </c>
      <c r="B107" s="1" t="s">
        <v>621</v>
      </c>
      <c r="C107" s="1" t="s">
        <v>622</v>
      </c>
      <c r="D107" s="1" t="n">
        <v>11171</v>
      </c>
      <c r="E107" s="1" t="s">
        <v>55</v>
      </c>
      <c r="F107" s="201" t="n">
        <v>200025888256</v>
      </c>
      <c r="G107" s="198" t="s">
        <v>668</v>
      </c>
      <c r="H107" s="163" t="s">
        <v>291</v>
      </c>
      <c r="I107" s="161" t="n">
        <v>68</v>
      </c>
      <c r="J107" s="156" t="s">
        <v>185</v>
      </c>
      <c r="K107" s="200" t="n">
        <v>45435.3095601852</v>
      </c>
      <c r="L107" s="1" t="n">
        <v>4</v>
      </c>
      <c r="M107" s="156" t="s">
        <v>185</v>
      </c>
      <c r="N107" s="1" t="n">
        <v>106</v>
      </c>
    </row>
    <row r="108" customFormat="false" ht="14.25" hidden="false" customHeight="false" outlineLevel="0" collapsed="false">
      <c r="A108" s="1" t="n">
        <v>166</v>
      </c>
      <c r="B108" s="1" t="s">
        <v>621</v>
      </c>
      <c r="C108" s="1" t="s">
        <v>622</v>
      </c>
      <c r="D108" s="1" t="n">
        <v>11171</v>
      </c>
      <c r="E108" s="1" t="s">
        <v>55</v>
      </c>
      <c r="F108" s="201" t="n">
        <v>200025888485</v>
      </c>
      <c r="G108" s="198" t="s">
        <v>634</v>
      </c>
      <c r="H108" s="163" t="s">
        <v>327</v>
      </c>
      <c r="I108" s="161" t="n">
        <v>93</v>
      </c>
      <c r="J108" s="156" t="s">
        <v>185</v>
      </c>
      <c r="K108" s="200" t="n">
        <v>45435.3110185185</v>
      </c>
      <c r="L108" s="1" t="n">
        <v>2</v>
      </c>
      <c r="M108" s="156" t="s">
        <v>185</v>
      </c>
      <c r="N108" s="1" t="n">
        <v>107</v>
      </c>
    </row>
    <row r="109" customFormat="false" ht="14.25" hidden="false" customHeight="false" outlineLevel="0" collapsed="false">
      <c r="A109" s="1" t="n">
        <v>167</v>
      </c>
      <c r="B109" s="1" t="s">
        <v>621</v>
      </c>
      <c r="C109" s="1" t="s">
        <v>622</v>
      </c>
      <c r="D109" s="1" t="n">
        <v>11171</v>
      </c>
      <c r="E109" s="1" t="s">
        <v>55</v>
      </c>
      <c r="F109" s="201" t="n">
        <v>200025888485</v>
      </c>
      <c r="G109" s="198" t="s">
        <v>634</v>
      </c>
      <c r="H109" s="163" t="s">
        <v>327</v>
      </c>
      <c r="I109" s="161" t="n">
        <v>93</v>
      </c>
      <c r="J109" s="156" t="s">
        <v>185</v>
      </c>
      <c r="K109" s="200" t="n">
        <v>45435.3112384259</v>
      </c>
      <c r="L109" s="1" t="n">
        <v>2</v>
      </c>
      <c r="M109" s="156" t="s">
        <v>185</v>
      </c>
      <c r="N109" s="1" t="n">
        <v>108</v>
      </c>
    </row>
    <row r="110" customFormat="false" ht="14.25" hidden="false" customHeight="false" outlineLevel="0" collapsed="false">
      <c r="A110" s="1" t="n">
        <v>168</v>
      </c>
      <c r="B110" s="1" t="s">
        <v>621</v>
      </c>
      <c r="C110" s="1" t="s">
        <v>622</v>
      </c>
      <c r="D110" s="1" t="n">
        <v>11171</v>
      </c>
      <c r="E110" s="1" t="s">
        <v>55</v>
      </c>
      <c r="F110" s="201" t="n">
        <v>200025888485</v>
      </c>
      <c r="G110" s="198" t="s">
        <v>634</v>
      </c>
      <c r="H110" s="163" t="s">
        <v>327</v>
      </c>
      <c r="I110" s="161" t="n">
        <v>93</v>
      </c>
      <c r="J110" s="156" t="s">
        <v>185</v>
      </c>
      <c r="K110" s="200" t="n">
        <v>45435.3119444444</v>
      </c>
      <c r="L110" s="1" t="n">
        <v>1</v>
      </c>
      <c r="M110" s="156" t="s">
        <v>185</v>
      </c>
      <c r="N110" s="3" t="n">
        <v>109</v>
      </c>
    </row>
    <row r="111" customFormat="false" ht="14.25" hidden="false" customHeight="false" outlineLevel="0" collapsed="false">
      <c r="A111" s="1" t="n">
        <v>169</v>
      </c>
      <c r="B111" s="1" t="s">
        <v>621</v>
      </c>
      <c r="C111" s="1" t="s">
        <v>622</v>
      </c>
      <c r="D111" s="1" t="n">
        <v>11171</v>
      </c>
      <c r="E111" s="1" t="s">
        <v>55</v>
      </c>
      <c r="F111" s="201" t="n">
        <v>200025888485</v>
      </c>
      <c r="G111" s="198" t="s">
        <v>634</v>
      </c>
      <c r="H111" s="163" t="s">
        <v>327</v>
      </c>
      <c r="I111" s="161" t="n">
        <v>93</v>
      </c>
      <c r="J111" s="156" t="s">
        <v>185</v>
      </c>
      <c r="K111" s="200" t="n">
        <v>45435.3119560185</v>
      </c>
      <c r="L111" s="1" t="n">
        <v>1</v>
      </c>
      <c r="M111" s="156" t="s">
        <v>185</v>
      </c>
      <c r="N111" s="3" t="n">
        <v>110</v>
      </c>
    </row>
    <row r="112" customFormat="false" ht="14.25" hidden="false" customHeight="false" outlineLevel="0" collapsed="false">
      <c r="A112" s="1" t="n">
        <v>170</v>
      </c>
      <c r="B112" s="1" t="s">
        <v>621</v>
      </c>
      <c r="C112" s="1" t="s">
        <v>622</v>
      </c>
      <c r="D112" s="1" t="n">
        <v>11171</v>
      </c>
      <c r="E112" s="1" t="s">
        <v>55</v>
      </c>
      <c r="F112" s="201" t="n">
        <v>200025888485</v>
      </c>
      <c r="G112" s="198" t="s">
        <v>634</v>
      </c>
      <c r="H112" s="163" t="s">
        <v>327</v>
      </c>
      <c r="I112" s="161" t="n">
        <v>93</v>
      </c>
      <c r="J112" s="156" t="s">
        <v>185</v>
      </c>
      <c r="K112" s="200" t="n">
        <v>45435.3131597222</v>
      </c>
      <c r="L112" s="1" t="n">
        <v>1</v>
      </c>
      <c r="M112" s="156" t="s">
        <v>185</v>
      </c>
      <c r="N112" s="1" t="n">
        <v>111</v>
      </c>
    </row>
    <row r="113" customFormat="false" ht="14.25" hidden="false" customHeight="false" outlineLevel="0" collapsed="false">
      <c r="A113" s="1" t="n">
        <v>171</v>
      </c>
      <c r="B113" s="1" t="s">
        <v>621</v>
      </c>
      <c r="C113" s="1" t="s">
        <v>622</v>
      </c>
      <c r="D113" s="1" t="n">
        <v>11171</v>
      </c>
      <c r="E113" s="1" t="s">
        <v>55</v>
      </c>
      <c r="F113" s="201" t="n">
        <v>200025888485</v>
      </c>
      <c r="G113" s="198" t="s">
        <v>634</v>
      </c>
      <c r="H113" s="163" t="s">
        <v>327</v>
      </c>
      <c r="I113" s="161" t="n">
        <v>93</v>
      </c>
      <c r="J113" s="156" t="s">
        <v>185</v>
      </c>
      <c r="K113" s="200" t="n">
        <v>45435.3155324074</v>
      </c>
      <c r="L113" s="1" t="n">
        <v>3</v>
      </c>
      <c r="M113" s="156" t="s">
        <v>185</v>
      </c>
      <c r="N113" s="1" t="n">
        <v>112</v>
      </c>
    </row>
    <row r="114" customFormat="false" ht="14.25" hidden="false" customHeight="false" outlineLevel="0" collapsed="false">
      <c r="A114" s="1" t="n">
        <v>172</v>
      </c>
      <c r="B114" s="1" t="s">
        <v>621</v>
      </c>
      <c r="C114" s="1" t="s">
        <v>622</v>
      </c>
      <c r="D114" s="1" t="n">
        <v>11171</v>
      </c>
      <c r="E114" s="1" t="s">
        <v>55</v>
      </c>
      <c r="F114" s="201" t="n">
        <v>200025888485</v>
      </c>
      <c r="G114" s="198" t="s">
        <v>634</v>
      </c>
      <c r="H114" s="163" t="s">
        <v>327</v>
      </c>
      <c r="I114" s="161" t="n">
        <v>93</v>
      </c>
      <c r="J114" s="156" t="s">
        <v>185</v>
      </c>
      <c r="K114" s="200" t="n">
        <v>45435.3161574074</v>
      </c>
      <c r="L114" s="1" t="n">
        <v>1</v>
      </c>
      <c r="M114" s="156" t="s">
        <v>185</v>
      </c>
      <c r="N114" s="1" t="n">
        <v>113</v>
      </c>
    </row>
    <row r="115" customFormat="false" ht="14.25" hidden="false" customHeight="false" outlineLevel="0" collapsed="false">
      <c r="A115" s="1" t="n">
        <v>173</v>
      </c>
      <c r="B115" s="1" t="s">
        <v>621</v>
      </c>
      <c r="C115" s="1" t="s">
        <v>622</v>
      </c>
      <c r="D115" s="1" t="n">
        <v>11171</v>
      </c>
      <c r="E115" s="1" t="s">
        <v>55</v>
      </c>
      <c r="F115" s="201" t="n">
        <v>200025888485</v>
      </c>
      <c r="G115" s="198" t="s">
        <v>634</v>
      </c>
      <c r="H115" s="163" t="s">
        <v>327</v>
      </c>
      <c r="I115" s="161" t="n">
        <v>93</v>
      </c>
      <c r="J115" s="156" t="s">
        <v>185</v>
      </c>
      <c r="K115" s="200" t="n">
        <v>45435.3161689815</v>
      </c>
      <c r="L115" s="1" t="n">
        <v>1</v>
      </c>
      <c r="M115" s="156" t="s">
        <v>185</v>
      </c>
      <c r="N115" s="3" t="n">
        <v>114</v>
      </c>
    </row>
    <row r="116" customFormat="false" ht="14.25" hidden="false" customHeight="false" outlineLevel="0" collapsed="false">
      <c r="A116" s="1" t="n">
        <v>174</v>
      </c>
      <c r="B116" s="1" t="s">
        <v>621</v>
      </c>
      <c r="C116" s="1" t="s">
        <v>622</v>
      </c>
      <c r="D116" s="1" t="n">
        <v>11171</v>
      </c>
      <c r="E116" s="1" t="s">
        <v>55</v>
      </c>
      <c r="F116" s="201" t="n">
        <v>200025888485</v>
      </c>
      <c r="G116" s="198" t="s">
        <v>634</v>
      </c>
      <c r="H116" s="163" t="s">
        <v>327</v>
      </c>
      <c r="I116" s="161" t="n">
        <v>93</v>
      </c>
      <c r="J116" s="156" t="s">
        <v>185</v>
      </c>
      <c r="K116" s="200" t="n">
        <v>45435.3162268519</v>
      </c>
      <c r="L116" s="1" t="n">
        <v>1</v>
      </c>
      <c r="M116" s="156" t="s">
        <v>185</v>
      </c>
      <c r="N116" s="3" t="n">
        <v>115</v>
      </c>
    </row>
    <row r="117" customFormat="false" ht="14.25" hidden="false" customHeight="false" outlineLevel="0" collapsed="false">
      <c r="A117" s="1" t="n">
        <v>175</v>
      </c>
      <c r="B117" s="1" t="s">
        <v>621</v>
      </c>
      <c r="C117" s="1" t="s">
        <v>622</v>
      </c>
      <c r="D117" s="1" t="n">
        <v>11171</v>
      </c>
      <c r="E117" s="1" t="s">
        <v>55</v>
      </c>
      <c r="F117" s="201" t="n">
        <v>200025888485</v>
      </c>
      <c r="G117" s="198" t="s">
        <v>634</v>
      </c>
      <c r="H117" s="163" t="s">
        <v>327</v>
      </c>
      <c r="I117" s="161" t="n">
        <v>93</v>
      </c>
      <c r="J117" s="156" t="s">
        <v>185</v>
      </c>
      <c r="K117" s="200" t="n">
        <v>45435.3173842593</v>
      </c>
      <c r="L117" s="1" t="n">
        <v>2</v>
      </c>
      <c r="M117" s="156" t="s">
        <v>185</v>
      </c>
      <c r="N117" s="1" t="n">
        <v>116</v>
      </c>
    </row>
    <row r="118" customFormat="false" ht="14.25" hidden="false" customHeight="false" outlineLevel="0" collapsed="false">
      <c r="A118" s="1" t="n">
        <v>176</v>
      </c>
      <c r="B118" s="1" t="s">
        <v>621</v>
      </c>
      <c r="C118" s="1" t="s">
        <v>622</v>
      </c>
      <c r="D118" s="1" t="n">
        <v>11171</v>
      </c>
      <c r="E118" s="1" t="s">
        <v>55</v>
      </c>
      <c r="F118" s="201" t="n">
        <v>200025888916</v>
      </c>
      <c r="G118" s="198" t="s">
        <v>666</v>
      </c>
      <c r="H118" s="163" t="s">
        <v>360</v>
      </c>
      <c r="I118" s="161" t="n">
        <v>73</v>
      </c>
      <c r="J118" s="156" t="s">
        <v>185</v>
      </c>
      <c r="K118" s="200" t="n">
        <v>45435.3179398148</v>
      </c>
      <c r="L118" s="1" t="n">
        <v>2</v>
      </c>
      <c r="M118" s="156" t="s">
        <v>185</v>
      </c>
      <c r="N118" s="1" t="n">
        <v>117</v>
      </c>
    </row>
    <row r="119" customFormat="false" ht="14.25" hidden="false" customHeight="false" outlineLevel="0" collapsed="false">
      <c r="A119" s="1" t="n">
        <v>177</v>
      </c>
      <c r="B119" s="1" t="s">
        <v>621</v>
      </c>
      <c r="C119" s="1" t="s">
        <v>622</v>
      </c>
      <c r="D119" s="1" t="n">
        <v>11171</v>
      </c>
      <c r="E119" s="1" t="s">
        <v>55</v>
      </c>
      <c r="F119" s="201" t="n">
        <v>200025888665</v>
      </c>
      <c r="G119" s="198" t="s">
        <v>667</v>
      </c>
      <c r="H119" s="163" t="s">
        <v>218</v>
      </c>
      <c r="I119" s="161" t="n">
        <v>11</v>
      </c>
      <c r="J119" s="156" t="s">
        <v>185</v>
      </c>
      <c r="K119" s="200" t="n">
        <v>45435.320162037</v>
      </c>
      <c r="L119" s="1" t="n">
        <v>3</v>
      </c>
      <c r="M119" s="156" t="s">
        <v>185</v>
      </c>
      <c r="N119" s="1" t="n">
        <v>118</v>
      </c>
    </row>
    <row r="120" customFormat="false" ht="14.25" hidden="false" customHeight="false" outlineLevel="0" collapsed="false">
      <c r="A120" s="1" t="n">
        <v>178</v>
      </c>
      <c r="B120" s="1" t="s">
        <v>621</v>
      </c>
      <c r="C120" s="1" t="s">
        <v>622</v>
      </c>
      <c r="D120" s="1" t="n">
        <v>11171</v>
      </c>
      <c r="E120" s="1" t="s">
        <v>55</v>
      </c>
      <c r="F120" s="201" t="n">
        <v>200025888256</v>
      </c>
      <c r="G120" s="198" t="s">
        <v>668</v>
      </c>
      <c r="H120" s="163" t="s">
        <v>291</v>
      </c>
      <c r="I120" s="161" t="n">
        <v>68</v>
      </c>
      <c r="J120" s="156" t="s">
        <v>185</v>
      </c>
      <c r="K120" s="200" t="n">
        <v>45435.322349537</v>
      </c>
      <c r="L120" s="1" t="n">
        <v>2</v>
      </c>
      <c r="M120" s="156" t="s">
        <v>185</v>
      </c>
      <c r="N120" s="3" t="n">
        <v>119</v>
      </c>
    </row>
    <row r="121" customFormat="false" ht="14.25" hidden="false" customHeight="false" outlineLevel="0" collapsed="false">
      <c r="A121" s="1" t="n">
        <v>179</v>
      </c>
      <c r="B121" s="1" t="s">
        <v>621</v>
      </c>
      <c r="C121" s="1" t="s">
        <v>622</v>
      </c>
      <c r="D121" s="1" t="n">
        <v>11171</v>
      </c>
      <c r="E121" s="1" t="s">
        <v>55</v>
      </c>
      <c r="F121" s="201" t="n">
        <v>200025888485</v>
      </c>
      <c r="G121" s="198" t="s">
        <v>634</v>
      </c>
      <c r="H121" s="163" t="s">
        <v>327</v>
      </c>
      <c r="I121" s="161" t="n">
        <v>93</v>
      </c>
      <c r="J121" s="156" t="s">
        <v>185</v>
      </c>
      <c r="K121" s="200" t="n">
        <v>45435.3401967593</v>
      </c>
      <c r="L121" s="1" t="n">
        <v>3</v>
      </c>
      <c r="M121" s="156" t="s">
        <v>185</v>
      </c>
      <c r="N121" s="3" t="n">
        <v>120</v>
      </c>
    </row>
    <row r="122" customFormat="false" ht="14.25" hidden="false" customHeight="false" outlineLevel="0" collapsed="false">
      <c r="A122" s="1" t="n">
        <v>180</v>
      </c>
      <c r="B122" s="1" t="s">
        <v>621</v>
      </c>
      <c r="C122" s="1" t="s">
        <v>622</v>
      </c>
      <c r="D122" s="1" t="n">
        <v>11171</v>
      </c>
      <c r="E122" s="1" t="s">
        <v>55</v>
      </c>
      <c r="F122" s="201" t="n">
        <v>200025888256</v>
      </c>
      <c r="G122" s="198" t="s">
        <v>668</v>
      </c>
      <c r="H122" s="163" t="s">
        <v>291</v>
      </c>
      <c r="I122" s="161" t="n">
        <v>68</v>
      </c>
      <c r="J122" s="156" t="s">
        <v>185</v>
      </c>
      <c r="K122" s="200" t="n">
        <v>45435.42125</v>
      </c>
      <c r="L122" s="1" t="n">
        <v>3</v>
      </c>
      <c r="M122" s="156" t="s">
        <v>185</v>
      </c>
      <c r="N122" s="1" t="n">
        <v>121</v>
      </c>
    </row>
    <row r="123" customFormat="false" ht="14.25" hidden="false" customHeight="false" outlineLevel="0" collapsed="false">
      <c r="A123" s="1" t="n">
        <v>181</v>
      </c>
      <c r="B123" s="1" t="s">
        <v>621</v>
      </c>
      <c r="C123" s="1" t="s">
        <v>622</v>
      </c>
      <c r="D123" s="1" t="n">
        <v>11171</v>
      </c>
      <c r="E123" s="1" t="s">
        <v>55</v>
      </c>
      <c r="F123" s="201" t="n">
        <v>200025888485</v>
      </c>
      <c r="G123" s="198" t="s">
        <v>634</v>
      </c>
      <c r="H123" s="163" t="s">
        <v>327</v>
      </c>
      <c r="I123" s="161" t="n">
        <v>93</v>
      </c>
      <c r="J123" s="156" t="s">
        <v>185</v>
      </c>
      <c r="K123" s="200" t="n">
        <v>45435.4257060185</v>
      </c>
      <c r="L123" s="1" t="n">
        <v>3</v>
      </c>
      <c r="M123" s="156" t="s">
        <v>185</v>
      </c>
      <c r="N123" s="1" t="n">
        <v>122</v>
      </c>
    </row>
    <row r="124" customFormat="false" ht="14.25" hidden="false" customHeight="false" outlineLevel="0" collapsed="false">
      <c r="A124" s="1" t="n">
        <v>182</v>
      </c>
      <c r="B124" s="1" t="s">
        <v>621</v>
      </c>
      <c r="C124" s="1" t="s">
        <v>622</v>
      </c>
      <c r="D124" s="1" t="n">
        <v>11171</v>
      </c>
      <c r="E124" s="1" t="s">
        <v>55</v>
      </c>
      <c r="F124" s="201" t="n">
        <v>200025888256</v>
      </c>
      <c r="G124" s="198" t="s">
        <v>668</v>
      </c>
      <c r="H124" s="163" t="s">
        <v>291</v>
      </c>
      <c r="I124" s="161" t="n">
        <v>68</v>
      </c>
      <c r="J124" s="156" t="s">
        <v>185</v>
      </c>
      <c r="K124" s="200" t="n">
        <v>45435.4442824074</v>
      </c>
      <c r="L124" s="1" t="n">
        <v>3</v>
      </c>
      <c r="M124" s="156" t="s">
        <v>185</v>
      </c>
      <c r="N124" s="1" t="n">
        <v>123</v>
      </c>
    </row>
    <row r="125" customFormat="false" ht="14.25" hidden="false" customHeight="false" outlineLevel="0" collapsed="false">
      <c r="A125" s="1" t="n">
        <v>183</v>
      </c>
      <c r="B125" s="1" t="s">
        <v>621</v>
      </c>
      <c r="C125" s="1" t="s">
        <v>622</v>
      </c>
      <c r="D125" s="1" t="n">
        <v>11171</v>
      </c>
      <c r="E125" s="1" t="s">
        <v>55</v>
      </c>
      <c r="F125" s="201" t="n">
        <v>200025888256</v>
      </c>
      <c r="G125" s="198" t="s">
        <v>668</v>
      </c>
      <c r="H125" s="163" t="s">
        <v>291</v>
      </c>
      <c r="I125" s="161" t="n">
        <v>68</v>
      </c>
      <c r="J125" s="156" t="s">
        <v>185</v>
      </c>
      <c r="K125" s="200" t="n">
        <v>45435.4474768519</v>
      </c>
      <c r="L125" s="1" t="n">
        <v>2</v>
      </c>
      <c r="M125" s="156" t="s">
        <v>185</v>
      </c>
      <c r="N125" s="3" t="n">
        <v>124</v>
      </c>
    </row>
    <row r="126" customFormat="false" ht="14.25" hidden="false" customHeight="false" outlineLevel="0" collapsed="false">
      <c r="A126" s="1" t="n">
        <v>184</v>
      </c>
      <c r="B126" s="1" t="s">
        <v>621</v>
      </c>
      <c r="C126" s="1" t="s">
        <v>622</v>
      </c>
      <c r="D126" s="1" t="n">
        <v>11171</v>
      </c>
      <c r="E126" s="1" t="s">
        <v>55</v>
      </c>
      <c r="F126" s="201" t="n">
        <v>200025888637</v>
      </c>
      <c r="G126" s="198" t="s">
        <v>669</v>
      </c>
      <c r="H126" s="163" t="s">
        <v>206</v>
      </c>
      <c r="I126" s="161" t="n">
        <v>4</v>
      </c>
      <c r="J126" s="156" t="s">
        <v>185</v>
      </c>
      <c r="K126" s="200" t="n">
        <v>45435.4481597222</v>
      </c>
      <c r="L126" s="1" t="n">
        <v>6</v>
      </c>
      <c r="M126" s="156" t="s">
        <v>185</v>
      </c>
      <c r="N126" s="3" t="n">
        <v>125</v>
      </c>
    </row>
    <row r="127" customFormat="false" ht="14.25" hidden="false" customHeight="false" outlineLevel="0" collapsed="false">
      <c r="A127" s="1" t="n">
        <v>185</v>
      </c>
      <c r="B127" s="1" t="s">
        <v>621</v>
      </c>
      <c r="C127" s="1" t="s">
        <v>622</v>
      </c>
      <c r="D127" s="1" t="n">
        <v>11171</v>
      </c>
      <c r="E127" s="1" t="s">
        <v>55</v>
      </c>
      <c r="F127" s="201" t="n">
        <v>200025888716</v>
      </c>
      <c r="G127" s="198" t="s">
        <v>646</v>
      </c>
      <c r="H127" s="163" t="s">
        <v>336</v>
      </c>
      <c r="I127" s="161" t="n">
        <v>64</v>
      </c>
      <c r="J127" s="156" t="s">
        <v>185</v>
      </c>
      <c r="K127" s="200" t="n">
        <v>45435.4538425926</v>
      </c>
      <c r="L127" s="1" t="n">
        <v>3</v>
      </c>
      <c r="M127" s="156" t="s">
        <v>185</v>
      </c>
      <c r="N127" s="1" t="n">
        <v>126</v>
      </c>
    </row>
    <row r="128" customFormat="false" ht="14.25" hidden="false" customHeight="false" outlineLevel="0" collapsed="false">
      <c r="A128" s="1" t="n">
        <v>186</v>
      </c>
      <c r="B128" s="1" t="s">
        <v>621</v>
      </c>
      <c r="C128" s="1" t="s">
        <v>622</v>
      </c>
      <c r="D128" s="1" t="n">
        <v>11171</v>
      </c>
      <c r="E128" s="1" t="s">
        <v>55</v>
      </c>
      <c r="F128" s="201" t="n">
        <v>200025888716</v>
      </c>
      <c r="G128" s="198" t="s">
        <v>646</v>
      </c>
      <c r="H128" s="163" t="s">
        <v>336</v>
      </c>
      <c r="I128" s="161" t="n">
        <v>64</v>
      </c>
      <c r="J128" s="156" t="s">
        <v>185</v>
      </c>
      <c r="K128" s="200" t="n">
        <v>45435.4549305556</v>
      </c>
      <c r="L128" s="1" t="n">
        <v>0</v>
      </c>
      <c r="M128" s="156" t="s">
        <v>185</v>
      </c>
      <c r="N128" s="1" t="n">
        <v>127</v>
      </c>
    </row>
    <row r="129" customFormat="false" ht="14.25" hidden="false" customHeight="false" outlineLevel="0" collapsed="false">
      <c r="A129" s="1" t="n">
        <v>187</v>
      </c>
      <c r="B129" s="1" t="s">
        <v>621</v>
      </c>
      <c r="C129" s="1" t="s">
        <v>622</v>
      </c>
      <c r="D129" s="1" t="n">
        <v>11171</v>
      </c>
      <c r="E129" s="1" t="s">
        <v>55</v>
      </c>
      <c r="F129" s="201" t="n">
        <v>200025888485</v>
      </c>
      <c r="G129" s="198" t="s">
        <v>634</v>
      </c>
      <c r="H129" s="163" t="s">
        <v>327</v>
      </c>
      <c r="I129" s="161" t="n">
        <v>93</v>
      </c>
      <c r="J129" s="156" t="s">
        <v>185</v>
      </c>
      <c r="K129" s="200" t="n">
        <v>45435.4573958333</v>
      </c>
      <c r="L129" s="1" t="n">
        <v>2</v>
      </c>
      <c r="M129" s="156" t="s">
        <v>185</v>
      </c>
      <c r="N129" s="1" t="n">
        <v>128</v>
      </c>
    </row>
    <row r="130" customFormat="false" ht="14.25" hidden="false" customHeight="false" outlineLevel="0" collapsed="false">
      <c r="A130" s="1" t="n">
        <v>188</v>
      </c>
      <c r="B130" s="1" t="s">
        <v>621</v>
      </c>
      <c r="C130" s="1" t="s">
        <v>622</v>
      </c>
      <c r="D130" s="1" t="n">
        <v>11171</v>
      </c>
      <c r="E130" s="1" t="s">
        <v>55</v>
      </c>
      <c r="F130" s="201" t="n">
        <v>200025888485</v>
      </c>
      <c r="G130" s="198" t="s">
        <v>634</v>
      </c>
      <c r="H130" s="163" t="s">
        <v>327</v>
      </c>
      <c r="I130" s="161" t="n">
        <v>93</v>
      </c>
      <c r="J130" s="156" t="s">
        <v>185</v>
      </c>
      <c r="K130" s="200" t="n">
        <v>45435.4582291667</v>
      </c>
      <c r="L130" s="1" t="n">
        <v>3</v>
      </c>
      <c r="M130" s="156" t="s">
        <v>185</v>
      </c>
      <c r="N130" s="3" t="n">
        <v>129</v>
      </c>
    </row>
    <row r="131" customFormat="false" ht="14.25" hidden="false" customHeight="false" outlineLevel="0" collapsed="false">
      <c r="A131" s="1" t="n">
        <v>189</v>
      </c>
      <c r="B131" s="1" t="s">
        <v>621</v>
      </c>
      <c r="C131" s="1" t="s">
        <v>622</v>
      </c>
      <c r="D131" s="1" t="n">
        <v>11171</v>
      </c>
      <c r="E131" s="1" t="s">
        <v>55</v>
      </c>
      <c r="F131" s="201" t="n">
        <v>200025888173</v>
      </c>
      <c r="G131" s="198" t="s">
        <v>670</v>
      </c>
      <c r="H131" s="163" t="s">
        <v>189</v>
      </c>
      <c r="I131" s="161" t="n">
        <v>63</v>
      </c>
      <c r="J131" s="156" t="s">
        <v>185</v>
      </c>
      <c r="K131" s="200" t="n">
        <v>45435.4608796296</v>
      </c>
      <c r="L131" s="1" t="n">
        <v>2</v>
      </c>
      <c r="M131" s="156" t="s">
        <v>185</v>
      </c>
      <c r="N131" s="3" t="n">
        <v>130</v>
      </c>
    </row>
    <row r="132" customFormat="false" ht="14.25" hidden="false" customHeight="false" outlineLevel="0" collapsed="false">
      <c r="A132" s="1" t="n">
        <v>162</v>
      </c>
      <c r="B132" s="1" t="s">
        <v>624</v>
      </c>
      <c r="C132" s="1" t="s">
        <v>625</v>
      </c>
      <c r="D132" s="1" t="n">
        <v>21261</v>
      </c>
      <c r="E132" s="1" t="s">
        <v>57</v>
      </c>
      <c r="F132" s="201" t="n">
        <v>200025889289</v>
      </c>
      <c r="G132" s="198" t="s">
        <v>673</v>
      </c>
      <c r="H132" s="163" t="s">
        <v>309</v>
      </c>
      <c r="I132" s="161" t="n">
        <v>47</v>
      </c>
      <c r="J132" s="156" t="s">
        <v>185</v>
      </c>
      <c r="K132" s="200" t="n">
        <v>45435.4617592593</v>
      </c>
      <c r="L132" s="1" t="n">
        <v>0</v>
      </c>
      <c r="M132" s="156" t="s">
        <v>185</v>
      </c>
      <c r="N132" s="1" t="n">
        <v>131</v>
      </c>
    </row>
    <row r="133" customFormat="false" ht="14.25" hidden="false" customHeight="false" outlineLevel="0" collapsed="false">
      <c r="A133" s="1" t="n">
        <v>190</v>
      </c>
      <c r="B133" s="1" t="s">
        <v>621</v>
      </c>
      <c r="C133" s="1" t="s">
        <v>622</v>
      </c>
      <c r="D133" s="1" t="n">
        <v>11171</v>
      </c>
      <c r="E133" s="1" t="s">
        <v>55</v>
      </c>
      <c r="F133" s="201" t="n">
        <v>200025888264</v>
      </c>
      <c r="G133" s="198" t="s">
        <v>650</v>
      </c>
      <c r="H133" s="163" t="s">
        <v>212</v>
      </c>
      <c r="I133" s="161" t="n">
        <v>5</v>
      </c>
      <c r="J133" s="156" t="s">
        <v>185</v>
      </c>
      <c r="K133" s="200" t="n">
        <v>45435.4618518519</v>
      </c>
      <c r="L133" s="1" t="n">
        <v>0</v>
      </c>
      <c r="M133" s="156" t="s">
        <v>185</v>
      </c>
      <c r="N133" s="1" t="n">
        <v>132</v>
      </c>
    </row>
    <row r="134" customFormat="false" ht="14.25" hidden="false" customHeight="false" outlineLevel="0" collapsed="false">
      <c r="A134" s="1" t="n">
        <v>191</v>
      </c>
      <c r="B134" s="1" t="s">
        <v>621</v>
      </c>
      <c r="C134" s="1" t="s">
        <v>622</v>
      </c>
      <c r="D134" s="1" t="n">
        <v>11171</v>
      </c>
      <c r="E134" s="1" t="s">
        <v>55</v>
      </c>
      <c r="F134" s="201" t="n">
        <v>200025888264</v>
      </c>
      <c r="G134" s="198" t="s">
        <v>650</v>
      </c>
      <c r="H134" s="163" t="s">
        <v>212</v>
      </c>
      <c r="I134" s="161" t="n">
        <v>5</v>
      </c>
      <c r="J134" s="156" t="s">
        <v>185</v>
      </c>
      <c r="K134" s="200" t="n">
        <v>45435.4618634259</v>
      </c>
      <c r="L134" s="1" t="n">
        <v>2</v>
      </c>
      <c r="M134" s="156" t="s">
        <v>185</v>
      </c>
      <c r="N134" s="1" t="n">
        <v>133</v>
      </c>
    </row>
    <row r="135" customFormat="false" ht="14.25" hidden="false" customHeight="false" outlineLevel="0" collapsed="false">
      <c r="A135" s="1" t="n">
        <v>192</v>
      </c>
      <c r="B135" s="1" t="s">
        <v>621</v>
      </c>
      <c r="C135" s="1" t="s">
        <v>622</v>
      </c>
      <c r="D135" s="1" t="n">
        <v>11171</v>
      </c>
      <c r="E135" s="1" t="s">
        <v>55</v>
      </c>
      <c r="F135" s="201" t="n">
        <v>200025888264</v>
      </c>
      <c r="G135" s="198" t="s">
        <v>650</v>
      </c>
      <c r="H135" s="163" t="s">
        <v>212</v>
      </c>
      <c r="I135" s="161" t="n">
        <v>5</v>
      </c>
      <c r="J135" s="156" t="s">
        <v>185</v>
      </c>
      <c r="K135" s="200" t="n">
        <v>45435.4629398148</v>
      </c>
      <c r="L135" s="1" t="n">
        <v>2</v>
      </c>
      <c r="M135" s="156" t="s">
        <v>185</v>
      </c>
      <c r="N135" s="3" t="n">
        <v>134</v>
      </c>
    </row>
    <row r="136" customFormat="false" ht="14.25" hidden="false" customHeight="false" outlineLevel="0" collapsed="false">
      <c r="A136" s="1" t="n">
        <v>193</v>
      </c>
      <c r="B136" s="1" t="s">
        <v>621</v>
      </c>
      <c r="C136" s="1" t="s">
        <v>622</v>
      </c>
      <c r="D136" s="1" t="n">
        <v>11171</v>
      </c>
      <c r="E136" s="1" t="s">
        <v>55</v>
      </c>
      <c r="F136" s="201" t="n">
        <v>200025888264</v>
      </c>
      <c r="G136" s="198" t="s">
        <v>650</v>
      </c>
      <c r="H136" s="163" t="s">
        <v>212</v>
      </c>
      <c r="I136" s="161" t="n">
        <v>5</v>
      </c>
      <c r="J136" s="156" t="s">
        <v>185</v>
      </c>
      <c r="K136" s="200" t="n">
        <v>45435.4630902778</v>
      </c>
      <c r="L136" s="1" t="n">
        <v>1</v>
      </c>
      <c r="M136" s="156" t="s">
        <v>185</v>
      </c>
      <c r="N136" s="3" t="n">
        <v>135</v>
      </c>
    </row>
    <row r="137" customFormat="false" ht="14.25" hidden="false" customHeight="false" outlineLevel="0" collapsed="false">
      <c r="A137" s="1" t="n">
        <v>194</v>
      </c>
      <c r="B137" s="1" t="s">
        <v>621</v>
      </c>
      <c r="C137" s="1" t="s">
        <v>622</v>
      </c>
      <c r="D137" s="1" t="n">
        <v>11171</v>
      </c>
      <c r="E137" s="1" t="s">
        <v>55</v>
      </c>
      <c r="F137" s="201" t="n">
        <v>200025888677</v>
      </c>
      <c r="G137" s="198" t="s">
        <v>671</v>
      </c>
      <c r="H137" s="163" t="s">
        <v>348</v>
      </c>
      <c r="I137" s="161" t="n">
        <v>70</v>
      </c>
      <c r="J137" s="156" t="s">
        <v>185</v>
      </c>
      <c r="K137" s="200" t="n">
        <v>45435.4655555556</v>
      </c>
      <c r="L137" s="1" t="n">
        <v>0</v>
      </c>
      <c r="M137" s="156" t="s">
        <v>185</v>
      </c>
      <c r="N137" s="1" t="n">
        <v>136</v>
      </c>
    </row>
    <row r="138" customFormat="false" ht="14.25" hidden="false" customHeight="false" outlineLevel="0" collapsed="false">
      <c r="A138" s="1" t="n">
        <v>195</v>
      </c>
      <c r="B138" s="1" t="s">
        <v>621</v>
      </c>
      <c r="C138" s="1" t="s">
        <v>622</v>
      </c>
      <c r="D138" s="1" t="n">
        <v>11171</v>
      </c>
      <c r="E138" s="1" t="s">
        <v>55</v>
      </c>
      <c r="F138" s="201" t="n">
        <v>200025888716</v>
      </c>
      <c r="G138" s="198" t="s">
        <v>646</v>
      </c>
      <c r="H138" s="163" t="s">
        <v>336</v>
      </c>
      <c r="I138" s="161" t="n">
        <v>64</v>
      </c>
      <c r="J138" s="156" t="s">
        <v>185</v>
      </c>
      <c r="K138" s="200" t="n">
        <v>45435.491400463</v>
      </c>
      <c r="L138" s="1" t="n">
        <v>2</v>
      </c>
      <c r="M138" s="156" t="s">
        <v>185</v>
      </c>
      <c r="N138" s="1" t="n">
        <v>137</v>
      </c>
    </row>
    <row r="139" customFormat="false" ht="14.25" hidden="false" customHeight="false" outlineLevel="0" collapsed="false">
      <c r="A139" s="1" t="n">
        <v>196</v>
      </c>
      <c r="B139" s="1" t="s">
        <v>621</v>
      </c>
      <c r="C139" s="1" t="s">
        <v>622</v>
      </c>
      <c r="D139" s="1" t="n">
        <v>11171</v>
      </c>
      <c r="E139" s="1" t="s">
        <v>55</v>
      </c>
      <c r="F139" s="201" t="n">
        <v>200025888256</v>
      </c>
      <c r="G139" s="198" t="s">
        <v>668</v>
      </c>
      <c r="H139" s="163" t="s">
        <v>291</v>
      </c>
      <c r="I139" s="161" t="n">
        <v>68</v>
      </c>
      <c r="J139" s="156" t="s">
        <v>185</v>
      </c>
      <c r="K139" s="200" t="n">
        <v>45435.5750578704</v>
      </c>
      <c r="L139" s="1" t="n">
        <v>3</v>
      </c>
      <c r="M139" s="156" t="s">
        <v>185</v>
      </c>
      <c r="N139" s="1" t="n">
        <v>138</v>
      </c>
    </row>
    <row r="140" customFormat="false" ht="14.25" hidden="false" customHeight="false" outlineLevel="0" collapsed="false">
      <c r="A140" s="1" t="n">
        <v>197</v>
      </c>
      <c r="B140" s="1" t="s">
        <v>621</v>
      </c>
      <c r="C140" s="1" t="s">
        <v>622</v>
      </c>
      <c r="D140" s="1" t="n">
        <v>11171</v>
      </c>
      <c r="E140" s="1" t="s">
        <v>55</v>
      </c>
      <c r="F140" s="201" t="n">
        <v>200025888955</v>
      </c>
      <c r="G140" s="198" t="s">
        <v>672</v>
      </c>
      <c r="H140" s="163" t="s">
        <v>285</v>
      </c>
      <c r="I140" s="161" t="n">
        <v>32</v>
      </c>
      <c r="J140" s="156" t="s">
        <v>185</v>
      </c>
      <c r="K140" s="200" t="n">
        <v>45435.6068055556</v>
      </c>
      <c r="L140" s="1" t="n">
        <v>2</v>
      </c>
      <c r="M140" s="156" t="s">
        <v>185</v>
      </c>
      <c r="N140" s="3" t="n">
        <v>139</v>
      </c>
    </row>
    <row r="141" customFormat="false" ht="14.25" hidden="false" customHeight="false" outlineLevel="0" collapsed="false">
      <c r="A141" s="1" t="n">
        <v>198</v>
      </c>
      <c r="B141" s="1" t="s">
        <v>621</v>
      </c>
      <c r="C141" s="1" t="s">
        <v>622</v>
      </c>
      <c r="D141" s="1" t="n">
        <v>11171</v>
      </c>
      <c r="E141" s="1" t="s">
        <v>55</v>
      </c>
      <c r="F141" s="201" t="n">
        <v>200025889289</v>
      </c>
      <c r="G141" s="198" t="s">
        <v>673</v>
      </c>
      <c r="H141" s="163" t="s">
        <v>309</v>
      </c>
      <c r="I141" s="161" t="n">
        <v>47</v>
      </c>
      <c r="J141" s="156" t="s">
        <v>185</v>
      </c>
      <c r="K141" s="200" t="n">
        <v>45435.6096990741</v>
      </c>
      <c r="L141" s="1" t="n">
        <v>2</v>
      </c>
      <c r="M141" s="156" t="s">
        <v>185</v>
      </c>
      <c r="N141" s="3" t="n">
        <v>140</v>
      </c>
    </row>
    <row r="142" customFormat="false" ht="14.25" hidden="false" customHeight="false" outlineLevel="0" collapsed="false">
      <c r="A142" s="1" t="n">
        <v>199</v>
      </c>
      <c r="B142" s="1" t="s">
        <v>621</v>
      </c>
      <c r="C142" s="1" t="s">
        <v>622</v>
      </c>
      <c r="D142" s="1" t="n">
        <v>11171</v>
      </c>
      <c r="E142" s="1" t="s">
        <v>55</v>
      </c>
      <c r="F142" s="201" t="n">
        <v>200025888955</v>
      </c>
      <c r="G142" s="198" t="s">
        <v>672</v>
      </c>
      <c r="H142" s="163" t="s">
        <v>285</v>
      </c>
      <c r="I142" s="161" t="n">
        <v>32</v>
      </c>
      <c r="J142" s="156" t="s">
        <v>185</v>
      </c>
      <c r="K142" s="200" t="n">
        <v>45435.6110532407</v>
      </c>
      <c r="L142" s="1" t="n">
        <v>5</v>
      </c>
      <c r="M142" s="156" t="s">
        <v>185</v>
      </c>
      <c r="N142" s="1" t="n">
        <v>141</v>
      </c>
    </row>
    <row r="143" customFormat="false" ht="14.25" hidden="false" customHeight="false" outlineLevel="0" collapsed="false">
      <c r="A143" s="1" t="n">
        <v>200</v>
      </c>
      <c r="B143" s="1" t="s">
        <v>621</v>
      </c>
      <c r="C143" s="1" t="s">
        <v>622</v>
      </c>
      <c r="D143" s="1" t="n">
        <v>11171</v>
      </c>
      <c r="E143" s="1" t="s">
        <v>55</v>
      </c>
      <c r="F143" s="201" t="n">
        <v>200025888256</v>
      </c>
      <c r="G143" s="198" t="s">
        <v>668</v>
      </c>
      <c r="H143" s="163" t="s">
        <v>291</v>
      </c>
      <c r="I143" s="161" t="n">
        <v>68</v>
      </c>
      <c r="J143" s="156" t="s">
        <v>185</v>
      </c>
      <c r="K143" s="200" t="n">
        <v>45435.6120717593</v>
      </c>
      <c r="L143" s="1" t="n">
        <v>2</v>
      </c>
      <c r="M143" s="156" t="s">
        <v>185</v>
      </c>
      <c r="N143" s="1" t="n">
        <v>142</v>
      </c>
    </row>
    <row r="144" customFormat="false" ht="14.25" hidden="false" customHeight="false" outlineLevel="0" collapsed="false">
      <c r="A144" s="1" t="n">
        <v>201</v>
      </c>
      <c r="B144" s="1" t="s">
        <v>621</v>
      </c>
      <c r="C144" s="1" t="s">
        <v>622</v>
      </c>
      <c r="D144" s="1" t="n">
        <v>11171</v>
      </c>
      <c r="E144" s="1" t="s">
        <v>55</v>
      </c>
      <c r="F144" s="201" t="n">
        <v>200025888637</v>
      </c>
      <c r="G144" s="198" t="s">
        <v>669</v>
      </c>
      <c r="H144" s="163" t="s">
        <v>206</v>
      </c>
      <c r="I144" s="161" t="n">
        <v>4</v>
      </c>
      <c r="J144" s="156" t="s">
        <v>185</v>
      </c>
      <c r="K144" s="200" t="n">
        <v>45435.6144560185</v>
      </c>
      <c r="L144" s="1" t="n">
        <v>3</v>
      </c>
      <c r="M144" s="156" t="s">
        <v>185</v>
      </c>
      <c r="N144" s="1" t="n">
        <v>143</v>
      </c>
    </row>
    <row r="145" customFormat="false" ht="14.25" hidden="false" customHeight="false" outlineLevel="0" collapsed="false">
      <c r="A145" s="1" t="n">
        <v>202</v>
      </c>
      <c r="B145" s="1" t="s">
        <v>621</v>
      </c>
      <c r="C145" s="1" t="s">
        <v>622</v>
      </c>
      <c r="D145" s="1" t="n">
        <v>11171</v>
      </c>
      <c r="E145" s="1" t="s">
        <v>55</v>
      </c>
      <c r="F145" s="201" t="n">
        <v>200025888637</v>
      </c>
      <c r="G145" s="198" t="s">
        <v>669</v>
      </c>
      <c r="H145" s="163" t="s">
        <v>206</v>
      </c>
      <c r="I145" s="161" t="n">
        <v>4</v>
      </c>
      <c r="J145" s="156" t="s">
        <v>185</v>
      </c>
      <c r="K145" s="200" t="n">
        <v>45435.6148148148</v>
      </c>
      <c r="L145" s="1" t="n">
        <v>3</v>
      </c>
      <c r="M145" s="156" t="s">
        <v>185</v>
      </c>
      <c r="N145" s="3" t="n">
        <v>144</v>
      </c>
    </row>
    <row r="146" customFormat="false" ht="14.25" hidden="false" customHeight="false" outlineLevel="0" collapsed="false">
      <c r="A146" s="1" t="n">
        <v>203</v>
      </c>
      <c r="B146" s="1" t="s">
        <v>621</v>
      </c>
      <c r="C146" s="1" t="s">
        <v>622</v>
      </c>
      <c r="D146" s="1" t="n">
        <v>11171</v>
      </c>
      <c r="E146" s="1" t="s">
        <v>55</v>
      </c>
      <c r="F146" s="201" t="n">
        <v>200025888485</v>
      </c>
      <c r="G146" s="198" t="s">
        <v>634</v>
      </c>
      <c r="H146" s="163" t="s">
        <v>327</v>
      </c>
      <c r="I146" s="161" t="n">
        <v>93</v>
      </c>
      <c r="J146" s="156" t="s">
        <v>185</v>
      </c>
      <c r="K146" s="200" t="n">
        <v>45435.6160763889</v>
      </c>
      <c r="L146" s="1" t="n">
        <v>2</v>
      </c>
      <c r="M146" s="156" t="s">
        <v>185</v>
      </c>
      <c r="N146" s="3" t="n">
        <v>145</v>
      </c>
    </row>
    <row r="147" customFormat="false" ht="14.25" hidden="false" customHeight="false" outlineLevel="0" collapsed="false">
      <c r="A147" s="1" t="n">
        <v>204</v>
      </c>
      <c r="B147" s="1" t="s">
        <v>621</v>
      </c>
      <c r="C147" s="1" t="s">
        <v>622</v>
      </c>
      <c r="D147" s="1" t="n">
        <v>11171</v>
      </c>
      <c r="E147" s="1" t="s">
        <v>55</v>
      </c>
      <c r="F147" s="201" t="n">
        <v>200025888716</v>
      </c>
      <c r="G147" s="198" t="s">
        <v>646</v>
      </c>
      <c r="H147" s="163" t="s">
        <v>336</v>
      </c>
      <c r="I147" s="161" t="n">
        <v>64</v>
      </c>
      <c r="J147" s="156" t="s">
        <v>185</v>
      </c>
      <c r="K147" s="200" t="n">
        <v>45435.6170023148</v>
      </c>
      <c r="L147" s="1" t="n">
        <v>2</v>
      </c>
      <c r="M147" s="156" t="s">
        <v>185</v>
      </c>
      <c r="N147" s="1" t="n">
        <v>146</v>
      </c>
    </row>
    <row r="148" customFormat="false" ht="14.25" hidden="false" customHeight="false" outlineLevel="0" collapsed="false">
      <c r="A148" s="1" t="n">
        <v>205</v>
      </c>
      <c r="B148" s="1" t="s">
        <v>621</v>
      </c>
      <c r="C148" s="1" t="s">
        <v>622</v>
      </c>
      <c r="D148" s="1" t="n">
        <v>11171</v>
      </c>
      <c r="E148" s="1" t="s">
        <v>55</v>
      </c>
      <c r="F148" s="201" t="n">
        <v>200025888955</v>
      </c>
      <c r="G148" s="198" t="s">
        <v>672</v>
      </c>
      <c r="H148" s="163" t="s">
        <v>285</v>
      </c>
      <c r="I148" s="161" t="n">
        <v>32</v>
      </c>
      <c r="J148" s="156" t="s">
        <v>185</v>
      </c>
      <c r="K148" s="200" t="n">
        <v>45435.6180671296</v>
      </c>
      <c r="L148" s="1" t="n">
        <v>2</v>
      </c>
      <c r="M148" s="156" t="s">
        <v>185</v>
      </c>
      <c r="N148" s="1" t="n">
        <v>147</v>
      </c>
    </row>
    <row r="149" customFormat="false" ht="14.25" hidden="false" customHeight="false" outlineLevel="0" collapsed="false">
      <c r="A149" s="1" t="n">
        <v>206</v>
      </c>
      <c r="B149" s="1" t="s">
        <v>621</v>
      </c>
      <c r="C149" s="1" t="s">
        <v>622</v>
      </c>
      <c r="D149" s="1" t="n">
        <v>11171</v>
      </c>
      <c r="E149" s="1" t="s">
        <v>55</v>
      </c>
      <c r="F149" s="201" t="n">
        <v>200025888860</v>
      </c>
      <c r="G149" s="198" t="s">
        <v>674</v>
      </c>
      <c r="H149" s="163" t="s">
        <v>197</v>
      </c>
      <c r="I149" s="161" t="n">
        <v>3</v>
      </c>
      <c r="J149" s="156" t="s">
        <v>185</v>
      </c>
      <c r="K149" s="200" t="n">
        <v>45435.6208217593</v>
      </c>
      <c r="L149" s="1" t="n">
        <v>2</v>
      </c>
      <c r="M149" s="156" t="s">
        <v>185</v>
      </c>
      <c r="N149" s="1" t="n">
        <v>148</v>
      </c>
    </row>
    <row r="150" customFormat="false" ht="14.25" hidden="false" customHeight="false" outlineLevel="0" collapsed="false">
      <c r="A150" s="1" t="n">
        <v>207</v>
      </c>
      <c r="B150" s="1" t="s">
        <v>621</v>
      </c>
      <c r="C150" s="1" t="s">
        <v>622</v>
      </c>
      <c r="D150" s="1" t="n">
        <v>11171</v>
      </c>
      <c r="E150" s="1" t="s">
        <v>55</v>
      </c>
      <c r="F150" s="201" t="n">
        <v>200025889051</v>
      </c>
      <c r="G150" s="198" t="s">
        <v>633</v>
      </c>
      <c r="H150" s="163" t="s">
        <v>269</v>
      </c>
      <c r="I150" s="161" t="n">
        <v>26</v>
      </c>
      <c r="J150" s="156" t="s">
        <v>185</v>
      </c>
      <c r="K150" s="200" t="n">
        <v>45435.6218171296</v>
      </c>
      <c r="L150" s="1" t="n">
        <v>2</v>
      </c>
      <c r="M150" s="156" t="s">
        <v>185</v>
      </c>
      <c r="N150" s="3" t="n">
        <v>149</v>
      </c>
    </row>
    <row r="151" customFormat="false" ht="14.25" hidden="false" customHeight="false" outlineLevel="0" collapsed="false">
      <c r="A151" s="1" t="n">
        <v>208</v>
      </c>
      <c r="B151" s="1" t="s">
        <v>621</v>
      </c>
      <c r="C151" s="1" t="s">
        <v>622</v>
      </c>
      <c r="D151" s="1" t="n">
        <v>11171</v>
      </c>
      <c r="E151" s="1" t="s">
        <v>55</v>
      </c>
      <c r="F151" s="201" t="n">
        <v>200025888256</v>
      </c>
      <c r="G151" s="198" t="s">
        <v>668</v>
      </c>
      <c r="H151" s="163" t="s">
        <v>291</v>
      </c>
      <c r="I151" s="161" t="n">
        <v>68</v>
      </c>
      <c r="J151" s="156" t="s">
        <v>185</v>
      </c>
      <c r="K151" s="200" t="n">
        <v>45435.6718287037</v>
      </c>
      <c r="L151" s="1" t="n">
        <v>0</v>
      </c>
      <c r="M151" s="156" t="s">
        <v>185</v>
      </c>
      <c r="N151" s="3" t="n">
        <v>150</v>
      </c>
    </row>
    <row r="152" customFormat="false" ht="14.25" hidden="false" customHeight="false" outlineLevel="0" collapsed="false">
      <c r="A152" s="1" t="n">
        <v>209</v>
      </c>
      <c r="B152" s="1" t="s">
        <v>621</v>
      </c>
      <c r="C152" s="1" t="s">
        <v>622</v>
      </c>
      <c r="D152" s="1" t="n">
        <v>11171</v>
      </c>
      <c r="E152" s="1" t="s">
        <v>55</v>
      </c>
      <c r="F152" s="201" t="n">
        <v>200025889392</v>
      </c>
      <c r="G152" s="198" t="s">
        <v>675</v>
      </c>
      <c r="H152" s="163" t="s">
        <v>354</v>
      </c>
      <c r="I152" s="161" t="n">
        <v>72</v>
      </c>
      <c r="J152" s="156" t="s">
        <v>185</v>
      </c>
      <c r="K152" s="200" t="n">
        <v>45435.6723148148</v>
      </c>
      <c r="L152" s="1" t="n">
        <v>2</v>
      </c>
      <c r="M152" s="156" t="s">
        <v>185</v>
      </c>
      <c r="N152" s="1" t="n">
        <v>151</v>
      </c>
    </row>
    <row r="153" customFormat="false" ht="14.25" hidden="false" customHeight="false" outlineLevel="0" collapsed="false">
      <c r="A153" s="1" t="n">
        <v>163</v>
      </c>
      <c r="B153" s="1" t="s">
        <v>624</v>
      </c>
      <c r="C153" s="1" t="s">
        <v>625</v>
      </c>
      <c r="D153" s="1" t="n">
        <v>21261</v>
      </c>
      <c r="E153" s="1" t="s">
        <v>57</v>
      </c>
      <c r="F153" s="201" t="n">
        <v>200025888174</v>
      </c>
      <c r="G153" s="198" t="s">
        <v>676</v>
      </c>
      <c r="H153" s="163" t="s">
        <v>203</v>
      </c>
      <c r="I153" s="161" t="n">
        <v>45</v>
      </c>
      <c r="J153" s="156" t="s">
        <v>185</v>
      </c>
      <c r="K153" s="200" t="n">
        <v>45435.6732523148</v>
      </c>
      <c r="L153" s="1" t="n">
        <v>0</v>
      </c>
      <c r="M153" s="156" t="s">
        <v>185</v>
      </c>
      <c r="N153" s="1" t="n">
        <v>152</v>
      </c>
    </row>
    <row r="154" customFormat="false" ht="14.25" hidden="false" customHeight="false" outlineLevel="0" collapsed="false">
      <c r="A154" s="1" t="n">
        <v>210</v>
      </c>
      <c r="B154" s="1" t="s">
        <v>621</v>
      </c>
      <c r="C154" s="1" t="s">
        <v>622</v>
      </c>
      <c r="D154" s="1" t="n">
        <v>11171</v>
      </c>
      <c r="E154" s="1" t="s">
        <v>55</v>
      </c>
      <c r="F154" s="201" t="n">
        <v>200025888256</v>
      </c>
      <c r="G154" s="198" t="s">
        <v>668</v>
      </c>
      <c r="H154" s="163" t="s">
        <v>291</v>
      </c>
      <c r="I154" s="161" t="n">
        <v>68</v>
      </c>
      <c r="J154" s="156" t="s">
        <v>185</v>
      </c>
      <c r="K154" s="200" t="n">
        <v>45435.6760185185</v>
      </c>
      <c r="L154" s="1" t="n">
        <v>1</v>
      </c>
      <c r="M154" s="156" t="s">
        <v>185</v>
      </c>
      <c r="N154" s="1" t="n">
        <v>153</v>
      </c>
    </row>
    <row r="155" customFormat="false" ht="14.25" hidden="false" customHeight="false" outlineLevel="0" collapsed="false">
      <c r="A155" s="1" t="n">
        <v>211</v>
      </c>
      <c r="B155" s="1" t="s">
        <v>621</v>
      </c>
      <c r="C155" s="1" t="s">
        <v>622</v>
      </c>
      <c r="D155" s="1" t="n">
        <v>11171</v>
      </c>
      <c r="E155" s="1" t="s">
        <v>55</v>
      </c>
      <c r="F155" s="201" t="n">
        <v>200025888256</v>
      </c>
      <c r="G155" s="198" t="s">
        <v>668</v>
      </c>
      <c r="H155" s="163" t="s">
        <v>291</v>
      </c>
      <c r="I155" s="161" t="n">
        <v>68</v>
      </c>
      <c r="J155" s="156" t="s">
        <v>185</v>
      </c>
      <c r="K155" s="200" t="n">
        <v>45435.6760300926</v>
      </c>
      <c r="L155" s="1" t="n">
        <v>1</v>
      </c>
      <c r="M155" s="156" t="s">
        <v>185</v>
      </c>
      <c r="N155" s="3" t="n">
        <v>154</v>
      </c>
    </row>
    <row r="156" customFormat="false" ht="14.25" hidden="false" customHeight="false" outlineLevel="0" collapsed="false">
      <c r="A156" s="1" t="n">
        <v>212</v>
      </c>
      <c r="B156" s="1" t="s">
        <v>621</v>
      </c>
      <c r="C156" s="1" t="s">
        <v>622</v>
      </c>
      <c r="D156" s="1" t="n">
        <v>11171</v>
      </c>
      <c r="E156" s="1" t="s">
        <v>55</v>
      </c>
      <c r="F156" s="201" t="n">
        <v>200025888174</v>
      </c>
      <c r="G156" s="198" t="s">
        <v>676</v>
      </c>
      <c r="H156" s="163" t="s">
        <v>203</v>
      </c>
      <c r="I156" s="161" t="n">
        <v>45</v>
      </c>
      <c r="J156" s="156" t="s">
        <v>185</v>
      </c>
      <c r="K156" s="200" t="n">
        <v>45435.6792939815</v>
      </c>
      <c r="L156" s="1" t="n">
        <v>2</v>
      </c>
      <c r="M156" s="156" t="s">
        <v>185</v>
      </c>
      <c r="N156" s="3" t="n">
        <v>155</v>
      </c>
    </row>
    <row r="157" customFormat="false" ht="14.25" hidden="false" customHeight="false" outlineLevel="0" collapsed="false">
      <c r="A157" s="1" t="n">
        <v>213</v>
      </c>
      <c r="B157" s="1" t="s">
        <v>621</v>
      </c>
      <c r="C157" s="1" t="s">
        <v>622</v>
      </c>
      <c r="D157" s="1" t="n">
        <v>11171</v>
      </c>
      <c r="E157" s="1" t="s">
        <v>55</v>
      </c>
      <c r="F157" s="201" t="n">
        <v>200025888174</v>
      </c>
      <c r="G157" s="198" t="s">
        <v>676</v>
      </c>
      <c r="H157" s="163" t="s">
        <v>203</v>
      </c>
      <c r="I157" s="161" t="n">
        <v>45</v>
      </c>
      <c r="J157" s="156" t="s">
        <v>185</v>
      </c>
      <c r="K157" s="200" t="n">
        <v>45435.6807638889</v>
      </c>
      <c r="L157" s="1" t="n">
        <v>0</v>
      </c>
      <c r="M157" s="156" t="s">
        <v>185</v>
      </c>
      <c r="N157" s="1" t="n">
        <v>156</v>
      </c>
    </row>
    <row r="158" customFormat="false" ht="14.25" hidden="false" customHeight="false" outlineLevel="0" collapsed="false">
      <c r="A158" s="1" t="n">
        <v>214</v>
      </c>
      <c r="B158" s="1" t="s">
        <v>621</v>
      </c>
      <c r="C158" s="1" t="s">
        <v>622</v>
      </c>
      <c r="D158" s="1" t="n">
        <v>11171</v>
      </c>
      <c r="E158" s="1" t="s">
        <v>55</v>
      </c>
      <c r="F158" s="201" t="n">
        <v>200025888174</v>
      </c>
      <c r="G158" s="198" t="s">
        <v>676</v>
      </c>
      <c r="H158" s="163" t="s">
        <v>203</v>
      </c>
      <c r="I158" s="161" t="n">
        <v>45</v>
      </c>
      <c r="J158" s="156" t="s">
        <v>185</v>
      </c>
      <c r="K158" s="200" t="n">
        <v>45435.680775463</v>
      </c>
      <c r="L158" s="1" t="n">
        <v>1</v>
      </c>
      <c r="M158" s="156" t="s">
        <v>185</v>
      </c>
      <c r="N158" s="1" t="n">
        <v>157</v>
      </c>
    </row>
    <row r="159" customFormat="false" ht="14.25" hidden="false" customHeight="false" outlineLevel="0" collapsed="false">
      <c r="A159" s="1" t="n">
        <v>215</v>
      </c>
      <c r="B159" s="1" t="s">
        <v>621</v>
      </c>
      <c r="C159" s="1" t="s">
        <v>622</v>
      </c>
      <c r="D159" s="1" t="n">
        <v>11171</v>
      </c>
      <c r="E159" s="1" t="s">
        <v>55</v>
      </c>
      <c r="F159" s="201" t="n">
        <v>200025888221</v>
      </c>
      <c r="G159" s="198" t="s">
        <v>663</v>
      </c>
      <c r="H159" s="163" t="s">
        <v>266</v>
      </c>
      <c r="I159" s="161" t="n">
        <v>42</v>
      </c>
      <c r="J159" s="156" t="s">
        <v>185</v>
      </c>
      <c r="K159" s="200" t="n">
        <v>45435.6828472222</v>
      </c>
      <c r="L159" s="1" t="n">
        <v>1</v>
      </c>
      <c r="M159" s="156" t="s">
        <v>185</v>
      </c>
      <c r="N159" s="1" t="n">
        <v>158</v>
      </c>
    </row>
    <row r="160" customFormat="false" ht="14.25" hidden="false" customHeight="false" outlineLevel="0" collapsed="false">
      <c r="A160" s="1" t="n">
        <v>216</v>
      </c>
      <c r="B160" s="1" t="s">
        <v>621</v>
      </c>
      <c r="C160" s="1" t="s">
        <v>622</v>
      </c>
      <c r="D160" s="1" t="n">
        <v>11171</v>
      </c>
      <c r="E160" s="1" t="s">
        <v>55</v>
      </c>
      <c r="F160" s="201" t="n">
        <v>200025888256</v>
      </c>
      <c r="G160" s="198" t="s">
        <v>668</v>
      </c>
      <c r="H160" s="163" t="s">
        <v>291</v>
      </c>
      <c r="I160" s="161" t="n">
        <v>68</v>
      </c>
      <c r="J160" s="156" t="s">
        <v>185</v>
      </c>
      <c r="K160" s="200" t="n">
        <v>45435.6835532407</v>
      </c>
      <c r="L160" s="1" t="n">
        <v>3</v>
      </c>
      <c r="M160" s="156" t="s">
        <v>185</v>
      </c>
      <c r="N160" s="3" t="n">
        <v>159</v>
      </c>
    </row>
    <row r="161" customFormat="false" ht="14.25" hidden="false" customHeight="false" outlineLevel="0" collapsed="false">
      <c r="A161" s="1" t="n">
        <v>217</v>
      </c>
      <c r="B161" s="1" t="s">
        <v>621</v>
      </c>
      <c r="C161" s="1" t="s">
        <v>622</v>
      </c>
      <c r="D161" s="1" t="n">
        <v>11171</v>
      </c>
      <c r="E161" s="1" t="s">
        <v>55</v>
      </c>
      <c r="F161" s="201" t="n">
        <v>200025889262</v>
      </c>
      <c r="G161" s="198" t="s">
        <v>677</v>
      </c>
      <c r="H161" s="163" t="s">
        <v>375</v>
      </c>
      <c r="I161" s="161" t="n">
        <v>90</v>
      </c>
      <c r="J161" s="156" t="s">
        <v>185</v>
      </c>
      <c r="K161" s="200" t="n">
        <v>45435.6844560185</v>
      </c>
      <c r="L161" s="1" t="n">
        <v>1</v>
      </c>
      <c r="M161" s="156" t="s">
        <v>185</v>
      </c>
      <c r="N161" s="3" t="n">
        <v>160</v>
      </c>
    </row>
    <row r="162" customFormat="false" ht="14.25" hidden="false" customHeight="false" outlineLevel="0" collapsed="false">
      <c r="A162" s="1" t="n">
        <v>218</v>
      </c>
      <c r="B162" s="1" t="s">
        <v>621</v>
      </c>
      <c r="C162" s="1" t="s">
        <v>622</v>
      </c>
      <c r="D162" s="1" t="n">
        <v>11171</v>
      </c>
      <c r="E162" s="1" t="s">
        <v>55</v>
      </c>
      <c r="F162" s="201" t="n">
        <v>200025888256</v>
      </c>
      <c r="G162" s="198" t="s">
        <v>668</v>
      </c>
      <c r="H162" s="163" t="s">
        <v>291</v>
      </c>
      <c r="I162" s="161" t="n">
        <v>68</v>
      </c>
      <c r="J162" s="156" t="s">
        <v>185</v>
      </c>
      <c r="K162" s="200" t="n">
        <v>45435.687037037</v>
      </c>
      <c r="L162" s="1" t="n">
        <v>3</v>
      </c>
      <c r="M162" s="156" t="s">
        <v>185</v>
      </c>
      <c r="N162" s="1" t="n">
        <v>161</v>
      </c>
    </row>
    <row r="163" customFormat="false" ht="14.25" hidden="false" customHeight="false" outlineLevel="0" collapsed="false">
      <c r="A163" s="1" t="n">
        <v>219</v>
      </c>
      <c r="B163" s="1" t="s">
        <v>621</v>
      </c>
      <c r="C163" s="1" t="s">
        <v>622</v>
      </c>
      <c r="D163" s="1" t="n">
        <v>11171</v>
      </c>
      <c r="E163" s="1" t="s">
        <v>55</v>
      </c>
      <c r="F163" s="201" t="n">
        <v>200025888256</v>
      </c>
      <c r="G163" s="198" t="s">
        <v>668</v>
      </c>
      <c r="H163" s="163" t="s">
        <v>291</v>
      </c>
      <c r="I163" s="161" t="n">
        <v>68</v>
      </c>
      <c r="J163" s="156" t="s">
        <v>185</v>
      </c>
      <c r="K163" s="200" t="n">
        <v>45435.6878240741</v>
      </c>
      <c r="L163" s="1" t="n">
        <v>2</v>
      </c>
      <c r="M163" s="156" t="s">
        <v>185</v>
      </c>
      <c r="N163" s="1" t="n">
        <v>162</v>
      </c>
    </row>
    <row r="164" customFormat="false" ht="14.25" hidden="false" customHeight="false" outlineLevel="0" collapsed="false">
      <c r="A164" s="1" t="n">
        <v>220</v>
      </c>
      <c r="B164" s="1" t="s">
        <v>621</v>
      </c>
      <c r="C164" s="1" t="s">
        <v>622</v>
      </c>
      <c r="D164" s="1" t="n">
        <v>11171</v>
      </c>
      <c r="E164" s="1" t="s">
        <v>55</v>
      </c>
      <c r="F164" s="201" t="n">
        <v>200025889217</v>
      </c>
      <c r="G164" s="198" t="s">
        <v>678</v>
      </c>
      <c r="H164" s="163" t="s">
        <v>315</v>
      </c>
      <c r="I164" s="161" t="n">
        <v>49</v>
      </c>
      <c r="J164" s="156" t="s">
        <v>185</v>
      </c>
      <c r="K164" s="200" t="n">
        <v>45435.7118402778</v>
      </c>
      <c r="L164" s="1" t="n">
        <v>1</v>
      </c>
      <c r="M164" s="156" t="s">
        <v>185</v>
      </c>
      <c r="N164" s="1" t="n">
        <v>163</v>
      </c>
    </row>
    <row r="165" customFormat="false" ht="14.25" hidden="false" customHeight="false" outlineLevel="0" collapsed="false">
      <c r="A165" s="1" t="n">
        <v>221</v>
      </c>
      <c r="B165" s="1" t="s">
        <v>621</v>
      </c>
      <c r="C165" s="1" t="s">
        <v>622</v>
      </c>
      <c r="D165" s="1" t="n">
        <v>11171</v>
      </c>
      <c r="E165" s="1" t="s">
        <v>55</v>
      </c>
      <c r="F165" s="201" t="n">
        <v>200025888174</v>
      </c>
      <c r="G165" s="198" t="s">
        <v>676</v>
      </c>
      <c r="H165" s="163" t="s">
        <v>203</v>
      </c>
      <c r="I165" s="161" t="n">
        <v>45</v>
      </c>
      <c r="J165" s="156" t="s">
        <v>185</v>
      </c>
      <c r="K165" s="200" t="n">
        <v>45435.7268055556</v>
      </c>
      <c r="L165" s="1" t="n">
        <v>5</v>
      </c>
      <c r="M165" s="156" t="s">
        <v>185</v>
      </c>
      <c r="N165" s="3" t="n">
        <v>164</v>
      </c>
    </row>
    <row r="166" customFormat="false" ht="14.25" hidden="false" customHeight="false" outlineLevel="0" collapsed="false">
      <c r="A166" s="1" t="n">
        <v>222</v>
      </c>
      <c r="B166" s="1" t="s">
        <v>621</v>
      </c>
      <c r="C166" s="1" t="s">
        <v>622</v>
      </c>
      <c r="D166" s="1" t="n">
        <v>11171</v>
      </c>
      <c r="E166" s="1" t="s">
        <v>55</v>
      </c>
      <c r="F166" s="201" t="n">
        <v>200025888256</v>
      </c>
      <c r="G166" s="198" t="s">
        <v>668</v>
      </c>
      <c r="H166" s="163" t="s">
        <v>291</v>
      </c>
      <c r="I166" s="161" t="n">
        <v>68</v>
      </c>
      <c r="J166" s="156" t="s">
        <v>185</v>
      </c>
      <c r="K166" s="200" t="n">
        <v>45435.7320023148</v>
      </c>
      <c r="L166" s="1" t="n">
        <v>4</v>
      </c>
      <c r="M166" s="156" t="s">
        <v>185</v>
      </c>
      <c r="N166" s="3" t="n">
        <v>165</v>
      </c>
    </row>
    <row r="167" customFormat="false" ht="14.25" hidden="false" customHeight="false" outlineLevel="0" collapsed="false">
      <c r="A167" s="1" t="n">
        <v>223</v>
      </c>
      <c r="B167" s="1" t="s">
        <v>621</v>
      </c>
      <c r="C167" s="1" t="s">
        <v>622</v>
      </c>
      <c r="D167" s="1" t="n">
        <v>11171</v>
      </c>
      <c r="E167" s="1" t="s">
        <v>55</v>
      </c>
      <c r="F167" s="201" t="n">
        <v>200025888910</v>
      </c>
      <c r="G167" s="198" t="s">
        <v>635</v>
      </c>
      <c r="H167" s="163" t="s">
        <v>418</v>
      </c>
      <c r="I167" s="161" t="n">
        <v>109</v>
      </c>
      <c r="J167" s="156" t="s">
        <v>185</v>
      </c>
      <c r="K167" s="200" t="n">
        <v>45435.7329166667</v>
      </c>
      <c r="L167" s="1" t="n">
        <v>2</v>
      </c>
      <c r="M167" s="156" t="s">
        <v>185</v>
      </c>
      <c r="N167" s="1" t="n">
        <v>166</v>
      </c>
    </row>
    <row r="168" customFormat="false" ht="14.25" hidden="false" customHeight="false" outlineLevel="0" collapsed="false">
      <c r="A168" s="1" t="n">
        <v>224</v>
      </c>
      <c r="B168" s="1" t="s">
        <v>621</v>
      </c>
      <c r="C168" s="1" t="s">
        <v>622</v>
      </c>
      <c r="D168" s="1" t="n">
        <v>11171</v>
      </c>
      <c r="E168" s="1" t="s">
        <v>55</v>
      </c>
      <c r="F168" s="201" t="n">
        <v>200025888955</v>
      </c>
      <c r="G168" s="198" t="s">
        <v>672</v>
      </c>
      <c r="H168" s="163" t="s">
        <v>285</v>
      </c>
      <c r="I168" s="161" t="n">
        <v>32</v>
      </c>
      <c r="J168" s="156" t="s">
        <v>185</v>
      </c>
      <c r="K168" s="200" t="n">
        <v>45435.7351041667</v>
      </c>
      <c r="L168" s="1" t="n">
        <v>2</v>
      </c>
      <c r="M168" s="156" t="s">
        <v>185</v>
      </c>
      <c r="N168" s="1" t="n">
        <v>167</v>
      </c>
    </row>
    <row r="169" customFormat="false" ht="14.25" hidden="false" customHeight="false" outlineLevel="0" collapsed="false">
      <c r="A169" s="1" t="n">
        <v>225</v>
      </c>
      <c r="B169" s="1" t="s">
        <v>621</v>
      </c>
      <c r="C169" s="1" t="s">
        <v>622</v>
      </c>
      <c r="D169" s="1" t="n">
        <v>11171</v>
      </c>
      <c r="E169" s="1" t="s">
        <v>55</v>
      </c>
      <c r="F169" s="201" t="n">
        <v>200025888490</v>
      </c>
      <c r="G169" s="198" t="s">
        <v>679</v>
      </c>
      <c r="H169" s="172" t="n">
        <v>31334</v>
      </c>
      <c r="I169" s="170" t="n">
        <v>116</v>
      </c>
      <c r="J169" s="169" t="s">
        <v>185</v>
      </c>
      <c r="K169" s="200" t="n">
        <v>45435.7361111111</v>
      </c>
      <c r="L169" s="1" t="n">
        <v>1</v>
      </c>
      <c r="M169" s="169" t="s">
        <v>185</v>
      </c>
      <c r="N169" s="1" t="n">
        <v>168</v>
      </c>
    </row>
    <row r="170" customFormat="false" ht="14.25" hidden="false" customHeight="false" outlineLevel="0" collapsed="false">
      <c r="A170" s="1" t="n">
        <v>164</v>
      </c>
      <c r="B170" s="1" t="s">
        <v>624</v>
      </c>
      <c r="C170" s="1" t="s">
        <v>625</v>
      </c>
      <c r="D170" s="1" t="n">
        <v>21261</v>
      </c>
      <c r="E170" s="1" t="s">
        <v>57</v>
      </c>
      <c r="F170" s="201" t="n">
        <v>200025888174</v>
      </c>
      <c r="G170" s="198" t="s">
        <v>676</v>
      </c>
      <c r="H170" s="163" t="s">
        <v>203</v>
      </c>
      <c r="I170" s="161" t="n">
        <v>45</v>
      </c>
      <c r="J170" s="156" t="s">
        <v>185</v>
      </c>
      <c r="K170" s="200" t="n">
        <v>45435.8660532407</v>
      </c>
      <c r="L170" s="1" t="n">
        <v>1</v>
      </c>
      <c r="M170" s="156" t="s">
        <v>185</v>
      </c>
      <c r="N170" s="3" t="n">
        <v>169</v>
      </c>
    </row>
    <row r="171" customFormat="false" ht="14.25" hidden="false" customHeight="false" outlineLevel="0" collapsed="false">
      <c r="A171" s="1" t="n">
        <v>165</v>
      </c>
      <c r="B171" s="1" t="s">
        <v>624</v>
      </c>
      <c r="C171" s="1" t="s">
        <v>625</v>
      </c>
      <c r="D171" s="1" t="n">
        <v>21261</v>
      </c>
      <c r="E171" s="1" t="s">
        <v>57</v>
      </c>
      <c r="F171" s="201" t="n">
        <v>200025888174</v>
      </c>
      <c r="G171" s="198" t="s">
        <v>676</v>
      </c>
      <c r="H171" s="163" t="s">
        <v>203</v>
      </c>
      <c r="I171" s="161" t="n">
        <v>45</v>
      </c>
      <c r="J171" s="156" t="s">
        <v>185</v>
      </c>
      <c r="K171" s="200" t="n">
        <v>45435.8660648148</v>
      </c>
      <c r="L171" s="1" t="n">
        <v>0</v>
      </c>
      <c r="M171" s="156" t="s">
        <v>185</v>
      </c>
      <c r="N171" s="3" t="n">
        <v>170</v>
      </c>
    </row>
    <row r="172" customFormat="false" ht="14.25" hidden="false" customHeight="false" outlineLevel="0" collapsed="false">
      <c r="A172" s="1" t="n">
        <v>166</v>
      </c>
      <c r="B172" s="1" t="s">
        <v>624</v>
      </c>
      <c r="C172" s="1" t="s">
        <v>625</v>
      </c>
      <c r="D172" s="1" t="n">
        <v>21261</v>
      </c>
      <c r="E172" s="1" t="s">
        <v>57</v>
      </c>
      <c r="F172" s="201" t="n">
        <v>200025888910</v>
      </c>
      <c r="G172" s="198" t="s">
        <v>635</v>
      </c>
      <c r="H172" s="163" t="s">
        <v>418</v>
      </c>
      <c r="I172" s="161" t="n">
        <v>109</v>
      </c>
      <c r="J172" s="156" t="s">
        <v>185</v>
      </c>
      <c r="K172" s="200" t="n">
        <v>45435.8751736111</v>
      </c>
      <c r="L172" s="1" t="n">
        <v>1</v>
      </c>
      <c r="M172" s="156" t="s">
        <v>185</v>
      </c>
      <c r="N172" s="1" t="n">
        <v>171</v>
      </c>
    </row>
    <row r="173" customFormat="false" ht="14.25" hidden="false" customHeight="false" outlineLevel="0" collapsed="false">
      <c r="A173" s="1" t="n">
        <v>167</v>
      </c>
      <c r="B173" s="1" t="s">
        <v>624</v>
      </c>
      <c r="C173" s="1" t="s">
        <v>625</v>
      </c>
      <c r="D173" s="1" t="n">
        <v>21261</v>
      </c>
      <c r="E173" s="1" t="s">
        <v>57</v>
      </c>
      <c r="F173" s="201" t="n">
        <v>200025889003</v>
      </c>
      <c r="G173" s="198" t="s">
        <v>706</v>
      </c>
      <c r="H173" s="163" t="s">
        <v>251</v>
      </c>
      <c r="I173" s="161" t="n">
        <v>22</v>
      </c>
      <c r="J173" s="156" t="s">
        <v>185</v>
      </c>
      <c r="K173" s="200" t="n">
        <v>45435.8878240741</v>
      </c>
      <c r="L173" s="1" t="n">
        <v>1</v>
      </c>
      <c r="M173" s="156" t="s">
        <v>185</v>
      </c>
      <c r="N173" s="1" t="n">
        <v>172</v>
      </c>
    </row>
    <row r="174" customFormat="false" ht="14.25" hidden="false" customHeight="false" outlineLevel="0" collapsed="false">
      <c r="A174" s="1" t="n">
        <v>168</v>
      </c>
      <c r="B174" s="1" t="s">
        <v>624</v>
      </c>
      <c r="C174" s="1" t="s">
        <v>625</v>
      </c>
      <c r="D174" s="1" t="n">
        <v>21261</v>
      </c>
      <c r="E174" s="1" t="s">
        <v>57</v>
      </c>
      <c r="F174" s="201" t="n">
        <v>200025888174</v>
      </c>
      <c r="G174" s="198" t="s">
        <v>676</v>
      </c>
      <c r="H174" s="163" t="s">
        <v>203</v>
      </c>
      <c r="I174" s="161" t="n">
        <v>45</v>
      </c>
      <c r="J174" s="156" t="s">
        <v>185</v>
      </c>
      <c r="K174" s="200" t="n">
        <v>45435.8885069444</v>
      </c>
      <c r="L174" s="1" t="n">
        <v>0</v>
      </c>
      <c r="M174" s="156" t="s">
        <v>185</v>
      </c>
      <c r="N174" s="1" t="n">
        <v>173</v>
      </c>
    </row>
    <row r="175" customFormat="false" ht="14.25" hidden="false" customHeight="false" outlineLevel="0" collapsed="false">
      <c r="A175" s="1" t="n">
        <v>169</v>
      </c>
      <c r="B175" s="1" t="s">
        <v>624</v>
      </c>
      <c r="C175" s="1" t="s">
        <v>625</v>
      </c>
      <c r="D175" s="1" t="n">
        <v>21261</v>
      </c>
      <c r="E175" s="1" t="s">
        <v>57</v>
      </c>
      <c r="F175" s="201" t="n">
        <v>200025888469</v>
      </c>
      <c r="G175" s="198" t="s">
        <v>664</v>
      </c>
      <c r="H175" s="163" t="s">
        <v>318</v>
      </c>
      <c r="I175" s="161" t="n">
        <v>114</v>
      </c>
      <c r="J175" s="156" t="s">
        <v>185</v>
      </c>
      <c r="K175" s="200" t="n">
        <v>45435.9283680556</v>
      </c>
      <c r="L175" s="1" t="n">
        <v>0</v>
      </c>
      <c r="M175" s="156" t="s">
        <v>185</v>
      </c>
      <c r="N175" s="3" t="n">
        <v>174</v>
      </c>
    </row>
    <row r="176" customFormat="false" ht="14.25" hidden="false" customHeight="false" outlineLevel="0" collapsed="false">
      <c r="A176" s="1" t="n">
        <v>170</v>
      </c>
      <c r="B176" s="1" t="s">
        <v>624</v>
      </c>
      <c r="C176" s="1" t="s">
        <v>625</v>
      </c>
      <c r="D176" s="1" t="n">
        <v>21261</v>
      </c>
      <c r="E176" s="1" t="s">
        <v>57</v>
      </c>
      <c r="F176" s="201" t="n">
        <v>200025888256</v>
      </c>
      <c r="G176" s="198" t="s">
        <v>668</v>
      </c>
      <c r="H176" s="163" t="s">
        <v>291</v>
      </c>
      <c r="I176" s="161" t="n">
        <v>68</v>
      </c>
      <c r="J176" s="156" t="s">
        <v>185</v>
      </c>
      <c r="K176" s="200" t="n">
        <v>45436.0140740741</v>
      </c>
      <c r="L176" s="1" t="n">
        <v>0</v>
      </c>
      <c r="M176" s="156" t="s">
        <v>185</v>
      </c>
      <c r="N176" s="3" t="n">
        <v>175</v>
      </c>
    </row>
    <row r="177" customFormat="false" ht="14.25" hidden="false" customHeight="false" outlineLevel="0" collapsed="false">
      <c r="A177" s="1" t="n">
        <v>171</v>
      </c>
      <c r="B177" s="1" t="s">
        <v>624</v>
      </c>
      <c r="C177" s="1" t="s">
        <v>625</v>
      </c>
      <c r="D177" s="1" t="n">
        <v>21261</v>
      </c>
      <c r="E177" s="1" t="s">
        <v>57</v>
      </c>
      <c r="F177" s="201" t="n">
        <v>200025888256</v>
      </c>
      <c r="G177" s="198" t="s">
        <v>668</v>
      </c>
      <c r="H177" s="163" t="s">
        <v>291</v>
      </c>
      <c r="I177" s="161" t="n">
        <v>68</v>
      </c>
      <c r="J177" s="156" t="s">
        <v>185</v>
      </c>
      <c r="K177" s="200" t="n">
        <v>45436.0162037037</v>
      </c>
      <c r="L177" s="1" t="n">
        <v>48</v>
      </c>
      <c r="M177" s="156" t="s">
        <v>185</v>
      </c>
      <c r="N177" s="1" t="n">
        <v>176</v>
      </c>
    </row>
    <row r="178" customFormat="false" ht="14.25" hidden="false" customHeight="false" outlineLevel="0" collapsed="false">
      <c r="A178" s="1" t="n">
        <v>14</v>
      </c>
      <c r="B178" s="1" t="s">
        <v>615</v>
      </c>
      <c r="C178" s="1" t="s">
        <v>616</v>
      </c>
      <c r="D178" s="196" t="n">
        <v>2568</v>
      </c>
      <c r="E178" s="196" t="s">
        <v>51</v>
      </c>
      <c r="F178" s="198" t="s">
        <v>617</v>
      </c>
      <c r="G178" s="198" t="s">
        <v>618</v>
      </c>
      <c r="H178" s="163" t="s">
        <v>306</v>
      </c>
      <c r="I178" s="161" t="n">
        <v>96</v>
      </c>
      <c r="J178" s="156" t="s">
        <v>185</v>
      </c>
      <c r="K178" s="200" t="n">
        <v>45436.5506018519</v>
      </c>
      <c r="L178" s="1" t="n">
        <v>1</v>
      </c>
      <c r="M178" s="156" t="s">
        <v>185</v>
      </c>
      <c r="N178" s="1" t="n">
        <v>177</v>
      </c>
    </row>
    <row r="179" customFormat="false" ht="14.25" hidden="false" customHeight="false" outlineLevel="0" collapsed="false">
      <c r="A179" s="1" t="n">
        <v>15</v>
      </c>
      <c r="B179" s="1" t="s">
        <v>615</v>
      </c>
      <c r="C179" s="1" t="s">
        <v>616</v>
      </c>
      <c r="D179" s="196" t="n">
        <v>2568</v>
      </c>
      <c r="E179" s="196" t="s">
        <v>51</v>
      </c>
      <c r="F179" s="198" t="s">
        <v>617</v>
      </c>
      <c r="G179" s="198" t="s">
        <v>618</v>
      </c>
      <c r="H179" s="163" t="s">
        <v>306</v>
      </c>
      <c r="I179" s="161" t="n">
        <v>96</v>
      </c>
      <c r="J179" s="156" t="s">
        <v>185</v>
      </c>
      <c r="K179" s="200" t="n">
        <v>45436.5506134259</v>
      </c>
      <c r="L179" s="1" t="n">
        <v>1</v>
      </c>
      <c r="M179" s="156" t="s">
        <v>185</v>
      </c>
      <c r="N179" s="1" t="n">
        <v>178</v>
      </c>
    </row>
    <row r="180" customFormat="false" ht="14.25" hidden="false" customHeight="false" outlineLevel="0" collapsed="false">
      <c r="A180" s="1" t="n">
        <v>16</v>
      </c>
      <c r="B180" s="1" t="s">
        <v>615</v>
      </c>
      <c r="C180" s="1" t="s">
        <v>616</v>
      </c>
      <c r="D180" s="196" t="n">
        <v>2568</v>
      </c>
      <c r="E180" s="196" t="s">
        <v>51</v>
      </c>
      <c r="F180" s="201" t="n">
        <v>200025889213</v>
      </c>
      <c r="G180" s="198" t="s">
        <v>619</v>
      </c>
      <c r="H180" s="178" t="s">
        <v>390</v>
      </c>
      <c r="I180" s="176" t="n">
        <v>94</v>
      </c>
      <c r="J180" s="175" t="s">
        <v>185</v>
      </c>
      <c r="K180" s="200" t="n">
        <v>45437.2937615741</v>
      </c>
      <c r="L180" s="1" t="n">
        <v>1</v>
      </c>
      <c r="M180" s="175" t="s">
        <v>185</v>
      </c>
      <c r="N180" s="3" t="n">
        <v>179</v>
      </c>
    </row>
    <row r="181" customFormat="false" ht="14.25" hidden="false" customHeight="false" outlineLevel="0" collapsed="false">
      <c r="A181" s="1" t="n">
        <v>17</v>
      </c>
      <c r="B181" s="1" t="s">
        <v>615</v>
      </c>
      <c r="C181" s="1" t="s">
        <v>616</v>
      </c>
      <c r="D181" s="196" t="n">
        <v>2568</v>
      </c>
      <c r="E181" s="196" t="s">
        <v>51</v>
      </c>
      <c r="F181" s="201" t="n">
        <v>200025889213</v>
      </c>
      <c r="G181" s="198" t="s">
        <v>619</v>
      </c>
      <c r="H181" s="178" t="s">
        <v>390</v>
      </c>
      <c r="I181" s="176" t="n">
        <v>94</v>
      </c>
      <c r="J181" s="175" t="s">
        <v>185</v>
      </c>
      <c r="K181" s="200" t="n">
        <v>45437.2937731482</v>
      </c>
      <c r="L181" s="1" t="n">
        <v>2</v>
      </c>
      <c r="M181" s="175" t="s">
        <v>185</v>
      </c>
      <c r="N181" s="3" t="n">
        <v>180</v>
      </c>
    </row>
    <row r="182" customFormat="false" ht="14.25" hidden="false" customHeight="false" outlineLevel="0" collapsed="false">
      <c r="A182" s="1" t="n">
        <v>18</v>
      </c>
      <c r="B182" s="1" t="s">
        <v>615</v>
      </c>
      <c r="C182" s="1" t="s">
        <v>616</v>
      </c>
      <c r="D182" s="196" t="n">
        <v>2568</v>
      </c>
      <c r="E182" s="196" t="s">
        <v>51</v>
      </c>
      <c r="F182" s="201" t="n">
        <v>200025889213</v>
      </c>
      <c r="G182" s="198" t="s">
        <v>619</v>
      </c>
      <c r="H182" s="178" t="s">
        <v>390</v>
      </c>
      <c r="I182" s="176" t="n">
        <v>94</v>
      </c>
      <c r="J182" s="175" t="s">
        <v>185</v>
      </c>
      <c r="K182" s="200" t="n">
        <v>45437.2945949074</v>
      </c>
      <c r="L182" s="1" t="n">
        <v>0</v>
      </c>
      <c r="M182" s="175" t="s">
        <v>185</v>
      </c>
      <c r="N182" s="1" t="n">
        <v>181</v>
      </c>
    </row>
    <row r="183" customFormat="false" ht="14.25" hidden="false" customHeight="false" outlineLevel="0" collapsed="false">
      <c r="A183" s="1" t="n">
        <v>19</v>
      </c>
      <c r="B183" s="1" t="s">
        <v>615</v>
      </c>
      <c r="C183" s="1" t="s">
        <v>616</v>
      </c>
      <c r="D183" s="196" t="n">
        <v>2568</v>
      </c>
      <c r="E183" s="196" t="s">
        <v>51</v>
      </c>
      <c r="F183" s="201" t="n">
        <v>200025889213</v>
      </c>
      <c r="G183" s="198" t="s">
        <v>619</v>
      </c>
      <c r="H183" s="178" t="s">
        <v>390</v>
      </c>
      <c r="I183" s="176" t="n">
        <v>94</v>
      </c>
      <c r="J183" s="175" t="s">
        <v>185</v>
      </c>
      <c r="K183" s="200" t="n">
        <v>45437.2946064815</v>
      </c>
      <c r="L183" s="1" t="n">
        <v>1</v>
      </c>
      <c r="M183" s="175" t="s">
        <v>185</v>
      </c>
      <c r="N183" s="1" t="n">
        <v>182</v>
      </c>
    </row>
    <row r="184" customFormat="false" ht="14.25" hidden="false" customHeight="false" outlineLevel="0" collapsed="false">
      <c r="A184" s="1" t="n">
        <v>20</v>
      </c>
      <c r="B184" s="1" t="s">
        <v>615</v>
      </c>
      <c r="C184" s="1" t="s">
        <v>616</v>
      </c>
      <c r="D184" s="196" t="n">
        <v>2568</v>
      </c>
      <c r="E184" s="196" t="s">
        <v>51</v>
      </c>
      <c r="F184" s="201" t="n">
        <v>200025889213</v>
      </c>
      <c r="G184" s="198" t="s">
        <v>619</v>
      </c>
      <c r="H184" s="178" t="s">
        <v>390</v>
      </c>
      <c r="I184" s="176" t="n">
        <v>94</v>
      </c>
      <c r="J184" s="175" t="s">
        <v>185</v>
      </c>
      <c r="K184" s="200" t="n">
        <v>45437.2951967593</v>
      </c>
      <c r="L184" s="1" t="n">
        <v>0</v>
      </c>
      <c r="M184" s="175" t="s">
        <v>185</v>
      </c>
      <c r="N184" s="1" t="n">
        <v>183</v>
      </c>
    </row>
    <row r="185" customFormat="false" ht="14.25" hidden="false" customHeight="false" outlineLevel="0" collapsed="false">
      <c r="A185" s="1" t="n">
        <v>21</v>
      </c>
      <c r="B185" s="1" t="s">
        <v>615</v>
      </c>
      <c r="C185" s="1" t="s">
        <v>616</v>
      </c>
      <c r="D185" s="196" t="n">
        <v>2568</v>
      </c>
      <c r="E185" s="196" t="s">
        <v>51</v>
      </c>
      <c r="F185" s="201" t="n">
        <v>200025889213</v>
      </c>
      <c r="G185" s="198" t="s">
        <v>619</v>
      </c>
      <c r="H185" s="178" t="s">
        <v>390</v>
      </c>
      <c r="I185" s="176" t="n">
        <v>94</v>
      </c>
      <c r="J185" s="175" t="s">
        <v>185</v>
      </c>
      <c r="K185" s="200" t="n">
        <v>45437.295625</v>
      </c>
      <c r="L185" s="1" t="n">
        <v>2</v>
      </c>
      <c r="M185" s="175" t="s">
        <v>185</v>
      </c>
      <c r="N185" s="3" t="n">
        <v>184</v>
      </c>
    </row>
    <row r="186" customFormat="false" ht="14.25" hidden="false" customHeight="false" outlineLevel="0" collapsed="false">
      <c r="A186" s="1" t="n">
        <v>22</v>
      </c>
      <c r="B186" s="1" t="s">
        <v>615</v>
      </c>
      <c r="C186" s="1" t="s">
        <v>616</v>
      </c>
      <c r="D186" s="196" t="n">
        <v>2568</v>
      </c>
      <c r="E186" s="196" t="s">
        <v>51</v>
      </c>
      <c r="F186" s="201" t="n">
        <v>200025889213</v>
      </c>
      <c r="G186" s="198" t="s">
        <v>619</v>
      </c>
      <c r="H186" s="178" t="s">
        <v>390</v>
      </c>
      <c r="I186" s="176" t="n">
        <v>94</v>
      </c>
      <c r="J186" s="175" t="s">
        <v>185</v>
      </c>
      <c r="K186" s="200" t="n">
        <v>45437.2962615741</v>
      </c>
      <c r="L186" s="1" t="n">
        <v>30</v>
      </c>
      <c r="M186" s="175" t="s">
        <v>185</v>
      </c>
      <c r="N186" s="3" t="n">
        <v>185</v>
      </c>
    </row>
    <row r="187" customFormat="false" ht="14.25" hidden="false" customHeight="false" outlineLevel="0" collapsed="false">
      <c r="A187" s="1" t="n">
        <v>23</v>
      </c>
      <c r="B187" s="1" t="s">
        <v>615</v>
      </c>
      <c r="C187" s="1" t="s">
        <v>616</v>
      </c>
      <c r="D187" s="196" t="n">
        <v>2568</v>
      </c>
      <c r="E187" s="196" t="s">
        <v>51</v>
      </c>
      <c r="F187" s="201" t="n">
        <v>200025889213</v>
      </c>
      <c r="G187" s="198" t="s">
        <v>619</v>
      </c>
      <c r="H187" s="178" t="s">
        <v>390</v>
      </c>
      <c r="I187" s="176" t="n">
        <v>94</v>
      </c>
      <c r="J187" s="175" t="s">
        <v>185</v>
      </c>
      <c r="K187" s="200" t="n">
        <v>45437.2966203704</v>
      </c>
      <c r="L187" s="1" t="n">
        <v>0</v>
      </c>
      <c r="M187" s="175" t="s">
        <v>185</v>
      </c>
      <c r="N187" s="1" t="n">
        <v>186</v>
      </c>
    </row>
    <row r="188" customFormat="false" ht="14.25" hidden="false" customHeight="false" outlineLevel="0" collapsed="false">
      <c r="A188" s="1" t="n">
        <v>24</v>
      </c>
      <c r="B188" s="1" t="s">
        <v>615</v>
      </c>
      <c r="C188" s="1" t="s">
        <v>616</v>
      </c>
      <c r="D188" s="196" t="n">
        <v>2568</v>
      </c>
      <c r="E188" s="196" t="s">
        <v>51</v>
      </c>
      <c r="F188" s="201" t="n">
        <v>200025889213</v>
      </c>
      <c r="G188" s="198" t="s">
        <v>619</v>
      </c>
      <c r="H188" s="178" t="s">
        <v>390</v>
      </c>
      <c r="I188" s="176" t="n">
        <v>94</v>
      </c>
      <c r="J188" s="175" t="s">
        <v>185</v>
      </c>
      <c r="K188" s="200" t="n">
        <v>45437.2972685185</v>
      </c>
      <c r="L188" s="1" t="n">
        <v>2</v>
      </c>
      <c r="M188" s="175" t="s">
        <v>185</v>
      </c>
      <c r="N188" s="1" t="n">
        <v>187</v>
      </c>
    </row>
    <row r="189" customFormat="false" ht="14.25" hidden="false" customHeight="false" outlineLevel="0" collapsed="false">
      <c r="A189" s="1" t="n">
        <v>25</v>
      </c>
      <c r="B189" s="1" t="s">
        <v>615</v>
      </c>
      <c r="C189" s="1" t="s">
        <v>616</v>
      </c>
      <c r="D189" s="196" t="n">
        <v>2568</v>
      </c>
      <c r="E189" s="196" t="s">
        <v>51</v>
      </c>
      <c r="F189" s="201" t="n">
        <v>200025889213</v>
      </c>
      <c r="G189" s="198" t="s">
        <v>619</v>
      </c>
      <c r="H189" s="178" t="s">
        <v>390</v>
      </c>
      <c r="I189" s="176" t="n">
        <v>94</v>
      </c>
      <c r="J189" s="175" t="s">
        <v>185</v>
      </c>
      <c r="K189" s="200" t="n">
        <v>45437.2996990741</v>
      </c>
      <c r="L189" s="1" t="n">
        <v>0</v>
      </c>
      <c r="M189" s="175" t="s">
        <v>185</v>
      </c>
      <c r="N189" s="1" t="n">
        <v>188</v>
      </c>
    </row>
    <row r="190" customFormat="false" ht="14.25" hidden="false" customHeight="false" outlineLevel="0" collapsed="false">
      <c r="A190" s="1" t="n">
        <v>26</v>
      </c>
      <c r="B190" s="1" t="s">
        <v>615</v>
      </c>
      <c r="C190" s="1" t="s">
        <v>616</v>
      </c>
      <c r="D190" s="196" t="n">
        <v>2568</v>
      </c>
      <c r="E190" s="196" t="s">
        <v>51</v>
      </c>
      <c r="F190" s="201" t="n">
        <v>200025889213</v>
      </c>
      <c r="G190" s="198" t="s">
        <v>619</v>
      </c>
      <c r="H190" s="178" t="s">
        <v>390</v>
      </c>
      <c r="I190" s="176" t="n">
        <v>94</v>
      </c>
      <c r="J190" s="175" t="s">
        <v>185</v>
      </c>
      <c r="K190" s="200" t="n">
        <v>45437.2997106482</v>
      </c>
      <c r="L190" s="1" t="n">
        <v>0</v>
      </c>
      <c r="M190" s="175" t="s">
        <v>185</v>
      </c>
      <c r="N190" s="3" t="n">
        <v>189</v>
      </c>
    </row>
    <row r="191" customFormat="false" ht="14.25" hidden="false" customHeight="false" outlineLevel="0" collapsed="false">
      <c r="A191" s="1" t="n">
        <v>27</v>
      </c>
      <c r="B191" s="1" t="s">
        <v>615</v>
      </c>
      <c r="C191" s="1" t="s">
        <v>616</v>
      </c>
      <c r="D191" s="196" t="n">
        <v>2568</v>
      </c>
      <c r="E191" s="196" t="s">
        <v>51</v>
      </c>
      <c r="F191" s="201" t="n">
        <v>200025889213</v>
      </c>
      <c r="G191" s="198" t="s">
        <v>619</v>
      </c>
      <c r="H191" s="178" t="s">
        <v>390</v>
      </c>
      <c r="I191" s="176" t="n">
        <v>94</v>
      </c>
      <c r="J191" s="175" t="s">
        <v>185</v>
      </c>
      <c r="K191" s="200" t="n">
        <v>45437.299849537</v>
      </c>
      <c r="L191" s="1" t="n">
        <v>1</v>
      </c>
      <c r="M191" s="175" t="s">
        <v>185</v>
      </c>
      <c r="N191" s="3" t="n">
        <v>190</v>
      </c>
    </row>
    <row r="192" customFormat="false" ht="14.25" hidden="false" customHeight="false" outlineLevel="0" collapsed="false">
      <c r="A192" s="1" t="n">
        <v>28</v>
      </c>
      <c r="B192" s="1" t="s">
        <v>615</v>
      </c>
      <c r="C192" s="1" t="s">
        <v>616</v>
      </c>
      <c r="D192" s="196" t="n">
        <v>2568</v>
      </c>
      <c r="E192" s="196" t="s">
        <v>51</v>
      </c>
      <c r="F192" s="201" t="n">
        <v>200025889213</v>
      </c>
      <c r="G192" s="198" t="s">
        <v>619</v>
      </c>
      <c r="H192" s="178" t="s">
        <v>390</v>
      </c>
      <c r="I192" s="176" t="n">
        <v>94</v>
      </c>
      <c r="J192" s="175" t="s">
        <v>185</v>
      </c>
      <c r="K192" s="200" t="n">
        <v>45437.3031944444</v>
      </c>
      <c r="L192" s="1" t="n">
        <v>1</v>
      </c>
      <c r="M192" s="175" t="s">
        <v>185</v>
      </c>
      <c r="N192" s="1" t="n">
        <v>191</v>
      </c>
    </row>
    <row r="193" customFormat="false" ht="14.25" hidden="false" customHeight="false" outlineLevel="0" collapsed="false">
      <c r="A193" s="1" t="n">
        <v>29</v>
      </c>
      <c r="B193" s="1" t="s">
        <v>615</v>
      </c>
      <c r="C193" s="1" t="s">
        <v>616</v>
      </c>
      <c r="D193" s="196" t="n">
        <v>2568</v>
      </c>
      <c r="E193" s="196" t="s">
        <v>51</v>
      </c>
      <c r="F193" s="201" t="n">
        <v>200025889213</v>
      </c>
      <c r="G193" s="198" t="s">
        <v>619</v>
      </c>
      <c r="H193" s="178" t="s">
        <v>390</v>
      </c>
      <c r="I193" s="176" t="n">
        <v>94</v>
      </c>
      <c r="J193" s="175" t="s">
        <v>185</v>
      </c>
      <c r="K193" s="200" t="n">
        <v>45437.3063541667</v>
      </c>
      <c r="L193" s="1" t="n">
        <v>1</v>
      </c>
      <c r="M193" s="175" t="s">
        <v>185</v>
      </c>
      <c r="N193" s="1" t="n">
        <v>192</v>
      </c>
    </row>
    <row r="194" customFormat="false" ht="14.25" hidden="false" customHeight="false" outlineLevel="0" collapsed="false">
      <c r="A194" s="1" t="n">
        <v>30</v>
      </c>
      <c r="B194" s="1" t="s">
        <v>615</v>
      </c>
      <c r="C194" s="1" t="s">
        <v>616</v>
      </c>
      <c r="D194" s="196" t="n">
        <v>2568</v>
      </c>
      <c r="E194" s="196" t="s">
        <v>51</v>
      </c>
      <c r="F194" s="201" t="n">
        <v>200025889213</v>
      </c>
      <c r="G194" s="198" t="s">
        <v>619</v>
      </c>
      <c r="H194" s="178" t="s">
        <v>390</v>
      </c>
      <c r="I194" s="176" t="n">
        <v>94</v>
      </c>
      <c r="J194" s="175" t="s">
        <v>185</v>
      </c>
      <c r="K194" s="200" t="n">
        <v>45437.3068981482</v>
      </c>
      <c r="L194" s="1" t="n">
        <v>1</v>
      </c>
      <c r="M194" s="175" t="s">
        <v>185</v>
      </c>
      <c r="N194" s="1" t="n">
        <v>193</v>
      </c>
    </row>
    <row r="195" customFormat="false" ht="14.25" hidden="false" customHeight="false" outlineLevel="0" collapsed="false">
      <c r="A195" s="1" t="n">
        <v>31</v>
      </c>
      <c r="B195" s="1" t="s">
        <v>615</v>
      </c>
      <c r="C195" s="1" t="s">
        <v>616</v>
      </c>
      <c r="D195" s="196" t="n">
        <v>2568</v>
      </c>
      <c r="E195" s="196" t="s">
        <v>51</v>
      </c>
      <c r="F195" s="201" t="n">
        <v>200025889213</v>
      </c>
      <c r="G195" s="198" t="s">
        <v>619</v>
      </c>
      <c r="H195" s="178" t="s">
        <v>390</v>
      </c>
      <c r="I195" s="176" t="n">
        <v>94</v>
      </c>
      <c r="J195" s="175" t="s">
        <v>185</v>
      </c>
      <c r="K195" s="200" t="n">
        <v>45437.3075462963</v>
      </c>
      <c r="L195" s="1" t="n">
        <v>1</v>
      </c>
      <c r="M195" s="175" t="s">
        <v>185</v>
      </c>
      <c r="N195" s="3" t="n">
        <v>194</v>
      </c>
    </row>
    <row r="196" customFormat="false" ht="14.25" hidden="false" customHeight="false" outlineLevel="0" collapsed="false">
      <c r="A196" s="1" t="n">
        <v>32</v>
      </c>
      <c r="B196" s="1" t="s">
        <v>615</v>
      </c>
      <c r="C196" s="1" t="s">
        <v>616</v>
      </c>
      <c r="D196" s="196" t="n">
        <v>2568</v>
      </c>
      <c r="E196" s="196" t="s">
        <v>51</v>
      </c>
      <c r="F196" s="201" t="n">
        <v>200025889213</v>
      </c>
      <c r="G196" s="198" t="s">
        <v>619</v>
      </c>
      <c r="H196" s="178" t="s">
        <v>390</v>
      </c>
      <c r="I196" s="176" t="n">
        <v>94</v>
      </c>
      <c r="J196" s="175" t="s">
        <v>185</v>
      </c>
      <c r="K196" s="200" t="n">
        <v>45437.3080324074</v>
      </c>
      <c r="L196" s="10" t="n">
        <v>97</v>
      </c>
      <c r="M196" s="175" t="s">
        <v>185</v>
      </c>
      <c r="N196" s="3" t="n">
        <v>195</v>
      </c>
    </row>
    <row r="197" customFormat="false" ht="14.25" hidden="false" customHeight="false" outlineLevel="0" collapsed="false">
      <c r="A197" s="1" t="n">
        <v>33</v>
      </c>
      <c r="B197" s="1" t="s">
        <v>615</v>
      </c>
      <c r="C197" s="1" t="s">
        <v>616</v>
      </c>
      <c r="D197" s="196" t="n">
        <v>2568</v>
      </c>
      <c r="E197" s="196" t="s">
        <v>51</v>
      </c>
      <c r="F197" s="198" t="s">
        <v>620</v>
      </c>
      <c r="G197" s="198" t="s">
        <v>619</v>
      </c>
      <c r="H197" s="178" t="s">
        <v>390</v>
      </c>
      <c r="I197" s="176" t="n">
        <v>94</v>
      </c>
      <c r="J197" s="175" t="s">
        <v>185</v>
      </c>
      <c r="K197" s="200" t="n">
        <v>45437.7108912037</v>
      </c>
      <c r="L197" s="1" t="n">
        <v>28</v>
      </c>
      <c r="M197" s="175" t="s">
        <v>185</v>
      </c>
      <c r="N197" s="1" t="n">
        <v>196</v>
      </c>
    </row>
    <row r="198" customFormat="false" ht="14.25" hidden="false" customHeight="false" outlineLevel="0" collapsed="false">
      <c r="A198" s="1" t="n">
        <v>34</v>
      </c>
      <c r="B198" s="1" t="s">
        <v>615</v>
      </c>
      <c r="C198" s="1" t="s">
        <v>616</v>
      </c>
      <c r="D198" s="196" t="n">
        <v>2568</v>
      </c>
      <c r="E198" s="196" t="s">
        <v>51</v>
      </c>
      <c r="F198" s="198" t="s">
        <v>620</v>
      </c>
      <c r="G198" s="198" t="s">
        <v>619</v>
      </c>
      <c r="H198" s="178" t="s">
        <v>390</v>
      </c>
      <c r="I198" s="176" t="n">
        <v>94</v>
      </c>
      <c r="J198" s="175" t="s">
        <v>185</v>
      </c>
      <c r="K198" s="200" t="n">
        <v>45437.7112152778</v>
      </c>
      <c r="L198" s="1" t="n">
        <v>1</v>
      </c>
      <c r="M198" s="175" t="s">
        <v>185</v>
      </c>
      <c r="N198" s="1" t="n">
        <v>197</v>
      </c>
    </row>
    <row r="199" customFormat="false" ht="14.25" hidden="false" customHeight="false" outlineLevel="0" collapsed="false">
      <c r="A199" s="1" t="n">
        <v>35</v>
      </c>
      <c r="B199" s="1" t="s">
        <v>615</v>
      </c>
      <c r="C199" s="1" t="s">
        <v>616</v>
      </c>
      <c r="D199" s="196" t="n">
        <v>2568</v>
      </c>
      <c r="E199" s="196" t="s">
        <v>51</v>
      </c>
      <c r="F199" s="198" t="n">
        <v>200025889213</v>
      </c>
      <c r="G199" s="198" t="s">
        <v>619</v>
      </c>
      <c r="H199" s="178" t="s">
        <v>390</v>
      </c>
      <c r="I199" s="176" t="n">
        <v>94</v>
      </c>
      <c r="J199" s="175" t="s">
        <v>185</v>
      </c>
      <c r="K199" s="200" t="n">
        <v>45437.7377893519</v>
      </c>
      <c r="L199" s="1" t="n">
        <v>1</v>
      </c>
      <c r="M199" s="175" t="s">
        <v>185</v>
      </c>
      <c r="N199" s="1" t="n">
        <v>198</v>
      </c>
    </row>
    <row r="200" customFormat="false" ht="14.25" hidden="false" customHeight="false" outlineLevel="0" collapsed="false">
      <c r="A200" s="1" t="n">
        <v>36</v>
      </c>
      <c r="B200" s="1" t="s">
        <v>615</v>
      </c>
      <c r="C200" s="1" t="s">
        <v>616</v>
      </c>
      <c r="D200" s="196" t="n">
        <v>2568</v>
      </c>
      <c r="E200" s="196" t="s">
        <v>51</v>
      </c>
      <c r="F200" s="198" t="n">
        <v>200025889213</v>
      </c>
      <c r="G200" s="198" t="s">
        <v>619</v>
      </c>
      <c r="H200" s="178" t="s">
        <v>390</v>
      </c>
      <c r="I200" s="176" t="n">
        <v>94</v>
      </c>
      <c r="J200" s="175" t="s">
        <v>185</v>
      </c>
      <c r="K200" s="200" t="n">
        <v>45437.7390162037</v>
      </c>
      <c r="L200" s="1" t="n">
        <v>1</v>
      </c>
      <c r="M200" s="175" t="s">
        <v>185</v>
      </c>
      <c r="N200" s="3" t="n">
        <v>199</v>
      </c>
    </row>
    <row r="201" customFormat="false" ht="14.25" hidden="false" customHeight="false" outlineLevel="0" collapsed="false">
      <c r="A201" s="1" t="n">
        <v>37</v>
      </c>
      <c r="B201" s="1" t="s">
        <v>615</v>
      </c>
      <c r="C201" s="1" t="s">
        <v>616</v>
      </c>
      <c r="D201" s="196" t="n">
        <v>2568</v>
      </c>
      <c r="E201" s="196" t="s">
        <v>51</v>
      </c>
      <c r="F201" s="198" t="s">
        <v>620</v>
      </c>
      <c r="G201" s="198" t="s">
        <v>619</v>
      </c>
      <c r="H201" s="178" t="s">
        <v>390</v>
      </c>
      <c r="I201" s="176" t="n">
        <v>94</v>
      </c>
      <c r="J201" s="175" t="s">
        <v>185</v>
      </c>
      <c r="K201" s="200" t="n">
        <v>45437.7397800926</v>
      </c>
      <c r="L201" s="1" t="n">
        <v>1</v>
      </c>
      <c r="M201" s="175" t="s">
        <v>185</v>
      </c>
      <c r="N201" s="3" t="n">
        <v>200</v>
      </c>
    </row>
    <row r="202" customFormat="false" ht="14.25" hidden="false" customHeight="false" outlineLevel="0" collapsed="false">
      <c r="A202" s="1" t="n">
        <v>38</v>
      </c>
      <c r="B202" s="1" t="s">
        <v>615</v>
      </c>
      <c r="C202" s="1" t="s">
        <v>616</v>
      </c>
      <c r="D202" s="196" t="n">
        <v>2568</v>
      </c>
      <c r="E202" s="196" t="s">
        <v>51</v>
      </c>
      <c r="F202" s="198" t="s">
        <v>620</v>
      </c>
      <c r="G202" s="198" t="s">
        <v>619</v>
      </c>
      <c r="H202" s="178" t="s">
        <v>390</v>
      </c>
      <c r="I202" s="176" t="n">
        <v>94</v>
      </c>
      <c r="J202" s="175" t="s">
        <v>185</v>
      </c>
      <c r="K202" s="200" t="n">
        <v>45437.7411574074</v>
      </c>
      <c r="L202" s="1" t="n">
        <v>2</v>
      </c>
      <c r="M202" s="175" t="s">
        <v>185</v>
      </c>
      <c r="N202" s="1" t="n">
        <v>201</v>
      </c>
    </row>
    <row r="203" customFormat="false" ht="14.25" hidden="false" customHeight="false" outlineLevel="0" collapsed="false">
      <c r="A203" s="1" t="n">
        <v>39</v>
      </c>
      <c r="B203" s="1" t="s">
        <v>615</v>
      </c>
      <c r="C203" s="1" t="s">
        <v>616</v>
      </c>
      <c r="D203" s="196" t="n">
        <v>2568</v>
      </c>
      <c r="E203" s="196" t="s">
        <v>51</v>
      </c>
      <c r="F203" s="198" t="s">
        <v>620</v>
      </c>
      <c r="G203" s="198" t="s">
        <v>619</v>
      </c>
      <c r="H203" s="178" t="s">
        <v>390</v>
      </c>
      <c r="I203" s="176" t="n">
        <v>94</v>
      </c>
      <c r="J203" s="175" t="s">
        <v>185</v>
      </c>
      <c r="K203" s="200" t="n">
        <v>45437.7418865741</v>
      </c>
      <c r="L203" s="1" t="n">
        <v>1</v>
      </c>
      <c r="M203" s="175" t="s">
        <v>185</v>
      </c>
      <c r="N203" s="1" t="n">
        <v>202</v>
      </c>
    </row>
    <row r="204" customFormat="false" ht="14.25" hidden="false" customHeight="false" outlineLevel="0" collapsed="false">
      <c r="A204" s="1" t="n">
        <v>40</v>
      </c>
      <c r="B204" s="1" t="s">
        <v>615</v>
      </c>
      <c r="C204" s="1" t="s">
        <v>616</v>
      </c>
      <c r="D204" s="196" t="n">
        <v>2568</v>
      </c>
      <c r="E204" s="196" t="s">
        <v>51</v>
      </c>
      <c r="F204" s="198" t="n">
        <v>200025889213</v>
      </c>
      <c r="G204" s="198" t="s">
        <v>619</v>
      </c>
      <c r="H204" s="178" t="s">
        <v>390</v>
      </c>
      <c r="I204" s="176" t="n">
        <v>94</v>
      </c>
      <c r="J204" s="175" t="s">
        <v>185</v>
      </c>
      <c r="K204" s="200" t="n">
        <v>45437.7427314815</v>
      </c>
      <c r="L204" s="1" t="n">
        <v>1</v>
      </c>
      <c r="M204" s="175" t="s">
        <v>185</v>
      </c>
      <c r="N204" s="1" t="n">
        <v>203</v>
      </c>
    </row>
    <row r="205" customFormat="false" ht="14.25" hidden="false" customHeight="false" outlineLevel="0" collapsed="false">
      <c r="A205" s="1" t="n">
        <v>41</v>
      </c>
      <c r="B205" s="1" t="s">
        <v>615</v>
      </c>
      <c r="C205" s="1" t="s">
        <v>616</v>
      </c>
      <c r="D205" s="196" t="n">
        <v>2568</v>
      </c>
      <c r="E205" s="196" t="s">
        <v>51</v>
      </c>
      <c r="F205" s="198" t="s">
        <v>620</v>
      </c>
      <c r="G205" s="198" t="s">
        <v>619</v>
      </c>
      <c r="H205" s="178" t="s">
        <v>390</v>
      </c>
      <c r="I205" s="176" t="n">
        <v>94</v>
      </c>
      <c r="J205" s="175" t="s">
        <v>185</v>
      </c>
      <c r="K205" s="200" t="n">
        <v>45437.7427430556</v>
      </c>
      <c r="L205" s="1" t="n">
        <v>0</v>
      </c>
      <c r="M205" s="175" t="s">
        <v>185</v>
      </c>
      <c r="N205" s="3" t="n">
        <v>204</v>
      </c>
    </row>
    <row r="206" customFormat="false" ht="14.25" hidden="false" customHeight="false" outlineLevel="0" collapsed="false">
      <c r="A206" s="1" t="n">
        <v>42</v>
      </c>
      <c r="B206" s="1" t="s">
        <v>615</v>
      </c>
      <c r="C206" s="1" t="s">
        <v>616</v>
      </c>
      <c r="D206" s="196" t="n">
        <v>2568</v>
      </c>
      <c r="E206" s="196" t="s">
        <v>51</v>
      </c>
      <c r="F206" s="198" t="n">
        <v>200025889213</v>
      </c>
      <c r="G206" s="198" t="s">
        <v>619</v>
      </c>
      <c r="H206" s="178" t="s">
        <v>390</v>
      </c>
      <c r="I206" s="176" t="n">
        <v>94</v>
      </c>
      <c r="J206" s="175" t="s">
        <v>185</v>
      </c>
      <c r="K206" s="200" t="n">
        <v>45437.9635416667</v>
      </c>
      <c r="L206" s="1" t="n">
        <v>0</v>
      </c>
      <c r="M206" s="175" t="s">
        <v>185</v>
      </c>
      <c r="N206" s="3" t="n">
        <v>205</v>
      </c>
    </row>
    <row r="207" customFormat="false" ht="14.25" hidden="false" customHeight="false" outlineLevel="0" collapsed="false">
      <c r="A207" s="1" t="n">
        <v>43</v>
      </c>
      <c r="B207" s="1" t="s">
        <v>615</v>
      </c>
      <c r="C207" s="1" t="s">
        <v>616</v>
      </c>
      <c r="D207" s="196" t="n">
        <v>2568</v>
      </c>
      <c r="E207" s="196" t="s">
        <v>51</v>
      </c>
      <c r="F207" s="198" t="n">
        <v>200025889213</v>
      </c>
      <c r="G207" s="198" t="s">
        <v>619</v>
      </c>
      <c r="H207" s="178" t="s">
        <v>390</v>
      </c>
      <c r="I207" s="176" t="n">
        <v>94</v>
      </c>
      <c r="J207" s="175" t="s">
        <v>185</v>
      </c>
      <c r="K207" s="200" t="n">
        <v>45437.9638657407</v>
      </c>
      <c r="L207" s="1" t="n">
        <v>2</v>
      </c>
      <c r="M207" s="175" t="s">
        <v>185</v>
      </c>
      <c r="N207" s="1" t="n">
        <v>206</v>
      </c>
    </row>
    <row r="208" customFormat="false" ht="14.25" hidden="false" customHeight="false" outlineLevel="0" collapsed="false">
      <c r="A208" s="1" t="n">
        <v>44</v>
      </c>
      <c r="B208" s="1" t="s">
        <v>615</v>
      </c>
      <c r="C208" s="1" t="s">
        <v>616</v>
      </c>
      <c r="D208" s="196" t="n">
        <v>2568</v>
      </c>
      <c r="E208" s="196" t="s">
        <v>51</v>
      </c>
      <c r="F208" s="198" t="s">
        <v>620</v>
      </c>
      <c r="G208" s="198" t="s">
        <v>619</v>
      </c>
      <c r="H208" s="178" t="s">
        <v>390</v>
      </c>
      <c r="I208" s="176" t="n">
        <v>94</v>
      </c>
      <c r="J208" s="175" t="s">
        <v>185</v>
      </c>
      <c r="K208" s="200" t="n">
        <v>45437.9654050926</v>
      </c>
      <c r="L208" s="1" t="n">
        <v>2</v>
      </c>
      <c r="M208" s="175" t="s">
        <v>185</v>
      </c>
      <c r="N208" s="1" t="n">
        <v>207</v>
      </c>
    </row>
    <row r="209" customFormat="false" ht="14.25" hidden="false" customHeight="false" outlineLevel="0" collapsed="false">
      <c r="A209" s="1" t="n">
        <v>45</v>
      </c>
      <c r="B209" s="1" t="s">
        <v>615</v>
      </c>
      <c r="C209" s="1" t="s">
        <v>616</v>
      </c>
      <c r="D209" s="196" t="n">
        <v>2568</v>
      </c>
      <c r="E209" s="196" t="s">
        <v>51</v>
      </c>
      <c r="F209" s="198" t="s">
        <v>620</v>
      </c>
      <c r="G209" s="198" t="s">
        <v>619</v>
      </c>
      <c r="H209" s="178" t="s">
        <v>390</v>
      </c>
      <c r="I209" s="176" t="n">
        <v>94</v>
      </c>
      <c r="J209" s="175" t="s">
        <v>185</v>
      </c>
      <c r="K209" s="200" t="n">
        <v>45437.9670138889</v>
      </c>
      <c r="L209" s="1" t="n">
        <v>1</v>
      </c>
      <c r="M209" s="175" t="s">
        <v>185</v>
      </c>
      <c r="N209" s="1" t="n">
        <v>208</v>
      </c>
    </row>
    <row r="210" customFormat="false" ht="14.25" hidden="false" customHeight="false" outlineLevel="0" collapsed="false">
      <c r="A210" s="1" t="n">
        <v>46</v>
      </c>
      <c r="B210" s="1" t="s">
        <v>615</v>
      </c>
      <c r="C210" s="1" t="s">
        <v>616</v>
      </c>
      <c r="D210" s="196" t="n">
        <v>2568</v>
      </c>
      <c r="E210" s="196" t="s">
        <v>51</v>
      </c>
      <c r="F210" s="198" t="s">
        <v>620</v>
      </c>
      <c r="G210" s="198" t="s">
        <v>619</v>
      </c>
      <c r="H210" s="178" t="s">
        <v>390</v>
      </c>
      <c r="I210" s="176" t="n">
        <v>94</v>
      </c>
      <c r="J210" s="175" t="s">
        <v>185</v>
      </c>
      <c r="K210" s="200" t="n">
        <v>45437.9711805556</v>
      </c>
      <c r="L210" s="1" t="n">
        <v>4</v>
      </c>
      <c r="M210" s="175" t="s">
        <v>185</v>
      </c>
      <c r="N210" s="3" t="n">
        <v>209</v>
      </c>
    </row>
    <row r="211" customFormat="false" ht="14.25" hidden="false" customHeight="false" outlineLevel="0" collapsed="false">
      <c r="A211" s="1" t="n">
        <v>47</v>
      </c>
      <c r="B211" s="1" t="s">
        <v>615</v>
      </c>
      <c r="C211" s="1" t="s">
        <v>616</v>
      </c>
      <c r="D211" s="196" t="n">
        <v>2568</v>
      </c>
      <c r="E211" s="196" t="s">
        <v>51</v>
      </c>
      <c r="F211" s="198" t="n">
        <v>200025889213</v>
      </c>
      <c r="G211" s="198" t="s">
        <v>619</v>
      </c>
      <c r="H211" s="178" t="s">
        <v>390</v>
      </c>
      <c r="I211" s="176" t="n">
        <v>94</v>
      </c>
      <c r="J211" s="175" t="s">
        <v>185</v>
      </c>
      <c r="K211" s="200" t="n">
        <v>45437.9744675926</v>
      </c>
      <c r="L211" s="1" t="n">
        <v>1</v>
      </c>
      <c r="M211" s="175" t="s">
        <v>185</v>
      </c>
      <c r="N211" s="3" t="n">
        <v>210</v>
      </c>
    </row>
    <row r="212" customFormat="false" ht="14.25" hidden="false" customHeight="false" outlineLevel="0" collapsed="false">
      <c r="A212" s="1" t="n">
        <v>120</v>
      </c>
      <c r="B212" s="1" t="s">
        <v>681</v>
      </c>
      <c r="C212" s="1" t="s">
        <v>682</v>
      </c>
      <c r="D212" s="1" t="n">
        <v>11171</v>
      </c>
      <c r="E212" s="1" t="s">
        <v>55</v>
      </c>
      <c r="F212" s="201" t="n">
        <v>200025889213</v>
      </c>
      <c r="G212" s="198" t="s">
        <v>619</v>
      </c>
      <c r="H212" s="178" t="s">
        <v>390</v>
      </c>
      <c r="I212" s="176" t="n">
        <v>94</v>
      </c>
      <c r="J212" s="175" t="s">
        <v>185</v>
      </c>
      <c r="K212" s="200" t="n">
        <v>45438.3819675926</v>
      </c>
      <c r="L212" s="1" t="n">
        <v>0</v>
      </c>
      <c r="M212" s="175" t="s">
        <v>185</v>
      </c>
      <c r="N212" s="1" t="n">
        <v>211</v>
      </c>
    </row>
    <row r="213" customFormat="false" ht="14.25" hidden="false" customHeight="false" outlineLevel="0" collapsed="false">
      <c r="A213" s="1" t="n">
        <v>260</v>
      </c>
      <c r="B213" s="1" t="s">
        <v>621</v>
      </c>
      <c r="C213" s="1" t="s">
        <v>622</v>
      </c>
      <c r="D213" s="1" t="n">
        <v>21261</v>
      </c>
      <c r="E213" s="1" t="s">
        <v>57</v>
      </c>
      <c r="F213" s="201" t="n">
        <v>200025888637</v>
      </c>
      <c r="G213" s="198" t="s">
        <v>669</v>
      </c>
      <c r="H213" s="163" t="s">
        <v>206</v>
      </c>
      <c r="I213" s="161" t="n">
        <v>4</v>
      </c>
      <c r="J213" s="156" t="s">
        <v>185</v>
      </c>
      <c r="K213" s="200" t="n">
        <v>45443.6448726852</v>
      </c>
      <c r="L213" s="1" t="n">
        <v>1</v>
      </c>
      <c r="M213" s="156" t="s">
        <v>185</v>
      </c>
      <c r="N213" s="1" t="n">
        <v>212</v>
      </c>
    </row>
    <row r="214" customFormat="false" ht="14.25" hidden="false" customHeight="false" outlineLevel="0" collapsed="false">
      <c r="A214" s="1" t="n">
        <v>18</v>
      </c>
      <c r="B214" s="1" t="s">
        <v>643</v>
      </c>
      <c r="C214" s="1" t="s">
        <v>644</v>
      </c>
      <c r="D214" s="1" t="n">
        <v>11197</v>
      </c>
      <c r="E214" s="1" t="s">
        <v>53</v>
      </c>
      <c r="F214" s="201" t="n">
        <v>200025889446</v>
      </c>
      <c r="G214" s="198" t="s">
        <v>636</v>
      </c>
      <c r="H214" s="163" t="s">
        <v>233</v>
      </c>
      <c r="I214" s="161" t="n">
        <v>17</v>
      </c>
      <c r="J214" s="156" t="s">
        <v>185</v>
      </c>
      <c r="K214" s="200" t="n">
        <v>45446.490462963</v>
      </c>
      <c r="L214" s="1" t="n">
        <v>0</v>
      </c>
      <c r="M214" s="156" t="s">
        <v>185</v>
      </c>
      <c r="N214" s="1" t="n">
        <v>213</v>
      </c>
    </row>
    <row r="215" customFormat="false" ht="14.25" hidden="false" customHeight="false" outlineLevel="0" collapsed="false">
      <c r="A215" s="1" t="n">
        <v>12</v>
      </c>
      <c r="B215" s="1" t="s">
        <v>684</v>
      </c>
      <c r="C215" s="1" t="s">
        <v>685</v>
      </c>
      <c r="D215" s="1" t="n">
        <v>21296</v>
      </c>
      <c r="E215" s="1" t="s">
        <v>57</v>
      </c>
      <c r="F215" s="201" t="n">
        <v>200025888174</v>
      </c>
      <c r="G215" s="198" t="s">
        <v>676</v>
      </c>
      <c r="H215" s="163" t="s">
        <v>203</v>
      </c>
      <c r="I215" s="161" t="n">
        <v>45</v>
      </c>
      <c r="J215" s="156" t="s">
        <v>185</v>
      </c>
      <c r="K215" s="200" t="n">
        <v>45448.7446296296</v>
      </c>
      <c r="L215" s="1" t="n">
        <v>1</v>
      </c>
      <c r="M215" s="156" t="s">
        <v>185</v>
      </c>
      <c r="N215" s="3" t="n">
        <v>214</v>
      </c>
    </row>
    <row r="216" customFormat="false" ht="14.25" hidden="false" customHeight="false" outlineLevel="0" collapsed="false">
      <c r="A216" s="1" t="n">
        <v>13</v>
      </c>
      <c r="B216" s="1" t="s">
        <v>684</v>
      </c>
      <c r="C216" s="1" t="s">
        <v>685</v>
      </c>
      <c r="D216" s="1" t="n">
        <v>21296</v>
      </c>
      <c r="E216" s="1" t="s">
        <v>57</v>
      </c>
      <c r="F216" s="201" t="n">
        <v>200025888174</v>
      </c>
      <c r="G216" s="198" t="s">
        <v>676</v>
      </c>
      <c r="H216" s="163" t="s">
        <v>203</v>
      </c>
      <c r="I216" s="161" t="n">
        <v>45</v>
      </c>
      <c r="J216" s="156" t="s">
        <v>185</v>
      </c>
      <c r="K216" s="200" t="n">
        <v>45448.7446412037</v>
      </c>
      <c r="L216" s="10" t="n">
        <v>4054</v>
      </c>
      <c r="M216" s="156" t="s">
        <v>185</v>
      </c>
      <c r="N216" s="3" t="n">
        <v>215</v>
      </c>
    </row>
    <row r="217" customFormat="false" ht="14.25" hidden="false" customHeight="false" outlineLevel="0" collapsed="false">
      <c r="A217" s="1" t="n">
        <v>10</v>
      </c>
      <c r="B217" s="1" t="s">
        <v>565</v>
      </c>
      <c r="C217" s="1" t="s">
        <v>566</v>
      </c>
      <c r="D217" s="1" t="n">
        <v>11171</v>
      </c>
      <c r="E217" s="1" t="s">
        <v>55</v>
      </c>
      <c r="F217" s="198" t="n">
        <v>200025888677</v>
      </c>
      <c r="G217" s="198" t="s">
        <v>671</v>
      </c>
      <c r="H217" s="163" t="s">
        <v>348</v>
      </c>
      <c r="I217" s="161" t="n">
        <v>70</v>
      </c>
      <c r="J217" s="156" t="s">
        <v>185</v>
      </c>
      <c r="K217" s="199" t="n">
        <v>45451.2759259259</v>
      </c>
      <c r="L217" s="1" t="n">
        <v>0</v>
      </c>
      <c r="M217" s="156" t="s">
        <v>185</v>
      </c>
      <c r="N217" s="1" t="n">
        <v>216</v>
      </c>
    </row>
    <row r="218" customFormat="false" ht="14.25" hidden="false" customHeight="false" outlineLevel="0" collapsed="false">
      <c r="A218" s="1" t="n">
        <v>11</v>
      </c>
      <c r="B218" s="1" t="s">
        <v>565</v>
      </c>
      <c r="C218" s="1" t="s">
        <v>566</v>
      </c>
      <c r="D218" s="1" t="n">
        <v>11171</v>
      </c>
      <c r="E218" s="1" t="s">
        <v>55</v>
      </c>
      <c r="F218" s="198" t="n">
        <v>200025888485</v>
      </c>
      <c r="G218" s="198" t="s">
        <v>634</v>
      </c>
      <c r="H218" s="163" t="s">
        <v>327</v>
      </c>
      <c r="I218" s="161" t="n">
        <v>93</v>
      </c>
      <c r="J218" s="156" t="s">
        <v>185</v>
      </c>
      <c r="K218" s="199" t="n">
        <v>45451.603912037</v>
      </c>
      <c r="L218" s="1" t="n">
        <v>2</v>
      </c>
      <c r="M218" s="156" t="s">
        <v>185</v>
      </c>
      <c r="N218" s="1" t="n">
        <v>217</v>
      </c>
    </row>
    <row r="219" customFormat="false" ht="14.25" hidden="false" customHeight="false" outlineLevel="0" collapsed="false">
      <c r="A219" s="1" t="n">
        <v>12</v>
      </c>
      <c r="B219" s="1" t="s">
        <v>565</v>
      </c>
      <c r="C219" s="1" t="s">
        <v>566</v>
      </c>
      <c r="D219" s="1" t="n">
        <v>11171</v>
      </c>
      <c r="E219" s="1" t="s">
        <v>55</v>
      </c>
      <c r="F219" s="198" t="n">
        <v>200025888485</v>
      </c>
      <c r="G219" s="198" t="s">
        <v>634</v>
      </c>
      <c r="H219" s="163" t="s">
        <v>327</v>
      </c>
      <c r="I219" s="161" t="n">
        <v>93</v>
      </c>
      <c r="J219" s="156" t="s">
        <v>185</v>
      </c>
      <c r="K219" s="199" t="n">
        <v>45451.6347337963</v>
      </c>
      <c r="L219" s="1" t="n">
        <v>3</v>
      </c>
      <c r="M219" s="156" t="s">
        <v>185</v>
      </c>
      <c r="N219" s="1" t="n">
        <v>218</v>
      </c>
    </row>
    <row r="220" customFormat="false" ht="14.25" hidden="false" customHeight="false" outlineLevel="0" collapsed="false">
      <c r="A220" s="1" t="n">
        <v>15</v>
      </c>
      <c r="B220" s="1" t="s">
        <v>702</v>
      </c>
      <c r="C220" s="1" t="s">
        <v>703</v>
      </c>
      <c r="D220" s="1" t="n">
        <v>11197</v>
      </c>
      <c r="E220" s="1" t="s">
        <v>53</v>
      </c>
      <c r="F220" s="201" t="n">
        <v>200025889314</v>
      </c>
      <c r="G220" s="198" t="s">
        <v>632</v>
      </c>
      <c r="H220" s="163" t="s">
        <v>224</v>
      </c>
      <c r="I220" s="161" t="n">
        <v>15</v>
      </c>
      <c r="J220" s="156" t="s">
        <v>185</v>
      </c>
      <c r="K220" s="200" t="n">
        <v>45451.7577083333</v>
      </c>
      <c r="L220" s="1" t="n">
        <v>1</v>
      </c>
      <c r="M220" s="156" t="s">
        <v>185</v>
      </c>
      <c r="N220" s="3" t="n">
        <v>219</v>
      </c>
    </row>
    <row r="221" customFormat="false" ht="14.25" hidden="false" customHeight="false" outlineLevel="0" collapsed="false">
      <c r="A221" s="1" t="n">
        <v>16</v>
      </c>
      <c r="B221" s="1" t="s">
        <v>702</v>
      </c>
      <c r="C221" s="1" t="s">
        <v>703</v>
      </c>
      <c r="D221" s="1" t="n">
        <v>11197</v>
      </c>
      <c r="E221" s="1" t="s">
        <v>53</v>
      </c>
      <c r="F221" s="201" t="n">
        <v>200025889314</v>
      </c>
      <c r="G221" s="198" t="s">
        <v>632</v>
      </c>
      <c r="H221" s="163" t="s">
        <v>224</v>
      </c>
      <c r="I221" s="161" t="n">
        <v>15</v>
      </c>
      <c r="J221" s="156" t="s">
        <v>185</v>
      </c>
      <c r="K221" s="200" t="n">
        <v>45451.7637962963</v>
      </c>
      <c r="L221" s="1" t="n">
        <v>3</v>
      </c>
      <c r="M221" s="156" t="s">
        <v>185</v>
      </c>
      <c r="N221" s="3" t="n">
        <v>220</v>
      </c>
    </row>
    <row r="222" customFormat="false" ht="14.25" hidden="false" customHeight="false" outlineLevel="0" collapsed="false">
      <c r="A222" s="1" t="n">
        <v>17</v>
      </c>
      <c r="B222" s="1" t="s">
        <v>702</v>
      </c>
      <c r="C222" s="1" t="s">
        <v>703</v>
      </c>
      <c r="D222" s="1" t="n">
        <v>11197</v>
      </c>
      <c r="E222" s="1" t="s">
        <v>53</v>
      </c>
      <c r="F222" s="201" t="n">
        <v>200025889314</v>
      </c>
      <c r="G222" s="198" t="s">
        <v>632</v>
      </c>
      <c r="H222" s="163" t="s">
        <v>224</v>
      </c>
      <c r="I222" s="161" t="n">
        <v>15</v>
      </c>
      <c r="J222" s="156" t="s">
        <v>185</v>
      </c>
      <c r="K222" s="200" t="n">
        <v>45451.7693981482</v>
      </c>
      <c r="L222" s="1" t="n">
        <v>1</v>
      </c>
      <c r="M222" s="156" t="s">
        <v>185</v>
      </c>
      <c r="N222" s="1" t="n">
        <v>221</v>
      </c>
    </row>
    <row r="223" customFormat="false" ht="14.25" hidden="false" customHeight="false" outlineLevel="0" collapsed="false">
      <c r="A223" s="1" t="n">
        <v>18</v>
      </c>
      <c r="B223" s="1" t="s">
        <v>702</v>
      </c>
      <c r="C223" s="1" t="s">
        <v>703</v>
      </c>
      <c r="D223" s="1" t="n">
        <v>11197</v>
      </c>
      <c r="E223" s="1" t="s">
        <v>53</v>
      </c>
      <c r="F223" s="201" t="n">
        <v>200025889314</v>
      </c>
      <c r="G223" s="198" t="s">
        <v>632</v>
      </c>
      <c r="H223" s="163" t="s">
        <v>224</v>
      </c>
      <c r="I223" s="161" t="n">
        <v>15</v>
      </c>
      <c r="J223" s="156" t="s">
        <v>185</v>
      </c>
      <c r="K223" s="200" t="n">
        <v>45451.7694212963</v>
      </c>
      <c r="L223" s="1" t="n">
        <v>1</v>
      </c>
      <c r="M223" s="156" t="s">
        <v>185</v>
      </c>
      <c r="N223" s="1" t="n">
        <v>222</v>
      </c>
    </row>
    <row r="224" customFormat="false" ht="14.25" hidden="false" customHeight="false" outlineLevel="0" collapsed="false">
      <c r="A224" s="1" t="n">
        <v>19</v>
      </c>
      <c r="B224" s="1" t="s">
        <v>702</v>
      </c>
      <c r="C224" s="1" t="s">
        <v>703</v>
      </c>
      <c r="D224" s="1" t="n">
        <v>11197</v>
      </c>
      <c r="E224" s="1" t="s">
        <v>53</v>
      </c>
      <c r="F224" s="201" t="n">
        <v>200025889314</v>
      </c>
      <c r="G224" s="198" t="s">
        <v>632</v>
      </c>
      <c r="H224" s="163" t="s">
        <v>224</v>
      </c>
      <c r="I224" s="161" t="n">
        <v>15</v>
      </c>
      <c r="J224" s="156" t="s">
        <v>185</v>
      </c>
      <c r="K224" s="200" t="n">
        <v>45451.7763310185</v>
      </c>
      <c r="L224" s="1" t="n">
        <v>0</v>
      </c>
      <c r="M224" s="156" t="s">
        <v>185</v>
      </c>
      <c r="N224" s="1" t="n">
        <v>223</v>
      </c>
    </row>
    <row r="225" customFormat="false" ht="14.25" hidden="false" customHeight="false" outlineLevel="0" collapsed="false">
      <c r="A225" s="1" t="n">
        <v>20</v>
      </c>
      <c r="B225" s="1" t="s">
        <v>702</v>
      </c>
      <c r="C225" s="1" t="s">
        <v>703</v>
      </c>
      <c r="D225" s="1" t="n">
        <v>11197</v>
      </c>
      <c r="E225" s="1" t="s">
        <v>53</v>
      </c>
      <c r="F225" s="201" t="n">
        <v>200025889314</v>
      </c>
      <c r="G225" s="198" t="s">
        <v>632</v>
      </c>
      <c r="H225" s="163" t="s">
        <v>224</v>
      </c>
      <c r="I225" s="161" t="n">
        <v>15</v>
      </c>
      <c r="J225" s="156" t="s">
        <v>185</v>
      </c>
      <c r="K225" s="200" t="n">
        <v>45451.7786226852</v>
      </c>
      <c r="L225" s="1" t="n">
        <v>2</v>
      </c>
      <c r="M225" s="156" t="s">
        <v>185</v>
      </c>
      <c r="N225" s="3" t="n">
        <v>224</v>
      </c>
    </row>
    <row r="226" customFormat="false" ht="14.25" hidden="false" customHeight="false" outlineLevel="0" collapsed="false">
      <c r="A226" s="1" t="n">
        <v>21</v>
      </c>
      <c r="B226" s="1" t="s">
        <v>702</v>
      </c>
      <c r="C226" s="1" t="s">
        <v>703</v>
      </c>
      <c r="D226" s="1" t="n">
        <v>11197</v>
      </c>
      <c r="E226" s="1" t="s">
        <v>53</v>
      </c>
      <c r="F226" s="201" t="n">
        <v>200025889314</v>
      </c>
      <c r="G226" s="198" t="s">
        <v>632</v>
      </c>
      <c r="H226" s="163" t="s">
        <v>224</v>
      </c>
      <c r="I226" s="161" t="n">
        <v>15</v>
      </c>
      <c r="J226" s="156" t="s">
        <v>185</v>
      </c>
      <c r="K226" s="200" t="n">
        <v>45451.83125</v>
      </c>
      <c r="L226" s="1" t="n">
        <v>2</v>
      </c>
      <c r="M226" s="156" t="s">
        <v>185</v>
      </c>
      <c r="N226" s="3" t="n">
        <v>225</v>
      </c>
    </row>
    <row r="227" customFormat="false" ht="14.25" hidden="false" customHeight="false" outlineLevel="0" collapsed="false">
      <c r="A227" s="1" t="n">
        <v>22</v>
      </c>
      <c r="B227" s="1" t="s">
        <v>702</v>
      </c>
      <c r="C227" s="1" t="s">
        <v>703</v>
      </c>
      <c r="D227" s="1" t="n">
        <v>11197</v>
      </c>
      <c r="E227" s="1" t="s">
        <v>53</v>
      </c>
      <c r="F227" s="201" t="n">
        <v>200025889314</v>
      </c>
      <c r="G227" s="198" t="s">
        <v>632</v>
      </c>
      <c r="H227" s="163" t="s">
        <v>224</v>
      </c>
      <c r="I227" s="161" t="n">
        <v>15</v>
      </c>
      <c r="J227" s="156" t="s">
        <v>185</v>
      </c>
      <c r="K227" s="200" t="n">
        <v>45451.8351273148</v>
      </c>
      <c r="L227" s="1" t="n">
        <v>2</v>
      </c>
      <c r="M227" s="156" t="s">
        <v>185</v>
      </c>
      <c r="N227" s="1" t="n">
        <v>226</v>
      </c>
    </row>
    <row r="228" customFormat="false" ht="14.25" hidden="false" customHeight="false" outlineLevel="0" collapsed="false">
      <c r="A228" s="1" t="n">
        <v>23</v>
      </c>
      <c r="B228" s="1" t="s">
        <v>702</v>
      </c>
      <c r="C228" s="1" t="s">
        <v>703</v>
      </c>
      <c r="D228" s="1" t="n">
        <v>11197</v>
      </c>
      <c r="E228" s="1" t="s">
        <v>53</v>
      </c>
      <c r="F228" s="201" t="n">
        <v>200025889314</v>
      </c>
      <c r="G228" s="198" t="s">
        <v>632</v>
      </c>
      <c r="H228" s="163" t="s">
        <v>224</v>
      </c>
      <c r="I228" s="161" t="n">
        <v>15</v>
      </c>
      <c r="J228" s="156" t="s">
        <v>185</v>
      </c>
      <c r="K228" s="200" t="n">
        <v>45451.836099537</v>
      </c>
      <c r="L228" s="207" t="n">
        <v>56</v>
      </c>
      <c r="M228" s="156" t="s">
        <v>185</v>
      </c>
      <c r="N228" s="1" t="n">
        <v>227</v>
      </c>
    </row>
    <row r="229" customFormat="false" ht="14.25" hidden="false" customHeight="false" outlineLevel="0" collapsed="false">
      <c r="A229" s="1" t="n">
        <v>24</v>
      </c>
      <c r="B229" s="1" t="s">
        <v>702</v>
      </c>
      <c r="C229" s="1" t="s">
        <v>703</v>
      </c>
      <c r="D229" s="1" t="n">
        <v>11197</v>
      </c>
      <c r="E229" s="1" t="s">
        <v>53</v>
      </c>
      <c r="F229" s="201" t="n">
        <v>200025889314</v>
      </c>
      <c r="G229" s="198" t="s">
        <v>632</v>
      </c>
      <c r="H229" s="163" t="s">
        <v>224</v>
      </c>
      <c r="I229" s="161" t="n">
        <v>15</v>
      </c>
      <c r="J229" s="156" t="s">
        <v>185</v>
      </c>
      <c r="K229" s="200" t="n">
        <v>45451.8367476852</v>
      </c>
      <c r="L229" s="1" t="n">
        <v>1</v>
      </c>
      <c r="M229" s="156" t="s">
        <v>185</v>
      </c>
      <c r="N229" s="1" t="n">
        <v>228</v>
      </c>
    </row>
    <row r="230" customFormat="false" ht="14.25" hidden="false" customHeight="false" outlineLevel="0" collapsed="false">
      <c r="A230" s="1" t="n">
        <v>25</v>
      </c>
      <c r="B230" s="1" t="s">
        <v>702</v>
      </c>
      <c r="C230" s="1" t="s">
        <v>703</v>
      </c>
      <c r="D230" s="1" t="n">
        <v>11197</v>
      </c>
      <c r="E230" s="1" t="s">
        <v>53</v>
      </c>
      <c r="F230" s="201" t="n">
        <v>200025889314</v>
      </c>
      <c r="G230" s="198" t="s">
        <v>632</v>
      </c>
      <c r="H230" s="163" t="s">
        <v>224</v>
      </c>
      <c r="I230" s="161" t="n">
        <v>15</v>
      </c>
      <c r="J230" s="156" t="s">
        <v>185</v>
      </c>
      <c r="K230" s="200" t="n">
        <v>45451.8462037037</v>
      </c>
      <c r="L230" s="1" t="n">
        <v>1</v>
      </c>
      <c r="M230" s="156" t="s">
        <v>185</v>
      </c>
      <c r="N230" s="3" t="n">
        <v>229</v>
      </c>
    </row>
    <row r="231" customFormat="false" ht="14.25" hidden="false" customHeight="false" outlineLevel="0" collapsed="false">
      <c r="A231" s="1" t="n">
        <v>26</v>
      </c>
      <c r="B231" s="1" t="s">
        <v>702</v>
      </c>
      <c r="C231" s="1" t="s">
        <v>703</v>
      </c>
      <c r="D231" s="1" t="n">
        <v>11197</v>
      </c>
      <c r="E231" s="1" t="s">
        <v>53</v>
      </c>
      <c r="F231" s="201" t="n">
        <v>200025889314</v>
      </c>
      <c r="G231" s="198" t="s">
        <v>632</v>
      </c>
      <c r="H231" s="163" t="s">
        <v>224</v>
      </c>
      <c r="I231" s="161" t="n">
        <v>15</v>
      </c>
      <c r="J231" s="156" t="s">
        <v>185</v>
      </c>
      <c r="K231" s="200" t="n">
        <v>45451.8468171296</v>
      </c>
      <c r="L231" s="1" t="n">
        <v>1</v>
      </c>
      <c r="M231" s="156" t="s">
        <v>185</v>
      </c>
      <c r="N231" s="3" t="n">
        <v>230</v>
      </c>
    </row>
    <row r="232" customFormat="false" ht="14.25" hidden="false" customHeight="false" outlineLevel="0" collapsed="false">
      <c r="A232" s="1" t="n">
        <v>27</v>
      </c>
      <c r="B232" s="1" t="s">
        <v>702</v>
      </c>
      <c r="C232" s="1" t="s">
        <v>703</v>
      </c>
      <c r="D232" s="1" t="n">
        <v>11197</v>
      </c>
      <c r="E232" s="1" t="s">
        <v>53</v>
      </c>
      <c r="F232" s="201" t="n">
        <v>200025889314</v>
      </c>
      <c r="G232" s="198" t="s">
        <v>632</v>
      </c>
      <c r="H232" s="163" t="s">
        <v>224</v>
      </c>
      <c r="I232" s="161" t="n">
        <v>15</v>
      </c>
      <c r="J232" s="156" t="s">
        <v>185</v>
      </c>
      <c r="K232" s="200" t="n">
        <v>45451.8469097222</v>
      </c>
      <c r="L232" s="1" t="n">
        <v>1</v>
      </c>
      <c r="M232" s="156" t="s">
        <v>185</v>
      </c>
      <c r="N232" s="1" t="n">
        <v>231</v>
      </c>
    </row>
    <row r="233" customFormat="false" ht="14.25" hidden="false" customHeight="false" outlineLevel="0" collapsed="false">
      <c r="A233" s="1" t="n">
        <v>28</v>
      </c>
      <c r="B233" s="1" t="s">
        <v>702</v>
      </c>
      <c r="C233" s="1" t="s">
        <v>703</v>
      </c>
      <c r="D233" s="1" t="n">
        <v>11197</v>
      </c>
      <c r="E233" s="1" t="s">
        <v>53</v>
      </c>
      <c r="F233" s="201" t="n">
        <v>200025889314</v>
      </c>
      <c r="G233" s="198" t="s">
        <v>632</v>
      </c>
      <c r="H233" s="163" t="s">
        <v>224</v>
      </c>
      <c r="I233" s="161" t="n">
        <v>15</v>
      </c>
      <c r="J233" s="156" t="s">
        <v>185</v>
      </c>
      <c r="K233" s="200" t="n">
        <v>45451.8528703704</v>
      </c>
      <c r="L233" s="1" t="n">
        <v>3</v>
      </c>
      <c r="M233" s="156" t="s">
        <v>185</v>
      </c>
      <c r="N233" s="1" t="n">
        <v>232</v>
      </c>
    </row>
    <row r="234" customFormat="false" ht="14.25" hidden="false" customHeight="false" outlineLevel="0" collapsed="false">
      <c r="A234" s="1" t="n">
        <v>29</v>
      </c>
      <c r="B234" s="1" t="s">
        <v>702</v>
      </c>
      <c r="C234" s="1" t="s">
        <v>703</v>
      </c>
      <c r="D234" s="1" t="n">
        <v>11197</v>
      </c>
      <c r="E234" s="1" t="s">
        <v>53</v>
      </c>
      <c r="F234" s="201" t="n">
        <v>200025889314</v>
      </c>
      <c r="G234" s="198" t="s">
        <v>632</v>
      </c>
      <c r="H234" s="163" t="s">
        <v>224</v>
      </c>
      <c r="I234" s="161" t="n">
        <v>15</v>
      </c>
      <c r="J234" s="156" t="s">
        <v>185</v>
      </c>
      <c r="K234" s="200" t="n">
        <v>45451.8531944445</v>
      </c>
      <c r="L234" s="1" t="n">
        <v>1</v>
      </c>
      <c r="M234" s="156" t="s">
        <v>185</v>
      </c>
      <c r="N234" s="1" t="n">
        <v>233</v>
      </c>
    </row>
    <row r="235" customFormat="false" ht="14.25" hidden="false" customHeight="false" outlineLevel="0" collapsed="false">
      <c r="A235" s="1" t="n">
        <v>30</v>
      </c>
      <c r="B235" s="1" t="s">
        <v>702</v>
      </c>
      <c r="C235" s="1" t="s">
        <v>703</v>
      </c>
      <c r="D235" s="1" t="n">
        <v>11197</v>
      </c>
      <c r="E235" s="1" t="s">
        <v>53</v>
      </c>
      <c r="F235" s="201" t="n">
        <v>200025889314</v>
      </c>
      <c r="G235" s="198" t="s">
        <v>632</v>
      </c>
      <c r="H235" s="163" t="s">
        <v>224</v>
      </c>
      <c r="I235" s="161" t="n">
        <v>15</v>
      </c>
      <c r="J235" s="156" t="s">
        <v>185</v>
      </c>
      <c r="K235" s="200" t="n">
        <v>45451.8534375</v>
      </c>
      <c r="L235" s="1" t="n">
        <v>1</v>
      </c>
      <c r="M235" s="156" t="s">
        <v>185</v>
      </c>
      <c r="N235" s="3" t="n">
        <v>234</v>
      </c>
    </row>
    <row r="236" customFormat="false" ht="14.25" hidden="false" customHeight="false" outlineLevel="0" collapsed="false">
      <c r="A236" s="1" t="n">
        <v>31</v>
      </c>
      <c r="B236" s="1" t="s">
        <v>702</v>
      </c>
      <c r="C236" s="1" t="s">
        <v>703</v>
      </c>
      <c r="D236" s="1" t="n">
        <v>11197</v>
      </c>
      <c r="E236" s="1" t="s">
        <v>53</v>
      </c>
      <c r="F236" s="201" t="n">
        <v>200025889314</v>
      </c>
      <c r="G236" s="198" t="s">
        <v>632</v>
      </c>
      <c r="H236" s="163" t="s">
        <v>224</v>
      </c>
      <c r="I236" s="161" t="n">
        <v>15</v>
      </c>
      <c r="J236" s="156" t="s">
        <v>185</v>
      </c>
      <c r="K236" s="200" t="n">
        <v>45451.8543518519</v>
      </c>
      <c r="L236" s="1" t="n">
        <v>0</v>
      </c>
      <c r="M236" s="156" t="s">
        <v>185</v>
      </c>
      <c r="N236" s="3" t="n">
        <v>235</v>
      </c>
    </row>
    <row r="237" customFormat="false" ht="14.25" hidden="false" customHeight="false" outlineLevel="0" collapsed="false">
      <c r="A237" s="1" t="n">
        <v>32</v>
      </c>
      <c r="B237" s="1" t="s">
        <v>702</v>
      </c>
      <c r="C237" s="1" t="s">
        <v>703</v>
      </c>
      <c r="D237" s="1" t="n">
        <v>11197</v>
      </c>
      <c r="E237" s="1" t="s">
        <v>53</v>
      </c>
      <c r="F237" s="201" t="n">
        <v>200025889314</v>
      </c>
      <c r="G237" s="198" t="s">
        <v>632</v>
      </c>
      <c r="H237" s="163" t="s">
        <v>224</v>
      </c>
      <c r="I237" s="161" t="n">
        <v>15</v>
      </c>
      <c r="J237" s="156" t="s">
        <v>185</v>
      </c>
      <c r="K237" s="200" t="n">
        <v>45451.854375</v>
      </c>
      <c r="L237" s="1" t="n">
        <v>0</v>
      </c>
      <c r="M237" s="156" t="s">
        <v>185</v>
      </c>
      <c r="N237" s="1" t="n">
        <v>236</v>
      </c>
    </row>
    <row r="238" customFormat="false" ht="14.25" hidden="false" customHeight="false" outlineLevel="0" collapsed="false">
      <c r="A238" s="1" t="n">
        <v>33</v>
      </c>
      <c r="B238" s="1" t="s">
        <v>702</v>
      </c>
      <c r="C238" s="1" t="s">
        <v>703</v>
      </c>
      <c r="D238" s="1" t="n">
        <v>11197</v>
      </c>
      <c r="E238" s="1" t="s">
        <v>53</v>
      </c>
      <c r="F238" s="201" t="n">
        <v>200025889314</v>
      </c>
      <c r="G238" s="198" t="s">
        <v>632</v>
      </c>
      <c r="H238" s="163" t="s">
        <v>224</v>
      </c>
      <c r="I238" s="161" t="n">
        <v>15</v>
      </c>
      <c r="J238" s="156" t="s">
        <v>185</v>
      </c>
      <c r="K238" s="200" t="n">
        <v>45451.8546064815</v>
      </c>
      <c r="L238" s="1" t="n">
        <v>1</v>
      </c>
      <c r="M238" s="156" t="s">
        <v>185</v>
      </c>
      <c r="N238" s="1" t="n">
        <v>237</v>
      </c>
    </row>
    <row r="239" customFormat="false" ht="14.25" hidden="false" customHeight="false" outlineLevel="0" collapsed="false">
      <c r="A239" s="1" t="n">
        <v>34</v>
      </c>
      <c r="B239" s="1" t="s">
        <v>702</v>
      </c>
      <c r="C239" s="1" t="s">
        <v>703</v>
      </c>
      <c r="D239" s="1" t="n">
        <v>11197</v>
      </c>
      <c r="E239" s="1" t="s">
        <v>53</v>
      </c>
      <c r="F239" s="201" t="n">
        <v>200025889314</v>
      </c>
      <c r="G239" s="198" t="s">
        <v>632</v>
      </c>
      <c r="H239" s="163" t="s">
        <v>224</v>
      </c>
      <c r="I239" s="161" t="n">
        <v>15</v>
      </c>
      <c r="J239" s="156" t="s">
        <v>185</v>
      </c>
      <c r="K239" s="200" t="n">
        <v>45451.8549074074</v>
      </c>
      <c r="L239" s="1" t="n">
        <v>9</v>
      </c>
      <c r="M239" s="156" t="s">
        <v>185</v>
      </c>
      <c r="N239" s="1" t="n">
        <v>238</v>
      </c>
    </row>
    <row r="240" customFormat="false" ht="14.25" hidden="false" customHeight="false" outlineLevel="0" collapsed="false">
      <c r="A240" s="1" t="n">
        <v>35</v>
      </c>
      <c r="B240" s="1" t="s">
        <v>702</v>
      </c>
      <c r="C240" s="1" t="s">
        <v>703</v>
      </c>
      <c r="D240" s="1" t="n">
        <v>11197</v>
      </c>
      <c r="E240" s="1" t="s">
        <v>53</v>
      </c>
      <c r="F240" s="201" t="n">
        <v>200025889314</v>
      </c>
      <c r="G240" s="198" t="s">
        <v>632</v>
      </c>
      <c r="H240" s="163" t="s">
        <v>224</v>
      </c>
      <c r="I240" s="161" t="n">
        <v>15</v>
      </c>
      <c r="J240" s="156" t="s">
        <v>185</v>
      </c>
      <c r="K240" s="200" t="n">
        <v>45451.8550115741</v>
      </c>
      <c r="L240" s="1" t="n">
        <v>0</v>
      </c>
      <c r="M240" s="156" t="s">
        <v>185</v>
      </c>
      <c r="N240" s="3" t="n">
        <v>239</v>
      </c>
    </row>
    <row r="241" customFormat="false" ht="14.25" hidden="false" customHeight="false" outlineLevel="0" collapsed="false">
      <c r="A241" s="1" t="n">
        <v>36</v>
      </c>
      <c r="B241" s="1" t="s">
        <v>702</v>
      </c>
      <c r="C241" s="1" t="s">
        <v>703</v>
      </c>
      <c r="D241" s="1" t="n">
        <v>11197</v>
      </c>
      <c r="E241" s="1" t="s">
        <v>53</v>
      </c>
      <c r="F241" s="201" t="n">
        <v>200025889314</v>
      </c>
      <c r="G241" s="198" t="s">
        <v>632</v>
      </c>
      <c r="H241" s="163" t="s">
        <v>224</v>
      </c>
      <c r="I241" s="161" t="n">
        <v>15</v>
      </c>
      <c r="J241" s="156" t="s">
        <v>185</v>
      </c>
      <c r="K241" s="200" t="n">
        <v>45451.8550231482</v>
      </c>
      <c r="L241" s="1" t="n">
        <v>2</v>
      </c>
      <c r="M241" s="156" t="s">
        <v>185</v>
      </c>
      <c r="N241" s="3" t="n">
        <v>240</v>
      </c>
    </row>
    <row r="242" customFormat="false" ht="14.25" hidden="false" customHeight="false" outlineLevel="0" collapsed="false">
      <c r="A242" s="1" t="n">
        <v>37</v>
      </c>
      <c r="B242" s="1" t="s">
        <v>702</v>
      </c>
      <c r="C242" s="1" t="s">
        <v>703</v>
      </c>
      <c r="D242" s="1" t="n">
        <v>11197</v>
      </c>
      <c r="E242" s="1" t="s">
        <v>53</v>
      </c>
      <c r="F242" s="201" t="n">
        <v>200025889314</v>
      </c>
      <c r="G242" s="198" t="s">
        <v>632</v>
      </c>
      <c r="H242" s="163" t="s">
        <v>224</v>
      </c>
      <c r="I242" s="161" t="n">
        <v>15</v>
      </c>
      <c r="J242" s="156" t="s">
        <v>185</v>
      </c>
      <c r="K242" s="200" t="n">
        <v>45451.8553125</v>
      </c>
      <c r="L242" s="1" t="n">
        <v>0</v>
      </c>
      <c r="M242" s="156" t="s">
        <v>185</v>
      </c>
      <c r="N242" s="1" t="n">
        <v>241</v>
      </c>
    </row>
    <row r="243" customFormat="false" ht="14.25" hidden="false" customHeight="false" outlineLevel="0" collapsed="false">
      <c r="A243" s="1" t="n">
        <v>38</v>
      </c>
      <c r="B243" s="1" t="s">
        <v>702</v>
      </c>
      <c r="C243" s="1" t="s">
        <v>703</v>
      </c>
      <c r="D243" s="1" t="n">
        <v>11197</v>
      </c>
      <c r="E243" s="1" t="s">
        <v>53</v>
      </c>
      <c r="F243" s="201" t="n">
        <v>200025889314</v>
      </c>
      <c r="G243" s="198" t="s">
        <v>632</v>
      </c>
      <c r="H243" s="163" t="s">
        <v>224</v>
      </c>
      <c r="I243" s="161" t="n">
        <v>15</v>
      </c>
      <c r="J243" s="156" t="s">
        <v>185</v>
      </c>
      <c r="K243" s="200" t="n">
        <v>45451.8557638889</v>
      </c>
      <c r="L243" s="1" t="n">
        <v>4</v>
      </c>
      <c r="M243" s="156" t="s">
        <v>185</v>
      </c>
      <c r="N243" s="1" t="n">
        <v>242</v>
      </c>
    </row>
    <row r="244" customFormat="false" ht="14.25" hidden="false" customHeight="false" outlineLevel="0" collapsed="false">
      <c r="A244" s="1" t="n">
        <v>39</v>
      </c>
      <c r="B244" s="1" t="s">
        <v>702</v>
      </c>
      <c r="C244" s="1" t="s">
        <v>703</v>
      </c>
      <c r="D244" s="1" t="n">
        <v>11197</v>
      </c>
      <c r="E244" s="1" t="s">
        <v>53</v>
      </c>
      <c r="F244" s="201" t="n">
        <v>200025889314</v>
      </c>
      <c r="G244" s="198" t="s">
        <v>632</v>
      </c>
      <c r="H244" s="163" t="s">
        <v>224</v>
      </c>
      <c r="I244" s="161" t="n">
        <v>15</v>
      </c>
      <c r="J244" s="156" t="s">
        <v>185</v>
      </c>
      <c r="K244" s="200" t="n">
        <v>45451.8559143519</v>
      </c>
      <c r="L244" s="1" t="n">
        <v>4</v>
      </c>
      <c r="M244" s="156" t="s">
        <v>185</v>
      </c>
      <c r="N244" s="1" t="n">
        <v>243</v>
      </c>
    </row>
    <row r="245" customFormat="false" ht="14.25" hidden="false" customHeight="false" outlineLevel="0" collapsed="false">
      <c r="A245" s="1" t="n">
        <v>40</v>
      </c>
      <c r="B245" s="1" t="s">
        <v>702</v>
      </c>
      <c r="C245" s="1" t="s">
        <v>703</v>
      </c>
      <c r="D245" s="1" t="n">
        <v>11197</v>
      </c>
      <c r="E245" s="1" t="s">
        <v>53</v>
      </c>
      <c r="F245" s="201" t="n">
        <v>200025889314</v>
      </c>
      <c r="G245" s="198" t="s">
        <v>632</v>
      </c>
      <c r="H245" s="163" t="s">
        <v>224</v>
      </c>
      <c r="I245" s="161" t="n">
        <v>15</v>
      </c>
      <c r="J245" s="156" t="s">
        <v>185</v>
      </c>
      <c r="K245" s="200" t="n">
        <v>45451.8562037037</v>
      </c>
      <c r="L245" s="1" t="n">
        <v>0</v>
      </c>
      <c r="M245" s="156" t="s">
        <v>185</v>
      </c>
      <c r="N245" s="3" t="n">
        <v>244</v>
      </c>
    </row>
    <row r="246" customFormat="false" ht="14.25" hidden="false" customHeight="false" outlineLevel="0" collapsed="false">
      <c r="A246" s="1" t="n">
        <v>41</v>
      </c>
      <c r="B246" s="1" t="s">
        <v>702</v>
      </c>
      <c r="C246" s="1" t="s">
        <v>703</v>
      </c>
      <c r="D246" s="1" t="n">
        <v>11197</v>
      </c>
      <c r="E246" s="1" t="s">
        <v>53</v>
      </c>
      <c r="F246" s="201" t="n">
        <v>200025889314</v>
      </c>
      <c r="G246" s="198" t="s">
        <v>632</v>
      </c>
      <c r="H246" s="163" t="s">
        <v>224</v>
      </c>
      <c r="I246" s="161" t="n">
        <v>15</v>
      </c>
      <c r="J246" s="156" t="s">
        <v>185</v>
      </c>
      <c r="K246" s="200" t="n">
        <v>45451.8566435185</v>
      </c>
      <c r="L246" s="1" t="n">
        <v>3</v>
      </c>
      <c r="M246" s="156" t="s">
        <v>185</v>
      </c>
      <c r="N246" s="3" t="n">
        <v>245</v>
      </c>
    </row>
    <row r="247" customFormat="false" ht="14.25" hidden="false" customHeight="false" outlineLevel="0" collapsed="false">
      <c r="A247" s="1" t="n">
        <v>42</v>
      </c>
      <c r="B247" s="1" t="s">
        <v>702</v>
      </c>
      <c r="C247" s="1" t="s">
        <v>703</v>
      </c>
      <c r="D247" s="1" t="n">
        <v>11197</v>
      </c>
      <c r="E247" s="1" t="s">
        <v>53</v>
      </c>
      <c r="F247" s="201" t="n">
        <v>200025889314</v>
      </c>
      <c r="G247" s="198" t="s">
        <v>632</v>
      </c>
      <c r="H247" s="163" t="s">
        <v>224</v>
      </c>
      <c r="I247" s="161" t="n">
        <v>15</v>
      </c>
      <c r="J247" s="156" t="s">
        <v>185</v>
      </c>
      <c r="K247" s="200" t="n">
        <v>45451.8568634259</v>
      </c>
      <c r="L247" s="1" t="n">
        <v>2</v>
      </c>
      <c r="M247" s="156" t="s">
        <v>185</v>
      </c>
      <c r="N247" s="1" t="n">
        <v>246</v>
      </c>
    </row>
    <row r="248" customFormat="false" ht="14.25" hidden="false" customHeight="false" outlineLevel="0" collapsed="false">
      <c r="A248" s="1" t="n">
        <v>43</v>
      </c>
      <c r="B248" s="1" t="s">
        <v>702</v>
      </c>
      <c r="C248" s="1" t="s">
        <v>703</v>
      </c>
      <c r="D248" s="1" t="n">
        <v>11197</v>
      </c>
      <c r="E248" s="1" t="s">
        <v>53</v>
      </c>
      <c r="F248" s="201" t="n">
        <v>200025889314</v>
      </c>
      <c r="G248" s="198" t="s">
        <v>632</v>
      </c>
      <c r="H248" s="163" t="s">
        <v>224</v>
      </c>
      <c r="I248" s="161" t="n">
        <v>15</v>
      </c>
      <c r="J248" s="156" t="s">
        <v>185</v>
      </c>
      <c r="K248" s="200" t="n">
        <v>45451.8573842593</v>
      </c>
      <c r="L248" s="1" t="n">
        <v>2</v>
      </c>
      <c r="M248" s="156" t="s">
        <v>185</v>
      </c>
      <c r="N248" s="1" t="n">
        <v>247</v>
      </c>
    </row>
    <row r="249" customFormat="false" ht="14.25" hidden="false" customHeight="false" outlineLevel="0" collapsed="false">
      <c r="A249" s="1" t="n">
        <v>44</v>
      </c>
      <c r="B249" s="1" t="s">
        <v>702</v>
      </c>
      <c r="C249" s="1" t="s">
        <v>703</v>
      </c>
      <c r="D249" s="1" t="n">
        <v>11197</v>
      </c>
      <c r="E249" s="1" t="s">
        <v>53</v>
      </c>
      <c r="F249" s="201" t="n">
        <v>200025889314</v>
      </c>
      <c r="G249" s="198" t="s">
        <v>632</v>
      </c>
      <c r="H249" s="163" t="s">
        <v>224</v>
      </c>
      <c r="I249" s="161" t="n">
        <v>15</v>
      </c>
      <c r="J249" s="156" t="s">
        <v>185</v>
      </c>
      <c r="K249" s="200" t="n">
        <v>45451.8576967593</v>
      </c>
      <c r="L249" s="1" t="n">
        <v>3</v>
      </c>
      <c r="M249" s="156" t="s">
        <v>185</v>
      </c>
      <c r="N249" s="1" t="n">
        <v>248</v>
      </c>
    </row>
    <row r="250" customFormat="false" ht="14.25" hidden="false" customHeight="false" outlineLevel="0" collapsed="false">
      <c r="A250" s="1" t="n">
        <v>45</v>
      </c>
      <c r="B250" s="1" t="s">
        <v>702</v>
      </c>
      <c r="C250" s="1" t="s">
        <v>703</v>
      </c>
      <c r="D250" s="1" t="n">
        <v>11197</v>
      </c>
      <c r="E250" s="1" t="s">
        <v>53</v>
      </c>
      <c r="F250" s="201" t="n">
        <v>200025889314</v>
      </c>
      <c r="G250" s="198" t="s">
        <v>632</v>
      </c>
      <c r="H250" s="163" t="s">
        <v>224</v>
      </c>
      <c r="I250" s="161" t="n">
        <v>15</v>
      </c>
      <c r="J250" s="156" t="s">
        <v>185</v>
      </c>
      <c r="K250" s="200" t="n">
        <v>45451.8590162037</v>
      </c>
      <c r="L250" s="1" t="n">
        <v>3</v>
      </c>
      <c r="M250" s="156" t="s">
        <v>185</v>
      </c>
      <c r="N250" s="3" t="n">
        <v>249</v>
      </c>
    </row>
    <row r="251" customFormat="false" ht="14.25" hidden="false" customHeight="false" outlineLevel="0" collapsed="false">
      <c r="A251" s="1" t="n">
        <v>46</v>
      </c>
      <c r="B251" s="1" t="s">
        <v>702</v>
      </c>
      <c r="C251" s="1" t="s">
        <v>703</v>
      </c>
      <c r="D251" s="1" t="n">
        <v>11197</v>
      </c>
      <c r="E251" s="1" t="s">
        <v>53</v>
      </c>
      <c r="F251" s="201" t="n">
        <v>200025889314</v>
      </c>
      <c r="G251" s="198" t="s">
        <v>632</v>
      </c>
      <c r="H251" s="163" t="s">
        <v>224</v>
      </c>
      <c r="I251" s="161" t="n">
        <v>15</v>
      </c>
      <c r="J251" s="156" t="s">
        <v>185</v>
      </c>
      <c r="K251" s="200" t="n">
        <v>45451.8594560185</v>
      </c>
      <c r="L251" s="1" t="n">
        <v>3</v>
      </c>
      <c r="M251" s="156" t="s">
        <v>185</v>
      </c>
      <c r="N251" s="3" t="n">
        <v>250</v>
      </c>
    </row>
    <row r="252" customFormat="false" ht="14.25" hidden="false" customHeight="false" outlineLevel="0" collapsed="false">
      <c r="A252" s="1" t="n">
        <v>47</v>
      </c>
      <c r="B252" s="1" t="s">
        <v>702</v>
      </c>
      <c r="C252" s="1" t="s">
        <v>703</v>
      </c>
      <c r="D252" s="1" t="n">
        <v>11197</v>
      </c>
      <c r="E252" s="1" t="s">
        <v>53</v>
      </c>
      <c r="F252" s="201" t="n">
        <v>200025889314</v>
      </c>
      <c r="G252" s="198" t="s">
        <v>632</v>
      </c>
      <c r="H252" s="163" t="s">
        <v>224</v>
      </c>
      <c r="I252" s="161" t="n">
        <v>15</v>
      </c>
      <c r="J252" s="156" t="s">
        <v>185</v>
      </c>
      <c r="K252" s="200" t="n">
        <v>45451.8603819445</v>
      </c>
      <c r="L252" s="1" t="n">
        <v>1</v>
      </c>
      <c r="M252" s="156" t="s">
        <v>185</v>
      </c>
      <c r="N252" s="1" t="n">
        <v>251</v>
      </c>
    </row>
    <row r="253" customFormat="false" ht="14.25" hidden="false" customHeight="false" outlineLevel="0" collapsed="false">
      <c r="A253" s="1" t="n">
        <v>48</v>
      </c>
      <c r="B253" s="1" t="s">
        <v>702</v>
      </c>
      <c r="C253" s="1" t="s">
        <v>703</v>
      </c>
      <c r="D253" s="1" t="n">
        <v>11197</v>
      </c>
      <c r="E253" s="1" t="s">
        <v>53</v>
      </c>
      <c r="F253" s="201" t="n">
        <v>200025889314</v>
      </c>
      <c r="G253" s="198" t="s">
        <v>632</v>
      </c>
      <c r="H253" s="163" t="s">
        <v>224</v>
      </c>
      <c r="I253" s="161" t="n">
        <v>15</v>
      </c>
      <c r="J253" s="156" t="s">
        <v>185</v>
      </c>
      <c r="K253" s="200" t="n">
        <v>45451.8610532407</v>
      </c>
      <c r="L253" s="1" t="n">
        <v>1</v>
      </c>
      <c r="M253" s="156" t="s">
        <v>185</v>
      </c>
      <c r="N253" s="1" t="n">
        <v>252</v>
      </c>
    </row>
    <row r="254" customFormat="false" ht="14.25" hidden="false" customHeight="false" outlineLevel="0" collapsed="false">
      <c r="A254" s="1" t="n">
        <v>49</v>
      </c>
      <c r="B254" s="1" t="s">
        <v>702</v>
      </c>
      <c r="C254" s="1" t="s">
        <v>703</v>
      </c>
      <c r="D254" s="1" t="n">
        <v>11197</v>
      </c>
      <c r="E254" s="1" t="s">
        <v>53</v>
      </c>
      <c r="F254" s="201" t="n">
        <v>200025889314</v>
      </c>
      <c r="G254" s="198" t="s">
        <v>632</v>
      </c>
      <c r="H254" s="163" t="s">
        <v>224</v>
      </c>
      <c r="I254" s="161" t="n">
        <v>15</v>
      </c>
      <c r="J254" s="156" t="s">
        <v>185</v>
      </c>
      <c r="K254" s="200" t="n">
        <v>45451.8617361111</v>
      </c>
      <c r="L254" s="1" t="n">
        <v>1</v>
      </c>
      <c r="M254" s="156" t="s">
        <v>185</v>
      </c>
      <c r="N254" s="1" t="n">
        <v>253</v>
      </c>
    </row>
    <row r="255" customFormat="false" ht="14.25" hidden="false" customHeight="false" outlineLevel="0" collapsed="false">
      <c r="A255" s="1" t="n">
        <v>50</v>
      </c>
      <c r="B255" s="1" t="s">
        <v>702</v>
      </c>
      <c r="C255" s="1" t="s">
        <v>703</v>
      </c>
      <c r="D255" s="1" t="n">
        <v>11197</v>
      </c>
      <c r="E255" s="1" t="s">
        <v>53</v>
      </c>
      <c r="F255" s="201" t="n">
        <v>200025889314</v>
      </c>
      <c r="G255" s="198" t="s">
        <v>632</v>
      </c>
      <c r="H255" s="163" t="s">
        <v>224</v>
      </c>
      <c r="I255" s="161" t="n">
        <v>15</v>
      </c>
      <c r="J255" s="156" t="s">
        <v>185</v>
      </c>
      <c r="K255" s="200" t="n">
        <v>45451.8617592593</v>
      </c>
      <c r="L255" s="1" t="n">
        <v>0</v>
      </c>
      <c r="M255" s="156" t="s">
        <v>185</v>
      </c>
      <c r="N255" s="3" t="n">
        <v>254</v>
      </c>
    </row>
    <row r="256" customFormat="false" ht="14.25" hidden="false" customHeight="false" outlineLevel="0" collapsed="false">
      <c r="A256" s="1" t="n">
        <v>51</v>
      </c>
      <c r="B256" s="1" t="s">
        <v>702</v>
      </c>
      <c r="C256" s="1" t="s">
        <v>703</v>
      </c>
      <c r="D256" s="1" t="n">
        <v>11197</v>
      </c>
      <c r="E256" s="1" t="s">
        <v>53</v>
      </c>
      <c r="F256" s="201" t="n">
        <v>200025889314</v>
      </c>
      <c r="G256" s="198" t="s">
        <v>632</v>
      </c>
      <c r="H256" s="163" t="s">
        <v>224</v>
      </c>
      <c r="I256" s="161" t="n">
        <v>15</v>
      </c>
      <c r="J256" s="156" t="s">
        <v>185</v>
      </c>
      <c r="K256" s="200" t="n">
        <v>45451.8621875</v>
      </c>
      <c r="L256" s="1" t="n">
        <v>2</v>
      </c>
      <c r="M256" s="156" t="s">
        <v>185</v>
      </c>
      <c r="N256" s="3" t="n">
        <v>255</v>
      </c>
    </row>
    <row r="257" customFormat="false" ht="14.25" hidden="false" customHeight="false" outlineLevel="0" collapsed="false">
      <c r="A257" s="1" t="n">
        <v>52</v>
      </c>
      <c r="B257" s="1" t="s">
        <v>702</v>
      </c>
      <c r="C257" s="1" t="s">
        <v>703</v>
      </c>
      <c r="D257" s="1" t="n">
        <v>11197</v>
      </c>
      <c r="E257" s="1" t="s">
        <v>53</v>
      </c>
      <c r="F257" s="201" t="n">
        <v>200025889314</v>
      </c>
      <c r="G257" s="198" t="s">
        <v>632</v>
      </c>
      <c r="H257" s="163" t="s">
        <v>224</v>
      </c>
      <c r="I257" s="161" t="n">
        <v>15</v>
      </c>
      <c r="J257" s="156" t="s">
        <v>185</v>
      </c>
      <c r="K257" s="200" t="n">
        <v>45451.863275463</v>
      </c>
      <c r="L257" s="1" t="n">
        <v>2</v>
      </c>
      <c r="M257" s="156" t="s">
        <v>185</v>
      </c>
      <c r="N257" s="1" t="n">
        <v>256</v>
      </c>
    </row>
    <row r="258" customFormat="false" ht="14.25" hidden="false" customHeight="false" outlineLevel="0" collapsed="false">
      <c r="A258" s="1" t="n">
        <v>53</v>
      </c>
      <c r="B258" s="1" t="s">
        <v>702</v>
      </c>
      <c r="C258" s="1" t="s">
        <v>703</v>
      </c>
      <c r="D258" s="1" t="n">
        <v>11197</v>
      </c>
      <c r="E258" s="1" t="s">
        <v>53</v>
      </c>
      <c r="F258" s="201" t="n">
        <v>200025889314</v>
      </c>
      <c r="G258" s="198" t="s">
        <v>632</v>
      </c>
      <c r="H258" s="163" t="s">
        <v>224</v>
      </c>
      <c r="I258" s="161" t="n">
        <v>15</v>
      </c>
      <c r="J258" s="156" t="s">
        <v>185</v>
      </c>
      <c r="K258" s="200" t="n">
        <v>45451.864212963</v>
      </c>
      <c r="L258" s="1" t="n">
        <v>26</v>
      </c>
      <c r="M258" s="156" t="s">
        <v>185</v>
      </c>
      <c r="N258" s="1" t="n">
        <v>257</v>
      </c>
    </row>
    <row r="259" customFormat="false" ht="14.25" hidden="false" customHeight="false" outlineLevel="0" collapsed="false">
      <c r="A259" s="1" t="n">
        <v>54</v>
      </c>
      <c r="B259" s="1" t="s">
        <v>702</v>
      </c>
      <c r="C259" s="1" t="s">
        <v>703</v>
      </c>
      <c r="D259" s="1" t="n">
        <v>11197</v>
      </c>
      <c r="E259" s="1" t="s">
        <v>53</v>
      </c>
      <c r="F259" s="201" t="n">
        <v>200025889314</v>
      </c>
      <c r="G259" s="198" t="s">
        <v>632</v>
      </c>
      <c r="H259" s="163" t="s">
        <v>224</v>
      </c>
      <c r="I259" s="161" t="n">
        <v>15</v>
      </c>
      <c r="J259" s="156" t="s">
        <v>185</v>
      </c>
      <c r="K259" s="200" t="n">
        <v>45451.8943055556</v>
      </c>
      <c r="L259" s="1" t="n">
        <v>2</v>
      </c>
      <c r="M259" s="156" t="s">
        <v>185</v>
      </c>
      <c r="N259" s="1" t="n">
        <v>258</v>
      </c>
    </row>
    <row r="260" customFormat="false" ht="14.25" hidden="false" customHeight="false" outlineLevel="0" collapsed="false">
      <c r="A260" s="1" t="n">
        <v>55</v>
      </c>
      <c r="B260" s="1" t="s">
        <v>702</v>
      </c>
      <c r="C260" s="1" t="s">
        <v>703</v>
      </c>
      <c r="D260" s="1" t="n">
        <v>11197</v>
      </c>
      <c r="E260" s="1" t="s">
        <v>53</v>
      </c>
      <c r="F260" s="201" t="n">
        <v>200025889314</v>
      </c>
      <c r="G260" s="198" t="s">
        <v>632</v>
      </c>
      <c r="H260" s="163" t="s">
        <v>224</v>
      </c>
      <c r="I260" s="161" t="n">
        <v>15</v>
      </c>
      <c r="J260" s="156" t="s">
        <v>185</v>
      </c>
      <c r="K260" s="200" t="n">
        <v>45451.8978819444</v>
      </c>
      <c r="L260" s="207" t="n">
        <v>68</v>
      </c>
      <c r="M260" s="156" t="s">
        <v>185</v>
      </c>
      <c r="N260" s="3" t="n">
        <v>259</v>
      </c>
    </row>
    <row r="261" customFormat="false" ht="14.25" hidden="false" customHeight="false" outlineLevel="0" collapsed="false">
      <c r="A261" s="1" t="n">
        <v>56</v>
      </c>
      <c r="B261" s="1" t="s">
        <v>702</v>
      </c>
      <c r="C261" s="1" t="s">
        <v>703</v>
      </c>
      <c r="D261" s="1" t="n">
        <v>11197</v>
      </c>
      <c r="E261" s="1" t="s">
        <v>53</v>
      </c>
      <c r="F261" s="201" t="n">
        <v>200025889314</v>
      </c>
      <c r="G261" s="198" t="s">
        <v>632</v>
      </c>
      <c r="H261" s="163" t="s">
        <v>224</v>
      </c>
      <c r="I261" s="161" t="n">
        <v>15</v>
      </c>
      <c r="J261" s="156" t="s">
        <v>185</v>
      </c>
      <c r="K261" s="200" t="n">
        <v>45451.8986689815</v>
      </c>
      <c r="L261" s="1" t="n">
        <v>1</v>
      </c>
      <c r="M261" s="156" t="s">
        <v>185</v>
      </c>
      <c r="N261" s="3" t="n">
        <v>260</v>
      </c>
    </row>
    <row r="262" customFormat="false" ht="14.25" hidden="false" customHeight="false" outlineLevel="0" collapsed="false">
      <c r="A262" s="1" t="n">
        <v>57</v>
      </c>
      <c r="B262" s="1" t="s">
        <v>702</v>
      </c>
      <c r="C262" s="1" t="s">
        <v>703</v>
      </c>
      <c r="D262" s="1" t="n">
        <v>11197</v>
      </c>
      <c r="E262" s="1" t="s">
        <v>53</v>
      </c>
      <c r="F262" s="201" t="n">
        <v>200025889314</v>
      </c>
      <c r="G262" s="198" t="s">
        <v>632</v>
      </c>
      <c r="H262" s="163" t="s">
        <v>224</v>
      </c>
      <c r="I262" s="161" t="n">
        <v>15</v>
      </c>
      <c r="J262" s="156" t="s">
        <v>185</v>
      </c>
      <c r="K262" s="200" t="n">
        <v>45451.8991087963</v>
      </c>
      <c r="L262" s="1" t="n">
        <v>0</v>
      </c>
      <c r="M262" s="156" t="s">
        <v>185</v>
      </c>
      <c r="N262" s="1" t="n">
        <v>261</v>
      </c>
    </row>
    <row r="263" customFormat="false" ht="14.25" hidden="false" customHeight="false" outlineLevel="0" collapsed="false">
      <c r="A263" s="1" t="n">
        <v>13</v>
      </c>
      <c r="B263" s="1" t="s">
        <v>565</v>
      </c>
      <c r="C263" s="1" t="s">
        <v>566</v>
      </c>
      <c r="D263" s="1" t="n">
        <v>11171</v>
      </c>
      <c r="E263" s="1" t="s">
        <v>55</v>
      </c>
      <c r="F263" s="198" t="n">
        <v>200025889314</v>
      </c>
      <c r="G263" s="198" t="s">
        <v>632</v>
      </c>
      <c r="H263" s="163" t="s">
        <v>224</v>
      </c>
      <c r="I263" s="161" t="n">
        <v>15</v>
      </c>
      <c r="J263" s="156" t="s">
        <v>185</v>
      </c>
      <c r="K263" s="199" t="n">
        <v>45451.9299537037</v>
      </c>
      <c r="L263" s="1" t="n">
        <v>39</v>
      </c>
      <c r="M263" s="156" t="s">
        <v>185</v>
      </c>
      <c r="N263" s="1" t="n">
        <v>262</v>
      </c>
    </row>
    <row r="264" customFormat="false" ht="14.25" hidden="false" customHeight="false" outlineLevel="0" collapsed="false">
      <c r="A264" s="1" t="n">
        <v>14</v>
      </c>
      <c r="B264" s="1" t="s">
        <v>565</v>
      </c>
      <c r="C264" s="1" t="s">
        <v>566</v>
      </c>
      <c r="D264" s="1" t="n">
        <v>11171</v>
      </c>
      <c r="E264" s="1" t="s">
        <v>55</v>
      </c>
      <c r="F264" s="198" t="n">
        <v>200025889314</v>
      </c>
      <c r="G264" s="198" t="s">
        <v>632</v>
      </c>
      <c r="H264" s="163" t="s">
        <v>224</v>
      </c>
      <c r="I264" s="161" t="n">
        <v>15</v>
      </c>
      <c r="J264" s="156" t="s">
        <v>185</v>
      </c>
      <c r="K264" s="199" t="n">
        <v>45451.9305555556</v>
      </c>
      <c r="L264" s="1" t="n">
        <v>1</v>
      </c>
      <c r="M264" s="156" t="s">
        <v>185</v>
      </c>
      <c r="N264" s="1" t="n">
        <v>263</v>
      </c>
    </row>
    <row r="265" customFormat="false" ht="14.25" hidden="false" customHeight="false" outlineLevel="0" collapsed="false">
      <c r="A265" s="1" t="n">
        <v>15</v>
      </c>
      <c r="B265" s="1" t="s">
        <v>565</v>
      </c>
      <c r="C265" s="1" t="s">
        <v>566</v>
      </c>
      <c r="D265" s="1" t="n">
        <v>11171</v>
      </c>
      <c r="E265" s="1" t="s">
        <v>55</v>
      </c>
      <c r="F265" s="198" t="n">
        <v>200025889314</v>
      </c>
      <c r="G265" s="198" t="s">
        <v>632</v>
      </c>
      <c r="H265" s="163" t="s">
        <v>224</v>
      </c>
      <c r="I265" s="161" t="n">
        <v>15</v>
      </c>
      <c r="J265" s="156" t="s">
        <v>185</v>
      </c>
      <c r="K265" s="199" t="n">
        <v>45451.9306712963</v>
      </c>
      <c r="L265" s="1" t="n">
        <v>0</v>
      </c>
      <c r="M265" s="156" t="s">
        <v>185</v>
      </c>
      <c r="N265" s="3" t="n">
        <v>264</v>
      </c>
    </row>
    <row r="266" customFormat="false" ht="14.25" hidden="false" customHeight="false" outlineLevel="0" collapsed="false">
      <c r="A266" s="1" t="n">
        <v>16</v>
      </c>
      <c r="B266" s="1" t="s">
        <v>565</v>
      </c>
      <c r="C266" s="1" t="s">
        <v>566</v>
      </c>
      <c r="D266" s="1" t="n">
        <v>11171</v>
      </c>
      <c r="E266" s="1" t="s">
        <v>55</v>
      </c>
      <c r="F266" s="198" t="n">
        <v>200025889314</v>
      </c>
      <c r="G266" s="198" t="s">
        <v>632</v>
      </c>
      <c r="H266" s="163" t="s">
        <v>224</v>
      </c>
      <c r="I266" s="161" t="n">
        <v>15</v>
      </c>
      <c r="J266" s="156" t="s">
        <v>185</v>
      </c>
      <c r="K266" s="199" t="n">
        <v>45451.9308101852</v>
      </c>
      <c r="L266" s="1" t="n">
        <v>0</v>
      </c>
      <c r="M266" s="156" t="s">
        <v>185</v>
      </c>
      <c r="N266" s="3" t="n">
        <v>265</v>
      </c>
    </row>
    <row r="267" customFormat="false" ht="14.25" hidden="false" customHeight="false" outlineLevel="0" collapsed="false">
      <c r="A267" s="1" t="n">
        <v>17</v>
      </c>
      <c r="B267" s="1" t="s">
        <v>565</v>
      </c>
      <c r="C267" s="1" t="s">
        <v>566</v>
      </c>
      <c r="D267" s="1" t="n">
        <v>11171</v>
      </c>
      <c r="E267" s="1" t="s">
        <v>55</v>
      </c>
      <c r="F267" s="198" t="n">
        <v>200025889314</v>
      </c>
      <c r="G267" s="198" t="s">
        <v>632</v>
      </c>
      <c r="H267" s="163" t="s">
        <v>224</v>
      </c>
      <c r="I267" s="161" t="n">
        <v>15</v>
      </c>
      <c r="J267" s="156" t="s">
        <v>185</v>
      </c>
      <c r="K267" s="199" t="n">
        <v>45451.9311111111</v>
      </c>
      <c r="L267" s="1" t="n">
        <v>1</v>
      </c>
      <c r="M267" s="156" t="s">
        <v>185</v>
      </c>
      <c r="N267" s="1" t="n">
        <v>266</v>
      </c>
    </row>
    <row r="268" customFormat="false" ht="14.25" hidden="false" customHeight="false" outlineLevel="0" collapsed="false">
      <c r="A268" s="1" t="n">
        <v>18</v>
      </c>
      <c r="B268" s="1" t="s">
        <v>565</v>
      </c>
      <c r="C268" s="1" t="s">
        <v>566</v>
      </c>
      <c r="D268" s="1" t="n">
        <v>11171</v>
      </c>
      <c r="E268" s="1" t="s">
        <v>55</v>
      </c>
      <c r="F268" s="198" t="n">
        <v>200025889314</v>
      </c>
      <c r="G268" s="198" t="s">
        <v>632</v>
      </c>
      <c r="H268" s="163" t="s">
        <v>224</v>
      </c>
      <c r="I268" s="161" t="n">
        <v>15</v>
      </c>
      <c r="J268" s="156" t="s">
        <v>185</v>
      </c>
      <c r="K268" s="199" t="n">
        <v>45451.9323611111</v>
      </c>
      <c r="L268" s="1" t="n">
        <v>0</v>
      </c>
      <c r="M268" s="156" t="s">
        <v>185</v>
      </c>
      <c r="N268" s="1" t="n">
        <v>267</v>
      </c>
    </row>
    <row r="269" customFormat="false" ht="14.25" hidden="false" customHeight="false" outlineLevel="0" collapsed="false">
      <c r="A269" s="1" t="n">
        <v>58</v>
      </c>
      <c r="B269" s="1" t="s">
        <v>702</v>
      </c>
      <c r="C269" s="1" t="s">
        <v>703</v>
      </c>
      <c r="D269" s="1" t="n">
        <v>11197</v>
      </c>
      <c r="E269" s="1" t="s">
        <v>53</v>
      </c>
      <c r="F269" s="201" t="n">
        <v>200025889314</v>
      </c>
      <c r="G269" s="198" t="s">
        <v>632</v>
      </c>
      <c r="H269" s="163" t="s">
        <v>224</v>
      </c>
      <c r="I269" s="161" t="n">
        <v>15</v>
      </c>
      <c r="J269" s="156" t="s">
        <v>185</v>
      </c>
      <c r="K269" s="200" t="n">
        <v>45451.9837268519</v>
      </c>
      <c r="L269" s="1" t="n">
        <v>1</v>
      </c>
      <c r="M269" s="156" t="s">
        <v>185</v>
      </c>
      <c r="N269" s="1" t="n">
        <v>268</v>
      </c>
    </row>
    <row r="270" customFormat="false" ht="14.25" hidden="false" customHeight="false" outlineLevel="0" collapsed="false">
      <c r="A270" s="1" t="n">
        <v>59</v>
      </c>
      <c r="B270" s="1" t="s">
        <v>702</v>
      </c>
      <c r="C270" s="1" t="s">
        <v>703</v>
      </c>
      <c r="D270" s="1" t="n">
        <v>11197</v>
      </c>
      <c r="E270" s="1" t="s">
        <v>53</v>
      </c>
      <c r="F270" s="201" t="n">
        <v>200025889314</v>
      </c>
      <c r="G270" s="198" t="s">
        <v>632</v>
      </c>
      <c r="H270" s="163" t="s">
        <v>224</v>
      </c>
      <c r="I270" s="161" t="n">
        <v>15</v>
      </c>
      <c r="J270" s="156" t="s">
        <v>185</v>
      </c>
      <c r="K270" s="200" t="n">
        <v>45451.9839351852</v>
      </c>
      <c r="L270" s="1" t="n">
        <v>1</v>
      </c>
      <c r="M270" s="156" t="s">
        <v>185</v>
      </c>
      <c r="N270" s="3" t="n">
        <v>269</v>
      </c>
    </row>
    <row r="271" customFormat="false" ht="14.25" hidden="false" customHeight="false" outlineLevel="0" collapsed="false">
      <c r="A271" s="1" t="n">
        <v>60</v>
      </c>
      <c r="B271" s="1" t="s">
        <v>702</v>
      </c>
      <c r="C271" s="1" t="s">
        <v>703</v>
      </c>
      <c r="D271" s="1" t="n">
        <v>11197</v>
      </c>
      <c r="E271" s="1" t="s">
        <v>53</v>
      </c>
      <c r="F271" s="201" t="n">
        <v>200025889314</v>
      </c>
      <c r="G271" s="198" t="s">
        <v>632</v>
      </c>
      <c r="H271" s="163" t="s">
        <v>224</v>
      </c>
      <c r="I271" s="161" t="n">
        <v>15</v>
      </c>
      <c r="J271" s="156" t="s">
        <v>185</v>
      </c>
      <c r="K271" s="200" t="n">
        <v>45451.9853587963</v>
      </c>
      <c r="L271" s="1" t="n">
        <v>2</v>
      </c>
      <c r="M271" s="156" t="s">
        <v>185</v>
      </c>
      <c r="N271" s="3" t="n">
        <v>270</v>
      </c>
    </row>
    <row r="272" customFormat="false" ht="14.25" hidden="false" customHeight="false" outlineLevel="0" collapsed="false">
      <c r="A272" s="1" t="n">
        <v>61</v>
      </c>
      <c r="B272" s="1" t="s">
        <v>702</v>
      </c>
      <c r="C272" s="1" t="s">
        <v>703</v>
      </c>
      <c r="D272" s="1" t="n">
        <v>11197</v>
      </c>
      <c r="E272" s="1" t="s">
        <v>53</v>
      </c>
      <c r="F272" s="201" t="n">
        <v>200025889314</v>
      </c>
      <c r="G272" s="198" t="s">
        <v>632</v>
      </c>
      <c r="H272" s="163" t="s">
        <v>224</v>
      </c>
      <c r="I272" s="161" t="n">
        <v>15</v>
      </c>
      <c r="J272" s="156" t="s">
        <v>185</v>
      </c>
      <c r="K272" s="200" t="n">
        <v>45451.9858564815</v>
      </c>
      <c r="L272" s="1" t="n">
        <v>2</v>
      </c>
      <c r="M272" s="156" t="s">
        <v>185</v>
      </c>
      <c r="N272" s="1" t="n">
        <v>271</v>
      </c>
    </row>
    <row r="273" customFormat="false" ht="14.25" hidden="false" customHeight="false" outlineLevel="0" collapsed="false">
      <c r="A273" s="1" t="n">
        <v>62</v>
      </c>
      <c r="B273" s="1" t="s">
        <v>702</v>
      </c>
      <c r="C273" s="1" t="s">
        <v>703</v>
      </c>
      <c r="D273" s="1" t="n">
        <v>11197</v>
      </c>
      <c r="E273" s="1" t="s">
        <v>53</v>
      </c>
      <c r="F273" s="201" t="n">
        <v>200025889314</v>
      </c>
      <c r="G273" s="198" t="s">
        <v>632</v>
      </c>
      <c r="H273" s="163" t="s">
        <v>224</v>
      </c>
      <c r="I273" s="161" t="n">
        <v>15</v>
      </c>
      <c r="J273" s="156" t="s">
        <v>185</v>
      </c>
      <c r="K273" s="200" t="n">
        <v>45451.9861111111</v>
      </c>
      <c r="L273" s="1" t="n">
        <v>1</v>
      </c>
      <c r="M273" s="156" t="s">
        <v>185</v>
      </c>
      <c r="N273" s="1" t="n">
        <v>272</v>
      </c>
    </row>
    <row r="274" customFormat="false" ht="14.25" hidden="false" customHeight="false" outlineLevel="0" collapsed="false">
      <c r="A274" s="1" t="n">
        <v>63</v>
      </c>
      <c r="B274" s="1" t="s">
        <v>702</v>
      </c>
      <c r="C274" s="1" t="s">
        <v>703</v>
      </c>
      <c r="D274" s="1" t="n">
        <v>11197</v>
      </c>
      <c r="E274" s="1" t="s">
        <v>53</v>
      </c>
      <c r="F274" s="201" t="n">
        <v>200025889314</v>
      </c>
      <c r="G274" s="198" t="s">
        <v>632</v>
      </c>
      <c r="H274" s="163" t="s">
        <v>224</v>
      </c>
      <c r="I274" s="161" t="n">
        <v>15</v>
      </c>
      <c r="J274" s="156" t="s">
        <v>185</v>
      </c>
      <c r="K274" s="200" t="n">
        <v>45451.9861342593</v>
      </c>
      <c r="L274" s="1" t="n">
        <v>0</v>
      </c>
      <c r="M274" s="156" t="s">
        <v>185</v>
      </c>
      <c r="N274" s="1" t="n">
        <v>273</v>
      </c>
    </row>
    <row r="275" customFormat="false" ht="14.25" hidden="false" customHeight="false" outlineLevel="0" collapsed="false">
      <c r="A275" s="1" t="n">
        <v>64</v>
      </c>
      <c r="B275" s="1" t="s">
        <v>702</v>
      </c>
      <c r="C275" s="1" t="s">
        <v>703</v>
      </c>
      <c r="D275" s="1" t="n">
        <v>11197</v>
      </c>
      <c r="E275" s="1" t="s">
        <v>53</v>
      </c>
      <c r="F275" s="201" t="n">
        <v>200025889314</v>
      </c>
      <c r="G275" s="198" t="s">
        <v>632</v>
      </c>
      <c r="H275" s="163" t="s">
        <v>224</v>
      </c>
      <c r="I275" s="161" t="n">
        <v>15</v>
      </c>
      <c r="J275" s="156" t="s">
        <v>185</v>
      </c>
      <c r="K275" s="200" t="n">
        <v>45451.9869328704</v>
      </c>
      <c r="L275" s="1" t="n">
        <v>1</v>
      </c>
      <c r="M275" s="156" t="s">
        <v>185</v>
      </c>
      <c r="N275" s="3" t="n">
        <v>274</v>
      </c>
    </row>
    <row r="276" customFormat="false" ht="14.25" hidden="false" customHeight="false" outlineLevel="0" collapsed="false">
      <c r="A276" s="1" t="n">
        <v>65</v>
      </c>
      <c r="B276" s="1" t="s">
        <v>702</v>
      </c>
      <c r="C276" s="1" t="s">
        <v>703</v>
      </c>
      <c r="D276" s="1" t="n">
        <v>11197</v>
      </c>
      <c r="E276" s="1" t="s">
        <v>53</v>
      </c>
      <c r="F276" s="201" t="n">
        <v>200025889314</v>
      </c>
      <c r="G276" s="198" t="s">
        <v>632</v>
      </c>
      <c r="H276" s="163" t="s">
        <v>224</v>
      </c>
      <c r="I276" s="161" t="n">
        <v>15</v>
      </c>
      <c r="J276" s="156" t="s">
        <v>185</v>
      </c>
      <c r="K276" s="200" t="n">
        <v>45451.9896064815</v>
      </c>
      <c r="L276" s="1" t="n">
        <v>1</v>
      </c>
      <c r="M276" s="156" t="s">
        <v>185</v>
      </c>
      <c r="N276" s="3" t="n">
        <v>275</v>
      </c>
    </row>
    <row r="277" customFormat="false" ht="14.25" hidden="false" customHeight="false" outlineLevel="0" collapsed="false">
      <c r="A277" s="1" t="n">
        <v>66</v>
      </c>
      <c r="B277" s="1" t="s">
        <v>702</v>
      </c>
      <c r="C277" s="1" t="s">
        <v>703</v>
      </c>
      <c r="D277" s="1" t="n">
        <v>11197</v>
      </c>
      <c r="E277" s="1" t="s">
        <v>53</v>
      </c>
      <c r="F277" s="201" t="n">
        <v>200025889314</v>
      </c>
      <c r="G277" s="198" t="s">
        <v>632</v>
      </c>
      <c r="H277" s="163" t="s">
        <v>224</v>
      </c>
      <c r="I277" s="161" t="n">
        <v>15</v>
      </c>
      <c r="J277" s="156" t="s">
        <v>185</v>
      </c>
      <c r="K277" s="200" t="n">
        <v>45451.990162037</v>
      </c>
      <c r="L277" s="1" t="n">
        <v>3</v>
      </c>
      <c r="M277" s="156" t="s">
        <v>185</v>
      </c>
      <c r="N277" s="1" t="n">
        <v>276</v>
      </c>
    </row>
    <row r="278" customFormat="false" ht="14.25" hidden="false" customHeight="false" outlineLevel="0" collapsed="false">
      <c r="A278" s="1" t="n">
        <v>67</v>
      </c>
      <c r="B278" s="1" t="s">
        <v>702</v>
      </c>
      <c r="C278" s="1" t="s">
        <v>703</v>
      </c>
      <c r="D278" s="1" t="n">
        <v>11197</v>
      </c>
      <c r="E278" s="1" t="s">
        <v>53</v>
      </c>
      <c r="F278" s="201" t="n">
        <v>200025889314</v>
      </c>
      <c r="G278" s="198" t="s">
        <v>632</v>
      </c>
      <c r="H278" s="163" t="s">
        <v>224</v>
      </c>
      <c r="I278" s="161" t="n">
        <v>15</v>
      </c>
      <c r="J278" s="156" t="s">
        <v>185</v>
      </c>
      <c r="K278" s="200" t="n">
        <v>45451.9912384259</v>
      </c>
      <c r="L278" s="1" t="n">
        <v>1</v>
      </c>
      <c r="M278" s="156" t="s">
        <v>185</v>
      </c>
      <c r="N278" s="1" t="n">
        <v>277</v>
      </c>
    </row>
    <row r="279" customFormat="false" ht="14.25" hidden="false" customHeight="false" outlineLevel="0" collapsed="false">
      <c r="A279" s="1" t="n">
        <v>68</v>
      </c>
      <c r="B279" s="1" t="s">
        <v>702</v>
      </c>
      <c r="C279" s="1" t="s">
        <v>703</v>
      </c>
      <c r="D279" s="1" t="n">
        <v>11197</v>
      </c>
      <c r="E279" s="1" t="s">
        <v>53</v>
      </c>
      <c r="F279" s="201" t="n">
        <v>200025889314</v>
      </c>
      <c r="G279" s="198" t="s">
        <v>632</v>
      </c>
      <c r="H279" s="163" t="s">
        <v>224</v>
      </c>
      <c r="I279" s="161" t="n">
        <v>15</v>
      </c>
      <c r="J279" s="156" t="s">
        <v>185</v>
      </c>
      <c r="K279" s="200" t="n">
        <v>45451.99125</v>
      </c>
      <c r="L279" s="1" t="n">
        <v>18</v>
      </c>
      <c r="M279" s="156" t="s">
        <v>185</v>
      </c>
      <c r="N279" s="1" t="n">
        <v>278</v>
      </c>
    </row>
    <row r="280" customFormat="false" ht="14.25" hidden="false" customHeight="false" outlineLevel="0" collapsed="false">
      <c r="A280" s="1" t="n">
        <v>69</v>
      </c>
      <c r="B280" s="1" t="s">
        <v>702</v>
      </c>
      <c r="C280" s="1" t="s">
        <v>703</v>
      </c>
      <c r="D280" s="1" t="n">
        <v>11197</v>
      </c>
      <c r="E280" s="1" t="s">
        <v>53</v>
      </c>
      <c r="F280" s="201" t="n">
        <v>200025889314</v>
      </c>
      <c r="G280" s="198" t="s">
        <v>632</v>
      </c>
      <c r="H280" s="163" t="s">
        <v>224</v>
      </c>
      <c r="I280" s="161" t="n">
        <v>15</v>
      </c>
      <c r="J280" s="156" t="s">
        <v>185</v>
      </c>
      <c r="K280" s="200" t="n">
        <v>45451.9914583333</v>
      </c>
      <c r="L280" s="1" t="n">
        <v>39</v>
      </c>
      <c r="M280" s="156" t="s">
        <v>185</v>
      </c>
      <c r="N280" s="3" t="n">
        <v>279</v>
      </c>
    </row>
    <row r="281" customFormat="false" ht="14.25" hidden="false" customHeight="false" outlineLevel="0" collapsed="false">
      <c r="A281" s="1" t="n">
        <v>70</v>
      </c>
      <c r="B281" s="1" t="s">
        <v>702</v>
      </c>
      <c r="C281" s="1" t="s">
        <v>703</v>
      </c>
      <c r="D281" s="1" t="n">
        <v>11197</v>
      </c>
      <c r="E281" s="1" t="s">
        <v>53</v>
      </c>
      <c r="F281" s="201" t="n">
        <v>200025889314</v>
      </c>
      <c r="G281" s="198" t="s">
        <v>632</v>
      </c>
      <c r="H281" s="163" t="s">
        <v>224</v>
      </c>
      <c r="I281" s="161" t="n">
        <v>15</v>
      </c>
      <c r="J281" s="156" t="s">
        <v>185</v>
      </c>
      <c r="K281" s="200" t="n">
        <v>45451.9919097222</v>
      </c>
      <c r="L281" s="1" t="n">
        <v>0</v>
      </c>
      <c r="M281" s="156" t="s">
        <v>185</v>
      </c>
      <c r="N281" s="3" t="n">
        <v>280</v>
      </c>
    </row>
    <row r="282" customFormat="false" ht="14.25" hidden="false" customHeight="false" outlineLevel="0" collapsed="false">
      <c r="A282" s="1" t="n">
        <v>71</v>
      </c>
      <c r="B282" s="1" t="s">
        <v>702</v>
      </c>
      <c r="C282" s="1" t="s">
        <v>703</v>
      </c>
      <c r="D282" s="1" t="n">
        <v>11197</v>
      </c>
      <c r="E282" s="1" t="s">
        <v>53</v>
      </c>
      <c r="F282" s="201" t="n">
        <v>200025889314</v>
      </c>
      <c r="G282" s="198" t="s">
        <v>632</v>
      </c>
      <c r="H282" s="163" t="s">
        <v>224</v>
      </c>
      <c r="I282" s="161" t="n">
        <v>15</v>
      </c>
      <c r="J282" s="156" t="s">
        <v>185</v>
      </c>
      <c r="K282" s="200" t="n">
        <v>45451.9922685185</v>
      </c>
      <c r="L282" s="1" t="n">
        <v>3</v>
      </c>
      <c r="M282" s="156" t="s">
        <v>185</v>
      </c>
      <c r="N282" s="1" t="n">
        <v>281</v>
      </c>
    </row>
    <row r="283" customFormat="false" ht="14.25" hidden="false" customHeight="false" outlineLevel="0" collapsed="false">
      <c r="A283" s="1" t="n">
        <v>72</v>
      </c>
      <c r="B283" s="1" t="s">
        <v>702</v>
      </c>
      <c r="C283" s="1" t="s">
        <v>703</v>
      </c>
      <c r="D283" s="1" t="n">
        <v>11197</v>
      </c>
      <c r="E283" s="1" t="s">
        <v>53</v>
      </c>
      <c r="F283" s="201" t="n">
        <v>200025889314</v>
      </c>
      <c r="G283" s="198" t="s">
        <v>632</v>
      </c>
      <c r="H283" s="163" t="s">
        <v>224</v>
      </c>
      <c r="I283" s="161" t="n">
        <v>15</v>
      </c>
      <c r="J283" s="156" t="s">
        <v>185</v>
      </c>
      <c r="K283" s="200" t="n">
        <v>45451.9936921296</v>
      </c>
      <c r="L283" s="1" t="n">
        <v>48</v>
      </c>
      <c r="M283" s="156" t="s">
        <v>185</v>
      </c>
      <c r="N283" s="1" t="n">
        <v>282</v>
      </c>
    </row>
    <row r="284" customFormat="false" ht="14.25" hidden="false" customHeight="false" outlineLevel="0" collapsed="false">
      <c r="A284" s="1" t="n">
        <v>73</v>
      </c>
      <c r="B284" s="1" t="s">
        <v>702</v>
      </c>
      <c r="C284" s="1" t="s">
        <v>703</v>
      </c>
      <c r="D284" s="1" t="n">
        <v>11197</v>
      </c>
      <c r="E284" s="1" t="s">
        <v>53</v>
      </c>
      <c r="F284" s="201" t="n">
        <v>200025889314</v>
      </c>
      <c r="G284" s="198" t="s">
        <v>632</v>
      </c>
      <c r="H284" s="163" t="s">
        <v>224</v>
      </c>
      <c r="I284" s="161" t="n">
        <v>15</v>
      </c>
      <c r="J284" s="156" t="s">
        <v>185</v>
      </c>
      <c r="K284" s="200" t="n">
        <v>45451.9943634259</v>
      </c>
      <c r="L284" s="1" t="n">
        <v>2</v>
      </c>
      <c r="M284" s="156" t="s">
        <v>185</v>
      </c>
      <c r="N284" s="1" t="n">
        <v>283</v>
      </c>
    </row>
    <row r="285" customFormat="false" ht="14.25" hidden="false" customHeight="false" outlineLevel="0" collapsed="false">
      <c r="A285" s="1" t="n">
        <v>74</v>
      </c>
      <c r="B285" s="1" t="s">
        <v>702</v>
      </c>
      <c r="C285" s="1" t="s">
        <v>703</v>
      </c>
      <c r="D285" s="1" t="n">
        <v>11197</v>
      </c>
      <c r="E285" s="1" t="s">
        <v>53</v>
      </c>
      <c r="F285" s="201" t="n">
        <v>200025889314</v>
      </c>
      <c r="G285" s="198" t="s">
        <v>632</v>
      </c>
      <c r="H285" s="163" t="s">
        <v>224</v>
      </c>
      <c r="I285" s="161" t="n">
        <v>15</v>
      </c>
      <c r="J285" s="156" t="s">
        <v>185</v>
      </c>
      <c r="K285" s="200" t="n">
        <v>45451.9945833333</v>
      </c>
      <c r="L285" s="1" t="n">
        <v>1</v>
      </c>
      <c r="M285" s="156" t="s">
        <v>185</v>
      </c>
      <c r="N285" s="3" t="n">
        <v>284</v>
      </c>
    </row>
    <row r="286" customFormat="false" ht="14.25" hidden="false" customHeight="false" outlineLevel="0" collapsed="false">
      <c r="A286" s="1" t="n">
        <v>75</v>
      </c>
      <c r="B286" s="1" t="s">
        <v>702</v>
      </c>
      <c r="C286" s="1" t="s">
        <v>703</v>
      </c>
      <c r="D286" s="1" t="n">
        <v>11197</v>
      </c>
      <c r="E286" s="1" t="s">
        <v>53</v>
      </c>
      <c r="F286" s="201" t="n">
        <v>200025889314</v>
      </c>
      <c r="G286" s="198" t="s">
        <v>632</v>
      </c>
      <c r="H286" s="163" t="s">
        <v>224</v>
      </c>
      <c r="I286" s="161" t="n">
        <v>15</v>
      </c>
      <c r="J286" s="156" t="s">
        <v>185</v>
      </c>
      <c r="K286" s="200" t="n">
        <v>45451.9946064815</v>
      </c>
      <c r="L286" s="1" t="n">
        <v>40</v>
      </c>
      <c r="M286" s="156" t="s">
        <v>185</v>
      </c>
      <c r="N286" s="3" t="n">
        <v>285</v>
      </c>
    </row>
    <row r="287" customFormat="false" ht="14.25" hidden="false" customHeight="false" outlineLevel="0" collapsed="false">
      <c r="A287" s="1" t="n">
        <v>76</v>
      </c>
      <c r="B287" s="1" t="s">
        <v>702</v>
      </c>
      <c r="C287" s="1" t="s">
        <v>703</v>
      </c>
      <c r="D287" s="1" t="n">
        <v>11197</v>
      </c>
      <c r="E287" s="1" t="s">
        <v>53</v>
      </c>
      <c r="F287" s="201" t="n">
        <v>200025889314</v>
      </c>
      <c r="G287" s="198" t="s">
        <v>632</v>
      </c>
      <c r="H287" s="163" t="s">
        <v>224</v>
      </c>
      <c r="I287" s="161" t="n">
        <v>15</v>
      </c>
      <c r="J287" s="156" t="s">
        <v>185</v>
      </c>
      <c r="K287" s="200" t="n">
        <v>45451.9956481482</v>
      </c>
      <c r="L287" s="1" t="n">
        <v>1</v>
      </c>
      <c r="M287" s="156" t="s">
        <v>185</v>
      </c>
      <c r="N287" s="1" t="n">
        <v>286</v>
      </c>
    </row>
    <row r="288" customFormat="false" ht="14.25" hidden="false" customHeight="false" outlineLevel="0" collapsed="false">
      <c r="A288" s="1" t="n">
        <v>77</v>
      </c>
      <c r="B288" s="1" t="s">
        <v>702</v>
      </c>
      <c r="C288" s="1" t="s">
        <v>703</v>
      </c>
      <c r="D288" s="1" t="n">
        <v>11197</v>
      </c>
      <c r="E288" s="1" t="s">
        <v>53</v>
      </c>
      <c r="F288" s="201" t="n">
        <v>200025889314</v>
      </c>
      <c r="G288" s="198" t="s">
        <v>632</v>
      </c>
      <c r="H288" s="163" t="s">
        <v>224</v>
      </c>
      <c r="I288" s="161" t="n">
        <v>15</v>
      </c>
      <c r="J288" s="156" t="s">
        <v>185</v>
      </c>
      <c r="K288" s="200" t="n">
        <v>45451.9960185185</v>
      </c>
      <c r="L288" s="1" t="n">
        <v>2</v>
      </c>
      <c r="M288" s="156" t="s">
        <v>185</v>
      </c>
      <c r="N288" s="1" t="n">
        <v>287</v>
      </c>
    </row>
    <row r="289" customFormat="false" ht="14.25" hidden="false" customHeight="false" outlineLevel="0" collapsed="false">
      <c r="A289" s="1" t="n">
        <v>78</v>
      </c>
      <c r="B289" s="1" t="s">
        <v>702</v>
      </c>
      <c r="C289" s="1" t="s">
        <v>703</v>
      </c>
      <c r="D289" s="1" t="n">
        <v>11197</v>
      </c>
      <c r="E289" s="1" t="s">
        <v>53</v>
      </c>
      <c r="F289" s="201" t="n">
        <v>200025889314</v>
      </c>
      <c r="G289" s="198" t="s">
        <v>632</v>
      </c>
      <c r="H289" s="163" t="s">
        <v>224</v>
      </c>
      <c r="I289" s="161" t="n">
        <v>15</v>
      </c>
      <c r="J289" s="156" t="s">
        <v>185</v>
      </c>
      <c r="K289" s="200" t="n">
        <v>45451.9963773148</v>
      </c>
      <c r="L289" s="1" t="n">
        <v>0</v>
      </c>
      <c r="M289" s="156" t="s">
        <v>185</v>
      </c>
      <c r="N289" s="1" t="n">
        <v>288</v>
      </c>
    </row>
    <row r="290" customFormat="false" ht="14.25" hidden="false" customHeight="false" outlineLevel="0" collapsed="false">
      <c r="A290" s="1" t="n">
        <v>79</v>
      </c>
      <c r="B290" s="1" t="s">
        <v>702</v>
      </c>
      <c r="C290" s="1" t="s">
        <v>703</v>
      </c>
      <c r="D290" s="1" t="n">
        <v>11197</v>
      </c>
      <c r="E290" s="1" t="s">
        <v>53</v>
      </c>
      <c r="F290" s="201" t="n">
        <v>200025889314</v>
      </c>
      <c r="G290" s="198" t="s">
        <v>632</v>
      </c>
      <c r="H290" s="163" t="s">
        <v>224</v>
      </c>
      <c r="I290" s="161" t="n">
        <v>15</v>
      </c>
      <c r="J290" s="156" t="s">
        <v>185</v>
      </c>
      <c r="K290" s="200" t="n">
        <v>45451.9974305556</v>
      </c>
      <c r="L290" s="1" t="n">
        <v>0</v>
      </c>
      <c r="M290" s="156" t="s">
        <v>185</v>
      </c>
      <c r="N290" s="3" t="n">
        <v>289</v>
      </c>
    </row>
    <row r="291" customFormat="false" ht="14.25" hidden="false" customHeight="false" outlineLevel="0" collapsed="false">
      <c r="A291" s="1" t="n">
        <v>80</v>
      </c>
      <c r="B291" s="1" t="s">
        <v>702</v>
      </c>
      <c r="C291" s="1" t="s">
        <v>703</v>
      </c>
      <c r="D291" s="1" t="n">
        <v>11197</v>
      </c>
      <c r="E291" s="1" t="s">
        <v>53</v>
      </c>
      <c r="F291" s="201" t="n">
        <v>200025889314</v>
      </c>
      <c r="G291" s="198" t="s">
        <v>632</v>
      </c>
      <c r="H291" s="163" t="s">
        <v>224</v>
      </c>
      <c r="I291" s="161" t="n">
        <v>15</v>
      </c>
      <c r="J291" s="156" t="s">
        <v>185</v>
      </c>
      <c r="K291" s="200" t="n">
        <v>45451.9981944444</v>
      </c>
      <c r="L291" s="1" t="n">
        <v>1</v>
      </c>
      <c r="M291" s="156" t="s">
        <v>185</v>
      </c>
      <c r="N291" s="3" t="n">
        <v>290</v>
      </c>
    </row>
    <row r="292" customFormat="false" ht="14.25" hidden="false" customHeight="false" outlineLevel="0" collapsed="false">
      <c r="A292" s="1" t="n">
        <v>81</v>
      </c>
      <c r="B292" s="1" t="s">
        <v>702</v>
      </c>
      <c r="C292" s="1" t="s">
        <v>703</v>
      </c>
      <c r="D292" s="1" t="n">
        <v>11197</v>
      </c>
      <c r="E292" s="1" t="s">
        <v>53</v>
      </c>
      <c r="F292" s="201" t="n">
        <v>200025889314</v>
      </c>
      <c r="G292" s="198" t="s">
        <v>632</v>
      </c>
      <c r="H292" s="163" t="s">
        <v>224</v>
      </c>
      <c r="I292" s="161" t="n">
        <v>15</v>
      </c>
      <c r="J292" s="156" t="s">
        <v>185</v>
      </c>
      <c r="K292" s="200" t="n">
        <v>45451.9985069444</v>
      </c>
      <c r="L292" s="1" t="n">
        <v>3</v>
      </c>
      <c r="M292" s="156" t="s">
        <v>185</v>
      </c>
      <c r="N292" s="1" t="n">
        <v>291</v>
      </c>
    </row>
    <row r="293" customFormat="false" ht="14.25" hidden="false" customHeight="false" outlineLevel="0" collapsed="false">
      <c r="A293" s="1" t="n">
        <v>82</v>
      </c>
      <c r="B293" s="1" t="s">
        <v>702</v>
      </c>
      <c r="C293" s="1" t="s">
        <v>703</v>
      </c>
      <c r="D293" s="1" t="n">
        <v>11197</v>
      </c>
      <c r="E293" s="1" t="s">
        <v>53</v>
      </c>
      <c r="F293" s="201" t="n">
        <v>200025889314</v>
      </c>
      <c r="G293" s="198" t="s">
        <v>632</v>
      </c>
      <c r="H293" s="163" t="s">
        <v>224</v>
      </c>
      <c r="I293" s="161" t="n">
        <v>15</v>
      </c>
      <c r="J293" s="156" t="s">
        <v>185</v>
      </c>
      <c r="K293" s="200" t="n">
        <v>45452.0011226852</v>
      </c>
      <c r="L293" s="1" t="n">
        <v>35</v>
      </c>
      <c r="M293" s="156" t="s">
        <v>185</v>
      </c>
      <c r="N293" s="1" t="n">
        <v>292</v>
      </c>
    </row>
    <row r="294" customFormat="false" ht="14.25" hidden="false" customHeight="false" outlineLevel="0" collapsed="false">
      <c r="A294" s="1" t="n">
        <v>83</v>
      </c>
      <c r="B294" s="1" t="s">
        <v>702</v>
      </c>
      <c r="C294" s="1" t="s">
        <v>703</v>
      </c>
      <c r="D294" s="1" t="n">
        <v>11197</v>
      </c>
      <c r="E294" s="1" t="s">
        <v>53</v>
      </c>
      <c r="F294" s="201" t="n">
        <v>200025889314</v>
      </c>
      <c r="G294" s="198" t="s">
        <v>632</v>
      </c>
      <c r="H294" s="163" t="s">
        <v>224</v>
      </c>
      <c r="I294" s="161" t="n">
        <v>15</v>
      </c>
      <c r="J294" s="156" t="s">
        <v>185</v>
      </c>
      <c r="K294" s="200" t="n">
        <v>45452.0016898148</v>
      </c>
      <c r="L294" s="1" t="n">
        <v>1</v>
      </c>
      <c r="M294" s="156" t="s">
        <v>185</v>
      </c>
      <c r="N294" s="1" t="n">
        <v>293</v>
      </c>
    </row>
    <row r="295" customFormat="false" ht="14.25" hidden="false" customHeight="false" outlineLevel="0" collapsed="false">
      <c r="A295" s="1" t="n">
        <v>84</v>
      </c>
      <c r="B295" s="1" t="s">
        <v>702</v>
      </c>
      <c r="C295" s="1" t="s">
        <v>703</v>
      </c>
      <c r="D295" s="1" t="n">
        <v>11197</v>
      </c>
      <c r="E295" s="1" t="s">
        <v>53</v>
      </c>
      <c r="F295" s="201" t="n">
        <v>200025889314</v>
      </c>
      <c r="G295" s="198" t="s">
        <v>632</v>
      </c>
      <c r="H295" s="163" t="s">
        <v>224</v>
      </c>
      <c r="I295" s="161" t="n">
        <v>15</v>
      </c>
      <c r="J295" s="156" t="s">
        <v>185</v>
      </c>
      <c r="K295" s="200" t="n">
        <v>45452.002037037</v>
      </c>
      <c r="L295" s="1" t="n">
        <v>2</v>
      </c>
      <c r="M295" s="156" t="s">
        <v>185</v>
      </c>
      <c r="N295" s="3" t="n">
        <v>294</v>
      </c>
    </row>
    <row r="296" customFormat="false" ht="14.25" hidden="false" customHeight="false" outlineLevel="0" collapsed="false">
      <c r="A296" s="1" t="n">
        <v>85</v>
      </c>
      <c r="B296" s="1" t="s">
        <v>702</v>
      </c>
      <c r="C296" s="1" t="s">
        <v>703</v>
      </c>
      <c r="D296" s="1" t="n">
        <v>11197</v>
      </c>
      <c r="E296" s="1" t="s">
        <v>53</v>
      </c>
      <c r="F296" s="201" t="n">
        <v>200025889314</v>
      </c>
      <c r="G296" s="198" t="s">
        <v>632</v>
      </c>
      <c r="H296" s="163" t="s">
        <v>224</v>
      </c>
      <c r="I296" s="161" t="n">
        <v>15</v>
      </c>
      <c r="J296" s="156" t="s">
        <v>185</v>
      </c>
      <c r="K296" s="200" t="n">
        <v>45452.0111111111</v>
      </c>
      <c r="L296" s="1" t="n">
        <v>1</v>
      </c>
      <c r="M296" s="156" t="s">
        <v>185</v>
      </c>
      <c r="N296" s="3" t="n">
        <v>295</v>
      </c>
    </row>
    <row r="297" customFormat="false" ht="14.25" hidden="false" customHeight="false" outlineLevel="0" collapsed="false">
      <c r="A297" s="1" t="n">
        <v>86</v>
      </c>
      <c r="B297" s="1" t="s">
        <v>702</v>
      </c>
      <c r="C297" s="1" t="s">
        <v>703</v>
      </c>
      <c r="D297" s="1" t="n">
        <v>11197</v>
      </c>
      <c r="E297" s="1" t="s">
        <v>53</v>
      </c>
      <c r="F297" s="201" t="n">
        <v>200025889314</v>
      </c>
      <c r="G297" s="198" t="s">
        <v>632</v>
      </c>
      <c r="H297" s="163" t="s">
        <v>224</v>
      </c>
      <c r="I297" s="161" t="n">
        <v>15</v>
      </c>
      <c r="J297" s="156" t="s">
        <v>185</v>
      </c>
      <c r="K297" s="200" t="n">
        <v>45452.0130902778</v>
      </c>
      <c r="L297" s="207" t="n">
        <v>2558</v>
      </c>
      <c r="M297" s="156" t="s">
        <v>185</v>
      </c>
      <c r="N297" s="1" t="n">
        <v>296</v>
      </c>
    </row>
    <row r="298" customFormat="false" ht="14.25" hidden="false" customHeight="false" outlineLevel="0" collapsed="false">
      <c r="A298" s="1" t="n">
        <v>87</v>
      </c>
      <c r="B298" s="1" t="s">
        <v>702</v>
      </c>
      <c r="C298" s="1" t="s">
        <v>703</v>
      </c>
      <c r="D298" s="1" t="n">
        <v>11197</v>
      </c>
      <c r="E298" s="1" t="s">
        <v>53</v>
      </c>
      <c r="F298" s="201" t="n">
        <v>200025889314</v>
      </c>
      <c r="G298" s="198" t="s">
        <v>632</v>
      </c>
      <c r="H298" s="163" t="s">
        <v>224</v>
      </c>
      <c r="I298" s="161" t="n">
        <v>15</v>
      </c>
      <c r="J298" s="156" t="s">
        <v>185</v>
      </c>
      <c r="K298" s="200" t="n">
        <v>45452.0752893519</v>
      </c>
      <c r="L298" s="1" t="n">
        <v>1</v>
      </c>
      <c r="M298" s="156" t="s">
        <v>185</v>
      </c>
      <c r="N298" s="1" t="n">
        <v>297</v>
      </c>
    </row>
    <row r="299" customFormat="false" ht="14.25" hidden="false" customHeight="false" outlineLevel="0" collapsed="false">
      <c r="A299" s="1" t="n">
        <v>88</v>
      </c>
      <c r="B299" s="1" t="s">
        <v>702</v>
      </c>
      <c r="C299" s="1" t="s">
        <v>703</v>
      </c>
      <c r="D299" s="1" t="n">
        <v>11197</v>
      </c>
      <c r="E299" s="1" t="s">
        <v>53</v>
      </c>
      <c r="F299" s="201" t="n">
        <v>200025889314</v>
      </c>
      <c r="G299" s="198" t="s">
        <v>632</v>
      </c>
      <c r="H299" s="163" t="s">
        <v>224</v>
      </c>
      <c r="I299" s="161" t="n">
        <v>15</v>
      </c>
      <c r="J299" s="156" t="s">
        <v>185</v>
      </c>
      <c r="K299" s="200" t="n">
        <v>45452.0753009259</v>
      </c>
      <c r="L299" s="1" t="n">
        <v>0</v>
      </c>
      <c r="M299" s="156" t="s">
        <v>185</v>
      </c>
      <c r="N299" s="1" t="n">
        <v>298</v>
      </c>
    </row>
    <row r="300" customFormat="false" ht="14.25" hidden="false" customHeight="false" outlineLevel="0" collapsed="false">
      <c r="A300" s="1" t="n">
        <v>89</v>
      </c>
      <c r="B300" s="1" t="s">
        <v>702</v>
      </c>
      <c r="C300" s="1" t="s">
        <v>703</v>
      </c>
      <c r="D300" s="1" t="n">
        <v>11197</v>
      </c>
      <c r="E300" s="1" t="s">
        <v>53</v>
      </c>
      <c r="F300" s="201" t="n">
        <v>200025889314</v>
      </c>
      <c r="G300" s="198" t="s">
        <v>632</v>
      </c>
      <c r="H300" s="163" t="s">
        <v>224</v>
      </c>
      <c r="I300" s="161" t="n">
        <v>15</v>
      </c>
      <c r="J300" s="156" t="s">
        <v>185</v>
      </c>
      <c r="K300" s="200" t="n">
        <v>45452.0762731481</v>
      </c>
      <c r="L300" s="1" t="n">
        <v>2</v>
      </c>
      <c r="M300" s="156" t="s">
        <v>185</v>
      </c>
      <c r="N300" s="3" t="n">
        <v>299</v>
      </c>
    </row>
    <row r="301" customFormat="false" ht="14.25" hidden="false" customHeight="false" outlineLevel="0" collapsed="false">
      <c r="A301" s="1" t="n">
        <v>90</v>
      </c>
      <c r="B301" s="1" t="s">
        <v>702</v>
      </c>
      <c r="C301" s="1" t="s">
        <v>703</v>
      </c>
      <c r="D301" s="1" t="n">
        <v>11197</v>
      </c>
      <c r="E301" s="1" t="s">
        <v>53</v>
      </c>
      <c r="F301" s="201" t="n">
        <v>200025889314</v>
      </c>
      <c r="G301" s="198" t="s">
        <v>632</v>
      </c>
      <c r="H301" s="163" t="s">
        <v>224</v>
      </c>
      <c r="I301" s="161" t="n">
        <v>15</v>
      </c>
      <c r="J301" s="156" t="s">
        <v>185</v>
      </c>
      <c r="K301" s="200" t="n">
        <v>45452.0766319444</v>
      </c>
      <c r="L301" s="1" t="n">
        <v>0</v>
      </c>
      <c r="M301" s="156" t="s">
        <v>185</v>
      </c>
      <c r="N301" s="3" t="n">
        <v>300</v>
      </c>
    </row>
    <row r="302" customFormat="false" ht="14.25" hidden="false" customHeight="false" outlineLevel="0" collapsed="false">
      <c r="A302" s="1" t="n">
        <v>91</v>
      </c>
      <c r="B302" s="1" t="s">
        <v>702</v>
      </c>
      <c r="C302" s="1" t="s">
        <v>703</v>
      </c>
      <c r="D302" s="1" t="n">
        <v>11197</v>
      </c>
      <c r="E302" s="1" t="s">
        <v>53</v>
      </c>
      <c r="F302" s="201" t="n">
        <v>200025889314</v>
      </c>
      <c r="G302" s="198" t="s">
        <v>632</v>
      </c>
      <c r="H302" s="163" t="s">
        <v>224</v>
      </c>
      <c r="I302" s="161" t="n">
        <v>15</v>
      </c>
      <c r="J302" s="156" t="s">
        <v>185</v>
      </c>
      <c r="K302" s="200" t="n">
        <v>45452.0793171296</v>
      </c>
      <c r="L302" s="1" t="n">
        <v>1</v>
      </c>
      <c r="M302" s="156" t="s">
        <v>185</v>
      </c>
      <c r="N302" s="1" t="n">
        <v>301</v>
      </c>
    </row>
    <row r="303" customFormat="false" ht="14.25" hidden="false" customHeight="false" outlineLevel="0" collapsed="false">
      <c r="A303" s="1" t="n">
        <v>92</v>
      </c>
      <c r="B303" s="1" t="s">
        <v>702</v>
      </c>
      <c r="C303" s="1" t="s">
        <v>703</v>
      </c>
      <c r="D303" s="1" t="n">
        <v>11197</v>
      </c>
      <c r="E303" s="1" t="s">
        <v>53</v>
      </c>
      <c r="F303" s="201" t="n">
        <v>200025889314</v>
      </c>
      <c r="G303" s="198" t="s">
        <v>632</v>
      </c>
      <c r="H303" s="163" t="s">
        <v>224</v>
      </c>
      <c r="I303" s="161" t="n">
        <v>15</v>
      </c>
      <c r="J303" s="156" t="s">
        <v>185</v>
      </c>
      <c r="K303" s="200" t="n">
        <v>45452.0795717593</v>
      </c>
      <c r="L303" s="1" t="n">
        <v>2</v>
      </c>
      <c r="M303" s="156" t="s">
        <v>185</v>
      </c>
      <c r="N303" s="1" t="n">
        <v>302</v>
      </c>
    </row>
    <row r="304" customFormat="false" ht="14.25" hidden="false" customHeight="false" outlineLevel="0" collapsed="false">
      <c r="A304" s="1" t="n">
        <v>19</v>
      </c>
      <c r="B304" s="1" t="s">
        <v>565</v>
      </c>
      <c r="C304" s="1" t="s">
        <v>566</v>
      </c>
      <c r="D304" s="1" t="n">
        <v>11171</v>
      </c>
      <c r="E304" s="1" t="s">
        <v>55</v>
      </c>
      <c r="F304" s="198" t="n">
        <v>200025889314</v>
      </c>
      <c r="G304" s="198" t="s">
        <v>632</v>
      </c>
      <c r="H304" s="163" t="s">
        <v>224</v>
      </c>
      <c r="I304" s="161" t="n">
        <v>15</v>
      </c>
      <c r="J304" s="156" t="s">
        <v>185</v>
      </c>
      <c r="K304" s="199" t="n">
        <v>45452.0999305556</v>
      </c>
      <c r="L304" s="1" t="n">
        <v>1</v>
      </c>
      <c r="M304" s="156" t="s">
        <v>185</v>
      </c>
      <c r="N304" s="1" t="n">
        <v>303</v>
      </c>
    </row>
    <row r="305" customFormat="false" ht="14.25" hidden="false" customHeight="false" outlineLevel="0" collapsed="false">
      <c r="A305" s="1" t="n">
        <v>93</v>
      </c>
      <c r="B305" s="1" t="s">
        <v>702</v>
      </c>
      <c r="C305" s="1" t="s">
        <v>703</v>
      </c>
      <c r="D305" s="1" t="n">
        <v>11197</v>
      </c>
      <c r="E305" s="1" t="s">
        <v>53</v>
      </c>
      <c r="F305" s="201" t="n">
        <v>200025888529</v>
      </c>
      <c r="G305" s="198" t="s">
        <v>704</v>
      </c>
      <c r="H305" s="163" t="s">
        <v>345</v>
      </c>
      <c r="I305" s="161" t="n">
        <v>118</v>
      </c>
      <c r="J305" s="156" t="s">
        <v>185</v>
      </c>
      <c r="K305" s="200" t="n">
        <v>45452.1350810185</v>
      </c>
      <c r="L305" s="1" t="n">
        <v>1</v>
      </c>
      <c r="M305" s="156" t="s">
        <v>185</v>
      </c>
      <c r="N305" s="3" t="n">
        <v>304</v>
      </c>
    </row>
    <row r="306" customFormat="false" ht="14.25" hidden="false" customHeight="false" outlineLevel="0" collapsed="false">
      <c r="A306" s="1" t="n">
        <v>94</v>
      </c>
      <c r="B306" s="1" t="s">
        <v>702</v>
      </c>
      <c r="C306" s="1" t="s">
        <v>703</v>
      </c>
      <c r="D306" s="1" t="n">
        <v>11197</v>
      </c>
      <c r="E306" s="1" t="s">
        <v>53</v>
      </c>
      <c r="F306" s="201" t="n">
        <v>200025888529</v>
      </c>
      <c r="G306" s="198" t="s">
        <v>704</v>
      </c>
      <c r="H306" s="163" t="s">
        <v>345</v>
      </c>
      <c r="I306" s="161" t="n">
        <v>118</v>
      </c>
      <c r="J306" s="156" t="s">
        <v>185</v>
      </c>
      <c r="K306" s="200" t="n">
        <v>45452.1351041667</v>
      </c>
      <c r="L306" s="207" t="n">
        <v>206</v>
      </c>
      <c r="M306" s="156" t="s">
        <v>185</v>
      </c>
      <c r="N306" s="3" t="n">
        <v>305</v>
      </c>
    </row>
    <row r="307" customFormat="false" ht="14.25" hidden="false" customHeight="false" outlineLevel="0" collapsed="false">
      <c r="A307" s="1" t="n">
        <v>95</v>
      </c>
      <c r="B307" s="1" t="s">
        <v>702</v>
      </c>
      <c r="C307" s="1" t="s">
        <v>703</v>
      </c>
      <c r="D307" s="1" t="n">
        <v>11197</v>
      </c>
      <c r="E307" s="1" t="s">
        <v>53</v>
      </c>
      <c r="F307" s="201" t="n">
        <v>200025888529</v>
      </c>
      <c r="G307" s="198" t="s">
        <v>704</v>
      </c>
      <c r="H307" s="163" t="s">
        <v>345</v>
      </c>
      <c r="I307" s="161" t="n">
        <v>118</v>
      </c>
      <c r="J307" s="156" t="s">
        <v>185</v>
      </c>
      <c r="K307" s="200" t="n">
        <v>45452.1383796296</v>
      </c>
      <c r="L307" s="1" t="n">
        <v>1</v>
      </c>
      <c r="M307" s="156" t="s">
        <v>185</v>
      </c>
      <c r="N307" s="1" t="n">
        <v>306</v>
      </c>
    </row>
    <row r="308" customFormat="false" ht="14.25" hidden="false" customHeight="false" outlineLevel="0" collapsed="false">
      <c r="A308" s="1" t="n">
        <v>20</v>
      </c>
      <c r="B308" s="1" t="s">
        <v>565</v>
      </c>
      <c r="C308" s="1" t="s">
        <v>566</v>
      </c>
      <c r="D308" s="1" t="n">
        <v>11171</v>
      </c>
      <c r="E308" s="1" t="s">
        <v>55</v>
      </c>
      <c r="F308" s="198" t="n">
        <v>200025889314</v>
      </c>
      <c r="G308" s="198" t="s">
        <v>632</v>
      </c>
      <c r="H308" s="163" t="s">
        <v>224</v>
      </c>
      <c r="I308" s="161" t="n">
        <v>15</v>
      </c>
      <c r="J308" s="156" t="s">
        <v>185</v>
      </c>
      <c r="K308" s="199" t="n">
        <v>45452.1390277778</v>
      </c>
      <c r="L308" s="1" t="n">
        <v>1</v>
      </c>
      <c r="M308" s="156" t="s">
        <v>185</v>
      </c>
      <c r="N308" s="1" t="n">
        <v>307</v>
      </c>
    </row>
    <row r="309" customFormat="false" ht="14.25" hidden="false" customHeight="false" outlineLevel="0" collapsed="false">
      <c r="A309" s="1" t="n">
        <v>21</v>
      </c>
      <c r="B309" s="1" t="s">
        <v>565</v>
      </c>
      <c r="C309" s="1" t="s">
        <v>566</v>
      </c>
      <c r="D309" s="1" t="n">
        <v>11171</v>
      </c>
      <c r="E309" s="1" t="s">
        <v>55</v>
      </c>
      <c r="F309" s="198" t="n">
        <v>200025889314</v>
      </c>
      <c r="G309" s="198" t="s">
        <v>632</v>
      </c>
      <c r="H309" s="163" t="s">
        <v>224</v>
      </c>
      <c r="I309" s="161" t="n">
        <v>15</v>
      </c>
      <c r="J309" s="156" t="s">
        <v>185</v>
      </c>
      <c r="K309" s="199" t="n">
        <v>45452.1393865741</v>
      </c>
      <c r="L309" s="1" t="n">
        <v>1</v>
      </c>
      <c r="M309" s="156" t="s">
        <v>185</v>
      </c>
      <c r="N309" s="1" t="n">
        <v>308</v>
      </c>
    </row>
    <row r="310" customFormat="false" ht="14.25" hidden="false" customHeight="false" outlineLevel="0" collapsed="false">
      <c r="A310" s="1" t="n">
        <v>22</v>
      </c>
      <c r="B310" s="1" t="s">
        <v>565</v>
      </c>
      <c r="C310" s="1" t="s">
        <v>566</v>
      </c>
      <c r="D310" s="1" t="n">
        <v>11171</v>
      </c>
      <c r="E310" s="1" t="s">
        <v>55</v>
      </c>
      <c r="F310" s="198" t="n">
        <v>200025889314</v>
      </c>
      <c r="G310" s="198" t="s">
        <v>632</v>
      </c>
      <c r="H310" s="163" t="s">
        <v>224</v>
      </c>
      <c r="I310" s="161" t="n">
        <v>15</v>
      </c>
      <c r="J310" s="156" t="s">
        <v>185</v>
      </c>
      <c r="K310" s="199" t="n">
        <v>45452.1395833333</v>
      </c>
      <c r="L310" s="1" t="n">
        <v>2</v>
      </c>
      <c r="M310" s="156" t="s">
        <v>185</v>
      </c>
      <c r="N310" s="3" t="n">
        <v>309</v>
      </c>
    </row>
    <row r="311" customFormat="false" ht="14.25" hidden="false" customHeight="false" outlineLevel="0" collapsed="false">
      <c r="A311" s="1" t="n">
        <v>23</v>
      </c>
      <c r="B311" s="1" t="s">
        <v>565</v>
      </c>
      <c r="C311" s="1" t="s">
        <v>566</v>
      </c>
      <c r="D311" s="1" t="n">
        <v>11171</v>
      </c>
      <c r="E311" s="1" t="s">
        <v>55</v>
      </c>
      <c r="F311" s="198" t="n">
        <v>200025889314</v>
      </c>
      <c r="G311" s="198" t="s">
        <v>632</v>
      </c>
      <c r="H311" s="163" t="s">
        <v>224</v>
      </c>
      <c r="I311" s="161" t="n">
        <v>15</v>
      </c>
      <c r="J311" s="156" t="s">
        <v>185</v>
      </c>
      <c r="K311" s="199" t="n">
        <v>45452.1399768519</v>
      </c>
      <c r="L311" s="1" t="n">
        <v>2</v>
      </c>
      <c r="M311" s="156" t="s">
        <v>185</v>
      </c>
      <c r="N311" s="3" t="n">
        <v>310</v>
      </c>
    </row>
    <row r="312" customFormat="false" ht="14.25" hidden="false" customHeight="false" outlineLevel="0" collapsed="false">
      <c r="A312" s="1" t="n">
        <v>24</v>
      </c>
      <c r="B312" s="1" t="s">
        <v>565</v>
      </c>
      <c r="C312" s="1" t="s">
        <v>566</v>
      </c>
      <c r="D312" s="1" t="n">
        <v>11171</v>
      </c>
      <c r="E312" s="1" t="s">
        <v>55</v>
      </c>
      <c r="F312" s="198" t="n">
        <v>200025889314</v>
      </c>
      <c r="G312" s="198" t="s">
        <v>632</v>
      </c>
      <c r="H312" s="163" t="s">
        <v>224</v>
      </c>
      <c r="I312" s="161" t="n">
        <v>15</v>
      </c>
      <c r="J312" s="156" t="s">
        <v>185</v>
      </c>
      <c r="K312" s="199" t="n">
        <v>45452.1402314815</v>
      </c>
      <c r="L312" s="1" t="n">
        <v>1</v>
      </c>
      <c r="M312" s="156" t="s">
        <v>185</v>
      </c>
      <c r="N312" s="1" t="n">
        <v>311</v>
      </c>
    </row>
    <row r="313" customFormat="false" ht="14.25" hidden="false" customHeight="false" outlineLevel="0" collapsed="false">
      <c r="A313" s="1" t="n">
        <v>25</v>
      </c>
      <c r="B313" s="1" t="s">
        <v>565</v>
      </c>
      <c r="C313" s="1" t="s">
        <v>566</v>
      </c>
      <c r="D313" s="1" t="n">
        <v>11171</v>
      </c>
      <c r="E313" s="1" t="s">
        <v>55</v>
      </c>
      <c r="F313" s="198" t="n">
        <v>200025889314</v>
      </c>
      <c r="G313" s="198" t="s">
        <v>632</v>
      </c>
      <c r="H313" s="163" t="s">
        <v>224</v>
      </c>
      <c r="I313" s="161" t="n">
        <v>15</v>
      </c>
      <c r="J313" s="156" t="s">
        <v>185</v>
      </c>
      <c r="K313" s="199" t="n">
        <v>45452.1402546296</v>
      </c>
      <c r="L313" s="1" t="n">
        <v>1</v>
      </c>
      <c r="M313" s="156" t="s">
        <v>185</v>
      </c>
      <c r="N313" s="1" t="n">
        <v>312</v>
      </c>
    </row>
    <row r="314" customFormat="false" ht="14.25" hidden="false" customHeight="false" outlineLevel="0" collapsed="false">
      <c r="A314" s="1" t="n">
        <v>26</v>
      </c>
      <c r="B314" s="1" t="s">
        <v>565</v>
      </c>
      <c r="C314" s="1" t="s">
        <v>566</v>
      </c>
      <c r="D314" s="1" t="n">
        <v>11171</v>
      </c>
      <c r="E314" s="1" t="s">
        <v>55</v>
      </c>
      <c r="F314" s="198" t="n">
        <v>200025889314</v>
      </c>
      <c r="G314" s="198" t="s">
        <v>632</v>
      </c>
      <c r="H314" s="163" t="s">
        <v>224</v>
      </c>
      <c r="I314" s="161" t="n">
        <v>15</v>
      </c>
      <c r="J314" s="156" t="s">
        <v>185</v>
      </c>
      <c r="K314" s="199" t="n">
        <v>45452.1402662037</v>
      </c>
      <c r="L314" s="1" t="n">
        <v>0</v>
      </c>
      <c r="M314" s="156" t="s">
        <v>185</v>
      </c>
      <c r="N314" s="1" t="n">
        <v>313</v>
      </c>
    </row>
    <row r="315" customFormat="false" ht="14.25" hidden="false" customHeight="false" outlineLevel="0" collapsed="false">
      <c r="A315" s="1" t="n">
        <v>27</v>
      </c>
      <c r="B315" s="1" t="s">
        <v>565</v>
      </c>
      <c r="C315" s="1" t="s">
        <v>566</v>
      </c>
      <c r="D315" s="1" t="n">
        <v>11171</v>
      </c>
      <c r="E315" s="1" t="s">
        <v>55</v>
      </c>
      <c r="F315" s="198" t="n">
        <v>200025889314</v>
      </c>
      <c r="G315" s="198" t="s">
        <v>632</v>
      </c>
      <c r="H315" s="163" t="s">
        <v>224</v>
      </c>
      <c r="I315" s="161" t="n">
        <v>15</v>
      </c>
      <c r="J315" s="156" t="s">
        <v>185</v>
      </c>
      <c r="K315" s="199" t="n">
        <v>45452.1421064815</v>
      </c>
      <c r="L315" s="1" t="n">
        <v>35</v>
      </c>
      <c r="M315" s="156" t="s">
        <v>185</v>
      </c>
      <c r="N315" s="3" t="n">
        <v>314</v>
      </c>
    </row>
    <row r="316" customFormat="false" ht="14.25" hidden="false" customHeight="false" outlineLevel="0" collapsed="false">
      <c r="A316" s="1" t="n">
        <v>28</v>
      </c>
      <c r="B316" s="1" t="s">
        <v>565</v>
      </c>
      <c r="C316" s="1" t="s">
        <v>566</v>
      </c>
      <c r="D316" s="1" t="n">
        <v>11171</v>
      </c>
      <c r="E316" s="1" t="s">
        <v>55</v>
      </c>
      <c r="F316" s="198" t="n">
        <v>200025889314</v>
      </c>
      <c r="G316" s="198" t="s">
        <v>632</v>
      </c>
      <c r="H316" s="163" t="s">
        <v>224</v>
      </c>
      <c r="I316" s="161" t="n">
        <v>15</v>
      </c>
      <c r="J316" s="156" t="s">
        <v>185</v>
      </c>
      <c r="K316" s="199" t="n">
        <v>45452.1425115741</v>
      </c>
      <c r="L316" s="1" t="n">
        <v>1</v>
      </c>
      <c r="M316" s="156" t="s">
        <v>185</v>
      </c>
      <c r="N316" s="3" t="n">
        <v>315</v>
      </c>
    </row>
    <row r="317" customFormat="false" ht="14.25" hidden="false" customHeight="false" outlineLevel="0" collapsed="false">
      <c r="A317" s="1" t="n">
        <v>29</v>
      </c>
      <c r="B317" s="1" t="s">
        <v>565</v>
      </c>
      <c r="C317" s="1" t="s">
        <v>566</v>
      </c>
      <c r="D317" s="1" t="n">
        <v>11171</v>
      </c>
      <c r="E317" s="1" t="s">
        <v>55</v>
      </c>
      <c r="F317" s="198" t="n">
        <v>200025889314</v>
      </c>
      <c r="G317" s="198" t="s">
        <v>632</v>
      </c>
      <c r="H317" s="163" t="s">
        <v>224</v>
      </c>
      <c r="I317" s="161" t="n">
        <v>15</v>
      </c>
      <c r="J317" s="156" t="s">
        <v>185</v>
      </c>
      <c r="K317" s="199" t="n">
        <v>45452.1426388889</v>
      </c>
      <c r="L317" s="1" t="n">
        <v>1</v>
      </c>
      <c r="M317" s="156" t="s">
        <v>185</v>
      </c>
      <c r="N317" s="1" t="n">
        <v>316</v>
      </c>
    </row>
    <row r="318" customFormat="false" ht="14.25" hidden="false" customHeight="false" outlineLevel="0" collapsed="false">
      <c r="A318" s="1" t="n">
        <v>30</v>
      </c>
      <c r="B318" s="1" t="s">
        <v>565</v>
      </c>
      <c r="C318" s="1" t="s">
        <v>566</v>
      </c>
      <c r="D318" s="1" t="n">
        <v>11171</v>
      </c>
      <c r="E318" s="1" t="s">
        <v>55</v>
      </c>
      <c r="F318" s="198" t="n">
        <v>200025889314</v>
      </c>
      <c r="G318" s="198" t="s">
        <v>632</v>
      </c>
      <c r="H318" s="163" t="s">
        <v>224</v>
      </c>
      <c r="I318" s="161" t="n">
        <v>15</v>
      </c>
      <c r="J318" s="156" t="s">
        <v>185</v>
      </c>
      <c r="K318" s="199" t="n">
        <v>45452.1434722222</v>
      </c>
      <c r="L318" s="1" t="n">
        <v>0</v>
      </c>
      <c r="M318" s="156" t="s">
        <v>185</v>
      </c>
      <c r="N318" s="1" t="n">
        <v>317</v>
      </c>
    </row>
    <row r="319" customFormat="false" ht="14.25" hidden="false" customHeight="false" outlineLevel="0" collapsed="false">
      <c r="A319" s="1" t="n">
        <v>31</v>
      </c>
      <c r="B319" s="1" t="s">
        <v>565</v>
      </c>
      <c r="C319" s="1" t="s">
        <v>566</v>
      </c>
      <c r="D319" s="1" t="n">
        <v>11171</v>
      </c>
      <c r="E319" s="1" t="s">
        <v>55</v>
      </c>
      <c r="F319" s="198" t="n">
        <v>200025889314</v>
      </c>
      <c r="G319" s="198" t="s">
        <v>632</v>
      </c>
      <c r="H319" s="163" t="s">
        <v>224</v>
      </c>
      <c r="I319" s="161" t="n">
        <v>15</v>
      </c>
      <c r="J319" s="156" t="s">
        <v>185</v>
      </c>
      <c r="K319" s="199" t="n">
        <v>45452.144837963</v>
      </c>
      <c r="L319" s="1" t="n">
        <v>0</v>
      </c>
      <c r="M319" s="156" t="s">
        <v>185</v>
      </c>
      <c r="N319" s="1" t="n">
        <v>318</v>
      </c>
    </row>
    <row r="320" customFormat="false" ht="14.25" hidden="false" customHeight="false" outlineLevel="0" collapsed="false">
      <c r="A320" s="1" t="n">
        <v>32</v>
      </c>
      <c r="B320" s="1" t="s">
        <v>565</v>
      </c>
      <c r="C320" s="1" t="s">
        <v>566</v>
      </c>
      <c r="D320" s="1" t="n">
        <v>11171</v>
      </c>
      <c r="E320" s="1" t="s">
        <v>55</v>
      </c>
      <c r="F320" s="198" t="n">
        <v>200025889314</v>
      </c>
      <c r="G320" s="198" t="s">
        <v>632</v>
      </c>
      <c r="H320" s="163" t="s">
        <v>224</v>
      </c>
      <c r="I320" s="161" t="n">
        <v>15</v>
      </c>
      <c r="J320" s="156" t="s">
        <v>185</v>
      </c>
      <c r="K320" s="199" t="n">
        <v>45452.1450694444</v>
      </c>
      <c r="L320" s="1" t="n">
        <v>0</v>
      </c>
      <c r="M320" s="156" t="s">
        <v>185</v>
      </c>
      <c r="N320" s="3" t="n">
        <v>319</v>
      </c>
    </row>
    <row r="321" customFormat="false" ht="14.25" hidden="false" customHeight="false" outlineLevel="0" collapsed="false">
      <c r="A321" s="1" t="n">
        <v>33</v>
      </c>
      <c r="B321" s="1" t="s">
        <v>565</v>
      </c>
      <c r="C321" s="1" t="s">
        <v>566</v>
      </c>
      <c r="D321" s="1" t="n">
        <v>11171</v>
      </c>
      <c r="E321" s="1" t="s">
        <v>55</v>
      </c>
      <c r="F321" s="198" t="n">
        <v>200025889314</v>
      </c>
      <c r="G321" s="198" t="s">
        <v>632</v>
      </c>
      <c r="H321" s="163" t="s">
        <v>224</v>
      </c>
      <c r="I321" s="161" t="n">
        <v>15</v>
      </c>
      <c r="J321" s="156" t="s">
        <v>185</v>
      </c>
      <c r="K321" s="199" t="n">
        <v>45452.1470138889</v>
      </c>
      <c r="L321" s="1" t="n">
        <v>2</v>
      </c>
      <c r="M321" s="156" t="s">
        <v>185</v>
      </c>
      <c r="N321" s="3" t="n">
        <v>320</v>
      </c>
    </row>
    <row r="322" customFormat="false" ht="14.25" hidden="false" customHeight="false" outlineLevel="0" collapsed="false">
      <c r="A322" s="1" t="n">
        <v>34</v>
      </c>
      <c r="B322" s="1" t="s">
        <v>565</v>
      </c>
      <c r="C322" s="1" t="s">
        <v>566</v>
      </c>
      <c r="D322" s="1" t="n">
        <v>11171</v>
      </c>
      <c r="E322" s="1" t="s">
        <v>55</v>
      </c>
      <c r="F322" s="198" t="n">
        <v>200025889314</v>
      </c>
      <c r="G322" s="198" t="s">
        <v>632</v>
      </c>
      <c r="H322" s="163" t="s">
        <v>224</v>
      </c>
      <c r="I322" s="161" t="n">
        <v>15</v>
      </c>
      <c r="J322" s="156" t="s">
        <v>185</v>
      </c>
      <c r="K322" s="199" t="n">
        <v>45452.1615509259</v>
      </c>
      <c r="L322" s="1" t="n">
        <v>0</v>
      </c>
      <c r="M322" s="156" t="s">
        <v>185</v>
      </c>
      <c r="N322" s="1" t="n">
        <v>321</v>
      </c>
    </row>
    <row r="323" customFormat="false" ht="14.25" hidden="false" customHeight="false" outlineLevel="0" collapsed="false">
      <c r="A323" s="1" t="n">
        <v>35</v>
      </c>
      <c r="B323" s="1" t="s">
        <v>565</v>
      </c>
      <c r="C323" s="1" t="s">
        <v>566</v>
      </c>
      <c r="D323" s="1" t="n">
        <v>11171</v>
      </c>
      <c r="E323" s="1" t="s">
        <v>55</v>
      </c>
      <c r="F323" s="198" t="n">
        <v>200025889314</v>
      </c>
      <c r="G323" s="198" t="s">
        <v>632</v>
      </c>
      <c r="H323" s="163" t="s">
        <v>224</v>
      </c>
      <c r="I323" s="161" t="n">
        <v>15</v>
      </c>
      <c r="J323" s="156" t="s">
        <v>185</v>
      </c>
      <c r="K323" s="199" t="n">
        <v>45452.1615509259</v>
      </c>
      <c r="L323" s="1" t="n">
        <v>2</v>
      </c>
      <c r="M323" s="156" t="s">
        <v>185</v>
      </c>
      <c r="N323" s="1" t="n">
        <v>322</v>
      </c>
    </row>
    <row r="324" customFormat="false" ht="14.25" hidden="false" customHeight="false" outlineLevel="0" collapsed="false">
      <c r="A324" s="1" t="n">
        <v>36</v>
      </c>
      <c r="B324" s="1" t="s">
        <v>565</v>
      </c>
      <c r="C324" s="1" t="s">
        <v>566</v>
      </c>
      <c r="D324" s="1" t="n">
        <v>11171</v>
      </c>
      <c r="E324" s="1" t="s">
        <v>55</v>
      </c>
      <c r="F324" s="198" t="n">
        <v>200025889314</v>
      </c>
      <c r="G324" s="198" t="s">
        <v>632</v>
      </c>
      <c r="H324" s="163" t="s">
        <v>224</v>
      </c>
      <c r="I324" s="161" t="n">
        <v>15</v>
      </c>
      <c r="J324" s="156" t="s">
        <v>185</v>
      </c>
      <c r="K324" s="199" t="n">
        <v>45452.1639467593</v>
      </c>
      <c r="L324" s="1" t="n">
        <v>1</v>
      </c>
      <c r="M324" s="156" t="s">
        <v>185</v>
      </c>
      <c r="N324" s="1" t="n">
        <v>323</v>
      </c>
    </row>
    <row r="325" customFormat="false" ht="14.25" hidden="false" customHeight="false" outlineLevel="0" collapsed="false">
      <c r="A325" s="1" t="n">
        <v>37</v>
      </c>
      <c r="B325" s="1" t="s">
        <v>565</v>
      </c>
      <c r="C325" s="1" t="s">
        <v>566</v>
      </c>
      <c r="D325" s="1" t="n">
        <v>11171</v>
      </c>
      <c r="E325" s="1" t="s">
        <v>55</v>
      </c>
      <c r="F325" s="198" t="n">
        <v>200025889314</v>
      </c>
      <c r="G325" s="198" t="s">
        <v>632</v>
      </c>
      <c r="H325" s="163" t="s">
        <v>224</v>
      </c>
      <c r="I325" s="161" t="n">
        <v>15</v>
      </c>
      <c r="J325" s="156" t="s">
        <v>185</v>
      </c>
      <c r="K325" s="199" t="n">
        <v>45452.164837963</v>
      </c>
      <c r="L325" s="1" t="n">
        <v>1</v>
      </c>
      <c r="M325" s="156" t="s">
        <v>185</v>
      </c>
      <c r="N325" s="3" t="n">
        <v>324</v>
      </c>
    </row>
    <row r="326" customFormat="false" ht="14.25" hidden="false" customHeight="false" outlineLevel="0" collapsed="false">
      <c r="A326" s="1" t="n">
        <v>38</v>
      </c>
      <c r="B326" s="1" t="s">
        <v>565</v>
      </c>
      <c r="C326" s="1" t="s">
        <v>566</v>
      </c>
      <c r="D326" s="1" t="n">
        <v>11171</v>
      </c>
      <c r="E326" s="1" t="s">
        <v>55</v>
      </c>
      <c r="F326" s="198" t="n">
        <v>200025889314</v>
      </c>
      <c r="G326" s="198" t="s">
        <v>632</v>
      </c>
      <c r="H326" s="163" t="s">
        <v>224</v>
      </c>
      <c r="I326" s="161" t="n">
        <v>15</v>
      </c>
      <c r="J326" s="156" t="s">
        <v>185</v>
      </c>
      <c r="K326" s="199" t="n">
        <v>45452.1668981482</v>
      </c>
      <c r="L326" s="1" t="n">
        <v>2</v>
      </c>
      <c r="M326" s="156" t="s">
        <v>185</v>
      </c>
      <c r="N326" s="3" t="n">
        <v>325</v>
      </c>
    </row>
    <row r="327" customFormat="false" ht="14.25" hidden="false" customHeight="false" outlineLevel="0" collapsed="false">
      <c r="A327" s="1" t="n">
        <v>39</v>
      </c>
      <c r="B327" s="1" t="s">
        <v>565</v>
      </c>
      <c r="C327" s="1" t="s">
        <v>566</v>
      </c>
      <c r="D327" s="1" t="n">
        <v>11171</v>
      </c>
      <c r="E327" s="1" t="s">
        <v>55</v>
      </c>
      <c r="F327" s="198" t="n">
        <v>200025889314</v>
      </c>
      <c r="G327" s="198" t="s">
        <v>632</v>
      </c>
      <c r="H327" s="163" t="s">
        <v>224</v>
      </c>
      <c r="I327" s="161" t="n">
        <v>15</v>
      </c>
      <c r="J327" s="156" t="s">
        <v>185</v>
      </c>
      <c r="K327" s="199" t="n">
        <v>45452.167349537</v>
      </c>
      <c r="L327" s="1" t="n">
        <v>0</v>
      </c>
      <c r="M327" s="156" t="s">
        <v>185</v>
      </c>
      <c r="N327" s="1" t="n">
        <v>326</v>
      </c>
    </row>
    <row r="328" customFormat="false" ht="14.25" hidden="false" customHeight="false" outlineLevel="0" collapsed="false">
      <c r="A328" s="1" t="n">
        <v>40</v>
      </c>
      <c r="B328" s="1" t="s">
        <v>565</v>
      </c>
      <c r="C328" s="1" t="s">
        <v>566</v>
      </c>
      <c r="D328" s="1" t="n">
        <v>11171</v>
      </c>
      <c r="E328" s="1" t="s">
        <v>55</v>
      </c>
      <c r="F328" s="198" t="n">
        <v>200025889314</v>
      </c>
      <c r="G328" s="198" t="s">
        <v>632</v>
      </c>
      <c r="H328" s="163" t="s">
        <v>224</v>
      </c>
      <c r="I328" s="161" t="n">
        <v>15</v>
      </c>
      <c r="J328" s="156" t="s">
        <v>185</v>
      </c>
      <c r="K328" s="199" t="n">
        <v>45452.1673611111</v>
      </c>
      <c r="L328" s="1" t="n">
        <v>0</v>
      </c>
      <c r="M328" s="156" t="s">
        <v>185</v>
      </c>
      <c r="N328" s="1" t="n">
        <v>327</v>
      </c>
    </row>
    <row r="329" customFormat="false" ht="14.25" hidden="false" customHeight="false" outlineLevel="0" collapsed="false">
      <c r="A329" s="1" t="n">
        <v>41</v>
      </c>
      <c r="B329" s="1" t="s">
        <v>565</v>
      </c>
      <c r="C329" s="1" t="s">
        <v>566</v>
      </c>
      <c r="D329" s="1" t="n">
        <v>11171</v>
      </c>
      <c r="E329" s="1" t="s">
        <v>55</v>
      </c>
      <c r="F329" s="198" t="n">
        <v>200025889314</v>
      </c>
      <c r="G329" s="198" t="s">
        <v>632</v>
      </c>
      <c r="H329" s="163" t="s">
        <v>224</v>
      </c>
      <c r="I329" s="161" t="n">
        <v>15</v>
      </c>
      <c r="J329" s="156" t="s">
        <v>185</v>
      </c>
      <c r="K329" s="199" t="n">
        <v>45452.1682291667</v>
      </c>
      <c r="L329" s="1" t="n">
        <v>0</v>
      </c>
      <c r="M329" s="156" t="s">
        <v>185</v>
      </c>
      <c r="N329" s="1" t="n">
        <v>328</v>
      </c>
    </row>
    <row r="330" customFormat="false" ht="14.25" hidden="false" customHeight="false" outlineLevel="0" collapsed="false">
      <c r="A330" s="1" t="n">
        <v>42</v>
      </c>
      <c r="B330" s="1" t="s">
        <v>565</v>
      </c>
      <c r="C330" s="1" t="s">
        <v>566</v>
      </c>
      <c r="D330" s="1" t="n">
        <v>11171</v>
      </c>
      <c r="E330" s="1" t="s">
        <v>55</v>
      </c>
      <c r="F330" s="198" t="n">
        <v>200025889314</v>
      </c>
      <c r="G330" s="198" t="s">
        <v>632</v>
      </c>
      <c r="H330" s="163" t="s">
        <v>224</v>
      </c>
      <c r="I330" s="161" t="n">
        <v>15</v>
      </c>
      <c r="J330" s="156" t="s">
        <v>185</v>
      </c>
      <c r="K330" s="199" t="n">
        <v>45452.1696180556</v>
      </c>
      <c r="L330" s="1" t="n">
        <v>1</v>
      </c>
      <c r="M330" s="156" t="s">
        <v>185</v>
      </c>
      <c r="N330" s="3" t="n">
        <v>329</v>
      </c>
    </row>
    <row r="331" customFormat="false" ht="14.25" hidden="false" customHeight="false" outlineLevel="0" collapsed="false">
      <c r="A331" s="1" t="n">
        <v>43</v>
      </c>
      <c r="B331" s="1" t="s">
        <v>565</v>
      </c>
      <c r="C331" s="1" t="s">
        <v>566</v>
      </c>
      <c r="D331" s="1" t="n">
        <v>11171</v>
      </c>
      <c r="E331" s="1" t="s">
        <v>55</v>
      </c>
      <c r="F331" s="198" t="n">
        <v>200025889314</v>
      </c>
      <c r="G331" s="198" t="s">
        <v>632</v>
      </c>
      <c r="H331" s="163" t="s">
        <v>224</v>
      </c>
      <c r="I331" s="161" t="n">
        <v>15</v>
      </c>
      <c r="J331" s="156" t="s">
        <v>185</v>
      </c>
      <c r="K331" s="199" t="n">
        <v>45452.1696527778</v>
      </c>
      <c r="L331" s="1" t="n">
        <v>40</v>
      </c>
      <c r="M331" s="156" t="s">
        <v>185</v>
      </c>
      <c r="N331" s="3" t="n">
        <v>330</v>
      </c>
    </row>
    <row r="332" customFormat="false" ht="14.25" hidden="false" customHeight="false" outlineLevel="0" collapsed="false">
      <c r="A332" s="1" t="n">
        <v>44</v>
      </c>
      <c r="B332" s="1" t="s">
        <v>565</v>
      </c>
      <c r="C332" s="1" t="s">
        <v>566</v>
      </c>
      <c r="D332" s="1" t="n">
        <v>11171</v>
      </c>
      <c r="E332" s="1" t="s">
        <v>55</v>
      </c>
      <c r="F332" s="198" t="n">
        <v>200025889314</v>
      </c>
      <c r="G332" s="198" t="s">
        <v>632</v>
      </c>
      <c r="H332" s="163" t="s">
        <v>224</v>
      </c>
      <c r="I332" s="161" t="n">
        <v>15</v>
      </c>
      <c r="J332" s="156" t="s">
        <v>185</v>
      </c>
      <c r="K332" s="199" t="n">
        <v>45452.1707638889</v>
      </c>
      <c r="L332" s="1" t="n">
        <v>1</v>
      </c>
      <c r="M332" s="156" t="s">
        <v>185</v>
      </c>
      <c r="N332" s="1" t="n">
        <v>331</v>
      </c>
    </row>
    <row r="333" customFormat="false" ht="14.25" hidden="false" customHeight="false" outlineLevel="0" collapsed="false">
      <c r="A333" s="1" t="n">
        <v>45</v>
      </c>
      <c r="B333" s="1" t="s">
        <v>565</v>
      </c>
      <c r="C333" s="1" t="s">
        <v>566</v>
      </c>
      <c r="D333" s="1" t="n">
        <v>11171</v>
      </c>
      <c r="E333" s="1" t="s">
        <v>55</v>
      </c>
      <c r="F333" s="198" t="n">
        <v>200025889314</v>
      </c>
      <c r="G333" s="198" t="s">
        <v>632</v>
      </c>
      <c r="H333" s="163" t="s">
        <v>224</v>
      </c>
      <c r="I333" s="161" t="n">
        <v>15</v>
      </c>
      <c r="J333" s="156" t="s">
        <v>185</v>
      </c>
      <c r="K333" s="199" t="n">
        <v>45452.1711458333</v>
      </c>
      <c r="L333" s="1" t="n">
        <v>2</v>
      </c>
      <c r="M333" s="156" t="s">
        <v>185</v>
      </c>
      <c r="N333" s="1" t="n">
        <v>332</v>
      </c>
    </row>
    <row r="334" customFormat="false" ht="14.25" hidden="false" customHeight="false" outlineLevel="0" collapsed="false">
      <c r="A334" s="1" t="n">
        <v>46</v>
      </c>
      <c r="B334" s="1" t="s">
        <v>565</v>
      </c>
      <c r="C334" s="1" t="s">
        <v>566</v>
      </c>
      <c r="D334" s="1" t="n">
        <v>11171</v>
      </c>
      <c r="E334" s="1" t="s">
        <v>55</v>
      </c>
      <c r="F334" s="198" t="n">
        <v>200025889314</v>
      </c>
      <c r="G334" s="198" t="s">
        <v>632</v>
      </c>
      <c r="H334" s="163" t="s">
        <v>224</v>
      </c>
      <c r="I334" s="161" t="n">
        <v>15</v>
      </c>
      <c r="J334" s="156" t="s">
        <v>185</v>
      </c>
      <c r="K334" s="199" t="n">
        <v>45452.1714814815</v>
      </c>
      <c r="L334" s="1" t="n">
        <v>1</v>
      </c>
      <c r="M334" s="156" t="s">
        <v>185</v>
      </c>
      <c r="N334" s="1" t="n">
        <v>333</v>
      </c>
    </row>
    <row r="335" customFormat="false" ht="14.25" hidden="false" customHeight="false" outlineLevel="0" collapsed="false">
      <c r="A335" s="1" t="n">
        <v>47</v>
      </c>
      <c r="B335" s="1" t="s">
        <v>565</v>
      </c>
      <c r="C335" s="1" t="s">
        <v>566</v>
      </c>
      <c r="D335" s="1" t="n">
        <v>11171</v>
      </c>
      <c r="E335" s="1" t="s">
        <v>55</v>
      </c>
      <c r="F335" s="198" t="n">
        <v>200025889314</v>
      </c>
      <c r="G335" s="198" t="s">
        <v>632</v>
      </c>
      <c r="H335" s="163" t="s">
        <v>224</v>
      </c>
      <c r="I335" s="161" t="n">
        <v>15</v>
      </c>
      <c r="J335" s="156" t="s">
        <v>185</v>
      </c>
      <c r="K335" s="199" t="n">
        <v>45452.1724768519</v>
      </c>
      <c r="L335" s="1" t="n">
        <v>2</v>
      </c>
      <c r="M335" s="156" t="s">
        <v>185</v>
      </c>
      <c r="N335" s="3" t="n">
        <v>334</v>
      </c>
    </row>
    <row r="336" customFormat="false" ht="14.25" hidden="false" customHeight="false" outlineLevel="0" collapsed="false">
      <c r="A336" s="1" t="n">
        <v>48</v>
      </c>
      <c r="B336" s="1" t="s">
        <v>565</v>
      </c>
      <c r="C336" s="1" t="s">
        <v>566</v>
      </c>
      <c r="D336" s="1" t="n">
        <v>11171</v>
      </c>
      <c r="E336" s="1" t="s">
        <v>55</v>
      </c>
      <c r="F336" s="198" t="n">
        <v>200025889314</v>
      </c>
      <c r="G336" s="198" t="s">
        <v>632</v>
      </c>
      <c r="H336" s="163" t="s">
        <v>224</v>
      </c>
      <c r="I336" s="161" t="n">
        <v>15</v>
      </c>
      <c r="J336" s="156" t="s">
        <v>185</v>
      </c>
      <c r="K336" s="199" t="n">
        <v>45452.1739351852</v>
      </c>
      <c r="L336" s="1" t="n">
        <v>0</v>
      </c>
      <c r="M336" s="156" t="s">
        <v>185</v>
      </c>
      <c r="N336" s="3" t="n">
        <v>335</v>
      </c>
    </row>
    <row r="337" customFormat="false" ht="14.25" hidden="false" customHeight="false" outlineLevel="0" collapsed="false">
      <c r="A337" s="1" t="n">
        <v>49</v>
      </c>
      <c r="B337" s="1" t="s">
        <v>565</v>
      </c>
      <c r="C337" s="1" t="s">
        <v>566</v>
      </c>
      <c r="D337" s="1" t="n">
        <v>11171</v>
      </c>
      <c r="E337" s="1" t="s">
        <v>55</v>
      </c>
      <c r="F337" s="198" t="n">
        <v>200025889314</v>
      </c>
      <c r="G337" s="198" t="s">
        <v>632</v>
      </c>
      <c r="H337" s="163" t="s">
        <v>224</v>
      </c>
      <c r="I337" s="161" t="n">
        <v>15</v>
      </c>
      <c r="J337" s="156" t="s">
        <v>185</v>
      </c>
      <c r="K337" s="199" t="n">
        <v>45452.1739467593</v>
      </c>
      <c r="L337" s="1" t="n">
        <v>1</v>
      </c>
      <c r="M337" s="156" t="s">
        <v>185</v>
      </c>
      <c r="N337" s="1" t="n">
        <v>336</v>
      </c>
    </row>
    <row r="338" customFormat="false" ht="14.25" hidden="false" customHeight="false" outlineLevel="0" collapsed="false">
      <c r="A338" s="1" t="n">
        <v>50</v>
      </c>
      <c r="B338" s="1" t="s">
        <v>565</v>
      </c>
      <c r="C338" s="1" t="s">
        <v>566</v>
      </c>
      <c r="D338" s="1" t="n">
        <v>11171</v>
      </c>
      <c r="E338" s="1" t="s">
        <v>55</v>
      </c>
      <c r="F338" s="198" t="n">
        <v>200025889314</v>
      </c>
      <c r="G338" s="198" t="s">
        <v>632</v>
      </c>
      <c r="H338" s="163" t="s">
        <v>224</v>
      </c>
      <c r="I338" s="161" t="n">
        <v>15</v>
      </c>
      <c r="J338" s="156" t="s">
        <v>185</v>
      </c>
      <c r="K338" s="199" t="n">
        <v>45452.174849537</v>
      </c>
      <c r="L338" s="1" t="n">
        <v>1</v>
      </c>
      <c r="M338" s="156" t="s">
        <v>185</v>
      </c>
      <c r="N338" s="1" t="n">
        <v>337</v>
      </c>
    </row>
    <row r="339" customFormat="false" ht="14.25" hidden="false" customHeight="false" outlineLevel="0" collapsed="false">
      <c r="A339" s="1" t="n">
        <v>96</v>
      </c>
      <c r="B339" s="1" t="s">
        <v>702</v>
      </c>
      <c r="C339" s="1" t="s">
        <v>703</v>
      </c>
      <c r="D339" s="1" t="n">
        <v>11197</v>
      </c>
      <c r="E339" s="1" t="s">
        <v>53</v>
      </c>
      <c r="F339" s="201" t="n">
        <v>200025888808</v>
      </c>
      <c r="G339" s="198" t="s">
        <v>705</v>
      </c>
      <c r="H339" s="163" t="s">
        <v>402</v>
      </c>
      <c r="I339" s="161" t="n">
        <v>103</v>
      </c>
      <c r="J339" s="156" t="s">
        <v>185</v>
      </c>
      <c r="K339" s="200" t="n">
        <v>45452.2559837963</v>
      </c>
      <c r="L339" s="1" t="n">
        <v>0</v>
      </c>
      <c r="M339" s="156" t="s">
        <v>185</v>
      </c>
      <c r="N339" s="1" t="n">
        <v>338</v>
      </c>
    </row>
    <row r="340" customFormat="false" ht="14.25" hidden="false" customHeight="false" outlineLevel="0" collapsed="false">
      <c r="A340" s="1" t="n">
        <v>97</v>
      </c>
      <c r="B340" s="1" t="s">
        <v>702</v>
      </c>
      <c r="C340" s="1" t="s">
        <v>703</v>
      </c>
      <c r="D340" s="1" t="n">
        <v>11197</v>
      </c>
      <c r="E340" s="1" t="s">
        <v>53</v>
      </c>
      <c r="F340" s="201" t="n">
        <v>200025888808</v>
      </c>
      <c r="G340" s="198" t="s">
        <v>705</v>
      </c>
      <c r="H340" s="163" t="s">
        <v>402</v>
      </c>
      <c r="I340" s="161" t="n">
        <v>103</v>
      </c>
      <c r="J340" s="156" t="s">
        <v>185</v>
      </c>
      <c r="K340" s="200" t="n">
        <v>45452.2563657407</v>
      </c>
      <c r="L340" s="1" t="n">
        <v>3</v>
      </c>
      <c r="M340" s="156" t="s">
        <v>185</v>
      </c>
      <c r="N340" s="3" t="n">
        <v>339</v>
      </c>
    </row>
    <row r="341" customFormat="false" ht="14.25" hidden="false" customHeight="false" outlineLevel="0" collapsed="false">
      <c r="A341" s="1" t="n">
        <v>98</v>
      </c>
      <c r="B341" s="1" t="s">
        <v>702</v>
      </c>
      <c r="C341" s="1" t="s">
        <v>703</v>
      </c>
      <c r="D341" s="1" t="n">
        <v>11197</v>
      </c>
      <c r="E341" s="1" t="s">
        <v>53</v>
      </c>
      <c r="F341" s="201" t="n">
        <v>200025888808</v>
      </c>
      <c r="G341" s="198" t="s">
        <v>705</v>
      </c>
      <c r="H341" s="163" t="s">
        <v>402</v>
      </c>
      <c r="I341" s="161" t="n">
        <v>103</v>
      </c>
      <c r="J341" s="156" t="s">
        <v>185</v>
      </c>
      <c r="K341" s="200" t="n">
        <v>45452.2767476852</v>
      </c>
      <c r="L341" s="207" t="n">
        <v>1573</v>
      </c>
      <c r="M341" s="156" t="s">
        <v>185</v>
      </c>
      <c r="N341" s="3" t="n">
        <v>340</v>
      </c>
    </row>
    <row r="342" customFormat="false" ht="14.25" hidden="false" customHeight="false" outlineLevel="0" collapsed="false">
      <c r="A342" s="1" t="n">
        <v>99</v>
      </c>
      <c r="B342" s="1" t="s">
        <v>702</v>
      </c>
      <c r="C342" s="1" t="s">
        <v>703</v>
      </c>
      <c r="D342" s="1" t="n">
        <v>11197</v>
      </c>
      <c r="E342" s="1" t="s">
        <v>53</v>
      </c>
      <c r="F342" s="201" t="n">
        <v>200025888808</v>
      </c>
      <c r="G342" s="198" t="s">
        <v>705</v>
      </c>
      <c r="H342" s="163" t="s">
        <v>402</v>
      </c>
      <c r="I342" s="161" t="n">
        <v>103</v>
      </c>
      <c r="J342" s="156" t="s">
        <v>185</v>
      </c>
      <c r="K342" s="200" t="n">
        <v>45452.313275463</v>
      </c>
      <c r="L342" s="1" t="n">
        <v>1</v>
      </c>
      <c r="M342" s="156" t="s">
        <v>185</v>
      </c>
      <c r="N342" s="1" t="n">
        <v>341</v>
      </c>
    </row>
    <row r="343" customFormat="false" ht="14.25" hidden="false" customHeight="false" outlineLevel="0" collapsed="false">
      <c r="A343" s="1" t="n">
        <v>100</v>
      </c>
      <c r="B343" s="1" t="s">
        <v>702</v>
      </c>
      <c r="C343" s="1" t="s">
        <v>703</v>
      </c>
      <c r="D343" s="1" t="n">
        <v>11197</v>
      </c>
      <c r="E343" s="1" t="s">
        <v>53</v>
      </c>
      <c r="F343" s="201" t="n">
        <v>200025888808</v>
      </c>
      <c r="G343" s="198" t="s">
        <v>705</v>
      </c>
      <c r="H343" s="163" t="s">
        <v>402</v>
      </c>
      <c r="I343" s="161" t="n">
        <v>103</v>
      </c>
      <c r="J343" s="156" t="s">
        <v>185</v>
      </c>
      <c r="K343" s="200" t="n">
        <v>45452.3138310185</v>
      </c>
      <c r="L343" s="1" t="n">
        <v>1</v>
      </c>
      <c r="M343" s="156" t="s">
        <v>185</v>
      </c>
      <c r="N343" s="1" t="n">
        <v>342</v>
      </c>
    </row>
    <row r="344" customFormat="false" ht="14.25" hidden="false" customHeight="false" outlineLevel="0" collapsed="false">
      <c r="A344" s="1" t="n">
        <v>101</v>
      </c>
      <c r="B344" s="1" t="s">
        <v>702</v>
      </c>
      <c r="C344" s="1" t="s">
        <v>703</v>
      </c>
      <c r="D344" s="1" t="n">
        <v>11197</v>
      </c>
      <c r="E344" s="1" t="s">
        <v>53</v>
      </c>
      <c r="F344" s="201" t="n">
        <v>200025888808</v>
      </c>
      <c r="G344" s="198" t="s">
        <v>705</v>
      </c>
      <c r="H344" s="163" t="s">
        <v>402</v>
      </c>
      <c r="I344" s="161" t="n">
        <v>103</v>
      </c>
      <c r="J344" s="156" t="s">
        <v>185</v>
      </c>
      <c r="K344" s="200" t="n">
        <v>45452.3153240741</v>
      </c>
      <c r="L344" s="1" t="n">
        <v>0</v>
      </c>
      <c r="M344" s="156" t="s">
        <v>185</v>
      </c>
      <c r="N344" s="1" t="n">
        <v>343</v>
      </c>
    </row>
    <row r="345" customFormat="false" ht="14.25" hidden="false" customHeight="false" outlineLevel="0" collapsed="false">
      <c r="A345" s="1" t="n">
        <v>102</v>
      </c>
      <c r="B345" s="1" t="s">
        <v>702</v>
      </c>
      <c r="C345" s="1" t="s">
        <v>703</v>
      </c>
      <c r="D345" s="1" t="n">
        <v>11197</v>
      </c>
      <c r="E345" s="1" t="s">
        <v>53</v>
      </c>
      <c r="F345" s="201" t="n">
        <v>200025888808</v>
      </c>
      <c r="G345" s="198" t="s">
        <v>705</v>
      </c>
      <c r="H345" s="163" t="s">
        <v>402</v>
      </c>
      <c r="I345" s="161" t="n">
        <v>103</v>
      </c>
      <c r="J345" s="156" t="s">
        <v>185</v>
      </c>
      <c r="K345" s="200" t="n">
        <v>45452.3163310185</v>
      </c>
      <c r="L345" s="1" t="n">
        <v>1</v>
      </c>
      <c r="M345" s="156" t="s">
        <v>185</v>
      </c>
      <c r="N345" s="3" t="n">
        <v>344</v>
      </c>
    </row>
    <row r="346" customFormat="false" ht="14.25" hidden="false" customHeight="false" outlineLevel="0" collapsed="false">
      <c r="A346" s="1" t="n">
        <v>103</v>
      </c>
      <c r="B346" s="1" t="s">
        <v>702</v>
      </c>
      <c r="C346" s="1" t="s">
        <v>703</v>
      </c>
      <c r="D346" s="1" t="n">
        <v>11197</v>
      </c>
      <c r="E346" s="1" t="s">
        <v>53</v>
      </c>
      <c r="F346" s="201" t="n">
        <v>200025888808</v>
      </c>
      <c r="G346" s="198" t="s">
        <v>705</v>
      </c>
      <c r="H346" s="163" t="s">
        <v>402</v>
      </c>
      <c r="I346" s="161" t="n">
        <v>103</v>
      </c>
      <c r="J346" s="156" t="s">
        <v>185</v>
      </c>
      <c r="K346" s="200" t="n">
        <v>45452.3163425926</v>
      </c>
      <c r="L346" s="1" t="n">
        <v>2</v>
      </c>
      <c r="M346" s="156" t="s">
        <v>185</v>
      </c>
      <c r="N346" s="3" t="n">
        <v>345</v>
      </c>
    </row>
    <row r="347" customFormat="false" ht="14.25" hidden="false" customHeight="false" outlineLevel="0" collapsed="false">
      <c r="A347" s="1" t="n">
        <v>104</v>
      </c>
      <c r="B347" s="1" t="s">
        <v>702</v>
      </c>
      <c r="C347" s="1" t="s">
        <v>703</v>
      </c>
      <c r="D347" s="1" t="n">
        <v>11197</v>
      </c>
      <c r="E347" s="1" t="s">
        <v>53</v>
      </c>
      <c r="F347" s="201" t="n">
        <v>200025888808</v>
      </c>
      <c r="G347" s="198" t="s">
        <v>705</v>
      </c>
      <c r="H347" s="163" t="s">
        <v>402</v>
      </c>
      <c r="I347" s="161" t="n">
        <v>103</v>
      </c>
      <c r="J347" s="156" t="s">
        <v>185</v>
      </c>
      <c r="K347" s="200" t="n">
        <v>45452.3168634259</v>
      </c>
      <c r="L347" s="1" t="n">
        <v>3</v>
      </c>
      <c r="M347" s="156" t="s">
        <v>185</v>
      </c>
      <c r="N347" s="1" t="n">
        <v>346</v>
      </c>
    </row>
    <row r="348" customFormat="false" ht="14.25" hidden="false" customHeight="false" outlineLevel="0" collapsed="false">
      <c r="A348" s="1" t="n">
        <v>51</v>
      </c>
      <c r="B348" s="1" t="s">
        <v>565</v>
      </c>
      <c r="C348" s="1" t="s">
        <v>566</v>
      </c>
      <c r="D348" s="1" t="n">
        <v>11171</v>
      </c>
      <c r="E348" s="1" t="s">
        <v>55</v>
      </c>
      <c r="F348" s="198" t="n">
        <v>200025889051</v>
      </c>
      <c r="G348" s="198" t="s">
        <v>633</v>
      </c>
      <c r="H348" s="163" t="s">
        <v>269</v>
      </c>
      <c r="I348" s="161" t="n">
        <v>26</v>
      </c>
      <c r="J348" s="156" t="s">
        <v>185</v>
      </c>
      <c r="K348" s="199" t="n">
        <v>45452.3428819444</v>
      </c>
      <c r="L348" s="1" t="n">
        <v>0</v>
      </c>
      <c r="M348" s="156" t="s">
        <v>185</v>
      </c>
      <c r="N348" s="1" t="n">
        <v>347</v>
      </c>
    </row>
    <row r="349" customFormat="false" ht="14.25" hidden="false" customHeight="false" outlineLevel="0" collapsed="false">
      <c r="A349" s="1" t="n">
        <v>52</v>
      </c>
      <c r="B349" s="1" t="s">
        <v>565</v>
      </c>
      <c r="C349" s="1" t="s">
        <v>566</v>
      </c>
      <c r="D349" s="1" t="n">
        <v>11171</v>
      </c>
      <c r="E349" s="1" t="s">
        <v>55</v>
      </c>
      <c r="F349" s="198" t="n">
        <v>200025889051</v>
      </c>
      <c r="G349" s="198" t="s">
        <v>633</v>
      </c>
      <c r="H349" s="163" t="s">
        <v>269</v>
      </c>
      <c r="I349" s="161" t="n">
        <v>26</v>
      </c>
      <c r="J349" s="156" t="s">
        <v>185</v>
      </c>
      <c r="K349" s="199" t="n">
        <v>45452.3428935185</v>
      </c>
      <c r="L349" s="1" t="n">
        <v>0</v>
      </c>
      <c r="M349" s="156" t="s">
        <v>185</v>
      </c>
      <c r="N349" s="1" t="n">
        <v>348</v>
      </c>
    </row>
    <row r="350" customFormat="false" ht="14.25" hidden="false" customHeight="false" outlineLevel="0" collapsed="false">
      <c r="A350" s="1" t="n">
        <v>53</v>
      </c>
      <c r="B350" s="1" t="s">
        <v>565</v>
      </c>
      <c r="C350" s="1" t="s">
        <v>566</v>
      </c>
      <c r="D350" s="1" t="n">
        <v>11171</v>
      </c>
      <c r="E350" s="1" t="s">
        <v>55</v>
      </c>
      <c r="F350" s="198" t="n">
        <v>200025889051</v>
      </c>
      <c r="G350" s="198" t="s">
        <v>633</v>
      </c>
      <c r="H350" s="163" t="s">
        <v>269</v>
      </c>
      <c r="I350" s="161" t="n">
        <v>26</v>
      </c>
      <c r="J350" s="156" t="s">
        <v>185</v>
      </c>
      <c r="K350" s="199" t="n">
        <v>45452.3428935185</v>
      </c>
      <c r="L350" s="1" t="n">
        <v>3</v>
      </c>
      <c r="M350" s="156" t="s">
        <v>185</v>
      </c>
      <c r="N350" s="3" t="n">
        <v>349</v>
      </c>
    </row>
    <row r="351" customFormat="false" ht="14.25" hidden="false" customHeight="false" outlineLevel="0" collapsed="false">
      <c r="A351" s="1" t="n">
        <v>54</v>
      </c>
      <c r="B351" s="1" t="s">
        <v>565</v>
      </c>
      <c r="C351" s="1" t="s">
        <v>566</v>
      </c>
      <c r="D351" s="1" t="n">
        <v>11171</v>
      </c>
      <c r="E351" s="1" t="s">
        <v>55</v>
      </c>
      <c r="F351" s="198" t="n">
        <v>200025889051</v>
      </c>
      <c r="G351" s="198" t="s">
        <v>633</v>
      </c>
      <c r="H351" s="163" t="s">
        <v>269</v>
      </c>
      <c r="I351" s="161" t="n">
        <v>26</v>
      </c>
      <c r="J351" s="156" t="s">
        <v>185</v>
      </c>
      <c r="K351" s="199" t="n">
        <v>45452.3435300926</v>
      </c>
      <c r="L351" s="1" t="n">
        <v>2</v>
      </c>
      <c r="M351" s="156" t="s">
        <v>185</v>
      </c>
      <c r="N351" s="3" t="n">
        <v>350</v>
      </c>
    </row>
    <row r="352" customFormat="false" ht="14.25" hidden="false" customHeight="false" outlineLevel="0" collapsed="false">
      <c r="A352" s="1" t="n">
        <v>55</v>
      </c>
      <c r="B352" s="1" t="s">
        <v>565</v>
      </c>
      <c r="C352" s="1" t="s">
        <v>566</v>
      </c>
      <c r="D352" s="1" t="n">
        <v>11171</v>
      </c>
      <c r="E352" s="1" t="s">
        <v>55</v>
      </c>
      <c r="F352" s="198" t="n">
        <v>200025889051</v>
      </c>
      <c r="G352" s="198" t="s">
        <v>633</v>
      </c>
      <c r="H352" s="163" t="s">
        <v>269</v>
      </c>
      <c r="I352" s="161" t="n">
        <v>26</v>
      </c>
      <c r="J352" s="156" t="s">
        <v>185</v>
      </c>
      <c r="K352" s="199" t="n">
        <v>45452.3438078704</v>
      </c>
      <c r="L352" s="1" t="n">
        <v>1</v>
      </c>
      <c r="M352" s="156" t="s">
        <v>185</v>
      </c>
      <c r="N352" s="1" t="n">
        <v>351</v>
      </c>
    </row>
    <row r="353" customFormat="false" ht="14.25" hidden="false" customHeight="false" outlineLevel="0" collapsed="false">
      <c r="A353" s="1" t="n">
        <v>56</v>
      </c>
      <c r="B353" s="1" t="s">
        <v>565</v>
      </c>
      <c r="C353" s="1" t="s">
        <v>566</v>
      </c>
      <c r="D353" s="1" t="n">
        <v>11171</v>
      </c>
      <c r="E353" s="1" t="s">
        <v>55</v>
      </c>
      <c r="F353" s="198" t="n">
        <v>200025889051</v>
      </c>
      <c r="G353" s="198" t="s">
        <v>633</v>
      </c>
      <c r="H353" s="163" t="s">
        <v>269</v>
      </c>
      <c r="I353" s="161" t="n">
        <v>26</v>
      </c>
      <c r="J353" s="156" t="s">
        <v>185</v>
      </c>
      <c r="K353" s="199" t="n">
        <v>45452.3439351852</v>
      </c>
      <c r="L353" s="1" t="n">
        <v>4</v>
      </c>
      <c r="M353" s="156" t="s">
        <v>185</v>
      </c>
      <c r="N353" s="1" t="n">
        <v>352</v>
      </c>
    </row>
    <row r="354" customFormat="false" ht="14.25" hidden="false" customHeight="false" outlineLevel="0" collapsed="false">
      <c r="A354" s="1" t="n">
        <v>57</v>
      </c>
      <c r="B354" s="1" t="s">
        <v>565</v>
      </c>
      <c r="C354" s="1" t="s">
        <v>566</v>
      </c>
      <c r="D354" s="1" t="n">
        <v>11171</v>
      </c>
      <c r="E354" s="1" t="s">
        <v>55</v>
      </c>
      <c r="F354" s="198" t="n">
        <v>200025889051</v>
      </c>
      <c r="G354" s="198" t="s">
        <v>633</v>
      </c>
      <c r="H354" s="163" t="s">
        <v>269</v>
      </c>
      <c r="I354" s="161" t="n">
        <v>26</v>
      </c>
      <c r="J354" s="156" t="s">
        <v>185</v>
      </c>
      <c r="K354" s="199" t="n">
        <v>45452.3443287037</v>
      </c>
      <c r="L354" s="1" t="n">
        <v>0</v>
      </c>
      <c r="M354" s="156" t="s">
        <v>185</v>
      </c>
      <c r="N354" s="1" t="n">
        <v>353</v>
      </c>
    </row>
    <row r="355" customFormat="false" ht="14.25" hidden="false" customHeight="false" outlineLevel="0" collapsed="false">
      <c r="A355" s="1" t="n">
        <v>58</v>
      </c>
      <c r="B355" s="1" t="s">
        <v>565</v>
      </c>
      <c r="C355" s="1" t="s">
        <v>566</v>
      </c>
      <c r="D355" s="1" t="n">
        <v>11171</v>
      </c>
      <c r="E355" s="1" t="s">
        <v>55</v>
      </c>
      <c r="F355" s="198" t="n">
        <v>200025889051</v>
      </c>
      <c r="G355" s="198" t="s">
        <v>633</v>
      </c>
      <c r="H355" s="163" t="s">
        <v>269</v>
      </c>
      <c r="I355" s="161" t="n">
        <v>26</v>
      </c>
      <c r="J355" s="156" t="s">
        <v>185</v>
      </c>
      <c r="K355" s="199" t="n">
        <v>45452.3443402778</v>
      </c>
      <c r="L355" s="1" t="n">
        <v>1</v>
      </c>
      <c r="M355" s="156" t="s">
        <v>185</v>
      </c>
      <c r="N355" s="3" t="n">
        <v>354</v>
      </c>
    </row>
    <row r="356" customFormat="false" ht="14.25" hidden="false" customHeight="false" outlineLevel="0" collapsed="false">
      <c r="A356" s="1" t="n">
        <v>59</v>
      </c>
      <c r="B356" s="1" t="s">
        <v>565</v>
      </c>
      <c r="C356" s="1" t="s">
        <v>566</v>
      </c>
      <c r="D356" s="1" t="n">
        <v>11171</v>
      </c>
      <c r="E356" s="1" t="s">
        <v>55</v>
      </c>
      <c r="F356" s="198" t="n">
        <v>200025889051</v>
      </c>
      <c r="G356" s="198" t="s">
        <v>633</v>
      </c>
      <c r="H356" s="163" t="s">
        <v>269</v>
      </c>
      <c r="I356" s="161" t="n">
        <v>26</v>
      </c>
      <c r="J356" s="156" t="s">
        <v>185</v>
      </c>
      <c r="K356" s="199" t="n">
        <v>45452.345625</v>
      </c>
      <c r="L356" s="1" t="n">
        <v>0</v>
      </c>
      <c r="M356" s="156" t="s">
        <v>185</v>
      </c>
      <c r="N356" s="3" t="n">
        <v>355</v>
      </c>
    </row>
    <row r="357" customFormat="false" ht="14.25" hidden="false" customHeight="false" outlineLevel="0" collapsed="false">
      <c r="A357" s="1" t="n">
        <v>60</v>
      </c>
      <c r="B357" s="1" t="s">
        <v>565</v>
      </c>
      <c r="C357" s="1" t="s">
        <v>566</v>
      </c>
      <c r="D357" s="1" t="n">
        <v>11171</v>
      </c>
      <c r="E357" s="1" t="s">
        <v>55</v>
      </c>
      <c r="F357" s="198" t="n">
        <v>200025889051</v>
      </c>
      <c r="G357" s="198" t="s">
        <v>633</v>
      </c>
      <c r="H357" s="163" t="s">
        <v>269</v>
      </c>
      <c r="I357" s="161" t="n">
        <v>26</v>
      </c>
      <c r="J357" s="156" t="s">
        <v>185</v>
      </c>
      <c r="K357" s="199" t="n">
        <v>45452.3456365741</v>
      </c>
      <c r="L357" s="1" t="n">
        <v>0</v>
      </c>
      <c r="M357" s="156" t="s">
        <v>185</v>
      </c>
      <c r="N357" s="1" t="n">
        <v>356</v>
      </c>
    </row>
    <row r="358" customFormat="false" ht="14.25" hidden="false" customHeight="false" outlineLevel="0" collapsed="false">
      <c r="A358" s="1" t="n">
        <v>61</v>
      </c>
      <c r="B358" s="1" t="s">
        <v>565</v>
      </c>
      <c r="C358" s="1" t="s">
        <v>566</v>
      </c>
      <c r="D358" s="1" t="n">
        <v>11171</v>
      </c>
      <c r="E358" s="1" t="s">
        <v>55</v>
      </c>
      <c r="F358" s="198" t="n">
        <v>200025889051</v>
      </c>
      <c r="G358" s="198" t="s">
        <v>633</v>
      </c>
      <c r="H358" s="163" t="s">
        <v>269</v>
      </c>
      <c r="I358" s="161" t="n">
        <v>26</v>
      </c>
      <c r="J358" s="156" t="s">
        <v>185</v>
      </c>
      <c r="K358" s="199" t="n">
        <v>45452.3457291667</v>
      </c>
      <c r="L358" s="1" t="n">
        <v>0</v>
      </c>
      <c r="M358" s="156" t="s">
        <v>185</v>
      </c>
      <c r="N358" s="1" t="n">
        <v>357</v>
      </c>
    </row>
    <row r="359" customFormat="false" ht="14.25" hidden="false" customHeight="false" outlineLevel="0" collapsed="false">
      <c r="A359" s="1" t="n">
        <v>62</v>
      </c>
      <c r="B359" s="1" t="s">
        <v>565</v>
      </c>
      <c r="C359" s="1" t="s">
        <v>566</v>
      </c>
      <c r="D359" s="1" t="n">
        <v>11171</v>
      </c>
      <c r="E359" s="1" t="s">
        <v>55</v>
      </c>
      <c r="F359" s="198" t="n">
        <v>200025889051</v>
      </c>
      <c r="G359" s="198" t="s">
        <v>633</v>
      </c>
      <c r="H359" s="163" t="s">
        <v>269</v>
      </c>
      <c r="I359" s="161" t="n">
        <v>26</v>
      </c>
      <c r="J359" s="156" t="s">
        <v>185</v>
      </c>
      <c r="K359" s="199" t="n">
        <v>45452.34625</v>
      </c>
      <c r="L359" s="1" t="n">
        <v>3</v>
      </c>
      <c r="M359" s="156" t="s">
        <v>185</v>
      </c>
      <c r="N359" s="1" t="n">
        <v>358</v>
      </c>
    </row>
    <row r="360" customFormat="false" ht="14.25" hidden="false" customHeight="false" outlineLevel="0" collapsed="false">
      <c r="A360" s="1" t="n">
        <v>63</v>
      </c>
      <c r="B360" s="1" t="s">
        <v>565</v>
      </c>
      <c r="C360" s="1" t="s">
        <v>566</v>
      </c>
      <c r="D360" s="1" t="n">
        <v>11171</v>
      </c>
      <c r="E360" s="1" t="s">
        <v>55</v>
      </c>
      <c r="F360" s="198" t="n">
        <v>200025889051</v>
      </c>
      <c r="G360" s="198" t="s">
        <v>633</v>
      </c>
      <c r="H360" s="163" t="s">
        <v>269</v>
      </c>
      <c r="I360" s="161" t="n">
        <v>26</v>
      </c>
      <c r="J360" s="156" t="s">
        <v>185</v>
      </c>
      <c r="K360" s="199" t="n">
        <v>45452.347025463</v>
      </c>
      <c r="L360" s="1" t="n">
        <v>9</v>
      </c>
      <c r="M360" s="156" t="s">
        <v>185</v>
      </c>
      <c r="N360" s="3" t="n">
        <v>359</v>
      </c>
    </row>
    <row r="361" customFormat="false" ht="14.25" hidden="false" customHeight="false" outlineLevel="0" collapsed="false">
      <c r="A361" s="1" t="n">
        <v>52</v>
      </c>
      <c r="B361" s="1" t="s">
        <v>624</v>
      </c>
      <c r="C361" s="1" t="s">
        <v>625</v>
      </c>
      <c r="D361" s="196" t="n">
        <v>2568</v>
      </c>
      <c r="E361" s="196" t="s">
        <v>51</v>
      </c>
      <c r="F361" s="201" t="n">
        <v>200025889314</v>
      </c>
      <c r="G361" s="198" t="s">
        <v>632</v>
      </c>
      <c r="H361" s="163" t="s">
        <v>224</v>
      </c>
      <c r="I361" s="161" t="n">
        <v>15</v>
      </c>
      <c r="J361" s="156" t="s">
        <v>185</v>
      </c>
      <c r="K361" s="200" t="n">
        <v>45452.3796875</v>
      </c>
      <c r="L361" s="1" t="n">
        <v>0</v>
      </c>
      <c r="M361" s="156" t="s">
        <v>185</v>
      </c>
      <c r="N361" s="3" t="n">
        <v>360</v>
      </c>
    </row>
    <row r="362" customFormat="false" ht="14.25" hidden="false" customHeight="false" outlineLevel="0" collapsed="false">
      <c r="A362" s="1" t="n">
        <v>53</v>
      </c>
      <c r="B362" s="1" t="s">
        <v>624</v>
      </c>
      <c r="C362" s="1" t="s">
        <v>625</v>
      </c>
      <c r="D362" s="196" t="n">
        <v>2568</v>
      </c>
      <c r="E362" s="196" t="s">
        <v>51</v>
      </c>
      <c r="F362" s="201" t="n">
        <v>200025889314</v>
      </c>
      <c r="G362" s="198" t="s">
        <v>632</v>
      </c>
      <c r="H362" s="163" t="s">
        <v>224</v>
      </c>
      <c r="I362" s="161" t="n">
        <v>15</v>
      </c>
      <c r="J362" s="156" t="s">
        <v>185</v>
      </c>
      <c r="K362" s="200" t="n">
        <v>45452.3796990741</v>
      </c>
      <c r="L362" s="1" t="n">
        <v>0</v>
      </c>
      <c r="M362" s="156" t="s">
        <v>185</v>
      </c>
      <c r="N362" s="1" t="n">
        <v>361</v>
      </c>
    </row>
    <row r="363" customFormat="false" ht="14.25" hidden="false" customHeight="false" outlineLevel="0" collapsed="false">
      <c r="A363" s="1" t="n">
        <v>54</v>
      </c>
      <c r="B363" s="1" t="s">
        <v>624</v>
      </c>
      <c r="C363" s="1" t="s">
        <v>625</v>
      </c>
      <c r="D363" s="196" t="n">
        <v>2568</v>
      </c>
      <c r="E363" s="196" t="s">
        <v>51</v>
      </c>
      <c r="F363" s="201" t="n">
        <v>200025889314</v>
      </c>
      <c r="G363" s="198" t="s">
        <v>632</v>
      </c>
      <c r="H363" s="163" t="s">
        <v>224</v>
      </c>
      <c r="I363" s="161" t="n">
        <v>15</v>
      </c>
      <c r="J363" s="156" t="s">
        <v>185</v>
      </c>
      <c r="K363" s="200" t="n">
        <v>45452.3797106482</v>
      </c>
      <c r="L363" s="1" t="n">
        <v>0</v>
      </c>
      <c r="M363" s="156" t="s">
        <v>185</v>
      </c>
      <c r="N363" s="1" t="n">
        <v>362</v>
      </c>
    </row>
    <row r="364" customFormat="false" ht="14.25" hidden="false" customHeight="false" outlineLevel="0" collapsed="false">
      <c r="A364" s="1" t="n">
        <v>55</v>
      </c>
      <c r="B364" s="1" t="s">
        <v>624</v>
      </c>
      <c r="C364" s="1" t="s">
        <v>625</v>
      </c>
      <c r="D364" s="196" t="n">
        <v>2568</v>
      </c>
      <c r="E364" s="196" t="s">
        <v>51</v>
      </c>
      <c r="F364" s="201" t="n">
        <v>200025889314</v>
      </c>
      <c r="G364" s="198" t="s">
        <v>632</v>
      </c>
      <c r="H364" s="163" t="s">
        <v>224</v>
      </c>
      <c r="I364" s="161" t="n">
        <v>15</v>
      </c>
      <c r="J364" s="156" t="s">
        <v>185</v>
      </c>
      <c r="K364" s="200" t="n">
        <v>45452.3860763889</v>
      </c>
      <c r="L364" s="1" t="n">
        <v>1</v>
      </c>
      <c r="M364" s="156" t="s">
        <v>185</v>
      </c>
      <c r="N364" s="1" t="n">
        <v>363</v>
      </c>
    </row>
    <row r="365" customFormat="false" ht="14.25" hidden="false" customHeight="false" outlineLevel="0" collapsed="false">
      <c r="A365" s="1" t="n">
        <v>56</v>
      </c>
      <c r="B365" s="1" t="s">
        <v>624</v>
      </c>
      <c r="C365" s="1" t="s">
        <v>625</v>
      </c>
      <c r="D365" s="196" t="n">
        <v>2568</v>
      </c>
      <c r="E365" s="196" t="s">
        <v>51</v>
      </c>
      <c r="F365" s="201" t="n">
        <v>200025889314</v>
      </c>
      <c r="G365" s="198" t="s">
        <v>632</v>
      </c>
      <c r="H365" s="163" t="s">
        <v>224</v>
      </c>
      <c r="I365" s="161" t="n">
        <v>15</v>
      </c>
      <c r="J365" s="156" t="s">
        <v>185</v>
      </c>
      <c r="K365" s="200" t="n">
        <v>45452.386087963</v>
      </c>
      <c r="L365" s="1" t="n">
        <v>1</v>
      </c>
      <c r="M365" s="156" t="s">
        <v>185</v>
      </c>
      <c r="N365" s="3" t="n">
        <v>364</v>
      </c>
    </row>
    <row r="366" customFormat="false" ht="14.25" hidden="false" customHeight="false" outlineLevel="0" collapsed="false">
      <c r="A366" s="1" t="n">
        <v>57</v>
      </c>
      <c r="B366" s="1" t="s">
        <v>624</v>
      </c>
      <c r="C366" s="1" t="s">
        <v>625</v>
      </c>
      <c r="D366" s="196" t="n">
        <v>2568</v>
      </c>
      <c r="E366" s="196" t="s">
        <v>51</v>
      </c>
      <c r="F366" s="201" t="n">
        <v>200025889314</v>
      </c>
      <c r="G366" s="198" t="s">
        <v>632</v>
      </c>
      <c r="H366" s="163" t="s">
        <v>224</v>
      </c>
      <c r="I366" s="161" t="n">
        <v>15</v>
      </c>
      <c r="J366" s="156" t="s">
        <v>185</v>
      </c>
      <c r="K366" s="200" t="n">
        <v>45452.3917013889</v>
      </c>
      <c r="L366" s="1" t="n">
        <v>2</v>
      </c>
      <c r="M366" s="156" t="s">
        <v>185</v>
      </c>
      <c r="N366" s="3" t="n">
        <v>365</v>
      </c>
    </row>
    <row r="367" customFormat="false" ht="14.25" hidden="false" customHeight="false" outlineLevel="0" collapsed="false">
      <c r="A367" s="1" t="n">
        <v>58</v>
      </c>
      <c r="B367" s="1" t="s">
        <v>624</v>
      </c>
      <c r="C367" s="1" t="s">
        <v>625</v>
      </c>
      <c r="D367" s="196" t="n">
        <v>2568</v>
      </c>
      <c r="E367" s="196" t="s">
        <v>51</v>
      </c>
      <c r="F367" s="201" t="n">
        <v>200025889314</v>
      </c>
      <c r="G367" s="198" t="s">
        <v>632</v>
      </c>
      <c r="H367" s="163" t="s">
        <v>224</v>
      </c>
      <c r="I367" s="161" t="n">
        <v>15</v>
      </c>
      <c r="J367" s="156" t="s">
        <v>185</v>
      </c>
      <c r="K367" s="200" t="n">
        <v>45452.3919444445</v>
      </c>
      <c r="L367" s="1" t="n">
        <v>0</v>
      </c>
      <c r="M367" s="156" t="s">
        <v>185</v>
      </c>
      <c r="N367" s="1" t="n">
        <v>366</v>
      </c>
    </row>
    <row r="368" customFormat="false" ht="14.25" hidden="false" customHeight="false" outlineLevel="0" collapsed="false">
      <c r="A368" s="1" t="n">
        <v>59</v>
      </c>
      <c r="B368" s="1" t="s">
        <v>624</v>
      </c>
      <c r="C368" s="1" t="s">
        <v>625</v>
      </c>
      <c r="D368" s="196" t="n">
        <v>2568</v>
      </c>
      <c r="E368" s="196" t="s">
        <v>51</v>
      </c>
      <c r="F368" s="201" t="n">
        <v>200025889314</v>
      </c>
      <c r="G368" s="198" t="s">
        <v>632</v>
      </c>
      <c r="H368" s="163" t="s">
        <v>224</v>
      </c>
      <c r="I368" s="161" t="n">
        <v>15</v>
      </c>
      <c r="J368" s="156" t="s">
        <v>185</v>
      </c>
      <c r="K368" s="200" t="n">
        <v>45452.3919675926</v>
      </c>
      <c r="L368" s="10" t="n">
        <v>112</v>
      </c>
      <c r="M368" s="156" t="s">
        <v>185</v>
      </c>
      <c r="N368" s="1" t="n">
        <v>367</v>
      </c>
    </row>
    <row r="369" customFormat="false" ht="14.25" hidden="false" customHeight="false" outlineLevel="0" collapsed="false">
      <c r="A369" s="1" t="n">
        <v>60</v>
      </c>
      <c r="B369" s="1" t="s">
        <v>624</v>
      </c>
      <c r="C369" s="1" t="s">
        <v>625</v>
      </c>
      <c r="D369" s="196" t="n">
        <v>2568</v>
      </c>
      <c r="E369" s="196" t="s">
        <v>51</v>
      </c>
      <c r="F369" s="201" t="n">
        <v>200025889314</v>
      </c>
      <c r="G369" s="198" t="s">
        <v>632</v>
      </c>
      <c r="H369" s="163" t="s">
        <v>224</v>
      </c>
      <c r="I369" s="161" t="n">
        <v>15</v>
      </c>
      <c r="J369" s="156" t="s">
        <v>185</v>
      </c>
      <c r="K369" s="200" t="n">
        <v>45452.395150463</v>
      </c>
      <c r="L369" s="1" t="n">
        <v>0</v>
      </c>
      <c r="M369" s="156" t="s">
        <v>185</v>
      </c>
      <c r="N369" s="1" t="n">
        <v>368</v>
      </c>
    </row>
    <row r="370" customFormat="false" ht="14.25" hidden="false" customHeight="false" outlineLevel="0" collapsed="false">
      <c r="A370" s="1" t="n">
        <v>61</v>
      </c>
      <c r="B370" s="1" t="s">
        <v>624</v>
      </c>
      <c r="C370" s="1" t="s">
        <v>625</v>
      </c>
      <c r="D370" s="196" t="n">
        <v>2568</v>
      </c>
      <c r="E370" s="196" t="s">
        <v>51</v>
      </c>
      <c r="F370" s="201" t="n">
        <v>200025889314</v>
      </c>
      <c r="G370" s="198" t="s">
        <v>632</v>
      </c>
      <c r="H370" s="163" t="s">
        <v>224</v>
      </c>
      <c r="I370" s="161" t="n">
        <v>15</v>
      </c>
      <c r="J370" s="156" t="s">
        <v>185</v>
      </c>
      <c r="K370" s="200" t="n">
        <v>45452.397025463</v>
      </c>
      <c r="L370" s="10" t="n">
        <v>1141</v>
      </c>
      <c r="M370" s="156" t="s">
        <v>185</v>
      </c>
      <c r="N370" s="3" t="n">
        <v>369</v>
      </c>
    </row>
    <row r="371" customFormat="false" ht="14.25" hidden="false" customHeight="false" outlineLevel="0" collapsed="false">
      <c r="A371" s="1" t="n">
        <v>35</v>
      </c>
      <c r="B371" s="1" t="s">
        <v>637</v>
      </c>
      <c r="C371" s="1" t="s">
        <v>638</v>
      </c>
      <c r="D371" s="1" t="n">
        <v>21296</v>
      </c>
      <c r="E371" s="1" t="s">
        <v>57</v>
      </c>
      <c r="F371" s="198" t="n">
        <v>200025889051</v>
      </c>
      <c r="G371" s="198" t="s">
        <v>633</v>
      </c>
      <c r="H371" s="163" t="s">
        <v>269</v>
      </c>
      <c r="I371" s="161" t="n">
        <v>26</v>
      </c>
      <c r="J371" s="156" t="s">
        <v>185</v>
      </c>
      <c r="K371" s="200" t="n">
        <v>45452.4318518519</v>
      </c>
      <c r="L371" s="1" t="n">
        <v>0</v>
      </c>
      <c r="M371" s="156" t="s">
        <v>185</v>
      </c>
      <c r="N371" s="3" t="n">
        <v>370</v>
      </c>
    </row>
    <row r="372" customFormat="false" ht="14.25" hidden="false" customHeight="false" outlineLevel="0" collapsed="false">
      <c r="A372" s="1" t="n">
        <v>62</v>
      </c>
      <c r="B372" s="1" t="s">
        <v>624</v>
      </c>
      <c r="C372" s="1" t="s">
        <v>625</v>
      </c>
      <c r="D372" s="196" t="n">
        <v>2568</v>
      </c>
      <c r="E372" s="196" t="s">
        <v>51</v>
      </c>
      <c r="F372" s="201" t="n">
        <v>200025889051</v>
      </c>
      <c r="G372" s="198" t="s">
        <v>633</v>
      </c>
      <c r="H372" s="163" t="s">
        <v>269</v>
      </c>
      <c r="I372" s="161" t="n">
        <v>26</v>
      </c>
      <c r="J372" s="156" t="s">
        <v>185</v>
      </c>
      <c r="K372" s="200" t="n">
        <v>45452.4431712963</v>
      </c>
      <c r="L372" s="1" t="n">
        <v>0</v>
      </c>
      <c r="M372" s="156" t="s">
        <v>185</v>
      </c>
      <c r="N372" s="1" t="n">
        <v>371</v>
      </c>
    </row>
    <row r="373" customFormat="false" ht="14.25" hidden="false" customHeight="false" outlineLevel="0" collapsed="false">
      <c r="A373" s="1" t="n">
        <v>36</v>
      </c>
      <c r="B373" s="1" t="s">
        <v>637</v>
      </c>
      <c r="C373" s="1" t="s">
        <v>638</v>
      </c>
      <c r="D373" s="1" t="n">
        <v>21296</v>
      </c>
      <c r="E373" s="1" t="s">
        <v>57</v>
      </c>
      <c r="F373" s="198" t="n">
        <v>200025888529</v>
      </c>
      <c r="G373" s="198" t="s">
        <v>704</v>
      </c>
      <c r="H373" s="163" t="s">
        <v>345</v>
      </c>
      <c r="I373" s="161" t="n">
        <v>118</v>
      </c>
      <c r="J373" s="156" t="s">
        <v>185</v>
      </c>
      <c r="K373" s="200" t="n">
        <v>45452.4697800926</v>
      </c>
      <c r="L373" s="1" t="n">
        <v>1</v>
      </c>
      <c r="M373" s="156" t="s">
        <v>185</v>
      </c>
      <c r="N373" s="1" t="n">
        <v>372</v>
      </c>
    </row>
    <row r="374" customFormat="false" ht="14.25" hidden="false" customHeight="false" outlineLevel="0" collapsed="false">
      <c r="A374" s="1" t="n">
        <v>37</v>
      </c>
      <c r="B374" s="1" t="s">
        <v>637</v>
      </c>
      <c r="C374" s="1" t="s">
        <v>638</v>
      </c>
      <c r="D374" s="1" t="n">
        <v>21296</v>
      </c>
      <c r="E374" s="1" t="s">
        <v>57</v>
      </c>
      <c r="F374" s="198" t="n">
        <v>200025888808</v>
      </c>
      <c r="G374" s="198" t="s">
        <v>705</v>
      </c>
      <c r="H374" s="163" t="s">
        <v>402</v>
      </c>
      <c r="I374" s="161" t="n">
        <v>103</v>
      </c>
      <c r="J374" s="156" t="s">
        <v>185</v>
      </c>
      <c r="K374" s="200" t="n">
        <v>45452.4999652778</v>
      </c>
      <c r="L374" s="1" t="n">
        <v>4</v>
      </c>
      <c r="M374" s="156" t="s">
        <v>185</v>
      </c>
      <c r="N374" s="1" t="n">
        <v>373</v>
      </c>
    </row>
    <row r="375" customFormat="false" ht="14.25" hidden="false" customHeight="false" outlineLevel="0" collapsed="false">
      <c r="A375" s="1" t="n">
        <v>38</v>
      </c>
      <c r="B375" s="1" t="s">
        <v>637</v>
      </c>
      <c r="C375" s="1" t="s">
        <v>638</v>
      </c>
      <c r="D375" s="1" t="n">
        <v>21296</v>
      </c>
      <c r="E375" s="1" t="s">
        <v>57</v>
      </c>
      <c r="F375" s="198" t="n">
        <v>200025888808</v>
      </c>
      <c r="G375" s="198" t="s">
        <v>705</v>
      </c>
      <c r="H375" s="163" t="s">
        <v>402</v>
      </c>
      <c r="I375" s="161" t="n">
        <v>103</v>
      </c>
      <c r="J375" s="156" t="s">
        <v>185</v>
      </c>
      <c r="K375" s="200" t="n">
        <v>45452.6125810185</v>
      </c>
      <c r="L375" s="1" t="n">
        <v>1</v>
      </c>
      <c r="M375" s="156" t="s">
        <v>185</v>
      </c>
      <c r="N375" s="3" t="n">
        <v>374</v>
      </c>
    </row>
    <row r="376" customFormat="false" ht="14.25" hidden="false" customHeight="false" outlineLevel="0" collapsed="false">
      <c r="A376" s="1" t="n">
        <v>39</v>
      </c>
      <c r="B376" s="1" t="s">
        <v>637</v>
      </c>
      <c r="C376" s="1" t="s">
        <v>638</v>
      </c>
      <c r="D376" s="1" t="n">
        <v>21296</v>
      </c>
      <c r="E376" s="1" t="s">
        <v>57</v>
      </c>
      <c r="F376" s="198" t="n">
        <v>200025888808</v>
      </c>
      <c r="G376" s="198" t="s">
        <v>705</v>
      </c>
      <c r="H376" s="163" t="s">
        <v>402</v>
      </c>
      <c r="I376" s="161" t="n">
        <v>103</v>
      </c>
      <c r="J376" s="156" t="s">
        <v>185</v>
      </c>
      <c r="K376" s="200" t="n">
        <v>45452.6126157407</v>
      </c>
      <c r="L376" s="1" t="n">
        <v>0</v>
      </c>
      <c r="M376" s="156" t="s">
        <v>185</v>
      </c>
      <c r="N376" s="3" t="n">
        <v>375</v>
      </c>
    </row>
    <row r="377" customFormat="false" ht="14.25" hidden="false" customHeight="false" outlineLevel="0" collapsed="false">
      <c r="A377" s="1" t="n">
        <v>63</v>
      </c>
      <c r="B377" s="1" t="s">
        <v>624</v>
      </c>
      <c r="C377" s="1" t="s">
        <v>625</v>
      </c>
      <c r="D377" s="196" t="n">
        <v>2568</v>
      </c>
      <c r="E377" s="196" t="s">
        <v>51</v>
      </c>
      <c r="F377" s="201" t="n">
        <v>200025888485</v>
      </c>
      <c r="G377" s="198" t="s">
        <v>634</v>
      </c>
      <c r="H377" s="163" t="s">
        <v>327</v>
      </c>
      <c r="I377" s="161" t="n">
        <v>93</v>
      </c>
      <c r="J377" s="156" t="s">
        <v>185</v>
      </c>
      <c r="K377" s="200" t="n">
        <v>45452.6128472222</v>
      </c>
      <c r="L377" s="1" t="n">
        <v>0</v>
      </c>
      <c r="M377" s="156" t="s">
        <v>185</v>
      </c>
      <c r="N377" s="1" t="n">
        <v>376</v>
      </c>
    </row>
    <row r="378" customFormat="false" ht="14.25" hidden="false" customHeight="false" outlineLevel="0" collapsed="false">
      <c r="A378" s="1" t="n">
        <v>40</v>
      </c>
      <c r="B378" s="1" t="s">
        <v>637</v>
      </c>
      <c r="C378" s="1" t="s">
        <v>638</v>
      </c>
      <c r="D378" s="1" t="n">
        <v>21296</v>
      </c>
      <c r="E378" s="1" t="s">
        <v>57</v>
      </c>
      <c r="F378" s="198" t="n">
        <v>200025888808</v>
      </c>
      <c r="G378" s="198" t="s">
        <v>705</v>
      </c>
      <c r="H378" s="163" t="s">
        <v>402</v>
      </c>
      <c r="I378" s="161" t="n">
        <v>103</v>
      </c>
      <c r="J378" s="156" t="s">
        <v>185</v>
      </c>
      <c r="K378" s="200" t="n">
        <v>45452.7136805556</v>
      </c>
      <c r="L378" s="1" t="n">
        <v>0</v>
      </c>
      <c r="M378" s="156" t="s">
        <v>185</v>
      </c>
      <c r="N378" s="1" t="n">
        <v>377</v>
      </c>
    </row>
    <row r="379" customFormat="false" ht="14.25" hidden="false" customHeight="false" outlineLevel="0" collapsed="false">
      <c r="A379" s="1" t="n">
        <v>41</v>
      </c>
      <c r="B379" s="1" t="s">
        <v>637</v>
      </c>
      <c r="C379" s="1" t="s">
        <v>638</v>
      </c>
      <c r="D379" s="1" t="n">
        <v>21296</v>
      </c>
      <c r="E379" s="1" t="s">
        <v>57</v>
      </c>
      <c r="F379" s="198" t="n">
        <v>200025888808</v>
      </c>
      <c r="G379" s="198" t="s">
        <v>705</v>
      </c>
      <c r="H379" s="163" t="s">
        <v>402</v>
      </c>
      <c r="I379" s="161" t="n">
        <v>103</v>
      </c>
      <c r="J379" s="156" t="s">
        <v>185</v>
      </c>
      <c r="K379" s="200" t="n">
        <v>45452.7137037037</v>
      </c>
      <c r="L379" s="1" t="n">
        <v>1</v>
      </c>
      <c r="M379" s="156" t="s">
        <v>185</v>
      </c>
      <c r="N379" s="1" t="n">
        <v>378</v>
      </c>
    </row>
    <row r="380" customFormat="false" ht="14.25" hidden="false" customHeight="false" outlineLevel="0" collapsed="false">
      <c r="A380" s="1" t="n">
        <v>42</v>
      </c>
      <c r="B380" s="1" t="s">
        <v>637</v>
      </c>
      <c r="C380" s="1" t="s">
        <v>638</v>
      </c>
      <c r="D380" s="1" t="n">
        <v>21296</v>
      </c>
      <c r="E380" s="1" t="s">
        <v>57</v>
      </c>
      <c r="F380" s="198" t="n">
        <v>200025888485</v>
      </c>
      <c r="G380" s="198" t="s">
        <v>634</v>
      </c>
      <c r="H380" s="163" t="s">
        <v>327</v>
      </c>
      <c r="I380" s="161" t="n">
        <v>93</v>
      </c>
      <c r="J380" s="156" t="s">
        <v>185</v>
      </c>
      <c r="K380" s="200" t="n">
        <v>45452.8429513889</v>
      </c>
      <c r="L380" s="10" t="n">
        <v>2436</v>
      </c>
      <c r="M380" s="156" t="s">
        <v>185</v>
      </c>
      <c r="N380" s="3" t="n">
        <v>379</v>
      </c>
    </row>
    <row r="381" customFormat="false" ht="14.25" hidden="false" customHeight="false" outlineLevel="0" collapsed="false">
      <c r="A381" s="1" t="n">
        <v>43</v>
      </c>
      <c r="B381" s="1" t="s">
        <v>637</v>
      </c>
      <c r="C381" s="1" t="s">
        <v>638</v>
      </c>
      <c r="D381" s="1" t="n">
        <v>21296</v>
      </c>
      <c r="E381" s="1" t="s">
        <v>57</v>
      </c>
      <c r="F381" s="198" t="n">
        <v>200025888485</v>
      </c>
      <c r="G381" s="198" t="s">
        <v>634</v>
      </c>
      <c r="H381" s="163" t="s">
        <v>327</v>
      </c>
      <c r="I381" s="161" t="n">
        <v>93</v>
      </c>
      <c r="J381" s="156" t="s">
        <v>185</v>
      </c>
      <c r="K381" s="200" t="n">
        <v>45452.9012962963</v>
      </c>
      <c r="L381" s="1" t="n">
        <v>0</v>
      </c>
      <c r="M381" s="156" t="s">
        <v>185</v>
      </c>
      <c r="N381" s="3" t="n">
        <v>380</v>
      </c>
    </row>
    <row r="382" customFormat="false" ht="14.25" hidden="false" customHeight="false" outlineLevel="0" collapsed="false">
      <c r="A382" s="1" t="n">
        <v>44</v>
      </c>
      <c r="B382" s="1" t="s">
        <v>637</v>
      </c>
      <c r="C382" s="1" t="s">
        <v>638</v>
      </c>
      <c r="D382" s="1" t="n">
        <v>21296</v>
      </c>
      <c r="E382" s="1" t="s">
        <v>57</v>
      </c>
      <c r="F382" s="198" t="n">
        <v>200025888485</v>
      </c>
      <c r="G382" s="198" t="s">
        <v>634</v>
      </c>
      <c r="H382" s="163" t="s">
        <v>327</v>
      </c>
      <c r="I382" s="161" t="n">
        <v>93</v>
      </c>
      <c r="J382" s="156" t="s">
        <v>185</v>
      </c>
      <c r="K382" s="200" t="n">
        <v>45452.9081828704</v>
      </c>
      <c r="L382" s="10" t="n">
        <v>4912</v>
      </c>
      <c r="M382" s="156" t="s">
        <v>185</v>
      </c>
      <c r="N382" s="1" t="n">
        <v>381</v>
      </c>
    </row>
    <row r="383" customFormat="false" ht="14.25" hidden="false" customHeight="false" outlineLevel="0" collapsed="false">
      <c r="A383" s="1" t="n">
        <v>45</v>
      </c>
      <c r="B383" s="1" t="s">
        <v>637</v>
      </c>
      <c r="C383" s="1" t="s">
        <v>638</v>
      </c>
      <c r="D383" s="1" t="n">
        <v>21296</v>
      </c>
      <c r="E383" s="1" t="s">
        <v>57</v>
      </c>
      <c r="F383" s="198" t="n">
        <v>200025888485</v>
      </c>
      <c r="G383" s="198" t="s">
        <v>634</v>
      </c>
      <c r="H383" s="163" t="s">
        <v>327</v>
      </c>
      <c r="I383" s="161" t="n">
        <v>93</v>
      </c>
      <c r="J383" s="156" t="s">
        <v>185</v>
      </c>
      <c r="K383" s="200" t="n">
        <v>45452.9650347222</v>
      </c>
      <c r="L383" s="1" t="n">
        <v>1</v>
      </c>
      <c r="M383" s="156" t="s">
        <v>185</v>
      </c>
      <c r="N383" s="1" t="n">
        <v>382</v>
      </c>
    </row>
    <row r="384" customFormat="false" ht="14.25" hidden="false" customHeight="false" outlineLevel="0" collapsed="false">
      <c r="A384" s="1" t="n">
        <v>46</v>
      </c>
      <c r="B384" s="1" t="s">
        <v>637</v>
      </c>
      <c r="C384" s="1" t="s">
        <v>638</v>
      </c>
      <c r="D384" s="1" t="n">
        <v>21296</v>
      </c>
      <c r="E384" s="1" t="s">
        <v>57</v>
      </c>
      <c r="F384" s="198" t="n">
        <v>200025888485</v>
      </c>
      <c r="G384" s="198" t="s">
        <v>634</v>
      </c>
      <c r="H384" s="163" t="s">
        <v>327</v>
      </c>
      <c r="I384" s="161" t="n">
        <v>93</v>
      </c>
      <c r="J384" s="156" t="s">
        <v>185</v>
      </c>
      <c r="K384" s="200" t="n">
        <v>45453.0863541667</v>
      </c>
      <c r="L384" s="1" t="n">
        <v>0</v>
      </c>
      <c r="M384" s="156" t="s">
        <v>185</v>
      </c>
      <c r="N384" s="1" t="n">
        <v>383</v>
      </c>
    </row>
    <row r="385" customFormat="false" ht="14.25" hidden="false" customHeight="false" outlineLevel="0" collapsed="false">
      <c r="A385" s="1" t="n">
        <v>47</v>
      </c>
      <c r="B385" s="1" t="s">
        <v>637</v>
      </c>
      <c r="C385" s="1" t="s">
        <v>638</v>
      </c>
      <c r="D385" s="1" t="n">
        <v>21296</v>
      </c>
      <c r="E385" s="1" t="s">
        <v>57</v>
      </c>
      <c r="F385" s="198" t="n">
        <v>200025888485</v>
      </c>
      <c r="G385" s="198" t="s">
        <v>634</v>
      </c>
      <c r="H385" s="163" t="s">
        <v>327</v>
      </c>
      <c r="I385" s="161" t="n">
        <v>93</v>
      </c>
      <c r="J385" s="156" t="s">
        <v>185</v>
      </c>
      <c r="K385" s="200" t="n">
        <v>45453.0863773148</v>
      </c>
      <c r="L385" s="1" t="n">
        <v>1</v>
      </c>
      <c r="M385" s="156" t="s">
        <v>185</v>
      </c>
      <c r="N385" s="3" t="n">
        <v>384</v>
      </c>
    </row>
    <row r="386" customFormat="false" ht="14.25" hidden="false" customHeight="false" outlineLevel="0" collapsed="false">
      <c r="A386" s="1" t="n">
        <v>48</v>
      </c>
      <c r="B386" s="1" t="s">
        <v>637</v>
      </c>
      <c r="C386" s="1" t="s">
        <v>638</v>
      </c>
      <c r="D386" s="1" t="n">
        <v>21296</v>
      </c>
      <c r="E386" s="1" t="s">
        <v>57</v>
      </c>
      <c r="F386" s="198" t="n">
        <v>200025889051</v>
      </c>
      <c r="G386" s="198" t="s">
        <v>633</v>
      </c>
      <c r="H386" s="163" t="s">
        <v>269</v>
      </c>
      <c r="I386" s="161" t="n">
        <v>26</v>
      </c>
      <c r="J386" s="156" t="s">
        <v>185</v>
      </c>
      <c r="K386" s="200" t="n">
        <v>45453.1302083333</v>
      </c>
      <c r="L386" s="1" t="n">
        <v>1</v>
      </c>
      <c r="M386" s="156" t="s">
        <v>185</v>
      </c>
      <c r="N386" s="3" t="n">
        <v>385</v>
      </c>
    </row>
    <row r="387" customFormat="false" ht="14.25" hidden="false" customHeight="false" outlineLevel="0" collapsed="false">
      <c r="A387" s="1" t="n">
        <v>49</v>
      </c>
      <c r="B387" s="1" t="s">
        <v>637</v>
      </c>
      <c r="C387" s="1" t="s">
        <v>638</v>
      </c>
      <c r="D387" s="1" t="n">
        <v>21296</v>
      </c>
      <c r="E387" s="1" t="s">
        <v>57</v>
      </c>
      <c r="F387" s="201" t="n">
        <v>200025889051</v>
      </c>
      <c r="G387" s="198" t="s">
        <v>633</v>
      </c>
      <c r="H387" s="163" t="s">
        <v>269</v>
      </c>
      <c r="I387" s="161" t="n">
        <v>26</v>
      </c>
      <c r="J387" s="156" t="s">
        <v>185</v>
      </c>
      <c r="K387" s="200" t="n">
        <v>45453.1305439815</v>
      </c>
      <c r="L387" s="1" t="n">
        <v>0</v>
      </c>
      <c r="M387" s="156" t="s">
        <v>185</v>
      </c>
      <c r="N387" s="1" t="n">
        <v>386</v>
      </c>
    </row>
    <row r="388" customFormat="false" ht="14.25" hidden="false" customHeight="false" outlineLevel="0" collapsed="false">
      <c r="A388" s="1" t="n">
        <v>50</v>
      </c>
      <c r="B388" s="1" t="s">
        <v>637</v>
      </c>
      <c r="C388" s="1" t="s">
        <v>638</v>
      </c>
      <c r="D388" s="1" t="n">
        <v>21296</v>
      </c>
      <c r="E388" s="1" t="s">
        <v>57</v>
      </c>
      <c r="F388" s="201" t="n">
        <v>200025889051</v>
      </c>
      <c r="G388" s="198" t="s">
        <v>633</v>
      </c>
      <c r="H388" s="163" t="s">
        <v>269</v>
      </c>
      <c r="I388" s="161" t="n">
        <v>26</v>
      </c>
      <c r="J388" s="156" t="s">
        <v>185</v>
      </c>
      <c r="K388" s="200" t="n">
        <v>45453.1306712963</v>
      </c>
      <c r="L388" s="1" t="n">
        <v>1</v>
      </c>
      <c r="M388" s="156" t="s">
        <v>185</v>
      </c>
      <c r="N388" s="1" t="n">
        <v>387</v>
      </c>
    </row>
    <row r="389" customFormat="false" ht="14.25" hidden="false" customHeight="false" outlineLevel="0" collapsed="false">
      <c r="A389" s="1" t="n">
        <v>51</v>
      </c>
      <c r="B389" s="1" t="s">
        <v>637</v>
      </c>
      <c r="C389" s="1" t="s">
        <v>638</v>
      </c>
      <c r="D389" s="1" t="n">
        <v>21296</v>
      </c>
      <c r="E389" s="1" t="s">
        <v>57</v>
      </c>
      <c r="F389" s="201" t="n">
        <v>200025889051</v>
      </c>
      <c r="G389" s="198" t="s">
        <v>633</v>
      </c>
      <c r="H389" s="163" t="s">
        <v>269</v>
      </c>
      <c r="I389" s="161" t="n">
        <v>26</v>
      </c>
      <c r="J389" s="156" t="s">
        <v>185</v>
      </c>
      <c r="K389" s="200" t="n">
        <v>45453.1313194444</v>
      </c>
      <c r="L389" s="1" t="n">
        <v>0</v>
      </c>
      <c r="M389" s="156" t="s">
        <v>185</v>
      </c>
      <c r="N389" s="1" t="n">
        <v>388</v>
      </c>
    </row>
    <row r="390" customFormat="false" ht="14.25" hidden="false" customHeight="false" outlineLevel="0" collapsed="false">
      <c r="A390" s="1" t="n">
        <v>64</v>
      </c>
      <c r="B390" s="1" t="s">
        <v>624</v>
      </c>
      <c r="C390" s="1" t="s">
        <v>625</v>
      </c>
      <c r="D390" s="196" t="n">
        <v>2568</v>
      </c>
      <c r="E390" s="196" t="s">
        <v>51</v>
      </c>
      <c r="F390" s="201" t="n">
        <v>200025888910</v>
      </c>
      <c r="G390" s="198" t="s">
        <v>635</v>
      </c>
      <c r="H390" s="163" t="s">
        <v>418</v>
      </c>
      <c r="I390" s="161" t="n">
        <v>109</v>
      </c>
      <c r="J390" s="156" t="s">
        <v>185</v>
      </c>
      <c r="K390" s="200" t="n">
        <v>45453.1711574074</v>
      </c>
      <c r="L390" s="1" t="n">
        <v>0</v>
      </c>
      <c r="M390" s="156" t="s">
        <v>185</v>
      </c>
      <c r="N390" s="3" t="n">
        <v>389</v>
      </c>
    </row>
    <row r="391" customFormat="false" ht="14.25" hidden="false" customHeight="false" outlineLevel="0" collapsed="false">
      <c r="A391" s="1" t="n">
        <v>52</v>
      </c>
      <c r="B391" s="1" t="s">
        <v>637</v>
      </c>
      <c r="C391" s="1" t="s">
        <v>638</v>
      </c>
      <c r="D391" s="1" t="n">
        <v>21296</v>
      </c>
      <c r="E391" s="1" t="s">
        <v>57</v>
      </c>
      <c r="F391" s="198" t="n">
        <v>200025888910</v>
      </c>
      <c r="G391" s="198" t="s">
        <v>635</v>
      </c>
      <c r="H391" s="163" t="s">
        <v>418</v>
      </c>
      <c r="I391" s="161" t="n">
        <v>109</v>
      </c>
      <c r="J391" s="156" t="s">
        <v>185</v>
      </c>
      <c r="K391" s="200" t="n">
        <v>45453.2733449074</v>
      </c>
      <c r="L391" s="1" t="n">
        <v>0</v>
      </c>
      <c r="M391" s="156" t="s">
        <v>185</v>
      </c>
      <c r="N391" s="3" t="n">
        <v>390</v>
      </c>
    </row>
    <row r="392" customFormat="false" ht="14.25" hidden="false" customHeight="false" outlineLevel="0" collapsed="false">
      <c r="A392" s="1" t="n">
        <v>53</v>
      </c>
      <c r="B392" s="1" t="s">
        <v>637</v>
      </c>
      <c r="C392" s="1" t="s">
        <v>638</v>
      </c>
      <c r="D392" s="1" t="n">
        <v>21296</v>
      </c>
      <c r="E392" s="1" t="s">
        <v>57</v>
      </c>
      <c r="F392" s="198" t="n">
        <v>200025888910</v>
      </c>
      <c r="G392" s="198" t="s">
        <v>635</v>
      </c>
      <c r="H392" s="163" t="s">
        <v>418</v>
      </c>
      <c r="I392" s="161" t="n">
        <v>109</v>
      </c>
      <c r="J392" s="156" t="s">
        <v>185</v>
      </c>
      <c r="K392" s="200" t="n">
        <v>45453.2743518519</v>
      </c>
      <c r="L392" s="1" t="n">
        <v>17</v>
      </c>
      <c r="M392" s="156" t="s">
        <v>185</v>
      </c>
      <c r="N392" s="1" t="n">
        <v>391</v>
      </c>
    </row>
    <row r="393" customFormat="false" ht="14.25" hidden="false" customHeight="false" outlineLevel="0" collapsed="false">
      <c r="A393" s="1" t="n">
        <v>54</v>
      </c>
      <c r="B393" s="1" t="s">
        <v>637</v>
      </c>
      <c r="C393" s="1" t="s">
        <v>638</v>
      </c>
      <c r="D393" s="1" t="n">
        <v>21296</v>
      </c>
      <c r="E393" s="1" t="s">
        <v>57</v>
      </c>
      <c r="F393" s="198" t="n">
        <v>200025888910</v>
      </c>
      <c r="G393" s="198" t="s">
        <v>635</v>
      </c>
      <c r="H393" s="163" t="s">
        <v>418</v>
      </c>
      <c r="I393" s="161" t="n">
        <v>109</v>
      </c>
      <c r="J393" s="156" t="s">
        <v>185</v>
      </c>
      <c r="K393" s="200" t="n">
        <v>45453.2745486111</v>
      </c>
      <c r="L393" s="1" t="n">
        <v>0</v>
      </c>
      <c r="M393" s="156" t="s">
        <v>185</v>
      </c>
      <c r="N393" s="1" t="n">
        <v>392</v>
      </c>
    </row>
    <row r="394" customFormat="false" ht="14.25" hidden="false" customHeight="false" outlineLevel="0" collapsed="false">
      <c r="A394" s="1" t="n">
        <v>55</v>
      </c>
      <c r="B394" s="1" t="s">
        <v>637</v>
      </c>
      <c r="C394" s="1" t="s">
        <v>638</v>
      </c>
      <c r="D394" s="1" t="n">
        <v>21296</v>
      </c>
      <c r="E394" s="1" t="s">
        <v>57</v>
      </c>
      <c r="F394" s="198" t="n">
        <v>200025888910</v>
      </c>
      <c r="G394" s="198" t="s">
        <v>635</v>
      </c>
      <c r="H394" s="163" t="s">
        <v>418</v>
      </c>
      <c r="I394" s="161" t="n">
        <v>109</v>
      </c>
      <c r="J394" s="156" t="s">
        <v>185</v>
      </c>
      <c r="K394" s="200" t="n">
        <v>45453.3159606482</v>
      </c>
      <c r="L394" s="1" t="n">
        <v>1</v>
      </c>
      <c r="M394" s="156" t="s">
        <v>185</v>
      </c>
      <c r="N394" s="1" t="n">
        <v>393</v>
      </c>
    </row>
    <row r="395" customFormat="false" ht="14.25" hidden="false" customHeight="false" outlineLevel="0" collapsed="false">
      <c r="A395" s="1" t="n">
        <v>56</v>
      </c>
      <c r="B395" s="1" t="s">
        <v>637</v>
      </c>
      <c r="C395" s="1" t="s">
        <v>638</v>
      </c>
      <c r="D395" s="1" t="n">
        <v>21296</v>
      </c>
      <c r="E395" s="1" t="s">
        <v>57</v>
      </c>
      <c r="F395" s="198" t="n">
        <v>200025888910</v>
      </c>
      <c r="G395" s="198" t="s">
        <v>635</v>
      </c>
      <c r="H395" s="163" t="s">
        <v>418</v>
      </c>
      <c r="I395" s="161" t="n">
        <v>109</v>
      </c>
      <c r="J395" s="156" t="s">
        <v>185</v>
      </c>
      <c r="K395" s="200" t="n">
        <v>45453.4523726852</v>
      </c>
      <c r="L395" s="10" t="n">
        <v>77</v>
      </c>
      <c r="M395" s="156" t="s">
        <v>185</v>
      </c>
      <c r="N395" s="3" t="n">
        <v>394</v>
      </c>
    </row>
    <row r="396" customFormat="false" ht="14.25" hidden="false" customHeight="false" outlineLevel="0" collapsed="false">
      <c r="A396" s="1" t="n">
        <v>57</v>
      </c>
      <c r="B396" s="1" t="s">
        <v>637</v>
      </c>
      <c r="C396" s="1" t="s">
        <v>638</v>
      </c>
      <c r="D396" s="1" t="n">
        <v>21296</v>
      </c>
      <c r="E396" s="1" t="s">
        <v>57</v>
      </c>
      <c r="F396" s="198" t="n">
        <v>200025888910</v>
      </c>
      <c r="G396" s="198" t="s">
        <v>635</v>
      </c>
      <c r="H396" s="163" t="s">
        <v>418</v>
      </c>
      <c r="I396" s="161" t="n">
        <v>109</v>
      </c>
      <c r="J396" s="156" t="s">
        <v>185</v>
      </c>
      <c r="K396" s="200" t="n">
        <v>45453.4536226852</v>
      </c>
      <c r="L396" s="10" t="n">
        <v>6702</v>
      </c>
      <c r="M396" s="156" t="s">
        <v>185</v>
      </c>
      <c r="N396" s="3" t="n">
        <v>395</v>
      </c>
    </row>
    <row r="397" customFormat="false" ht="14.25" hidden="false" customHeight="false" outlineLevel="0" collapsed="false">
      <c r="A397" s="1" t="n">
        <v>58</v>
      </c>
      <c r="B397" s="1" t="s">
        <v>637</v>
      </c>
      <c r="C397" s="1" t="s">
        <v>638</v>
      </c>
      <c r="D397" s="1" t="n">
        <v>21296</v>
      </c>
      <c r="E397" s="1" t="s">
        <v>57</v>
      </c>
      <c r="F397" s="198" t="n">
        <v>200025888910</v>
      </c>
      <c r="G397" s="198" t="s">
        <v>635</v>
      </c>
      <c r="H397" s="163" t="s">
        <v>418</v>
      </c>
      <c r="I397" s="161" t="n">
        <v>109</v>
      </c>
      <c r="J397" s="156" t="s">
        <v>185</v>
      </c>
      <c r="K397" s="200" t="n">
        <v>45453.602349537</v>
      </c>
      <c r="L397" s="1" t="n">
        <v>1</v>
      </c>
      <c r="M397" s="156" t="s">
        <v>185</v>
      </c>
      <c r="N397" s="1" t="n">
        <v>396</v>
      </c>
    </row>
    <row r="398" customFormat="false" ht="14.25" hidden="false" customHeight="false" outlineLevel="0" collapsed="false">
      <c r="A398" s="1" t="n">
        <v>272</v>
      </c>
      <c r="B398" s="1" t="s">
        <v>702</v>
      </c>
      <c r="C398" s="1" t="s">
        <v>703</v>
      </c>
      <c r="D398" s="1" t="n">
        <v>11197</v>
      </c>
      <c r="E398" s="1" t="s">
        <v>53</v>
      </c>
      <c r="F398" s="201" t="n">
        <v>200025888910</v>
      </c>
      <c r="G398" s="198" t="s">
        <v>635</v>
      </c>
      <c r="H398" s="163" t="s">
        <v>418</v>
      </c>
      <c r="I398" s="161" t="n">
        <v>109</v>
      </c>
      <c r="J398" s="156" t="s">
        <v>185</v>
      </c>
      <c r="K398" s="200" t="n">
        <v>45453.6356481482</v>
      </c>
      <c r="L398" s="1" t="n">
        <v>1</v>
      </c>
      <c r="M398" s="156" t="s">
        <v>185</v>
      </c>
      <c r="N398" s="1" t="n">
        <v>397</v>
      </c>
    </row>
    <row r="399" customFormat="false" ht="14.25" hidden="false" customHeight="false" outlineLevel="0" collapsed="false">
      <c r="A399" s="1" t="n">
        <v>273</v>
      </c>
      <c r="B399" s="1" t="s">
        <v>702</v>
      </c>
      <c r="C399" s="1" t="s">
        <v>703</v>
      </c>
      <c r="D399" s="1" t="n">
        <v>11197</v>
      </c>
      <c r="E399" s="1" t="s">
        <v>53</v>
      </c>
      <c r="F399" s="201" t="n">
        <v>200025888910</v>
      </c>
      <c r="G399" s="198" t="s">
        <v>635</v>
      </c>
      <c r="H399" s="163" t="s">
        <v>418</v>
      </c>
      <c r="I399" s="161" t="n">
        <v>109</v>
      </c>
      <c r="J399" s="156" t="s">
        <v>185</v>
      </c>
      <c r="K399" s="200" t="n">
        <v>45453.637037037</v>
      </c>
      <c r="L399" s="1" t="n">
        <v>1</v>
      </c>
      <c r="M399" s="156" t="s">
        <v>185</v>
      </c>
      <c r="N399" s="1" t="n">
        <v>398</v>
      </c>
    </row>
    <row r="400" customFormat="false" ht="14.25" hidden="false" customHeight="false" outlineLevel="0" collapsed="false">
      <c r="A400" s="1" t="n">
        <v>274</v>
      </c>
      <c r="B400" s="1" t="s">
        <v>702</v>
      </c>
      <c r="C400" s="1" t="s">
        <v>703</v>
      </c>
      <c r="D400" s="1" t="n">
        <v>11197</v>
      </c>
      <c r="E400" s="1" t="s">
        <v>53</v>
      </c>
      <c r="F400" s="201" t="n">
        <v>200025888910</v>
      </c>
      <c r="G400" s="198" t="s">
        <v>635</v>
      </c>
      <c r="H400" s="163" t="s">
        <v>418</v>
      </c>
      <c r="I400" s="161" t="n">
        <v>109</v>
      </c>
      <c r="J400" s="156" t="s">
        <v>185</v>
      </c>
      <c r="K400" s="200" t="n">
        <v>45453.6373032407</v>
      </c>
      <c r="L400" s="1" t="n">
        <v>1</v>
      </c>
      <c r="M400" s="156" t="s">
        <v>185</v>
      </c>
      <c r="N400" s="3" t="n">
        <v>399</v>
      </c>
    </row>
    <row r="401" customFormat="false" ht="14.25" hidden="false" customHeight="false" outlineLevel="0" collapsed="false">
      <c r="A401" s="1" t="n">
        <v>275</v>
      </c>
      <c r="B401" s="1" t="s">
        <v>702</v>
      </c>
      <c r="C401" s="1" t="s">
        <v>703</v>
      </c>
      <c r="D401" s="1" t="n">
        <v>11197</v>
      </c>
      <c r="E401" s="1" t="s">
        <v>53</v>
      </c>
      <c r="F401" s="201" t="n">
        <v>200025888910</v>
      </c>
      <c r="G401" s="198" t="s">
        <v>635</v>
      </c>
      <c r="H401" s="163" t="s">
        <v>418</v>
      </c>
      <c r="I401" s="161" t="n">
        <v>109</v>
      </c>
      <c r="J401" s="156" t="s">
        <v>185</v>
      </c>
      <c r="K401" s="200" t="n">
        <v>45453.6383217593</v>
      </c>
      <c r="L401" s="1" t="n">
        <v>1</v>
      </c>
      <c r="M401" s="156" t="s">
        <v>185</v>
      </c>
      <c r="N401" s="3" t="n">
        <v>400</v>
      </c>
    </row>
    <row r="402" customFormat="false" ht="14.25" hidden="false" customHeight="false" outlineLevel="0" collapsed="false">
      <c r="A402" s="1" t="n">
        <v>276</v>
      </c>
      <c r="B402" s="1" t="s">
        <v>702</v>
      </c>
      <c r="C402" s="1" t="s">
        <v>703</v>
      </c>
      <c r="D402" s="1" t="n">
        <v>11197</v>
      </c>
      <c r="E402" s="1" t="s">
        <v>53</v>
      </c>
      <c r="F402" s="201" t="n">
        <v>200025888910</v>
      </c>
      <c r="G402" s="198" t="s">
        <v>635</v>
      </c>
      <c r="H402" s="163" t="s">
        <v>418</v>
      </c>
      <c r="I402" s="161" t="n">
        <v>109</v>
      </c>
      <c r="J402" s="156" t="s">
        <v>185</v>
      </c>
      <c r="K402" s="200" t="n">
        <v>45453.6383449074</v>
      </c>
      <c r="L402" s="207" t="n">
        <v>54</v>
      </c>
      <c r="M402" s="156" t="s">
        <v>185</v>
      </c>
      <c r="N402" s="1" t="n">
        <v>401</v>
      </c>
    </row>
    <row r="403" customFormat="false" ht="14.25" hidden="false" customHeight="false" outlineLevel="0" collapsed="false">
      <c r="A403" s="1" t="n">
        <v>277</v>
      </c>
      <c r="B403" s="1" t="s">
        <v>702</v>
      </c>
      <c r="C403" s="1" t="s">
        <v>703</v>
      </c>
      <c r="D403" s="1" t="n">
        <v>11197</v>
      </c>
      <c r="E403" s="1" t="s">
        <v>53</v>
      </c>
      <c r="F403" s="201" t="n">
        <v>200025889003</v>
      </c>
      <c r="G403" s="198" t="s">
        <v>706</v>
      </c>
      <c r="H403" s="163" t="s">
        <v>251</v>
      </c>
      <c r="I403" s="161" t="n">
        <v>22</v>
      </c>
      <c r="J403" s="156" t="s">
        <v>185</v>
      </c>
      <c r="K403" s="200" t="n">
        <v>45453.6389699074</v>
      </c>
      <c r="L403" s="1" t="n">
        <v>0</v>
      </c>
      <c r="M403" s="156" t="s">
        <v>185</v>
      </c>
      <c r="N403" s="1" t="n">
        <v>402</v>
      </c>
    </row>
    <row r="404" customFormat="false" ht="14.25" hidden="false" customHeight="false" outlineLevel="0" collapsed="false">
      <c r="A404" s="1" t="n">
        <v>278</v>
      </c>
      <c r="B404" s="1" t="s">
        <v>702</v>
      </c>
      <c r="C404" s="1" t="s">
        <v>703</v>
      </c>
      <c r="D404" s="1" t="n">
        <v>11197</v>
      </c>
      <c r="E404" s="1" t="s">
        <v>53</v>
      </c>
      <c r="F404" s="201" t="n">
        <v>200025889003</v>
      </c>
      <c r="G404" s="198" t="s">
        <v>706</v>
      </c>
      <c r="H404" s="163" t="s">
        <v>251</v>
      </c>
      <c r="I404" s="161" t="n">
        <v>22</v>
      </c>
      <c r="J404" s="156" t="s">
        <v>185</v>
      </c>
      <c r="K404" s="200" t="n">
        <v>45453.6389814815</v>
      </c>
      <c r="L404" s="1" t="n">
        <v>5</v>
      </c>
      <c r="M404" s="156" t="s">
        <v>185</v>
      </c>
      <c r="N404" s="1" t="n">
        <v>403</v>
      </c>
    </row>
    <row r="405" customFormat="false" ht="14.25" hidden="false" customHeight="false" outlineLevel="0" collapsed="false">
      <c r="A405" s="1" t="n">
        <v>65</v>
      </c>
      <c r="B405" s="1" t="s">
        <v>624</v>
      </c>
      <c r="C405" s="1" t="s">
        <v>625</v>
      </c>
      <c r="D405" s="196" t="n">
        <v>2568</v>
      </c>
      <c r="E405" s="196" t="s">
        <v>51</v>
      </c>
      <c r="F405" s="201" t="n">
        <v>200025889446</v>
      </c>
      <c r="G405" s="198" t="s">
        <v>636</v>
      </c>
      <c r="H405" s="163" t="s">
        <v>233</v>
      </c>
      <c r="I405" s="161" t="n">
        <v>17</v>
      </c>
      <c r="J405" s="156" t="s">
        <v>185</v>
      </c>
      <c r="K405" s="200" t="n">
        <v>45453.6467824074</v>
      </c>
      <c r="L405" s="1" t="n">
        <v>1</v>
      </c>
      <c r="M405" s="156" t="s">
        <v>185</v>
      </c>
      <c r="N405" s="3" t="n">
        <v>404</v>
      </c>
    </row>
    <row r="406" customFormat="false" ht="14.25" hidden="false" customHeight="false" outlineLevel="0" collapsed="false">
      <c r="A406" s="1" t="n">
        <v>279</v>
      </c>
      <c r="B406" s="1" t="s">
        <v>702</v>
      </c>
      <c r="C406" s="1" t="s">
        <v>703</v>
      </c>
      <c r="D406" s="1" t="n">
        <v>11197</v>
      </c>
      <c r="E406" s="1" t="s">
        <v>53</v>
      </c>
      <c r="F406" s="201" t="n">
        <v>200025888910</v>
      </c>
      <c r="G406" s="198" t="s">
        <v>635</v>
      </c>
      <c r="H406" s="163" t="s">
        <v>418</v>
      </c>
      <c r="I406" s="161" t="n">
        <v>109</v>
      </c>
      <c r="J406" s="156" t="s">
        <v>185</v>
      </c>
      <c r="K406" s="200" t="n">
        <v>45453.6561342593</v>
      </c>
      <c r="L406" s="1" t="n">
        <v>0</v>
      </c>
      <c r="M406" s="156" t="s">
        <v>185</v>
      </c>
      <c r="N406" s="3" t="n">
        <v>405</v>
      </c>
    </row>
    <row r="407" customFormat="false" ht="14.25" hidden="false" customHeight="false" outlineLevel="0" collapsed="false">
      <c r="A407" s="1" t="n">
        <v>280</v>
      </c>
      <c r="B407" s="1" t="s">
        <v>702</v>
      </c>
      <c r="C407" s="1" t="s">
        <v>703</v>
      </c>
      <c r="D407" s="1" t="n">
        <v>11197</v>
      </c>
      <c r="E407" s="1" t="s">
        <v>53</v>
      </c>
      <c r="F407" s="201" t="n">
        <v>200025888910</v>
      </c>
      <c r="G407" s="198" t="s">
        <v>635</v>
      </c>
      <c r="H407" s="163" t="s">
        <v>418</v>
      </c>
      <c r="I407" s="161" t="n">
        <v>109</v>
      </c>
      <c r="J407" s="156" t="s">
        <v>185</v>
      </c>
      <c r="K407" s="200" t="n">
        <v>45453.6572222222</v>
      </c>
      <c r="L407" s="1" t="n">
        <v>2</v>
      </c>
      <c r="M407" s="156" t="s">
        <v>185</v>
      </c>
      <c r="N407" s="1" t="n">
        <v>406</v>
      </c>
    </row>
    <row r="408" customFormat="false" ht="14.25" hidden="false" customHeight="false" outlineLevel="0" collapsed="false">
      <c r="A408" s="1" t="n">
        <v>281</v>
      </c>
      <c r="B408" s="1" t="s">
        <v>702</v>
      </c>
      <c r="C408" s="1" t="s">
        <v>703</v>
      </c>
      <c r="D408" s="1" t="n">
        <v>11197</v>
      </c>
      <c r="E408" s="1" t="s">
        <v>53</v>
      </c>
      <c r="F408" s="201" t="n">
        <v>200025888910</v>
      </c>
      <c r="G408" s="198" t="s">
        <v>635</v>
      </c>
      <c r="H408" s="163" t="s">
        <v>418</v>
      </c>
      <c r="I408" s="161" t="n">
        <v>109</v>
      </c>
      <c r="J408" s="156" t="s">
        <v>185</v>
      </c>
      <c r="K408" s="200" t="n">
        <v>45453.6577430556</v>
      </c>
      <c r="L408" s="1" t="n">
        <v>0</v>
      </c>
      <c r="M408" s="156" t="s">
        <v>185</v>
      </c>
      <c r="N408" s="1" t="n">
        <v>407</v>
      </c>
    </row>
    <row r="409" customFormat="false" ht="14.25" hidden="false" customHeight="false" outlineLevel="0" collapsed="false">
      <c r="A409" s="1" t="n">
        <v>282</v>
      </c>
      <c r="B409" s="1" t="s">
        <v>702</v>
      </c>
      <c r="C409" s="1" t="s">
        <v>703</v>
      </c>
      <c r="D409" s="1" t="n">
        <v>11197</v>
      </c>
      <c r="E409" s="1" t="s">
        <v>53</v>
      </c>
      <c r="F409" s="201" t="n">
        <v>200025888910</v>
      </c>
      <c r="G409" s="198" t="s">
        <v>635</v>
      </c>
      <c r="H409" s="163" t="s">
        <v>418</v>
      </c>
      <c r="I409" s="161" t="n">
        <v>109</v>
      </c>
      <c r="J409" s="156" t="s">
        <v>185</v>
      </c>
      <c r="K409" s="200" t="n">
        <v>45453.6577430556</v>
      </c>
      <c r="L409" s="1" t="n">
        <v>1</v>
      </c>
      <c r="M409" s="156" t="s">
        <v>185</v>
      </c>
      <c r="N409" s="1" t="n">
        <v>408</v>
      </c>
    </row>
    <row r="410" customFormat="false" ht="14.25" hidden="false" customHeight="false" outlineLevel="0" collapsed="false">
      <c r="A410" s="1" t="n">
        <v>29</v>
      </c>
      <c r="B410" s="1" t="s">
        <v>684</v>
      </c>
      <c r="C410" s="1" t="s">
        <v>685</v>
      </c>
      <c r="D410" s="1" t="n">
        <v>21296</v>
      </c>
      <c r="E410" s="1" t="s">
        <v>57</v>
      </c>
      <c r="F410" s="201" t="n">
        <v>200025889791</v>
      </c>
      <c r="G410" s="198" t="s">
        <v>635</v>
      </c>
      <c r="H410" s="163" t="s">
        <v>418</v>
      </c>
      <c r="I410" s="161" t="n">
        <v>109</v>
      </c>
      <c r="J410" s="156" t="s">
        <v>185</v>
      </c>
      <c r="K410" s="200" t="n">
        <v>45453.6582638889</v>
      </c>
      <c r="L410" s="1" t="n">
        <v>0</v>
      </c>
      <c r="M410" s="156" t="s">
        <v>185</v>
      </c>
      <c r="N410" s="3" t="n">
        <v>409</v>
      </c>
    </row>
    <row r="411" customFormat="false" ht="14.25" hidden="false" customHeight="false" outlineLevel="0" collapsed="false">
      <c r="A411" s="1" t="n">
        <v>284</v>
      </c>
      <c r="B411" s="1" t="s">
        <v>702</v>
      </c>
      <c r="C411" s="1" t="s">
        <v>703</v>
      </c>
      <c r="D411" s="1" t="n">
        <v>11197</v>
      </c>
      <c r="E411" s="1" t="s">
        <v>53</v>
      </c>
      <c r="F411" s="201" t="n">
        <v>200025888910</v>
      </c>
      <c r="G411" s="198" t="s">
        <v>635</v>
      </c>
      <c r="H411" s="163" t="s">
        <v>418</v>
      </c>
      <c r="I411" s="161" t="n">
        <v>109</v>
      </c>
      <c r="J411" s="156" t="s">
        <v>185</v>
      </c>
      <c r="K411" s="200" t="n">
        <v>45453.658275463</v>
      </c>
      <c r="L411" s="1" t="n">
        <v>1</v>
      </c>
      <c r="M411" s="156" t="s">
        <v>185</v>
      </c>
      <c r="N411" s="3" t="n">
        <v>410</v>
      </c>
    </row>
    <row r="412" customFormat="false" ht="14.25" hidden="false" customHeight="false" outlineLevel="0" collapsed="false">
      <c r="A412" s="1" t="n">
        <v>285</v>
      </c>
      <c r="B412" s="1" t="s">
        <v>702</v>
      </c>
      <c r="C412" s="1" t="s">
        <v>703</v>
      </c>
      <c r="D412" s="1" t="n">
        <v>11197</v>
      </c>
      <c r="E412" s="1" t="s">
        <v>53</v>
      </c>
      <c r="F412" s="201" t="n">
        <v>200025888910</v>
      </c>
      <c r="G412" s="198" t="s">
        <v>635</v>
      </c>
      <c r="H412" s="163" t="s">
        <v>418</v>
      </c>
      <c r="I412" s="161" t="n">
        <v>109</v>
      </c>
      <c r="J412" s="156" t="s">
        <v>185</v>
      </c>
      <c r="K412" s="200" t="n">
        <v>45453.6586111111</v>
      </c>
      <c r="L412" s="1" t="n">
        <v>0</v>
      </c>
      <c r="M412" s="156" t="s">
        <v>185</v>
      </c>
      <c r="N412" s="1" t="n">
        <v>411</v>
      </c>
    </row>
    <row r="413" customFormat="false" ht="14.25" hidden="false" customHeight="false" outlineLevel="0" collapsed="false">
      <c r="A413" s="1" t="n">
        <v>286</v>
      </c>
      <c r="B413" s="1" t="s">
        <v>702</v>
      </c>
      <c r="C413" s="1" t="s">
        <v>703</v>
      </c>
      <c r="D413" s="1" t="n">
        <v>11197</v>
      </c>
      <c r="E413" s="1" t="s">
        <v>53</v>
      </c>
      <c r="F413" s="201" t="n">
        <v>200025888910</v>
      </c>
      <c r="G413" s="198" t="s">
        <v>635</v>
      </c>
      <c r="H413" s="163" t="s">
        <v>418</v>
      </c>
      <c r="I413" s="161" t="n">
        <v>109</v>
      </c>
      <c r="J413" s="156" t="s">
        <v>185</v>
      </c>
      <c r="K413" s="200" t="n">
        <v>45453.6586226852</v>
      </c>
      <c r="L413" s="1" t="n">
        <v>0</v>
      </c>
      <c r="M413" s="156" t="s">
        <v>185</v>
      </c>
      <c r="N413" s="1" t="n">
        <v>412</v>
      </c>
    </row>
    <row r="414" customFormat="false" ht="14.25" hidden="false" customHeight="false" outlineLevel="0" collapsed="false">
      <c r="A414" s="1" t="n">
        <v>287</v>
      </c>
      <c r="B414" s="1" t="s">
        <v>702</v>
      </c>
      <c r="C414" s="1" t="s">
        <v>703</v>
      </c>
      <c r="D414" s="1" t="n">
        <v>11197</v>
      </c>
      <c r="E414" s="1" t="s">
        <v>53</v>
      </c>
      <c r="F414" s="201" t="n">
        <v>200025888910</v>
      </c>
      <c r="G414" s="198" t="s">
        <v>635</v>
      </c>
      <c r="H414" s="163" t="s">
        <v>418</v>
      </c>
      <c r="I414" s="161" t="n">
        <v>109</v>
      </c>
      <c r="J414" s="156" t="s">
        <v>185</v>
      </c>
      <c r="K414" s="200" t="n">
        <v>45453.6597685185</v>
      </c>
      <c r="L414" s="1" t="n">
        <v>0</v>
      </c>
      <c r="M414" s="156" t="s">
        <v>185</v>
      </c>
      <c r="N414" s="1" t="n">
        <v>413</v>
      </c>
    </row>
    <row r="415" customFormat="false" ht="14.25" hidden="false" customHeight="false" outlineLevel="0" collapsed="false">
      <c r="A415" s="1" t="n">
        <v>288</v>
      </c>
      <c r="B415" s="1" t="s">
        <v>702</v>
      </c>
      <c r="C415" s="1" t="s">
        <v>703</v>
      </c>
      <c r="D415" s="1" t="n">
        <v>11197</v>
      </c>
      <c r="E415" s="1" t="s">
        <v>53</v>
      </c>
      <c r="F415" s="201" t="n">
        <v>200025888910</v>
      </c>
      <c r="G415" s="198" t="s">
        <v>635</v>
      </c>
      <c r="H415" s="163" t="s">
        <v>418</v>
      </c>
      <c r="I415" s="161" t="n">
        <v>109</v>
      </c>
      <c r="J415" s="156" t="s">
        <v>185</v>
      </c>
      <c r="K415" s="200" t="n">
        <v>45453.660462963</v>
      </c>
      <c r="L415" s="1" t="n">
        <v>2</v>
      </c>
      <c r="M415" s="156" t="s">
        <v>185</v>
      </c>
      <c r="N415" s="3" t="n">
        <v>414</v>
      </c>
    </row>
    <row r="416" customFormat="false" ht="14.25" hidden="false" customHeight="false" outlineLevel="0" collapsed="false">
      <c r="A416" s="1" t="n">
        <v>289</v>
      </c>
      <c r="B416" s="1" t="s">
        <v>702</v>
      </c>
      <c r="C416" s="1" t="s">
        <v>703</v>
      </c>
      <c r="D416" s="1" t="n">
        <v>11197</v>
      </c>
      <c r="E416" s="1" t="s">
        <v>53</v>
      </c>
      <c r="F416" s="201" t="n">
        <v>200025888910</v>
      </c>
      <c r="G416" s="198" t="s">
        <v>635</v>
      </c>
      <c r="H416" s="163" t="s">
        <v>418</v>
      </c>
      <c r="I416" s="161" t="n">
        <v>109</v>
      </c>
      <c r="J416" s="156" t="s">
        <v>185</v>
      </c>
      <c r="K416" s="200" t="n">
        <v>45453.6606944444</v>
      </c>
      <c r="L416" s="1" t="n">
        <v>0</v>
      </c>
      <c r="M416" s="156" t="s">
        <v>185</v>
      </c>
      <c r="N416" s="3" t="n">
        <v>415</v>
      </c>
    </row>
    <row r="417" customFormat="false" ht="14.25" hidden="false" customHeight="false" outlineLevel="0" collapsed="false">
      <c r="A417" s="1" t="n">
        <v>290</v>
      </c>
      <c r="B417" s="1" t="s">
        <v>702</v>
      </c>
      <c r="C417" s="1" t="s">
        <v>703</v>
      </c>
      <c r="D417" s="1" t="n">
        <v>11197</v>
      </c>
      <c r="E417" s="1" t="s">
        <v>53</v>
      </c>
      <c r="F417" s="201" t="n">
        <v>200025888910</v>
      </c>
      <c r="G417" s="198" t="s">
        <v>635</v>
      </c>
      <c r="H417" s="163" t="s">
        <v>418</v>
      </c>
      <c r="I417" s="161" t="n">
        <v>109</v>
      </c>
      <c r="J417" s="156" t="s">
        <v>185</v>
      </c>
      <c r="K417" s="200" t="n">
        <v>45453.6607060185</v>
      </c>
      <c r="L417" s="1" t="n">
        <v>0</v>
      </c>
      <c r="M417" s="156" t="s">
        <v>185</v>
      </c>
      <c r="N417" s="1" t="n">
        <v>416</v>
      </c>
    </row>
    <row r="418" customFormat="false" ht="14.25" hidden="false" customHeight="false" outlineLevel="0" collapsed="false">
      <c r="A418" s="1" t="n">
        <v>291</v>
      </c>
      <c r="B418" s="1" t="s">
        <v>702</v>
      </c>
      <c r="C418" s="1" t="s">
        <v>703</v>
      </c>
      <c r="D418" s="1" t="n">
        <v>11197</v>
      </c>
      <c r="E418" s="1" t="s">
        <v>53</v>
      </c>
      <c r="F418" s="201" t="n">
        <v>200025888910</v>
      </c>
      <c r="G418" s="198" t="s">
        <v>635</v>
      </c>
      <c r="H418" s="163" t="s">
        <v>418</v>
      </c>
      <c r="I418" s="161" t="n">
        <v>109</v>
      </c>
      <c r="J418" s="156" t="s">
        <v>185</v>
      </c>
      <c r="K418" s="200" t="n">
        <v>45453.6612962963</v>
      </c>
      <c r="L418" s="1" t="n">
        <v>0</v>
      </c>
      <c r="M418" s="156" t="s">
        <v>185</v>
      </c>
      <c r="N418" s="1" t="n">
        <v>417</v>
      </c>
    </row>
    <row r="419" customFormat="false" ht="14.25" hidden="false" customHeight="false" outlineLevel="0" collapsed="false">
      <c r="A419" s="1" t="n">
        <v>292</v>
      </c>
      <c r="B419" s="1" t="s">
        <v>702</v>
      </c>
      <c r="C419" s="1" t="s">
        <v>703</v>
      </c>
      <c r="D419" s="1" t="n">
        <v>11197</v>
      </c>
      <c r="E419" s="1" t="s">
        <v>53</v>
      </c>
      <c r="F419" s="201" t="n">
        <v>200025888910</v>
      </c>
      <c r="G419" s="198" t="s">
        <v>635</v>
      </c>
      <c r="H419" s="163" t="s">
        <v>418</v>
      </c>
      <c r="I419" s="161" t="n">
        <v>109</v>
      </c>
      <c r="J419" s="156" t="s">
        <v>185</v>
      </c>
      <c r="K419" s="200" t="n">
        <v>45453.6612962963</v>
      </c>
      <c r="L419" s="1" t="n">
        <v>1</v>
      </c>
      <c r="M419" s="156" t="s">
        <v>185</v>
      </c>
      <c r="N419" s="1" t="n">
        <v>418</v>
      </c>
    </row>
    <row r="420" customFormat="false" ht="14.25" hidden="false" customHeight="false" outlineLevel="0" collapsed="false">
      <c r="A420" s="1" t="n">
        <v>293</v>
      </c>
      <c r="B420" s="1" t="s">
        <v>702</v>
      </c>
      <c r="C420" s="1" t="s">
        <v>703</v>
      </c>
      <c r="D420" s="1" t="n">
        <v>11197</v>
      </c>
      <c r="E420" s="1" t="s">
        <v>53</v>
      </c>
      <c r="F420" s="201" t="n">
        <v>200025888910</v>
      </c>
      <c r="G420" s="198" t="s">
        <v>635</v>
      </c>
      <c r="H420" s="163" t="s">
        <v>418</v>
      </c>
      <c r="I420" s="161" t="n">
        <v>109</v>
      </c>
      <c r="J420" s="156" t="s">
        <v>185</v>
      </c>
      <c r="K420" s="200" t="n">
        <v>45453.6614814815</v>
      </c>
      <c r="L420" s="1" t="n">
        <v>1</v>
      </c>
      <c r="M420" s="156" t="s">
        <v>185</v>
      </c>
      <c r="N420" s="3" t="n">
        <v>419</v>
      </c>
    </row>
    <row r="421" customFormat="false" ht="14.25" hidden="false" customHeight="false" outlineLevel="0" collapsed="false">
      <c r="A421" s="1" t="n">
        <v>294</v>
      </c>
      <c r="B421" s="1" t="s">
        <v>702</v>
      </c>
      <c r="C421" s="1" t="s">
        <v>703</v>
      </c>
      <c r="D421" s="1" t="n">
        <v>11197</v>
      </c>
      <c r="E421" s="1" t="s">
        <v>53</v>
      </c>
      <c r="F421" s="201" t="n">
        <v>200025888910</v>
      </c>
      <c r="G421" s="198" t="s">
        <v>635</v>
      </c>
      <c r="H421" s="163" t="s">
        <v>418</v>
      </c>
      <c r="I421" s="161" t="n">
        <v>109</v>
      </c>
      <c r="J421" s="156" t="s">
        <v>185</v>
      </c>
      <c r="K421" s="200" t="n">
        <v>45453.6614930556</v>
      </c>
      <c r="L421" s="1" t="n">
        <v>0</v>
      </c>
      <c r="M421" s="156" t="s">
        <v>185</v>
      </c>
      <c r="N421" s="3" t="n">
        <v>420</v>
      </c>
    </row>
    <row r="422" customFormat="false" ht="14.25" hidden="false" customHeight="false" outlineLevel="0" collapsed="false">
      <c r="A422" s="1" t="n">
        <v>295</v>
      </c>
      <c r="B422" s="1" t="s">
        <v>702</v>
      </c>
      <c r="C422" s="1" t="s">
        <v>703</v>
      </c>
      <c r="D422" s="1" t="n">
        <v>11197</v>
      </c>
      <c r="E422" s="1" t="s">
        <v>53</v>
      </c>
      <c r="F422" s="201" t="n">
        <v>200025888910</v>
      </c>
      <c r="G422" s="198" t="s">
        <v>635</v>
      </c>
      <c r="H422" s="163" t="s">
        <v>418</v>
      </c>
      <c r="I422" s="161" t="n">
        <v>109</v>
      </c>
      <c r="J422" s="156" t="s">
        <v>185</v>
      </c>
      <c r="K422" s="200" t="n">
        <v>45453.6617361111</v>
      </c>
      <c r="L422" s="1" t="n">
        <v>1</v>
      </c>
      <c r="M422" s="156" t="s">
        <v>185</v>
      </c>
      <c r="N422" s="1" t="n">
        <v>421</v>
      </c>
    </row>
    <row r="423" customFormat="false" ht="14.25" hidden="false" customHeight="false" outlineLevel="0" collapsed="false">
      <c r="A423" s="1" t="n">
        <v>296</v>
      </c>
      <c r="B423" s="1" t="s">
        <v>702</v>
      </c>
      <c r="C423" s="1" t="s">
        <v>703</v>
      </c>
      <c r="D423" s="1" t="n">
        <v>11197</v>
      </c>
      <c r="E423" s="1" t="s">
        <v>53</v>
      </c>
      <c r="F423" s="201" t="n">
        <v>200025888910</v>
      </c>
      <c r="G423" s="198" t="s">
        <v>635</v>
      </c>
      <c r="H423" s="163" t="s">
        <v>418</v>
      </c>
      <c r="I423" s="161" t="n">
        <v>109</v>
      </c>
      <c r="J423" s="156" t="s">
        <v>185</v>
      </c>
      <c r="K423" s="200" t="n">
        <v>45453.6617592593</v>
      </c>
      <c r="L423" s="1" t="n">
        <v>0</v>
      </c>
      <c r="M423" s="156" t="s">
        <v>185</v>
      </c>
      <c r="N423" s="1" t="n">
        <v>422</v>
      </c>
    </row>
    <row r="424" customFormat="false" ht="14.25" hidden="false" customHeight="false" outlineLevel="0" collapsed="false">
      <c r="A424" s="1" t="n">
        <v>297</v>
      </c>
      <c r="B424" s="1" t="s">
        <v>702</v>
      </c>
      <c r="C424" s="1" t="s">
        <v>703</v>
      </c>
      <c r="D424" s="1" t="n">
        <v>11197</v>
      </c>
      <c r="E424" s="1" t="s">
        <v>53</v>
      </c>
      <c r="F424" s="201" t="n">
        <v>200025888910</v>
      </c>
      <c r="G424" s="198" t="s">
        <v>635</v>
      </c>
      <c r="H424" s="163" t="s">
        <v>418</v>
      </c>
      <c r="I424" s="161" t="n">
        <v>109</v>
      </c>
      <c r="J424" s="156" t="s">
        <v>185</v>
      </c>
      <c r="K424" s="200" t="n">
        <v>45453.6619675926</v>
      </c>
      <c r="L424" s="1" t="n">
        <v>2</v>
      </c>
      <c r="M424" s="156" t="s">
        <v>185</v>
      </c>
      <c r="N424" s="1" t="n">
        <v>423</v>
      </c>
    </row>
    <row r="425" customFormat="false" ht="14.25" hidden="false" customHeight="false" outlineLevel="0" collapsed="false">
      <c r="A425" s="1" t="n">
        <v>298</v>
      </c>
      <c r="B425" s="1" t="s">
        <v>702</v>
      </c>
      <c r="C425" s="1" t="s">
        <v>703</v>
      </c>
      <c r="D425" s="1" t="n">
        <v>11197</v>
      </c>
      <c r="E425" s="1" t="s">
        <v>53</v>
      </c>
      <c r="F425" s="201" t="n">
        <v>200025888910</v>
      </c>
      <c r="G425" s="198" t="s">
        <v>635</v>
      </c>
      <c r="H425" s="163" t="s">
        <v>418</v>
      </c>
      <c r="I425" s="161" t="n">
        <v>109</v>
      </c>
      <c r="J425" s="156" t="s">
        <v>185</v>
      </c>
      <c r="K425" s="200" t="n">
        <v>45453.6627199074</v>
      </c>
      <c r="L425" s="1" t="n">
        <v>25</v>
      </c>
      <c r="M425" s="156" t="s">
        <v>185</v>
      </c>
      <c r="N425" s="3" t="n">
        <v>424</v>
      </c>
    </row>
    <row r="426" customFormat="false" ht="14.25" hidden="false" customHeight="false" outlineLevel="0" collapsed="false">
      <c r="A426" s="1" t="n">
        <v>299</v>
      </c>
      <c r="B426" s="1" t="s">
        <v>702</v>
      </c>
      <c r="C426" s="1" t="s">
        <v>703</v>
      </c>
      <c r="D426" s="1" t="n">
        <v>11197</v>
      </c>
      <c r="E426" s="1" t="s">
        <v>53</v>
      </c>
      <c r="F426" s="201" t="n">
        <v>200025888910</v>
      </c>
      <c r="G426" s="198" t="s">
        <v>635</v>
      </c>
      <c r="H426" s="163" t="s">
        <v>418</v>
      </c>
      <c r="I426" s="161" t="n">
        <v>109</v>
      </c>
      <c r="J426" s="156" t="s">
        <v>185</v>
      </c>
      <c r="K426" s="200" t="n">
        <v>45453.6630208333</v>
      </c>
      <c r="L426" s="1" t="n">
        <v>0</v>
      </c>
      <c r="M426" s="156" t="s">
        <v>185</v>
      </c>
      <c r="N426" s="3" t="n">
        <v>425</v>
      </c>
    </row>
    <row r="427" customFormat="false" ht="14.25" hidden="false" customHeight="false" outlineLevel="0" collapsed="false">
      <c r="A427" s="1" t="n">
        <v>300</v>
      </c>
      <c r="B427" s="1" t="s">
        <v>702</v>
      </c>
      <c r="C427" s="1" t="s">
        <v>703</v>
      </c>
      <c r="D427" s="1" t="n">
        <v>11197</v>
      </c>
      <c r="E427" s="1" t="s">
        <v>53</v>
      </c>
      <c r="F427" s="201" t="n">
        <v>200025888910</v>
      </c>
      <c r="G427" s="198" t="s">
        <v>635</v>
      </c>
      <c r="H427" s="163" t="s">
        <v>418</v>
      </c>
      <c r="I427" s="161" t="n">
        <v>109</v>
      </c>
      <c r="J427" s="156" t="s">
        <v>185</v>
      </c>
      <c r="K427" s="200" t="n">
        <v>45453.6632986111</v>
      </c>
      <c r="L427" s="1" t="n">
        <v>0</v>
      </c>
      <c r="M427" s="156" t="s">
        <v>185</v>
      </c>
      <c r="N427" s="1" t="n">
        <v>426</v>
      </c>
    </row>
    <row r="428" customFormat="false" ht="14.25" hidden="false" customHeight="false" outlineLevel="0" collapsed="false">
      <c r="A428" s="1" t="n">
        <v>301</v>
      </c>
      <c r="B428" s="1" t="s">
        <v>702</v>
      </c>
      <c r="C428" s="1" t="s">
        <v>703</v>
      </c>
      <c r="D428" s="1" t="n">
        <v>11197</v>
      </c>
      <c r="E428" s="1" t="s">
        <v>53</v>
      </c>
      <c r="F428" s="201" t="n">
        <v>200025888910</v>
      </c>
      <c r="G428" s="198" t="s">
        <v>635</v>
      </c>
      <c r="H428" s="163" t="s">
        <v>418</v>
      </c>
      <c r="I428" s="161" t="n">
        <v>109</v>
      </c>
      <c r="J428" s="156" t="s">
        <v>185</v>
      </c>
      <c r="K428" s="200" t="n">
        <v>45453.6635648148</v>
      </c>
      <c r="L428" s="1" t="n">
        <v>0</v>
      </c>
      <c r="M428" s="156" t="s">
        <v>185</v>
      </c>
      <c r="N428" s="1" t="n">
        <v>427</v>
      </c>
    </row>
    <row r="429" customFormat="false" ht="14.25" hidden="false" customHeight="false" outlineLevel="0" collapsed="false">
      <c r="A429" s="1" t="n">
        <v>302</v>
      </c>
      <c r="B429" s="1" t="s">
        <v>702</v>
      </c>
      <c r="C429" s="1" t="s">
        <v>703</v>
      </c>
      <c r="D429" s="1" t="n">
        <v>11197</v>
      </c>
      <c r="E429" s="1" t="s">
        <v>53</v>
      </c>
      <c r="F429" s="201" t="n">
        <v>200025888910</v>
      </c>
      <c r="G429" s="198" t="s">
        <v>635</v>
      </c>
      <c r="H429" s="163" t="s">
        <v>418</v>
      </c>
      <c r="I429" s="161" t="n">
        <v>109</v>
      </c>
      <c r="J429" s="156" t="s">
        <v>185</v>
      </c>
      <c r="K429" s="200" t="n">
        <v>45453.6644444445</v>
      </c>
      <c r="L429" s="1" t="n">
        <v>0</v>
      </c>
      <c r="M429" s="156" t="s">
        <v>185</v>
      </c>
      <c r="N429" s="1" t="n">
        <v>428</v>
      </c>
    </row>
    <row r="430" customFormat="false" ht="14.25" hidden="false" customHeight="false" outlineLevel="0" collapsed="false">
      <c r="A430" s="1" t="n">
        <v>303</v>
      </c>
      <c r="B430" s="1" t="s">
        <v>702</v>
      </c>
      <c r="C430" s="1" t="s">
        <v>703</v>
      </c>
      <c r="D430" s="1" t="n">
        <v>11197</v>
      </c>
      <c r="E430" s="1" t="s">
        <v>53</v>
      </c>
      <c r="F430" s="201" t="n">
        <v>200025888910</v>
      </c>
      <c r="G430" s="198" t="s">
        <v>635</v>
      </c>
      <c r="H430" s="163" t="s">
        <v>418</v>
      </c>
      <c r="I430" s="161" t="n">
        <v>109</v>
      </c>
      <c r="J430" s="156" t="s">
        <v>185</v>
      </c>
      <c r="K430" s="200" t="n">
        <v>45453.6646759259</v>
      </c>
      <c r="L430" s="1" t="n">
        <v>1</v>
      </c>
      <c r="M430" s="156" t="s">
        <v>185</v>
      </c>
      <c r="N430" s="3" t="n">
        <v>429</v>
      </c>
    </row>
    <row r="431" customFormat="false" ht="14.25" hidden="false" customHeight="false" outlineLevel="0" collapsed="false">
      <c r="A431" s="1" t="n">
        <v>304</v>
      </c>
      <c r="B431" s="1" t="s">
        <v>702</v>
      </c>
      <c r="C431" s="1" t="s">
        <v>703</v>
      </c>
      <c r="D431" s="1" t="n">
        <v>11197</v>
      </c>
      <c r="E431" s="1" t="s">
        <v>53</v>
      </c>
      <c r="F431" s="201" t="n">
        <v>200025888910</v>
      </c>
      <c r="G431" s="198" t="s">
        <v>635</v>
      </c>
      <c r="H431" s="163" t="s">
        <v>418</v>
      </c>
      <c r="I431" s="161" t="n">
        <v>109</v>
      </c>
      <c r="J431" s="156" t="s">
        <v>185</v>
      </c>
      <c r="K431" s="200" t="n">
        <v>45453.6650231482</v>
      </c>
      <c r="L431" s="1" t="n">
        <v>1</v>
      </c>
      <c r="M431" s="156" t="s">
        <v>185</v>
      </c>
      <c r="N431" s="3" t="n">
        <v>430</v>
      </c>
    </row>
    <row r="432" customFormat="false" ht="14.25" hidden="false" customHeight="false" outlineLevel="0" collapsed="false">
      <c r="A432" s="1" t="n">
        <v>305</v>
      </c>
      <c r="B432" s="1" t="s">
        <v>702</v>
      </c>
      <c r="C432" s="1" t="s">
        <v>703</v>
      </c>
      <c r="D432" s="1" t="n">
        <v>11197</v>
      </c>
      <c r="E432" s="1" t="s">
        <v>53</v>
      </c>
      <c r="F432" s="201" t="n">
        <v>200025888910</v>
      </c>
      <c r="G432" s="198" t="s">
        <v>635</v>
      </c>
      <c r="H432" s="163" t="s">
        <v>418</v>
      </c>
      <c r="I432" s="161" t="n">
        <v>109</v>
      </c>
      <c r="J432" s="156" t="s">
        <v>185</v>
      </c>
      <c r="K432" s="200" t="n">
        <v>45453.6761805556</v>
      </c>
      <c r="L432" s="1" t="n">
        <v>1</v>
      </c>
      <c r="M432" s="156" t="s">
        <v>185</v>
      </c>
      <c r="N432" s="1" t="n">
        <v>431</v>
      </c>
    </row>
    <row r="433" customFormat="false" ht="14.25" hidden="false" customHeight="false" outlineLevel="0" collapsed="false">
      <c r="A433" s="1" t="n">
        <v>306</v>
      </c>
      <c r="B433" s="1" t="s">
        <v>702</v>
      </c>
      <c r="C433" s="1" t="s">
        <v>703</v>
      </c>
      <c r="D433" s="1" t="n">
        <v>11197</v>
      </c>
      <c r="E433" s="1" t="s">
        <v>53</v>
      </c>
      <c r="F433" s="201" t="n">
        <v>200025888910</v>
      </c>
      <c r="G433" s="198" t="s">
        <v>635</v>
      </c>
      <c r="H433" s="163" t="s">
        <v>418</v>
      </c>
      <c r="I433" s="161" t="n">
        <v>109</v>
      </c>
      <c r="J433" s="156" t="s">
        <v>185</v>
      </c>
      <c r="K433" s="200" t="n">
        <v>45453.6761921296</v>
      </c>
      <c r="L433" s="1" t="n">
        <v>0</v>
      </c>
      <c r="M433" s="156" t="s">
        <v>185</v>
      </c>
      <c r="N433" s="1" t="n">
        <v>432</v>
      </c>
    </row>
    <row r="434" customFormat="false" ht="14.25" hidden="false" customHeight="false" outlineLevel="0" collapsed="false">
      <c r="A434" s="1" t="n">
        <v>307</v>
      </c>
      <c r="B434" s="1" t="s">
        <v>702</v>
      </c>
      <c r="C434" s="1" t="s">
        <v>703</v>
      </c>
      <c r="D434" s="1" t="n">
        <v>11197</v>
      </c>
      <c r="E434" s="1" t="s">
        <v>53</v>
      </c>
      <c r="F434" s="201" t="n">
        <v>200025888910</v>
      </c>
      <c r="G434" s="198" t="s">
        <v>635</v>
      </c>
      <c r="H434" s="163" t="s">
        <v>418</v>
      </c>
      <c r="I434" s="161" t="n">
        <v>109</v>
      </c>
      <c r="J434" s="156" t="s">
        <v>185</v>
      </c>
      <c r="K434" s="200" t="n">
        <v>45453.6765625</v>
      </c>
      <c r="L434" s="1" t="n">
        <v>3</v>
      </c>
      <c r="M434" s="156" t="s">
        <v>185</v>
      </c>
      <c r="N434" s="1" t="n">
        <v>433</v>
      </c>
    </row>
    <row r="435" customFormat="false" ht="14.25" hidden="false" customHeight="false" outlineLevel="0" collapsed="false">
      <c r="A435" s="1" t="n">
        <v>308</v>
      </c>
      <c r="B435" s="1" t="s">
        <v>702</v>
      </c>
      <c r="C435" s="1" t="s">
        <v>703</v>
      </c>
      <c r="D435" s="1" t="n">
        <v>11197</v>
      </c>
      <c r="E435" s="1" t="s">
        <v>53</v>
      </c>
      <c r="F435" s="201" t="n">
        <v>200025888910</v>
      </c>
      <c r="G435" s="198" t="s">
        <v>635</v>
      </c>
      <c r="H435" s="163" t="s">
        <v>418</v>
      </c>
      <c r="I435" s="161" t="n">
        <v>109</v>
      </c>
      <c r="J435" s="156" t="s">
        <v>185</v>
      </c>
      <c r="K435" s="200" t="n">
        <v>45453.6780324074</v>
      </c>
      <c r="L435" s="1" t="n">
        <v>1</v>
      </c>
      <c r="M435" s="156" t="s">
        <v>185</v>
      </c>
      <c r="N435" s="3" t="n">
        <v>434</v>
      </c>
    </row>
    <row r="436" customFormat="false" ht="14.25" hidden="false" customHeight="false" outlineLevel="0" collapsed="false">
      <c r="A436" s="1" t="n">
        <v>309</v>
      </c>
      <c r="B436" s="1" t="s">
        <v>702</v>
      </c>
      <c r="C436" s="1" t="s">
        <v>703</v>
      </c>
      <c r="D436" s="1" t="n">
        <v>11197</v>
      </c>
      <c r="E436" s="1" t="s">
        <v>53</v>
      </c>
      <c r="F436" s="201" t="n">
        <v>200025889003</v>
      </c>
      <c r="G436" s="198" t="s">
        <v>706</v>
      </c>
      <c r="H436" s="163" t="s">
        <v>251</v>
      </c>
      <c r="I436" s="161" t="n">
        <v>22</v>
      </c>
      <c r="J436" s="156" t="s">
        <v>185</v>
      </c>
      <c r="K436" s="200" t="n">
        <v>45453.7402777778</v>
      </c>
      <c r="L436" s="1" t="n">
        <v>2</v>
      </c>
      <c r="M436" s="156" t="s">
        <v>185</v>
      </c>
      <c r="N436" s="3" t="n">
        <v>435</v>
      </c>
    </row>
    <row r="437" customFormat="false" ht="14.25" hidden="false" customHeight="false" outlineLevel="0" collapsed="false">
      <c r="A437" s="1" t="n">
        <v>310</v>
      </c>
      <c r="B437" s="1" t="s">
        <v>702</v>
      </c>
      <c r="C437" s="1" t="s">
        <v>703</v>
      </c>
      <c r="D437" s="1" t="n">
        <v>11197</v>
      </c>
      <c r="E437" s="1" t="s">
        <v>53</v>
      </c>
      <c r="F437" s="201" t="n">
        <v>200025889003</v>
      </c>
      <c r="G437" s="198" t="s">
        <v>706</v>
      </c>
      <c r="H437" s="163" t="s">
        <v>251</v>
      </c>
      <c r="I437" s="161" t="n">
        <v>22</v>
      </c>
      <c r="J437" s="156" t="s">
        <v>185</v>
      </c>
      <c r="K437" s="200" t="n">
        <v>45453.7458912037</v>
      </c>
      <c r="L437" s="1" t="n">
        <v>1</v>
      </c>
      <c r="M437" s="156" t="s">
        <v>185</v>
      </c>
      <c r="N437" s="1" t="n">
        <v>436</v>
      </c>
    </row>
    <row r="438" customFormat="false" ht="14.25" hidden="false" customHeight="false" outlineLevel="0" collapsed="false">
      <c r="A438" s="1" t="n">
        <v>311</v>
      </c>
      <c r="B438" s="1" t="s">
        <v>702</v>
      </c>
      <c r="C438" s="1" t="s">
        <v>703</v>
      </c>
      <c r="D438" s="1" t="n">
        <v>11197</v>
      </c>
      <c r="E438" s="1" t="s">
        <v>53</v>
      </c>
      <c r="F438" s="201" t="n">
        <v>200025889003</v>
      </c>
      <c r="G438" s="198" t="s">
        <v>706</v>
      </c>
      <c r="H438" s="163" t="s">
        <v>251</v>
      </c>
      <c r="I438" s="161" t="n">
        <v>22</v>
      </c>
      <c r="J438" s="156" t="s">
        <v>185</v>
      </c>
      <c r="K438" s="200" t="n">
        <v>45453.7465625</v>
      </c>
      <c r="L438" s="1" t="n">
        <v>0</v>
      </c>
      <c r="M438" s="156" t="s">
        <v>185</v>
      </c>
      <c r="N438" s="1" t="n">
        <v>437</v>
      </c>
    </row>
    <row r="439" customFormat="false" ht="14.25" hidden="false" customHeight="false" outlineLevel="0" collapsed="false">
      <c r="A439" s="1" t="n">
        <v>312</v>
      </c>
      <c r="B439" s="1" t="s">
        <v>702</v>
      </c>
      <c r="C439" s="1" t="s">
        <v>703</v>
      </c>
      <c r="D439" s="1" t="n">
        <v>11197</v>
      </c>
      <c r="E439" s="1" t="s">
        <v>53</v>
      </c>
      <c r="F439" s="201" t="n">
        <v>200025889003</v>
      </c>
      <c r="G439" s="198" t="s">
        <v>706</v>
      </c>
      <c r="H439" s="163" t="s">
        <v>251</v>
      </c>
      <c r="I439" s="161" t="n">
        <v>22</v>
      </c>
      <c r="J439" s="156" t="s">
        <v>185</v>
      </c>
      <c r="K439" s="200" t="n">
        <v>45453.7473842593</v>
      </c>
      <c r="L439" s="1" t="n">
        <v>4</v>
      </c>
      <c r="M439" s="156" t="s">
        <v>185</v>
      </c>
      <c r="N439" s="1" t="n">
        <v>438</v>
      </c>
    </row>
    <row r="440" customFormat="false" ht="14.25" hidden="false" customHeight="false" outlineLevel="0" collapsed="false">
      <c r="A440" s="1" t="n">
        <v>313</v>
      </c>
      <c r="B440" s="1" t="s">
        <v>702</v>
      </c>
      <c r="C440" s="1" t="s">
        <v>703</v>
      </c>
      <c r="D440" s="1" t="n">
        <v>11197</v>
      </c>
      <c r="E440" s="1" t="s">
        <v>53</v>
      </c>
      <c r="F440" s="201" t="n">
        <v>200025888910</v>
      </c>
      <c r="G440" s="198" t="s">
        <v>635</v>
      </c>
      <c r="H440" s="163" t="s">
        <v>418</v>
      </c>
      <c r="I440" s="161" t="n">
        <v>109</v>
      </c>
      <c r="J440" s="156" t="s">
        <v>185</v>
      </c>
      <c r="K440" s="200" t="n">
        <v>45453.8476736111</v>
      </c>
      <c r="L440" s="1" t="n">
        <v>1</v>
      </c>
      <c r="M440" s="156" t="s">
        <v>185</v>
      </c>
      <c r="N440" s="3" t="n">
        <v>439</v>
      </c>
    </row>
    <row r="441" customFormat="false" ht="14.25" hidden="false" customHeight="false" outlineLevel="0" collapsed="false">
      <c r="A441" s="1" t="n">
        <v>314</v>
      </c>
      <c r="B441" s="1" t="s">
        <v>702</v>
      </c>
      <c r="C441" s="1" t="s">
        <v>703</v>
      </c>
      <c r="D441" s="1" t="n">
        <v>11197</v>
      </c>
      <c r="E441" s="1" t="s">
        <v>53</v>
      </c>
      <c r="F441" s="201" t="n">
        <v>200025888910</v>
      </c>
      <c r="G441" s="198" t="s">
        <v>635</v>
      </c>
      <c r="H441" s="163" t="s">
        <v>418</v>
      </c>
      <c r="I441" s="161" t="n">
        <v>109</v>
      </c>
      <c r="J441" s="156" t="s">
        <v>185</v>
      </c>
      <c r="K441" s="200" t="n">
        <v>45453.8481481482</v>
      </c>
      <c r="L441" s="1" t="n">
        <v>1</v>
      </c>
      <c r="M441" s="156" t="s">
        <v>185</v>
      </c>
      <c r="N441" s="3" t="n">
        <v>440</v>
      </c>
    </row>
    <row r="442" customFormat="false" ht="14.25" hidden="false" customHeight="false" outlineLevel="0" collapsed="false">
      <c r="A442" s="1" t="n">
        <v>315</v>
      </c>
      <c r="B442" s="1" t="s">
        <v>702</v>
      </c>
      <c r="C442" s="1" t="s">
        <v>703</v>
      </c>
      <c r="D442" s="1" t="n">
        <v>11197</v>
      </c>
      <c r="E442" s="1" t="s">
        <v>53</v>
      </c>
      <c r="F442" s="201" t="n">
        <v>200025888910</v>
      </c>
      <c r="G442" s="198" t="s">
        <v>635</v>
      </c>
      <c r="H442" s="163" t="s">
        <v>418</v>
      </c>
      <c r="I442" s="161" t="n">
        <v>109</v>
      </c>
      <c r="J442" s="156" t="s">
        <v>185</v>
      </c>
      <c r="K442" s="200" t="n">
        <v>45453.848900463</v>
      </c>
      <c r="L442" s="1" t="n">
        <v>1</v>
      </c>
      <c r="M442" s="156" t="s">
        <v>185</v>
      </c>
      <c r="N442" s="1" t="n">
        <v>441</v>
      </c>
    </row>
    <row r="443" customFormat="false" ht="14.25" hidden="false" customHeight="false" outlineLevel="0" collapsed="false">
      <c r="A443" s="1" t="n">
        <v>316</v>
      </c>
      <c r="B443" s="1" t="s">
        <v>702</v>
      </c>
      <c r="C443" s="1" t="s">
        <v>703</v>
      </c>
      <c r="D443" s="1" t="n">
        <v>11197</v>
      </c>
      <c r="E443" s="1" t="s">
        <v>53</v>
      </c>
      <c r="F443" s="201" t="n">
        <v>200025888910</v>
      </c>
      <c r="G443" s="198" t="s">
        <v>635</v>
      </c>
      <c r="H443" s="163" t="s">
        <v>418</v>
      </c>
      <c r="I443" s="161" t="n">
        <v>109</v>
      </c>
      <c r="J443" s="156" t="s">
        <v>185</v>
      </c>
      <c r="K443" s="200" t="n">
        <v>45453.8491550926</v>
      </c>
      <c r="L443" s="1" t="n">
        <v>0</v>
      </c>
      <c r="M443" s="156" t="s">
        <v>185</v>
      </c>
      <c r="N443" s="1" t="n">
        <v>442</v>
      </c>
    </row>
    <row r="444" customFormat="false" ht="14.25" hidden="false" customHeight="false" outlineLevel="0" collapsed="false">
      <c r="A444" s="1" t="n">
        <v>317</v>
      </c>
      <c r="B444" s="1" t="s">
        <v>702</v>
      </c>
      <c r="C444" s="1" t="s">
        <v>703</v>
      </c>
      <c r="D444" s="1" t="n">
        <v>11197</v>
      </c>
      <c r="E444" s="1" t="s">
        <v>53</v>
      </c>
      <c r="F444" s="201" t="n">
        <v>200025888910</v>
      </c>
      <c r="G444" s="198" t="s">
        <v>635</v>
      </c>
      <c r="H444" s="163" t="s">
        <v>418</v>
      </c>
      <c r="I444" s="161" t="n">
        <v>109</v>
      </c>
      <c r="J444" s="156" t="s">
        <v>185</v>
      </c>
      <c r="K444" s="200" t="n">
        <v>45453.8495023148</v>
      </c>
      <c r="L444" s="1" t="n">
        <v>1</v>
      </c>
      <c r="M444" s="156" t="s">
        <v>185</v>
      </c>
      <c r="N444" s="1" t="n">
        <v>443</v>
      </c>
    </row>
    <row r="445" customFormat="false" ht="14.25" hidden="false" customHeight="false" outlineLevel="0" collapsed="false">
      <c r="A445" s="1" t="n">
        <v>318</v>
      </c>
      <c r="B445" s="1" t="s">
        <v>702</v>
      </c>
      <c r="C445" s="1" t="s">
        <v>703</v>
      </c>
      <c r="D445" s="1" t="n">
        <v>11197</v>
      </c>
      <c r="E445" s="1" t="s">
        <v>53</v>
      </c>
      <c r="F445" s="201" t="n">
        <v>200025888910</v>
      </c>
      <c r="G445" s="198" t="s">
        <v>635</v>
      </c>
      <c r="H445" s="163" t="s">
        <v>418</v>
      </c>
      <c r="I445" s="161" t="n">
        <v>109</v>
      </c>
      <c r="J445" s="156" t="s">
        <v>185</v>
      </c>
      <c r="K445" s="200" t="n">
        <v>45453.8606944445</v>
      </c>
      <c r="L445" s="1" t="n">
        <v>0</v>
      </c>
      <c r="M445" s="156" t="s">
        <v>185</v>
      </c>
      <c r="N445" s="3" t="n">
        <v>444</v>
      </c>
    </row>
    <row r="446" customFormat="false" ht="14.25" hidden="false" customHeight="false" outlineLevel="0" collapsed="false">
      <c r="A446" s="1" t="n">
        <v>319</v>
      </c>
      <c r="B446" s="1" t="s">
        <v>702</v>
      </c>
      <c r="C446" s="1" t="s">
        <v>703</v>
      </c>
      <c r="D446" s="1" t="n">
        <v>11197</v>
      </c>
      <c r="E446" s="1" t="s">
        <v>53</v>
      </c>
      <c r="F446" s="201" t="n">
        <v>200025888910</v>
      </c>
      <c r="G446" s="198" t="s">
        <v>635</v>
      </c>
      <c r="H446" s="163" t="s">
        <v>418</v>
      </c>
      <c r="I446" s="161" t="n">
        <v>109</v>
      </c>
      <c r="J446" s="156" t="s">
        <v>185</v>
      </c>
      <c r="K446" s="200" t="n">
        <v>45453.8616319444</v>
      </c>
      <c r="L446" s="1" t="n">
        <v>0</v>
      </c>
      <c r="M446" s="156" t="s">
        <v>185</v>
      </c>
      <c r="N446" s="3" t="n">
        <v>445</v>
      </c>
    </row>
    <row r="447" customFormat="false" ht="14.25" hidden="false" customHeight="false" outlineLevel="0" collapsed="false">
      <c r="A447" s="1" t="n">
        <v>320</v>
      </c>
      <c r="B447" s="1" t="s">
        <v>702</v>
      </c>
      <c r="C447" s="1" t="s">
        <v>703</v>
      </c>
      <c r="D447" s="1" t="n">
        <v>11197</v>
      </c>
      <c r="E447" s="1" t="s">
        <v>53</v>
      </c>
      <c r="F447" s="201" t="n">
        <v>200025888910</v>
      </c>
      <c r="G447" s="198" t="s">
        <v>635</v>
      </c>
      <c r="H447" s="163" t="s">
        <v>418</v>
      </c>
      <c r="I447" s="161" t="n">
        <v>109</v>
      </c>
      <c r="J447" s="156" t="s">
        <v>185</v>
      </c>
      <c r="K447" s="200" t="n">
        <v>45453.8620601852</v>
      </c>
      <c r="L447" s="1" t="n">
        <v>0</v>
      </c>
      <c r="M447" s="156" t="s">
        <v>185</v>
      </c>
      <c r="N447" s="1" t="n">
        <v>446</v>
      </c>
    </row>
    <row r="448" customFormat="false" ht="14.25" hidden="false" customHeight="false" outlineLevel="0" collapsed="false">
      <c r="A448" s="1" t="n">
        <v>321</v>
      </c>
      <c r="B448" s="1" t="s">
        <v>702</v>
      </c>
      <c r="C448" s="1" t="s">
        <v>703</v>
      </c>
      <c r="D448" s="1" t="n">
        <v>11197</v>
      </c>
      <c r="E448" s="1" t="s">
        <v>53</v>
      </c>
      <c r="F448" s="201" t="n">
        <v>200025888910</v>
      </c>
      <c r="G448" s="198" t="s">
        <v>635</v>
      </c>
      <c r="H448" s="163" t="s">
        <v>418</v>
      </c>
      <c r="I448" s="161" t="n">
        <v>109</v>
      </c>
      <c r="J448" s="156" t="s">
        <v>185</v>
      </c>
      <c r="K448" s="200" t="n">
        <v>45453.8622569444</v>
      </c>
      <c r="L448" s="1" t="n">
        <v>1</v>
      </c>
      <c r="M448" s="156" t="s">
        <v>185</v>
      </c>
      <c r="N448" s="1" t="n">
        <v>447</v>
      </c>
    </row>
    <row r="449" customFormat="false" ht="14.25" hidden="false" customHeight="false" outlineLevel="0" collapsed="false">
      <c r="A449" s="1" t="n">
        <v>322</v>
      </c>
      <c r="B449" s="1" t="s">
        <v>702</v>
      </c>
      <c r="C449" s="1" t="s">
        <v>703</v>
      </c>
      <c r="D449" s="1" t="n">
        <v>11197</v>
      </c>
      <c r="E449" s="1" t="s">
        <v>53</v>
      </c>
      <c r="F449" s="201" t="n">
        <v>200025888910</v>
      </c>
      <c r="G449" s="198" t="s">
        <v>635</v>
      </c>
      <c r="H449" s="163" t="s">
        <v>418</v>
      </c>
      <c r="I449" s="161" t="n">
        <v>109</v>
      </c>
      <c r="J449" s="156" t="s">
        <v>185</v>
      </c>
      <c r="K449" s="200" t="n">
        <v>45453.8624768519</v>
      </c>
      <c r="L449" s="1" t="n">
        <v>1</v>
      </c>
      <c r="M449" s="156" t="s">
        <v>185</v>
      </c>
      <c r="N449" s="1" t="n">
        <v>448</v>
      </c>
    </row>
    <row r="450" customFormat="false" ht="14.25" hidden="false" customHeight="false" outlineLevel="0" collapsed="false">
      <c r="A450" s="1" t="n">
        <v>323</v>
      </c>
      <c r="B450" s="1" t="s">
        <v>702</v>
      </c>
      <c r="C450" s="1" t="s">
        <v>703</v>
      </c>
      <c r="D450" s="1" t="n">
        <v>11197</v>
      </c>
      <c r="E450" s="1" t="s">
        <v>53</v>
      </c>
      <c r="F450" s="201" t="n">
        <v>200025888910</v>
      </c>
      <c r="G450" s="198" t="s">
        <v>635</v>
      </c>
      <c r="H450" s="163" t="s">
        <v>418</v>
      </c>
      <c r="I450" s="161" t="n">
        <v>109</v>
      </c>
      <c r="J450" s="156" t="s">
        <v>185</v>
      </c>
      <c r="K450" s="200" t="n">
        <v>45453.8627314815</v>
      </c>
      <c r="L450" s="1" t="n">
        <v>0</v>
      </c>
      <c r="M450" s="156" t="s">
        <v>185</v>
      </c>
      <c r="N450" s="3" t="n">
        <v>449</v>
      </c>
    </row>
    <row r="451" customFormat="false" ht="14.25" hidden="false" customHeight="false" outlineLevel="0" collapsed="false">
      <c r="A451" s="1" t="n">
        <v>324</v>
      </c>
      <c r="B451" s="1" t="s">
        <v>702</v>
      </c>
      <c r="C451" s="1" t="s">
        <v>703</v>
      </c>
      <c r="D451" s="1" t="n">
        <v>11197</v>
      </c>
      <c r="E451" s="1" t="s">
        <v>53</v>
      </c>
      <c r="F451" s="201" t="n">
        <v>200025888910</v>
      </c>
      <c r="G451" s="198" t="s">
        <v>635</v>
      </c>
      <c r="H451" s="163" t="s">
        <v>418</v>
      </c>
      <c r="I451" s="161" t="n">
        <v>109</v>
      </c>
      <c r="J451" s="156" t="s">
        <v>185</v>
      </c>
      <c r="K451" s="200" t="n">
        <v>45453.8635648148</v>
      </c>
      <c r="L451" s="1" t="n">
        <v>1</v>
      </c>
      <c r="M451" s="156" t="s">
        <v>185</v>
      </c>
      <c r="N451" s="3" t="n">
        <v>450</v>
      </c>
    </row>
    <row r="452" customFormat="false" ht="14.25" hidden="false" customHeight="false" outlineLevel="0" collapsed="false">
      <c r="A452" s="1" t="n">
        <v>325</v>
      </c>
      <c r="B452" s="1" t="s">
        <v>702</v>
      </c>
      <c r="C452" s="1" t="s">
        <v>703</v>
      </c>
      <c r="D452" s="1" t="n">
        <v>11197</v>
      </c>
      <c r="E452" s="1" t="s">
        <v>53</v>
      </c>
      <c r="F452" s="201" t="n">
        <v>200025888910</v>
      </c>
      <c r="G452" s="198" t="s">
        <v>635</v>
      </c>
      <c r="H452" s="163" t="s">
        <v>418</v>
      </c>
      <c r="I452" s="161" t="n">
        <v>109</v>
      </c>
      <c r="J452" s="156" t="s">
        <v>185</v>
      </c>
      <c r="K452" s="200" t="n">
        <v>45453.8638773148</v>
      </c>
      <c r="L452" s="1" t="n">
        <v>1</v>
      </c>
      <c r="M452" s="156" t="s">
        <v>185</v>
      </c>
      <c r="N452" s="1" t="n">
        <v>451</v>
      </c>
    </row>
    <row r="453" customFormat="false" ht="14.25" hidden="false" customHeight="false" outlineLevel="0" collapsed="false">
      <c r="A453" s="1" t="n">
        <v>326</v>
      </c>
      <c r="B453" s="1" t="s">
        <v>702</v>
      </c>
      <c r="C453" s="1" t="s">
        <v>703</v>
      </c>
      <c r="D453" s="1" t="n">
        <v>11197</v>
      </c>
      <c r="E453" s="1" t="s">
        <v>53</v>
      </c>
      <c r="F453" s="201" t="n">
        <v>200025888910</v>
      </c>
      <c r="G453" s="198" t="s">
        <v>635</v>
      </c>
      <c r="H453" s="163" t="s">
        <v>418</v>
      </c>
      <c r="I453" s="161" t="n">
        <v>109</v>
      </c>
      <c r="J453" s="156" t="s">
        <v>185</v>
      </c>
      <c r="K453" s="200" t="n">
        <v>45453.8646875</v>
      </c>
      <c r="L453" s="1" t="n">
        <v>0</v>
      </c>
      <c r="M453" s="156" t="s">
        <v>185</v>
      </c>
      <c r="N453" s="1" t="n">
        <v>452</v>
      </c>
    </row>
    <row r="454" customFormat="false" ht="14.25" hidden="false" customHeight="false" outlineLevel="0" collapsed="false">
      <c r="A454" s="1" t="n">
        <v>327</v>
      </c>
      <c r="B454" s="1" t="s">
        <v>702</v>
      </c>
      <c r="C454" s="1" t="s">
        <v>703</v>
      </c>
      <c r="D454" s="1" t="n">
        <v>11197</v>
      </c>
      <c r="E454" s="1" t="s">
        <v>53</v>
      </c>
      <c r="F454" s="201" t="n">
        <v>200025888910</v>
      </c>
      <c r="G454" s="198" t="s">
        <v>635</v>
      </c>
      <c r="H454" s="163" t="s">
        <v>418</v>
      </c>
      <c r="I454" s="161" t="n">
        <v>109</v>
      </c>
      <c r="J454" s="156" t="s">
        <v>185</v>
      </c>
      <c r="K454" s="200" t="n">
        <v>45453.865150463</v>
      </c>
      <c r="L454" s="1" t="n">
        <v>3</v>
      </c>
      <c r="M454" s="156" t="s">
        <v>185</v>
      </c>
      <c r="N454" s="1" t="n">
        <v>453</v>
      </c>
    </row>
    <row r="455" customFormat="false" ht="14.25" hidden="false" customHeight="false" outlineLevel="0" collapsed="false">
      <c r="A455" s="1" t="n">
        <v>328</v>
      </c>
      <c r="B455" s="1" t="s">
        <v>702</v>
      </c>
      <c r="C455" s="1" t="s">
        <v>703</v>
      </c>
      <c r="D455" s="1" t="n">
        <v>11197</v>
      </c>
      <c r="E455" s="1" t="s">
        <v>53</v>
      </c>
      <c r="F455" s="201" t="n">
        <v>200025889003</v>
      </c>
      <c r="G455" s="198" t="s">
        <v>706</v>
      </c>
      <c r="H455" s="163" t="s">
        <v>251</v>
      </c>
      <c r="I455" s="161" t="n">
        <v>22</v>
      </c>
      <c r="J455" s="156" t="s">
        <v>185</v>
      </c>
      <c r="K455" s="200" t="n">
        <v>45453.8673263889</v>
      </c>
      <c r="L455" s="1" t="n">
        <v>4</v>
      </c>
      <c r="M455" s="156" t="s">
        <v>185</v>
      </c>
      <c r="N455" s="3" t="n">
        <v>454</v>
      </c>
    </row>
    <row r="456" customFormat="false" ht="14.25" hidden="false" customHeight="false" outlineLevel="0" collapsed="false">
      <c r="A456" s="1" t="n">
        <v>329</v>
      </c>
      <c r="B456" s="1" t="s">
        <v>702</v>
      </c>
      <c r="C456" s="1" t="s">
        <v>703</v>
      </c>
      <c r="D456" s="1" t="n">
        <v>11197</v>
      </c>
      <c r="E456" s="1" t="s">
        <v>53</v>
      </c>
      <c r="F456" s="201" t="n">
        <v>200025889003</v>
      </c>
      <c r="G456" s="198" t="s">
        <v>706</v>
      </c>
      <c r="H456" s="163" t="s">
        <v>251</v>
      </c>
      <c r="I456" s="161" t="n">
        <v>22</v>
      </c>
      <c r="J456" s="156" t="s">
        <v>185</v>
      </c>
      <c r="K456" s="200" t="n">
        <v>45453.9559722222</v>
      </c>
      <c r="L456" s="1" t="n">
        <v>2</v>
      </c>
      <c r="M456" s="156" t="s">
        <v>185</v>
      </c>
      <c r="N456" s="3" t="n">
        <v>455</v>
      </c>
    </row>
    <row r="457" customFormat="false" ht="14.25" hidden="false" customHeight="false" outlineLevel="0" collapsed="false">
      <c r="A457" s="1" t="n">
        <v>330</v>
      </c>
      <c r="B457" s="1" t="s">
        <v>702</v>
      </c>
      <c r="C457" s="1" t="s">
        <v>703</v>
      </c>
      <c r="D457" s="1" t="n">
        <v>11197</v>
      </c>
      <c r="E457" s="1" t="s">
        <v>53</v>
      </c>
      <c r="F457" s="201" t="n">
        <v>200025889003</v>
      </c>
      <c r="G457" s="198" t="s">
        <v>706</v>
      </c>
      <c r="H457" s="163" t="s">
        <v>251</v>
      </c>
      <c r="I457" s="161" t="n">
        <v>22</v>
      </c>
      <c r="J457" s="156" t="s">
        <v>185</v>
      </c>
      <c r="K457" s="200" t="n">
        <v>45453.9574652778</v>
      </c>
      <c r="L457" s="1" t="n">
        <v>0</v>
      </c>
      <c r="M457" s="156" t="s">
        <v>185</v>
      </c>
      <c r="N457" s="1" t="n">
        <v>456</v>
      </c>
    </row>
    <row r="458" customFormat="false" ht="14.25" hidden="false" customHeight="false" outlineLevel="0" collapsed="false">
      <c r="A458" s="1" t="n">
        <v>331</v>
      </c>
      <c r="B458" s="1" t="s">
        <v>702</v>
      </c>
      <c r="C458" s="1" t="s">
        <v>703</v>
      </c>
      <c r="D458" s="1" t="n">
        <v>11197</v>
      </c>
      <c r="E458" s="1" t="s">
        <v>53</v>
      </c>
      <c r="F458" s="201" t="n">
        <v>200025889003</v>
      </c>
      <c r="G458" s="198" t="s">
        <v>706</v>
      </c>
      <c r="H458" s="163" t="s">
        <v>251</v>
      </c>
      <c r="I458" s="161" t="n">
        <v>22</v>
      </c>
      <c r="J458" s="156" t="s">
        <v>185</v>
      </c>
      <c r="K458" s="200" t="n">
        <v>45453.9574768519</v>
      </c>
      <c r="L458" s="1" t="n">
        <v>0</v>
      </c>
      <c r="M458" s="156" t="s">
        <v>185</v>
      </c>
      <c r="N458" s="1" t="n">
        <v>457</v>
      </c>
    </row>
    <row r="459" customFormat="false" ht="14.25" hidden="false" customHeight="false" outlineLevel="0" collapsed="false">
      <c r="A459" s="1" t="n">
        <v>332</v>
      </c>
      <c r="B459" s="1" t="s">
        <v>702</v>
      </c>
      <c r="C459" s="1" t="s">
        <v>703</v>
      </c>
      <c r="D459" s="1" t="n">
        <v>11197</v>
      </c>
      <c r="E459" s="1" t="s">
        <v>53</v>
      </c>
      <c r="F459" s="201" t="n">
        <v>200025889003</v>
      </c>
      <c r="G459" s="198" t="s">
        <v>706</v>
      </c>
      <c r="H459" s="163" t="s">
        <v>251</v>
      </c>
      <c r="I459" s="161" t="n">
        <v>22</v>
      </c>
      <c r="J459" s="156" t="s">
        <v>185</v>
      </c>
      <c r="K459" s="200" t="n">
        <v>45453.9574884259</v>
      </c>
      <c r="L459" s="1" t="n">
        <v>0</v>
      </c>
      <c r="M459" s="156" t="s">
        <v>185</v>
      </c>
      <c r="N459" s="1" t="n">
        <v>458</v>
      </c>
    </row>
    <row r="460" customFormat="false" ht="14.25" hidden="false" customHeight="false" outlineLevel="0" collapsed="false">
      <c r="A460" s="1" t="n">
        <v>333</v>
      </c>
      <c r="B460" s="1" t="s">
        <v>702</v>
      </c>
      <c r="C460" s="1" t="s">
        <v>703</v>
      </c>
      <c r="D460" s="1" t="n">
        <v>11197</v>
      </c>
      <c r="E460" s="1" t="s">
        <v>53</v>
      </c>
      <c r="F460" s="201" t="n">
        <v>200025889003</v>
      </c>
      <c r="G460" s="198" t="s">
        <v>706</v>
      </c>
      <c r="H460" s="163" t="s">
        <v>251</v>
      </c>
      <c r="I460" s="161" t="n">
        <v>22</v>
      </c>
      <c r="J460" s="156" t="s">
        <v>185</v>
      </c>
      <c r="K460" s="200" t="n">
        <v>45453.9575115741</v>
      </c>
      <c r="L460" s="1" t="n">
        <v>0</v>
      </c>
      <c r="M460" s="156" t="s">
        <v>185</v>
      </c>
      <c r="N460" s="3" t="n">
        <v>459</v>
      </c>
    </row>
    <row r="461" customFormat="false" ht="14.25" hidden="false" customHeight="false" outlineLevel="0" collapsed="false">
      <c r="A461" s="1" t="n">
        <v>334</v>
      </c>
      <c r="B461" s="1" t="s">
        <v>702</v>
      </c>
      <c r="C461" s="1" t="s">
        <v>703</v>
      </c>
      <c r="D461" s="1" t="n">
        <v>11197</v>
      </c>
      <c r="E461" s="1" t="s">
        <v>53</v>
      </c>
      <c r="F461" s="201" t="n">
        <v>200025889003</v>
      </c>
      <c r="G461" s="198" t="s">
        <v>706</v>
      </c>
      <c r="H461" s="163" t="s">
        <v>251</v>
      </c>
      <c r="I461" s="161" t="n">
        <v>22</v>
      </c>
      <c r="J461" s="156" t="s">
        <v>185</v>
      </c>
      <c r="K461" s="200" t="n">
        <v>45453.9575231482</v>
      </c>
      <c r="L461" s="1" t="n">
        <v>1</v>
      </c>
      <c r="M461" s="156" t="s">
        <v>185</v>
      </c>
      <c r="N461" s="3" t="n">
        <v>460</v>
      </c>
    </row>
    <row r="462" customFormat="false" ht="14.25" hidden="false" customHeight="false" outlineLevel="0" collapsed="false">
      <c r="A462" s="1" t="n">
        <v>335</v>
      </c>
      <c r="B462" s="1" t="s">
        <v>702</v>
      </c>
      <c r="C462" s="1" t="s">
        <v>703</v>
      </c>
      <c r="D462" s="1" t="n">
        <v>11197</v>
      </c>
      <c r="E462" s="1" t="s">
        <v>53</v>
      </c>
      <c r="F462" s="201" t="n">
        <v>200025889003</v>
      </c>
      <c r="G462" s="198" t="s">
        <v>706</v>
      </c>
      <c r="H462" s="163" t="s">
        <v>251</v>
      </c>
      <c r="I462" s="161" t="n">
        <v>22</v>
      </c>
      <c r="J462" s="156" t="s">
        <v>185</v>
      </c>
      <c r="K462" s="200" t="n">
        <v>45454.0472569445</v>
      </c>
      <c r="L462" s="1" t="n">
        <v>1</v>
      </c>
      <c r="M462" s="156" t="s">
        <v>185</v>
      </c>
      <c r="N462" s="1" t="n">
        <v>461</v>
      </c>
    </row>
    <row r="463" customFormat="false" ht="14.25" hidden="false" customHeight="false" outlineLevel="0" collapsed="false">
      <c r="A463" s="1" t="n">
        <v>336</v>
      </c>
      <c r="B463" s="1" t="s">
        <v>702</v>
      </c>
      <c r="C463" s="1" t="s">
        <v>703</v>
      </c>
      <c r="D463" s="1" t="n">
        <v>11197</v>
      </c>
      <c r="E463" s="1" t="s">
        <v>53</v>
      </c>
      <c r="F463" s="201" t="n">
        <v>200025889003</v>
      </c>
      <c r="G463" s="198" t="s">
        <v>706</v>
      </c>
      <c r="H463" s="163" t="s">
        <v>251</v>
      </c>
      <c r="I463" s="161" t="n">
        <v>22</v>
      </c>
      <c r="J463" s="156" t="s">
        <v>185</v>
      </c>
      <c r="K463" s="200" t="n">
        <v>45454.0494212963</v>
      </c>
      <c r="L463" s="1" t="n">
        <v>1</v>
      </c>
      <c r="M463" s="156" t="s">
        <v>185</v>
      </c>
      <c r="N463" s="1" t="n">
        <v>462</v>
      </c>
    </row>
    <row r="464" customFormat="false" ht="14.25" hidden="false" customHeight="false" outlineLevel="0" collapsed="false">
      <c r="A464" s="1" t="n">
        <v>337</v>
      </c>
      <c r="B464" s="1" t="s">
        <v>702</v>
      </c>
      <c r="C464" s="1" t="s">
        <v>703</v>
      </c>
      <c r="D464" s="1" t="n">
        <v>11197</v>
      </c>
      <c r="E464" s="1" t="s">
        <v>53</v>
      </c>
      <c r="F464" s="201" t="n">
        <v>200025889003</v>
      </c>
      <c r="G464" s="198" t="s">
        <v>706</v>
      </c>
      <c r="H464" s="163" t="s">
        <v>251</v>
      </c>
      <c r="I464" s="161" t="n">
        <v>22</v>
      </c>
      <c r="J464" s="156" t="s">
        <v>185</v>
      </c>
      <c r="K464" s="200" t="n">
        <v>45454.0498611111</v>
      </c>
      <c r="L464" s="1" t="n">
        <v>1</v>
      </c>
      <c r="M464" s="156" t="s">
        <v>185</v>
      </c>
      <c r="N464" s="1" t="n">
        <v>463</v>
      </c>
    </row>
    <row r="465" customFormat="false" ht="14.25" hidden="false" customHeight="false" outlineLevel="0" collapsed="false">
      <c r="A465" s="1" t="n">
        <v>338</v>
      </c>
      <c r="B465" s="1" t="s">
        <v>702</v>
      </c>
      <c r="C465" s="1" t="s">
        <v>703</v>
      </c>
      <c r="D465" s="1" t="n">
        <v>11197</v>
      </c>
      <c r="E465" s="1" t="s">
        <v>53</v>
      </c>
      <c r="F465" s="201" t="n">
        <v>200025889003</v>
      </c>
      <c r="G465" s="198" t="s">
        <v>706</v>
      </c>
      <c r="H465" s="163" t="s">
        <v>251</v>
      </c>
      <c r="I465" s="161" t="n">
        <v>22</v>
      </c>
      <c r="J465" s="156" t="s">
        <v>185</v>
      </c>
      <c r="K465" s="200" t="n">
        <v>45454.0541898148</v>
      </c>
      <c r="L465" s="1" t="n">
        <v>1</v>
      </c>
      <c r="M465" s="156" t="s">
        <v>185</v>
      </c>
      <c r="N465" s="3" t="n">
        <v>464</v>
      </c>
    </row>
    <row r="466" customFormat="false" ht="14.25" hidden="false" customHeight="false" outlineLevel="0" collapsed="false">
      <c r="A466" s="1" t="n">
        <v>339</v>
      </c>
      <c r="B466" s="1" t="s">
        <v>702</v>
      </c>
      <c r="C466" s="1" t="s">
        <v>703</v>
      </c>
      <c r="D466" s="1" t="n">
        <v>11197</v>
      </c>
      <c r="E466" s="1" t="s">
        <v>53</v>
      </c>
      <c r="F466" s="201" t="n">
        <v>200025889003</v>
      </c>
      <c r="G466" s="198" t="s">
        <v>706</v>
      </c>
      <c r="H466" s="163" t="s">
        <v>251</v>
      </c>
      <c r="I466" s="161" t="n">
        <v>22</v>
      </c>
      <c r="J466" s="156" t="s">
        <v>185</v>
      </c>
      <c r="K466" s="200" t="n">
        <v>45454.0694212963</v>
      </c>
      <c r="L466" s="1" t="n">
        <v>0</v>
      </c>
      <c r="M466" s="156" t="s">
        <v>185</v>
      </c>
      <c r="N466" s="3" t="n">
        <v>465</v>
      </c>
    </row>
    <row r="467" customFormat="false" ht="14.25" hidden="false" customHeight="false" outlineLevel="0" collapsed="false">
      <c r="A467" s="1" t="n">
        <v>340</v>
      </c>
      <c r="B467" s="1" t="s">
        <v>702</v>
      </c>
      <c r="C467" s="1" t="s">
        <v>703</v>
      </c>
      <c r="D467" s="1" t="n">
        <v>11197</v>
      </c>
      <c r="E467" s="1" t="s">
        <v>53</v>
      </c>
      <c r="F467" s="201" t="n">
        <v>200025889003</v>
      </c>
      <c r="G467" s="198" t="s">
        <v>706</v>
      </c>
      <c r="H467" s="163" t="s">
        <v>251</v>
      </c>
      <c r="I467" s="161" t="n">
        <v>22</v>
      </c>
      <c r="J467" s="156" t="s">
        <v>185</v>
      </c>
      <c r="K467" s="200" t="n">
        <v>45454.0860648148</v>
      </c>
      <c r="L467" s="1" t="n">
        <v>1</v>
      </c>
      <c r="M467" s="156" t="s">
        <v>185</v>
      </c>
      <c r="N467" s="1" t="n">
        <v>466</v>
      </c>
    </row>
    <row r="468" customFormat="false" ht="14.25" hidden="false" customHeight="false" outlineLevel="0" collapsed="false">
      <c r="A468" s="1" t="n">
        <v>341</v>
      </c>
      <c r="B468" s="1" t="s">
        <v>702</v>
      </c>
      <c r="C468" s="1" t="s">
        <v>703</v>
      </c>
      <c r="D468" s="1" t="n">
        <v>11197</v>
      </c>
      <c r="E468" s="1" t="s">
        <v>53</v>
      </c>
      <c r="F468" s="201" t="n">
        <v>200025889003</v>
      </c>
      <c r="G468" s="198" t="s">
        <v>706</v>
      </c>
      <c r="H468" s="163" t="s">
        <v>251</v>
      </c>
      <c r="I468" s="161" t="n">
        <v>22</v>
      </c>
      <c r="J468" s="156" t="s">
        <v>185</v>
      </c>
      <c r="K468" s="200" t="n">
        <v>45454.1805902778</v>
      </c>
      <c r="L468" s="1" t="n">
        <v>0</v>
      </c>
      <c r="M468" s="156" t="s">
        <v>185</v>
      </c>
      <c r="N468" s="1" t="n">
        <v>467</v>
      </c>
    </row>
    <row r="469" customFormat="false" ht="14.25" hidden="false" customHeight="false" outlineLevel="0" collapsed="false">
      <c r="A469" s="1" t="n">
        <v>342</v>
      </c>
      <c r="B469" s="1" t="s">
        <v>702</v>
      </c>
      <c r="C469" s="1" t="s">
        <v>703</v>
      </c>
      <c r="D469" s="1" t="n">
        <v>11197</v>
      </c>
      <c r="E469" s="1" t="s">
        <v>53</v>
      </c>
      <c r="F469" s="201" t="n">
        <v>200025889003</v>
      </c>
      <c r="G469" s="198" t="s">
        <v>706</v>
      </c>
      <c r="H469" s="163" t="s">
        <v>251</v>
      </c>
      <c r="I469" s="161" t="n">
        <v>22</v>
      </c>
      <c r="J469" s="156" t="s">
        <v>185</v>
      </c>
      <c r="K469" s="200" t="n">
        <v>45454.1814699074</v>
      </c>
      <c r="L469" s="1" t="n">
        <v>2</v>
      </c>
      <c r="M469" s="156" t="s">
        <v>185</v>
      </c>
      <c r="N469" s="1" t="n">
        <v>468</v>
      </c>
    </row>
    <row r="470" customFormat="false" ht="14.25" hidden="false" customHeight="false" outlineLevel="0" collapsed="false">
      <c r="A470" s="1" t="n">
        <v>343</v>
      </c>
      <c r="B470" s="1" t="s">
        <v>702</v>
      </c>
      <c r="C470" s="1" t="s">
        <v>703</v>
      </c>
      <c r="D470" s="1" t="n">
        <v>11197</v>
      </c>
      <c r="E470" s="1" t="s">
        <v>53</v>
      </c>
      <c r="F470" s="201" t="n">
        <v>200025889003</v>
      </c>
      <c r="G470" s="198" t="s">
        <v>706</v>
      </c>
      <c r="H470" s="163" t="s">
        <v>251</v>
      </c>
      <c r="I470" s="161" t="n">
        <v>22</v>
      </c>
      <c r="J470" s="156" t="s">
        <v>185</v>
      </c>
      <c r="K470" s="200" t="n">
        <v>45454.1814930556</v>
      </c>
      <c r="L470" s="1" t="n">
        <v>1</v>
      </c>
      <c r="M470" s="156" t="s">
        <v>185</v>
      </c>
      <c r="N470" s="3" t="n">
        <v>469</v>
      </c>
    </row>
    <row r="471" customFormat="false" ht="14.25" hidden="false" customHeight="false" outlineLevel="0" collapsed="false">
      <c r="A471" s="1" t="n">
        <v>344</v>
      </c>
      <c r="B471" s="1" t="s">
        <v>702</v>
      </c>
      <c r="C471" s="1" t="s">
        <v>703</v>
      </c>
      <c r="D471" s="1" t="n">
        <v>11197</v>
      </c>
      <c r="E471" s="1" t="s">
        <v>53</v>
      </c>
      <c r="F471" s="201" t="n">
        <v>200025889003</v>
      </c>
      <c r="G471" s="198" t="s">
        <v>706</v>
      </c>
      <c r="H471" s="163" t="s">
        <v>251</v>
      </c>
      <c r="I471" s="161" t="n">
        <v>22</v>
      </c>
      <c r="J471" s="156" t="s">
        <v>185</v>
      </c>
      <c r="K471" s="200" t="n">
        <v>45454.181712963</v>
      </c>
      <c r="L471" s="1" t="n">
        <v>3</v>
      </c>
      <c r="M471" s="156" t="s">
        <v>185</v>
      </c>
      <c r="N471" s="3" t="n">
        <v>470</v>
      </c>
    </row>
    <row r="472" customFormat="false" ht="14.25" hidden="false" customHeight="false" outlineLevel="0" collapsed="false">
      <c r="A472" s="1" t="n">
        <v>345</v>
      </c>
      <c r="B472" s="1" t="s">
        <v>702</v>
      </c>
      <c r="C472" s="1" t="s">
        <v>703</v>
      </c>
      <c r="D472" s="1" t="n">
        <v>11197</v>
      </c>
      <c r="E472" s="1" t="s">
        <v>53</v>
      </c>
      <c r="F472" s="201" t="n">
        <v>200025889003</v>
      </c>
      <c r="G472" s="198" t="s">
        <v>706</v>
      </c>
      <c r="H472" s="163" t="s">
        <v>251</v>
      </c>
      <c r="I472" s="161" t="n">
        <v>22</v>
      </c>
      <c r="J472" s="156" t="s">
        <v>185</v>
      </c>
      <c r="K472" s="200" t="n">
        <v>45454.2709490741</v>
      </c>
      <c r="L472" s="1" t="n">
        <v>0</v>
      </c>
      <c r="M472" s="156" t="s">
        <v>185</v>
      </c>
      <c r="N472" s="1" t="n">
        <v>471</v>
      </c>
    </row>
    <row r="473" customFormat="false" ht="14.25" hidden="false" customHeight="false" outlineLevel="0" collapsed="false">
      <c r="A473" s="1" t="n">
        <v>346</v>
      </c>
      <c r="B473" s="1" t="s">
        <v>702</v>
      </c>
      <c r="C473" s="1" t="s">
        <v>703</v>
      </c>
      <c r="D473" s="1" t="n">
        <v>11197</v>
      </c>
      <c r="E473" s="1" t="s">
        <v>53</v>
      </c>
      <c r="F473" s="201" t="n">
        <v>200025889003</v>
      </c>
      <c r="G473" s="198" t="s">
        <v>706</v>
      </c>
      <c r="H473" s="163" t="s">
        <v>251</v>
      </c>
      <c r="I473" s="161" t="n">
        <v>22</v>
      </c>
      <c r="J473" s="156" t="s">
        <v>185</v>
      </c>
      <c r="K473" s="200" t="n">
        <v>45454.2715740741</v>
      </c>
      <c r="L473" s="1" t="n">
        <v>1</v>
      </c>
      <c r="M473" s="156" t="s">
        <v>185</v>
      </c>
      <c r="N473" s="1" t="n">
        <v>472</v>
      </c>
    </row>
    <row r="474" customFormat="false" ht="14.25" hidden="false" customHeight="false" outlineLevel="0" collapsed="false">
      <c r="A474" s="1" t="n">
        <v>347</v>
      </c>
      <c r="B474" s="1" t="s">
        <v>702</v>
      </c>
      <c r="C474" s="1" t="s">
        <v>703</v>
      </c>
      <c r="D474" s="1" t="n">
        <v>11197</v>
      </c>
      <c r="E474" s="1" t="s">
        <v>53</v>
      </c>
      <c r="F474" s="201" t="n">
        <v>200025889003</v>
      </c>
      <c r="G474" s="198" t="s">
        <v>706</v>
      </c>
      <c r="H474" s="163" t="s">
        <v>251</v>
      </c>
      <c r="I474" s="161" t="n">
        <v>22</v>
      </c>
      <c r="J474" s="156" t="s">
        <v>185</v>
      </c>
      <c r="K474" s="200" t="n">
        <v>45454.2715972222</v>
      </c>
      <c r="L474" s="1" t="n">
        <v>1</v>
      </c>
      <c r="M474" s="156" t="s">
        <v>185</v>
      </c>
      <c r="N474" s="1" t="n">
        <v>473</v>
      </c>
    </row>
    <row r="475" customFormat="false" ht="14.25" hidden="false" customHeight="false" outlineLevel="0" collapsed="false">
      <c r="A475" s="1" t="n">
        <v>348</v>
      </c>
      <c r="B475" s="1" t="s">
        <v>702</v>
      </c>
      <c r="C475" s="1" t="s">
        <v>703</v>
      </c>
      <c r="D475" s="1" t="n">
        <v>11197</v>
      </c>
      <c r="E475" s="1" t="s">
        <v>53</v>
      </c>
      <c r="F475" s="201" t="n">
        <v>200025889003</v>
      </c>
      <c r="G475" s="198" t="s">
        <v>706</v>
      </c>
      <c r="H475" s="163" t="s">
        <v>251</v>
      </c>
      <c r="I475" s="161" t="n">
        <v>22</v>
      </c>
      <c r="J475" s="156" t="s">
        <v>185</v>
      </c>
      <c r="K475" s="200" t="n">
        <v>45454.2716087963</v>
      </c>
      <c r="L475" s="1" t="n">
        <v>1</v>
      </c>
      <c r="M475" s="156" t="s">
        <v>185</v>
      </c>
      <c r="N475" s="3" t="n">
        <v>474</v>
      </c>
    </row>
    <row r="476" customFormat="false" ht="14.25" hidden="false" customHeight="false" outlineLevel="0" collapsed="false">
      <c r="A476" s="1" t="n">
        <v>349</v>
      </c>
      <c r="B476" s="1" t="s">
        <v>702</v>
      </c>
      <c r="C476" s="1" t="s">
        <v>703</v>
      </c>
      <c r="D476" s="1" t="n">
        <v>11197</v>
      </c>
      <c r="E476" s="1" t="s">
        <v>53</v>
      </c>
      <c r="F476" s="201" t="n">
        <v>200025889003</v>
      </c>
      <c r="G476" s="198" t="s">
        <v>706</v>
      </c>
      <c r="H476" s="163" t="s">
        <v>251</v>
      </c>
      <c r="I476" s="161" t="n">
        <v>22</v>
      </c>
      <c r="J476" s="156" t="s">
        <v>185</v>
      </c>
      <c r="K476" s="200" t="n">
        <v>45454.2716203704</v>
      </c>
      <c r="L476" s="1" t="n">
        <v>2</v>
      </c>
      <c r="M476" s="156" t="s">
        <v>185</v>
      </c>
      <c r="N476" s="3" t="n">
        <v>475</v>
      </c>
    </row>
    <row r="477" customFormat="false" ht="14.25" hidden="false" customHeight="false" outlineLevel="0" collapsed="false">
      <c r="A477" s="1" t="n">
        <v>350</v>
      </c>
      <c r="B477" s="1" t="s">
        <v>702</v>
      </c>
      <c r="C477" s="1" t="s">
        <v>703</v>
      </c>
      <c r="D477" s="1" t="n">
        <v>11197</v>
      </c>
      <c r="E477" s="1" t="s">
        <v>53</v>
      </c>
      <c r="F477" s="201" t="n">
        <v>200025889003</v>
      </c>
      <c r="G477" s="198" t="s">
        <v>706</v>
      </c>
      <c r="H477" s="163" t="s">
        <v>251</v>
      </c>
      <c r="I477" s="161" t="n">
        <v>22</v>
      </c>
      <c r="J477" s="156" t="s">
        <v>185</v>
      </c>
      <c r="K477" s="200" t="n">
        <v>45454.2716435185</v>
      </c>
      <c r="L477" s="207" t="n">
        <v>71</v>
      </c>
      <c r="M477" s="156" t="s">
        <v>185</v>
      </c>
      <c r="N477" s="1" t="n">
        <v>476</v>
      </c>
    </row>
    <row r="478" customFormat="false" ht="14.25" hidden="false" customHeight="false" outlineLevel="0" collapsed="false">
      <c r="A478" s="1" t="n">
        <v>351</v>
      </c>
      <c r="B478" s="1" t="s">
        <v>702</v>
      </c>
      <c r="C478" s="1" t="s">
        <v>703</v>
      </c>
      <c r="D478" s="1" t="n">
        <v>11197</v>
      </c>
      <c r="E478" s="1" t="s">
        <v>53</v>
      </c>
      <c r="F478" s="201" t="n">
        <v>200025889003</v>
      </c>
      <c r="G478" s="198" t="s">
        <v>706</v>
      </c>
      <c r="H478" s="163" t="s">
        <v>251</v>
      </c>
      <c r="I478" s="161" t="n">
        <v>22</v>
      </c>
      <c r="J478" s="156" t="s">
        <v>185</v>
      </c>
      <c r="K478" s="200" t="n">
        <v>45454.3176967593</v>
      </c>
      <c r="L478" s="1" t="n">
        <v>0</v>
      </c>
      <c r="M478" s="156" t="s">
        <v>185</v>
      </c>
      <c r="N478" s="1" t="n">
        <v>477</v>
      </c>
    </row>
    <row r="479" customFormat="false" ht="14.25" hidden="false" customHeight="false" outlineLevel="0" collapsed="false">
      <c r="A479" s="1" t="n">
        <v>352</v>
      </c>
      <c r="B479" s="1" t="s">
        <v>702</v>
      </c>
      <c r="C479" s="1" t="s">
        <v>703</v>
      </c>
      <c r="D479" s="1" t="n">
        <v>11197</v>
      </c>
      <c r="E479" s="1" t="s">
        <v>53</v>
      </c>
      <c r="F479" s="201" t="n">
        <v>200025889003</v>
      </c>
      <c r="G479" s="198" t="s">
        <v>706</v>
      </c>
      <c r="H479" s="163" t="s">
        <v>251</v>
      </c>
      <c r="I479" s="161" t="n">
        <v>22</v>
      </c>
      <c r="J479" s="156" t="s">
        <v>185</v>
      </c>
      <c r="K479" s="200" t="n">
        <v>45454.3186574074</v>
      </c>
      <c r="L479" s="1" t="n">
        <v>1</v>
      </c>
      <c r="M479" s="156" t="s">
        <v>185</v>
      </c>
      <c r="N479" s="1" t="n">
        <v>478</v>
      </c>
    </row>
    <row r="480" customFormat="false" ht="14.25" hidden="false" customHeight="false" outlineLevel="0" collapsed="false">
      <c r="A480" s="1" t="n">
        <v>353</v>
      </c>
      <c r="B480" s="1" t="s">
        <v>702</v>
      </c>
      <c r="C480" s="1" t="s">
        <v>703</v>
      </c>
      <c r="D480" s="1" t="n">
        <v>11197</v>
      </c>
      <c r="E480" s="1" t="s">
        <v>53</v>
      </c>
      <c r="F480" s="201" t="n">
        <v>200025889003</v>
      </c>
      <c r="G480" s="198" t="s">
        <v>706</v>
      </c>
      <c r="H480" s="163" t="s">
        <v>251</v>
      </c>
      <c r="I480" s="161" t="n">
        <v>22</v>
      </c>
      <c r="J480" s="156" t="s">
        <v>185</v>
      </c>
      <c r="K480" s="200" t="n">
        <v>45454.3194791667</v>
      </c>
      <c r="L480" s="1" t="n">
        <v>2</v>
      </c>
      <c r="M480" s="156" t="s">
        <v>185</v>
      </c>
      <c r="N480" s="3" t="n">
        <v>479</v>
      </c>
    </row>
    <row r="481" customFormat="false" ht="14.25" hidden="false" customHeight="false" outlineLevel="0" collapsed="false">
      <c r="A481" s="1" t="n">
        <v>354</v>
      </c>
      <c r="B481" s="1" t="s">
        <v>702</v>
      </c>
      <c r="C481" s="1" t="s">
        <v>703</v>
      </c>
      <c r="D481" s="1" t="n">
        <v>11197</v>
      </c>
      <c r="E481" s="1" t="s">
        <v>53</v>
      </c>
      <c r="F481" s="201" t="n">
        <v>200025888490</v>
      </c>
      <c r="G481" s="198" t="s">
        <v>679</v>
      </c>
      <c r="H481" s="172" t="n">
        <v>31334</v>
      </c>
      <c r="I481" s="170" t="n">
        <v>116</v>
      </c>
      <c r="J481" s="169" t="s">
        <v>185</v>
      </c>
      <c r="K481" s="200" t="n">
        <v>45454.4865162037</v>
      </c>
      <c r="L481" s="1" t="n">
        <v>0</v>
      </c>
      <c r="M481" s="169" t="s">
        <v>185</v>
      </c>
      <c r="N481" s="3" t="n">
        <v>480</v>
      </c>
    </row>
    <row r="482" customFormat="false" ht="14.25" hidden="false" customHeight="false" outlineLevel="0" collapsed="false">
      <c r="A482" s="1" t="n">
        <v>293</v>
      </c>
      <c r="B482" s="1" t="s">
        <v>565</v>
      </c>
      <c r="C482" s="1" t="s">
        <v>566</v>
      </c>
      <c r="D482" s="1" t="n">
        <v>11197</v>
      </c>
      <c r="E482" s="1" t="s">
        <v>53</v>
      </c>
      <c r="F482" s="198" t="n">
        <v>200025888174</v>
      </c>
      <c r="G482" s="198" t="s">
        <v>676</v>
      </c>
      <c r="H482" s="163" t="s">
        <v>203</v>
      </c>
      <c r="I482" s="161" t="n">
        <v>45</v>
      </c>
      <c r="J482" s="156" t="s">
        <v>185</v>
      </c>
      <c r="K482" s="199" t="n">
        <v>45456.4585532407</v>
      </c>
      <c r="L482" s="1" t="n">
        <v>1</v>
      </c>
      <c r="M482" s="156" t="s">
        <v>185</v>
      </c>
      <c r="N482" s="1" t="n">
        <v>481</v>
      </c>
    </row>
    <row r="483" customFormat="false" ht="14.25" hidden="false" customHeight="false" outlineLevel="0" collapsed="false">
      <c r="A483" s="1" t="n">
        <v>294</v>
      </c>
      <c r="B483" s="1" t="s">
        <v>565</v>
      </c>
      <c r="C483" s="1" t="s">
        <v>566</v>
      </c>
      <c r="D483" s="1" t="n">
        <v>11197</v>
      </c>
      <c r="E483" s="1" t="s">
        <v>53</v>
      </c>
      <c r="F483" s="198" t="n">
        <v>200025888174</v>
      </c>
      <c r="G483" s="198" t="s">
        <v>676</v>
      </c>
      <c r="H483" s="163" t="s">
        <v>203</v>
      </c>
      <c r="I483" s="161" t="n">
        <v>45</v>
      </c>
      <c r="J483" s="156" t="s">
        <v>185</v>
      </c>
      <c r="K483" s="199" t="n">
        <v>45456.4585763889</v>
      </c>
      <c r="L483" s="1" t="n">
        <v>0</v>
      </c>
      <c r="M483" s="156" t="s">
        <v>185</v>
      </c>
      <c r="N483" s="1" t="n">
        <v>482</v>
      </c>
    </row>
    <row r="484" customFormat="false" ht="14.25" hidden="false" customHeight="false" outlineLevel="0" collapsed="false">
      <c r="A484" s="1" t="n">
        <v>355</v>
      </c>
      <c r="B484" s="1" t="s">
        <v>702</v>
      </c>
      <c r="C484" s="1" t="s">
        <v>703</v>
      </c>
      <c r="D484" s="1" t="n">
        <v>11197</v>
      </c>
      <c r="E484" s="1" t="s">
        <v>53</v>
      </c>
      <c r="F484" s="201" t="n">
        <v>200025888527</v>
      </c>
      <c r="G484" s="198" t="s">
        <v>665</v>
      </c>
      <c r="H484" s="163" t="s">
        <v>339</v>
      </c>
      <c r="I484" s="161" t="n">
        <v>92</v>
      </c>
      <c r="J484" s="156" t="s">
        <v>185</v>
      </c>
      <c r="K484" s="200" t="n">
        <v>45457.486875</v>
      </c>
      <c r="L484" s="1" t="n">
        <v>0</v>
      </c>
      <c r="M484" s="156" t="s">
        <v>185</v>
      </c>
      <c r="N484" s="1" t="n">
        <v>483</v>
      </c>
    </row>
    <row r="485" customFormat="false" ht="14.25" hidden="false" customHeight="false" outlineLevel="0" collapsed="false">
      <c r="A485" s="1" t="n">
        <v>87</v>
      </c>
      <c r="B485" s="1" t="s">
        <v>643</v>
      </c>
      <c r="C485" s="1" t="s">
        <v>644</v>
      </c>
      <c r="D485" s="1" t="n">
        <v>11171</v>
      </c>
      <c r="E485" s="1" t="s">
        <v>55</v>
      </c>
      <c r="F485" s="201" t="n">
        <v>200025888637</v>
      </c>
      <c r="G485" s="198" t="s">
        <v>669</v>
      </c>
      <c r="H485" s="163" t="s">
        <v>206</v>
      </c>
      <c r="I485" s="161" t="n">
        <v>4</v>
      </c>
      <c r="J485" s="156" t="s">
        <v>185</v>
      </c>
      <c r="K485" s="200" t="n">
        <v>45458.4188657407</v>
      </c>
      <c r="L485" s="1" t="n">
        <v>1</v>
      </c>
      <c r="M485" s="156" t="s">
        <v>185</v>
      </c>
      <c r="N485" s="3" t="n">
        <v>484</v>
      </c>
    </row>
    <row r="486" customFormat="false" ht="14.25" hidden="false" customHeight="false" outlineLevel="0" collapsed="false">
      <c r="A486" s="1" t="n">
        <v>88</v>
      </c>
      <c r="B486" s="1" t="s">
        <v>643</v>
      </c>
      <c r="C486" s="1" t="s">
        <v>644</v>
      </c>
      <c r="D486" s="196" t="n">
        <v>2568</v>
      </c>
      <c r="E486" s="196" t="s">
        <v>51</v>
      </c>
      <c r="F486" s="201" t="n">
        <v>200025888809</v>
      </c>
      <c r="G486" s="198" t="s">
        <v>645</v>
      </c>
      <c r="H486" s="163" t="s">
        <v>186</v>
      </c>
      <c r="I486" s="161" t="n">
        <v>1</v>
      </c>
      <c r="J486" s="156" t="s">
        <v>185</v>
      </c>
      <c r="K486" s="200" t="n">
        <v>45461.4838078704</v>
      </c>
      <c r="L486" s="1" t="n">
        <v>1</v>
      </c>
      <c r="M486" s="156" t="s">
        <v>185</v>
      </c>
      <c r="N486" s="3" t="n">
        <v>485</v>
      </c>
    </row>
    <row r="487" customFormat="false" ht="14.25" hidden="false" customHeight="false" outlineLevel="0" collapsed="false">
      <c r="A487" s="1" t="n">
        <v>89</v>
      </c>
      <c r="B487" s="1" t="s">
        <v>643</v>
      </c>
      <c r="C487" s="1" t="s">
        <v>644</v>
      </c>
      <c r="D487" s="196" t="n">
        <v>2568</v>
      </c>
      <c r="E487" s="196" t="s">
        <v>51</v>
      </c>
      <c r="F487" s="201" t="n">
        <v>200025888293</v>
      </c>
      <c r="G487" s="198" t="s">
        <v>618</v>
      </c>
      <c r="H487" s="163" t="s">
        <v>306</v>
      </c>
      <c r="I487" s="161" t="n">
        <v>96</v>
      </c>
      <c r="J487" s="156" t="s">
        <v>185</v>
      </c>
      <c r="K487" s="200" t="n">
        <v>45461.7305787037</v>
      </c>
      <c r="L487" s="1" t="n">
        <v>1</v>
      </c>
      <c r="M487" s="156" t="s">
        <v>185</v>
      </c>
      <c r="N487" s="1" t="n">
        <v>486</v>
      </c>
    </row>
    <row r="488" customFormat="false" ht="14.25" hidden="false" customHeight="false" outlineLevel="0" collapsed="false">
      <c r="A488" s="1" t="n">
        <v>90</v>
      </c>
      <c r="B488" s="1" t="s">
        <v>643</v>
      </c>
      <c r="C488" s="1" t="s">
        <v>644</v>
      </c>
      <c r="D488" s="196" t="n">
        <v>2568</v>
      </c>
      <c r="E488" s="196" t="s">
        <v>51</v>
      </c>
      <c r="F488" s="201" t="n">
        <v>200025888716</v>
      </c>
      <c r="G488" s="198" t="s">
        <v>646</v>
      </c>
      <c r="H488" s="163" t="s">
        <v>336</v>
      </c>
      <c r="I488" s="161" t="n">
        <v>64</v>
      </c>
      <c r="J488" s="156" t="s">
        <v>185</v>
      </c>
      <c r="K488" s="200" t="n">
        <v>45461.7336342593</v>
      </c>
      <c r="L488" s="1" t="n">
        <v>1</v>
      </c>
      <c r="M488" s="156" t="s">
        <v>185</v>
      </c>
      <c r="N488" s="1" t="n">
        <v>487</v>
      </c>
    </row>
    <row r="489" customFormat="false" ht="14.25" hidden="false" customHeight="false" outlineLevel="0" collapsed="false">
      <c r="A489" s="1" t="n">
        <v>22</v>
      </c>
      <c r="B489" s="1" t="s">
        <v>621</v>
      </c>
      <c r="C489" s="1" t="s">
        <v>622</v>
      </c>
      <c r="D489" s="1" t="n">
        <v>11171</v>
      </c>
      <c r="E489" s="1" t="s">
        <v>55</v>
      </c>
      <c r="F489" s="201" t="n">
        <v>200025889333</v>
      </c>
      <c r="G489" s="198" t="s">
        <v>652</v>
      </c>
      <c r="H489" s="163" t="s">
        <v>445</v>
      </c>
      <c r="I489" s="161" t="n">
        <v>50</v>
      </c>
      <c r="J489" s="156" t="s">
        <v>192</v>
      </c>
      <c r="K489" s="200" t="n">
        <v>45433.474212963</v>
      </c>
      <c r="L489" s="1" t="n">
        <v>0</v>
      </c>
      <c r="M489" s="156" t="s">
        <v>192</v>
      </c>
      <c r="N489" s="1" t="n">
        <v>1</v>
      </c>
    </row>
    <row r="490" customFormat="false" ht="14.25" hidden="false" customHeight="false" outlineLevel="0" collapsed="false">
      <c r="A490" s="1" t="n">
        <v>23</v>
      </c>
      <c r="B490" s="1" t="s">
        <v>621</v>
      </c>
      <c r="C490" s="1" t="s">
        <v>622</v>
      </c>
      <c r="D490" s="1" t="n">
        <v>11171</v>
      </c>
      <c r="E490" s="1" t="s">
        <v>55</v>
      </c>
      <c r="F490" s="201" t="n">
        <v>200025889333</v>
      </c>
      <c r="G490" s="198" t="s">
        <v>652</v>
      </c>
      <c r="H490" s="163" t="s">
        <v>445</v>
      </c>
      <c r="I490" s="161" t="n">
        <v>50</v>
      </c>
      <c r="J490" s="156" t="s">
        <v>192</v>
      </c>
      <c r="K490" s="200" t="n">
        <v>45433.474224537</v>
      </c>
      <c r="L490" s="1" t="n">
        <v>1</v>
      </c>
      <c r="M490" s="156" t="s">
        <v>192</v>
      </c>
      <c r="N490" s="1" t="n">
        <v>2</v>
      </c>
    </row>
    <row r="491" customFormat="false" ht="14.25" hidden="false" customHeight="false" outlineLevel="0" collapsed="false">
      <c r="A491" s="1" t="n">
        <v>24</v>
      </c>
      <c r="B491" s="1" t="s">
        <v>621</v>
      </c>
      <c r="C491" s="1" t="s">
        <v>622</v>
      </c>
      <c r="D491" s="1" t="n">
        <v>11171</v>
      </c>
      <c r="E491" s="1" t="s">
        <v>55</v>
      </c>
      <c r="F491" s="201" t="n">
        <v>200025889333</v>
      </c>
      <c r="G491" s="198" t="s">
        <v>652</v>
      </c>
      <c r="H491" s="163" t="s">
        <v>445</v>
      </c>
      <c r="I491" s="161" t="n">
        <v>50</v>
      </c>
      <c r="J491" s="156" t="s">
        <v>192</v>
      </c>
      <c r="K491" s="200" t="n">
        <v>45433.474375</v>
      </c>
      <c r="L491" s="1" t="n">
        <v>3</v>
      </c>
      <c r="M491" s="156" t="s">
        <v>192</v>
      </c>
      <c r="N491" s="1" t="n">
        <v>3</v>
      </c>
    </row>
    <row r="492" customFormat="false" ht="14.25" hidden="false" customHeight="false" outlineLevel="0" collapsed="false">
      <c r="A492" s="1" t="n">
        <v>18</v>
      </c>
      <c r="B492" s="1" t="s">
        <v>624</v>
      </c>
      <c r="C492" s="1" t="s">
        <v>625</v>
      </c>
      <c r="D492" s="1" t="n">
        <v>21261</v>
      </c>
      <c r="E492" s="1" t="s">
        <v>57</v>
      </c>
      <c r="F492" s="201" t="n">
        <v>200025889333</v>
      </c>
      <c r="G492" s="198" t="s">
        <v>652</v>
      </c>
      <c r="H492" s="163" t="s">
        <v>445</v>
      </c>
      <c r="I492" s="161" t="n">
        <v>50</v>
      </c>
      <c r="J492" s="156" t="s">
        <v>192</v>
      </c>
      <c r="K492" s="200" t="n">
        <v>45433.5341782407</v>
      </c>
      <c r="L492" s="1" t="n">
        <v>2</v>
      </c>
      <c r="M492" s="156" t="s">
        <v>192</v>
      </c>
      <c r="N492" s="1" t="n">
        <v>4</v>
      </c>
    </row>
    <row r="493" customFormat="false" ht="14.25" hidden="false" customHeight="false" outlineLevel="0" collapsed="false">
      <c r="A493" s="1" t="n">
        <v>25</v>
      </c>
      <c r="B493" s="1" t="s">
        <v>621</v>
      </c>
      <c r="C493" s="1" t="s">
        <v>622</v>
      </c>
      <c r="D493" s="1" t="n">
        <v>11171</v>
      </c>
      <c r="E493" s="1" t="s">
        <v>55</v>
      </c>
      <c r="F493" s="201" t="n">
        <v>200025889333</v>
      </c>
      <c r="G493" s="198" t="s">
        <v>652</v>
      </c>
      <c r="H493" s="163" t="s">
        <v>445</v>
      </c>
      <c r="I493" s="161" t="n">
        <v>50</v>
      </c>
      <c r="J493" s="156" t="s">
        <v>192</v>
      </c>
      <c r="K493" s="200" t="n">
        <v>45433.6406944444</v>
      </c>
      <c r="L493" s="1" t="n">
        <v>0</v>
      </c>
      <c r="M493" s="156" t="s">
        <v>192</v>
      </c>
      <c r="N493" s="1" t="n">
        <v>5</v>
      </c>
    </row>
    <row r="494" customFormat="false" ht="14.25" hidden="false" customHeight="false" outlineLevel="0" collapsed="false">
      <c r="A494" s="1" t="n">
        <v>26</v>
      </c>
      <c r="B494" s="1" t="s">
        <v>621</v>
      </c>
      <c r="C494" s="1" t="s">
        <v>622</v>
      </c>
      <c r="D494" s="1" t="n">
        <v>11171</v>
      </c>
      <c r="E494" s="1" t="s">
        <v>55</v>
      </c>
      <c r="F494" s="201" t="n">
        <v>200025889333</v>
      </c>
      <c r="G494" s="198" t="s">
        <v>652</v>
      </c>
      <c r="H494" s="163" t="s">
        <v>445</v>
      </c>
      <c r="I494" s="161" t="n">
        <v>50</v>
      </c>
      <c r="J494" s="156" t="s">
        <v>192</v>
      </c>
      <c r="K494" s="200" t="n">
        <v>45433.6407060185</v>
      </c>
      <c r="L494" s="1" t="n">
        <v>0</v>
      </c>
      <c r="M494" s="156" t="s">
        <v>192</v>
      </c>
      <c r="N494" s="1" t="n">
        <v>6</v>
      </c>
    </row>
    <row r="495" customFormat="false" ht="14.25" hidden="false" customHeight="false" outlineLevel="0" collapsed="false">
      <c r="A495" s="1" t="n">
        <v>27</v>
      </c>
      <c r="B495" s="1" t="s">
        <v>621</v>
      </c>
      <c r="C495" s="1" t="s">
        <v>622</v>
      </c>
      <c r="D495" s="1" t="n">
        <v>11171</v>
      </c>
      <c r="E495" s="1" t="s">
        <v>55</v>
      </c>
      <c r="F495" s="201" t="n">
        <v>200025888828</v>
      </c>
      <c r="G495" s="198" t="s">
        <v>606</v>
      </c>
      <c r="H495" s="163" t="s">
        <v>456</v>
      </c>
      <c r="I495" s="161" t="n">
        <v>113</v>
      </c>
      <c r="J495" s="156" t="s">
        <v>192</v>
      </c>
      <c r="K495" s="200" t="n">
        <v>45433.6459143519</v>
      </c>
      <c r="L495" s="1" t="n">
        <v>0</v>
      </c>
      <c r="M495" s="156" t="s">
        <v>192</v>
      </c>
      <c r="N495" s="1" t="n">
        <v>7</v>
      </c>
    </row>
    <row r="496" customFormat="false" ht="14.25" hidden="false" customHeight="false" outlineLevel="0" collapsed="false">
      <c r="A496" s="1" t="n">
        <v>19</v>
      </c>
      <c r="B496" s="1" t="s">
        <v>624</v>
      </c>
      <c r="C496" s="1" t="s">
        <v>625</v>
      </c>
      <c r="D496" s="1" t="n">
        <v>21261</v>
      </c>
      <c r="E496" s="1" t="s">
        <v>57</v>
      </c>
      <c r="F496" s="201" t="n">
        <v>200025889333</v>
      </c>
      <c r="G496" s="198" t="s">
        <v>652</v>
      </c>
      <c r="H496" s="163" t="s">
        <v>445</v>
      </c>
      <c r="I496" s="161" t="n">
        <v>50</v>
      </c>
      <c r="J496" s="156" t="s">
        <v>192</v>
      </c>
      <c r="K496" s="200" t="n">
        <v>45433.6460300926</v>
      </c>
      <c r="L496" s="1" t="n">
        <v>1</v>
      </c>
      <c r="M496" s="156" t="s">
        <v>192</v>
      </c>
      <c r="N496" s="1" t="n">
        <v>8</v>
      </c>
    </row>
    <row r="497" customFormat="false" ht="14.25" hidden="false" customHeight="false" outlineLevel="0" collapsed="false">
      <c r="A497" s="1" t="n">
        <v>28</v>
      </c>
      <c r="B497" s="1" t="s">
        <v>621</v>
      </c>
      <c r="C497" s="1" t="s">
        <v>622</v>
      </c>
      <c r="D497" s="1" t="n">
        <v>11171</v>
      </c>
      <c r="E497" s="1" t="s">
        <v>55</v>
      </c>
      <c r="F497" s="201" t="n">
        <v>200025888864</v>
      </c>
      <c r="G497" s="198" t="s">
        <v>590</v>
      </c>
      <c r="H497" s="163" t="s">
        <v>474</v>
      </c>
      <c r="I497" s="161" t="n">
        <v>87</v>
      </c>
      <c r="J497" s="156" t="s">
        <v>192</v>
      </c>
      <c r="K497" s="200" t="n">
        <v>45433.6464814815</v>
      </c>
      <c r="L497" s="1" t="n">
        <v>0</v>
      </c>
      <c r="M497" s="156" t="s">
        <v>192</v>
      </c>
      <c r="N497" s="1" t="n">
        <v>9</v>
      </c>
    </row>
    <row r="498" customFormat="false" ht="14.25" hidden="false" customHeight="false" outlineLevel="0" collapsed="false">
      <c r="A498" s="1" t="n">
        <v>29</v>
      </c>
      <c r="B498" s="1" t="s">
        <v>621</v>
      </c>
      <c r="C498" s="1" t="s">
        <v>622</v>
      </c>
      <c r="D498" s="1" t="n">
        <v>11171</v>
      </c>
      <c r="E498" s="1" t="s">
        <v>55</v>
      </c>
      <c r="F498" s="201" t="n">
        <v>200025888864</v>
      </c>
      <c r="G498" s="198" t="s">
        <v>590</v>
      </c>
      <c r="H498" s="163" t="s">
        <v>474</v>
      </c>
      <c r="I498" s="161" t="n">
        <v>87</v>
      </c>
      <c r="J498" s="156" t="s">
        <v>192</v>
      </c>
      <c r="K498" s="200" t="n">
        <v>45433.6464930556</v>
      </c>
      <c r="L498" s="1" t="n">
        <v>0</v>
      </c>
      <c r="M498" s="156" t="s">
        <v>192</v>
      </c>
      <c r="N498" s="1" t="n">
        <v>10</v>
      </c>
    </row>
    <row r="499" customFormat="false" ht="14.25" hidden="false" customHeight="false" outlineLevel="0" collapsed="false">
      <c r="A499" s="1" t="n">
        <v>30</v>
      </c>
      <c r="B499" s="1" t="s">
        <v>621</v>
      </c>
      <c r="C499" s="1" t="s">
        <v>622</v>
      </c>
      <c r="D499" s="1" t="n">
        <v>11171</v>
      </c>
      <c r="E499" s="1" t="s">
        <v>55</v>
      </c>
      <c r="F499" s="201" t="n">
        <v>200025888864</v>
      </c>
      <c r="G499" s="198" t="s">
        <v>590</v>
      </c>
      <c r="H499" s="163" t="s">
        <v>474</v>
      </c>
      <c r="I499" s="161" t="n">
        <v>87</v>
      </c>
      <c r="J499" s="156" t="s">
        <v>192</v>
      </c>
      <c r="K499" s="200" t="n">
        <v>45433.6465046296</v>
      </c>
      <c r="L499" s="1" t="n">
        <v>1</v>
      </c>
      <c r="M499" s="156" t="s">
        <v>192</v>
      </c>
      <c r="N499" s="1" t="n">
        <v>11</v>
      </c>
    </row>
    <row r="500" customFormat="false" ht="14.25" hidden="false" customHeight="false" outlineLevel="0" collapsed="false">
      <c r="A500" s="1" t="n">
        <v>31</v>
      </c>
      <c r="B500" s="1" t="s">
        <v>621</v>
      </c>
      <c r="C500" s="1" t="s">
        <v>622</v>
      </c>
      <c r="D500" s="1" t="n">
        <v>11171</v>
      </c>
      <c r="E500" s="1" t="s">
        <v>55</v>
      </c>
      <c r="F500" s="201" t="n">
        <v>200025888864</v>
      </c>
      <c r="G500" s="198" t="s">
        <v>590</v>
      </c>
      <c r="H500" s="163" t="s">
        <v>474</v>
      </c>
      <c r="I500" s="161" t="n">
        <v>87</v>
      </c>
      <c r="J500" s="156" t="s">
        <v>192</v>
      </c>
      <c r="K500" s="200" t="n">
        <v>45433.647650463</v>
      </c>
      <c r="L500" s="1" t="n">
        <v>1</v>
      </c>
      <c r="M500" s="156" t="s">
        <v>192</v>
      </c>
      <c r="N500" s="1" t="n">
        <v>12</v>
      </c>
    </row>
    <row r="501" customFormat="false" ht="14.25" hidden="false" customHeight="false" outlineLevel="0" collapsed="false">
      <c r="A501" s="1" t="n">
        <v>20</v>
      </c>
      <c r="B501" s="1" t="s">
        <v>624</v>
      </c>
      <c r="C501" s="1" t="s">
        <v>625</v>
      </c>
      <c r="D501" s="1" t="n">
        <v>21261</v>
      </c>
      <c r="E501" s="1" t="s">
        <v>57</v>
      </c>
      <c r="F501" s="201" t="n">
        <v>200025889333</v>
      </c>
      <c r="G501" s="198" t="s">
        <v>652</v>
      </c>
      <c r="H501" s="163" t="s">
        <v>445</v>
      </c>
      <c r="I501" s="161" t="n">
        <v>50</v>
      </c>
      <c r="J501" s="156" t="s">
        <v>192</v>
      </c>
      <c r="K501" s="200" t="n">
        <v>45433.6780671296</v>
      </c>
      <c r="L501" s="1" t="n">
        <v>1</v>
      </c>
      <c r="M501" s="156" t="s">
        <v>192</v>
      </c>
      <c r="N501" s="1" t="n">
        <v>13</v>
      </c>
    </row>
    <row r="502" customFormat="false" ht="14.25" hidden="false" customHeight="false" outlineLevel="0" collapsed="false">
      <c r="A502" s="1" t="n">
        <v>21</v>
      </c>
      <c r="B502" s="1" t="s">
        <v>624</v>
      </c>
      <c r="C502" s="1" t="s">
        <v>625</v>
      </c>
      <c r="D502" s="1" t="n">
        <v>21261</v>
      </c>
      <c r="E502" s="1" t="s">
        <v>57</v>
      </c>
      <c r="F502" s="201" t="n">
        <v>200025888479</v>
      </c>
      <c r="G502" s="198" t="s">
        <v>640</v>
      </c>
      <c r="H502" s="163" t="s">
        <v>254</v>
      </c>
      <c r="I502" s="161" t="n">
        <v>9</v>
      </c>
      <c r="J502" s="156" t="s">
        <v>192</v>
      </c>
      <c r="K502" s="200" t="n">
        <v>45433.7053587963</v>
      </c>
      <c r="L502" s="10" t="n">
        <v>2083</v>
      </c>
      <c r="M502" s="156" t="s">
        <v>192</v>
      </c>
      <c r="N502" s="1" t="n">
        <v>14</v>
      </c>
    </row>
    <row r="503" customFormat="false" ht="14.25" hidden="false" customHeight="false" outlineLevel="0" collapsed="false">
      <c r="A503" s="1" t="n">
        <v>22</v>
      </c>
      <c r="B503" s="1" t="s">
        <v>624</v>
      </c>
      <c r="C503" s="1" t="s">
        <v>625</v>
      </c>
      <c r="D503" s="1" t="n">
        <v>21261</v>
      </c>
      <c r="E503" s="1" t="s">
        <v>57</v>
      </c>
      <c r="F503" s="201" t="n">
        <v>200025888864</v>
      </c>
      <c r="G503" s="198" t="s">
        <v>590</v>
      </c>
      <c r="H503" s="163" t="s">
        <v>474</v>
      </c>
      <c r="I503" s="161" t="n">
        <v>87</v>
      </c>
      <c r="J503" s="156" t="s">
        <v>192</v>
      </c>
      <c r="K503" s="200" t="n">
        <v>45433.7299074074</v>
      </c>
      <c r="L503" s="1" t="n">
        <v>28</v>
      </c>
      <c r="M503" s="156" t="s">
        <v>192</v>
      </c>
      <c r="N503" s="1" t="n">
        <v>15</v>
      </c>
    </row>
    <row r="504" customFormat="false" ht="14.25" hidden="false" customHeight="false" outlineLevel="0" collapsed="false">
      <c r="A504" s="1" t="n">
        <v>23</v>
      </c>
      <c r="B504" s="1" t="s">
        <v>624</v>
      </c>
      <c r="C504" s="1" t="s">
        <v>625</v>
      </c>
      <c r="D504" s="1" t="n">
        <v>21261</v>
      </c>
      <c r="E504" s="1" t="s">
        <v>57</v>
      </c>
      <c r="F504" s="201" t="n">
        <v>200025888864</v>
      </c>
      <c r="G504" s="198" t="s">
        <v>590</v>
      </c>
      <c r="H504" s="163" t="s">
        <v>474</v>
      </c>
      <c r="I504" s="161" t="n">
        <v>87</v>
      </c>
      <c r="J504" s="156" t="s">
        <v>192</v>
      </c>
      <c r="K504" s="200" t="n">
        <v>45433.7303935185</v>
      </c>
      <c r="L504" s="1" t="n">
        <v>0</v>
      </c>
      <c r="M504" s="156" t="s">
        <v>192</v>
      </c>
      <c r="N504" s="1" t="n">
        <v>16</v>
      </c>
    </row>
    <row r="505" customFormat="false" ht="14.25" hidden="false" customHeight="false" outlineLevel="0" collapsed="false">
      <c r="A505" s="1" t="n">
        <v>24</v>
      </c>
      <c r="B505" s="1" t="s">
        <v>624</v>
      </c>
      <c r="C505" s="1" t="s">
        <v>625</v>
      </c>
      <c r="D505" s="1" t="n">
        <v>21261</v>
      </c>
      <c r="E505" s="1" t="s">
        <v>57</v>
      </c>
      <c r="F505" s="201" t="n">
        <v>200025888864</v>
      </c>
      <c r="G505" s="198" t="s">
        <v>590</v>
      </c>
      <c r="H505" s="163" t="s">
        <v>474</v>
      </c>
      <c r="I505" s="161" t="n">
        <v>87</v>
      </c>
      <c r="J505" s="156" t="s">
        <v>192</v>
      </c>
      <c r="K505" s="200" t="n">
        <v>45433.7304861111</v>
      </c>
      <c r="L505" s="1" t="n">
        <v>1</v>
      </c>
      <c r="M505" s="156" t="s">
        <v>192</v>
      </c>
      <c r="N505" s="1" t="n">
        <v>17</v>
      </c>
    </row>
    <row r="506" customFormat="false" ht="14.25" hidden="false" customHeight="false" outlineLevel="0" collapsed="false">
      <c r="A506" s="1" t="n">
        <v>25</v>
      </c>
      <c r="B506" s="1" t="s">
        <v>624</v>
      </c>
      <c r="C506" s="1" t="s">
        <v>625</v>
      </c>
      <c r="D506" s="1" t="n">
        <v>21261</v>
      </c>
      <c r="E506" s="1" t="s">
        <v>57</v>
      </c>
      <c r="F506" s="201" t="n">
        <v>200025889394</v>
      </c>
      <c r="G506" s="198" t="s">
        <v>662</v>
      </c>
      <c r="H506" s="163" t="s">
        <v>543</v>
      </c>
      <c r="I506" s="161" t="n">
        <v>120</v>
      </c>
      <c r="J506" s="156" t="s">
        <v>192</v>
      </c>
      <c r="K506" s="200" t="n">
        <v>45433.7520486111</v>
      </c>
      <c r="L506" s="1" t="n">
        <v>1</v>
      </c>
      <c r="M506" s="156" t="s">
        <v>192</v>
      </c>
      <c r="N506" s="1" t="n">
        <v>18</v>
      </c>
    </row>
    <row r="507" customFormat="false" ht="14.25" hidden="false" customHeight="false" outlineLevel="0" collapsed="false">
      <c r="A507" s="1" t="n">
        <v>26</v>
      </c>
      <c r="B507" s="1" t="s">
        <v>624</v>
      </c>
      <c r="C507" s="1" t="s">
        <v>625</v>
      </c>
      <c r="D507" s="1" t="n">
        <v>21261</v>
      </c>
      <c r="E507" s="1" t="s">
        <v>57</v>
      </c>
      <c r="F507" s="201" t="n">
        <v>200025889394</v>
      </c>
      <c r="G507" s="198" t="s">
        <v>662</v>
      </c>
      <c r="H507" s="163" t="s">
        <v>543</v>
      </c>
      <c r="I507" s="161" t="n">
        <v>120</v>
      </c>
      <c r="J507" s="156" t="s">
        <v>192</v>
      </c>
      <c r="K507" s="200" t="n">
        <v>45433.7520717593</v>
      </c>
      <c r="L507" s="1" t="n">
        <v>0</v>
      </c>
      <c r="M507" s="156" t="s">
        <v>192</v>
      </c>
      <c r="N507" s="1" t="n">
        <v>19</v>
      </c>
    </row>
    <row r="508" customFormat="false" ht="14.25" hidden="false" customHeight="false" outlineLevel="0" collapsed="false">
      <c r="A508" s="1" t="n">
        <v>27</v>
      </c>
      <c r="B508" s="1" t="s">
        <v>624</v>
      </c>
      <c r="C508" s="1" t="s">
        <v>625</v>
      </c>
      <c r="D508" s="1" t="n">
        <v>21261</v>
      </c>
      <c r="E508" s="1" t="s">
        <v>57</v>
      </c>
      <c r="F508" s="201" t="n">
        <v>200025889394</v>
      </c>
      <c r="G508" s="198" t="s">
        <v>662</v>
      </c>
      <c r="H508" s="163" t="s">
        <v>543</v>
      </c>
      <c r="I508" s="161" t="n">
        <v>120</v>
      </c>
      <c r="J508" s="156" t="s">
        <v>192</v>
      </c>
      <c r="K508" s="200" t="n">
        <v>45433.7545833333</v>
      </c>
      <c r="L508" s="1" t="n">
        <v>2</v>
      </c>
      <c r="M508" s="156" t="s">
        <v>192</v>
      </c>
      <c r="N508" s="1" t="n">
        <v>20</v>
      </c>
    </row>
    <row r="509" customFormat="false" ht="14.25" hidden="false" customHeight="false" outlineLevel="0" collapsed="false">
      <c r="A509" s="1" t="n">
        <v>28</v>
      </c>
      <c r="B509" s="1" t="s">
        <v>624</v>
      </c>
      <c r="C509" s="1" t="s">
        <v>625</v>
      </c>
      <c r="D509" s="1" t="n">
        <v>21261</v>
      </c>
      <c r="E509" s="1" t="s">
        <v>57</v>
      </c>
      <c r="F509" s="201" t="n">
        <v>200025889394</v>
      </c>
      <c r="G509" s="198" t="s">
        <v>662</v>
      </c>
      <c r="H509" s="163" t="s">
        <v>543</v>
      </c>
      <c r="I509" s="161" t="n">
        <v>120</v>
      </c>
      <c r="J509" s="156" t="s">
        <v>192</v>
      </c>
      <c r="K509" s="200" t="n">
        <v>45433.7548726852</v>
      </c>
      <c r="L509" s="1" t="n">
        <v>0</v>
      </c>
      <c r="M509" s="156" t="s">
        <v>192</v>
      </c>
      <c r="N509" s="1" t="n">
        <v>21</v>
      </c>
    </row>
    <row r="510" customFormat="false" ht="14.25" hidden="false" customHeight="false" outlineLevel="0" collapsed="false">
      <c r="A510" s="1" t="n">
        <v>29</v>
      </c>
      <c r="B510" s="1" t="s">
        <v>624</v>
      </c>
      <c r="C510" s="1" t="s">
        <v>625</v>
      </c>
      <c r="D510" s="1" t="n">
        <v>21261</v>
      </c>
      <c r="E510" s="1" t="s">
        <v>57</v>
      </c>
      <c r="F510" s="201" t="n">
        <v>200025889394</v>
      </c>
      <c r="G510" s="198" t="s">
        <v>662</v>
      </c>
      <c r="H510" s="163" t="s">
        <v>543</v>
      </c>
      <c r="I510" s="161" t="n">
        <v>120</v>
      </c>
      <c r="J510" s="156" t="s">
        <v>192</v>
      </c>
      <c r="K510" s="200" t="n">
        <v>45433.7557291667</v>
      </c>
      <c r="L510" s="1" t="n">
        <v>1</v>
      </c>
      <c r="M510" s="156" t="s">
        <v>192</v>
      </c>
      <c r="N510" s="1" t="n">
        <v>22</v>
      </c>
    </row>
    <row r="511" customFormat="false" ht="14.25" hidden="false" customHeight="false" outlineLevel="0" collapsed="false">
      <c r="A511" s="1" t="n">
        <v>30</v>
      </c>
      <c r="B511" s="1" t="s">
        <v>624</v>
      </c>
      <c r="C511" s="1" t="s">
        <v>625</v>
      </c>
      <c r="D511" s="1" t="n">
        <v>21261</v>
      </c>
      <c r="E511" s="1" t="s">
        <v>57</v>
      </c>
      <c r="F511" s="201" t="n">
        <v>200025889394</v>
      </c>
      <c r="G511" s="198" t="s">
        <v>662</v>
      </c>
      <c r="H511" s="163" t="s">
        <v>543</v>
      </c>
      <c r="I511" s="161" t="n">
        <v>120</v>
      </c>
      <c r="J511" s="156" t="s">
        <v>192</v>
      </c>
      <c r="K511" s="200" t="n">
        <v>45433.7557523148</v>
      </c>
      <c r="L511" s="1" t="n">
        <v>2</v>
      </c>
      <c r="M511" s="156" t="s">
        <v>192</v>
      </c>
      <c r="N511" s="1" t="n">
        <v>23</v>
      </c>
    </row>
    <row r="512" customFormat="false" ht="14.25" hidden="false" customHeight="false" outlineLevel="0" collapsed="false">
      <c r="A512" s="1" t="n">
        <v>32</v>
      </c>
      <c r="B512" s="1" t="s">
        <v>621</v>
      </c>
      <c r="C512" s="1" t="s">
        <v>622</v>
      </c>
      <c r="D512" s="1" t="n">
        <v>11171</v>
      </c>
      <c r="E512" s="1" t="s">
        <v>55</v>
      </c>
      <c r="F512" s="201" t="n">
        <v>200025889394</v>
      </c>
      <c r="G512" s="198" t="s">
        <v>662</v>
      </c>
      <c r="H512" s="163" t="s">
        <v>543</v>
      </c>
      <c r="I512" s="161" t="n">
        <v>120</v>
      </c>
      <c r="J512" s="156" t="s">
        <v>192</v>
      </c>
      <c r="K512" s="200" t="n">
        <v>45433.7613773148</v>
      </c>
      <c r="L512" s="1" t="n">
        <v>1</v>
      </c>
      <c r="M512" s="156" t="s">
        <v>192</v>
      </c>
      <c r="N512" s="1" t="n">
        <v>24</v>
      </c>
    </row>
    <row r="513" customFormat="false" ht="14.25" hidden="false" customHeight="false" outlineLevel="0" collapsed="false">
      <c r="A513" s="1" t="n">
        <v>33</v>
      </c>
      <c r="B513" s="1" t="s">
        <v>621</v>
      </c>
      <c r="C513" s="1" t="s">
        <v>622</v>
      </c>
      <c r="D513" s="1" t="n">
        <v>11171</v>
      </c>
      <c r="E513" s="1" t="s">
        <v>55</v>
      </c>
      <c r="F513" s="201" t="n">
        <v>200025889394</v>
      </c>
      <c r="G513" s="198" t="s">
        <v>662</v>
      </c>
      <c r="H513" s="163" t="s">
        <v>543</v>
      </c>
      <c r="I513" s="161" t="n">
        <v>120</v>
      </c>
      <c r="J513" s="156" t="s">
        <v>192</v>
      </c>
      <c r="K513" s="200" t="n">
        <v>45433.761400463</v>
      </c>
      <c r="L513" s="1" t="n">
        <v>1</v>
      </c>
      <c r="M513" s="156" t="s">
        <v>192</v>
      </c>
      <c r="N513" s="1" t="n">
        <v>25</v>
      </c>
    </row>
    <row r="514" customFormat="false" ht="14.25" hidden="false" customHeight="false" outlineLevel="0" collapsed="false">
      <c r="A514" s="1" t="n">
        <v>34</v>
      </c>
      <c r="B514" s="1" t="s">
        <v>621</v>
      </c>
      <c r="C514" s="1" t="s">
        <v>622</v>
      </c>
      <c r="D514" s="1" t="n">
        <v>11171</v>
      </c>
      <c r="E514" s="1" t="s">
        <v>55</v>
      </c>
      <c r="F514" s="201" t="n">
        <v>200025889394</v>
      </c>
      <c r="G514" s="198" t="s">
        <v>662</v>
      </c>
      <c r="H514" s="163" t="s">
        <v>543</v>
      </c>
      <c r="I514" s="161" t="n">
        <v>120</v>
      </c>
      <c r="J514" s="156" t="s">
        <v>192</v>
      </c>
      <c r="K514" s="200" t="n">
        <v>45433.7614236111</v>
      </c>
      <c r="L514" s="1" t="n">
        <v>1</v>
      </c>
      <c r="M514" s="156" t="s">
        <v>192</v>
      </c>
      <c r="N514" s="1" t="n">
        <v>26</v>
      </c>
    </row>
    <row r="515" customFormat="false" ht="14.25" hidden="false" customHeight="false" outlineLevel="0" collapsed="false">
      <c r="A515" s="1" t="n">
        <v>35</v>
      </c>
      <c r="B515" s="1" t="s">
        <v>621</v>
      </c>
      <c r="C515" s="1" t="s">
        <v>622</v>
      </c>
      <c r="D515" s="1" t="n">
        <v>11171</v>
      </c>
      <c r="E515" s="1" t="s">
        <v>55</v>
      </c>
      <c r="F515" s="201" t="n">
        <v>200025889394</v>
      </c>
      <c r="G515" s="198" t="s">
        <v>662</v>
      </c>
      <c r="H515" s="163" t="s">
        <v>543</v>
      </c>
      <c r="I515" s="161" t="n">
        <v>120</v>
      </c>
      <c r="J515" s="156" t="s">
        <v>192</v>
      </c>
      <c r="K515" s="200" t="n">
        <v>45433.7614351852</v>
      </c>
      <c r="L515" s="1" t="n">
        <v>0</v>
      </c>
      <c r="M515" s="156" t="s">
        <v>192</v>
      </c>
      <c r="N515" s="1" t="n">
        <v>27</v>
      </c>
    </row>
    <row r="516" customFormat="false" ht="14.25" hidden="false" customHeight="false" outlineLevel="0" collapsed="false">
      <c r="A516" s="1" t="n">
        <v>36</v>
      </c>
      <c r="B516" s="1" t="s">
        <v>621</v>
      </c>
      <c r="C516" s="1" t="s">
        <v>622</v>
      </c>
      <c r="D516" s="1" t="n">
        <v>11171</v>
      </c>
      <c r="E516" s="1" t="s">
        <v>55</v>
      </c>
      <c r="F516" s="201" t="n">
        <v>200025889394</v>
      </c>
      <c r="G516" s="198" t="s">
        <v>662</v>
      </c>
      <c r="H516" s="163" t="s">
        <v>543</v>
      </c>
      <c r="I516" s="161" t="n">
        <v>120</v>
      </c>
      <c r="J516" s="156" t="s">
        <v>192</v>
      </c>
      <c r="K516" s="200" t="n">
        <v>45433.7614467593</v>
      </c>
      <c r="L516" s="1" t="n">
        <v>1</v>
      </c>
      <c r="M516" s="156" t="s">
        <v>192</v>
      </c>
      <c r="N516" s="1" t="n">
        <v>28</v>
      </c>
    </row>
    <row r="517" customFormat="false" ht="14.25" hidden="false" customHeight="false" outlineLevel="0" collapsed="false">
      <c r="A517" s="1" t="n">
        <v>37</v>
      </c>
      <c r="B517" s="1" t="s">
        <v>621</v>
      </c>
      <c r="C517" s="1" t="s">
        <v>622</v>
      </c>
      <c r="D517" s="1" t="n">
        <v>11171</v>
      </c>
      <c r="E517" s="1" t="s">
        <v>55</v>
      </c>
      <c r="F517" s="201" t="n">
        <v>200025889394</v>
      </c>
      <c r="G517" s="198" t="s">
        <v>662</v>
      </c>
      <c r="H517" s="163" t="s">
        <v>543</v>
      </c>
      <c r="I517" s="161" t="n">
        <v>120</v>
      </c>
      <c r="J517" s="156" t="s">
        <v>192</v>
      </c>
      <c r="K517" s="200" t="n">
        <v>45433.7629861111</v>
      </c>
      <c r="L517" s="1" t="n">
        <v>7</v>
      </c>
      <c r="M517" s="156" t="s">
        <v>192</v>
      </c>
      <c r="N517" s="1" t="n">
        <v>29</v>
      </c>
    </row>
    <row r="518" customFormat="false" ht="14.25" hidden="false" customHeight="false" outlineLevel="0" collapsed="false">
      <c r="A518" s="1" t="n">
        <v>38</v>
      </c>
      <c r="B518" s="1" t="s">
        <v>621</v>
      </c>
      <c r="C518" s="1" t="s">
        <v>622</v>
      </c>
      <c r="D518" s="1" t="n">
        <v>11171</v>
      </c>
      <c r="E518" s="1" t="s">
        <v>55</v>
      </c>
      <c r="F518" s="201" t="n">
        <v>200025889394</v>
      </c>
      <c r="G518" s="198" t="s">
        <v>662</v>
      </c>
      <c r="H518" s="163" t="s">
        <v>543</v>
      </c>
      <c r="I518" s="161" t="n">
        <v>120</v>
      </c>
      <c r="J518" s="156" t="s">
        <v>192</v>
      </c>
      <c r="K518" s="200" t="n">
        <v>45433.7630787037</v>
      </c>
      <c r="L518" s="1" t="n">
        <v>1</v>
      </c>
      <c r="M518" s="156" t="s">
        <v>192</v>
      </c>
      <c r="N518" s="1" t="n">
        <v>30</v>
      </c>
    </row>
    <row r="519" customFormat="false" ht="14.25" hidden="false" customHeight="false" outlineLevel="0" collapsed="false">
      <c r="A519" s="1" t="n">
        <v>39</v>
      </c>
      <c r="B519" s="1" t="s">
        <v>621</v>
      </c>
      <c r="C519" s="1" t="s">
        <v>622</v>
      </c>
      <c r="D519" s="1" t="n">
        <v>11171</v>
      </c>
      <c r="E519" s="1" t="s">
        <v>55</v>
      </c>
      <c r="F519" s="201" t="n">
        <v>200025889394</v>
      </c>
      <c r="G519" s="198" t="s">
        <v>662</v>
      </c>
      <c r="H519" s="163" t="s">
        <v>543</v>
      </c>
      <c r="I519" s="161" t="n">
        <v>120</v>
      </c>
      <c r="J519" s="156" t="s">
        <v>192</v>
      </c>
      <c r="K519" s="200" t="n">
        <v>45433.7634375</v>
      </c>
      <c r="L519" s="1" t="n">
        <v>2</v>
      </c>
      <c r="M519" s="156" t="s">
        <v>192</v>
      </c>
      <c r="N519" s="1" t="n">
        <v>31</v>
      </c>
    </row>
    <row r="520" customFormat="false" ht="14.25" hidden="false" customHeight="false" outlineLevel="0" collapsed="false">
      <c r="A520" s="1" t="n">
        <v>40</v>
      </c>
      <c r="B520" s="1" t="s">
        <v>621</v>
      </c>
      <c r="C520" s="1" t="s">
        <v>622</v>
      </c>
      <c r="D520" s="1" t="n">
        <v>11171</v>
      </c>
      <c r="E520" s="1" t="s">
        <v>55</v>
      </c>
      <c r="F520" s="201" t="n">
        <v>200025889394</v>
      </c>
      <c r="G520" s="198" t="s">
        <v>662</v>
      </c>
      <c r="H520" s="163" t="s">
        <v>543</v>
      </c>
      <c r="I520" s="161" t="n">
        <v>120</v>
      </c>
      <c r="J520" s="156" t="s">
        <v>192</v>
      </c>
      <c r="K520" s="200" t="n">
        <v>45433.7634722222</v>
      </c>
      <c r="L520" s="1" t="n">
        <v>0</v>
      </c>
      <c r="M520" s="156" t="s">
        <v>192</v>
      </c>
      <c r="N520" s="1" t="n">
        <v>32</v>
      </c>
    </row>
    <row r="521" customFormat="false" ht="14.25" hidden="false" customHeight="false" outlineLevel="0" collapsed="false">
      <c r="A521" s="1" t="n">
        <v>41</v>
      </c>
      <c r="B521" s="1" t="s">
        <v>621</v>
      </c>
      <c r="C521" s="1" t="s">
        <v>622</v>
      </c>
      <c r="D521" s="1" t="n">
        <v>11171</v>
      </c>
      <c r="E521" s="1" t="s">
        <v>55</v>
      </c>
      <c r="F521" s="201" t="n">
        <v>200025889394</v>
      </c>
      <c r="G521" s="198" t="s">
        <v>662</v>
      </c>
      <c r="H521" s="163" t="s">
        <v>543</v>
      </c>
      <c r="I521" s="161" t="n">
        <v>120</v>
      </c>
      <c r="J521" s="156" t="s">
        <v>192</v>
      </c>
      <c r="K521" s="200" t="n">
        <v>45433.7643171296</v>
      </c>
      <c r="L521" s="1" t="n">
        <v>2</v>
      </c>
      <c r="M521" s="156" t="s">
        <v>192</v>
      </c>
      <c r="N521" s="1" t="n">
        <v>33</v>
      </c>
    </row>
    <row r="522" customFormat="false" ht="14.25" hidden="false" customHeight="false" outlineLevel="0" collapsed="false">
      <c r="A522" s="1" t="n">
        <v>42</v>
      </c>
      <c r="B522" s="1" t="s">
        <v>621</v>
      </c>
      <c r="C522" s="1" t="s">
        <v>622</v>
      </c>
      <c r="D522" s="1" t="n">
        <v>11171</v>
      </c>
      <c r="E522" s="1" t="s">
        <v>55</v>
      </c>
      <c r="F522" s="201" t="n">
        <v>200025889394</v>
      </c>
      <c r="G522" s="198" t="s">
        <v>662</v>
      </c>
      <c r="H522" s="163" t="s">
        <v>543</v>
      </c>
      <c r="I522" s="161" t="n">
        <v>120</v>
      </c>
      <c r="J522" s="156" t="s">
        <v>192</v>
      </c>
      <c r="K522" s="200" t="n">
        <v>45433.7644097222</v>
      </c>
      <c r="L522" s="1" t="n">
        <v>2</v>
      </c>
      <c r="M522" s="156" t="s">
        <v>192</v>
      </c>
      <c r="N522" s="1" t="n">
        <v>34</v>
      </c>
    </row>
    <row r="523" customFormat="false" ht="14.25" hidden="false" customHeight="false" outlineLevel="0" collapsed="false">
      <c r="A523" s="1" t="n">
        <v>43</v>
      </c>
      <c r="B523" s="1" t="s">
        <v>621</v>
      </c>
      <c r="C523" s="1" t="s">
        <v>622</v>
      </c>
      <c r="D523" s="1" t="n">
        <v>11171</v>
      </c>
      <c r="E523" s="1" t="s">
        <v>55</v>
      </c>
      <c r="F523" s="201" t="n">
        <v>200025889394</v>
      </c>
      <c r="G523" s="198" t="s">
        <v>662</v>
      </c>
      <c r="H523" s="163" t="s">
        <v>543</v>
      </c>
      <c r="I523" s="161" t="n">
        <v>120</v>
      </c>
      <c r="J523" s="156" t="s">
        <v>192</v>
      </c>
      <c r="K523" s="200" t="n">
        <v>45433.7659722222</v>
      </c>
      <c r="L523" s="1" t="n">
        <v>1</v>
      </c>
      <c r="M523" s="156" t="s">
        <v>192</v>
      </c>
      <c r="N523" s="1" t="n">
        <v>35</v>
      </c>
    </row>
    <row r="524" customFormat="false" ht="14.25" hidden="false" customHeight="false" outlineLevel="0" collapsed="false">
      <c r="A524" s="1" t="n">
        <v>44</v>
      </c>
      <c r="B524" s="1" t="s">
        <v>621</v>
      </c>
      <c r="C524" s="1" t="s">
        <v>622</v>
      </c>
      <c r="D524" s="1" t="n">
        <v>11171</v>
      </c>
      <c r="E524" s="1" t="s">
        <v>55</v>
      </c>
      <c r="F524" s="201" t="n">
        <v>200025889394</v>
      </c>
      <c r="G524" s="198" t="s">
        <v>662</v>
      </c>
      <c r="H524" s="163" t="s">
        <v>543</v>
      </c>
      <c r="I524" s="161" t="n">
        <v>120</v>
      </c>
      <c r="J524" s="156" t="s">
        <v>192</v>
      </c>
      <c r="K524" s="200" t="n">
        <v>45433.7659837963</v>
      </c>
      <c r="L524" s="1" t="n">
        <v>0</v>
      </c>
      <c r="M524" s="156" t="s">
        <v>192</v>
      </c>
      <c r="N524" s="1" t="n">
        <v>36</v>
      </c>
    </row>
    <row r="525" customFormat="false" ht="14.25" hidden="false" customHeight="false" outlineLevel="0" collapsed="false">
      <c r="A525" s="1" t="n">
        <v>45</v>
      </c>
      <c r="B525" s="1" t="s">
        <v>621</v>
      </c>
      <c r="C525" s="1" t="s">
        <v>622</v>
      </c>
      <c r="D525" s="1" t="n">
        <v>11171</v>
      </c>
      <c r="E525" s="1" t="s">
        <v>55</v>
      </c>
      <c r="F525" s="201" t="n">
        <v>200025889394</v>
      </c>
      <c r="G525" s="198" t="s">
        <v>662</v>
      </c>
      <c r="H525" s="163" t="s">
        <v>543</v>
      </c>
      <c r="I525" s="161" t="n">
        <v>120</v>
      </c>
      <c r="J525" s="156" t="s">
        <v>192</v>
      </c>
      <c r="K525" s="200" t="n">
        <v>45433.7659837963</v>
      </c>
      <c r="L525" s="1" t="n">
        <v>1</v>
      </c>
      <c r="M525" s="156" t="s">
        <v>192</v>
      </c>
      <c r="N525" s="1" t="n">
        <v>37</v>
      </c>
    </row>
    <row r="526" customFormat="false" ht="14.25" hidden="false" customHeight="false" outlineLevel="0" collapsed="false">
      <c r="A526" s="1" t="n">
        <v>31</v>
      </c>
      <c r="B526" s="1" t="s">
        <v>624</v>
      </c>
      <c r="C526" s="1" t="s">
        <v>625</v>
      </c>
      <c r="D526" s="1" t="n">
        <v>21261</v>
      </c>
      <c r="E526" s="1" t="s">
        <v>57</v>
      </c>
      <c r="F526" s="201" t="n">
        <v>200025889333</v>
      </c>
      <c r="G526" s="198" t="s">
        <v>652</v>
      </c>
      <c r="H526" s="163" t="s">
        <v>445</v>
      </c>
      <c r="I526" s="161" t="n">
        <v>50</v>
      </c>
      <c r="J526" s="156" t="s">
        <v>192</v>
      </c>
      <c r="K526" s="200" t="n">
        <v>45433.7660300926</v>
      </c>
      <c r="L526" s="1" t="n">
        <v>1</v>
      </c>
      <c r="M526" s="156" t="s">
        <v>192</v>
      </c>
      <c r="N526" s="1" t="n">
        <v>38</v>
      </c>
    </row>
    <row r="527" customFormat="false" ht="14.25" hidden="false" customHeight="false" outlineLevel="0" collapsed="false">
      <c r="A527" s="1" t="n">
        <v>46</v>
      </c>
      <c r="B527" s="1" t="s">
        <v>621</v>
      </c>
      <c r="C527" s="1" t="s">
        <v>622</v>
      </c>
      <c r="D527" s="1" t="n">
        <v>11171</v>
      </c>
      <c r="E527" s="1" t="s">
        <v>55</v>
      </c>
      <c r="F527" s="201" t="n">
        <v>200025889394</v>
      </c>
      <c r="G527" s="198" t="s">
        <v>662</v>
      </c>
      <c r="H527" s="163" t="s">
        <v>543</v>
      </c>
      <c r="I527" s="161" t="n">
        <v>120</v>
      </c>
      <c r="J527" s="156" t="s">
        <v>192</v>
      </c>
      <c r="K527" s="200" t="n">
        <v>45433.7685416667</v>
      </c>
      <c r="L527" s="1" t="n">
        <v>1</v>
      </c>
      <c r="M527" s="156" t="s">
        <v>192</v>
      </c>
      <c r="N527" s="1" t="n">
        <v>39</v>
      </c>
    </row>
    <row r="528" customFormat="false" ht="14.25" hidden="false" customHeight="false" outlineLevel="0" collapsed="false">
      <c r="A528" s="1" t="n">
        <v>47</v>
      </c>
      <c r="B528" s="1" t="s">
        <v>621</v>
      </c>
      <c r="C528" s="1" t="s">
        <v>622</v>
      </c>
      <c r="D528" s="1" t="n">
        <v>11171</v>
      </c>
      <c r="E528" s="1" t="s">
        <v>55</v>
      </c>
      <c r="F528" s="201" t="n">
        <v>200025889394</v>
      </c>
      <c r="G528" s="198" t="s">
        <v>662</v>
      </c>
      <c r="H528" s="163" t="s">
        <v>543</v>
      </c>
      <c r="I528" s="161" t="n">
        <v>120</v>
      </c>
      <c r="J528" s="156" t="s">
        <v>192</v>
      </c>
      <c r="K528" s="200" t="n">
        <v>45433.7712962963</v>
      </c>
      <c r="L528" s="1" t="n">
        <v>2</v>
      </c>
      <c r="M528" s="156" t="s">
        <v>192</v>
      </c>
      <c r="N528" s="1" t="n">
        <v>40</v>
      </c>
    </row>
    <row r="529" customFormat="false" ht="14.25" hidden="false" customHeight="false" outlineLevel="0" collapsed="false">
      <c r="A529" s="1" t="n">
        <v>48</v>
      </c>
      <c r="B529" s="1" t="s">
        <v>621</v>
      </c>
      <c r="C529" s="1" t="s">
        <v>622</v>
      </c>
      <c r="D529" s="1" t="n">
        <v>11171</v>
      </c>
      <c r="E529" s="1" t="s">
        <v>55</v>
      </c>
      <c r="F529" s="201" t="n">
        <v>200025889394</v>
      </c>
      <c r="G529" s="198" t="s">
        <v>662</v>
      </c>
      <c r="H529" s="163" t="s">
        <v>543</v>
      </c>
      <c r="I529" s="161" t="n">
        <v>120</v>
      </c>
      <c r="J529" s="156" t="s">
        <v>192</v>
      </c>
      <c r="K529" s="200" t="n">
        <v>45433.7715046296</v>
      </c>
      <c r="L529" s="1" t="n">
        <v>1</v>
      </c>
      <c r="M529" s="156" t="s">
        <v>192</v>
      </c>
      <c r="N529" s="1" t="n">
        <v>41</v>
      </c>
    </row>
    <row r="530" customFormat="false" ht="14.25" hidden="false" customHeight="false" outlineLevel="0" collapsed="false">
      <c r="A530" s="1" t="n">
        <v>49</v>
      </c>
      <c r="B530" s="1" t="s">
        <v>621</v>
      </c>
      <c r="C530" s="1" t="s">
        <v>622</v>
      </c>
      <c r="D530" s="1" t="n">
        <v>11171</v>
      </c>
      <c r="E530" s="1" t="s">
        <v>55</v>
      </c>
      <c r="F530" s="201" t="n">
        <v>200025889394</v>
      </c>
      <c r="G530" s="198" t="s">
        <v>662</v>
      </c>
      <c r="H530" s="163" t="s">
        <v>543</v>
      </c>
      <c r="I530" s="161" t="n">
        <v>120</v>
      </c>
      <c r="J530" s="156" t="s">
        <v>192</v>
      </c>
      <c r="K530" s="200" t="n">
        <v>45433.7730671296</v>
      </c>
      <c r="L530" s="1" t="n">
        <v>4</v>
      </c>
      <c r="M530" s="156" t="s">
        <v>192</v>
      </c>
      <c r="N530" s="1" t="n">
        <v>42</v>
      </c>
    </row>
    <row r="531" customFormat="false" ht="14.25" hidden="false" customHeight="false" outlineLevel="0" collapsed="false">
      <c r="A531" s="1" t="n">
        <v>50</v>
      </c>
      <c r="B531" s="1" t="s">
        <v>621</v>
      </c>
      <c r="C531" s="1" t="s">
        <v>622</v>
      </c>
      <c r="D531" s="1" t="n">
        <v>11171</v>
      </c>
      <c r="E531" s="1" t="s">
        <v>55</v>
      </c>
      <c r="F531" s="201" t="n">
        <v>200025889394</v>
      </c>
      <c r="G531" s="198" t="s">
        <v>662</v>
      </c>
      <c r="H531" s="163" t="s">
        <v>543</v>
      </c>
      <c r="I531" s="161" t="n">
        <v>120</v>
      </c>
      <c r="J531" s="156" t="s">
        <v>192</v>
      </c>
      <c r="K531" s="200" t="n">
        <v>45433.7735532407</v>
      </c>
      <c r="L531" s="1" t="n">
        <v>2</v>
      </c>
      <c r="M531" s="156" t="s">
        <v>192</v>
      </c>
      <c r="N531" s="1" t="n">
        <v>43</v>
      </c>
    </row>
    <row r="532" customFormat="false" ht="14.25" hidden="false" customHeight="false" outlineLevel="0" collapsed="false">
      <c r="A532" s="1" t="n">
        <v>51</v>
      </c>
      <c r="B532" s="1" t="s">
        <v>621</v>
      </c>
      <c r="C532" s="1" t="s">
        <v>622</v>
      </c>
      <c r="D532" s="1" t="n">
        <v>11171</v>
      </c>
      <c r="E532" s="1" t="s">
        <v>55</v>
      </c>
      <c r="F532" s="201" t="n">
        <v>200025889394</v>
      </c>
      <c r="G532" s="198" t="s">
        <v>662</v>
      </c>
      <c r="H532" s="163" t="s">
        <v>543</v>
      </c>
      <c r="I532" s="161" t="n">
        <v>120</v>
      </c>
      <c r="J532" s="156" t="s">
        <v>192</v>
      </c>
      <c r="K532" s="200" t="n">
        <v>45433.7744675926</v>
      </c>
      <c r="L532" s="1" t="n">
        <v>3</v>
      </c>
      <c r="M532" s="156" t="s">
        <v>192</v>
      </c>
      <c r="N532" s="1" t="n">
        <v>44</v>
      </c>
    </row>
    <row r="533" customFormat="false" ht="14.25" hidden="false" customHeight="false" outlineLevel="0" collapsed="false">
      <c r="A533" s="1" t="n">
        <v>52</v>
      </c>
      <c r="B533" s="1" t="s">
        <v>621</v>
      </c>
      <c r="C533" s="1" t="s">
        <v>622</v>
      </c>
      <c r="D533" s="1" t="n">
        <v>11171</v>
      </c>
      <c r="E533" s="1" t="s">
        <v>55</v>
      </c>
      <c r="F533" s="201" t="n">
        <v>200025889394</v>
      </c>
      <c r="G533" s="198" t="s">
        <v>662</v>
      </c>
      <c r="H533" s="163" t="s">
        <v>543</v>
      </c>
      <c r="I533" s="161" t="n">
        <v>120</v>
      </c>
      <c r="J533" s="156" t="s">
        <v>192</v>
      </c>
      <c r="K533" s="200" t="n">
        <v>45433.7796296296</v>
      </c>
      <c r="L533" s="1" t="n">
        <v>2</v>
      </c>
      <c r="M533" s="156" t="s">
        <v>192</v>
      </c>
      <c r="N533" s="1" t="n">
        <v>45</v>
      </c>
    </row>
    <row r="534" customFormat="false" ht="14.25" hidden="false" customHeight="false" outlineLevel="0" collapsed="false">
      <c r="A534" s="1" t="n">
        <v>53</v>
      </c>
      <c r="B534" s="1" t="s">
        <v>621</v>
      </c>
      <c r="C534" s="1" t="s">
        <v>622</v>
      </c>
      <c r="D534" s="1" t="n">
        <v>11171</v>
      </c>
      <c r="E534" s="1" t="s">
        <v>55</v>
      </c>
      <c r="F534" s="201" t="n">
        <v>200025889394</v>
      </c>
      <c r="G534" s="198" t="s">
        <v>662</v>
      </c>
      <c r="H534" s="163" t="s">
        <v>543</v>
      </c>
      <c r="I534" s="161" t="n">
        <v>120</v>
      </c>
      <c r="J534" s="156" t="s">
        <v>192</v>
      </c>
      <c r="K534" s="200" t="n">
        <v>45433.7815856482</v>
      </c>
      <c r="L534" s="1" t="n">
        <v>1</v>
      </c>
      <c r="M534" s="156" t="s">
        <v>192</v>
      </c>
      <c r="N534" s="1" t="n">
        <v>46</v>
      </c>
    </row>
    <row r="535" customFormat="false" ht="14.25" hidden="false" customHeight="false" outlineLevel="0" collapsed="false">
      <c r="A535" s="1" t="n">
        <v>54</v>
      </c>
      <c r="B535" s="1" t="s">
        <v>621</v>
      </c>
      <c r="C535" s="1" t="s">
        <v>622</v>
      </c>
      <c r="D535" s="1" t="n">
        <v>11171</v>
      </c>
      <c r="E535" s="1" t="s">
        <v>55</v>
      </c>
      <c r="F535" s="201" t="n">
        <v>200025889394</v>
      </c>
      <c r="G535" s="198" t="s">
        <v>662</v>
      </c>
      <c r="H535" s="163" t="s">
        <v>543</v>
      </c>
      <c r="I535" s="161" t="n">
        <v>120</v>
      </c>
      <c r="J535" s="156" t="s">
        <v>192</v>
      </c>
      <c r="K535" s="200" t="n">
        <v>45433.7860300926</v>
      </c>
      <c r="L535" s="1" t="n">
        <v>2</v>
      </c>
      <c r="M535" s="156" t="s">
        <v>192</v>
      </c>
      <c r="N535" s="1" t="n">
        <v>47</v>
      </c>
    </row>
    <row r="536" customFormat="false" ht="14.25" hidden="false" customHeight="false" outlineLevel="0" collapsed="false">
      <c r="A536" s="1" t="n">
        <v>55</v>
      </c>
      <c r="B536" s="1" t="s">
        <v>621</v>
      </c>
      <c r="C536" s="1" t="s">
        <v>622</v>
      </c>
      <c r="D536" s="1" t="n">
        <v>11171</v>
      </c>
      <c r="E536" s="1" t="s">
        <v>55</v>
      </c>
      <c r="F536" s="201" t="n">
        <v>200025889394</v>
      </c>
      <c r="G536" s="198" t="s">
        <v>662</v>
      </c>
      <c r="H536" s="163" t="s">
        <v>543</v>
      </c>
      <c r="I536" s="161" t="n">
        <v>120</v>
      </c>
      <c r="J536" s="156" t="s">
        <v>192</v>
      </c>
      <c r="K536" s="200" t="n">
        <v>45433.7866666667</v>
      </c>
      <c r="L536" s="1" t="n">
        <v>0</v>
      </c>
      <c r="M536" s="156" t="s">
        <v>192</v>
      </c>
      <c r="N536" s="1" t="n">
        <v>48</v>
      </c>
    </row>
    <row r="537" customFormat="false" ht="14.25" hidden="false" customHeight="false" outlineLevel="0" collapsed="false">
      <c r="A537" s="1" t="n">
        <v>56</v>
      </c>
      <c r="B537" s="1" t="s">
        <v>621</v>
      </c>
      <c r="C537" s="1" t="s">
        <v>622</v>
      </c>
      <c r="D537" s="1" t="n">
        <v>11171</v>
      </c>
      <c r="E537" s="1" t="s">
        <v>55</v>
      </c>
      <c r="F537" s="201" t="n">
        <v>200025889394</v>
      </c>
      <c r="G537" s="198" t="s">
        <v>662</v>
      </c>
      <c r="H537" s="163" t="s">
        <v>543</v>
      </c>
      <c r="I537" s="161" t="n">
        <v>120</v>
      </c>
      <c r="J537" s="156" t="s">
        <v>192</v>
      </c>
      <c r="K537" s="200" t="n">
        <v>45433.7887268519</v>
      </c>
      <c r="L537" s="1" t="n">
        <v>2</v>
      </c>
      <c r="M537" s="156" t="s">
        <v>192</v>
      </c>
      <c r="N537" s="1" t="n">
        <v>49</v>
      </c>
    </row>
    <row r="538" customFormat="false" ht="14.25" hidden="false" customHeight="false" outlineLevel="0" collapsed="false">
      <c r="A538" s="1" t="n">
        <v>57</v>
      </c>
      <c r="B538" s="1" t="s">
        <v>621</v>
      </c>
      <c r="C538" s="1" t="s">
        <v>622</v>
      </c>
      <c r="D538" s="1" t="n">
        <v>11171</v>
      </c>
      <c r="E538" s="1" t="s">
        <v>55</v>
      </c>
      <c r="F538" s="201" t="n">
        <v>200025889394</v>
      </c>
      <c r="G538" s="198" t="s">
        <v>662</v>
      </c>
      <c r="H538" s="163" t="s">
        <v>543</v>
      </c>
      <c r="I538" s="161" t="n">
        <v>120</v>
      </c>
      <c r="J538" s="156" t="s">
        <v>192</v>
      </c>
      <c r="K538" s="200" t="n">
        <v>45433.7900578704</v>
      </c>
      <c r="L538" s="1" t="n">
        <v>1</v>
      </c>
      <c r="M538" s="156" t="s">
        <v>192</v>
      </c>
      <c r="N538" s="1" t="n">
        <v>50</v>
      </c>
    </row>
    <row r="539" customFormat="false" ht="14.25" hidden="false" customHeight="false" outlineLevel="0" collapsed="false">
      <c r="A539" s="1" t="n">
        <v>58</v>
      </c>
      <c r="B539" s="1" t="s">
        <v>621</v>
      </c>
      <c r="C539" s="1" t="s">
        <v>622</v>
      </c>
      <c r="D539" s="1" t="n">
        <v>11171</v>
      </c>
      <c r="E539" s="1" t="s">
        <v>55</v>
      </c>
      <c r="F539" s="201" t="n">
        <v>200025889333</v>
      </c>
      <c r="G539" s="198" t="s">
        <v>652</v>
      </c>
      <c r="H539" s="163" t="s">
        <v>445</v>
      </c>
      <c r="I539" s="161" t="n">
        <v>50</v>
      </c>
      <c r="J539" s="156" t="s">
        <v>192</v>
      </c>
      <c r="K539" s="200" t="n">
        <v>45433.7995717593</v>
      </c>
      <c r="L539" s="1" t="n">
        <v>2</v>
      </c>
      <c r="M539" s="156" t="s">
        <v>192</v>
      </c>
      <c r="N539" s="1" t="n">
        <v>51</v>
      </c>
    </row>
    <row r="540" customFormat="false" ht="14.25" hidden="false" customHeight="false" outlineLevel="0" collapsed="false">
      <c r="A540" s="1" t="n">
        <v>59</v>
      </c>
      <c r="B540" s="1" t="s">
        <v>621</v>
      </c>
      <c r="C540" s="1" t="s">
        <v>622</v>
      </c>
      <c r="D540" s="1" t="n">
        <v>11171</v>
      </c>
      <c r="E540" s="1" t="s">
        <v>55</v>
      </c>
      <c r="F540" s="201" t="n">
        <v>200025889333</v>
      </c>
      <c r="G540" s="198" t="s">
        <v>652</v>
      </c>
      <c r="H540" s="163" t="s">
        <v>445</v>
      </c>
      <c r="I540" s="161" t="n">
        <v>50</v>
      </c>
      <c r="J540" s="156" t="s">
        <v>192</v>
      </c>
      <c r="K540" s="200" t="n">
        <v>45433.7997222222</v>
      </c>
      <c r="L540" s="1" t="n">
        <v>2</v>
      </c>
      <c r="M540" s="156" t="s">
        <v>192</v>
      </c>
      <c r="N540" s="1" t="n">
        <v>52</v>
      </c>
    </row>
    <row r="541" customFormat="false" ht="14.25" hidden="false" customHeight="false" outlineLevel="0" collapsed="false">
      <c r="A541" s="1" t="n">
        <v>60</v>
      </c>
      <c r="B541" s="1" t="s">
        <v>621</v>
      </c>
      <c r="C541" s="1" t="s">
        <v>622</v>
      </c>
      <c r="D541" s="1" t="n">
        <v>11171</v>
      </c>
      <c r="E541" s="1" t="s">
        <v>55</v>
      </c>
      <c r="F541" s="201" t="n">
        <v>200025889333</v>
      </c>
      <c r="G541" s="198" t="s">
        <v>652</v>
      </c>
      <c r="H541" s="163" t="s">
        <v>445</v>
      </c>
      <c r="I541" s="161" t="n">
        <v>50</v>
      </c>
      <c r="J541" s="156" t="s">
        <v>192</v>
      </c>
      <c r="K541" s="200" t="n">
        <v>45433.8000347222</v>
      </c>
      <c r="L541" s="1" t="n">
        <v>3</v>
      </c>
      <c r="M541" s="156" t="s">
        <v>192</v>
      </c>
      <c r="N541" s="1" t="n">
        <v>53</v>
      </c>
    </row>
    <row r="542" customFormat="false" ht="14.25" hidden="false" customHeight="false" outlineLevel="0" collapsed="false">
      <c r="A542" s="1" t="n">
        <v>61</v>
      </c>
      <c r="B542" s="1" t="s">
        <v>621</v>
      </c>
      <c r="C542" s="1" t="s">
        <v>622</v>
      </c>
      <c r="D542" s="1" t="n">
        <v>11171</v>
      </c>
      <c r="E542" s="1" t="s">
        <v>55</v>
      </c>
      <c r="F542" s="201" t="n">
        <v>200025889333</v>
      </c>
      <c r="G542" s="198" t="s">
        <v>652</v>
      </c>
      <c r="H542" s="163" t="s">
        <v>445</v>
      </c>
      <c r="I542" s="161" t="n">
        <v>50</v>
      </c>
      <c r="J542" s="156" t="s">
        <v>192</v>
      </c>
      <c r="K542" s="200" t="n">
        <v>45433.8001967593</v>
      </c>
      <c r="L542" s="1" t="n">
        <v>3</v>
      </c>
      <c r="M542" s="156" t="s">
        <v>192</v>
      </c>
      <c r="N542" s="1" t="n">
        <v>54</v>
      </c>
    </row>
    <row r="543" customFormat="false" ht="14.25" hidden="false" customHeight="false" outlineLevel="0" collapsed="false">
      <c r="A543" s="1" t="n">
        <v>62</v>
      </c>
      <c r="B543" s="1" t="s">
        <v>621</v>
      </c>
      <c r="C543" s="1" t="s">
        <v>622</v>
      </c>
      <c r="D543" s="1" t="n">
        <v>11171</v>
      </c>
      <c r="E543" s="1" t="s">
        <v>55</v>
      </c>
      <c r="F543" s="201" t="n">
        <v>200025889394</v>
      </c>
      <c r="G543" s="198" t="s">
        <v>662</v>
      </c>
      <c r="H543" s="163" t="s">
        <v>543</v>
      </c>
      <c r="I543" s="161" t="n">
        <v>120</v>
      </c>
      <c r="J543" s="156" t="s">
        <v>192</v>
      </c>
      <c r="K543" s="200" t="n">
        <v>45433.8127430556</v>
      </c>
      <c r="L543" s="1" t="n">
        <v>1</v>
      </c>
      <c r="M543" s="156" t="s">
        <v>192</v>
      </c>
      <c r="N543" s="1" t="n">
        <v>55</v>
      </c>
    </row>
    <row r="544" customFormat="false" ht="14.25" hidden="false" customHeight="false" outlineLevel="0" collapsed="false">
      <c r="A544" s="1" t="n">
        <v>32</v>
      </c>
      <c r="B544" s="1" t="s">
        <v>624</v>
      </c>
      <c r="C544" s="1" t="s">
        <v>625</v>
      </c>
      <c r="D544" s="1" t="n">
        <v>21261</v>
      </c>
      <c r="E544" s="1" t="s">
        <v>57</v>
      </c>
      <c r="F544" s="201" t="n">
        <v>200025889333</v>
      </c>
      <c r="G544" s="198" t="s">
        <v>652</v>
      </c>
      <c r="H544" s="163" t="s">
        <v>445</v>
      </c>
      <c r="I544" s="161" t="n">
        <v>50</v>
      </c>
      <c r="J544" s="156" t="s">
        <v>192</v>
      </c>
      <c r="K544" s="200" t="n">
        <v>45433.8191203704</v>
      </c>
      <c r="L544" s="1" t="n">
        <v>1</v>
      </c>
      <c r="M544" s="156" t="s">
        <v>192</v>
      </c>
      <c r="N544" s="1" t="n">
        <v>56</v>
      </c>
    </row>
    <row r="545" customFormat="false" ht="14.25" hidden="false" customHeight="false" outlineLevel="0" collapsed="false">
      <c r="A545" s="1" t="n">
        <v>33</v>
      </c>
      <c r="B545" s="1" t="s">
        <v>624</v>
      </c>
      <c r="C545" s="1" t="s">
        <v>625</v>
      </c>
      <c r="D545" s="1" t="n">
        <v>21261</v>
      </c>
      <c r="E545" s="1" t="s">
        <v>57</v>
      </c>
      <c r="F545" s="201" t="n">
        <v>200025889333</v>
      </c>
      <c r="G545" s="198" t="s">
        <v>652</v>
      </c>
      <c r="H545" s="163" t="s">
        <v>445</v>
      </c>
      <c r="I545" s="161" t="n">
        <v>50</v>
      </c>
      <c r="J545" s="156" t="s">
        <v>192</v>
      </c>
      <c r="K545" s="200" t="n">
        <v>45433.819224537</v>
      </c>
      <c r="L545" s="1" t="n">
        <v>0</v>
      </c>
      <c r="M545" s="156" t="s">
        <v>192</v>
      </c>
      <c r="N545" s="1" t="n">
        <v>57</v>
      </c>
    </row>
    <row r="546" customFormat="false" ht="14.25" hidden="false" customHeight="false" outlineLevel="0" collapsed="false">
      <c r="A546" s="1" t="n">
        <v>34</v>
      </c>
      <c r="B546" s="1" t="s">
        <v>624</v>
      </c>
      <c r="C546" s="1" t="s">
        <v>625</v>
      </c>
      <c r="D546" s="1" t="n">
        <v>21261</v>
      </c>
      <c r="E546" s="1" t="s">
        <v>57</v>
      </c>
      <c r="F546" s="201" t="n">
        <v>200025889333</v>
      </c>
      <c r="G546" s="198" t="s">
        <v>652</v>
      </c>
      <c r="H546" s="163" t="s">
        <v>445</v>
      </c>
      <c r="I546" s="161" t="n">
        <v>50</v>
      </c>
      <c r="J546" s="156" t="s">
        <v>192</v>
      </c>
      <c r="K546" s="200" t="n">
        <v>45433.8193634259</v>
      </c>
      <c r="L546" s="1" t="n">
        <v>1</v>
      </c>
      <c r="M546" s="156" t="s">
        <v>192</v>
      </c>
      <c r="N546" s="1" t="n">
        <v>58</v>
      </c>
    </row>
    <row r="547" customFormat="false" ht="14.25" hidden="false" customHeight="false" outlineLevel="0" collapsed="false">
      <c r="A547" s="1" t="n">
        <v>35</v>
      </c>
      <c r="B547" s="1" t="s">
        <v>624</v>
      </c>
      <c r="C547" s="1" t="s">
        <v>625</v>
      </c>
      <c r="D547" s="1" t="n">
        <v>21261</v>
      </c>
      <c r="E547" s="1" t="s">
        <v>57</v>
      </c>
      <c r="F547" s="201" t="n">
        <v>200025889333</v>
      </c>
      <c r="G547" s="198" t="s">
        <v>652</v>
      </c>
      <c r="H547" s="163" t="s">
        <v>445</v>
      </c>
      <c r="I547" s="161" t="n">
        <v>50</v>
      </c>
      <c r="J547" s="156" t="s">
        <v>192</v>
      </c>
      <c r="K547" s="200" t="n">
        <v>45433.8199189815</v>
      </c>
      <c r="L547" s="1" t="n">
        <v>1</v>
      </c>
      <c r="M547" s="156" t="s">
        <v>192</v>
      </c>
      <c r="N547" s="1" t="n">
        <v>59</v>
      </c>
    </row>
    <row r="548" customFormat="false" ht="14.25" hidden="false" customHeight="false" outlineLevel="0" collapsed="false">
      <c r="A548" s="1" t="n">
        <v>36</v>
      </c>
      <c r="B548" s="1" t="s">
        <v>624</v>
      </c>
      <c r="C548" s="1" t="s">
        <v>625</v>
      </c>
      <c r="D548" s="1" t="n">
        <v>21261</v>
      </c>
      <c r="E548" s="1" t="s">
        <v>57</v>
      </c>
      <c r="F548" s="201" t="n">
        <v>200025889333</v>
      </c>
      <c r="G548" s="198" t="s">
        <v>652</v>
      </c>
      <c r="H548" s="163" t="s">
        <v>445</v>
      </c>
      <c r="I548" s="161" t="n">
        <v>50</v>
      </c>
      <c r="J548" s="156" t="s">
        <v>192</v>
      </c>
      <c r="K548" s="200" t="n">
        <v>45433.8201273148</v>
      </c>
      <c r="L548" s="1" t="n">
        <v>1</v>
      </c>
      <c r="M548" s="156" t="s">
        <v>192</v>
      </c>
      <c r="N548" s="1" t="n">
        <v>60</v>
      </c>
    </row>
    <row r="549" customFormat="false" ht="14.25" hidden="false" customHeight="false" outlineLevel="0" collapsed="false">
      <c r="A549" s="1" t="n">
        <v>37</v>
      </c>
      <c r="B549" s="1" t="s">
        <v>624</v>
      </c>
      <c r="C549" s="1" t="s">
        <v>625</v>
      </c>
      <c r="D549" s="1" t="n">
        <v>21261</v>
      </c>
      <c r="E549" s="1" t="s">
        <v>57</v>
      </c>
      <c r="F549" s="201" t="n">
        <v>200025889333</v>
      </c>
      <c r="G549" s="198" t="s">
        <v>652</v>
      </c>
      <c r="H549" s="163" t="s">
        <v>445</v>
      </c>
      <c r="I549" s="161" t="n">
        <v>50</v>
      </c>
      <c r="J549" s="156" t="s">
        <v>192</v>
      </c>
      <c r="K549" s="200" t="n">
        <v>45433.8203472222</v>
      </c>
      <c r="L549" s="1" t="n">
        <v>0</v>
      </c>
      <c r="M549" s="156" t="s">
        <v>192</v>
      </c>
      <c r="N549" s="1" t="n">
        <v>61</v>
      </c>
    </row>
    <row r="550" customFormat="false" ht="14.25" hidden="false" customHeight="false" outlineLevel="0" collapsed="false">
      <c r="A550" s="1" t="n">
        <v>38</v>
      </c>
      <c r="B550" s="1" t="s">
        <v>624</v>
      </c>
      <c r="C550" s="1" t="s">
        <v>625</v>
      </c>
      <c r="D550" s="1" t="n">
        <v>21261</v>
      </c>
      <c r="E550" s="1" t="s">
        <v>57</v>
      </c>
      <c r="F550" s="201" t="n">
        <v>200025889333</v>
      </c>
      <c r="G550" s="198" t="s">
        <v>652</v>
      </c>
      <c r="H550" s="163" t="s">
        <v>445</v>
      </c>
      <c r="I550" s="161" t="n">
        <v>50</v>
      </c>
      <c r="J550" s="156" t="s">
        <v>192</v>
      </c>
      <c r="K550" s="200" t="n">
        <v>45433.8214583333</v>
      </c>
      <c r="L550" s="1" t="n">
        <v>0</v>
      </c>
      <c r="M550" s="156" t="s">
        <v>192</v>
      </c>
      <c r="N550" s="1" t="n">
        <v>62</v>
      </c>
    </row>
    <row r="551" customFormat="false" ht="14.25" hidden="false" customHeight="false" outlineLevel="0" collapsed="false">
      <c r="A551" s="1" t="n">
        <v>39</v>
      </c>
      <c r="B551" s="1" t="s">
        <v>624</v>
      </c>
      <c r="C551" s="1" t="s">
        <v>625</v>
      </c>
      <c r="D551" s="1" t="n">
        <v>21261</v>
      </c>
      <c r="E551" s="1" t="s">
        <v>57</v>
      </c>
      <c r="F551" s="201" t="n">
        <v>200025889333</v>
      </c>
      <c r="G551" s="198" t="s">
        <v>652</v>
      </c>
      <c r="H551" s="163" t="s">
        <v>445</v>
      </c>
      <c r="I551" s="161" t="n">
        <v>50</v>
      </c>
      <c r="J551" s="156" t="s">
        <v>192</v>
      </c>
      <c r="K551" s="200" t="n">
        <v>45433.8219444445</v>
      </c>
      <c r="L551" s="1" t="n">
        <v>0</v>
      </c>
      <c r="M551" s="156" t="s">
        <v>192</v>
      </c>
      <c r="N551" s="1" t="n">
        <v>63</v>
      </c>
    </row>
    <row r="552" customFormat="false" ht="14.25" hidden="false" customHeight="false" outlineLevel="0" collapsed="false">
      <c r="A552" s="1" t="n">
        <v>40</v>
      </c>
      <c r="B552" s="1" t="s">
        <v>624</v>
      </c>
      <c r="C552" s="1" t="s">
        <v>625</v>
      </c>
      <c r="D552" s="1" t="n">
        <v>21261</v>
      </c>
      <c r="E552" s="1" t="s">
        <v>57</v>
      </c>
      <c r="F552" s="201" t="n">
        <v>200025889333</v>
      </c>
      <c r="G552" s="198" t="s">
        <v>652</v>
      </c>
      <c r="H552" s="163" t="s">
        <v>445</v>
      </c>
      <c r="I552" s="161" t="n">
        <v>50</v>
      </c>
      <c r="J552" s="156" t="s">
        <v>192</v>
      </c>
      <c r="K552" s="200" t="n">
        <v>45433.8222222222</v>
      </c>
      <c r="L552" s="1" t="n">
        <v>2</v>
      </c>
      <c r="M552" s="156" t="s">
        <v>192</v>
      </c>
      <c r="N552" s="1" t="n">
        <v>64</v>
      </c>
    </row>
    <row r="553" customFormat="false" ht="14.25" hidden="false" customHeight="false" outlineLevel="0" collapsed="false">
      <c r="A553" s="1" t="n">
        <v>41</v>
      </c>
      <c r="B553" s="1" t="s">
        <v>624</v>
      </c>
      <c r="C553" s="1" t="s">
        <v>625</v>
      </c>
      <c r="D553" s="1" t="n">
        <v>21261</v>
      </c>
      <c r="E553" s="1" t="s">
        <v>57</v>
      </c>
      <c r="F553" s="201" t="n">
        <v>200025889333</v>
      </c>
      <c r="G553" s="198" t="s">
        <v>652</v>
      </c>
      <c r="H553" s="163" t="s">
        <v>445</v>
      </c>
      <c r="I553" s="161" t="n">
        <v>50</v>
      </c>
      <c r="J553" s="156" t="s">
        <v>192</v>
      </c>
      <c r="K553" s="200" t="n">
        <v>45433.8726388889</v>
      </c>
      <c r="L553" s="1" t="n">
        <v>1</v>
      </c>
      <c r="M553" s="156" t="s">
        <v>192</v>
      </c>
      <c r="N553" s="1" t="n">
        <v>65</v>
      </c>
    </row>
    <row r="554" customFormat="false" ht="14.25" hidden="false" customHeight="false" outlineLevel="0" collapsed="false">
      <c r="A554" s="1" t="n">
        <v>63</v>
      </c>
      <c r="B554" s="1" t="s">
        <v>621</v>
      </c>
      <c r="C554" s="1" t="s">
        <v>622</v>
      </c>
      <c r="D554" s="1" t="n">
        <v>11171</v>
      </c>
      <c r="E554" s="1" t="s">
        <v>55</v>
      </c>
      <c r="F554" s="201" t="n">
        <v>200025889394</v>
      </c>
      <c r="G554" s="198" t="s">
        <v>662</v>
      </c>
      <c r="H554" s="163" t="s">
        <v>543</v>
      </c>
      <c r="I554" s="161" t="n">
        <v>120</v>
      </c>
      <c r="J554" s="156" t="s">
        <v>192</v>
      </c>
      <c r="K554" s="200" t="n">
        <v>45433.9495717593</v>
      </c>
      <c r="L554" s="1" t="n">
        <v>1</v>
      </c>
      <c r="M554" s="156" t="s">
        <v>192</v>
      </c>
      <c r="N554" s="1" t="n">
        <v>66</v>
      </c>
    </row>
    <row r="555" customFormat="false" ht="14.25" hidden="false" customHeight="false" outlineLevel="0" collapsed="false">
      <c r="A555" s="1" t="n">
        <v>64</v>
      </c>
      <c r="B555" s="1" t="s">
        <v>621</v>
      </c>
      <c r="C555" s="1" t="s">
        <v>622</v>
      </c>
      <c r="D555" s="1" t="n">
        <v>11171</v>
      </c>
      <c r="E555" s="1" t="s">
        <v>55</v>
      </c>
      <c r="F555" s="201" t="n">
        <v>200025889394</v>
      </c>
      <c r="G555" s="198" t="s">
        <v>662</v>
      </c>
      <c r="H555" s="163" t="s">
        <v>543</v>
      </c>
      <c r="I555" s="161" t="n">
        <v>120</v>
      </c>
      <c r="J555" s="156" t="s">
        <v>192</v>
      </c>
      <c r="K555" s="200" t="n">
        <v>45433.9495949074</v>
      </c>
      <c r="L555" s="1" t="n">
        <v>0</v>
      </c>
      <c r="M555" s="156" t="s">
        <v>192</v>
      </c>
      <c r="N555" s="1" t="n">
        <v>67</v>
      </c>
    </row>
    <row r="556" customFormat="false" ht="14.25" hidden="false" customHeight="false" outlineLevel="0" collapsed="false">
      <c r="A556" s="1" t="n">
        <v>65</v>
      </c>
      <c r="B556" s="1" t="s">
        <v>621</v>
      </c>
      <c r="C556" s="1" t="s">
        <v>622</v>
      </c>
      <c r="D556" s="1" t="n">
        <v>11171</v>
      </c>
      <c r="E556" s="1" t="s">
        <v>55</v>
      </c>
      <c r="F556" s="201" t="n">
        <v>200025889394</v>
      </c>
      <c r="G556" s="198" t="s">
        <v>662</v>
      </c>
      <c r="H556" s="163" t="s">
        <v>543</v>
      </c>
      <c r="I556" s="161" t="n">
        <v>120</v>
      </c>
      <c r="J556" s="156" t="s">
        <v>192</v>
      </c>
      <c r="K556" s="200" t="n">
        <v>45433.9499537037</v>
      </c>
      <c r="L556" s="1" t="n">
        <v>3</v>
      </c>
      <c r="M556" s="156" t="s">
        <v>192</v>
      </c>
      <c r="N556" s="1" t="n">
        <v>68</v>
      </c>
    </row>
    <row r="557" customFormat="false" ht="14.25" hidden="false" customHeight="false" outlineLevel="0" collapsed="false">
      <c r="A557" s="1" t="n">
        <v>66</v>
      </c>
      <c r="B557" s="1" t="s">
        <v>621</v>
      </c>
      <c r="C557" s="1" t="s">
        <v>622</v>
      </c>
      <c r="D557" s="1" t="n">
        <v>11171</v>
      </c>
      <c r="E557" s="1" t="s">
        <v>55</v>
      </c>
      <c r="F557" s="201" t="n">
        <v>200025889394</v>
      </c>
      <c r="G557" s="198" t="s">
        <v>662</v>
      </c>
      <c r="H557" s="163" t="s">
        <v>543</v>
      </c>
      <c r="I557" s="161" t="n">
        <v>120</v>
      </c>
      <c r="J557" s="156" t="s">
        <v>192</v>
      </c>
      <c r="K557" s="200" t="n">
        <v>45433.9500462963</v>
      </c>
      <c r="L557" s="1" t="n">
        <v>3</v>
      </c>
      <c r="M557" s="156" t="s">
        <v>192</v>
      </c>
      <c r="N557" s="1" t="n">
        <v>69</v>
      </c>
    </row>
    <row r="558" customFormat="false" ht="14.25" hidden="false" customHeight="false" outlineLevel="0" collapsed="false">
      <c r="A558" s="1" t="n">
        <v>42</v>
      </c>
      <c r="B558" s="1" t="s">
        <v>624</v>
      </c>
      <c r="C558" s="1" t="s">
        <v>625</v>
      </c>
      <c r="D558" s="1" t="n">
        <v>21261</v>
      </c>
      <c r="E558" s="1" t="s">
        <v>57</v>
      </c>
      <c r="F558" s="201" t="n">
        <v>200025889333</v>
      </c>
      <c r="G558" s="198" t="s">
        <v>652</v>
      </c>
      <c r="H558" s="163" t="s">
        <v>445</v>
      </c>
      <c r="I558" s="161" t="n">
        <v>50</v>
      </c>
      <c r="J558" s="156" t="s">
        <v>192</v>
      </c>
      <c r="K558" s="200" t="n">
        <v>45433.9523032407</v>
      </c>
      <c r="L558" s="1" t="n">
        <v>1</v>
      </c>
      <c r="M558" s="156" t="s">
        <v>192</v>
      </c>
      <c r="N558" s="1" t="n">
        <v>70</v>
      </c>
    </row>
    <row r="559" customFormat="false" ht="14.25" hidden="false" customHeight="false" outlineLevel="0" collapsed="false">
      <c r="A559" s="1" t="n">
        <v>67</v>
      </c>
      <c r="B559" s="1" t="s">
        <v>621</v>
      </c>
      <c r="C559" s="1" t="s">
        <v>622</v>
      </c>
      <c r="D559" s="1" t="n">
        <v>11171</v>
      </c>
      <c r="E559" s="1" t="s">
        <v>55</v>
      </c>
      <c r="F559" s="201" t="n">
        <v>200025889394</v>
      </c>
      <c r="G559" s="198" t="s">
        <v>662</v>
      </c>
      <c r="H559" s="163" t="s">
        <v>543</v>
      </c>
      <c r="I559" s="161" t="n">
        <v>120</v>
      </c>
      <c r="J559" s="156" t="s">
        <v>192</v>
      </c>
      <c r="K559" s="200" t="n">
        <v>45433.954375</v>
      </c>
      <c r="L559" s="1" t="n">
        <v>1</v>
      </c>
      <c r="M559" s="156" t="s">
        <v>192</v>
      </c>
      <c r="N559" s="1" t="n">
        <v>71</v>
      </c>
    </row>
    <row r="560" customFormat="false" ht="14.25" hidden="false" customHeight="false" outlineLevel="0" collapsed="false">
      <c r="A560" s="1" t="n">
        <v>68</v>
      </c>
      <c r="B560" s="1" t="s">
        <v>621</v>
      </c>
      <c r="C560" s="1" t="s">
        <v>622</v>
      </c>
      <c r="D560" s="1" t="n">
        <v>11171</v>
      </c>
      <c r="E560" s="1" t="s">
        <v>55</v>
      </c>
      <c r="F560" s="201" t="n">
        <v>200025889394</v>
      </c>
      <c r="G560" s="198" t="s">
        <v>662</v>
      </c>
      <c r="H560" s="163" t="s">
        <v>543</v>
      </c>
      <c r="I560" s="161" t="n">
        <v>120</v>
      </c>
      <c r="J560" s="156" t="s">
        <v>192</v>
      </c>
      <c r="K560" s="200" t="n">
        <v>45433.9546527778</v>
      </c>
      <c r="L560" s="1" t="n">
        <v>1</v>
      </c>
      <c r="M560" s="156" t="s">
        <v>192</v>
      </c>
      <c r="N560" s="1" t="n">
        <v>72</v>
      </c>
    </row>
    <row r="561" customFormat="false" ht="14.25" hidden="false" customHeight="false" outlineLevel="0" collapsed="false">
      <c r="A561" s="1" t="n">
        <v>43</v>
      </c>
      <c r="B561" s="1" t="s">
        <v>624</v>
      </c>
      <c r="C561" s="1" t="s">
        <v>625</v>
      </c>
      <c r="D561" s="1" t="n">
        <v>21261</v>
      </c>
      <c r="E561" s="1" t="s">
        <v>57</v>
      </c>
      <c r="F561" s="201" t="n">
        <v>200025889333</v>
      </c>
      <c r="G561" s="198" t="s">
        <v>652</v>
      </c>
      <c r="H561" s="163" t="s">
        <v>445</v>
      </c>
      <c r="I561" s="161" t="n">
        <v>50</v>
      </c>
      <c r="J561" s="156" t="s">
        <v>192</v>
      </c>
      <c r="K561" s="200" t="n">
        <v>45433.9548263889</v>
      </c>
      <c r="L561" s="1" t="n">
        <v>0</v>
      </c>
      <c r="M561" s="156" t="s">
        <v>192</v>
      </c>
      <c r="N561" s="1" t="n">
        <v>73</v>
      </c>
    </row>
    <row r="562" customFormat="false" ht="14.25" hidden="false" customHeight="false" outlineLevel="0" collapsed="false">
      <c r="A562" s="1" t="n">
        <v>44</v>
      </c>
      <c r="B562" s="1" t="s">
        <v>624</v>
      </c>
      <c r="C562" s="1" t="s">
        <v>625</v>
      </c>
      <c r="D562" s="1" t="n">
        <v>21261</v>
      </c>
      <c r="E562" s="1" t="s">
        <v>57</v>
      </c>
      <c r="F562" s="201" t="n">
        <v>200025889333</v>
      </c>
      <c r="G562" s="198" t="s">
        <v>652</v>
      </c>
      <c r="H562" s="163" t="s">
        <v>445</v>
      </c>
      <c r="I562" s="161" t="n">
        <v>50</v>
      </c>
      <c r="J562" s="156" t="s">
        <v>192</v>
      </c>
      <c r="K562" s="200" t="n">
        <v>45433.955787037</v>
      </c>
      <c r="L562" s="1" t="n">
        <v>0</v>
      </c>
      <c r="M562" s="156" t="s">
        <v>192</v>
      </c>
      <c r="N562" s="1" t="n">
        <v>74</v>
      </c>
    </row>
    <row r="563" customFormat="false" ht="14.25" hidden="false" customHeight="false" outlineLevel="0" collapsed="false">
      <c r="A563" s="1" t="n">
        <v>69</v>
      </c>
      <c r="B563" s="1" t="s">
        <v>621</v>
      </c>
      <c r="C563" s="1" t="s">
        <v>622</v>
      </c>
      <c r="D563" s="1" t="n">
        <v>11171</v>
      </c>
      <c r="E563" s="1" t="s">
        <v>55</v>
      </c>
      <c r="F563" s="201" t="n">
        <v>200025889333</v>
      </c>
      <c r="G563" s="198" t="s">
        <v>652</v>
      </c>
      <c r="H563" s="163" t="s">
        <v>445</v>
      </c>
      <c r="I563" s="161" t="n">
        <v>50</v>
      </c>
      <c r="J563" s="156" t="s">
        <v>192</v>
      </c>
      <c r="K563" s="200" t="n">
        <v>45434.0159375</v>
      </c>
      <c r="L563" s="1" t="n">
        <v>0</v>
      </c>
      <c r="M563" s="156" t="s">
        <v>192</v>
      </c>
      <c r="N563" s="1" t="n">
        <v>75</v>
      </c>
    </row>
    <row r="564" customFormat="false" ht="14.25" hidden="false" customHeight="false" outlineLevel="0" collapsed="false">
      <c r="A564" s="1" t="n">
        <v>70</v>
      </c>
      <c r="B564" s="1" t="s">
        <v>621</v>
      </c>
      <c r="C564" s="1" t="s">
        <v>622</v>
      </c>
      <c r="D564" s="1" t="n">
        <v>11171</v>
      </c>
      <c r="E564" s="1" t="s">
        <v>55</v>
      </c>
      <c r="F564" s="201" t="n">
        <v>200025889333</v>
      </c>
      <c r="G564" s="198" t="s">
        <v>652</v>
      </c>
      <c r="H564" s="163" t="s">
        <v>445</v>
      </c>
      <c r="I564" s="161" t="n">
        <v>50</v>
      </c>
      <c r="J564" s="156" t="s">
        <v>192</v>
      </c>
      <c r="K564" s="200" t="n">
        <v>45434.0170601852</v>
      </c>
      <c r="L564" s="1" t="n">
        <v>2</v>
      </c>
      <c r="M564" s="156" t="s">
        <v>192</v>
      </c>
      <c r="N564" s="1" t="n">
        <v>76</v>
      </c>
    </row>
    <row r="565" customFormat="false" ht="14.25" hidden="false" customHeight="false" outlineLevel="0" collapsed="false">
      <c r="A565" s="1" t="n">
        <v>71</v>
      </c>
      <c r="B565" s="1" t="s">
        <v>621</v>
      </c>
      <c r="C565" s="1" t="s">
        <v>622</v>
      </c>
      <c r="D565" s="1" t="n">
        <v>11171</v>
      </c>
      <c r="E565" s="1" t="s">
        <v>55</v>
      </c>
      <c r="F565" s="201" t="n">
        <v>200025889333</v>
      </c>
      <c r="G565" s="198" t="s">
        <v>652</v>
      </c>
      <c r="H565" s="163" t="s">
        <v>445</v>
      </c>
      <c r="I565" s="161" t="n">
        <v>50</v>
      </c>
      <c r="J565" s="156" t="s">
        <v>192</v>
      </c>
      <c r="K565" s="200" t="n">
        <v>45434.0206597222</v>
      </c>
      <c r="L565" s="1" t="n">
        <v>2</v>
      </c>
      <c r="M565" s="156" t="s">
        <v>192</v>
      </c>
      <c r="N565" s="1" t="n">
        <v>77</v>
      </c>
    </row>
    <row r="566" customFormat="false" ht="14.25" hidden="false" customHeight="false" outlineLevel="0" collapsed="false">
      <c r="A566" s="1" t="n">
        <v>72</v>
      </c>
      <c r="B566" s="1" t="s">
        <v>621</v>
      </c>
      <c r="C566" s="1" t="s">
        <v>622</v>
      </c>
      <c r="D566" s="1" t="n">
        <v>11171</v>
      </c>
      <c r="E566" s="1" t="s">
        <v>55</v>
      </c>
      <c r="F566" s="201" t="n">
        <v>200025889333</v>
      </c>
      <c r="G566" s="198" t="s">
        <v>652</v>
      </c>
      <c r="H566" s="163" t="s">
        <v>445</v>
      </c>
      <c r="I566" s="161" t="n">
        <v>50</v>
      </c>
      <c r="J566" s="156" t="s">
        <v>192</v>
      </c>
      <c r="K566" s="200" t="n">
        <v>45434.0206944444</v>
      </c>
      <c r="L566" s="1" t="n">
        <v>0</v>
      </c>
      <c r="M566" s="156" t="s">
        <v>192</v>
      </c>
      <c r="N566" s="1" t="n">
        <v>78</v>
      </c>
    </row>
    <row r="567" customFormat="false" ht="14.25" hidden="false" customHeight="false" outlineLevel="0" collapsed="false">
      <c r="A567" s="1" t="n">
        <v>73</v>
      </c>
      <c r="B567" s="1" t="s">
        <v>621</v>
      </c>
      <c r="C567" s="1" t="s">
        <v>622</v>
      </c>
      <c r="D567" s="1" t="n">
        <v>11171</v>
      </c>
      <c r="E567" s="1" t="s">
        <v>55</v>
      </c>
      <c r="F567" s="201" t="n">
        <v>200025889333</v>
      </c>
      <c r="G567" s="198" t="s">
        <v>652</v>
      </c>
      <c r="H567" s="163" t="s">
        <v>445</v>
      </c>
      <c r="I567" s="161" t="n">
        <v>50</v>
      </c>
      <c r="J567" s="156" t="s">
        <v>192</v>
      </c>
      <c r="K567" s="200" t="n">
        <v>45434.0214699074</v>
      </c>
      <c r="L567" s="1" t="n">
        <v>3</v>
      </c>
      <c r="M567" s="156" t="s">
        <v>192</v>
      </c>
      <c r="N567" s="1" t="n">
        <v>79</v>
      </c>
    </row>
    <row r="568" customFormat="false" ht="14.25" hidden="false" customHeight="false" outlineLevel="0" collapsed="false">
      <c r="A568" s="1" t="n">
        <v>74</v>
      </c>
      <c r="B568" s="1" t="s">
        <v>621</v>
      </c>
      <c r="C568" s="1" t="s">
        <v>622</v>
      </c>
      <c r="D568" s="1" t="n">
        <v>11171</v>
      </c>
      <c r="E568" s="1" t="s">
        <v>55</v>
      </c>
      <c r="F568" s="201" t="n">
        <v>200025889333</v>
      </c>
      <c r="G568" s="198" t="s">
        <v>652</v>
      </c>
      <c r="H568" s="163" t="s">
        <v>445</v>
      </c>
      <c r="I568" s="161" t="n">
        <v>50</v>
      </c>
      <c r="J568" s="156" t="s">
        <v>192</v>
      </c>
      <c r="K568" s="200" t="n">
        <v>45434.0216203704</v>
      </c>
      <c r="L568" s="1" t="n">
        <v>3</v>
      </c>
      <c r="M568" s="156" t="s">
        <v>192</v>
      </c>
      <c r="N568" s="1" t="n">
        <v>80</v>
      </c>
    </row>
    <row r="569" customFormat="false" ht="14.25" hidden="false" customHeight="false" outlineLevel="0" collapsed="false">
      <c r="A569" s="1" t="n">
        <v>75</v>
      </c>
      <c r="B569" s="1" t="s">
        <v>621</v>
      </c>
      <c r="C569" s="1" t="s">
        <v>622</v>
      </c>
      <c r="D569" s="1" t="n">
        <v>11171</v>
      </c>
      <c r="E569" s="1" t="s">
        <v>55</v>
      </c>
      <c r="F569" s="201" t="n">
        <v>200025889333</v>
      </c>
      <c r="G569" s="198" t="s">
        <v>652</v>
      </c>
      <c r="H569" s="163" t="s">
        <v>445</v>
      </c>
      <c r="I569" s="161" t="n">
        <v>50</v>
      </c>
      <c r="J569" s="156" t="s">
        <v>192</v>
      </c>
      <c r="K569" s="200" t="n">
        <v>45434.0223611111</v>
      </c>
      <c r="L569" s="1" t="n">
        <v>3</v>
      </c>
      <c r="M569" s="156" t="s">
        <v>192</v>
      </c>
      <c r="N569" s="1" t="n">
        <v>81</v>
      </c>
    </row>
    <row r="570" customFormat="false" ht="14.25" hidden="false" customHeight="false" outlineLevel="0" collapsed="false">
      <c r="A570" s="1" t="n">
        <v>76</v>
      </c>
      <c r="B570" s="1" t="s">
        <v>621</v>
      </c>
      <c r="C570" s="1" t="s">
        <v>622</v>
      </c>
      <c r="D570" s="1" t="n">
        <v>11171</v>
      </c>
      <c r="E570" s="1" t="s">
        <v>55</v>
      </c>
      <c r="F570" s="201" t="n">
        <v>200025889333</v>
      </c>
      <c r="G570" s="198" t="s">
        <v>652</v>
      </c>
      <c r="H570" s="163" t="s">
        <v>445</v>
      </c>
      <c r="I570" s="161" t="n">
        <v>50</v>
      </c>
      <c r="J570" s="156" t="s">
        <v>192</v>
      </c>
      <c r="K570" s="200" t="n">
        <v>45434.0224537037</v>
      </c>
      <c r="L570" s="1" t="n">
        <v>5</v>
      </c>
      <c r="M570" s="156" t="s">
        <v>192</v>
      </c>
      <c r="N570" s="1" t="n">
        <v>82</v>
      </c>
    </row>
    <row r="571" customFormat="false" ht="14.25" hidden="false" customHeight="false" outlineLevel="0" collapsed="false">
      <c r="A571" s="1" t="n">
        <v>77</v>
      </c>
      <c r="B571" s="1" t="s">
        <v>621</v>
      </c>
      <c r="C571" s="1" t="s">
        <v>622</v>
      </c>
      <c r="D571" s="1" t="n">
        <v>11171</v>
      </c>
      <c r="E571" s="1" t="s">
        <v>55</v>
      </c>
      <c r="F571" s="201" t="n">
        <v>200025889333</v>
      </c>
      <c r="G571" s="198" t="s">
        <v>652</v>
      </c>
      <c r="H571" s="163" t="s">
        <v>445</v>
      </c>
      <c r="I571" s="161" t="n">
        <v>50</v>
      </c>
      <c r="J571" s="156" t="s">
        <v>192</v>
      </c>
      <c r="K571" s="200" t="n">
        <v>45434.0249768519</v>
      </c>
      <c r="L571" s="1" t="n">
        <v>3</v>
      </c>
      <c r="M571" s="156" t="s">
        <v>192</v>
      </c>
      <c r="N571" s="1" t="n">
        <v>83</v>
      </c>
    </row>
    <row r="572" customFormat="false" ht="14.25" hidden="false" customHeight="false" outlineLevel="0" collapsed="false">
      <c r="A572" s="1" t="n">
        <v>78</v>
      </c>
      <c r="B572" s="1" t="s">
        <v>621</v>
      </c>
      <c r="C572" s="1" t="s">
        <v>622</v>
      </c>
      <c r="D572" s="1" t="n">
        <v>11171</v>
      </c>
      <c r="E572" s="1" t="s">
        <v>55</v>
      </c>
      <c r="F572" s="201" t="n">
        <v>200025889333</v>
      </c>
      <c r="G572" s="198" t="s">
        <v>652</v>
      </c>
      <c r="H572" s="163" t="s">
        <v>445</v>
      </c>
      <c r="I572" s="161" t="n">
        <v>50</v>
      </c>
      <c r="J572" s="156" t="s">
        <v>192</v>
      </c>
      <c r="K572" s="200" t="n">
        <v>45434.0263078704</v>
      </c>
      <c r="L572" s="1" t="n">
        <v>1</v>
      </c>
      <c r="M572" s="156" t="s">
        <v>192</v>
      </c>
      <c r="N572" s="1" t="n">
        <v>84</v>
      </c>
    </row>
    <row r="573" customFormat="false" ht="14.25" hidden="false" customHeight="false" outlineLevel="0" collapsed="false">
      <c r="A573" s="1" t="n">
        <v>79</v>
      </c>
      <c r="B573" s="1" t="s">
        <v>621</v>
      </c>
      <c r="C573" s="1" t="s">
        <v>622</v>
      </c>
      <c r="D573" s="1" t="n">
        <v>11171</v>
      </c>
      <c r="E573" s="1" t="s">
        <v>55</v>
      </c>
      <c r="F573" s="201" t="n">
        <v>200025889333</v>
      </c>
      <c r="G573" s="198" t="s">
        <v>652</v>
      </c>
      <c r="H573" s="163" t="s">
        <v>445</v>
      </c>
      <c r="I573" s="161" t="n">
        <v>50</v>
      </c>
      <c r="J573" s="156" t="s">
        <v>192</v>
      </c>
      <c r="K573" s="200" t="n">
        <v>45434.0263194444</v>
      </c>
      <c r="L573" s="1" t="n">
        <v>1</v>
      </c>
      <c r="M573" s="156" t="s">
        <v>192</v>
      </c>
      <c r="N573" s="1" t="n">
        <v>85</v>
      </c>
    </row>
    <row r="574" customFormat="false" ht="14.25" hidden="false" customHeight="false" outlineLevel="0" collapsed="false">
      <c r="A574" s="1" t="n">
        <v>80</v>
      </c>
      <c r="B574" s="1" t="s">
        <v>621</v>
      </c>
      <c r="C574" s="1" t="s">
        <v>622</v>
      </c>
      <c r="D574" s="1" t="n">
        <v>11171</v>
      </c>
      <c r="E574" s="1" t="s">
        <v>55</v>
      </c>
      <c r="F574" s="201" t="n">
        <v>200025889333</v>
      </c>
      <c r="G574" s="198" t="s">
        <v>652</v>
      </c>
      <c r="H574" s="163" t="s">
        <v>445</v>
      </c>
      <c r="I574" s="161" t="n">
        <v>50</v>
      </c>
      <c r="J574" s="156" t="s">
        <v>192</v>
      </c>
      <c r="K574" s="200" t="n">
        <v>45434.0263310185</v>
      </c>
      <c r="L574" s="1" t="n">
        <v>0</v>
      </c>
      <c r="M574" s="156" t="s">
        <v>192</v>
      </c>
      <c r="N574" s="1" t="n">
        <v>86</v>
      </c>
    </row>
    <row r="575" customFormat="false" ht="14.25" hidden="false" customHeight="false" outlineLevel="0" collapsed="false">
      <c r="A575" s="1" t="n">
        <v>81</v>
      </c>
      <c r="B575" s="1" t="s">
        <v>621</v>
      </c>
      <c r="C575" s="1" t="s">
        <v>622</v>
      </c>
      <c r="D575" s="1" t="n">
        <v>11171</v>
      </c>
      <c r="E575" s="1" t="s">
        <v>55</v>
      </c>
      <c r="F575" s="201" t="n">
        <v>200025889333</v>
      </c>
      <c r="G575" s="198" t="s">
        <v>652</v>
      </c>
      <c r="H575" s="163" t="s">
        <v>445</v>
      </c>
      <c r="I575" s="161" t="n">
        <v>50</v>
      </c>
      <c r="J575" s="156" t="s">
        <v>192</v>
      </c>
      <c r="K575" s="200" t="n">
        <v>45434.0263425926</v>
      </c>
      <c r="L575" s="1" t="n">
        <v>0</v>
      </c>
      <c r="M575" s="156" t="s">
        <v>192</v>
      </c>
      <c r="N575" s="1" t="n">
        <v>87</v>
      </c>
    </row>
    <row r="576" customFormat="false" ht="14.25" hidden="false" customHeight="false" outlineLevel="0" collapsed="false">
      <c r="A576" s="1" t="n">
        <v>82</v>
      </c>
      <c r="B576" s="1" t="s">
        <v>621</v>
      </c>
      <c r="C576" s="1" t="s">
        <v>622</v>
      </c>
      <c r="D576" s="1" t="n">
        <v>11171</v>
      </c>
      <c r="E576" s="1" t="s">
        <v>55</v>
      </c>
      <c r="F576" s="201" t="n">
        <v>200025889333</v>
      </c>
      <c r="G576" s="198" t="s">
        <v>652</v>
      </c>
      <c r="H576" s="163" t="s">
        <v>445</v>
      </c>
      <c r="I576" s="161" t="n">
        <v>50</v>
      </c>
      <c r="J576" s="156" t="s">
        <v>192</v>
      </c>
      <c r="K576" s="200" t="n">
        <v>45434.0272569444</v>
      </c>
      <c r="L576" s="1" t="n">
        <v>2</v>
      </c>
      <c r="M576" s="156" t="s">
        <v>192</v>
      </c>
      <c r="N576" s="1" t="n">
        <v>88</v>
      </c>
    </row>
    <row r="577" customFormat="false" ht="14.25" hidden="false" customHeight="false" outlineLevel="0" collapsed="false">
      <c r="A577" s="1" t="n">
        <v>83</v>
      </c>
      <c r="B577" s="1" t="s">
        <v>621</v>
      </c>
      <c r="C577" s="1" t="s">
        <v>622</v>
      </c>
      <c r="D577" s="1" t="n">
        <v>11171</v>
      </c>
      <c r="E577" s="1" t="s">
        <v>55</v>
      </c>
      <c r="F577" s="201" t="n">
        <v>200025889333</v>
      </c>
      <c r="G577" s="198" t="s">
        <v>652</v>
      </c>
      <c r="H577" s="163" t="s">
        <v>445</v>
      </c>
      <c r="I577" s="161" t="n">
        <v>50</v>
      </c>
      <c r="J577" s="156" t="s">
        <v>192</v>
      </c>
      <c r="K577" s="200" t="n">
        <v>45434.027349537</v>
      </c>
      <c r="L577" s="1" t="n">
        <v>1</v>
      </c>
      <c r="M577" s="156" t="s">
        <v>192</v>
      </c>
      <c r="N577" s="1" t="n">
        <v>89</v>
      </c>
    </row>
    <row r="578" customFormat="false" ht="14.25" hidden="false" customHeight="false" outlineLevel="0" collapsed="false">
      <c r="A578" s="1" t="n">
        <v>84</v>
      </c>
      <c r="B578" s="1" t="s">
        <v>621</v>
      </c>
      <c r="C578" s="1" t="s">
        <v>622</v>
      </c>
      <c r="D578" s="1" t="n">
        <v>11171</v>
      </c>
      <c r="E578" s="1" t="s">
        <v>55</v>
      </c>
      <c r="F578" s="201" t="n">
        <v>200025889333</v>
      </c>
      <c r="G578" s="198" t="s">
        <v>652</v>
      </c>
      <c r="H578" s="163" t="s">
        <v>445</v>
      </c>
      <c r="I578" s="161" t="n">
        <v>50</v>
      </c>
      <c r="J578" s="156" t="s">
        <v>192</v>
      </c>
      <c r="K578" s="200" t="n">
        <v>45434.0461226852</v>
      </c>
      <c r="L578" s="1" t="n">
        <v>1</v>
      </c>
      <c r="M578" s="156" t="s">
        <v>192</v>
      </c>
      <c r="N578" s="1" t="n">
        <v>90</v>
      </c>
    </row>
    <row r="579" customFormat="false" ht="14.25" hidden="false" customHeight="false" outlineLevel="0" collapsed="false">
      <c r="A579" s="1" t="n">
        <v>85</v>
      </c>
      <c r="B579" s="1" t="s">
        <v>621</v>
      </c>
      <c r="C579" s="1" t="s">
        <v>622</v>
      </c>
      <c r="D579" s="1" t="n">
        <v>11171</v>
      </c>
      <c r="E579" s="1" t="s">
        <v>55</v>
      </c>
      <c r="F579" s="201" t="n">
        <v>200025889333</v>
      </c>
      <c r="G579" s="198" t="s">
        <v>652</v>
      </c>
      <c r="H579" s="163" t="s">
        <v>445</v>
      </c>
      <c r="I579" s="161" t="n">
        <v>50</v>
      </c>
      <c r="J579" s="156" t="s">
        <v>192</v>
      </c>
      <c r="K579" s="200" t="n">
        <v>45434.1139351852</v>
      </c>
      <c r="L579" s="1" t="n">
        <v>1</v>
      </c>
      <c r="M579" s="156" t="s">
        <v>192</v>
      </c>
      <c r="N579" s="1" t="n">
        <v>91</v>
      </c>
    </row>
    <row r="580" customFormat="false" ht="14.25" hidden="false" customHeight="false" outlineLevel="0" collapsed="false">
      <c r="A580" s="1" t="n">
        <v>86</v>
      </c>
      <c r="B580" s="1" t="s">
        <v>621</v>
      </c>
      <c r="C580" s="1" t="s">
        <v>622</v>
      </c>
      <c r="D580" s="1" t="n">
        <v>11171</v>
      </c>
      <c r="E580" s="1" t="s">
        <v>55</v>
      </c>
      <c r="F580" s="201" t="n">
        <v>200025889333</v>
      </c>
      <c r="G580" s="198" t="s">
        <v>652</v>
      </c>
      <c r="H580" s="163" t="s">
        <v>445</v>
      </c>
      <c r="I580" s="161" t="n">
        <v>50</v>
      </c>
      <c r="J580" s="156" t="s">
        <v>192</v>
      </c>
      <c r="K580" s="200" t="n">
        <v>45434.1140625</v>
      </c>
      <c r="L580" s="1" t="n">
        <v>2</v>
      </c>
      <c r="M580" s="156" t="s">
        <v>192</v>
      </c>
      <c r="N580" s="1" t="n">
        <v>92</v>
      </c>
    </row>
    <row r="581" customFormat="false" ht="14.25" hidden="false" customHeight="false" outlineLevel="0" collapsed="false">
      <c r="A581" s="1" t="n">
        <v>87</v>
      </c>
      <c r="B581" s="1" t="s">
        <v>621</v>
      </c>
      <c r="C581" s="1" t="s">
        <v>622</v>
      </c>
      <c r="D581" s="1" t="n">
        <v>11171</v>
      </c>
      <c r="E581" s="1" t="s">
        <v>55</v>
      </c>
      <c r="F581" s="201" t="n">
        <v>200025889333</v>
      </c>
      <c r="G581" s="198" t="s">
        <v>652</v>
      </c>
      <c r="H581" s="163" t="s">
        <v>445</v>
      </c>
      <c r="I581" s="161" t="n">
        <v>50</v>
      </c>
      <c r="J581" s="156" t="s">
        <v>192</v>
      </c>
      <c r="K581" s="200" t="n">
        <v>45434.1143634259</v>
      </c>
      <c r="L581" s="1" t="n">
        <v>1</v>
      </c>
      <c r="M581" s="156" t="s">
        <v>192</v>
      </c>
      <c r="N581" s="1" t="n">
        <v>93</v>
      </c>
    </row>
    <row r="582" customFormat="false" ht="14.25" hidden="false" customHeight="false" outlineLevel="0" collapsed="false">
      <c r="A582" s="1" t="n">
        <v>88</v>
      </c>
      <c r="B582" s="1" t="s">
        <v>621</v>
      </c>
      <c r="C582" s="1" t="s">
        <v>622</v>
      </c>
      <c r="D582" s="1" t="n">
        <v>11171</v>
      </c>
      <c r="E582" s="1" t="s">
        <v>55</v>
      </c>
      <c r="F582" s="201" t="n">
        <v>200025889333</v>
      </c>
      <c r="G582" s="198" t="s">
        <v>652</v>
      </c>
      <c r="H582" s="163" t="s">
        <v>445</v>
      </c>
      <c r="I582" s="161" t="n">
        <v>50</v>
      </c>
      <c r="J582" s="156" t="s">
        <v>192</v>
      </c>
      <c r="K582" s="200" t="n">
        <v>45434.1178240741</v>
      </c>
      <c r="L582" s="1" t="n">
        <v>3</v>
      </c>
      <c r="M582" s="156" t="s">
        <v>192</v>
      </c>
      <c r="N582" s="1" t="n">
        <v>94</v>
      </c>
    </row>
    <row r="583" customFormat="false" ht="14.25" hidden="false" customHeight="false" outlineLevel="0" collapsed="false">
      <c r="A583" s="1" t="n">
        <v>89</v>
      </c>
      <c r="B583" s="1" t="s">
        <v>621</v>
      </c>
      <c r="C583" s="1" t="s">
        <v>622</v>
      </c>
      <c r="D583" s="1" t="n">
        <v>11171</v>
      </c>
      <c r="E583" s="1" t="s">
        <v>55</v>
      </c>
      <c r="F583" s="201" t="n">
        <v>200025889333</v>
      </c>
      <c r="G583" s="198" t="s">
        <v>652</v>
      </c>
      <c r="H583" s="163" t="s">
        <v>445</v>
      </c>
      <c r="I583" s="161" t="n">
        <v>50</v>
      </c>
      <c r="J583" s="156" t="s">
        <v>192</v>
      </c>
      <c r="K583" s="200" t="n">
        <v>45434.117974537</v>
      </c>
      <c r="L583" s="1" t="n">
        <v>3</v>
      </c>
      <c r="M583" s="156" t="s">
        <v>192</v>
      </c>
      <c r="N583" s="1" t="n">
        <v>95</v>
      </c>
    </row>
    <row r="584" customFormat="false" ht="14.25" hidden="false" customHeight="false" outlineLevel="0" collapsed="false">
      <c r="A584" s="1" t="n">
        <v>90</v>
      </c>
      <c r="B584" s="1" t="s">
        <v>621</v>
      </c>
      <c r="C584" s="1" t="s">
        <v>622</v>
      </c>
      <c r="D584" s="1" t="n">
        <v>11171</v>
      </c>
      <c r="E584" s="1" t="s">
        <v>55</v>
      </c>
      <c r="F584" s="201" t="n">
        <v>200025889333</v>
      </c>
      <c r="G584" s="198" t="s">
        <v>652</v>
      </c>
      <c r="H584" s="163" t="s">
        <v>445</v>
      </c>
      <c r="I584" s="161" t="n">
        <v>50</v>
      </c>
      <c r="J584" s="156" t="s">
        <v>192</v>
      </c>
      <c r="K584" s="200" t="n">
        <v>45434.1409490741</v>
      </c>
      <c r="L584" s="1" t="n">
        <v>2</v>
      </c>
      <c r="M584" s="156" t="s">
        <v>192</v>
      </c>
      <c r="N584" s="1" t="n">
        <v>96</v>
      </c>
    </row>
    <row r="585" customFormat="false" ht="14.25" hidden="false" customHeight="false" outlineLevel="0" collapsed="false">
      <c r="A585" s="1" t="n">
        <v>91</v>
      </c>
      <c r="B585" s="1" t="s">
        <v>621</v>
      </c>
      <c r="C585" s="1" t="s">
        <v>622</v>
      </c>
      <c r="D585" s="1" t="n">
        <v>11171</v>
      </c>
      <c r="E585" s="1" t="s">
        <v>55</v>
      </c>
      <c r="F585" s="201" t="n">
        <v>200025889333</v>
      </c>
      <c r="G585" s="198" t="s">
        <v>652</v>
      </c>
      <c r="H585" s="163" t="s">
        <v>445</v>
      </c>
      <c r="I585" s="161" t="n">
        <v>50</v>
      </c>
      <c r="J585" s="156" t="s">
        <v>192</v>
      </c>
      <c r="K585" s="200" t="n">
        <v>45434.1434143519</v>
      </c>
      <c r="L585" s="1" t="n">
        <v>3</v>
      </c>
      <c r="M585" s="156" t="s">
        <v>192</v>
      </c>
      <c r="N585" s="1" t="n">
        <v>97</v>
      </c>
    </row>
    <row r="586" customFormat="false" ht="14.25" hidden="false" customHeight="false" outlineLevel="0" collapsed="false">
      <c r="A586" s="1" t="n">
        <v>92</v>
      </c>
      <c r="B586" s="1" t="s">
        <v>621</v>
      </c>
      <c r="C586" s="1" t="s">
        <v>622</v>
      </c>
      <c r="D586" s="1" t="n">
        <v>11171</v>
      </c>
      <c r="E586" s="1" t="s">
        <v>55</v>
      </c>
      <c r="F586" s="201" t="n">
        <v>200025889333</v>
      </c>
      <c r="G586" s="198" t="s">
        <v>652</v>
      </c>
      <c r="H586" s="163" t="s">
        <v>445</v>
      </c>
      <c r="I586" s="161" t="n">
        <v>50</v>
      </c>
      <c r="J586" s="156" t="s">
        <v>192</v>
      </c>
      <c r="K586" s="200" t="n">
        <v>45434.1482175926</v>
      </c>
      <c r="L586" s="1" t="n">
        <v>2</v>
      </c>
      <c r="M586" s="156" t="s">
        <v>192</v>
      </c>
      <c r="N586" s="1" t="n">
        <v>98</v>
      </c>
    </row>
    <row r="587" customFormat="false" ht="14.25" hidden="false" customHeight="false" outlineLevel="0" collapsed="false">
      <c r="A587" s="1" t="n">
        <v>93</v>
      </c>
      <c r="B587" s="1" t="s">
        <v>621</v>
      </c>
      <c r="C587" s="1" t="s">
        <v>622</v>
      </c>
      <c r="D587" s="1" t="n">
        <v>11171</v>
      </c>
      <c r="E587" s="1" t="s">
        <v>55</v>
      </c>
      <c r="F587" s="201" t="n">
        <v>200025889333</v>
      </c>
      <c r="G587" s="198" t="s">
        <v>652</v>
      </c>
      <c r="H587" s="163" t="s">
        <v>445</v>
      </c>
      <c r="I587" s="161" t="n">
        <v>50</v>
      </c>
      <c r="J587" s="156" t="s">
        <v>192</v>
      </c>
      <c r="K587" s="200" t="n">
        <v>45434.1484490741</v>
      </c>
      <c r="L587" s="1" t="n">
        <v>2</v>
      </c>
      <c r="M587" s="156" t="s">
        <v>192</v>
      </c>
      <c r="N587" s="1" t="n">
        <v>99</v>
      </c>
    </row>
    <row r="588" customFormat="false" ht="14.25" hidden="false" customHeight="false" outlineLevel="0" collapsed="false">
      <c r="A588" s="1" t="n">
        <v>94</v>
      </c>
      <c r="B588" s="1" t="s">
        <v>621</v>
      </c>
      <c r="C588" s="1" t="s">
        <v>622</v>
      </c>
      <c r="D588" s="1" t="n">
        <v>11171</v>
      </c>
      <c r="E588" s="1" t="s">
        <v>55</v>
      </c>
      <c r="F588" s="201" t="n">
        <v>200025889333</v>
      </c>
      <c r="G588" s="198" t="s">
        <v>652</v>
      </c>
      <c r="H588" s="163" t="s">
        <v>445</v>
      </c>
      <c r="I588" s="161" t="n">
        <v>50</v>
      </c>
      <c r="J588" s="156" t="s">
        <v>192</v>
      </c>
      <c r="K588" s="200" t="n">
        <v>45434.1485763889</v>
      </c>
      <c r="L588" s="1" t="n">
        <v>1</v>
      </c>
      <c r="M588" s="156" t="s">
        <v>192</v>
      </c>
      <c r="N588" s="1" t="n">
        <v>100</v>
      </c>
    </row>
    <row r="589" customFormat="false" ht="14.25" hidden="false" customHeight="false" outlineLevel="0" collapsed="false">
      <c r="A589" s="1" t="n">
        <v>95</v>
      </c>
      <c r="B589" s="1" t="s">
        <v>621</v>
      </c>
      <c r="C589" s="1" t="s">
        <v>622</v>
      </c>
      <c r="D589" s="1" t="n">
        <v>11171</v>
      </c>
      <c r="E589" s="1" t="s">
        <v>55</v>
      </c>
      <c r="F589" s="201" t="n">
        <v>200025889333</v>
      </c>
      <c r="G589" s="198" t="s">
        <v>652</v>
      </c>
      <c r="H589" s="163" t="s">
        <v>445</v>
      </c>
      <c r="I589" s="161" t="n">
        <v>50</v>
      </c>
      <c r="J589" s="156" t="s">
        <v>192</v>
      </c>
      <c r="K589" s="200" t="n">
        <v>45434.1500810185</v>
      </c>
      <c r="L589" s="1" t="n">
        <v>2</v>
      </c>
      <c r="M589" s="156" t="s">
        <v>192</v>
      </c>
      <c r="N589" s="1" t="n">
        <v>101</v>
      </c>
    </row>
    <row r="590" customFormat="false" ht="14.25" hidden="false" customHeight="false" outlineLevel="0" collapsed="false">
      <c r="A590" s="1" t="n">
        <v>96</v>
      </c>
      <c r="B590" s="1" t="s">
        <v>621</v>
      </c>
      <c r="C590" s="1" t="s">
        <v>622</v>
      </c>
      <c r="D590" s="1" t="n">
        <v>11171</v>
      </c>
      <c r="E590" s="1" t="s">
        <v>55</v>
      </c>
      <c r="F590" s="201" t="n">
        <v>200025889333</v>
      </c>
      <c r="G590" s="198" t="s">
        <v>652</v>
      </c>
      <c r="H590" s="163" t="s">
        <v>445</v>
      </c>
      <c r="I590" s="161" t="n">
        <v>50</v>
      </c>
      <c r="J590" s="156" t="s">
        <v>192</v>
      </c>
      <c r="K590" s="200" t="n">
        <v>45434.151400463</v>
      </c>
      <c r="L590" s="1" t="n">
        <v>2</v>
      </c>
      <c r="M590" s="156" t="s">
        <v>192</v>
      </c>
      <c r="N590" s="1" t="n">
        <v>102</v>
      </c>
    </row>
    <row r="591" customFormat="false" ht="14.25" hidden="false" customHeight="false" outlineLevel="0" collapsed="false">
      <c r="A591" s="1" t="n">
        <v>97</v>
      </c>
      <c r="B591" s="1" t="s">
        <v>621</v>
      </c>
      <c r="C591" s="1" t="s">
        <v>622</v>
      </c>
      <c r="D591" s="1" t="n">
        <v>11171</v>
      </c>
      <c r="E591" s="1" t="s">
        <v>55</v>
      </c>
      <c r="F591" s="201" t="n">
        <v>200025889333</v>
      </c>
      <c r="G591" s="198" t="s">
        <v>652</v>
      </c>
      <c r="H591" s="163" t="s">
        <v>445</v>
      </c>
      <c r="I591" s="161" t="n">
        <v>50</v>
      </c>
      <c r="J591" s="156" t="s">
        <v>192</v>
      </c>
      <c r="K591" s="200" t="n">
        <v>45434.1515625</v>
      </c>
      <c r="L591" s="1" t="n">
        <v>1</v>
      </c>
      <c r="M591" s="156" t="s">
        <v>192</v>
      </c>
      <c r="N591" s="1" t="n">
        <v>103</v>
      </c>
    </row>
    <row r="592" customFormat="false" ht="14.25" hidden="false" customHeight="false" outlineLevel="0" collapsed="false">
      <c r="A592" s="1" t="n">
        <v>98</v>
      </c>
      <c r="B592" s="1" t="s">
        <v>621</v>
      </c>
      <c r="C592" s="1" t="s">
        <v>622</v>
      </c>
      <c r="D592" s="1" t="n">
        <v>11171</v>
      </c>
      <c r="E592" s="1" t="s">
        <v>55</v>
      </c>
      <c r="F592" s="201" t="n">
        <v>200025889333</v>
      </c>
      <c r="G592" s="198" t="s">
        <v>652</v>
      </c>
      <c r="H592" s="163" t="s">
        <v>445</v>
      </c>
      <c r="I592" s="161" t="n">
        <v>50</v>
      </c>
      <c r="J592" s="156" t="s">
        <v>192</v>
      </c>
      <c r="K592" s="200" t="n">
        <v>45434.1536342593</v>
      </c>
      <c r="L592" s="1" t="n">
        <v>2</v>
      </c>
      <c r="M592" s="156" t="s">
        <v>192</v>
      </c>
      <c r="N592" s="1" t="n">
        <v>104</v>
      </c>
    </row>
    <row r="593" customFormat="false" ht="14.25" hidden="false" customHeight="false" outlineLevel="0" collapsed="false">
      <c r="A593" s="1" t="n">
        <v>99</v>
      </c>
      <c r="B593" s="1" t="s">
        <v>621</v>
      </c>
      <c r="C593" s="1" t="s">
        <v>622</v>
      </c>
      <c r="D593" s="1" t="n">
        <v>11171</v>
      </c>
      <c r="E593" s="1" t="s">
        <v>55</v>
      </c>
      <c r="F593" s="201" t="n">
        <v>200025889333</v>
      </c>
      <c r="G593" s="198" t="s">
        <v>652</v>
      </c>
      <c r="H593" s="163" t="s">
        <v>445</v>
      </c>
      <c r="I593" s="161" t="n">
        <v>50</v>
      </c>
      <c r="J593" s="156" t="s">
        <v>192</v>
      </c>
      <c r="K593" s="200" t="n">
        <v>45434.1550347222</v>
      </c>
      <c r="L593" s="1" t="n">
        <v>0</v>
      </c>
      <c r="M593" s="156" t="s">
        <v>192</v>
      </c>
      <c r="N593" s="1" t="n">
        <v>105</v>
      </c>
    </row>
    <row r="594" customFormat="false" ht="14.25" hidden="false" customHeight="false" outlineLevel="0" collapsed="false">
      <c r="A594" s="1" t="n">
        <v>100</v>
      </c>
      <c r="B594" s="1" t="s">
        <v>621</v>
      </c>
      <c r="C594" s="1" t="s">
        <v>622</v>
      </c>
      <c r="D594" s="1" t="n">
        <v>11171</v>
      </c>
      <c r="E594" s="1" t="s">
        <v>55</v>
      </c>
      <c r="F594" s="201" t="n">
        <v>200025889333</v>
      </c>
      <c r="G594" s="198" t="s">
        <v>652</v>
      </c>
      <c r="H594" s="163" t="s">
        <v>445</v>
      </c>
      <c r="I594" s="161" t="n">
        <v>50</v>
      </c>
      <c r="J594" s="156" t="s">
        <v>192</v>
      </c>
      <c r="K594" s="200" t="n">
        <v>45434.1550347222</v>
      </c>
      <c r="L594" s="1" t="n">
        <v>2</v>
      </c>
      <c r="M594" s="156" t="s">
        <v>192</v>
      </c>
      <c r="N594" s="1" t="n">
        <v>106</v>
      </c>
    </row>
    <row r="595" customFormat="false" ht="14.25" hidden="false" customHeight="false" outlineLevel="0" collapsed="false">
      <c r="A595" s="1" t="n">
        <v>101</v>
      </c>
      <c r="B595" s="1" t="s">
        <v>621</v>
      </c>
      <c r="C595" s="1" t="s">
        <v>622</v>
      </c>
      <c r="D595" s="1" t="n">
        <v>11171</v>
      </c>
      <c r="E595" s="1" t="s">
        <v>55</v>
      </c>
      <c r="F595" s="201" t="n">
        <v>200025889333</v>
      </c>
      <c r="G595" s="198" t="s">
        <v>652</v>
      </c>
      <c r="H595" s="163" t="s">
        <v>445</v>
      </c>
      <c r="I595" s="161" t="n">
        <v>50</v>
      </c>
      <c r="J595" s="156" t="s">
        <v>192</v>
      </c>
      <c r="K595" s="200" t="n">
        <v>45434.1550578704</v>
      </c>
      <c r="L595" s="10" t="n">
        <v>255</v>
      </c>
      <c r="M595" s="156" t="s">
        <v>192</v>
      </c>
      <c r="N595" s="1" t="n">
        <v>107</v>
      </c>
    </row>
    <row r="596" customFormat="false" ht="14.25" hidden="false" customHeight="false" outlineLevel="0" collapsed="false">
      <c r="A596" s="1" t="n">
        <v>102</v>
      </c>
      <c r="B596" s="1" t="s">
        <v>621</v>
      </c>
      <c r="C596" s="1" t="s">
        <v>622</v>
      </c>
      <c r="D596" s="1" t="n">
        <v>11171</v>
      </c>
      <c r="E596" s="1" t="s">
        <v>55</v>
      </c>
      <c r="F596" s="201" t="n">
        <v>200025889333</v>
      </c>
      <c r="G596" s="198" t="s">
        <v>652</v>
      </c>
      <c r="H596" s="163" t="s">
        <v>445</v>
      </c>
      <c r="I596" s="161" t="n">
        <v>50</v>
      </c>
      <c r="J596" s="156" t="s">
        <v>192</v>
      </c>
      <c r="K596" s="200" t="n">
        <v>45434.2645833333</v>
      </c>
      <c r="L596" s="1" t="n">
        <v>2</v>
      </c>
      <c r="M596" s="156" t="s">
        <v>192</v>
      </c>
      <c r="N596" s="1" t="n">
        <v>108</v>
      </c>
    </row>
    <row r="597" customFormat="false" ht="14.25" hidden="false" customHeight="false" outlineLevel="0" collapsed="false">
      <c r="A597" s="1" t="n">
        <v>103</v>
      </c>
      <c r="B597" s="1" t="s">
        <v>621</v>
      </c>
      <c r="C597" s="1" t="s">
        <v>622</v>
      </c>
      <c r="D597" s="1" t="n">
        <v>11171</v>
      </c>
      <c r="E597" s="1" t="s">
        <v>55</v>
      </c>
      <c r="F597" s="201" t="n">
        <v>200025889333</v>
      </c>
      <c r="G597" s="198" t="s">
        <v>652</v>
      </c>
      <c r="H597" s="163" t="s">
        <v>445</v>
      </c>
      <c r="I597" s="161" t="n">
        <v>50</v>
      </c>
      <c r="J597" s="156" t="s">
        <v>192</v>
      </c>
      <c r="K597" s="200" t="n">
        <v>45434.2649537037</v>
      </c>
      <c r="L597" s="1" t="n">
        <v>0</v>
      </c>
      <c r="M597" s="156" t="s">
        <v>192</v>
      </c>
      <c r="N597" s="1" t="n">
        <v>109</v>
      </c>
    </row>
    <row r="598" customFormat="false" ht="14.25" hidden="false" customHeight="false" outlineLevel="0" collapsed="false">
      <c r="A598" s="1" t="n">
        <v>104</v>
      </c>
      <c r="B598" s="1" t="s">
        <v>621</v>
      </c>
      <c r="C598" s="1" t="s">
        <v>622</v>
      </c>
      <c r="D598" s="1" t="n">
        <v>11171</v>
      </c>
      <c r="E598" s="1" t="s">
        <v>55</v>
      </c>
      <c r="F598" s="201" t="n">
        <v>200025889333</v>
      </c>
      <c r="G598" s="198" t="s">
        <v>652</v>
      </c>
      <c r="H598" s="163" t="s">
        <v>445</v>
      </c>
      <c r="I598" s="161" t="n">
        <v>50</v>
      </c>
      <c r="J598" s="156" t="s">
        <v>192</v>
      </c>
      <c r="K598" s="200" t="n">
        <v>45434.2649652778</v>
      </c>
      <c r="L598" s="1" t="n">
        <v>2</v>
      </c>
      <c r="M598" s="156" t="s">
        <v>192</v>
      </c>
      <c r="N598" s="1" t="n">
        <v>110</v>
      </c>
    </row>
    <row r="599" customFormat="false" ht="14.25" hidden="false" customHeight="false" outlineLevel="0" collapsed="false">
      <c r="A599" s="1" t="n">
        <v>105</v>
      </c>
      <c r="B599" s="1" t="s">
        <v>621</v>
      </c>
      <c r="C599" s="1" t="s">
        <v>622</v>
      </c>
      <c r="D599" s="1" t="n">
        <v>11171</v>
      </c>
      <c r="E599" s="1" t="s">
        <v>55</v>
      </c>
      <c r="F599" s="201" t="n">
        <v>200025889333</v>
      </c>
      <c r="G599" s="198" t="s">
        <v>652</v>
      </c>
      <c r="H599" s="163" t="s">
        <v>445</v>
      </c>
      <c r="I599" s="161" t="n">
        <v>50</v>
      </c>
      <c r="J599" s="156" t="s">
        <v>192</v>
      </c>
      <c r="K599" s="200" t="n">
        <v>45434.2649884259</v>
      </c>
      <c r="L599" s="10" t="n">
        <v>233</v>
      </c>
      <c r="M599" s="156" t="s">
        <v>192</v>
      </c>
      <c r="N599" s="1" t="n">
        <v>111</v>
      </c>
    </row>
    <row r="600" customFormat="false" ht="14.25" hidden="false" customHeight="false" outlineLevel="0" collapsed="false">
      <c r="A600" s="1" t="n">
        <v>106</v>
      </c>
      <c r="B600" s="1" t="s">
        <v>621</v>
      </c>
      <c r="C600" s="1" t="s">
        <v>622</v>
      </c>
      <c r="D600" s="1" t="n">
        <v>11171</v>
      </c>
      <c r="E600" s="1" t="s">
        <v>55</v>
      </c>
      <c r="F600" s="201" t="n">
        <v>200025889333</v>
      </c>
      <c r="G600" s="198" t="s">
        <v>652</v>
      </c>
      <c r="H600" s="163" t="s">
        <v>445</v>
      </c>
      <c r="I600" s="161" t="n">
        <v>50</v>
      </c>
      <c r="J600" s="156" t="s">
        <v>192</v>
      </c>
      <c r="K600" s="200" t="n">
        <v>45434.2681134259</v>
      </c>
      <c r="L600" s="1" t="n">
        <v>2</v>
      </c>
      <c r="M600" s="156" t="s">
        <v>192</v>
      </c>
      <c r="N600" s="1" t="n">
        <v>112</v>
      </c>
    </row>
    <row r="601" customFormat="false" ht="14.25" hidden="false" customHeight="false" outlineLevel="0" collapsed="false">
      <c r="A601" s="1" t="n">
        <v>107</v>
      </c>
      <c r="B601" s="1" t="s">
        <v>621</v>
      </c>
      <c r="C601" s="1" t="s">
        <v>622</v>
      </c>
      <c r="D601" s="1" t="n">
        <v>11171</v>
      </c>
      <c r="E601" s="1" t="s">
        <v>55</v>
      </c>
      <c r="F601" s="201" t="n">
        <v>200025889333</v>
      </c>
      <c r="G601" s="198" t="s">
        <v>652</v>
      </c>
      <c r="H601" s="163" t="s">
        <v>445</v>
      </c>
      <c r="I601" s="161" t="n">
        <v>50</v>
      </c>
      <c r="J601" s="156" t="s">
        <v>192</v>
      </c>
      <c r="K601" s="200" t="n">
        <v>45434.2691319444</v>
      </c>
      <c r="L601" s="1" t="n">
        <v>0</v>
      </c>
      <c r="M601" s="156" t="s">
        <v>192</v>
      </c>
      <c r="N601" s="1" t="n">
        <v>113</v>
      </c>
    </row>
    <row r="602" customFormat="false" ht="14.25" hidden="false" customHeight="false" outlineLevel="0" collapsed="false">
      <c r="A602" s="1" t="n">
        <v>108</v>
      </c>
      <c r="B602" s="1" t="s">
        <v>621</v>
      </c>
      <c r="C602" s="1" t="s">
        <v>622</v>
      </c>
      <c r="D602" s="1" t="n">
        <v>11171</v>
      </c>
      <c r="E602" s="1" t="s">
        <v>55</v>
      </c>
      <c r="F602" s="201" t="n">
        <v>200025889333</v>
      </c>
      <c r="G602" s="198" t="s">
        <v>652</v>
      </c>
      <c r="H602" s="163" t="s">
        <v>445</v>
      </c>
      <c r="I602" s="161" t="n">
        <v>50</v>
      </c>
      <c r="J602" s="156" t="s">
        <v>192</v>
      </c>
      <c r="K602" s="200" t="n">
        <v>45434.2691435185</v>
      </c>
      <c r="L602" s="1" t="n">
        <v>0</v>
      </c>
      <c r="M602" s="156" t="s">
        <v>192</v>
      </c>
      <c r="N602" s="1" t="n">
        <v>114</v>
      </c>
    </row>
    <row r="603" customFormat="false" ht="14.25" hidden="false" customHeight="false" outlineLevel="0" collapsed="false">
      <c r="A603" s="1" t="n">
        <v>109</v>
      </c>
      <c r="B603" s="1" t="s">
        <v>621</v>
      </c>
      <c r="C603" s="1" t="s">
        <v>622</v>
      </c>
      <c r="D603" s="1" t="n">
        <v>11171</v>
      </c>
      <c r="E603" s="1" t="s">
        <v>55</v>
      </c>
      <c r="F603" s="201" t="n">
        <v>200025889333</v>
      </c>
      <c r="G603" s="198" t="s">
        <v>652</v>
      </c>
      <c r="H603" s="163" t="s">
        <v>445</v>
      </c>
      <c r="I603" s="161" t="n">
        <v>50</v>
      </c>
      <c r="J603" s="156" t="s">
        <v>192</v>
      </c>
      <c r="K603" s="200" t="n">
        <v>45434.2703935185</v>
      </c>
      <c r="L603" s="1" t="n">
        <v>0</v>
      </c>
      <c r="M603" s="156" t="s">
        <v>192</v>
      </c>
      <c r="N603" s="1" t="n">
        <v>115</v>
      </c>
    </row>
    <row r="604" customFormat="false" ht="14.25" hidden="false" customHeight="false" outlineLevel="0" collapsed="false">
      <c r="A604" s="1" t="n">
        <v>110</v>
      </c>
      <c r="B604" s="1" t="s">
        <v>621</v>
      </c>
      <c r="C604" s="1" t="s">
        <v>622</v>
      </c>
      <c r="D604" s="1" t="n">
        <v>11171</v>
      </c>
      <c r="E604" s="1" t="s">
        <v>55</v>
      </c>
      <c r="F604" s="201" t="n">
        <v>200025889333</v>
      </c>
      <c r="G604" s="198" t="s">
        <v>652</v>
      </c>
      <c r="H604" s="163" t="s">
        <v>445</v>
      </c>
      <c r="I604" s="161" t="n">
        <v>50</v>
      </c>
      <c r="J604" s="156" t="s">
        <v>192</v>
      </c>
      <c r="K604" s="200" t="n">
        <v>45434.2703935185</v>
      </c>
      <c r="L604" s="1" t="n">
        <v>2</v>
      </c>
      <c r="M604" s="156" t="s">
        <v>192</v>
      </c>
      <c r="N604" s="1" t="n">
        <v>116</v>
      </c>
    </row>
    <row r="605" customFormat="false" ht="14.25" hidden="false" customHeight="false" outlineLevel="0" collapsed="false">
      <c r="A605" s="1" t="n">
        <v>45</v>
      </c>
      <c r="B605" s="1" t="s">
        <v>624</v>
      </c>
      <c r="C605" s="1" t="s">
        <v>625</v>
      </c>
      <c r="D605" s="1" t="n">
        <v>21261</v>
      </c>
      <c r="E605" s="1" t="s">
        <v>57</v>
      </c>
      <c r="F605" s="201" t="n">
        <v>200025889248</v>
      </c>
      <c r="G605" s="198" t="s">
        <v>691</v>
      </c>
      <c r="H605" s="163" t="s">
        <v>531</v>
      </c>
      <c r="I605" s="161" t="n">
        <v>95</v>
      </c>
      <c r="J605" s="156" t="s">
        <v>192</v>
      </c>
      <c r="K605" s="200" t="n">
        <v>45434.2915509259</v>
      </c>
      <c r="L605" s="1" t="n">
        <v>1</v>
      </c>
      <c r="M605" s="156" t="s">
        <v>192</v>
      </c>
      <c r="N605" s="1" t="n">
        <v>117</v>
      </c>
    </row>
    <row r="606" customFormat="false" ht="14.25" hidden="false" customHeight="false" outlineLevel="0" collapsed="false">
      <c r="A606" s="1" t="n">
        <v>46</v>
      </c>
      <c r="B606" s="1" t="s">
        <v>624</v>
      </c>
      <c r="C606" s="1" t="s">
        <v>625</v>
      </c>
      <c r="D606" s="1" t="n">
        <v>21261</v>
      </c>
      <c r="E606" s="1" t="s">
        <v>57</v>
      </c>
      <c r="F606" s="201" t="n">
        <v>200025889248</v>
      </c>
      <c r="G606" s="198" t="s">
        <v>691</v>
      </c>
      <c r="H606" s="163" t="s">
        <v>531</v>
      </c>
      <c r="I606" s="161" t="n">
        <v>95</v>
      </c>
      <c r="J606" s="156" t="s">
        <v>192</v>
      </c>
      <c r="K606" s="200" t="n">
        <v>45434.2925231482</v>
      </c>
      <c r="L606" s="1" t="n">
        <v>1</v>
      </c>
      <c r="M606" s="156" t="s">
        <v>192</v>
      </c>
      <c r="N606" s="1" t="n">
        <v>118</v>
      </c>
    </row>
    <row r="607" customFormat="false" ht="14.25" hidden="false" customHeight="false" outlineLevel="0" collapsed="false">
      <c r="A607" s="1" t="n">
        <v>47</v>
      </c>
      <c r="B607" s="1" t="s">
        <v>624</v>
      </c>
      <c r="C607" s="1" t="s">
        <v>625</v>
      </c>
      <c r="D607" s="1" t="n">
        <v>21261</v>
      </c>
      <c r="E607" s="1" t="s">
        <v>57</v>
      </c>
      <c r="F607" s="201" t="n">
        <v>200025889248</v>
      </c>
      <c r="G607" s="198" t="s">
        <v>691</v>
      </c>
      <c r="H607" s="163" t="s">
        <v>531</v>
      </c>
      <c r="I607" s="161" t="n">
        <v>95</v>
      </c>
      <c r="J607" s="156" t="s">
        <v>192</v>
      </c>
      <c r="K607" s="200" t="n">
        <v>45434.3000231482</v>
      </c>
      <c r="L607" s="1" t="n">
        <v>2</v>
      </c>
      <c r="M607" s="156" t="s">
        <v>192</v>
      </c>
      <c r="N607" s="1" t="n">
        <v>119</v>
      </c>
    </row>
    <row r="608" customFormat="false" ht="14.25" hidden="false" customHeight="false" outlineLevel="0" collapsed="false">
      <c r="A608" s="1" t="n">
        <v>48</v>
      </c>
      <c r="B608" s="1" t="s">
        <v>624</v>
      </c>
      <c r="C608" s="1" t="s">
        <v>625</v>
      </c>
      <c r="D608" s="1" t="n">
        <v>21261</v>
      </c>
      <c r="E608" s="1" t="s">
        <v>57</v>
      </c>
      <c r="F608" s="201" t="n">
        <v>200025889333</v>
      </c>
      <c r="G608" s="198" t="s">
        <v>652</v>
      </c>
      <c r="H608" s="163" t="s">
        <v>445</v>
      </c>
      <c r="I608" s="161" t="n">
        <v>50</v>
      </c>
      <c r="J608" s="156" t="s">
        <v>192</v>
      </c>
      <c r="K608" s="200" t="n">
        <v>45434.3275578704</v>
      </c>
      <c r="L608" s="1" t="n">
        <v>1</v>
      </c>
      <c r="M608" s="156" t="s">
        <v>192</v>
      </c>
      <c r="N608" s="1" t="n">
        <v>120</v>
      </c>
    </row>
    <row r="609" customFormat="false" ht="14.25" hidden="false" customHeight="false" outlineLevel="0" collapsed="false">
      <c r="A609" s="1" t="n">
        <v>49</v>
      </c>
      <c r="B609" s="1" t="s">
        <v>624</v>
      </c>
      <c r="C609" s="1" t="s">
        <v>625</v>
      </c>
      <c r="D609" s="1" t="n">
        <v>21261</v>
      </c>
      <c r="E609" s="1" t="s">
        <v>57</v>
      </c>
      <c r="F609" s="201" t="n">
        <v>200025889333</v>
      </c>
      <c r="G609" s="198" t="s">
        <v>652</v>
      </c>
      <c r="H609" s="163" t="s">
        <v>445</v>
      </c>
      <c r="I609" s="161" t="n">
        <v>50</v>
      </c>
      <c r="J609" s="156" t="s">
        <v>192</v>
      </c>
      <c r="K609" s="200" t="n">
        <v>45434.3277777778</v>
      </c>
      <c r="L609" s="1" t="n">
        <v>1</v>
      </c>
      <c r="M609" s="156" t="s">
        <v>192</v>
      </c>
      <c r="N609" s="1" t="n">
        <v>121</v>
      </c>
    </row>
    <row r="610" customFormat="false" ht="14.25" hidden="false" customHeight="false" outlineLevel="0" collapsed="false">
      <c r="A610" s="1" t="n">
        <v>50</v>
      </c>
      <c r="B610" s="1" t="s">
        <v>624</v>
      </c>
      <c r="C610" s="1" t="s">
        <v>625</v>
      </c>
      <c r="D610" s="1" t="n">
        <v>21261</v>
      </c>
      <c r="E610" s="1" t="s">
        <v>57</v>
      </c>
      <c r="F610" s="201" t="n">
        <v>200025889333</v>
      </c>
      <c r="G610" s="198" t="s">
        <v>652</v>
      </c>
      <c r="H610" s="163" t="s">
        <v>445</v>
      </c>
      <c r="I610" s="161" t="n">
        <v>50</v>
      </c>
      <c r="J610" s="156" t="s">
        <v>192</v>
      </c>
      <c r="K610" s="200" t="n">
        <v>45434.3278009259</v>
      </c>
      <c r="L610" s="1" t="n">
        <v>0</v>
      </c>
      <c r="M610" s="156" t="s">
        <v>192</v>
      </c>
      <c r="N610" s="1" t="n">
        <v>122</v>
      </c>
    </row>
    <row r="611" customFormat="false" ht="14.25" hidden="false" customHeight="false" outlineLevel="0" collapsed="false">
      <c r="A611" s="1" t="n">
        <v>51</v>
      </c>
      <c r="B611" s="1" t="s">
        <v>624</v>
      </c>
      <c r="C611" s="1" t="s">
        <v>625</v>
      </c>
      <c r="D611" s="1" t="n">
        <v>21261</v>
      </c>
      <c r="E611" s="1" t="s">
        <v>57</v>
      </c>
      <c r="F611" s="201" t="n">
        <v>200025889333</v>
      </c>
      <c r="G611" s="198" t="s">
        <v>652</v>
      </c>
      <c r="H611" s="163" t="s">
        <v>445</v>
      </c>
      <c r="I611" s="161" t="n">
        <v>50</v>
      </c>
      <c r="J611" s="156" t="s">
        <v>192</v>
      </c>
      <c r="K611" s="200" t="n">
        <v>45434.3285300926</v>
      </c>
      <c r="L611" s="1" t="n">
        <v>1</v>
      </c>
      <c r="M611" s="156" t="s">
        <v>192</v>
      </c>
      <c r="N611" s="1" t="n">
        <v>123</v>
      </c>
    </row>
    <row r="612" customFormat="false" ht="14.25" hidden="false" customHeight="false" outlineLevel="0" collapsed="false">
      <c r="A612" s="1" t="n">
        <v>52</v>
      </c>
      <c r="B612" s="1" t="s">
        <v>624</v>
      </c>
      <c r="C612" s="1" t="s">
        <v>625</v>
      </c>
      <c r="D612" s="1" t="n">
        <v>21261</v>
      </c>
      <c r="E612" s="1" t="s">
        <v>57</v>
      </c>
      <c r="F612" s="201" t="n">
        <v>200025889333</v>
      </c>
      <c r="G612" s="198" t="s">
        <v>652</v>
      </c>
      <c r="H612" s="163" t="s">
        <v>445</v>
      </c>
      <c r="I612" s="161" t="n">
        <v>50</v>
      </c>
      <c r="J612" s="156" t="s">
        <v>192</v>
      </c>
      <c r="K612" s="200" t="n">
        <v>45434.3286574074</v>
      </c>
      <c r="L612" s="1" t="n">
        <v>2</v>
      </c>
      <c r="M612" s="156" t="s">
        <v>192</v>
      </c>
      <c r="N612" s="1" t="n">
        <v>124</v>
      </c>
    </row>
    <row r="613" customFormat="false" ht="14.25" hidden="false" customHeight="false" outlineLevel="0" collapsed="false">
      <c r="A613" s="1" t="n">
        <v>53</v>
      </c>
      <c r="B613" s="1" t="s">
        <v>624</v>
      </c>
      <c r="C613" s="1" t="s">
        <v>625</v>
      </c>
      <c r="D613" s="1" t="n">
        <v>21261</v>
      </c>
      <c r="E613" s="1" t="s">
        <v>57</v>
      </c>
      <c r="F613" s="201" t="n">
        <v>200025889333</v>
      </c>
      <c r="G613" s="198" t="s">
        <v>652</v>
      </c>
      <c r="H613" s="163" t="s">
        <v>445</v>
      </c>
      <c r="I613" s="161" t="n">
        <v>50</v>
      </c>
      <c r="J613" s="156" t="s">
        <v>192</v>
      </c>
      <c r="K613" s="200" t="n">
        <v>45434.3290740741</v>
      </c>
      <c r="L613" s="1" t="n">
        <v>1</v>
      </c>
      <c r="M613" s="156" t="s">
        <v>192</v>
      </c>
      <c r="N613" s="1" t="n">
        <v>125</v>
      </c>
    </row>
    <row r="614" customFormat="false" ht="14.25" hidden="false" customHeight="false" outlineLevel="0" collapsed="false">
      <c r="A614" s="1" t="n">
        <v>111</v>
      </c>
      <c r="B614" s="1" t="s">
        <v>621</v>
      </c>
      <c r="C614" s="1" t="s">
        <v>622</v>
      </c>
      <c r="D614" s="1" t="n">
        <v>11171</v>
      </c>
      <c r="E614" s="1" t="s">
        <v>55</v>
      </c>
      <c r="F614" s="201" t="n">
        <v>200025889333</v>
      </c>
      <c r="G614" s="198" t="s">
        <v>652</v>
      </c>
      <c r="H614" s="163" t="s">
        <v>445</v>
      </c>
      <c r="I614" s="161" t="n">
        <v>50</v>
      </c>
      <c r="J614" s="156" t="s">
        <v>192</v>
      </c>
      <c r="K614" s="200" t="n">
        <v>45434.3297916667</v>
      </c>
      <c r="L614" s="1" t="n">
        <v>2</v>
      </c>
      <c r="M614" s="156" t="s">
        <v>192</v>
      </c>
      <c r="N614" s="1" t="n">
        <v>126</v>
      </c>
    </row>
    <row r="615" customFormat="false" ht="14.25" hidden="false" customHeight="false" outlineLevel="0" collapsed="false">
      <c r="A615" s="1" t="n">
        <v>54</v>
      </c>
      <c r="B615" s="1" t="s">
        <v>624</v>
      </c>
      <c r="C615" s="1" t="s">
        <v>625</v>
      </c>
      <c r="D615" s="1" t="n">
        <v>21261</v>
      </c>
      <c r="E615" s="1" t="s">
        <v>57</v>
      </c>
      <c r="F615" s="201" t="n">
        <v>200025889356</v>
      </c>
      <c r="G615" s="198" t="s">
        <v>654</v>
      </c>
      <c r="H615" s="163" t="s">
        <v>193</v>
      </c>
      <c r="I615" s="161" t="n">
        <v>30</v>
      </c>
      <c r="J615" s="156" t="s">
        <v>192</v>
      </c>
      <c r="K615" s="200" t="n">
        <v>45434.4552777778</v>
      </c>
      <c r="L615" s="1" t="n">
        <v>1</v>
      </c>
      <c r="M615" s="156" t="s">
        <v>192</v>
      </c>
      <c r="N615" s="1" t="n">
        <v>127</v>
      </c>
    </row>
    <row r="616" customFormat="false" ht="14.25" hidden="false" customHeight="false" outlineLevel="0" collapsed="false">
      <c r="A616" s="1" t="n">
        <v>27</v>
      </c>
      <c r="B616" s="1" t="s">
        <v>565</v>
      </c>
      <c r="C616" s="1" t="s">
        <v>566</v>
      </c>
      <c r="D616" s="196" t="n">
        <v>2644</v>
      </c>
      <c r="E616" s="196" t="s">
        <v>51</v>
      </c>
      <c r="F616" s="198" t="s">
        <v>651</v>
      </c>
      <c r="G616" s="198" t="s">
        <v>652</v>
      </c>
      <c r="H616" s="163" t="s">
        <v>445</v>
      </c>
      <c r="I616" s="161" t="n">
        <v>50</v>
      </c>
      <c r="J616" s="156" t="s">
        <v>192</v>
      </c>
      <c r="K616" s="199" t="n">
        <v>45434.4990393519</v>
      </c>
      <c r="L616" s="1" t="n">
        <v>1</v>
      </c>
      <c r="M616" s="156" t="s">
        <v>192</v>
      </c>
      <c r="N616" s="1" t="n">
        <v>128</v>
      </c>
    </row>
    <row r="617" customFormat="false" ht="14.25" hidden="false" customHeight="false" outlineLevel="0" collapsed="false">
      <c r="A617" s="1" t="n">
        <v>55</v>
      </c>
      <c r="B617" s="1" t="s">
        <v>624</v>
      </c>
      <c r="C617" s="1" t="s">
        <v>625</v>
      </c>
      <c r="D617" s="1" t="n">
        <v>21261</v>
      </c>
      <c r="E617" s="1" t="s">
        <v>57</v>
      </c>
      <c r="F617" s="201" t="n">
        <v>200025888224</v>
      </c>
      <c r="G617" s="198" t="s">
        <v>656</v>
      </c>
      <c r="H617" s="163" t="s">
        <v>245</v>
      </c>
      <c r="I617" s="161" t="n">
        <v>8</v>
      </c>
      <c r="J617" s="156" t="s">
        <v>192</v>
      </c>
      <c r="K617" s="200" t="n">
        <v>45434.5035416667</v>
      </c>
      <c r="L617" s="1" t="n">
        <v>0</v>
      </c>
      <c r="M617" s="156" t="s">
        <v>192</v>
      </c>
      <c r="N617" s="1" t="n">
        <v>129</v>
      </c>
    </row>
    <row r="618" customFormat="false" ht="14.25" hidden="false" customHeight="false" outlineLevel="0" collapsed="false">
      <c r="A618" s="1" t="n">
        <v>28</v>
      </c>
      <c r="B618" s="1" t="s">
        <v>565</v>
      </c>
      <c r="C618" s="1" t="s">
        <v>566</v>
      </c>
      <c r="D618" s="196" t="n">
        <v>2644</v>
      </c>
      <c r="E618" s="196" t="s">
        <v>51</v>
      </c>
      <c r="F618" s="198" t="s">
        <v>651</v>
      </c>
      <c r="G618" s="198" t="s">
        <v>652</v>
      </c>
      <c r="H618" s="163" t="s">
        <v>445</v>
      </c>
      <c r="I618" s="161" t="n">
        <v>50</v>
      </c>
      <c r="J618" s="156" t="s">
        <v>192</v>
      </c>
      <c r="K618" s="199" t="n">
        <v>45434.5066087963</v>
      </c>
      <c r="L618" s="1" t="n">
        <v>1</v>
      </c>
      <c r="M618" s="156" t="s">
        <v>192</v>
      </c>
      <c r="N618" s="1" t="n">
        <v>130</v>
      </c>
    </row>
    <row r="619" customFormat="false" ht="14.25" hidden="false" customHeight="false" outlineLevel="0" collapsed="false">
      <c r="A619" s="1" t="n">
        <v>29</v>
      </c>
      <c r="B619" s="1" t="s">
        <v>565</v>
      </c>
      <c r="C619" s="1" t="s">
        <v>566</v>
      </c>
      <c r="D619" s="196" t="n">
        <v>2644</v>
      </c>
      <c r="E619" s="196" t="s">
        <v>51</v>
      </c>
      <c r="F619" s="197" t="s">
        <v>653</v>
      </c>
      <c r="G619" s="198" t="s">
        <v>654</v>
      </c>
      <c r="H619" s="163" t="s">
        <v>193</v>
      </c>
      <c r="I619" s="161" t="n">
        <v>30</v>
      </c>
      <c r="J619" s="156" t="s">
        <v>192</v>
      </c>
      <c r="K619" s="199" t="n">
        <v>45434.5117708333</v>
      </c>
      <c r="L619" s="1" t="n">
        <v>2</v>
      </c>
      <c r="M619" s="156" t="s">
        <v>192</v>
      </c>
      <c r="N619" s="1" t="n">
        <v>131</v>
      </c>
    </row>
    <row r="620" customFormat="false" ht="14.25" hidden="false" customHeight="false" outlineLevel="0" collapsed="false">
      <c r="A620" s="1" t="n">
        <v>30</v>
      </c>
      <c r="B620" s="1" t="s">
        <v>565</v>
      </c>
      <c r="C620" s="1" t="s">
        <v>566</v>
      </c>
      <c r="D620" s="196" t="n">
        <v>2644</v>
      </c>
      <c r="E620" s="196" t="s">
        <v>51</v>
      </c>
      <c r="F620" s="197" t="s">
        <v>653</v>
      </c>
      <c r="G620" s="198" t="s">
        <v>654</v>
      </c>
      <c r="H620" s="163" t="s">
        <v>193</v>
      </c>
      <c r="I620" s="161" t="n">
        <v>30</v>
      </c>
      <c r="J620" s="156" t="s">
        <v>192</v>
      </c>
      <c r="K620" s="199" t="n">
        <v>45434.5585300926</v>
      </c>
      <c r="L620" s="1" t="n">
        <v>2</v>
      </c>
      <c r="M620" s="156" t="s">
        <v>192</v>
      </c>
      <c r="N620" s="1" t="n">
        <v>132</v>
      </c>
    </row>
    <row r="621" customFormat="false" ht="14.25" hidden="false" customHeight="false" outlineLevel="0" collapsed="false">
      <c r="A621" s="1" t="n">
        <v>31</v>
      </c>
      <c r="B621" s="1" t="s">
        <v>565</v>
      </c>
      <c r="C621" s="1" t="s">
        <v>566</v>
      </c>
      <c r="D621" s="196" t="n">
        <v>2644</v>
      </c>
      <c r="E621" s="196" t="s">
        <v>51</v>
      </c>
      <c r="F621" s="197" t="s">
        <v>651</v>
      </c>
      <c r="G621" s="198" t="s">
        <v>652</v>
      </c>
      <c r="H621" s="163" t="s">
        <v>445</v>
      </c>
      <c r="I621" s="161" t="n">
        <v>50</v>
      </c>
      <c r="J621" s="156" t="s">
        <v>192</v>
      </c>
      <c r="K621" s="199" t="n">
        <v>45434.5598726852</v>
      </c>
      <c r="L621" s="1" t="n">
        <v>0</v>
      </c>
      <c r="M621" s="156" t="s">
        <v>192</v>
      </c>
      <c r="N621" s="1" t="n">
        <v>133</v>
      </c>
    </row>
    <row r="622" customFormat="false" ht="14.25" hidden="false" customHeight="false" outlineLevel="0" collapsed="false">
      <c r="A622" s="1" t="n">
        <v>32</v>
      </c>
      <c r="B622" s="1" t="s">
        <v>565</v>
      </c>
      <c r="C622" s="1" t="s">
        <v>566</v>
      </c>
      <c r="D622" s="196" t="n">
        <v>2644</v>
      </c>
      <c r="E622" s="196" t="s">
        <v>51</v>
      </c>
      <c r="F622" s="197" t="s">
        <v>655</v>
      </c>
      <c r="G622" s="198" t="s">
        <v>656</v>
      </c>
      <c r="H622" s="163" t="s">
        <v>245</v>
      </c>
      <c r="I622" s="161" t="n">
        <v>8</v>
      </c>
      <c r="J622" s="156" t="s">
        <v>192</v>
      </c>
      <c r="K622" s="199" t="n">
        <v>45434.5625347222</v>
      </c>
      <c r="L622" s="1" t="n">
        <v>0</v>
      </c>
      <c r="M622" s="156" t="s">
        <v>192</v>
      </c>
      <c r="N622" s="1" t="n">
        <v>134</v>
      </c>
    </row>
    <row r="623" customFormat="false" ht="14.25" hidden="false" customHeight="false" outlineLevel="0" collapsed="false">
      <c r="A623" s="1" t="n">
        <v>33</v>
      </c>
      <c r="B623" s="1" t="s">
        <v>565</v>
      </c>
      <c r="C623" s="1" t="s">
        <v>566</v>
      </c>
      <c r="D623" s="196" t="n">
        <v>2644</v>
      </c>
      <c r="E623" s="196" t="s">
        <v>51</v>
      </c>
      <c r="F623" s="197" t="s">
        <v>655</v>
      </c>
      <c r="G623" s="198" t="s">
        <v>656</v>
      </c>
      <c r="H623" s="163" t="s">
        <v>245</v>
      </c>
      <c r="I623" s="161" t="n">
        <v>8</v>
      </c>
      <c r="J623" s="156" t="s">
        <v>192</v>
      </c>
      <c r="K623" s="199" t="n">
        <v>45434.5625462963</v>
      </c>
      <c r="L623" s="1" t="n">
        <v>0</v>
      </c>
      <c r="M623" s="156" t="s">
        <v>192</v>
      </c>
      <c r="N623" s="1" t="n">
        <v>135</v>
      </c>
    </row>
    <row r="624" customFormat="false" ht="14.25" hidden="false" customHeight="false" outlineLevel="0" collapsed="false">
      <c r="A624" s="1" t="n">
        <v>34</v>
      </c>
      <c r="B624" s="1" t="s">
        <v>565</v>
      </c>
      <c r="C624" s="1" t="s">
        <v>566</v>
      </c>
      <c r="D624" s="196" t="n">
        <v>2644</v>
      </c>
      <c r="E624" s="196" t="s">
        <v>51</v>
      </c>
      <c r="F624" s="197" t="s">
        <v>655</v>
      </c>
      <c r="G624" s="198" t="s">
        <v>656</v>
      </c>
      <c r="H624" s="163" t="s">
        <v>245</v>
      </c>
      <c r="I624" s="161" t="n">
        <v>8</v>
      </c>
      <c r="J624" s="156" t="s">
        <v>192</v>
      </c>
      <c r="K624" s="199" t="n">
        <v>45434.5625462963</v>
      </c>
      <c r="L624" s="1" t="n">
        <v>2</v>
      </c>
      <c r="M624" s="156" t="s">
        <v>192</v>
      </c>
      <c r="N624" s="1" t="n">
        <v>136</v>
      </c>
    </row>
    <row r="625" customFormat="false" ht="14.25" hidden="false" customHeight="false" outlineLevel="0" collapsed="false">
      <c r="A625" s="1" t="n">
        <v>35</v>
      </c>
      <c r="B625" s="1" t="s">
        <v>565</v>
      </c>
      <c r="C625" s="1" t="s">
        <v>566</v>
      </c>
      <c r="D625" s="196" t="n">
        <v>2644</v>
      </c>
      <c r="E625" s="196" t="s">
        <v>51</v>
      </c>
      <c r="F625" s="197" t="s">
        <v>603</v>
      </c>
      <c r="G625" s="198" t="s">
        <v>604</v>
      </c>
      <c r="H625" s="163" t="s">
        <v>489</v>
      </c>
      <c r="I625" s="161" t="n">
        <v>82</v>
      </c>
      <c r="J625" s="156" t="s">
        <v>192</v>
      </c>
      <c r="K625" s="199" t="n">
        <v>45434.6712847222</v>
      </c>
      <c r="L625" s="1" t="n">
        <v>1</v>
      </c>
      <c r="M625" s="156" t="s">
        <v>192</v>
      </c>
      <c r="N625" s="1" t="n">
        <v>137</v>
      </c>
    </row>
    <row r="626" customFormat="false" ht="14.25" hidden="false" customHeight="false" outlineLevel="0" collapsed="false">
      <c r="A626" s="1" t="n">
        <v>56</v>
      </c>
      <c r="B626" s="1" t="s">
        <v>624</v>
      </c>
      <c r="C626" s="1" t="s">
        <v>625</v>
      </c>
      <c r="D626" s="1" t="n">
        <v>21261</v>
      </c>
      <c r="E626" s="1" t="s">
        <v>57</v>
      </c>
      <c r="F626" s="201" t="n">
        <v>200025888655</v>
      </c>
      <c r="G626" s="198" t="s">
        <v>707</v>
      </c>
      <c r="H626" s="163" t="s">
        <v>399</v>
      </c>
      <c r="I626" s="161" t="n">
        <v>41</v>
      </c>
      <c r="J626" s="156" t="s">
        <v>192</v>
      </c>
      <c r="K626" s="200" t="n">
        <v>45434.7024074074</v>
      </c>
      <c r="L626" s="1" t="n">
        <v>2</v>
      </c>
      <c r="M626" s="156" t="s">
        <v>192</v>
      </c>
      <c r="N626" s="1" t="n">
        <v>138</v>
      </c>
    </row>
    <row r="627" customFormat="false" ht="14.25" hidden="false" customHeight="false" outlineLevel="0" collapsed="false">
      <c r="A627" s="1" t="n">
        <v>57</v>
      </c>
      <c r="B627" s="1" t="s">
        <v>624</v>
      </c>
      <c r="C627" s="1" t="s">
        <v>625</v>
      </c>
      <c r="D627" s="1" t="n">
        <v>21261</v>
      </c>
      <c r="E627" s="1" t="s">
        <v>57</v>
      </c>
      <c r="F627" s="201" t="n">
        <v>200025888655</v>
      </c>
      <c r="G627" s="198" t="s">
        <v>707</v>
      </c>
      <c r="H627" s="163" t="s">
        <v>399</v>
      </c>
      <c r="I627" s="161" t="n">
        <v>41</v>
      </c>
      <c r="J627" s="156" t="s">
        <v>192</v>
      </c>
      <c r="K627" s="200" t="n">
        <v>45434.7031828704</v>
      </c>
      <c r="L627" s="1" t="n">
        <v>3</v>
      </c>
      <c r="M627" s="156" t="s">
        <v>192</v>
      </c>
      <c r="N627" s="1" t="n">
        <v>139</v>
      </c>
    </row>
    <row r="628" customFormat="false" ht="14.25" hidden="false" customHeight="false" outlineLevel="0" collapsed="false">
      <c r="A628" s="1" t="n">
        <v>58</v>
      </c>
      <c r="B628" s="1" t="s">
        <v>624</v>
      </c>
      <c r="C628" s="1" t="s">
        <v>625</v>
      </c>
      <c r="D628" s="1" t="n">
        <v>21261</v>
      </c>
      <c r="E628" s="1" t="s">
        <v>57</v>
      </c>
      <c r="F628" s="201" t="n">
        <v>200025888655</v>
      </c>
      <c r="G628" s="198" t="s">
        <v>707</v>
      </c>
      <c r="H628" s="163" t="s">
        <v>399</v>
      </c>
      <c r="I628" s="161" t="n">
        <v>41</v>
      </c>
      <c r="J628" s="156" t="s">
        <v>192</v>
      </c>
      <c r="K628" s="200" t="n">
        <v>45434.7037847222</v>
      </c>
      <c r="L628" s="1" t="n">
        <v>2</v>
      </c>
      <c r="M628" s="156" t="s">
        <v>192</v>
      </c>
      <c r="N628" s="1" t="n">
        <v>140</v>
      </c>
    </row>
    <row r="629" customFormat="false" ht="14.25" hidden="false" customHeight="false" outlineLevel="0" collapsed="false">
      <c r="A629" s="1" t="n">
        <v>59</v>
      </c>
      <c r="B629" s="1" t="s">
        <v>624</v>
      </c>
      <c r="C629" s="1" t="s">
        <v>625</v>
      </c>
      <c r="D629" s="1" t="n">
        <v>21261</v>
      </c>
      <c r="E629" s="1" t="s">
        <v>57</v>
      </c>
      <c r="F629" s="201" t="n">
        <v>200025888655</v>
      </c>
      <c r="G629" s="198" t="s">
        <v>707</v>
      </c>
      <c r="H629" s="163" t="s">
        <v>399</v>
      </c>
      <c r="I629" s="161" t="n">
        <v>41</v>
      </c>
      <c r="J629" s="156" t="s">
        <v>192</v>
      </c>
      <c r="K629" s="200" t="n">
        <v>45434.7042476852</v>
      </c>
      <c r="L629" s="1" t="n">
        <v>1</v>
      </c>
      <c r="M629" s="156" t="s">
        <v>192</v>
      </c>
      <c r="N629" s="1" t="n">
        <v>141</v>
      </c>
    </row>
    <row r="630" customFormat="false" ht="14.25" hidden="false" customHeight="false" outlineLevel="0" collapsed="false">
      <c r="A630" s="1" t="n">
        <v>60</v>
      </c>
      <c r="B630" s="1" t="s">
        <v>624</v>
      </c>
      <c r="C630" s="1" t="s">
        <v>625</v>
      </c>
      <c r="D630" s="1" t="n">
        <v>21261</v>
      </c>
      <c r="E630" s="1" t="s">
        <v>57</v>
      </c>
      <c r="F630" s="201" t="n">
        <v>200025888655</v>
      </c>
      <c r="G630" s="198" t="s">
        <v>707</v>
      </c>
      <c r="H630" s="163" t="s">
        <v>399</v>
      </c>
      <c r="I630" s="161" t="n">
        <v>41</v>
      </c>
      <c r="J630" s="156" t="s">
        <v>192</v>
      </c>
      <c r="K630" s="200" t="n">
        <v>45434.7046064815</v>
      </c>
      <c r="L630" s="1" t="n">
        <v>1</v>
      </c>
      <c r="M630" s="156" t="s">
        <v>192</v>
      </c>
      <c r="N630" s="1" t="n">
        <v>142</v>
      </c>
    </row>
    <row r="631" customFormat="false" ht="14.25" hidden="false" customHeight="false" outlineLevel="0" collapsed="false">
      <c r="A631" s="1" t="n">
        <v>61</v>
      </c>
      <c r="B631" s="1" t="s">
        <v>624</v>
      </c>
      <c r="C631" s="1" t="s">
        <v>625</v>
      </c>
      <c r="D631" s="1" t="n">
        <v>21261</v>
      </c>
      <c r="E631" s="1" t="s">
        <v>57</v>
      </c>
      <c r="F631" s="201" t="n">
        <v>200025888655</v>
      </c>
      <c r="G631" s="198" t="s">
        <v>707</v>
      </c>
      <c r="H631" s="163" t="s">
        <v>399</v>
      </c>
      <c r="I631" s="161" t="n">
        <v>41</v>
      </c>
      <c r="J631" s="156" t="s">
        <v>192</v>
      </c>
      <c r="K631" s="200" t="n">
        <v>45434.705150463</v>
      </c>
      <c r="L631" s="1" t="n">
        <v>2</v>
      </c>
      <c r="M631" s="156" t="s">
        <v>192</v>
      </c>
      <c r="N631" s="1" t="n">
        <v>143</v>
      </c>
    </row>
    <row r="632" customFormat="false" ht="14.25" hidden="false" customHeight="false" outlineLevel="0" collapsed="false">
      <c r="A632" s="1" t="n">
        <v>62</v>
      </c>
      <c r="B632" s="1" t="s">
        <v>624</v>
      </c>
      <c r="C632" s="1" t="s">
        <v>625</v>
      </c>
      <c r="D632" s="1" t="n">
        <v>21261</v>
      </c>
      <c r="E632" s="1" t="s">
        <v>57</v>
      </c>
      <c r="F632" s="201" t="n">
        <v>200025888655</v>
      </c>
      <c r="G632" s="198" t="s">
        <v>707</v>
      </c>
      <c r="H632" s="163" t="s">
        <v>399</v>
      </c>
      <c r="I632" s="161" t="n">
        <v>41</v>
      </c>
      <c r="J632" s="156" t="s">
        <v>192</v>
      </c>
      <c r="K632" s="200" t="n">
        <v>45434.7057407407</v>
      </c>
      <c r="L632" s="1" t="n">
        <v>1</v>
      </c>
      <c r="M632" s="156" t="s">
        <v>192</v>
      </c>
      <c r="N632" s="1" t="n">
        <v>144</v>
      </c>
    </row>
    <row r="633" customFormat="false" ht="14.25" hidden="false" customHeight="false" outlineLevel="0" collapsed="false">
      <c r="A633" s="1" t="n">
        <v>63</v>
      </c>
      <c r="B633" s="1" t="s">
        <v>624</v>
      </c>
      <c r="C633" s="1" t="s">
        <v>625</v>
      </c>
      <c r="D633" s="1" t="n">
        <v>21261</v>
      </c>
      <c r="E633" s="1" t="s">
        <v>57</v>
      </c>
      <c r="F633" s="201" t="n">
        <v>200025888655</v>
      </c>
      <c r="G633" s="198" t="s">
        <v>707</v>
      </c>
      <c r="H633" s="163" t="s">
        <v>399</v>
      </c>
      <c r="I633" s="161" t="n">
        <v>41</v>
      </c>
      <c r="J633" s="156" t="s">
        <v>192</v>
      </c>
      <c r="K633" s="200" t="n">
        <v>45434.7057523148</v>
      </c>
      <c r="L633" s="1" t="n">
        <v>1</v>
      </c>
      <c r="M633" s="156" t="s">
        <v>192</v>
      </c>
      <c r="N633" s="1" t="n">
        <v>145</v>
      </c>
    </row>
    <row r="634" customFormat="false" ht="14.25" hidden="false" customHeight="false" outlineLevel="0" collapsed="false">
      <c r="A634" s="1" t="n">
        <v>64</v>
      </c>
      <c r="B634" s="1" t="s">
        <v>624</v>
      </c>
      <c r="C634" s="1" t="s">
        <v>625</v>
      </c>
      <c r="D634" s="1" t="n">
        <v>21261</v>
      </c>
      <c r="E634" s="1" t="s">
        <v>57</v>
      </c>
      <c r="F634" s="201" t="n">
        <v>200025888655</v>
      </c>
      <c r="G634" s="198" t="s">
        <v>707</v>
      </c>
      <c r="H634" s="163" t="s">
        <v>399</v>
      </c>
      <c r="I634" s="161" t="n">
        <v>41</v>
      </c>
      <c r="J634" s="156" t="s">
        <v>192</v>
      </c>
      <c r="K634" s="200" t="n">
        <v>45434.7071759259</v>
      </c>
      <c r="L634" s="1" t="n">
        <v>1</v>
      </c>
      <c r="M634" s="156" t="s">
        <v>192</v>
      </c>
      <c r="N634" s="1" t="n">
        <v>146</v>
      </c>
    </row>
    <row r="635" customFormat="false" ht="14.25" hidden="false" customHeight="false" outlineLevel="0" collapsed="false">
      <c r="A635" s="1" t="n">
        <v>36</v>
      </c>
      <c r="B635" s="1" t="s">
        <v>565</v>
      </c>
      <c r="C635" s="1" t="s">
        <v>566</v>
      </c>
      <c r="D635" s="196" t="n">
        <v>2644</v>
      </c>
      <c r="E635" s="196" t="s">
        <v>51</v>
      </c>
      <c r="F635" s="197" t="s">
        <v>655</v>
      </c>
      <c r="G635" s="198" t="s">
        <v>656</v>
      </c>
      <c r="H635" s="163" t="s">
        <v>245</v>
      </c>
      <c r="I635" s="161" t="n">
        <v>8</v>
      </c>
      <c r="J635" s="156" t="s">
        <v>192</v>
      </c>
      <c r="K635" s="199" t="n">
        <v>45434.7365856482</v>
      </c>
      <c r="L635" s="1" t="n">
        <v>1</v>
      </c>
      <c r="M635" s="156" t="s">
        <v>192</v>
      </c>
      <c r="N635" s="1" t="n">
        <v>147</v>
      </c>
    </row>
    <row r="636" customFormat="false" ht="14.25" hidden="false" customHeight="false" outlineLevel="0" collapsed="false">
      <c r="A636" s="1" t="n">
        <v>65</v>
      </c>
      <c r="B636" s="1" t="s">
        <v>624</v>
      </c>
      <c r="C636" s="1" t="s">
        <v>625</v>
      </c>
      <c r="D636" s="1" t="n">
        <v>21261</v>
      </c>
      <c r="E636" s="1" t="s">
        <v>57</v>
      </c>
      <c r="F636" s="201" t="n">
        <v>200025888999</v>
      </c>
      <c r="G636" s="198" t="s">
        <v>604</v>
      </c>
      <c r="H636" s="163" t="s">
        <v>489</v>
      </c>
      <c r="I636" s="161" t="n">
        <v>82</v>
      </c>
      <c r="J636" s="156" t="s">
        <v>192</v>
      </c>
      <c r="K636" s="200" t="n">
        <v>45434.7387037037</v>
      </c>
      <c r="L636" s="10" t="n">
        <v>38</v>
      </c>
      <c r="M636" s="156" t="s">
        <v>192</v>
      </c>
      <c r="N636" s="1" t="n">
        <v>148</v>
      </c>
    </row>
    <row r="637" customFormat="false" ht="14.25" hidden="false" customHeight="false" outlineLevel="0" collapsed="false">
      <c r="A637" s="1" t="n">
        <v>66</v>
      </c>
      <c r="B637" s="1" t="s">
        <v>624</v>
      </c>
      <c r="C637" s="1" t="s">
        <v>625</v>
      </c>
      <c r="D637" s="1" t="n">
        <v>21261</v>
      </c>
      <c r="E637" s="1" t="s">
        <v>57</v>
      </c>
      <c r="F637" s="201" t="n">
        <v>200025888999</v>
      </c>
      <c r="G637" s="198" t="s">
        <v>604</v>
      </c>
      <c r="H637" s="163" t="s">
        <v>489</v>
      </c>
      <c r="I637" s="161" t="n">
        <v>82</v>
      </c>
      <c r="J637" s="156" t="s">
        <v>192</v>
      </c>
      <c r="K637" s="200" t="n">
        <v>45434.7401157407</v>
      </c>
      <c r="L637" s="1" t="n">
        <v>1</v>
      </c>
      <c r="M637" s="156" t="s">
        <v>192</v>
      </c>
      <c r="N637" s="1" t="n">
        <v>149</v>
      </c>
    </row>
    <row r="638" customFormat="false" ht="14.25" hidden="false" customHeight="false" outlineLevel="0" collapsed="false">
      <c r="A638" s="1" t="n">
        <v>67</v>
      </c>
      <c r="B638" s="1" t="s">
        <v>624</v>
      </c>
      <c r="C638" s="1" t="s">
        <v>625</v>
      </c>
      <c r="D638" s="1" t="n">
        <v>21261</v>
      </c>
      <c r="E638" s="1" t="s">
        <v>57</v>
      </c>
      <c r="F638" s="201" t="n">
        <v>200025888999</v>
      </c>
      <c r="G638" s="198" t="s">
        <v>604</v>
      </c>
      <c r="H638" s="163" t="s">
        <v>489</v>
      </c>
      <c r="I638" s="161" t="n">
        <v>82</v>
      </c>
      <c r="J638" s="156" t="s">
        <v>192</v>
      </c>
      <c r="K638" s="200" t="n">
        <v>45434.7421180556</v>
      </c>
      <c r="L638" s="1" t="n">
        <v>2</v>
      </c>
      <c r="M638" s="156" t="s">
        <v>192</v>
      </c>
      <c r="N638" s="1" t="n">
        <v>150</v>
      </c>
    </row>
    <row r="639" customFormat="false" ht="14.25" hidden="false" customHeight="false" outlineLevel="0" collapsed="false">
      <c r="A639" s="1" t="n">
        <v>68</v>
      </c>
      <c r="B639" s="1" t="s">
        <v>624</v>
      </c>
      <c r="C639" s="1" t="s">
        <v>625</v>
      </c>
      <c r="D639" s="1" t="n">
        <v>21261</v>
      </c>
      <c r="E639" s="1" t="s">
        <v>57</v>
      </c>
      <c r="F639" s="201" t="n">
        <v>200025889281</v>
      </c>
      <c r="G639" s="198" t="s">
        <v>570</v>
      </c>
      <c r="H639" s="163" t="s">
        <v>279</v>
      </c>
      <c r="I639" s="161" t="n">
        <v>12</v>
      </c>
      <c r="J639" s="156" t="s">
        <v>192</v>
      </c>
      <c r="K639" s="200" t="n">
        <v>45434.7427199074</v>
      </c>
      <c r="L639" s="1" t="n">
        <v>1</v>
      </c>
      <c r="M639" s="156" t="s">
        <v>192</v>
      </c>
      <c r="N639" s="1" t="n">
        <v>151</v>
      </c>
    </row>
    <row r="640" customFormat="false" ht="14.25" hidden="false" customHeight="false" outlineLevel="0" collapsed="false">
      <c r="A640" s="1" t="n">
        <v>69</v>
      </c>
      <c r="B640" s="1" t="s">
        <v>624</v>
      </c>
      <c r="C640" s="1" t="s">
        <v>625</v>
      </c>
      <c r="D640" s="1" t="n">
        <v>21261</v>
      </c>
      <c r="E640" s="1" t="s">
        <v>57</v>
      </c>
      <c r="F640" s="201" t="n">
        <v>200025889248</v>
      </c>
      <c r="G640" s="198" t="s">
        <v>691</v>
      </c>
      <c r="H640" s="163" t="s">
        <v>531</v>
      </c>
      <c r="I640" s="161" t="n">
        <v>95</v>
      </c>
      <c r="J640" s="156" t="s">
        <v>192</v>
      </c>
      <c r="K640" s="200" t="n">
        <v>45434.8462731482</v>
      </c>
      <c r="L640" s="1" t="n">
        <v>2</v>
      </c>
      <c r="M640" s="156" t="s">
        <v>192</v>
      </c>
      <c r="N640" s="1" t="n">
        <v>152</v>
      </c>
    </row>
    <row r="641" customFormat="false" ht="14.25" hidden="false" customHeight="false" outlineLevel="0" collapsed="false">
      <c r="A641" s="1" t="n">
        <v>70</v>
      </c>
      <c r="B641" s="1" t="s">
        <v>624</v>
      </c>
      <c r="C641" s="1" t="s">
        <v>625</v>
      </c>
      <c r="D641" s="1" t="n">
        <v>21261</v>
      </c>
      <c r="E641" s="1" t="s">
        <v>57</v>
      </c>
      <c r="F641" s="201" t="n">
        <v>200025889350</v>
      </c>
      <c r="G641" s="198" t="s">
        <v>582</v>
      </c>
      <c r="H641" s="163" t="s">
        <v>378</v>
      </c>
      <c r="I641" s="161" t="n">
        <v>29</v>
      </c>
      <c r="J641" s="156" t="s">
        <v>192</v>
      </c>
      <c r="K641" s="200" t="n">
        <v>45434.8526736111</v>
      </c>
      <c r="L641" s="1" t="n">
        <v>2</v>
      </c>
      <c r="M641" s="156" t="s">
        <v>192</v>
      </c>
      <c r="N641" s="1" t="n">
        <v>153</v>
      </c>
    </row>
    <row r="642" customFormat="false" ht="14.25" hidden="false" customHeight="false" outlineLevel="0" collapsed="false">
      <c r="A642" s="1" t="n">
        <v>71</v>
      </c>
      <c r="B642" s="1" t="s">
        <v>624</v>
      </c>
      <c r="C642" s="1" t="s">
        <v>625</v>
      </c>
      <c r="D642" s="1" t="n">
        <v>21261</v>
      </c>
      <c r="E642" s="1" t="s">
        <v>57</v>
      </c>
      <c r="F642" s="201" t="n">
        <v>200025888655</v>
      </c>
      <c r="G642" s="198" t="s">
        <v>707</v>
      </c>
      <c r="H642" s="163" t="s">
        <v>399</v>
      </c>
      <c r="I642" s="161" t="n">
        <v>41</v>
      </c>
      <c r="J642" s="156" t="s">
        <v>192</v>
      </c>
      <c r="K642" s="200" t="n">
        <v>45434.853275463</v>
      </c>
      <c r="L642" s="1" t="n">
        <v>2</v>
      </c>
      <c r="M642" s="156" t="s">
        <v>192</v>
      </c>
      <c r="N642" s="1" t="n">
        <v>154</v>
      </c>
    </row>
    <row r="643" customFormat="false" ht="14.25" hidden="false" customHeight="false" outlineLevel="0" collapsed="false">
      <c r="A643" s="1" t="n">
        <v>72</v>
      </c>
      <c r="B643" s="1" t="s">
        <v>624</v>
      </c>
      <c r="C643" s="1" t="s">
        <v>625</v>
      </c>
      <c r="D643" s="1" t="n">
        <v>21261</v>
      </c>
      <c r="E643" s="1" t="s">
        <v>57</v>
      </c>
      <c r="F643" s="201" t="n">
        <v>200025888655</v>
      </c>
      <c r="G643" s="198" t="s">
        <v>707</v>
      </c>
      <c r="H643" s="163" t="s">
        <v>399</v>
      </c>
      <c r="I643" s="161" t="n">
        <v>41</v>
      </c>
      <c r="J643" s="156" t="s">
        <v>192</v>
      </c>
      <c r="K643" s="200" t="n">
        <v>45434.8534722222</v>
      </c>
      <c r="L643" s="1" t="n">
        <v>1</v>
      </c>
      <c r="M643" s="156" t="s">
        <v>192</v>
      </c>
      <c r="N643" s="1" t="n">
        <v>155</v>
      </c>
    </row>
    <row r="644" customFormat="false" ht="14.25" hidden="false" customHeight="false" outlineLevel="0" collapsed="false">
      <c r="A644" s="1" t="n">
        <v>73</v>
      </c>
      <c r="B644" s="1" t="s">
        <v>624</v>
      </c>
      <c r="C644" s="1" t="s">
        <v>625</v>
      </c>
      <c r="D644" s="1" t="n">
        <v>21261</v>
      </c>
      <c r="E644" s="1" t="s">
        <v>57</v>
      </c>
      <c r="F644" s="201" t="n">
        <v>200025888890</v>
      </c>
      <c r="G644" s="198" t="s">
        <v>661</v>
      </c>
      <c r="H644" s="163" t="s">
        <v>421</v>
      </c>
      <c r="I644" s="161" t="n">
        <v>40</v>
      </c>
      <c r="J644" s="156" t="s">
        <v>192</v>
      </c>
      <c r="K644" s="200" t="n">
        <v>45434.8796064815</v>
      </c>
      <c r="L644" s="1" t="n">
        <v>1</v>
      </c>
      <c r="M644" s="156" t="s">
        <v>192</v>
      </c>
      <c r="N644" s="1" t="n">
        <v>156</v>
      </c>
    </row>
    <row r="645" customFormat="false" ht="14.25" hidden="false" customHeight="false" outlineLevel="0" collapsed="false">
      <c r="A645" s="1" t="n">
        <v>74</v>
      </c>
      <c r="B645" s="1" t="s">
        <v>624</v>
      </c>
      <c r="C645" s="1" t="s">
        <v>625</v>
      </c>
      <c r="D645" s="1" t="n">
        <v>21261</v>
      </c>
      <c r="E645" s="1" t="s">
        <v>57</v>
      </c>
      <c r="F645" s="201" t="n">
        <v>200025888890</v>
      </c>
      <c r="G645" s="198" t="s">
        <v>661</v>
      </c>
      <c r="H645" s="163" t="s">
        <v>421</v>
      </c>
      <c r="I645" s="161" t="n">
        <v>40</v>
      </c>
      <c r="J645" s="156" t="s">
        <v>192</v>
      </c>
      <c r="K645" s="200" t="n">
        <v>45434.8820833333</v>
      </c>
      <c r="L645" s="1" t="n">
        <v>1</v>
      </c>
      <c r="M645" s="156" t="s">
        <v>192</v>
      </c>
      <c r="N645" s="1" t="n">
        <v>157</v>
      </c>
    </row>
    <row r="646" customFormat="false" ht="14.25" hidden="false" customHeight="false" outlineLevel="0" collapsed="false">
      <c r="A646" s="1" t="n">
        <v>75</v>
      </c>
      <c r="B646" s="1" t="s">
        <v>624</v>
      </c>
      <c r="C646" s="1" t="s">
        <v>625</v>
      </c>
      <c r="D646" s="1" t="n">
        <v>21261</v>
      </c>
      <c r="E646" s="1" t="s">
        <v>57</v>
      </c>
      <c r="F646" s="201" t="n">
        <v>200025888712</v>
      </c>
      <c r="G646" s="198" t="s">
        <v>578</v>
      </c>
      <c r="H646" s="163" t="s">
        <v>427</v>
      </c>
      <c r="I646" s="161" t="n">
        <v>48</v>
      </c>
      <c r="J646" s="156" t="s">
        <v>192</v>
      </c>
      <c r="K646" s="200" t="n">
        <v>45434.8968171296</v>
      </c>
      <c r="L646" s="1" t="n">
        <v>1</v>
      </c>
      <c r="M646" s="156" t="s">
        <v>192</v>
      </c>
      <c r="N646" s="1" t="n">
        <v>158</v>
      </c>
    </row>
    <row r="647" customFormat="false" ht="14.25" hidden="false" customHeight="false" outlineLevel="0" collapsed="false">
      <c r="A647" s="1" t="n">
        <v>76</v>
      </c>
      <c r="B647" s="1" t="s">
        <v>624</v>
      </c>
      <c r="C647" s="1" t="s">
        <v>625</v>
      </c>
      <c r="D647" s="1" t="n">
        <v>21261</v>
      </c>
      <c r="E647" s="1" t="s">
        <v>57</v>
      </c>
      <c r="F647" s="201" t="n">
        <v>200025889281</v>
      </c>
      <c r="G647" s="198" t="s">
        <v>570</v>
      </c>
      <c r="H647" s="163" t="s">
        <v>279</v>
      </c>
      <c r="I647" s="161" t="n">
        <v>12</v>
      </c>
      <c r="J647" s="156" t="s">
        <v>192</v>
      </c>
      <c r="K647" s="200" t="n">
        <v>45434.8973726852</v>
      </c>
      <c r="L647" s="1" t="n">
        <v>0</v>
      </c>
      <c r="M647" s="156" t="s">
        <v>192</v>
      </c>
      <c r="N647" s="1" t="n">
        <v>159</v>
      </c>
    </row>
    <row r="648" customFormat="false" ht="14.25" hidden="false" customHeight="false" outlineLevel="0" collapsed="false">
      <c r="A648" s="1" t="n">
        <v>77</v>
      </c>
      <c r="B648" s="1" t="s">
        <v>624</v>
      </c>
      <c r="C648" s="1" t="s">
        <v>625</v>
      </c>
      <c r="D648" s="1" t="n">
        <v>21261</v>
      </c>
      <c r="E648" s="1" t="s">
        <v>57</v>
      </c>
      <c r="F648" s="201" t="n">
        <v>200025888479</v>
      </c>
      <c r="G648" s="198" t="s">
        <v>640</v>
      </c>
      <c r="H648" s="163" t="s">
        <v>254</v>
      </c>
      <c r="I648" s="161" t="n">
        <v>9</v>
      </c>
      <c r="J648" s="156" t="s">
        <v>192</v>
      </c>
      <c r="K648" s="200" t="n">
        <v>45434.8983912037</v>
      </c>
      <c r="L648" s="1" t="n">
        <v>3</v>
      </c>
      <c r="M648" s="156" t="s">
        <v>192</v>
      </c>
      <c r="N648" s="1" t="n">
        <v>160</v>
      </c>
    </row>
    <row r="649" customFormat="false" ht="14.25" hidden="false" customHeight="false" outlineLevel="0" collapsed="false">
      <c r="A649" s="1" t="n">
        <v>78</v>
      </c>
      <c r="B649" s="1" t="s">
        <v>624</v>
      </c>
      <c r="C649" s="1" t="s">
        <v>625</v>
      </c>
      <c r="D649" s="1" t="n">
        <v>21261</v>
      </c>
      <c r="E649" s="1" t="s">
        <v>57</v>
      </c>
      <c r="F649" s="201" t="n">
        <v>200025888479</v>
      </c>
      <c r="G649" s="198" t="s">
        <v>640</v>
      </c>
      <c r="H649" s="163" t="s">
        <v>254</v>
      </c>
      <c r="I649" s="161" t="n">
        <v>9</v>
      </c>
      <c r="J649" s="156" t="s">
        <v>192</v>
      </c>
      <c r="K649" s="200" t="n">
        <v>45434.8991782407</v>
      </c>
      <c r="L649" s="1" t="n">
        <v>2</v>
      </c>
      <c r="M649" s="156" t="s">
        <v>192</v>
      </c>
      <c r="N649" s="1" t="n">
        <v>161</v>
      </c>
    </row>
    <row r="650" customFormat="false" ht="14.25" hidden="false" customHeight="false" outlineLevel="0" collapsed="false">
      <c r="A650" s="1" t="n">
        <v>79</v>
      </c>
      <c r="B650" s="1" t="s">
        <v>624</v>
      </c>
      <c r="C650" s="1" t="s">
        <v>625</v>
      </c>
      <c r="D650" s="1" t="n">
        <v>21261</v>
      </c>
      <c r="E650" s="1" t="s">
        <v>57</v>
      </c>
      <c r="F650" s="201" t="n">
        <v>200025888664</v>
      </c>
      <c r="G650" s="198" t="s">
        <v>592</v>
      </c>
      <c r="H650" s="163" t="s">
        <v>415</v>
      </c>
      <c r="I650" s="161" t="n">
        <v>75</v>
      </c>
      <c r="J650" s="156" t="s">
        <v>192</v>
      </c>
      <c r="K650" s="200" t="n">
        <v>45434.8995601852</v>
      </c>
      <c r="L650" s="1" t="n">
        <v>1</v>
      </c>
      <c r="M650" s="156" t="s">
        <v>192</v>
      </c>
      <c r="N650" s="1" t="n">
        <v>162</v>
      </c>
    </row>
    <row r="651" customFormat="false" ht="14.25" hidden="false" customHeight="false" outlineLevel="0" collapsed="false">
      <c r="A651" s="1" t="n">
        <v>80</v>
      </c>
      <c r="B651" s="1" t="s">
        <v>624</v>
      </c>
      <c r="C651" s="1" t="s">
        <v>625</v>
      </c>
      <c r="D651" s="1" t="n">
        <v>21261</v>
      </c>
      <c r="E651" s="1" t="s">
        <v>57</v>
      </c>
      <c r="F651" s="201" t="n">
        <v>200025888609</v>
      </c>
      <c r="G651" s="198" t="s">
        <v>568</v>
      </c>
      <c r="H651" s="163" t="s">
        <v>381</v>
      </c>
      <c r="I651" s="161" t="n">
        <v>44</v>
      </c>
      <c r="J651" s="156" t="s">
        <v>192</v>
      </c>
      <c r="K651" s="200" t="n">
        <v>45434.8997685185</v>
      </c>
      <c r="L651" s="1" t="n">
        <v>2</v>
      </c>
      <c r="M651" s="156" t="s">
        <v>192</v>
      </c>
      <c r="N651" s="1" t="n">
        <v>163</v>
      </c>
    </row>
    <row r="652" customFormat="false" ht="14.25" hidden="false" customHeight="false" outlineLevel="0" collapsed="false">
      <c r="A652" s="1" t="n">
        <v>81</v>
      </c>
      <c r="B652" s="1" t="s">
        <v>624</v>
      </c>
      <c r="C652" s="1" t="s">
        <v>625</v>
      </c>
      <c r="D652" s="1" t="n">
        <v>21261</v>
      </c>
      <c r="E652" s="1" t="s">
        <v>57</v>
      </c>
      <c r="F652" s="201" t="n">
        <v>200025888712</v>
      </c>
      <c r="G652" s="198" t="s">
        <v>578</v>
      </c>
      <c r="H652" s="163" t="s">
        <v>427</v>
      </c>
      <c r="I652" s="161" t="n">
        <v>48</v>
      </c>
      <c r="J652" s="156" t="s">
        <v>192</v>
      </c>
      <c r="K652" s="200" t="n">
        <v>45434.9002199074</v>
      </c>
      <c r="L652" s="1" t="n">
        <v>1</v>
      </c>
      <c r="M652" s="156" t="s">
        <v>192</v>
      </c>
      <c r="N652" s="1" t="n">
        <v>164</v>
      </c>
    </row>
    <row r="653" customFormat="false" ht="14.25" hidden="false" customHeight="false" outlineLevel="0" collapsed="false">
      <c r="A653" s="1" t="n">
        <v>82</v>
      </c>
      <c r="B653" s="1" t="s">
        <v>624</v>
      </c>
      <c r="C653" s="1" t="s">
        <v>625</v>
      </c>
      <c r="D653" s="1" t="n">
        <v>21261</v>
      </c>
      <c r="E653" s="1" t="s">
        <v>57</v>
      </c>
      <c r="F653" s="201" t="n">
        <v>200025888712</v>
      </c>
      <c r="G653" s="198" t="s">
        <v>578</v>
      </c>
      <c r="H653" s="163" t="s">
        <v>427</v>
      </c>
      <c r="I653" s="161" t="n">
        <v>48</v>
      </c>
      <c r="J653" s="156" t="s">
        <v>192</v>
      </c>
      <c r="K653" s="200" t="n">
        <v>45434.9007060185</v>
      </c>
      <c r="L653" s="1" t="n">
        <v>1</v>
      </c>
      <c r="M653" s="156" t="s">
        <v>192</v>
      </c>
      <c r="N653" s="1" t="n">
        <v>165</v>
      </c>
    </row>
    <row r="654" customFormat="false" ht="14.25" hidden="false" customHeight="false" outlineLevel="0" collapsed="false">
      <c r="A654" s="1" t="n">
        <v>83</v>
      </c>
      <c r="B654" s="1" t="s">
        <v>624</v>
      </c>
      <c r="C654" s="1" t="s">
        <v>625</v>
      </c>
      <c r="D654" s="1" t="n">
        <v>21261</v>
      </c>
      <c r="E654" s="1" t="s">
        <v>57</v>
      </c>
      <c r="F654" s="201" t="n">
        <v>200025888664</v>
      </c>
      <c r="G654" s="198" t="s">
        <v>592</v>
      </c>
      <c r="H654" s="163" t="s">
        <v>415</v>
      </c>
      <c r="I654" s="161" t="n">
        <v>75</v>
      </c>
      <c r="J654" s="156" t="s">
        <v>192</v>
      </c>
      <c r="K654" s="200" t="n">
        <v>45434.9012847222</v>
      </c>
      <c r="L654" s="1" t="n">
        <v>1</v>
      </c>
      <c r="M654" s="156" t="s">
        <v>192</v>
      </c>
      <c r="N654" s="1" t="n">
        <v>166</v>
      </c>
    </row>
    <row r="655" customFormat="false" ht="14.25" hidden="false" customHeight="false" outlineLevel="0" collapsed="false">
      <c r="A655" s="1" t="n">
        <v>84</v>
      </c>
      <c r="B655" s="1" t="s">
        <v>624</v>
      </c>
      <c r="C655" s="1" t="s">
        <v>625</v>
      </c>
      <c r="D655" s="1" t="n">
        <v>21261</v>
      </c>
      <c r="E655" s="1" t="s">
        <v>57</v>
      </c>
      <c r="F655" s="201" t="n">
        <v>200025888712</v>
      </c>
      <c r="G655" s="198" t="s">
        <v>578</v>
      </c>
      <c r="H655" s="163" t="s">
        <v>427</v>
      </c>
      <c r="I655" s="161" t="n">
        <v>48</v>
      </c>
      <c r="J655" s="156" t="s">
        <v>192</v>
      </c>
      <c r="K655" s="200" t="n">
        <v>45434.9020601852</v>
      </c>
      <c r="L655" s="1" t="n">
        <v>1</v>
      </c>
      <c r="M655" s="156" t="s">
        <v>192</v>
      </c>
      <c r="N655" s="1" t="n">
        <v>167</v>
      </c>
    </row>
    <row r="656" customFormat="false" ht="14.25" hidden="false" customHeight="false" outlineLevel="0" collapsed="false">
      <c r="A656" s="1" t="n">
        <v>85</v>
      </c>
      <c r="B656" s="1" t="s">
        <v>624</v>
      </c>
      <c r="C656" s="1" t="s">
        <v>625</v>
      </c>
      <c r="D656" s="1" t="n">
        <v>21261</v>
      </c>
      <c r="E656" s="1" t="s">
        <v>57</v>
      </c>
      <c r="F656" s="201" t="n">
        <v>200025888655</v>
      </c>
      <c r="G656" s="198" t="s">
        <v>707</v>
      </c>
      <c r="H656" s="163" t="s">
        <v>399</v>
      </c>
      <c r="I656" s="161" t="n">
        <v>41</v>
      </c>
      <c r="J656" s="156" t="s">
        <v>192</v>
      </c>
      <c r="K656" s="200" t="n">
        <v>45434.9027430556</v>
      </c>
      <c r="L656" s="1" t="n">
        <v>0</v>
      </c>
      <c r="M656" s="156" t="s">
        <v>192</v>
      </c>
      <c r="N656" s="1" t="n">
        <v>168</v>
      </c>
    </row>
    <row r="657" customFormat="false" ht="14.25" hidden="false" customHeight="false" outlineLevel="0" collapsed="false">
      <c r="A657" s="1" t="n">
        <v>86</v>
      </c>
      <c r="B657" s="1" t="s">
        <v>624</v>
      </c>
      <c r="C657" s="1" t="s">
        <v>625</v>
      </c>
      <c r="D657" s="1" t="n">
        <v>21261</v>
      </c>
      <c r="E657" s="1" t="s">
        <v>57</v>
      </c>
      <c r="F657" s="201" t="n">
        <v>200025888655</v>
      </c>
      <c r="G657" s="198" t="s">
        <v>707</v>
      </c>
      <c r="H657" s="163" t="s">
        <v>399</v>
      </c>
      <c r="I657" s="161" t="n">
        <v>41</v>
      </c>
      <c r="J657" s="156" t="s">
        <v>192</v>
      </c>
      <c r="K657" s="200" t="n">
        <v>45434.9027546296</v>
      </c>
      <c r="L657" s="1" t="n">
        <v>0</v>
      </c>
      <c r="M657" s="156" t="s">
        <v>192</v>
      </c>
      <c r="N657" s="1" t="n">
        <v>169</v>
      </c>
    </row>
    <row r="658" customFormat="false" ht="14.25" hidden="false" customHeight="false" outlineLevel="0" collapsed="false">
      <c r="A658" s="1" t="n">
        <v>87</v>
      </c>
      <c r="B658" s="1" t="s">
        <v>624</v>
      </c>
      <c r="C658" s="1" t="s">
        <v>625</v>
      </c>
      <c r="D658" s="1" t="n">
        <v>21261</v>
      </c>
      <c r="E658" s="1" t="s">
        <v>57</v>
      </c>
      <c r="F658" s="201" t="n">
        <v>200025888655</v>
      </c>
      <c r="G658" s="198" t="s">
        <v>707</v>
      </c>
      <c r="H658" s="163" t="s">
        <v>399</v>
      </c>
      <c r="I658" s="161" t="n">
        <v>41</v>
      </c>
      <c r="J658" s="156" t="s">
        <v>192</v>
      </c>
      <c r="K658" s="200" t="n">
        <v>45434.9029166667</v>
      </c>
      <c r="L658" s="1" t="n">
        <v>0</v>
      </c>
      <c r="M658" s="156" t="s">
        <v>192</v>
      </c>
      <c r="N658" s="1" t="n">
        <v>170</v>
      </c>
    </row>
    <row r="659" customFormat="false" ht="14.25" hidden="false" customHeight="false" outlineLevel="0" collapsed="false">
      <c r="A659" s="1" t="n">
        <v>88</v>
      </c>
      <c r="B659" s="1" t="s">
        <v>624</v>
      </c>
      <c r="C659" s="1" t="s">
        <v>625</v>
      </c>
      <c r="D659" s="1" t="n">
        <v>21261</v>
      </c>
      <c r="E659" s="1" t="s">
        <v>57</v>
      </c>
      <c r="F659" s="201" t="n">
        <v>200025888712</v>
      </c>
      <c r="G659" s="198" t="s">
        <v>578</v>
      </c>
      <c r="H659" s="163" t="s">
        <v>427</v>
      </c>
      <c r="I659" s="161" t="n">
        <v>48</v>
      </c>
      <c r="J659" s="156" t="s">
        <v>192</v>
      </c>
      <c r="K659" s="200" t="n">
        <v>45434.9039814815</v>
      </c>
      <c r="L659" s="1" t="n">
        <v>2</v>
      </c>
      <c r="M659" s="156" t="s">
        <v>192</v>
      </c>
      <c r="N659" s="1" t="n">
        <v>171</v>
      </c>
    </row>
    <row r="660" customFormat="false" ht="14.25" hidden="false" customHeight="false" outlineLevel="0" collapsed="false">
      <c r="A660" s="1" t="n">
        <v>89</v>
      </c>
      <c r="B660" s="1" t="s">
        <v>624</v>
      </c>
      <c r="C660" s="1" t="s">
        <v>625</v>
      </c>
      <c r="D660" s="1" t="n">
        <v>21261</v>
      </c>
      <c r="E660" s="1" t="s">
        <v>57</v>
      </c>
      <c r="F660" s="201" t="n">
        <v>200025889281</v>
      </c>
      <c r="G660" s="198" t="s">
        <v>570</v>
      </c>
      <c r="H660" s="163" t="s">
        <v>279</v>
      </c>
      <c r="I660" s="161" t="n">
        <v>12</v>
      </c>
      <c r="J660" s="156" t="s">
        <v>192</v>
      </c>
      <c r="K660" s="200" t="n">
        <v>45434.9045138889</v>
      </c>
      <c r="L660" s="1" t="n">
        <v>1</v>
      </c>
      <c r="M660" s="156" t="s">
        <v>192</v>
      </c>
      <c r="N660" s="1" t="n">
        <v>172</v>
      </c>
    </row>
    <row r="661" customFormat="false" ht="14.25" hidden="false" customHeight="false" outlineLevel="0" collapsed="false">
      <c r="A661" s="1" t="n">
        <v>90</v>
      </c>
      <c r="B661" s="1" t="s">
        <v>624</v>
      </c>
      <c r="C661" s="1" t="s">
        <v>625</v>
      </c>
      <c r="D661" s="1" t="n">
        <v>21261</v>
      </c>
      <c r="E661" s="1" t="s">
        <v>57</v>
      </c>
      <c r="F661" s="201" t="n">
        <v>200025888479</v>
      </c>
      <c r="G661" s="198" t="s">
        <v>640</v>
      </c>
      <c r="H661" s="163" t="s">
        <v>254</v>
      </c>
      <c r="I661" s="161" t="n">
        <v>9</v>
      </c>
      <c r="J661" s="156" t="s">
        <v>192</v>
      </c>
      <c r="K661" s="200" t="n">
        <v>45434.9059490741</v>
      </c>
      <c r="L661" s="1" t="n">
        <v>3</v>
      </c>
      <c r="M661" s="156" t="s">
        <v>192</v>
      </c>
      <c r="N661" s="1" t="n">
        <v>173</v>
      </c>
    </row>
    <row r="662" customFormat="false" ht="14.25" hidden="false" customHeight="false" outlineLevel="0" collapsed="false">
      <c r="A662" s="1" t="n">
        <v>91</v>
      </c>
      <c r="B662" s="1" t="s">
        <v>624</v>
      </c>
      <c r="C662" s="1" t="s">
        <v>625</v>
      </c>
      <c r="D662" s="1" t="n">
        <v>21261</v>
      </c>
      <c r="E662" s="1" t="s">
        <v>57</v>
      </c>
      <c r="F662" s="201" t="n">
        <v>200025888479</v>
      </c>
      <c r="G662" s="198" t="s">
        <v>640</v>
      </c>
      <c r="H662" s="163" t="s">
        <v>254</v>
      </c>
      <c r="I662" s="161" t="n">
        <v>9</v>
      </c>
      <c r="J662" s="156" t="s">
        <v>192</v>
      </c>
      <c r="K662" s="200" t="n">
        <v>45434.9079166667</v>
      </c>
      <c r="L662" s="1" t="n">
        <v>1</v>
      </c>
      <c r="M662" s="156" t="s">
        <v>192</v>
      </c>
      <c r="N662" s="1" t="n">
        <v>174</v>
      </c>
    </row>
    <row r="663" customFormat="false" ht="14.25" hidden="false" customHeight="false" outlineLevel="0" collapsed="false">
      <c r="A663" s="1" t="n">
        <v>92</v>
      </c>
      <c r="B663" s="1" t="s">
        <v>624</v>
      </c>
      <c r="C663" s="1" t="s">
        <v>625</v>
      </c>
      <c r="D663" s="1" t="n">
        <v>21261</v>
      </c>
      <c r="E663" s="1" t="s">
        <v>57</v>
      </c>
      <c r="F663" s="201" t="n">
        <v>200025888748</v>
      </c>
      <c r="G663" s="198" t="s">
        <v>626</v>
      </c>
      <c r="H663" s="163" t="s">
        <v>430</v>
      </c>
      <c r="I663" s="161" t="n">
        <v>85</v>
      </c>
      <c r="J663" s="156" t="s">
        <v>192</v>
      </c>
      <c r="K663" s="200" t="n">
        <v>45434.9088657407</v>
      </c>
      <c r="L663" s="1" t="n">
        <v>0</v>
      </c>
      <c r="M663" s="156" t="s">
        <v>192</v>
      </c>
      <c r="N663" s="1" t="n">
        <v>175</v>
      </c>
    </row>
    <row r="664" customFormat="false" ht="14.25" hidden="false" customHeight="false" outlineLevel="0" collapsed="false">
      <c r="A664" s="1" t="n">
        <v>93</v>
      </c>
      <c r="B664" s="1" t="s">
        <v>624</v>
      </c>
      <c r="C664" s="1" t="s">
        <v>625</v>
      </c>
      <c r="D664" s="1" t="n">
        <v>21261</v>
      </c>
      <c r="E664" s="1" t="s">
        <v>57</v>
      </c>
      <c r="F664" s="201" t="n">
        <v>200025888664</v>
      </c>
      <c r="G664" s="198" t="s">
        <v>592</v>
      </c>
      <c r="H664" s="163" t="s">
        <v>415</v>
      </c>
      <c r="I664" s="161" t="n">
        <v>75</v>
      </c>
      <c r="J664" s="156" t="s">
        <v>192</v>
      </c>
      <c r="K664" s="200" t="n">
        <v>45434.912349537</v>
      </c>
      <c r="L664" s="1" t="n">
        <v>2</v>
      </c>
      <c r="M664" s="156" t="s">
        <v>192</v>
      </c>
      <c r="N664" s="1" t="n">
        <v>176</v>
      </c>
    </row>
    <row r="665" customFormat="false" ht="14.25" hidden="false" customHeight="false" outlineLevel="0" collapsed="false">
      <c r="A665" s="1" t="n">
        <v>94</v>
      </c>
      <c r="B665" s="1" t="s">
        <v>624</v>
      </c>
      <c r="C665" s="1" t="s">
        <v>625</v>
      </c>
      <c r="D665" s="1" t="n">
        <v>21261</v>
      </c>
      <c r="E665" s="1" t="s">
        <v>57</v>
      </c>
      <c r="F665" s="201" t="n">
        <v>200025888608</v>
      </c>
      <c r="G665" s="198" t="s">
        <v>708</v>
      </c>
      <c r="H665" s="163" t="s">
        <v>372</v>
      </c>
      <c r="I665" s="161" t="n">
        <v>38</v>
      </c>
      <c r="J665" s="156" t="s">
        <v>192</v>
      </c>
      <c r="K665" s="200" t="n">
        <v>45434.9163310185</v>
      </c>
      <c r="L665" s="1" t="n">
        <v>1</v>
      </c>
      <c r="M665" s="156" t="s">
        <v>192</v>
      </c>
      <c r="N665" s="1" t="n">
        <v>177</v>
      </c>
    </row>
    <row r="666" customFormat="false" ht="14.25" hidden="false" customHeight="false" outlineLevel="0" collapsed="false">
      <c r="A666" s="1" t="n">
        <v>95</v>
      </c>
      <c r="B666" s="1" t="s">
        <v>624</v>
      </c>
      <c r="C666" s="1" t="s">
        <v>625</v>
      </c>
      <c r="D666" s="1" t="n">
        <v>21261</v>
      </c>
      <c r="E666" s="1" t="s">
        <v>57</v>
      </c>
      <c r="F666" s="201" t="n">
        <v>200025888608</v>
      </c>
      <c r="G666" s="198" t="s">
        <v>708</v>
      </c>
      <c r="H666" s="163" t="s">
        <v>372</v>
      </c>
      <c r="I666" s="161" t="n">
        <v>38</v>
      </c>
      <c r="J666" s="156" t="s">
        <v>192</v>
      </c>
      <c r="K666" s="200" t="n">
        <v>45434.9171064815</v>
      </c>
      <c r="L666" s="1" t="n">
        <v>1</v>
      </c>
      <c r="M666" s="156" t="s">
        <v>192</v>
      </c>
      <c r="N666" s="1" t="n">
        <v>178</v>
      </c>
    </row>
    <row r="667" customFormat="false" ht="14.25" hidden="false" customHeight="false" outlineLevel="0" collapsed="false">
      <c r="A667" s="1" t="n">
        <v>96</v>
      </c>
      <c r="B667" s="1" t="s">
        <v>624</v>
      </c>
      <c r="C667" s="1" t="s">
        <v>625</v>
      </c>
      <c r="D667" s="1" t="n">
        <v>21261</v>
      </c>
      <c r="E667" s="1" t="s">
        <v>57</v>
      </c>
      <c r="F667" s="201" t="n">
        <v>200025888608</v>
      </c>
      <c r="G667" s="198" t="s">
        <v>708</v>
      </c>
      <c r="H667" s="163" t="s">
        <v>372</v>
      </c>
      <c r="I667" s="161" t="n">
        <v>38</v>
      </c>
      <c r="J667" s="156" t="s">
        <v>192</v>
      </c>
      <c r="K667" s="200" t="n">
        <v>45434.9187037037</v>
      </c>
      <c r="L667" s="1" t="n">
        <v>1</v>
      </c>
      <c r="M667" s="156" t="s">
        <v>192</v>
      </c>
      <c r="N667" s="1" t="n">
        <v>179</v>
      </c>
    </row>
    <row r="668" customFormat="false" ht="14.25" hidden="false" customHeight="false" outlineLevel="0" collapsed="false">
      <c r="A668" s="1" t="n">
        <v>97</v>
      </c>
      <c r="B668" s="1" t="s">
        <v>624</v>
      </c>
      <c r="C668" s="1" t="s">
        <v>625</v>
      </c>
      <c r="D668" s="1" t="n">
        <v>21261</v>
      </c>
      <c r="E668" s="1" t="s">
        <v>57</v>
      </c>
      <c r="F668" s="201" t="n">
        <v>200025888890</v>
      </c>
      <c r="G668" s="198" t="s">
        <v>661</v>
      </c>
      <c r="H668" s="163" t="s">
        <v>421</v>
      </c>
      <c r="I668" s="161" t="n">
        <v>40</v>
      </c>
      <c r="J668" s="156" t="s">
        <v>192</v>
      </c>
      <c r="K668" s="200" t="n">
        <v>45434.9198032407</v>
      </c>
      <c r="L668" s="1" t="n">
        <v>1</v>
      </c>
      <c r="M668" s="156" t="s">
        <v>192</v>
      </c>
      <c r="N668" s="1" t="n">
        <v>180</v>
      </c>
    </row>
    <row r="669" customFormat="false" ht="14.25" hidden="false" customHeight="false" outlineLevel="0" collapsed="false">
      <c r="A669" s="1" t="n">
        <v>37</v>
      </c>
      <c r="B669" s="1" t="s">
        <v>565</v>
      </c>
      <c r="C669" s="1" t="s">
        <v>566</v>
      </c>
      <c r="D669" s="196" t="n">
        <v>2644</v>
      </c>
      <c r="E669" s="196" t="s">
        <v>51</v>
      </c>
      <c r="F669" s="197" t="s">
        <v>657</v>
      </c>
      <c r="G669" s="198" t="s">
        <v>627</v>
      </c>
      <c r="H669" s="163" t="s">
        <v>525</v>
      </c>
      <c r="I669" s="161" t="n">
        <v>107</v>
      </c>
      <c r="J669" s="156" t="s">
        <v>192</v>
      </c>
      <c r="K669" s="199" t="n">
        <v>45434.9280092593</v>
      </c>
      <c r="L669" s="1" t="n">
        <v>1</v>
      </c>
      <c r="M669" s="156" t="s">
        <v>192</v>
      </c>
      <c r="N669" s="1" t="n">
        <v>181</v>
      </c>
    </row>
    <row r="670" customFormat="false" ht="14.25" hidden="false" customHeight="false" outlineLevel="0" collapsed="false">
      <c r="A670" s="1" t="n">
        <v>38</v>
      </c>
      <c r="B670" s="1" t="s">
        <v>565</v>
      </c>
      <c r="C670" s="1" t="s">
        <v>566</v>
      </c>
      <c r="D670" s="196" t="n">
        <v>2644</v>
      </c>
      <c r="E670" s="196" t="s">
        <v>51</v>
      </c>
      <c r="F670" s="197" t="s">
        <v>657</v>
      </c>
      <c r="G670" s="198" t="s">
        <v>627</v>
      </c>
      <c r="H670" s="163" t="s">
        <v>525</v>
      </c>
      <c r="I670" s="161" t="n">
        <v>107</v>
      </c>
      <c r="J670" s="156" t="s">
        <v>192</v>
      </c>
      <c r="K670" s="199" t="n">
        <v>45434.9280439815</v>
      </c>
      <c r="L670" s="1" t="n">
        <v>1</v>
      </c>
      <c r="M670" s="156" t="s">
        <v>192</v>
      </c>
      <c r="N670" s="1" t="n">
        <v>182</v>
      </c>
    </row>
    <row r="671" customFormat="false" ht="14.25" hidden="false" customHeight="false" outlineLevel="0" collapsed="false">
      <c r="A671" s="1" t="n">
        <v>39</v>
      </c>
      <c r="B671" s="1" t="s">
        <v>565</v>
      </c>
      <c r="C671" s="1" t="s">
        <v>566</v>
      </c>
      <c r="D671" s="196" t="n">
        <v>2644</v>
      </c>
      <c r="E671" s="196" t="s">
        <v>51</v>
      </c>
      <c r="F671" s="197" t="s">
        <v>658</v>
      </c>
      <c r="G671" s="198" t="s">
        <v>659</v>
      </c>
      <c r="H671" s="163" t="s">
        <v>504</v>
      </c>
      <c r="I671" s="161" t="n">
        <v>88</v>
      </c>
      <c r="J671" s="156" t="s">
        <v>192</v>
      </c>
      <c r="K671" s="199" t="n">
        <v>45434.929837963</v>
      </c>
      <c r="L671" s="1" t="n">
        <v>1</v>
      </c>
      <c r="M671" s="156" t="s">
        <v>192</v>
      </c>
      <c r="N671" s="1" t="n">
        <v>183</v>
      </c>
    </row>
    <row r="672" customFormat="false" ht="14.25" hidden="false" customHeight="false" outlineLevel="0" collapsed="false">
      <c r="A672" s="1" t="n">
        <v>40</v>
      </c>
      <c r="B672" s="1" t="s">
        <v>565</v>
      </c>
      <c r="C672" s="1" t="s">
        <v>566</v>
      </c>
      <c r="D672" s="196" t="n">
        <v>2644</v>
      </c>
      <c r="E672" s="196" t="s">
        <v>51</v>
      </c>
      <c r="F672" s="197" t="s">
        <v>658</v>
      </c>
      <c r="G672" s="198" t="s">
        <v>659</v>
      </c>
      <c r="H672" s="163" t="s">
        <v>504</v>
      </c>
      <c r="I672" s="161" t="n">
        <v>88</v>
      </c>
      <c r="J672" s="156" t="s">
        <v>192</v>
      </c>
      <c r="K672" s="199" t="n">
        <v>45434.9298726852</v>
      </c>
      <c r="L672" s="1" t="n">
        <v>1</v>
      </c>
      <c r="M672" s="156" t="s">
        <v>192</v>
      </c>
      <c r="N672" s="1" t="n">
        <v>184</v>
      </c>
    </row>
    <row r="673" customFormat="false" ht="14.25" hidden="false" customHeight="false" outlineLevel="0" collapsed="false">
      <c r="A673" s="1" t="n">
        <v>98</v>
      </c>
      <c r="B673" s="1" t="s">
        <v>624</v>
      </c>
      <c r="C673" s="1" t="s">
        <v>625</v>
      </c>
      <c r="D673" s="1" t="n">
        <v>21261</v>
      </c>
      <c r="E673" s="1" t="s">
        <v>57</v>
      </c>
      <c r="F673" s="201" t="n">
        <v>200025889248</v>
      </c>
      <c r="G673" s="198" t="s">
        <v>691</v>
      </c>
      <c r="H673" s="163" t="s">
        <v>531</v>
      </c>
      <c r="I673" s="161" t="n">
        <v>95</v>
      </c>
      <c r="J673" s="156" t="s">
        <v>192</v>
      </c>
      <c r="K673" s="200" t="n">
        <v>45434.9624189815</v>
      </c>
      <c r="L673" s="1" t="n">
        <v>0</v>
      </c>
      <c r="M673" s="156" t="s">
        <v>192</v>
      </c>
      <c r="N673" s="1" t="n">
        <v>185</v>
      </c>
    </row>
    <row r="674" customFormat="false" ht="14.25" hidden="false" customHeight="false" outlineLevel="0" collapsed="false">
      <c r="A674" s="1" t="n">
        <v>41</v>
      </c>
      <c r="B674" s="1" t="s">
        <v>565</v>
      </c>
      <c r="C674" s="1" t="s">
        <v>566</v>
      </c>
      <c r="D674" s="196" t="n">
        <v>2644</v>
      </c>
      <c r="E674" s="196" t="s">
        <v>51</v>
      </c>
      <c r="F674" s="197" t="s">
        <v>591</v>
      </c>
      <c r="G674" s="198" t="s">
        <v>592</v>
      </c>
      <c r="H674" s="163" t="s">
        <v>415</v>
      </c>
      <c r="I674" s="161" t="n">
        <v>75</v>
      </c>
      <c r="J674" s="156" t="s">
        <v>192</v>
      </c>
      <c r="K674" s="199" t="n">
        <v>45435.0158333333</v>
      </c>
      <c r="L674" s="1" t="n">
        <v>1</v>
      </c>
      <c r="M674" s="156" t="s">
        <v>192</v>
      </c>
      <c r="N674" s="1" t="n">
        <v>186</v>
      </c>
    </row>
    <row r="675" customFormat="false" ht="14.25" hidden="false" customHeight="false" outlineLevel="0" collapsed="false">
      <c r="A675" s="1" t="n">
        <v>99</v>
      </c>
      <c r="B675" s="1" t="s">
        <v>624</v>
      </c>
      <c r="C675" s="1" t="s">
        <v>625</v>
      </c>
      <c r="D675" s="1" t="n">
        <v>21261</v>
      </c>
      <c r="E675" s="1" t="s">
        <v>57</v>
      </c>
      <c r="F675" s="201" t="n">
        <v>200025889350</v>
      </c>
      <c r="G675" s="198" t="s">
        <v>582</v>
      </c>
      <c r="H675" s="163" t="s">
        <v>378</v>
      </c>
      <c r="I675" s="161" t="n">
        <v>29</v>
      </c>
      <c r="J675" s="156" t="s">
        <v>192</v>
      </c>
      <c r="K675" s="200" t="n">
        <v>45435.042025463</v>
      </c>
      <c r="L675" s="1" t="n">
        <v>2</v>
      </c>
      <c r="M675" s="156" t="s">
        <v>192</v>
      </c>
      <c r="N675" s="1" t="n">
        <v>187</v>
      </c>
    </row>
    <row r="676" customFormat="false" ht="14.25" hidden="false" customHeight="false" outlineLevel="0" collapsed="false">
      <c r="A676" s="1" t="n">
        <v>100</v>
      </c>
      <c r="B676" s="1" t="s">
        <v>624</v>
      </c>
      <c r="C676" s="1" t="s">
        <v>625</v>
      </c>
      <c r="D676" s="1" t="n">
        <v>21261</v>
      </c>
      <c r="E676" s="1" t="s">
        <v>57</v>
      </c>
      <c r="F676" s="201" t="n">
        <v>200025889350</v>
      </c>
      <c r="G676" s="198" t="s">
        <v>582</v>
      </c>
      <c r="H676" s="163" t="s">
        <v>378</v>
      </c>
      <c r="I676" s="161" t="n">
        <v>29</v>
      </c>
      <c r="J676" s="156" t="s">
        <v>192</v>
      </c>
      <c r="K676" s="200" t="n">
        <v>45435.0444328704</v>
      </c>
      <c r="L676" s="1" t="n">
        <v>1</v>
      </c>
      <c r="M676" s="156" t="s">
        <v>192</v>
      </c>
      <c r="N676" s="1" t="n">
        <v>188</v>
      </c>
    </row>
    <row r="677" customFormat="false" ht="14.25" hidden="false" customHeight="false" outlineLevel="0" collapsed="false">
      <c r="A677" s="1" t="n">
        <v>101</v>
      </c>
      <c r="B677" s="1" t="s">
        <v>624</v>
      </c>
      <c r="C677" s="1" t="s">
        <v>625</v>
      </c>
      <c r="D677" s="1" t="n">
        <v>21261</v>
      </c>
      <c r="E677" s="1" t="s">
        <v>57</v>
      </c>
      <c r="F677" s="201" t="n">
        <v>200025888299</v>
      </c>
      <c r="G677" s="198" t="s">
        <v>629</v>
      </c>
      <c r="H677" s="163" t="s">
        <v>312</v>
      </c>
      <c r="I677" s="161" t="n">
        <v>43</v>
      </c>
      <c r="J677" s="156" t="s">
        <v>192</v>
      </c>
      <c r="K677" s="200" t="n">
        <v>45435.045775463</v>
      </c>
      <c r="L677" s="1" t="n">
        <v>1</v>
      </c>
      <c r="M677" s="156" t="s">
        <v>192</v>
      </c>
      <c r="N677" s="1" t="n">
        <v>189</v>
      </c>
    </row>
    <row r="678" customFormat="false" ht="14.25" hidden="false" customHeight="false" outlineLevel="0" collapsed="false">
      <c r="A678" s="1" t="n">
        <v>102</v>
      </c>
      <c r="B678" s="1" t="s">
        <v>624</v>
      </c>
      <c r="C678" s="1" t="s">
        <v>625</v>
      </c>
      <c r="D678" s="1" t="n">
        <v>21261</v>
      </c>
      <c r="E678" s="1" t="s">
        <v>57</v>
      </c>
      <c r="F678" s="201" t="n">
        <v>200025888712</v>
      </c>
      <c r="G678" s="198" t="s">
        <v>578</v>
      </c>
      <c r="H678" s="163" t="s">
        <v>427</v>
      </c>
      <c r="I678" s="161" t="n">
        <v>48</v>
      </c>
      <c r="J678" s="156" t="s">
        <v>192</v>
      </c>
      <c r="K678" s="200" t="n">
        <v>45435.0466550926</v>
      </c>
      <c r="L678" s="1" t="n">
        <v>2</v>
      </c>
      <c r="M678" s="156" t="s">
        <v>192</v>
      </c>
      <c r="N678" s="1" t="n">
        <v>190</v>
      </c>
    </row>
    <row r="679" customFormat="false" ht="14.25" hidden="false" customHeight="false" outlineLevel="0" collapsed="false">
      <c r="A679" s="1" t="n">
        <v>103</v>
      </c>
      <c r="B679" s="1" t="s">
        <v>624</v>
      </c>
      <c r="C679" s="1" t="s">
        <v>625</v>
      </c>
      <c r="D679" s="1" t="n">
        <v>21261</v>
      </c>
      <c r="E679" s="1" t="s">
        <v>57</v>
      </c>
      <c r="F679" s="201" t="n">
        <v>200025888712</v>
      </c>
      <c r="G679" s="198" t="s">
        <v>578</v>
      </c>
      <c r="H679" s="163" t="s">
        <v>427</v>
      </c>
      <c r="I679" s="161" t="n">
        <v>48</v>
      </c>
      <c r="J679" s="156" t="s">
        <v>192</v>
      </c>
      <c r="K679" s="200" t="n">
        <v>45435.0483680556</v>
      </c>
      <c r="L679" s="1" t="n">
        <v>2</v>
      </c>
      <c r="M679" s="156" t="s">
        <v>192</v>
      </c>
      <c r="N679" s="1" t="n">
        <v>191</v>
      </c>
    </row>
    <row r="680" customFormat="false" ht="14.25" hidden="false" customHeight="false" outlineLevel="0" collapsed="false">
      <c r="A680" s="1" t="n">
        <v>104</v>
      </c>
      <c r="B680" s="1" t="s">
        <v>624</v>
      </c>
      <c r="C680" s="1" t="s">
        <v>625</v>
      </c>
      <c r="D680" s="1" t="n">
        <v>21261</v>
      </c>
      <c r="E680" s="1" t="s">
        <v>57</v>
      </c>
      <c r="F680" s="201" t="n">
        <v>200025888479</v>
      </c>
      <c r="G680" s="198" t="s">
        <v>640</v>
      </c>
      <c r="H680" s="163" t="s">
        <v>254</v>
      </c>
      <c r="I680" s="161" t="n">
        <v>9</v>
      </c>
      <c r="J680" s="156" t="s">
        <v>192</v>
      </c>
      <c r="K680" s="200" t="n">
        <v>45435.0616550926</v>
      </c>
      <c r="L680" s="1" t="n">
        <v>1</v>
      </c>
      <c r="M680" s="156" t="s">
        <v>192</v>
      </c>
      <c r="N680" s="1" t="n">
        <v>192</v>
      </c>
    </row>
    <row r="681" customFormat="false" ht="14.25" hidden="false" customHeight="false" outlineLevel="0" collapsed="false">
      <c r="A681" s="1" t="n">
        <v>105</v>
      </c>
      <c r="B681" s="1" t="s">
        <v>624</v>
      </c>
      <c r="C681" s="1" t="s">
        <v>625</v>
      </c>
      <c r="D681" s="1" t="n">
        <v>21261</v>
      </c>
      <c r="E681" s="1" t="s">
        <v>57</v>
      </c>
      <c r="F681" s="201" t="n">
        <v>200025888830</v>
      </c>
      <c r="G681" s="198" t="s">
        <v>709</v>
      </c>
      <c r="H681" s="163" t="s">
        <v>462</v>
      </c>
      <c r="I681" s="161" t="n">
        <v>97</v>
      </c>
      <c r="J681" s="156" t="s">
        <v>192</v>
      </c>
      <c r="K681" s="200" t="n">
        <v>45435.0660532407</v>
      </c>
      <c r="L681" s="1" t="n">
        <v>2</v>
      </c>
      <c r="M681" s="156" t="s">
        <v>192</v>
      </c>
      <c r="N681" s="1" t="n">
        <v>193</v>
      </c>
    </row>
    <row r="682" customFormat="false" ht="14.25" hidden="false" customHeight="false" outlineLevel="0" collapsed="false">
      <c r="A682" s="1" t="n">
        <v>106</v>
      </c>
      <c r="B682" s="1" t="s">
        <v>624</v>
      </c>
      <c r="C682" s="1" t="s">
        <v>625</v>
      </c>
      <c r="D682" s="1" t="n">
        <v>21261</v>
      </c>
      <c r="E682" s="1" t="s">
        <v>57</v>
      </c>
      <c r="F682" s="201" t="n">
        <v>200025888890</v>
      </c>
      <c r="G682" s="198" t="s">
        <v>661</v>
      </c>
      <c r="H682" s="163" t="s">
        <v>421</v>
      </c>
      <c r="I682" s="161" t="n">
        <v>40</v>
      </c>
      <c r="J682" s="156" t="s">
        <v>192</v>
      </c>
      <c r="K682" s="200" t="n">
        <v>45435.0679282407</v>
      </c>
      <c r="L682" s="1" t="n">
        <v>1</v>
      </c>
      <c r="M682" s="156" t="s">
        <v>192</v>
      </c>
      <c r="N682" s="1" t="n">
        <v>194</v>
      </c>
    </row>
    <row r="683" customFormat="false" ht="14.25" hidden="false" customHeight="false" outlineLevel="0" collapsed="false">
      <c r="A683" s="1" t="n">
        <v>107</v>
      </c>
      <c r="B683" s="1" t="s">
        <v>624</v>
      </c>
      <c r="C683" s="1" t="s">
        <v>625</v>
      </c>
      <c r="D683" s="1" t="n">
        <v>21261</v>
      </c>
      <c r="E683" s="1" t="s">
        <v>57</v>
      </c>
      <c r="F683" s="201" t="n">
        <v>200025888655</v>
      </c>
      <c r="G683" s="198" t="s">
        <v>707</v>
      </c>
      <c r="H683" s="163" t="s">
        <v>399</v>
      </c>
      <c r="I683" s="161" t="n">
        <v>41</v>
      </c>
      <c r="J683" s="156" t="s">
        <v>192</v>
      </c>
      <c r="K683" s="200" t="n">
        <v>45435.0702546296</v>
      </c>
      <c r="L683" s="1" t="n">
        <v>1</v>
      </c>
      <c r="M683" s="156" t="s">
        <v>192</v>
      </c>
      <c r="N683" s="1" t="n">
        <v>195</v>
      </c>
    </row>
    <row r="684" customFormat="false" ht="14.25" hidden="false" customHeight="false" outlineLevel="0" collapsed="false">
      <c r="A684" s="1" t="n">
        <v>108</v>
      </c>
      <c r="B684" s="1" t="s">
        <v>624</v>
      </c>
      <c r="C684" s="1" t="s">
        <v>625</v>
      </c>
      <c r="D684" s="1" t="n">
        <v>21261</v>
      </c>
      <c r="E684" s="1" t="s">
        <v>57</v>
      </c>
      <c r="F684" s="201" t="n">
        <v>200025888655</v>
      </c>
      <c r="G684" s="198" t="s">
        <v>707</v>
      </c>
      <c r="H684" s="163" t="s">
        <v>399</v>
      </c>
      <c r="I684" s="161" t="n">
        <v>41</v>
      </c>
      <c r="J684" s="156" t="s">
        <v>192</v>
      </c>
      <c r="K684" s="200" t="n">
        <v>45435.0709606482</v>
      </c>
      <c r="L684" s="1" t="n">
        <v>1</v>
      </c>
      <c r="M684" s="156" t="s">
        <v>192</v>
      </c>
      <c r="N684" s="1" t="n">
        <v>196</v>
      </c>
    </row>
    <row r="685" customFormat="false" ht="14.25" hidden="false" customHeight="false" outlineLevel="0" collapsed="false">
      <c r="A685" s="1" t="n">
        <v>109</v>
      </c>
      <c r="B685" s="1" t="s">
        <v>624</v>
      </c>
      <c r="C685" s="1" t="s">
        <v>625</v>
      </c>
      <c r="D685" s="1" t="n">
        <v>21261</v>
      </c>
      <c r="E685" s="1" t="s">
        <v>57</v>
      </c>
      <c r="F685" s="201" t="n">
        <v>200025889447</v>
      </c>
      <c r="G685" s="198" t="s">
        <v>710</v>
      </c>
      <c r="H685" s="163" t="s">
        <v>528</v>
      </c>
      <c r="I685" s="161" t="n">
        <v>91</v>
      </c>
      <c r="J685" s="156" t="s">
        <v>192</v>
      </c>
      <c r="K685" s="200" t="n">
        <v>45435.0715393519</v>
      </c>
      <c r="L685" s="1" t="n">
        <v>0</v>
      </c>
      <c r="M685" s="156" t="s">
        <v>192</v>
      </c>
      <c r="N685" s="1" t="n">
        <v>197</v>
      </c>
    </row>
    <row r="686" customFormat="false" ht="14.25" hidden="false" customHeight="false" outlineLevel="0" collapsed="false">
      <c r="A686" s="1" t="n">
        <v>110</v>
      </c>
      <c r="B686" s="1" t="s">
        <v>624</v>
      </c>
      <c r="C686" s="1" t="s">
        <v>625</v>
      </c>
      <c r="D686" s="1" t="n">
        <v>21261</v>
      </c>
      <c r="E686" s="1" t="s">
        <v>57</v>
      </c>
      <c r="F686" s="201" t="n">
        <v>200025889447</v>
      </c>
      <c r="G686" s="198" t="s">
        <v>710</v>
      </c>
      <c r="H686" s="163" t="s">
        <v>528</v>
      </c>
      <c r="I686" s="161" t="n">
        <v>91</v>
      </c>
      <c r="J686" s="156" t="s">
        <v>192</v>
      </c>
      <c r="K686" s="200" t="n">
        <v>45435.0715509259</v>
      </c>
      <c r="L686" s="1" t="n">
        <v>0</v>
      </c>
      <c r="M686" s="156" t="s">
        <v>192</v>
      </c>
      <c r="N686" s="1" t="n">
        <v>198</v>
      </c>
    </row>
    <row r="687" customFormat="false" ht="14.25" hidden="false" customHeight="false" outlineLevel="0" collapsed="false">
      <c r="A687" s="1" t="n">
        <v>111</v>
      </c>
      <c r="B687" s="1" t="s">
        <v>624</v>
      </c>
      <c r="C687" s="1" t="s">
        <v>625</v>
      </c>
      <c r="D687" s="1" t="n">
        <v>21261</v>
      </c>
      <c r="E687" s="1" t="s">
        <v>57</v>
      </c>
      <c r="F687" s="201" t="n">
        <v>200025889447</v>
      </c>
      <c r="G687" s="198" t="s">
        <v>710</v>
      </c>
      <c r="H687" s="163" t="s">
        <v>528</v>
      </c>
      <c r="I687" s="161" t="n">
        <v>91</v>
      </c>
      <c r="J687" s="156" t="s">
        <v>192</v>
      </c>
      <c r="K687" s="200" t="n">
        <v>45435.0715625</v>
      </c>
      <c r="L687" s="1" t="n">
        <v>1</v>
      </c>
      <c r="M687" s="156" t="s">
        <v>192</v>
      </c>
      <c r="N687" s="1" t="n">
        <v>199</v>
      </c>
    </row>
    <row r="688" customFormat="false" ht="14.25" hidden="false" customHeight="false" outlineLevel="0" collapsed="false">
      <c r="A688" s="1" t="n">
        <v>42</v>
      </c>
      <c r="B688" s="1" t="s">
        <v>565</v>
      </c>
      <c r="C688" s="1" t="s">
        <v>566</v>
      </c>
      <c r="D688" s="196" t="n">
        <v>2644</v>
      </c>
      <c r="E688" s="196" t="s">
        <v>51</v>
      </c>
      <c r="F688" s="197" t="s">
        <v>577</v>
      </c>
      <c r="G688" s="198" t="s">
        <v>578</v>
      </c>
      <c r="H688" s="163" t="s">
        <v>427</v>
      </c>
      <c r="I688" s="161" t="n">
        <v>48</v>
      </c>
      <c r="J688" s="156" t="s">
        <v>192</v>
      </c>
      <c r="K688" s="199" t="n">
        <v>45435.0723032407</v>
      </c>
      <c r="L688" s="1" t="n">
        <v>2</v>
      </c>
      <c r="M688" s="156" t="s">
        <v>192</v>
      </c>
      <c r="N688" s="1" t="n">
        <v>200</v>
      </c>
    </row>
    <row r="689" customFormat="false" ht="14.25" hidden="false" customHeight="false" outlineLevel="0" collapsed="false">
      <c r="A689" s="1" t="n">
        <v>43</v>
      </c>
      <c r="B689" s="1" t="s">
        <v>565</v>
      </c>
      <c r="C689" s="1" t="s">
        <v>566</v>
      </c>
      <c r="D689" s="196" t="n">
        <v>2644</v>
      </c>
      <c r="E689" s="196" t="s">
        <v>51</v>
      </c>
      <c r="F689" s="197" t="s">
        <v>577</v>
      </c>
      <c r="G689" s="198" t="s">
        <v>578</v>
      </c>
      <c r="H689" s="163" t="s">
        <v>427</v>
      </c>
      <c r="I689" s="161" t="n">
        <v>48</v>
      </c>
      <c r="J689" s="156" t="s">
        <v>192</v>
      </c>
      <c r="K689" s="199" t="n">
        <v>45435.0723611111</v>
      </c>
      <c r="L689" s="1" t="n">
        <v>2</v>
      </c>
      <c r="M689" s="156" t="s">
        <v>192</v>
      </c>
      <c r="N689" s="1" t="n">
        <v>201</v>
      </c>
    </row>
    <row r="690" customFormat="false" ht="14.25" hidden="false" customHeight="false" outlineLevel="0" collapsed="false">
      <c r="A690" s="1" t="n">
        <v>44</v>
      </c>
      <c r="B690" s="1" t="s">
        <v>565</v>
      </c>
      <c r="C690" s="1" t="s">
        <v>566</v>
      </c>
      <c r="D690" s="196" t="n">
        <v>2644</v>
      </c>
      <c r="E690" s="196" t="s">
        <v>51</v>
      </c>
      <c r="F690" s="197" t="s">
        <v>577</v>
      </c>
      <c r="G690" s="198" t="s">
        <v>578</v>
      </c>
      <c r="H690" s="163" t="s">
        <v>427</v>
      </c>
      <c r="I690" s="161" t="n">
        <v>48</v>
      </c>
      <c r="J690" s="156" t="s">
        <v>192</v>
      </c>
      <c r="K690" s="199" t="n">
        <v>45435.0724305556</v>
      </c>
      <c r="L690" s="1" t="n">
        <v>1</v>
      </c>
      <c r="M690" s="156" t="s">
        <v>192</v>
      </c>
      <c r="N690" s="1" t="n">
        <v>202</v>
      </c>
    </row>
    <row r="691" customFormat="false" ht="14.25" hidden="false" customHeight="false" outlineLevel="0" collapsed="false">
      <c r="A691" s="1" t="n">
        <v>45</v>
      </c>
      <c r="B691" s="1" t="s">
        <v>565</v>
      </c>
      <c r="C691" s="1" t="s">
        <v>566</v>
      </c>
      <c r="D691" s="196" t="n">
        <v>2644</v>
      </c>
      <c r="E691" s="196" t="s">
        <v>51</v>
      </c>
      <c r="F691" s="197" t="s">
        <v>577</v>
      </c>
      <c r="G691" s="198" t="s">
        <v>578</v>
      </c>
      <c r="H691" s="163" t="s">
        <v>427</v>
      </c>
      <c r="I691" s="161" t="n">
        <v>48</v>
      </c>
      <c r="J691" s="156" t="s">
        <v>192</v>
      </c>
      <c r="K691" s="199" t="n">
        <v>45435.0724537037</v>
      </c>
      <c r="L691" s="1" t="n">
        <v>0</v>
      </c>
      <c r="M691" s="156" t="s">
        <v>192</v>
      </c>
      <c r="N691" s="1" t="n">
        <v>203</v>
      </c>
    </row>
    <row r="692" customFormat="false" ht="14.25" hidden="false" customHeight="false" outlineLevel="0" collapsed="false">
      <c r="A692" s="1" t="n">
        <v>112</v>
      </c>
      <c r="B692" s="1" t="s">
        <v>624</v>
      </c>
      <c r="C692" s="1" t="s">
        <v>625</v>
      </c>
      <c r="D692" s="1" t="n">
        <v>21261</v>
      </c>
      <c r="E692" s="1" t="s">
        <v>57</v>
      </c>
      <c r="F692" s="201" t="n">
        <v>200025888655</v>
      </c>
      <c r="G692" s="198" t="s">
        <v>707</v>
      </c>
      <c r="H692" s="163" t="s">
        <v>399</v>
      </c>
      <c r="I692" s="161" t="n">
        <v>41</v>
      </c>
      <c r="J692" s="156" t="s">
        <v>192</v>
      </c>
      <c r="K692" s="200" t="n">
        <v>45435.0728819444</v>
      </c>
      <c r="L692" s="1" t="n">
        <v>1</v>
      </c>
      <c r="M692" s="156" t="s">
        <v>192</v>
      </c>
      <c r="N692" s="1" t="n">
        <v>204</v>
      </c>
    </row>
    <row r="693" customFormat="false" ht="14.25" hidden="false" customHeight="false" outlineLevel="0" collapsed="false">
      <c r="A693" s="1" t="n">
        <v>113</v>
      </c>
      <c r="B693" s="1" t="s">
        <v>624</v>
      </c>
      <c r="C693" s="1" t="s">
        <v>625</v>
      </c>
      <c r="D693" s="1" t="n">
        <v>21261</v>
      </c>
      <c r="E693" s="1" t="s">
        <v>57</v>
      </c>
      <c r="F693" s="201" t="n">
        <v>200025888655</v>
      </c>
      <c r="G693" s="198" t="s">
        <v>707</v>
      </c>
      <c r="H693" s="163" t="s">
        <v>399</v>
      </c>
      <c r="I693" s="161" t="n">
        <v>41</v>
      </c>
      <c r="J693" s="156" t="s">
        <v>192</v>
      </c>
      <c r="K693" s="200" t="n">
        <v>45435.0728935185</v>
      </c>
      <c r="L693" s="1" t="n">
        <v>1</v>
      </c>
      <c r="M693" s="156" t="s">
        <v>192</v>
      </c>
      <c r="N693" s="1" t="n">
        <v>205</v>
      </c>
    </row>
    <row r="694" customFormat="false" ht="14.25" hidden="false" customHeight="false" outlineLevel="0" collapsed="false">
      <c r="A694" s="1" t="n">
        <v>114</v>
      </c>
      <c r="B694" s="1" t="s">
        <v>624</v>
      </c>
      <c r="C694" s="1" t="s">
        <v>625</v>
      </c>
      <c r="D694" s="1" t="n">
        <v>21261</v>
      </c>
      <c r="E694" s="1" t="s">
        <v>57</v>
      </c>
      <c r="F694" s="201" t="n">
        <v>200025888830</v>
      </c>
      <c r="G694" s="198" t="s">
        <v>709</v>
      </c>
      <c r="H694" s="163" t="s">
        <v>462</v>
      </c>
      <c r="I694" s="161" t="n">
        <v>97</v>
      </c>
      <c r="J694" s="156" t="s">
        <v>192</v>
      </c>
      <c r="K694" s="200" t="n">
        <v>45435.0736111111</v>
      </c>
      <c r="L694" s="1" t="n">
        <v>3</v>
      </c>
      <c r="M694" s="156" t="s">
        <v>192</v>
      </c>
      <c r="N694" s="1" t="n">
        <v>206</v>
      </c>
    </row>
    <row r="695" customFormat="false" ht="14.25" hidden="false" customHeight="false" outlineLevel="0" collapsed="false">
      <c r="A695" s="1" t="n">
        <v>115</v>
      </c>
      <c r="B695" s="1" t="s">
        <v>624</v>
      </c>
      <c r="C695" s="1" t="s">
        <v>625</v>
      </c>
      <c r="D695" s="1" t="n">
        <v>21261</v>
      </c>
      <c r="E695" s="1" t="s">
        <v>57</v>
      </c>
      <c r="F695" s="201" t="n">
        <v>200025889281</v>
      </c>
      <c r="G695" s="198" t="s">
        <v>570</v>
      </c>
      <c r="H695" s="163" t="s">
        <v>279</v>
      </c>
      <c r="I695" s="161" t="n">
        <v>12</v>
      </c>
      <c r="J695" s="156" t="s">
        <v>192</v>
      </c>
      <c r="K695" s="200" t="n">
        <v>45435.0748726852</v>
      </c>
      <c r="L695" s="1" t="n">
        <v>2</v>
      </c>
      <c r="M695" s="156" t="s">
        <v>192</v>
      </c>
      <c r="N695" s="1" t="n">
        <v>207</v>
      </c>
    </row>
    <row r="696" customFormat="false" ht="14.25" hidden="false" customHeight="false" outlineLevel="0" collapsed="false">
      <c r="A696" s="1" t="n">
        <v>116</v>
      </c>
      <c r="B696" s="1" t="s">
        <v>624</v>
      </c>
      <c r="C696" s="1" t="s">
        <v>625</v>
      </c>
      <c r="D696" s="1" t="n">
        <v>21261</v>
      </c>
      <c r="E696" s="1" t="s">
        <v>57</v>
      </c>
      <c r="F696" s="201" t="n">
        <v>200025889281</v>
      </c>
      <c r="G696" s="198" t="s">
        <v>570</v>
      </c>
      <c r="H696" s="163" t="s">
        <v>279</v>
      </c>
      <c r="I696" s="161" t="n">
        <v>12</v>
      </c>
      <c r="J696" s="156" t="s">
        <v>192</v>
      </c>
      <c r="K696" s="200" t="n">
        <v>45435.0757060185</v>
      </c>
      <c r="L696" s="1" t="n">
        <v>2</v>
      </c>
      <c r="M696" s="156" t="s">
        <v>192</v>
      </c>
      <c r="N696" s="1" t="n">
        <v>208</v>
      </c>
    </row>
    <row r="697" customFormat="false" ht="14.25" hidden="false" customHeight="false" outlineLevel="0" collapsed="false">
      <c r="A697" s="1" t="n">
        <v>46</v>
      </c>
      <c r="B697" s="1" t="s">
        <v>565</v>
      </c>
      <c r="C697" s="1" t="s">
        <v>566</v>
      </c>
      <c r="D697" s="196" t="n">
        <v>2644</v>
      </c>
      <c r="E697" s="196" t="s">
        <v>51</v>
      </c>
      <c r="F697" s="197" t="s">
        <v>577</v>
      </c>
      <c r="G697" s="198" t="s">
        <v>578</v>
      </c>
      <c r="H697" s="163" t="s">
        <v>427</v>
      </c>
      <c r="I697" s="161" t="n">
        <v>48</v>
      </c>
      <c r="J697" s="156" t="s">
        <v>192</v>
      </c>
      <c r="K697" s="199" t="n">
        <v>45435.0766203704</v>
      </c>
      <c r="L697" s="1" t="n">
        <v>2</v>
      </c>
      <c r="M697" s="156" t="s">
        <v>192</v>
      </c>
      <c r="N697" s="1" t="n">
        <v>209</v>
      </c>
    </row>
    <row r="698" customFormat="false" ht="14.25" hidden="false" customHeight="false" outlineLevel="0" collapsed="false">
      <c r="A698" s="1" t="n">
        <v>47</v>
      </c>
      <c r="B698" s="1" t="s">
        <v>565</v>
      </c>
      <c r="C698" s="1" t="s">
        <v>566</v>
      </c>
      <c r="D698" s="196" t="n">
        <v>2644</v>
      </c>
      <c r="E698" s="196" t="s">
        <v>51</v>
      </c>
      <c r="F698" s="197" t="s">
        <v>577</v>
      </c>
      <c r="G698" s="198" t="s">
        <v>578</v>
      </c>
      <c r="H698" s="163" t="s">
        <v>427</v>
      </c>
      <c r="I698" s="161" t="n">
        <v>48</v>
      </c>
      <c r="J698" s="156" t="s">
        <v>192</v>
      </c>
      <c r="K698" s="199" t="n">
        <v>45435.0766550926</v>
      </c>
      <c r="L698" s="1" t="n">
        <v>1</v>
      </c>
      <c r="M698" s="156" t="s">
        <v>192</v>
      </c>
      <c r="N698" s="1" t="n">
        <v>210</v>
      </c>
    </row>
    <row r="699" customFormat="false" ht="14.25" hidden="false" customHeight="false" outlineLevel="0" collapsed="false">
      <c r="A699" s="1" t="n">
        <v>48</v>
      </c>
      <c r="B699" s="1" t="s">
        <v>565</v>
      </c>
      <c r="C699" s="1" t="s">
        <v>566</v>
      </c>
      <c r="D699" s="196" t="n">
        <v>2644</v>
      </c>
      <c r="E699" s="196" t="s">
        <v>51</v>
      </c>
      <c r="F699" s="197" t="s">
        <v>577</v>
      </c>
      <c r="G699" s="198" t="s">
        <v>578</v>
      </c>
      <c r="H699" s="163" t="s">
        <v>427</v>
      </c>
      <c r="I699" s="161" t="n">
        <v>48</v>
      </c>
      <c r="J699" s="156" t="s">
        <v>192</v>
      </c>
      <c r="K699" s="199" t="n">
        <v>45435.0766666667</v>
      </c>
      <c r="L699" s="1" t="n">
        <v>1</v>
      </c>
      <c r="M699" s="156" t="s">
        <v>192</v>
      </c>
      <c r="N699" s="1" t="n">
        <v>211</v>
      </c>
    </row>
    <row r="700" customFormat="false" ht="14.25" hidden="false" customHeight="false" outlineLevel="0" collapsed="false">
      <c r="A700" s="1" t="n">
        <v>49</v>
      </c>
      <c r="B700" s="1" t="s">
        <v>565</v>
      </c>
      <c r="C700" s="1" t="s">
        <v>566</v>
      </c>
      <c r="D700" s="196" t="n">
        <v>2644</v>
      </c>
      <c r="E700" s="196" t="s">
        <v>51</v>
      </c>
      <c r="F700" s="197" t="s">
        <v>577</v>
      </c>
      <c r="G700" s="198" t="s">
        <v>578</v>
      </c>
      <c r="H700" s="163" t="s">
        <v>427</v>
      </c>
      <c r="I700" s="161" t="n">
        <v>48</v>
      </c>
      <c r="J700" s="156" t="s">
        <v>192</v>
      </c>
      <c r="K700" s="199" t="n">
        <v>45435.0767013889</v>
      </c>
      <c r="L700" s="1" t="n">
        <v>1</v>
      </c>
      <c r="M700" s="156" t="s">
        <v>192</v>
      </c>
      <c r="N700" s="1" t="n">
        <v>212</v>
      </c>
    </row>
    <row r="701" customFormat="false" ht="14.25" hidden="false" customHeight="false" outlineLevel="0" collapsed="false">
      <c r="A701" s="1" t="n">
        <v>50</v>
      </c>
      <c r="B701" s="1" t="s">
        <v>565</v>
      </c>
      <c r="C701" s="1" t="s">
        <v>566</v>
      </c>
      <c r="D701" s="196" t="n">
        <v>2644</v>
      </c>
      <c r="E701" s="196" t="s">
        <v>51</v>
      </c>
      <c r="F701" s="197" t="s">
        <v>577</v>
      </c>
      <c r="G701" s="198" t="s">
        <v>578</v>
      </c>
      <c r="H701" s="163" t="s">
        <v>427</v>
      </c>
      <c r="I701" s="161" t="n">
        <v>48</v>
      </c>
      <c r="J701" s="156" t="s">
        <v>192</v>
      </c>
      <c r="K701" s="199" t="n">
        <v>45435.0767476852</v>
      </c>
      <c r="L701" s="1" t="n">
        <v>0</v>
      </c>
      <c r="M701" s="156" t="s">
        <v>192</v>
      </c>
      <c r="N701" s="1" t="n">
        <v>213</v>
      </c>
    </row>
    <row r="702" customFormat="false" ht="14.25" hidden="false" customHeight="false" outlineLevel="0" collapsed="false">
      <c r="A702" s="1" t="n">
        <v>117</v>
      </c>
      <c r="B702" s="1" t="s">
        <v>624</v>
      </c>
      <c r="C702" s="1" t="s">
        <v>625</v>
      </c>
      <c r="D702" s="1" t="n">
        <v>21261</v>
      </c>
      <c r="E702" s="1" t="s">
        <v>57</v>
      </c>
      <c r="F702" s="201" t="n">
        <v>200025888999</v>
      </c>
      <c r="G702" s="198" t="s">
        <v>604</v>
      </c>
      <c r="H702" s="163" t="s">
        <v>489</v>
      </c>
      <c r="I702" s="161" t="n">
        <v>82</v>
      </c>
      <c r="J702" s="156" t="s">
        <v>192</v>
      </c>
      <c r="K702" s="200" t="n">
        <v>45435.0932175926</v>
      </c>
      <c r="L702" s="1" t="n">
        <v>3</v>
      </c>
      <c r="M702" s="156" t="s">
        <v>192</v>
      </c>
      <c r="N702" s="1" t="n">
        <v>214</v>
      </c>
    </row>
    <row r="703" customFormat="false" ht="14.25" hidden="false" customHeight="false" outlineLevel="0" collapsed="false">
      <c r="A703" s="1" t="n">
        <v>118</v>
      </c>
      <c r="B703" s="1" t="s">
        <v>624</v>
      </c>
      <c r="C703" s="1" t="s">
        <v>625</v>
      </c>
      <c r="D703" s="1" t="n">
        <v>21261</v>
      </c>
      <c r="E703" s="1" t="s">
        <v>57</v>
      </c>
      <c r="F703" s="201" t="n">
        <v>200025888999</v>
      </c>
      <c r="G703" s="198" t="s">
        <v>604</v>
      </c>
      <c r="H703" s="163" t="s">
        <v>489</v>
      </c>
      <c r="I703" s="161" t="n">
        <v>82</v>
      </c>
      <c r="J703" s="156" t="s">
        <v>192</v>
      </c>
      <c r="K703" s="200" t="n">
        <v>45435.0978472222</v>
      </c>
      <c r="L703" s="1" t="n">
        <v>1</v>
      </c>
      <c r="M703" s="156" t="s">
        <v>192</v>
      </c>
      <c r="N703" s="1" t="n">
        <v>215</v>
      </c>
    </row>
    <row r="704" customFormat="false" ht="14.25" hidden="false" customHeight="false" outlineLevel="0" collapsed="false">
      <c r="A704" s="1" t="n">
        <v>119</v>
      </c>
      <c r="B704" s="1" t="s">
        <v>624</v>
      </c>
      <c r="C704" s="1" t="s">
        <v>625</v>
      </c>
      <c r="D704" s="1" t="n">
        <v>21261</v>
      </c>
      <c r="E704" s="1" t="s">
        <v>57</v>
      </c>
      <c r="F704" s="201" t="n">
        <v>200025888830</v>
      </c>
      <c r="G704" s="198" t="s">
        <v>709</v>
      </c>
      <c r="H704" s="163" t="s">
        <v>462</v>
      </c>
      <c r="I704" s="161" t="n">
        <v>97</v>
      </c>
      <c r="J704" s="156" t="s">
        <v>192</v>
      </c>
      <c r="K704" s="200" t="n">
        <v>45435.0998611111</v>
      </c>
      <c r="L704" s="1" t="n">
        <v>1</v>
      </c>
      <c r="M704" s="156" t="s">
        <v>192</v>
      </c>
      <c r="N704" s="1" t="n">
        <v>216</v>
      </c>
    </row>
    <row r="705" customFormat="false" ht="14.25" hidden="false" customHeight="false" outlineLevel="0" collapsed="false">
      <c r="A705" s="1" t="n">
        <v>120</v>
      </c>
      <c r="B705" s="1" t="s">
        <v>624</v>
      </c>
      <c r="C705" s="1" t="s">
        <v>625</v>
      </c>
      <c r="D705" s="1" t="n">
        <v>21261</v>
      </c>
      <c r="E705" s="1" t="s">
        <v>57</v>
      </c>
      <c r="F705" s="201" t="n">
        <v>200025888479</v>
      </c>
      <c r="G705" s="198" t="s">
        <v>640</v>
      </c>
      <c r="H705" s="163" t="s">
        <v>254</v>
      </c>
      <c r="I705" s="161" t="n">
        <v>9</v>
      </c>
      <c r="J705" s="156" t="s">
        <v>192</v>
      </c>
      <c r="K705" s="200" t="n">
        <v>45435.1008333333</v>
      </c>
      <c r="L705" s="1" t="n">
        <v>11</v>
      </c>
      <c r="M705" s="156" t="s">
        <v>192</v>
      </c>
      <c r="N705" s="1" t="n">
        <v>217</v>
      </c>
    </row>
    <row r="706" customFormat="false" ht="14.25" hidden="false" customHeight="false" outlineLevel="0" collapsed="false">
      <c r="A706" s="1" t="n">
        <v>121</v>
      </c>
      <c r="B706" s="1" t="s">
        <v>624</v>
      </c>
      <c r="C706" s="1" t="s">
        <v>625</v>
      </c>
      <c r="D706" s="1" t="n">
        <v>21261</v>
      </c>
      <c r="E706" s="1" t="s">
        <v>57</v>
      </c>
      <c r="F706" s="201" t="n">
        <v>200025888479</v>
      </c>
      <c r="G706" s="198" t="s">
        <v>640</v>
      </c>
      <c r="H706" s="163" t="s">
        <v>254</v>
      </c>
      <c r="I706" s="161" t="n">
        <v>9</v>
      </c>
      <c r="J706" s="156" t="s">
        <v>192</v>
      </c>
      <c r="K706" s="200" t="n">
        <v>45435.1013310185</v>
      </c>
      <c r="L706" s="1" t="n">
        <v>2</v>
      </c>
      <c r="M706" s="156" t="s">
        <v>192</v>
      </c>
      <c r="N706" s="1" t="n">
        <v>218</v>
      </c>
    </row>
    <row r="707" customFormat="false" ht="14.25" hidden="false" customHeight="false" outlineLevel="0" collapsed="false">
      <c r="A707" s="1" t="n">
        <v>122</v>
      </c>
      <c r="B707" s="1" t="s">
        <v>624</v>
      </c>
      <c r="C707" s="1" t="s">
        <v>625</v>
      </c>
      <c r="D707" s="1" t="n">
        <v>21261</v>
      </c>
      <c r="E707" s="1" t="s">
        <v>57</v>
      </c>
      <c r="F707" s="201" t="n">
        <v>200025889226</v>
      </c>
      <c r="G707" s="198" t="s">
        <v>610</v>
      </c>
      <c r="H707" s="163" t="s">
        <v>486</v>
      </c>
      <c r="I707" s="161" t="n">
        <v>69</v>
      </c>
      <c r="J707" s="156" t="s">
        <v>192</v>
      </c>
      <c r="K707" s="200" t="n">
        <v>45435.1028356482</v>
      </c>
      <c r="L707" s="1" t="n">
        <v>10</v>
      </c>
      <c r="M707" s="156" t="s">
        <v>192</v>
      </c>
      <c r="N707" s="1" t="n">
        <v>219</v>
      </c>
    </row>
    <row r="708" customFormat="false" ht="14.25" hidden="false" customHeight="false" outlineLevel="0" collapsed="false">
      <c r="A708" s="1" t="n">
        <v>123</v>
      </c>
      <c r="B708" s="1" t="s">
        <v>624</v>
      </c>
      <c r="C708" s="1" t="s">
        <v>625</v>
      </c>
      <c r="D708" s="1" t="n">
        <v>21261</v>
      </c>
      <c r="E708" s="1" t="s">
        <v>57</v>
      </c>
      <c r="F708" s="201" t="n">
        <v>200025888828</v>
      </c>
      <c r="G708" s="198" t="s">
        <v>606</v>
      </c>
      <c r="H708" s="163" t="s">
        <v>456</v>
      </c>
      <c r="I708" s="161" t="n">
        <v>113</v>
      </c>
      <c r="J708" s="156" t="s">
        <v>192</v>
      </c>
      <c r="K708" s="200" t="n">
        <v>45435.105625</v>
      </c>
      <c r="L708" s="1" t="n">
        <v>3</v>
      </c>
      <c r="M708" s="156" t="s">
        <v>192</v>
      </c>
      <c r="N708" s="1" t="n">
        <v>220</v>
      </c>
    </row>
    <row r="709" customFormat="false" ht="14.25" hidden="false" customHeight="false" outlineLevel="0" collapsed="false">
      <c r="A709" s="1" t="n">
        <v>124</v>
      </c>
      <c r="B709" s="1" t="s">
        <v>624</v>
      </c>
      <c r="C709" s="1" t="s">
        <v>625</v>
      </c>
      <c r="D709" s="1" t="n">
        <v>21261</v>
      </c>
      <c r="E709" s="1" t="s">
        <v>57</v>
      </c>
      <c r="F709" s="201" t="n">
        <v>200025888828</v>
      </c>
      <c r="G709" s="198" t="s">
        <v>606</v>
      </c>
      <c r="H709" s="163" t="s">
        <v>456</v>
      </c>
      <c r="I709" s="161" t="n">
        <v>113</v>
      </c>
      <c r="J709" s="156" t="s">
        <v>192</v>
      </c>
      <c r="K709" s="200" t="n">
        <v>45435.1071643519</v>
      </c>
      <c r="L709" s="1" t="n">
        <v>2</v>
      </c>
      <c r="M709" s="156" t="s">
        <v>192</v>
      </c>
      <c r="N709" s="1" t="n">
        <v>221</v>
      </c>
    </row>
    <row r="710" customFormat="false" ht="14.25" hidden="false" customHeight="false" outlineLevel="0" collapsed="false">
      <c r="A710" s="1" t="n">
        <v>125</v>
      </c>
      <c r="B710" s="1" t="s">
        <v>624</v>
      </c>
      <c r="C710" s="1" t="s">
        <v>625</v>
      </c>
      <c r="D710" s="1" t="n">
        <v>21261</v>
      </c>
      <c r="E710" s="1" t="s">
        <v>57</v>
      </c>
      <c r="F710" s="201" t="n">
        <v>200025888828</v>
      </c>
      <c r="G710" s="198" t="s">
        <v>606</v>
      </c>
      <c r="H710" s="163" t="s">
        <v>456</v>
      </c>
      <c r="I710" s="161" t="n">
        <v>113</v>
      </c>
      <c r="J710" s="156" t="s">
        <v>192</v>
      </c>
      <c r="K710" s="200" t="n">
        <v>45435.1074305556</v>
      </c>
      <c r="L710" s="1" t="n">
        <v>2</v>
      </c>
      <c r="M710" s="156" t="s">
        <v>192</v>
      </c>
      <c r="N710" s="1" t="n">
        <v>222</v>
      </c>
    </row>
    <row r="711" customFormat="false" ht="14.25" hidden="false" customHeight="false" outlineLevel="0" collapsed="false">
      <c r="A711" s="1" t="n">
        <v>126</v>
      </c>
      <c r="B711" s="1" t="s">
        <v>624</v>
      </c>
      <c r="C711" s="1" t="s">
        <v>625</v>
      </c>
      <c r="D711" s="1" t="n">
        <v>21261</v>
      </c>
      <c r="E711" s="1" t="s">
        <v>57</v>
      </c>
      <c r="F711" s="201" t="n">
        <v>200025888828</v>
      </c>
      <c r="G711" s="198" t="s">
        <v>606</v>
      </c>
      <c r="H711" s="163" t="s">
        <v>456</v>
      </c>
      <c r="I711" s="161" t="n">
        <v>113</v>
      </c>
      <c r="J711" s="156" t="s">
        <v>192</v>
      </c>
      <c r="K711" s="200" t="n">
        <v>45435.1078009259</v>
      </c>
      <c r="L711" s="1" t="n">
        <v>2</v>
      </c>
      <c r="M711" s="156" t="s">
        <v>192</v>
      </c>
      <c r="N711" s="1" t="n">
        <v>223</v>
      </c>
    </row>
    <row r="712" customFormat="false" ht="14.25" hidden="false" customHeight="false" outlineLevel="0" collapsed="false">
      <c r="A712" s="1" t="n">
        <v>127</v>
      </c>
      <c r="B712" s="1" t="s">
        <v>624</v>
      </c>
      <c r="C712" s="1" t="s">
        <v>625</v>
      </c>
      <c r="D712" s="1" t="n">
        <v>21261</v>
      </c>
      <c r="E712" s="1" t="s">
        <v>57</v>
      </c>
      <c r="F712" s="201" t="n">
        <v>200025888299</v>
      </c>
      <c r="G712" s="198" t="s">
        <v>629</v>
      </c>
      <c r="H712" s="163" t="s">
        <v>312</v>
      </c>
      <c r="I712" s="161" t="n">
        <v>43</v>
      </c>
      <c r="J712" s="156" t="s">
        <v>192</v>
      </c>
      <c r="K712" s="200" t="n">
        <v>45435.1083680556</v>
      </c>
      <c r="L712" s="1" t="n">
        <v>1</v>
      </c>
      <c r="M712" s="156" t="s">
        <v>192</v>
      </c>
      <c r="N712" s="1" t="n">
        <v>224</v>
      </c>
    </row>
    <row r="713" customFormat="false" ht="14.25" hidden="false" customHeight="false" outlineLevel="0" collapsed="false">
      <c r="A713" s="1" t="n">
        <v>128</v>
      </c>
      <c r="B713" s="1" t="s">
        <v>624</v>
      </c>
      <c r="C713" s="1" t="s">
        <v>625</v>
      </c>
      <c r="D713" s="1" t="n">
        <v>21261</v>
      </c>
      <c r="E713" s="1" t="s">
        <v>57</v>
      </c>
      <c r="F713" s="201" t="n">
        <v>200025888299</v>
      </c>
      <c r="G713" s="198" t="s">
        <v>629</v>
      </c>
      <c r="H713" s="163" t="s">
        <v>312</v>
      </c>
      <c r="I713" s="161" t="n">
        <v>43</v>
      </c>
      <c r="J713" s="156" t="s">
        <v>192</v>
      </c>
      <c r="K713" s="200" t="n">
        <v>45435.1087037037</v>
      </c>
      <c r="L713" s="1" t="n">
        <v>2</v>
      </c>
      <c r="M713" s="156" t="s">
        <v>192</v>
      </c>
      <c r="N713" s="1" t="n">
        <v>225</v>
      </c>
    </row>
    <row r="714" customFormat="false" ht="14.25" hidden="false" customHeight="false" outlineLevel="0" collapsed="false">
      <c r="A714" s="1" t="n">
        <v>129</v>
      </c>
      <c r="B714" s="1" t="s">
        <v>624</v>
      </c>
      <c r="C714" s="1" t="s">
        <v>625</v>
      </c>
      <c r="D714" s="1" t="n">
        <v>21261</v>
      </c>
      <c r="E714" s="1" t="s">
        <v>57</v>
      </c>
      <c r="F714" s="201" t="n">
        <v>200025888272</v>
      </c>
      <c r="G714" s="198" t="s">
        <v>711</v>
      </c>
      <c r="H714" s="163" t="s">
        <v>300</v>
      </c>
      <c r="I714" s="161" t="n">
        <v>57</v>
      </c>
      <c r="J714" s="156" t="s">
        <v>192</v>
      </c>
      <c r="K714" s="200" t="n">
        <v>45435.1253819445</v>
      </c>
      <c r="L714" s="1" t="n">
        <v>1</v>
      </c>
      <c r="M714" s="156" t="s">
        <v>192</v>
      </c>
      <c r="N714" s="1" t="n">
        <v>226</v>
      </c>
    </row>
    <row r="715" customFormat="false" ht="14.25" hidden="false" customHeight="false" outlineLevel="0" collapsed="false">
      <c r="A715" s="1" t="n">
        <v>130</v>
      </c>
      <c r="B715" s="1" t="s">
        <v>624</v>
      </c>
      <c r="C715" s="1" t="s">
        <v>625</v>
      </c>
      <c r="D715" s="1" t="n">
        <v>21261</v>
      </c>
      <c r="E715" s="1" t="s">
        <v>57</v>
      </c>
      <c r="F715" s="201" t="n">
        <v>200025888272</v>
      </c>
      <c r="G715" s="198" t="s">
        <v>711</v>
      </c>
      <c r="H715" s="163" t="s">
        <v>300</v>
      </c>
      <c r="I715" s="161" t="n">
        <v>57</v>
      </c>
      <c r="J715" s="156" t="s">
        <v>192</v>
      </c>
      <c r="K715" s="200" t="n">
        <v>45435.1267592593</v>
      </c>
      <c r="L715" s="1" t="n">
        <v>4</v>
      </c>
      <c r="M715" s="156" t="s">
        <v>192</v>
      </c>
      <c r="N715" s="1" t="n">
        <v>227</v>
      </c>
    </row>
    <row r="716" customFormat="false" ht="14.25" hidden="false" customHeight="false" outlineLevel="0" collapsed="false">
      <c r="A716" s="1" t="n">
        <v>131</v>
      </c>
      <c r="B716" s="1" t="s">
        <v>624</v>
      </c>
      <c r="C716" s="1" t="s">
        <v>625</v>
      </c>
      <c r="D716" s="1" t="n">
        <v>21261</v>
      </c>
      <c r="E716" s="1" t="s">
        <v>57</v>
      </c>
      <c r="F716" s="201" t="n">
        <v>200025888272</v>
      </c>
      <c r="G716" s="198" t="s">
        <v>711</v>
      </c>
      <c r="H716" s="163" t="s">
        <v>300</v>
      </c>
      <c r="I716" s="161" t="n">
        <v>57</v>
      </c>
      <c r="J716" s="156" t="s">
        <v>192</v>
      </c>
      <c r="K716" s="200" t="n">
        <v>45435.1268055556</v>
      </c>
      <c r="L716" s="1" t="n">
        <v>1</v>
      </c>
      <c r="M716" s="156" t="s">
        <v>192</v>
      </c>
      <c r="N716" s="1" t="n">
        <v>228</v>
      </c>
    </row>
    <row r="717" customFormat="false" ht="14.25" hidden="false" customHeight="false" outlineLevel="0" collapsed="false">
      <c r="A717" s="1" t="n">
        <v>51</v>
      </c>
      <c r="B717" s="1" t="s">
        <v>565</v>
      </c>
      <c r="C717" s="1" t="s">
        <v>566</v>
      </c>
      <c r="D717" s="196" t="n">
        <v>2644</v>
      </c>
      <c r="E717" s="196" t="s">
        <v>51</v>
      </c>
      <c r="F717" s="197" t="s">
        <v>660</v>
      </c>
      <c r="G717" s="198" t="s">
        <v>661</v>
      </c>
      <c r="H717" s="163" t="s">
        <v>421</v>
      </c>
      <c r="I717" s="161" t="n">
        <v>40</v>
      </c>
      <c r="J717" s="156" t="s">
        <v>192</v>
      </c>
      <c r="K717" s="199" t="n">
        <v>45435.1316782407</v>
      </c>
      <c r="L717" s="1" t="n">
        <v>1</v>
      </c>
      <c r="M717" s="156" t="s">
        <v>192</v>
      </c>
      <c r="N717" s="1" t="n">
        <v>229</v>
      </c>
    </row>
    <row r="718" customFormat="false" ht="14.25" hidden="false" customHeight="false" outlineLevel="0" collapsed="false">
      <c r="A718" s="1" t="n">
        <v>52</v>
      </c>
      <c r="B718" s="1" t="s">
        <v>565</v>
      </c>
      <c r="C718" s="1" t="s">
        <v>566</v>
      </c>
      <c r="D718" s="196" t="n">
        <v>2644</v>
      </c>
      <c r="E718" s="196" t="s">
        <v>51</v>
      </c>
      <c r="F718" s="197" t="s">
        <v>591</v>
      </c>
      <c r="G718" s="198" t="s">
        <v>592</v>
      </c>
      <c r="H718" s="163" t="s">
        <v>415</v>
      </c>
      <c r="I718" s="161" t="n">
        <v>75</v>
      </c>
      <c r="J718" s="156" t="s">
        <v>192</v>
      </c>
      <c r="K718" s="199" t="n">
        <v>45435.1465046296</v>
      </c>
      <c r="L718" s="1" t="n">
        <v>3</v>
      </c>
      <c r="M718" s="156" t="s">
        <v>192</v>
      </c>
      <c r="N718" s="1" t="n">
        <v>230</v>
      </c>
    </row>
    <row r="719" customFormat="false" ht="14.25" hidden="false" customHeight="false" outlineLevel="0" collapsed="false">
      <c r="A719" s="1" t="n">
        <v>53</v>
      </c>
      <c r="B719" s="1" t="s">
        <v>565</v>
      </c>
      <c r="C719" s="1" t="s">
        <v>566</v>
      </c>
      <c r="D719" s="196" t="n">
        <v>2644</v>
      </c>
      <c r="E719" s="196" t="s">
        <v>51</v>
      </c>
      <c r="F719" s="197" t="s">
        <v>591</v>
      </c>
      <c r="G719" s="198" t="s">
        <v>592</v>
      </c>
      <c r="H719" s="163" t="s">
        <v>415</v>
      </c>
      <c r="I719" s="161" t="n">
        <v>75</v>
      </c>
      <c r="J719" s="156" t="s">
        <v>192</v>
      </c>
      <c r="K719" s="199" t="n">
        <v>45435.1495023148</v>
      </c>
      <c r="L719" s="1" t="n">
        <v>2</v>
      </c>
      <c r="M719" s="156" t="s">
        <v>192</v>
      </c>
      <c r="N719" s="1" t="n">
        <v>231</v>
      </c>
    </row>
    <row r="720" customFormat="false" ht="14.25" hidden="false" customHeight="false" outlineLevel="0" collapsed="false">
      <c r="A720" s="1" t="n">
        <v>54</v>
      </c>
      <c r="B720" s="1" t="s">
        <v>565</v>
      </c>
      <c r="C720" s="1" t="s">
        <v>566</v>
      </c>
      <c r="D720" s="196" t="n">
        <v>2644</v>
      </c>
      <c r="E720" s="196" t="s">
        <v>51</v>
      </c>
      <c r="F720" s="197" t="s">
        <v>567</v>
      </c>
      <c r="G720" s="198" t="s">
        <v>568</v>
      </c>
      <c r="H720" s="163" t="s">
        <v>381</v>
      </c>
      <c r="I720" s="161" t="n">
        <v>44</v>
      </c>
      <c r="J720" s="156" t="s">
        <v>192</v>
      </c>
      <c r="K720" s="199" t="n">
        <v>45435.1848148148</v>
      </c>
      <c r="L720" s="1" t="n">
        <v>3</v>
      </c>
      <c r="M720" s="156" t="s">
        <v>192</v>
      </c>
      <c r="N720" s="1" t="n">
        <v>232</v>
      </c>
    </row>
    <row r="721" customFormat="false" ht="14.25" hidden="false" customHeight="false" outlineLevel="0" collapsed="false">
      <c r="A721" s="1" t="n">
        <v>55</v>
      </c>
      <c r="B721" s="1" t="s">
        <v>565</v>
      </c>
      <c r="C721" s="1" t="s">
        <v>566</v>
      </c>
      <c r="D721" s="196" t="n">
        <v>2644</v>
      </c>
      <c r="E721" s="196" t="s">
        <v>51</v>
      </c>
      <c r="F721" s="197" t="s">
        <v>567</v>
      </c>
      <c r="G721" s="198" t="s">
        <v>568</v>
      </c>
      <c r="H721" s="163" t="s">
        <v>381</v>
      </c>
      <c r="I721" s="161" t="n">
        <v>44</v>
      </c>
      <c r="J721" s="156" t="s">
        <v>192</v>
      </c>
      <c r="K721" s="199" t="n">
        <v>45435.184849537</v>
      </c>
      <c r="L721" s="1" t="n">
        <v>0</v>
      </c>
      <c r="M721" s="156" t="s">
        <v>192</v>
      </c>
      <c r="N721" s="1" t="n">
        <v>233</v>
      </c>
    </row>
    <row r="722" customFormat="false" ht="14.25" hidden="false" customHeight="false" outlineLevel="0" collapsed="false">
      <c r="A722" s="1" t="n">
        <v>132</v>
      </c>
      <c r="B722" s="1" t="s">
        <v>624</v>
      </c>
      <c r="C722" s="1" t="s">
        <v>625</v>
      </c>
      <c r="D722" s="1" t="n">
        <v>21261</v>
      </c>
      <c r="E722" s="1" t="s">
        <v>57</v>
      </c>
      <c r="F722" s="201" t="n">
        <v>200025889281</v>
      </c>
      <c r="G722" s="198" t="s">
        <v>570</v>
      </c>
      <c r="H722" s="163" t="s">
        <v>279</v>
      </c>
      <c r="I722" s="161" t="n">
        <v>12</v>
      </c>
      <c r="J722" s="156" t="s">
        <v>192</v>
      </c>
      <c r="K722" s="200" t="n">
        <v>45435.221412037</v>
      </c>
      <c r="L722" s="1" t="n">
        <v>2</v>
      </c>
      <c r="M722" s="156" t="s">
        <v>192</v>
      </c>
      <c r="N722" s="1" t="n">
        <v>234</v>
      </c>
    </row>
    <row r="723" customFormat="false" ht="14.25" hidden="false" customHeight="false" outlineLevel="0" collapsed="false">
      <c r="A723" s="1" t="n">
        <v>133</v>
      </c>
      <c r="B723" s="1" t="s">
        <v>624</v>
      </c>
      <c r="C723" s="1" t="s">
        <v>625</v>
      </c>
      <c r="D723" s="1" t="n">
        <v>21261</v>
      </c>
      <c r="E723" s="1" t="s">
        <v>57</v>
      </c>
      <c r="F723" s="201" t="n">
        <v>200025888479</v>
      </c>
      <c r="G723" s="198" t="s">
        <v>640</v>
      </c>
      <c r="H723" s="163" t="s">
        <v>254</v>
      </c>
      <c r="I723" s="161" t="n">
        <v>9</v>
      </c>
      <c r="J723" s="156" t="s">
        <v>192</v>
      </c>
      <c r="K723" s="200" t="n">
        <v>45435.2227777778</v>
      </c>
      <c r="L723" s="1" t="n">
        <v>3</v>
      </c>
      <c r="M723" s="156" t="s">
        <v>192</v>
      </c>
      <c r="N723" s="1" t="n">
        <v>235</v>
      </c>
    </row>
    <row r="724" customFormat="false" ht="14.25" hidden="false" customHeight="false" outlineLevel="0" collapsed="false">
      <c r="A724" s="1" t="n">
        <v>134</v>
      </c>
      <c r="B724" s="1" t="s">
        <v>624</v>
      </c>
      <c r="C724" s="1" t="s">
        <v>625</v>
      </c>
      <c r="D724" s="1" t="n">
        <v>21261</v>
      </c>
      <c r="E724" s="1" t="s">
        <v>57</v>
      </c>
      <c r="F724" s="201" t="n">
        <v>200025889101</v>
      </c>
      <c r="G724" s="198" t="s">
        <v>600</v>
      </c>
      <c r="H724" s="163" t="s">
        <v>236</v>
      </c>
      <c r="I724" s="161" t="n">
        <v>7</v>
      </c>
      <c r="J724" s="156" t="s">
        <v>192</v>
      </c>
      <c r="K724" s="200" t="n">
        <v>45435.2269560185</v>
      </c>
      <c r="L724" s="1" t="n">
        <v>2</v>
      </c>
      <c r="M724" s="156" t="s">
        <v>192</v>
      </c>
      <c r="N724" s="1" t="n">
        <v>236</v>
      </c>
    </row>
    <row r="725" customFormat="false" ht="14.25" hidden="false" customHeight="false" outlineLevel="0" collapsed="false">
      <c r="A725" s="1" t="n">
        <v>135</v>
      </c>
      <c r="B725" s="1" t="s">
        <v>624</v>
      </c>
      <c r="C725" s="1" t="s">
        <v>625</v>
      </c>
      <c r="D725" s="1" t="n">
        <v>21261</v>
      </c>
      <c r="E725" s="1" t="s">
        <v>57</v>
      </c>
      <c r="F725" s="201" t="n">
        <v>200025889101</v>
      </c>
      <c r="G725" s="198" t="s">
        <v>600</v>
      </c>
      <c r="H725" s="163" t="s">
        <v>236</v>
      </c>
      <c r="I725" s="161" t="n">
        <v>7</v>
      </c>
      <c r="J725" s="156" t="s">
        <v>192</v>
      </c>
      <c r="K725" s="200" t="n">
        <v>45435.2279398148</v>
      </c>
      <c r="L725" s="1" t="n">
        <v>3</v>
      </c>
      <c r="M725" s="156" t="s">
        <v>192</v>
      </c>
      <c r="N725" s="1" t="n">
        <v>237</v>
      </c>
    </row>
    <row r="726" customFormat="false" ht="14.25" hidden="false" customHeight="false" outlineLevel="0" collapsed="false">
      <c r="A726" s="1" t="n">
        <v>136</v>
      </c>
      <c r="B726" s="1" t="s">
        <v>624</v>
      </c>
      <c r="C726" s="1" t="s">
        <v>625</v>
      </c>
      <c r="D726" s="1" t="n">
        <v>21261</v>
      </c>
      <c r="E726" s="1" t="s">
        <v>57</v>
      </c>
      <c r="F726" s="201" t="n">
        <v>200025888664</v>
      </c>
      <c r="G726" s="198" t="s">
        <v>592</v>
      </c>
      <c r="H726" s="163" t="s">
        <v>415</v>
      </c>
      <c r="I726" s="161" t="n">
        <v>75</v>
      </c>
      <c r="J726" s="156" t="s">
        <v>192</v>
      </c>
      <c r="K726" s="200" t="n">
        <v>45435.228900463</v>
      </c>
      <c r="L726" s="1" t="n">
        <v>2</v>
      </c>
      <c r="M726" s="156" t="s">
        <v>192</v>
      </c>
      <c r="N726" s="1" t="n">
        <v>238</v>
      </c>
    </row>
    <row r="727" customFormat="false" ht="14.25" hidden="false" customHeight="false" outlineLevel="0" collapsed="false">
      <c r="A727" s="1" t="n">
        <v>137</v>
      </c>
      <c r="B727" s="1" t="s">
        <v>624</v>
      </c>
      <c r="C727" s="1" t="s">
        <v>625</v>
      </c>
      <c r="D727" s="1" t="n">
        <v>21261</v>
      </c>
      <c r="E727" s="1" t="s">
        <v>57</v>
      </c>
      <c r="F727" s="201" t="n">
        <v>200025888664</v>
      </c>
      <c r="G727" s="198" t="s">
        <v>592</v>
      </c>
      <c r="H727" s="163" t="s">
        <v>415</v>
      </c>
      <c r="I727" s="161" t="n">
        <v>75</v>
      </c>
      <c r="J727" s="156" t="s">
        <v>192</v>
      </c>
      <c r="K727" s="200" t="n">
        <v>45435.2295717593</v>
      </c>
      <c r="L727" s="1" t="n">
        <v>3</v>
      </c>
      <c r="M727" s="156" t="s">
        <v>192</v>
      </c>
      <c r="N727" s="1" t="n">
        <v>239</v>
      </c>
    </row>
    <row r="728" customFormat="false" ht="14.25" hidden="false" customHeight="false" outlineLevel="0" collapsed="false">
      <c r="A728" s="1" t="n">
        <v>138</v>
      </c>
      <c r="B728" s="1" t="s">
        <v>624</v>
      </c>
      <c r="C728" s="1" t="s">
        <v>625</v>
      </c>
      <c r="D728" s="1" t="n">
        <v>21261</v>
      </c>
      <c r="E728" s="1" t="s">
        <v>57</v>
      </c>
      <c r="F728" s="201" t="n">
        <v>200025889101</v>
      </c>
      <c r="G728" s="198" t="s">
        <v>600</v>
      </c>
      <c r="H728" s="163" t="s">
        <v>236</v>
      </c>
      <c r="I728" s="161" t="n">
        <v>7</v>
      </c>
      <c r="J728" s="156" t="s">
        <v>192</v>
      </c>
      <c r="K728" s="200" t="n">
        <v>45435.2299189815</v>
      </c>
      <c r="L728" s="1" t="n">
        <v>2</v>
      </c>
      <c r="M728" s="156" t="s">
        <v>192</v>
      </c>
      <c r="N728" s="1" t="n">
        <v>240</v>
      </c>
    </row>
    <row r="729" customFormat="false" ht="14.25" hidden="false" customHeight="false" outlineLevel="0" collapsed="false">
      <c r="A729" s="1" t="n">
        <v>139</v>
      </c>
      <c r="B729" s="1" t="s">
        <v>624</v>
      </c>
      <c r="C729" s="1" t="s">
        <v>625</v>
      </c>
      <c r="D729" s="1" t="n">
        <v>21261</v>
      </c>
      <c r="E729" s="1" t="s">
        <v>57</v>
      </c>
      <c r="F729" s="201" t="n">
        <v>200025888980</v>
      </c>
      <c r="G729" s="198" t="s">
        <v>584</v>
      </c>
      <c r="H729" s="163" t="s">
        <v>303</v>
      </c>
      <c r="I729" s="161" t="n">
        <v>16</v>
      </c>
      <c r="J729" s="156" t="s">
        <v>192</v>
      </c>
      <c r="K729" s="200" t="n">
        <v>45435.2303472222</v>
      </c>
      <c r="L729" s="1" t="n">
        <v>3</v>
      </c>
      <c r="M729" s="156" t="s">
        <v>192</v>
      </c>
      <c r="N729" s="1" t="n">
        <v>241</v>
      </c>
    </row>
    <row r="730" customFormat="false" ht="14.25" hidden="false" customHeight="false" outlineLevel="0" collapsed="false">
      <c r="A730" s="1" t="n">
        <v>140</v>
      </c>
      <c r="B730" s="1" t="s">
        <v>624</v>
      </c>
      <c r="C730" s="1" t="s">
        <v>625</v>
      </c>
      <c r="D730" s="1" t="n">
        <v>21261</v>
      </c>
      <c r="E730" s="1" t="s">
        <v>57</v>
      </c>
      <c r="F730" s="201" t="n">
        <v>200025888980</v>
      </c>
      <c r="G730" s="198" t="s">
        <v>584</v>
      </c>
      <c r="H730" s="163" t="s">
        <v>303</v>
      </c>
      <c r="I730" s="161" t="n">
        <v>16</v>
      </c>
      <c r="J730" s="156" t="s">
        <v>192</v>
      </c>
      <c r="K730" s="200" t="n">
        <v>45435.2309027778</v>
      </c>
      <c r="L730" s="1" t="n">
        <v>1</v>
      </c>
      <c r="M730" s="156" t="s">
        <v>192</v>
      </c>
      <c r="N730" s="1" t="n">
        <v>242</v>
      </c>
    </row>
    <row r="731" customFormat="false" ht="14.25" hidden="false" customHeight="false" outlineLevel="0" collapsed="false">
      <c r="A731" s="1" t="n">
        <v>141</v>
      </c>
      <c r="B731" s="1" t="s">
        <v>624</v>
      </c>
      <c r="C731" s="1" t="s">
        <v>625</v>
      </c>
      <c r="D731" s="1" t="n">
        <v>21261</v>
      </c>
      <c r="E731" s="1" t="s">
        <v>57</v>
      </c>
      <c r="F731" s="201" t="n">
        <v>200025888980</v>
      </c>
      <c r="G731" s="198" t="s">
        <v>584</v>
      </c>
      <c r="H731" s="163" t="s">
        <v>303</v>
      </c>
      <c r="I731" s="161" t="n">
        <v>16</v>
      </c>
      <c r="J731" s="156" t="s">
        <v>192</v>
      </c>
      <c r="K731" s="200" t="n">
        <v>45435.2320601852</v>
      </c>
      <c r="L731" s="1" t="n">
        <v>2</v>
      </c>
      <c r="M731" s="156" t="s">
        <v>192</v>
      </c>
      <c r="N731" s="1" t="n">
        <v>243</v>
      </c>
    </row>
    <row r="732" customFormat="false" ht="14.25" hidden="false" customHeight="false" outlineLevel="0" collapsed="false">
      <c r="A732" s="1" t="n">
        <v>142</v>
      </c>
      <c r="B732" s="1" t="s">
        <v>624</v>
      </c>
      <c r="C732" s="1" t="s">
        <v>625</v>
      </c>
      <c r="D732" s="1" t="n">
        <v>21261</v>
      </c>
      <c r="E732" s="1" t="s">
        <v>57</v>
      </c>
      <c r="F732" s="201" t="n">
        <v>200025889447</v>
      </c>
      <c r="G732" s="198" t="s">
        <v>710</v>
      </c>
      <c r="H732" s="163" t="s">
        <v>528</v>
      </c>
      <c r="I732" s="161" t="n">
        <v>91</v>
      </c>
      <c r="J732" s="156" t="s">
        <v>192</v>
      </c>
      <c r="K732" s="200" t="n">
        <v>45435.2326967593</v>
      </c>
      <c r="L732" s="1" t="n">
        <v>1</v>
      </c>
      <c r="M732" s="156" t="s">
        <v>192</v>
      </c>
      <c r="N732" s="1" t="n">
        <v>244</v>
      </c>
    </row>
    <row r="733" customFormat="false" ht="14.25" hidden="false" customHeight="false" outlineLevel="0" collapsed="false">
      <c r="A733" s="1" t="n">
        <v>143</v>
      </c>
      <c r="B733" s="1" t="s">
        <v>624</v>
      </c>
      <c r="C733" s="1" t="s">
        <v>625</v>
      </c>
      <c r="D733" s="1" t="n">
        <v>21261</v>
      </c>
      <c r="E733" s="1" t="s">
        <v>57</v>
      </c>
      <c r="F733" s="201" t="n">
        <v>200025888763</v>
      </c>
      <c r="G733" s="198" t="s">
        <v>712</v>
      </c>
      <c r="H733" s="163" t="s">
        <v>436</v>
      </c>
      <c r="I733" s="161" t="n">
        <v>59</v>
      </c>
      <c r="J733" s="156" t="s">
        <v>192</v>
      </c>
      <c r="K733" s="200" t="n">
        <v>45435.2347685185</v>
      </c>
      <c r="L733" s="1" t="n">
        <v>0</v>
      </c>
      <c r="M733" s="156" t="s">
        <v>192</v>
      </c>
      <c r="N733" s="1" t="n">
        <v>245</v>
      </c>
    </row>
    <row r="734" customFormat="false" ht="14.25" hidden="false" customHeight="false" outlineLevel="0" collapsed="false">
      <c r="A734" s="1" t="n">
        <v>144</v>
      </c>
      <c r="B734" s="1" t="s">
        <v>624</v>
      </c>
      <c r="C734" s="1" t="s">
        <v>625</v>
      </c>
      <c r="D734" s="1" t="n">
        <v>21261</v>
      </c>
      <c r="E734" s="1" t="s">
        <v>57</v>
      </c>
      <c r="F734" s="201" t="n">
        <v>200025888608</v>
      </c>
      <c r="G734" s="198" t="s">
        <v>708</v>
      </c>
      <c r="H734" s="163" t="s">
        <v>372</v>
      </c>
      <c r="I734" s="161" t="n">
        <v>38</v>
      </c>
      <c r="J734" s="156" t="s">
        <v>192</v>
      </c>
      <c r="K734" s="200" t="n">
        <v>45435.2353240741</v>
      </c>
      <c r="L734" s="1" t="n">
        <v>0</v>
      </c>
      <c r="M734" s="156" t="s">
        <v>192</v>
      </c>
      <c r="N734" s="1" t="n">
        <v>246</v>
      </c>
    </row>
    <row r="735" customFormat="false" ht="14.25" hidden="false" customHeight="false" outlineLevel="0" collapsed="false">
      <c r="A735" s="1" t="n">
        <v>145</v>
      </c>
      <c r="B735" s="1" t="s">
        <v>624</v>
      </c>
      <c r="C735" s="1" t="s">
        <v>625</v>
      </c>
      <c r="D735" s="1" t="n">
        <v>21261</v>
      </c>
      <c r="E735" s="1" t="s">
        <v>57</v>
      </c>
      <c r="F735" s="201" t="n">
        <v>200025888608</v>
      </c>
      <c r="G735" s="198" t="s">
        <v>708</v>
      </c>
      <c r="H735" s="163" t="s">
        <v>372</v>
      </c>
      <c r="I735" s="161" t="n">
        <v>38</v>
      </c>
      <c r="J735" s="156" t="s">
        <v>192</v>
      </c>
      <c r="K735" s="200" t="n">
        <v>45435.2364930556</v>
      </c>
      <c r="L735" s="1" t="n">
        <v>1</v>
      </c>
      <c r="M735" s="156" t="s">
        <v>192</v>
      </c>
      <c r="N735" s="1" t="n">
        <v>247</v>
      </c>
    </row>
    <row r="736" customFormat="false" ht="14.25" hidden="false" customHeight="false" outlineLevel="0" collapsed="false">
      <c r="A736" s="1" t="n">
        <v>146</v>
      </c>
      <c r="B736" s="1" t="s">
        <v>624</v>
      </c>
      <c r="C736" s="1" t="s">
        <v>625</v>
      </c>
      <c r="D736" s="1" t="n">
        <v>21261</v>
      </c>
      <c r="E736" s="1" t="s">
        <v>57</v>
      </c>
      <c r="F736" s="201" t="n">
        <v>200025888608</v>
      </c>
      <c r="G736" s="198" t="s">
        <v>708</v>
      </c>
      <c r="H736" s="163" t="s">
        <v>372</v>
      </c>
      <c r="I736" s="161" t="n">
        <v>38</v>
      </c>
      <c r="J736" s="156" t="s">
        <v>192</v>
      </c>
      <c r="K736" s="200" t="n">
        <v>45435.2374074074</v>
      </c>
      <c r="L736" s="1" t="n">
        <v>2</v>
      </c>
      <c r="M736" s="156" t="s">
        <v>192</v>
      </c>
      <c r="N736" s="1" t="n">
        <v>248</v>
      </c>
    </row>
    <row r="737" customFormat="false" ht="14.25" hidden="false" customHeight="false" outlineLevel="0" collapsed="false">
      <c r="A737" s="1" t="n">
        <v>147</v>
      </c>
      <c r="B737" s="1" t="s">
        <v>624</v>
      </c>
      <c r="C737" s="1" t="s">
        <v>625</v>
      </c>
      <c r="D737" s="1" t="n">
        <v>21261</v>
      </c>
      <c r="E737" s="1" t="s">
        <v>57</v>
      </c>
      <c r="F737" s="201" t="n">
        <v>200025888608</v>
      </c>
      <c r="G737" s="198" t="s">
        <v>708</v>
      </c>
      <c r="H737" s="163" t="s">
        <v>372</v>
      </c>
      <c r="I737" s="161" t="n">
        <v>38</v>
      </c>
      <c r="J737" s="156" t="s">
        <v>192</v>
      </c>
      <c r="K737" s="200" t="n">
        <v>45435.2374537037</v>
      </c>
      <c r="L737" s="1" t="n">
        <v>0</v>
      </c>
      <c r="M737" s="156" t="s">
        <v>192</v>
      </c>
      <c r="N737" s="1" t="n">
        <v>249</v>
      </c>
    </row>
    <row r="738" customFormat="false" ht="14.25" hidden="false" customHeight="false" outlineLevel="0" collapsed="false">
      <c r="A738" s="1" t="n">
        <v>148</v>
      </c>
      <c r="B738" s="1" t="s">
        <v>624</v>
      </c>
      <c r="C738" s="1" t="s">
        <v>625</v>
      </c>
      <c r="D738" s="1" t="n">
        <v>21261</v>
      </c>
      <c r="E738" s="1" t="s">
        <v>57</v>
      </c>
      <c r="F738" s="201" t="n">
        <v>200025888608</v>
      </c>
      <c r="G738" s="198" t="s">
        <v>708</v>
      </c>
      <c r="H738" s="163" t="s">
        <v>372</v>
      </c>
      <c r="I738" s="161" t="n">
        <v>38</v>
      </c>
      <c r="J738" s="156" t="s">
        <v>192</v>
      </c>
      <c r="K738" s="200" t="n">
        <v>45435.2374537037</v>
      </c>
      <c r="L738" s="1" t="n">
        <v>0</v>
      </c>
      <c r="M738" s="156" t="s">
        <v>192</v>
      </c>
      <c r="N738" s="1" t="n">
        <v>250</v>
      </c>
    </row>
    <row r="739" customFormat="false" ht="14.25" hidden="false" customHeight="false" outlineLevel="0" collapsed="false">
      <c r="A739" s="1" t="n">
        <v>149</v>
      </c>
      <c r="B739" s="1" t="s">
        <v>624</v>
      </c>
      <c r="C739" s="1" t="s">
        <v>625</v>
      </c>
      <c r="D739" s="1" t="n">
        <v>21261</v>
      </c>
      <c r="E739" s="1" t="s">
        <v>57</v>
      </c>
      <c r="F739" s="201" t="n">
        <v>200025888608</v>
      </c>
      <c r="G739" s="198" t="s">
        <v>708</v>
      </c>
      <c r="H739" s="163" t="s">
        <v>372</v>
      </c>
      <c r="I739" s="161" t="n">
        <v>38</v>
      </c>
      <c r="J739" s="156" t="s">
        <v>192</v>
      </c>
      <c r="K739" s="200" t="n">
        <v>45435.2374768519</v>
      </c>
      <c r="L739" s="1" t="n">
        <v>0</v>
      </c>
      <c r="M739" s="156" t="s">
        <v>192</v>
      </c>
      <c r="N739" s="1" t="n">
        <v>251</v>
      </c>
    </row>
    <row r="740" customFormat="false" ht="14.25" hidden="false" customHeight="false" outlineLevel="0" collapsed="false">
      <c r="A740" s="1" t="n">
        <v>150</v>
      </c>
      <c r="B740" s="1" t="s">
        <v>624</v>
      </c>
      <c r="C740" s="1" t="s">
        <v>625</v>
      </c>
      <c r="D740" s="1" t="n">
        <v>21261</v>
      </c>
      <c r="E740" s="1" t="s">
        <v>57</v>
      </c>
      <c r="F740" s="201" t="n">
        <v>200025888748</v>
      </c>
      <c r="G740" s="198" t="s">
        <v>626</v>
      </c>
      <c r="H740" s="163" t="s">
        <v>430</v>
      </c>
      <c r="I740" s="161" t="n">
        <v>85</v>
      </c>
      <c r="J740" s="156" t="s">
        <v>192</v>
      </c>
      <c r="K740" s="200" t="n">
        <v>45435.2385185185</v>
      </c>
      <c r="L740" s="1" t="n">
        <v>1</v>
      </c>
      <c r="M740" s="156" t="s">
        <v>192</v>
      </c>
      <c r="N740" s="1" t="n">
        <v>252</v>
      </c>
    </row>
    <row r="741" customFormat="false" ht="14.25" hidden="false" customHeight="false" outlineLevel="0" collapsed="false">
      <c r="A741" s="1" t="n">
        <v>151</v>
      </c>
      <c r="B741" s="1" t="s">
        <v>624</v>
      </c>
      <c r="C741" s="1" t="s">
        <v>625</v>
      </c>
      <c r="D741" s="1" t="n">
        <v>21261</v>
      </c>
      <c r="E741" s="1" t="s">
        <v>57</v>
      </c>
      <c r="F741" s="201" t="n">
        <v>200025889226</v>
      </c>
      <c r="G741" s="198" t="s">
        <v>610</v>
      </c>
      <c r="H741" s="163" t="s">
        <v>486</v>
      </c>
      <c r="I741" s="161" t="n">
        <v>69</v>
      </c>
      <c r="J741" s="156" t="s">
        <v>192</v>
      </c>
      <c r="K741" s="200" t="n">
        <v>45435.2386805556</v>
      </c>
      <c r="L741" s="1" t="n">
        <v>0</v>
      </c>
      <c r="M741" s="156" t="s">
        <v>192</v>
      </c>
      <c r="N741" s="1" t="n">
        <v>253</v>
      </c>
    </row>
    <row r="742" customFormat="false" ht="14.25" hidden="false" customHeight="false" outlineLevel="0" collapsed="false">
      <c r="A742" s="1" t="n">
        <v>152</v>
      </c>
      <c r="B742" s="1" t="s">
        <v>624</v>
      </c>
      <c r="C742" s="1" t="s">
        <v>625</v>
      </c>
      <c r="D742" s="1" t="n">
        <v>21261</v>
      </c>
      <c r="E742" s="1" t="s">
        <v>57</v>
      </c>
      <c r="F742" s="201" t="n">
        <v>200025888777</v>
      </c>
      <c r="G742" s="198" t="s">
        <v>713</v>
      </c>
      <c r="H742" s="163" t="s">
        <v>439</v>
      </c>
      <c r="I742" s="161" t="n">
        <v>66</v>
      </c>
      <c r="J742" s="156" t="s">
        <v>192</v>
      </c>
      <c r="K742" s="200" t="n">
        <v>45435.2406944444</v>
      </c>
      <c r="L742" s="1" t="n">
        <v>1</v>
      </c>
      <c r="M742" s="156" t="s">
        <v>192</v>
      </c>
      <c r="N742" s="1" t="n">
        <v>254</v>
      </c>
    </row>
    <row r="743" customFormat="false" ht="14.25" hidden="false" customHeight="false" outlineLevel="0" collapsed="false">
      <c r="A743" s="1" t="n">
        <v>153</v>
      </c>
      <c r="B743" s="1" t="s">
        <v>624</v>
      </c>
      <c r="C743" s="1" t="s">
        <v>625</v>
      </c>
      <c r="D743" s="1" t="n">
        <v>21261</v>
      </c>
      <c r="E743" s="1" t="s">
        <v>57</v>
      </c>
      <c r="F743" s="201" t="n">
        <v>200025888777</v>
      </c>
      <c r="G743" s="198" t="s">
        <v>713</v>
      </c>
      <c r="H743" s="163" t="s">
        <v>439</v>
      </c>
      <c r="I743" s="161" t="n">
        <v>66</v>
      </c>
      <c r="J743" s="156" t="s">
        <v>192</v>
      </c>
      <c r="K743" s="200" t="n">
        <v>45435.2407060185</v>
      </c>
      <c r="L743" s="1" t="n">
        <v>1</v>
      </c>
      <c r="M743" s="156" t="s">
        <v>192</v>
      </c>
      <c r="N743" s="1" t="n">
        <v>255</v>
      </c>
    </row>
    <row r="744" customFormat="false" ht="14.25" hidden="false" customHeight="false" outlineLevel="0" collapsed="false">
      <c r="A744" s="1" t="n">
        <v>154</v>
      </c>
      <c r="B744" s="1" t="s">
        <v>624</v>
      </c>
      <c r="C744" s="1" t="s">
        <v>625</v>
      </c>
      <c r="D744" s="1" t="n">
        <v>21261</v>
      </c>
      <c r="E744" s="1" t="s">
        <v>57</v>
      </c>
      <c r="F744" s="201" t="n">
        <v>200025889007</v>
      </c>
      <c r="G744" s="198" t="s">
        <v>594</v>
      </c>
      <c r="H744" s="163" t="s">
        <v>495</v>
      </c>
      <c r="I744" s="161" t="n">
        <v>101</v>
      </c>
      <c r="J744" s="156" t="s">
        <v>192</v>
      </c>
      <c r="K744" s="200" t="n">
        <v>45435.3076273148</v>
      </c>
      <c r="L744" s="1" t="n">
        <v>1</v>
      </c>
      <c r="M744" s="156" t="s">
        <v>192</v>
      </c>
      <c r="N744" s="1" t="n">
        <v>256</v>
      </c>
    </row>
    <row r="745" customFormat="false" ht="14.25" hidden="false" customHeight="false" outlineLevel="0" collapsed="false">
      <c r="A745" s="1" t="n">
        <v>155</v>
      </c>
      <c r="B745" s="1" t="s">
        <v>624</v>
      </c>
      <c r="C745" s="1" t="s">
        <v>625</v>
      </c>
      <c r="D745" s="1" t="n">
        <v>21261</v>
      </c>
      <c r="E745" s="1" t="s">
        <v>57</v>
      </c>
      <c r="F745" s="201" t="n">
        <v>200025889007</v>
      </c>
      <c r="G745" s="198" t="s">
        <v>594</v>
      </c>
      <c r="H745" s="163" t="s">
        <v>495</v>
      </c>
      <c r="I745" s="161" t="n">
        <v>101</v>
      </c>
      <c r="J745" s="156" t="s">
        <v>192</v>
      </c>
      <c r="K745" s="200" t="n">
        <v>45435.3080324074</v>
      </c>
      <c r="L745" s="1" t="n">
        <v>1</v>
      </c>
      <c r="M745" s="156" t="s">
        <v>192</v>
      </c>
      <c r="N745" s="1" t="n">
        <v>257</v>
      </c>
    </row>
    <row r="746" customFormat="false" ht="14.25" hidden="false" customHeight="false" outlineLevel="0" collapsed="false">
      <c r="A746" s="1" t="n">
        <v>156</v>
      </c>
      <c r="B746" s="1" t="s">
        <v>624</v>
      </c>
      <c r="C746" s="1" t="s">
        <v>625</v>
      </c>
      <c r="D746" s="1" t="n">
        <v>21261</v>
      </c>
      <c r="E746" s="1" t="s">
        <v>57</v>
      </c>
      <c r="F746" s="201" t="n">
        <v>200025889007</v>
      </c>
      <c r="G746" s="198" t="s">
        <v>594</v>
      </c>
      <c r="H746" s="163" t="s">
        <v>495</v>
      </c>
      <c r="I746" s="161" t="n">
        <v>101</v>
      </c>
      <c r="J746" s="156" t="s">
        <v>192</v>
      </c>
      <c r="K746" s="200" t="n">
        <v>45435.310474537</v>
      </c>
      <c r="L746" s="1" t="n">
        <v>1</v>
      </c>
      <c r="M746" s="156" t="s">
        <v>192</v>
      </c>
      <c r="N746" s="1" t="n">
        <v>258</v>
      </c>
    </row>
    <row r="747" customFormat="false" ht="14.25" hidden="false" customHeight="false" outlineLevel="0" collapsed="false">
      <c r="A747" s="1" t="n">
        <v>157</v>
      </c>
      <c r="B747" s="1" t="s">
        <v>624</v>
      </c>
      <c r="C747" s="1" t="s">
        <v>625</v>
      </c>
      <c r="D747" s="1" t="n">
        <v>21261</v>
      </c>
      <c r="E747" s="1" t="s">
        <v>57</v>
      </c>
      <c r="F747" s="201" t="n">
        <v>200025888712</v>
      </c>
      <c r="G747" s="198" t="s">
        <v>578</v>
      </c>
      <c r="H747" s="163" t="s">
        <v>427</v>
      </c>
      <c r="I747" s="161" t="n">
        <v>48</v>
      </c>
      <c r="J747" s="156" t="s">
        <v>192</v>
      </c>
      <c r="K747" s="200" t="n">
        <v>45435.3161342593</v>
      </c>
      <c r="L747" s="1" t="n">
        <v>2</v>
      </c>
      <c r="M747" s="156" t="s">
        <v>192</v>
      </c>
      <c r="N747" s="1" t="n">
        <v>259</v>
      </c>
    </row>
    <row r="748" customFormat="false" ht="14.25" hidden="false" customHeight="false" outlineLevel="0" collapsed="false">
      <c r="A748" s="1" t="n">
        <v>158</v>
      </c>
      <c r="B748" s="1" t="s">
        <v>624</v>
      </c>
      <c r="C748" s="1" t="s">
        <v>625</v>
      </c>
      <c r="D748" s="1" t="n">
        <v>21261</v>
      </c>
      <c r="E748" s="1" t="s">
        <v>57</v>
      </c>
      <c r="F748" s="201" t="n">
        <v>200025888712</v>
      </c>
      <c r="G748" s="198" t="s">
        <v>578</v>
      </c>
      <c r="H748" s="163" t="s">
        <v>427</v>
      </c>
      <c r="I748" s="161" t="n">
        <v>48</v>
      </c>
      <c r="J748" s="156" t="s">
        <v>192</v>
      </c>
      <c r="K748" s="200" t="n">
        <v>45435.3161689815</v>
      </c>
      <c r="L748" s="10" t="n">
        <v>101</v>
      </c>
      <c r="M748" s="156" t="s">
        <v>192</v>
      </c>
      <c r="N748" s="1" t="n">
        <v>260</v>
      </c>
    </row>
    <row r="749" customFormat="false" ht="14.25" hidden="false" customHeight="false" outlineLevel="0" collapsed="false">
      <c r="A749" s="1" t="n">
        <v>159</v>
      </c>
      <c r="B749" s="1" t="s">
        <v>624</v>
      </c>
      <c r="C749" s="1" t="s">
        <v>625</v>
      </c>
      <c r="D749" s="1" t="n">
        <v>21261</v>
      </c>
      <c r="E749" s="1" t="s">
        <v>57</v>
      </c>
      <c r="F749" s="201" t="n">
        <v>200025889007</v>
      </c>
      <c r="G749" s="198" t="s">
        <v>594</v>
      </c>
      <c r="H749" s="163" t="s">
        <v>495</v>
      </c>
      <c r="I749" s="161" t="n">
        <v>101</v>
      </c>
      <c r="J749" s="156" t="s">
        <v>192</v>
      </c>
      <c r="K749" s="200" t="n">
        <v>45435.3266898148</v>
      </c>
      <c r="L749" s="1" t="n">
        <v>0</v>
      </c>
      <c r="M749" s="156" t="s">
        <v>192</v>
      </c>
      <c r="N749" s="1" t="n">
        <v>261</v>
      </c>
    </row>
    <row r="750" customFormat="false" ht="14.25" hidden="false" customHeight="false" outlineLevel="0" collapsed="false">
      <c r="A750" s="1" t="n">
        <v>160</v>
      </c>
      <c r="B750" s="1" t="s">
        <v>624</v>
      </c>
      <c r="C750" s="1" t="s">
        <v>625</v>
      </c>
      <c r="D750" s="1" t="n">
        <v>21261</v>
      </c>
      <c r="E750" s="1" t="s">
        <v>57</v>
      </c>
      <c r="F750" s="201" t="n">
        <v>200025889007</v>
      </c>
      <c r="G750" s="198" t="s">
        <v>594</v>
      </c>
      <c r="H750" s="163" t="s">
        <v>495</v>
      </c>
      <c r="I750" s="161" t="n">
        <v>101</v>
      </c>
      <c r="J750" s="156" t="s">
        <v>192</v>
      </c>
      <c r="K750" s="200" t="n">
        <v>45435.3268981481</v>
      </c>
      <c r="L750" s="1" t="n">
        <v>2</v>
      </c>
      <c r="M750" s="156" t="s">
        <v>192</v>
      </c>
      <c r="N750" s="1" t="n">
        <v>262</v>
      </c>
    </row>
    <row r="751" customFormat="false" ht="14.25" hidden="false" customHeight="false" outlineLevel="0" collapsed="false">
      <c r="A751" s="1" t="n">
        <v>161</v>
      </c>
      <c r="B751" s="1" t="s">
        <v>624</v>
      </c>
      <c r="C751" s="1" t="s">
        <v>625</v>
      </c>
      <c r="D751" s="1" t="n">
        <v>21261</v>
      </c>
      <c r="E751" s="1" t="s">
        <v>57</v>
      </c>
      <c r="F751" s="201" t="n">
        <v>200025889007</v>
      </c>
      <c r="G751" s="198" t="s">
        <v>594</v>
      </c>
      <c r="H751" s="163" t="s">
        <v>495</v>
      </c>
      <c r="I751" s="161" t="n">
        <v>101</v>
      </c>
      <c r="J751" s="156" t="s">
        <v>192</v>
      </c>
      <c r="K751" s="200" t="n">
        <v>45435.3396296296</v>
      </c>
      <c r="L751" s="1" t="n">
        <v>4</v>
      </c>
      <c r="M751" s="156" t="s">
        <v>192</v>
      </c>
      <c r="N751" s="1" t="n">
        <v>263</v>
      </c>
    </row>
    <row r="752" customFormat="false" ht="14.25" hidden="false" customHeight="false" outlineLevel="0" collapsed="false">
      <c r="A752" s="1" t="n">
        <v>56</v>
      </c>
      <c r="B752" s="1" t="s">
        <v>565</v>
      </c>
      <c r="C752" s="1" t="s">
        <v>566</v>
      </c>
      <c r="D752" s="196" t="n">
        <v>2568</v>
      </c>
      <c r="E752" s="196" t="s">
        <v>51</v>
      </c>
      <c r="F752" s="197" t="s">
        <v>567</v>
      </c>
      <c r="G752" s="198" t="s">
        <v>568</v>
      </c>
      <c r="H752" s="163" t="s">
        <v>381</v>
      </c>
      <c r="I752" s="161" t="n">
        <v>44</v>
      </c>
      <c r="J752" s="156" t="s">
        <v>192</v>
      </c>
      <c r="K752" s="199" t="n">
        <v>45435.3938194444</v>
      </c>
      <c r="L752" s="1" t="n">
        <v>1</v>
      </c>
      <c r="M752" s="156" t="s">
        <v>192</v>
      </c>
      <c r="N752" s="1" t="n">
        <v>264</v>
      </c>
    </row>
    <row r="753" customFormat="false" ht="14.25" hidden="false" customHeight="false" outlineLevel="0" collapsed="false">
      <c r="A753" s="1" t="n">
        <v>57</v>
      </c>
      <c r="B753" s="1" t="s">
        <v>565</v>
      </c>
      <c r="C753" s="1" t="s">
        <v>566</v>
      </c>
      <c r="D753" s="196" t="n">
        <v>2568</v>
      </c>
      <c r="E753" s="196" t="s">
        <v>51</v>
      </c>
      <c r="F753" s="197" t="s">
        <v>567</v>
      </c>
      <c r="G753" s="198" t="s">
        <v>568</v>
      </c>
      <c r="H753" s="163" t="s">
        <v>381</v>
      </c>
      <c r="I753" s="161" t="n">
        <v>44</v>
      </c>
      <c r="J753" s="156" t="s">
        <v>192</v>
      </c>
      <c r="K753" s="199" t="n">
        <v>45435.3938425926</v>
      </c>
      <c r="L753" s="1" t="n">
        <v>0</v>
      </c>
      <c r="M753" s="156" t="s">
        <v>192</v>
      </c>
      <c r="N753" s="1" t="n">
        <v>265</v>
      </c>
    </row>
    <row r="754" customFormat="false" ht="14.25" hidden="false" customHeight="false" outlineLevel="0" collapsed="false">
      <c r="A754" s="1" t="n">
        <v>58</v>
      </c>
      <c r="B754" s="1" t="s">
        <v>565</v>
      </c>
      <c r="C754" s="1" t="s">
        <v>566</v>
      </c>
      <c r="D754" s="196" t="n">
        <v>2568</v>
      </c>
      <c r="E754" s="196" t="s">
        <v>51</v>
      </c>
      <c r="F754" s="197" t="s">
        <v>567</v>
      </c>
      <c r="G754" s="198" t="s">
        <v>568</v>
      </c>
      <c r="H754" s="163" t="s">
        <v>381</v>
      </c>
      <c r="I754" s="161" t="n">
        <v>44</v>
      </c>
      <c r="J754" s="156" t="s">
        <v>192</v>
      </c>
      <c r="K754" s="199" t="n">
        <v>45435.3941203704</v>
      </c>
      <c r="L754" s="1" t="n">
        <v>0</v>
      </c>
      <c r="M754" s="156" t="s">
        <v>192</v>
      </c>
      <c r="N754" s="1" t="n">
        <v>266</v>
      </c>
    </row>
    <row r="755" customFormat="false" ht="14.25" hidden="false" customHeight="false" outlineLevel="0" collapsed="false">
      <c r="A755" s="1" t="n">
        <v>59</v>
      </c>
      <c r="B755" s="1" t="s">
        <v>565</v>
      </c>
      <c r="C755" s="1" t="s">
        <v>566</v>
      </c>
      <c r="D755" s="196" t="n">
        <v>2568</v>
      </c>
      <c r="E755" s="196" t="s">
        <v>51</v>
      </c>
      <c r="F755" s="197" t="s">
        <v>567</v>
      </c>
      <c r="G755" s="198" t="s">
        <v>568</v>
      </c>
      <c r="H755" s="163" t="s">
        <v>381</v>
      </c>
      <c r="I755" s="161" t="n">
        <v>44</v>
      </c>
      <c r="J755" s="156" t="s">
        <v>192</v>
      </c>
      <c r="K755" s="199" t="n">
        <v>45435.3941319444</v>
      </c>
      <c r="L755" s="1" t="n">
        <v>0</v>
      </c>
      <c r="M755" s="156" t="s">
        <v>192</v>
      </c>
      <c r="N755" s="1" t="n">
        <v>267</v>
      </c>
    </row>
    <row r="756" customFormat="false" ht="14.25" hidden="false" customHeight="false" outlineLevel="0" collapsed="false">
      <c r="A756" s="1" t="n">
        <v>60</v>
      </c>
      <c r="B756" s="1" t="s">
        <v>565</v>
      </c>
      <c r="C756" s="1" t="s">
        <v>566</v>
      </c>
      <c r="D756" s="196" t="n">
        <v>2568</v>
      </c>
      <c r="E756" s="196" t="s">
        <v>51</v>
      </c>
      <c r="F756" s="197" t="s">
        <v>567</v>
      </c>
      <c r="G756" s="198" t="s">
        <v>568</v>
      </c>
      <c r="H756" s="163" t="s">
        <v>381</v>
      </c>
      <c r="I756" s="161" t="n">
        <v>44</v>
      </c>
      <c r="J756" s="156" t="s">
        <v>192</v>
      </c>
      <c r="K756" s="199" t="n">
        <v>45435.394537037</v>
      </c>
      <c r="L756" s="1" t="n">
        <v>1</v>
      </c>
      <c r="M756" s="156" t="s">
        <v>192</v>
      </c>
      <c r="N756" s="1" t="n">
        <v>268</v>
      </c>
    </row>
    <row r="757" customFormat="false" ht="14.25" hidden="false" customHeight="false" outlineLevel="0" collapsed="false">
      <c r="A757" s="1" t="n">
        <v>61</v>
      </c>
      <c r="B757" s="1" t="s">
        <v>565</v>
      </c>
      <c r="C757" s="1" t="s">
        <v>566</v>
      </c>
      <c r="D757" s="196" t="n">
        <v>2568</v>
      </c>
      <c r="E757" s="196" t="s">
        <v>51</v>
      </c>
      <c r="F757" s="197" t="s">
        <v>567</v>
      </c>
      <c r="G757" s="198" t="s">
        <v>568</v>
      </c>
      <c r="H757" s="163" t="s">
        <v>381</v>
      </c>
      <c r="I757" s="161" t="n">
        <v>44</v>
      </c>
      <c r="J757" s="156" t="s">
        <v>192</v>
      </c>
      <c r="K757" s="199" t="n">
        <v>45435.3945601852</v>
      </c>
      <c r="L757" s="1" t="n">
        <v>8</v>
      </c>
      <c r="M757" s="156" t="s">
        <v>192</v>
      </c>
      <c r="N757" s="1" t="n">
        <v>269</v>
      </c>
    </row>
    <row r="758" customFormat="false" ht="14.25" hidden="false" customHeight="false" outlineLevel="0" collapsed="false">
      <c r="A758" s="1" t="n">
        <v>62</v>
      </c>
      <c r="B758" s="1" t="s">
        <v>565</v>
      </c>
      <c r="C758" s="1" t="s">
        <v>566</v>
      </c>
      <c r="D758" s="196" t="n">
        <v>2568</v>
      </c>
      <c r="E758" s="196" t="s">
        <v>51</v>
      </c>
      <c r="F758" s="197" t="s">
        <v>569</v>
      </c>
      <c r="G758" s="198" t="s">
        <v>570</v>
      </c>
      <c r="H758" s="163" t="s">
        <v>279</v>
      </c>
      <c r="I758" s="161" t="n">
        <v>12</v>
      </c>
      <c r="J758" s="156" t="s">
        <v>192</v>
      </c>
      <c r="K758" s="199" t="n">
        <v>45435.3974768519</v>
      </c>
      <c r="L758" s="1" t="n">
        <v>1</v>
      </c>
      <c r="M758" s="156" t="s">
        <v>192</v>
      </c>
      <c r="N758" s="1" t="n">
        <v>270</v>
      </c>
    </row>
    <row r="759" customFormat="false" ht="14.25" hidden="false" customHeight="false" outlineLevel="0" collapsed="false">
      <c r="A759" s="1" t="n">
        <v>63</v>
      </c>
      <c r="B759" s="1" t="s">
        <v>565</v>
      </c>
      <c r="C759" s="1" t="s">
        <v>566</v>
      </c>
      <c r="D759" s="196" t="n">
        <v>2568</v>
      </c>
      <c r="E759" s="196" t="s">
        <v>51</v>
      </c>
      <c r="F759" s="197" t="s">
        <v>571</v>
      </c>
      <c r="G759" s="198" t="s">
        <v>572</v>
      </c>
      <c r="H759" s="163" t="s">
        <v>209</v>
      </c>
      <c r="I759" s="161" t="n">
        <v>18</v>
      </c>
      <c r="J759" s="156" t="s">
        <v>192</v>
      </c>
      <c r="K759" s="199" t="n">
        <v>45435.4004513889</v>
      </c>
      <c r="L759" s="1" t="n">
        <v>1</v>
      </c>
      <c r="M759" s="156" t="s">
        <v>192</v>
      </c>
      <c r="N759" s="1" t="n">
        <v>271</v>
      </c>
    </row>
    <row r="760" customFormat="false" ht="14.25" hidden="false" customHeight="false" outlineLevel="0" collapsed="false">
      <c r="A760" s="1" t="n">
        <v>64</v>
      </c>
      <c r="B760" s="1" t="s">
        <v>565</v>
      </c>
      <c r="C760" s="1" t="s">
        <v>566</v>
      </c>
      <c r="D760" s="196" t="n">
        <v>2568</v>
      </c>
      <c r="E760" s="196" t="s">
        <v>51</v>
      </c>
      <c r="F760" s="197" t="s">
        <v>573</v>
      </c>
      <c r="G760" s="198" t="s">
        <v>574</v>
      </c>
      <c r="H760" s="163" t="s">
        <v>477</v>
      </c>
      <c r="I760" s="161" t="n">
        <v>61</v>
      </c>
      <c r="J760" s="156" t="s">
        <v>192</v>
      </c>
      <c r="K760" s="199" t="n">
        <v>45435.4250347222</v>
      </c>
      <c r="L760" s="10" t="n">
        <v>397</v>
      </c>
      <c r="M760" s="156" t="s">
        <v>192</v>
      </c>
      <c r="N760" s="1" t="n">
        <v>272</v>
      </c>
    </row>
    <row r="761" customFormat="false" ht="14.25" hidden="false" customHeight="false" outlineLevel="0" collapsed="false">
      <c r="A761" s="1" t="n">
        <v>65</v>
      </c>
      <c r="B761" s="1" t="s">
        <v>565</v>
      </c>
      <c r="C761" s="1" t="s">
        <v>566</v>
      </c>
      <c r="D761" s="196" t="n">
        <v>2568</v>
      </c>
      <c r="E761" s="196" t="s">
        <v>51</v>
      </c>
      <c r="F761" s="197" t="s">
        <v>575</v>
      </c>
      <c r="G761" s="198" t="s">
        <v>576</v>
      </c>
      <c r="H761" s="163" t="s">
        <v>366</v>
      </c>
      <c r="I761" s="161" t="n">
        <v>28</v>
      </c>
      <c r="J761" s="156" t="s">
        <v>192</v>
      </c>
      <c r="K761" s="199" t="n">
        <v>45435.4390046296</v>
      </c>
      <c r="L761" s="1" t="n">
        <v>0</v>
      </c>
      <c r="M761" s="156" t="s">
        <v>192</v>
      </c>
      <c r="N761" s="1" t="n">
        <v>273</v>
      </c>
    </row>
    <row r="762" customFormat="false" ht="14.25" hidden="false" customHeight="false" outlineLevel="0" collapsed="false">
      <c r="A762" s="1" t="n">
        <v>66</v>
      </c>
      <c r="B762" s="1" t="s">
        <v>565</v>
      </c>
      <c r="C762" s="1" t="s">
        <v>566</v>
      </c>
      <c r="D762" s="196" t="n">
        <v>2568</v>
      </c>
      <c r="E762" s="196" t="s">
        <v>51</v>
      </c>
      <c r="F762" s="197" t="s">
        <v>575</v>
      </c>
      <c r="G762" s="198" t="s">
        <v>576</v>
      </c>
      <c r="H762" s="163" t="s">
        <v>366</v>
      </c>
      <c r="I762" s="161" t="n">
        <v>28</v>
      </c>
      <c r="J762" s="156" t="s">
        <v>192</v>
      </c>
      <c r="K762" s="199" t="n">
        <v>45435.4390162037</v>
      </c>
      <c r="L762" s="1" t="n">
        <v>1</v>
      </c>
      <c r="M762" s="156" t="s">
        <v>192</v>
      </c>
      <c r="N762" s="1" t="n">
        <v>274</v>
      </c>
    </row>
    <row r="763" customFormat="false" ht="14.25" hidden="false" customHeight="false" outlineLevel="0" collapsed="false">
      <c r="A763" s="1" t="n">
        <v>67</v>
      </c>
      <c r="B763" s="1" t="s">
        <v>565</v>
      </c>
      <c r="C763" s="1" t="s">
        <v>566</v>
      </c>
      <c r="D763" s="196" t="n">
        <v>2568</v>
      </c>
      <c r="E763" s="196" t="s">
        <v>51</v>
      </c>
      <c r="F763" s="197" t="s">
        <v>575</v>
      </c>
      <c r="G763" s="198" t="s">
        <v>576</v>
      </c>
      <c r="H763" s="163" t="s">
        <v>366</v>
      </c>
      <c r="I763" s="161" t="n">
        <v>28</v>
      </c>
      <c r="J763" s="156" t="s">
        <v>192</v>
      </c>
      <c r="K763" s="199" t="n">
        <v>45435.4392013889</v>
      </c>
      <c r="L763" s="1" t="n">
        <v>1</v>
      </c>
      <c r="M763" s="156" t="s">
        <v>192</v>
      </c>
      <c r="N763" s="1" t="n">
        <v>275</v>
      </c>
    </row>
    <row r="764" customFormat="false" ht="14.25" hidden="false" customHeight="false" outlineLevel="0" collapsed="false">
      <c r="A764" s="1" t="n">
        <v>68</v>
      </c>
      <c r="B764" s="1" t="s">
        <v>565</v>
      </c>
      <c r="C764" s="1" t="s">
        <v>566</v>
      </c>
      <c r="D764" s="196" t="n">
        <v>2568</v>
      </c>
      <c r="E764" s="196" t="s">
        <v>51</v>
      </c>
      <c r="F764" s="197" t="s">
        <v>571</v>
      </c>
      <c r="G764" s="198" t="s">
        <v>572</v>
      </c>
      <c r="H764" s="163" t="s">
        <v>209</v>
      </c>
      <c r="I764" s="161" t="n">
        <v>18</v>
      </c>
      <c r="J764" s="156" t="s">
        <v>192</v>
      </c>
      <c r="K764" s="199" t="n">
        <v>45435.4640393519</v>
      </c>
      <c r="L764" s="1" t="n">
        <v>1</v>
      </c>
      <c r="M764" s="156" t="s">
        <v>192</v>
      </c>
      <c r="N764" s="1" t="n">
        <v>276</v>
      </c>
    </row>
    <row r="765" customFormat="false" ht="14.25" hidden="false" customHeight="false" outlineLevel="0" collapsed="false">
      <c r="A765" s="1" t="n">
        <v>69</v>
      </c>
      <c r="B765" s="1" t="s">
        <v>565</v>
      </c>
      <c r="C765" s="1" t="s">
        <v>566</v>
      </c>
      <c r="D765" s="196" t="n">
        <v>2568</v>
      </c>
      <c r="E765" s="196" t="s">
        <v>51</v>
      </c>
      <c r="F765" s="197" t="s">
        <v>571</v>
      </c>
      <c r="G765" s="198" t="s">
        <v>572</v>
      </c>
      <c r="H765" s="163" t="s">
        <v>209</v>
      </c>
      <c r="I765" s="161" t="n">
        <v>18</v>
      </c>
      <c r="J765" s="156" t="s">
        <v>192</v>
      </c>
      <c r="K765" s="199" t="n">
        <v>45435.4640509259</v>
      </c>
      <c r="L765" s="1" t="n">
        <v>0</v>
      </c>
      <c r="M765" s="156" t="s">
        <v>192</v>
      </c>
      <c r="N765" s="1" t="n">
        <v>277</v>
      </c>
    </row>
    <row r="766" customFormat="false" ht="14.25" hidden="false" customHeight="false" outlineLevel="0" collapsed="false">
      <c r="A766" s="1" t="n">
        <v>70</v>
      </c>
      <c r="B766" s="1" t="s">
        <v>565</v>
      </c>
      <c r="C766" s="1" t="s">
        <v>566</v>
      </c>
      <c r="D766" s="196" t="n">
        <v>2568</v>
      </c>
      <c r="E766" s="196" t="s">
        <v>51</v>
      </c>
      <c r="F766" s="197" t="s">
        <v>577</v>
      </c>
      <c r="G766" s="198" t="s">
        <v>578</v>
      </c>
      <c r="H766" s="163" t="s">
        <v>427</v>
      </c>
      <c r="I766" s="161" t="n">
        <v>48</v>
      </c>
      <c r="J766" s="156" t="s">
        <v>192</v>
      </c>
      <c r="K766" s="199" t="n">
        <v>45435.483912037</v>
      </c>
      <c r="L766" s="1" t="n">
        <v>0</v>
      </c>
      <c r="M766" s="156" t="s">
        <v>192</v>
      </c>
      <c r="N766" s="1" t="n">
        <v>278</v>
      </c>
    </row>
    <row r="767" customFormat="false" ht="14.25" hidden="false" customHeight="false" outlineLevel="0" collapsed="false">
      <c r="A767" s="1" t="n">
        <v>71</v>
      </c>
      <c r="B767" s="1" t="s">
        <v>565</v>
      </c>
      <c r="C767" s="1" t="s">
        <v>566</v>
      </c>
      <c r="D767" s="196" t="n">
        <v>2568</v>
      </c>
      <c r="E767" s="196" t="s">
        <v>51</v>
      </c>
      <c r="F767" s="197" t="s">
        <v>579</v>
      </c>
      <c r="G767" s="198" t="s">
        <v>580</v>
      </c>
      <c r="H767" s="163" t="s">
        <v>465</v>
      </c>
      <c r="I767" s="161" t="n">
        <v>54</v>
      </c>
      <c r="J767" s="156" t="s">
        <v>192</v>
      </c>
      <c r="K767" s="199" t="n">
        <v>45435.4959722222</v>
      </c>
      <c r="L767" s="1" t="n">
        <v>1</v>
      </c>
      <c r="M767" s="156" t="s">
        <v>192</v>
      </c>
      <c r="N767" s="1" t="n">
        <v>279</v>
      </c>
    </row>
    <row r="768" customFormat="false" ht="14.25" hidden="false" customHeight="false" outlineLevel="0" collapsed="false">
      <c r="A768" s="1" t="n">
        <v>72</v>
      </c>
      <c r="B768" s="1" t="s">
        <v>565</v>
      </c>
      <c r="C768" s="1" t="s">
        <v>566</v>
      </c>
      <c r="D768" s="196" t="n">
        <v>2568</v>
      </c>
      <c r="E768" s="196" t="s">
        <v>51</v>
      </c>
      <c r="F768" s="197" t="s">
        <v>581</v>
      </c>
      <c r="G768" s="198" t="s">
        <v>582</v>
      </c>
      <c r="H768" s="163" t="s">
        <v>378</v>
      </c>
      <c r="I768" s="161" t="n">
        <v>29</v>
      </c>
      <c r="J768" s="156" t="s">
        <v>192</v>
      </c>
      <c r="K768" s="199" t="n">
        <v>45435.5585763889</v>
      </c>
      <c r="L768" s="1" t="n">
        <v>0</v>
      </c>
      <c r="M768" s="156" t="s">
        <v>192</v>
      </c>
      <c r="N768" s="1" t="n">
        <v>280</v>
      </c>
    </row>
    <row r="769" customFormat="false" ht="14.25" hidden="false" customHeight="false" outlineLevel="0" collapsed="false">
      <c r="A769" s="1" t="n">
        <v>73</v>
      </c>
      <c r="B769" s="1" t="s">
        <v>565</v>
      </c>
      <c r="C769" s="1" t="s">
        <v>566</v>
      </c>
      <c r="D769" s="196" t="n">
        <v>2568</v>
      </c>
      <c r="E769" s="196" t="s">
        <v>51</v>
      </c>
      <c r="F769" s="197" t="s">
        <v>581</v>
      </c>
      <c r="G769" s="198" t="s">
        <v>582</v>
      </c>
      <c r="H769" s="163" t="s">
        <v>378</v>
      </c>
      <c r="I769" s="161" t="n">
        <v>29</v>
      </c>
      <c r="J769" s="156" t="s">
        <v>192</v>
      </c>
      <c r="K769" s="199" t="n">
        <v>45435.5950925926</v>
      </c>
      <c r="L769" s="1" t="n">
        <v>0</v>
      </c>
      <c r="M769" s="156" t="s">
        <v>192</v>
      </c>
      <c r="N769" s="1" t="n">
        <v>281</v>
      </c>
    </row>
    <row r="770" customFormat="false" ht="14.25" hidden="false" customHeight="false" outlineLevel="0" collapsed="false">
      <c r="A770" s="1" t="n">
        <v>74</v>
      </c>
      <c r="B770" s="1" t="s">
        <v>565</v>
      </c>
      <c r="C770" s="1" t="s">
        <v>566</v>
      </c>
      <c r="D770" s="196" t="n">
        <v>2568</v>
      </c>
      <c r="E770" s="196" t="s">
        <v>51</v>
      </c>
      <c r="F770" s="197" t="s">
        <v>581</v>
      </c>
      <c r="G770" s="198" t="s">
        <v>582</v>
      </c>
      <c r="H770" s="163" t="s">
        <v>378</v>
      </c>
      <c r="I770" s="161" t="n">
        <v>29</v>
      </c>
      <c r="J770" s="156" t="s">
        <v>192</v>
      </c>
      <c r="K770" s="199" t="n">
        <v>45435.5951041667</v>
      </c>
      <c r="L770" s="1" t="n">
        <v>40</v>
      </c>
      <c r="M770" s="156" t="s">
        <v>192</v>
      </c>
      <c r="N770" s="1" t="n">
        <v>282</v>
      </c>
    </row>
    <row r="771" customFormat="false" ht="14.25" hidden="false" customHeight="false" outlineLevel="0" collapsed="false">
      <c r="A771" s="1" t="n">
        <v>75</v>
      </c>
      <c r="B771" s="1" t="s">
        <v>565</v>
      </c>
      <c r="C771" s="1" t="s">
        <v>566</v>
      </c>
      <c r="D771" s="196" t="n">
        <v>2568</v>
      </c>
      <c r="E771" s="196" t="s">
        <v>51</v>
      </c>
      <c r="F771" s="197" t="s">
        <v>573</v>
      </c>
      <c r="G771" s="198" t="s">
        <v>574</v>
      </c>
      <c r="H771" s="163" t="s">
        <v>477</v>
      </c>
      <c r="I771" s="161" t="n">
        <v>61</v>
      </c>
      <c r="J771" s="156" t="s">
        <v>192</v>
      </c>
      <c r="K771" s="199" t="n">
        <v>45435.6130555556</v>
      </c>
      <c r="L771" s="1" t="n">
        <v>0</v>
      </c>
      <c r="M771" s="156" t="s">
        <v>192</v>
      </c>
      <c r="N771" s="1" t="n">
        <v>283</v>
      </c>
    </row>
    <row r="772" customFormat="false" ht="14.25" hidden="false" customHeight="false" outlineLevel="0" collapsed="false">
      <c r="A772" s="1" t="n">
        <v>76</v>
      </c>
      <c r="B772" s="1" t="s">
        <v>565</v>
      </c>
      <c r="C772" s="1" t="s">
        <v>566</v>
      </c>
      <c r="D772" s="196" t="n">
        <v>2568</v>
      </c>
      <c r="E772" s="196" t="s">
        <v>51</v>
      </c>
      <c r="F772" s="197" t="s">
        <v>583</v>
      </c>
      <c r="G772" s="198" t="s">
        <v>584</v>
      </c>
      <c r="H772" s="163" t="s">
        <v>303</v>
      </c>
      <c r="I772" s="161" t="n">
        <v>16</v>
      </c>
      <c r="J772" s="156" t="s">
        <v>192</v>
      </c>
      <c r="K772" s="199" t="n">
        <v>45435.6150810185</v>
      </c>
      <c r="L772" s="1" t="n">
        <v>1</v>
      </c>
      <c r="M772" s="156" t="s">
        <v>192</v>
      </c>
      <c r="N772" s="1" t="n">
        <v>284</v>
      </c>
    </row>
    <row r="773" customFormat="false" ht="14.25" hidden="false" customHeight="false" outlineLevel="0" collapsed="false">
      <c r="A773" s="1" t="n">
        <v>77</v>
      </c>
      <c r="B773" s="1" t="s">
        <v>565</v>
      </c>
      <c r="C773" s="1" t="s">
        <v>566</v>
      </c>
      <c r="D773" s="196" t="n">
        <v>2568</v>
      </c>
      <c r="E773" s="196" t="s">
        <v>51</v>
      </c>
      <c r="F773" s="197" t="s">
        <v>583</v>
      </c>
      <c r="G773" s="198" t="s">
        <v>584</v>
      </c>
      <c r="H773" s="163" t="s">
        <v>303</v>
      </c>
      <c r="I773" s="161" t="n">
        <v>16</v>
      </c>
      <c r="J773" s="156" t="s">
        <v>192</v>
      </c>
      <c r="K773" s="199" t="n">
        <v>45435.6150925926</v>
      </c>
      <c r="L773" s="1" t="n">
        <v>1</v>
      </c>
      <c r="M773" s="156" t="s">
        <v>192</v>
      </c>
      <c r="N773" s="1" t="n">
        <v>285</v>
      </c>
    </row>
    <row r="774" customFormat="false" ht="14.25" hidden="false" customHeight="false" outlineLevel="0" collapsed="false">
      <c r="A774" s="1" t="n">
        <v>78</v>
      </c>
      <c r="B774" s="1" t="s">
        <v>565</v>
      </c>
      <c r="C774" s="1" t="s">
        <v>566</v>
      </c>
      <c r="D774" s="196" t="n">
        <v>2568</v>
      </c>
      <c r="E774" s="196" t="s">
        <v>51</v>
      </c>
      <c r="F774" s="197" t="s">
        <v>585</v>
      </c>
      <c r="G774" s="198" t="s">
        <v>586</v>
      </c>
      <c r="H774" s="163" t="s">
        <v>384</v>
      </c>
      <c r="I774" s="161" t="n">
        <v>62</v>
      </c>
      <c r="J774" s="156" t="s">
        <v>192</v>
      </c>
      <c r="K774" s="199" t="n">
        <v>45435.6290046296</v>
      </c>
      <c r="L774" s="1" t="n">
        <v>0</v>
      </c>
      <c r="M774" s="156" t="s">
        <v>192</v>
      </c>
      <c r="N774" s="1" t="n">
        <v>286</v>
      </c>
    </row>
    <row r="775" customFormat="false" ht="14.25" hidden="false" customHeight="false" outlineLevel="0" collapsed="false">
      <c r="A775" s="1" t="n">
        <v>79</v>
      </c>
      <c r="B775" s="1" t="s">
        <v>565</v>
      </c>
      <c r="C775" s="1" t="s">
        <v>566</v>
      </c>
      <c r="D775" s="196" t="n">
        <v>2568</v>
      </c>
      <c r="E775" s="196" t="s">
        <v>51</v>
      </c>
      <c r="F775" s="197" t="s">
        <v>581</v>
      </c>
      <c r="G775" s="198" t="s">
        <v>582</v>
      </c>
      <c r="H775" s="163" t="s">
        <v>378</v>
      </c>
      <c r="I775" s="161" t="n">
        <v>29</v>
      </c>
      <c r="J775" s="156" t="s">
        <v>192</v>
      </c>
      <c r="K775" s="199" t="n">
        <v>45435.6313541667</v>
      </c>
      <c r="L775" s="1" t="n">
        <v>0</v>
      </c>
      <c r="M775" s="156" t="s">
        <v>192</v>
      </c>
      <c r="N775" s="1" t="n">
        <v>287</v>
      </c>
    </row>
    <row r="776" customFormat="false" ht="14.25" hidden="false" customHeight="false" outlineLevel="0" collapsed="false">
      <c r="A776" s="1" t="n">
        <v>80</v>
      </c>
      <c r="B776" s="1" t="s">
        <v>565</v>
      </c>
      <c r="C776" s="1" t="s">
        <v>566</v>
      </c>
      <c r="D776" s="196" t="n">
        <v>2568</v>
      </c>
      <c r="E776" s="196" t="s">
        <v>51</v>
      </c>
      <c r="F776" s="197" t="s">
        <v>587</v>
      </c>
      <c r="G776" s="198" t="s">
        <v>588</v>
      </c>
      <c r="H776" s="163" t="s">
        <v>442</v>
      </c>
      <c r="I776" s="161" t="n">
        <v>117</v>
      </c>
      <c r="J776" s="156" t="s">
        <v>192</v>
      </c>
      <c r="K776" s="199" t="n">
        <v>45435.6325462963</v>
      </c>
      <c r="L776" s="1" t="n">
        <v>0</v>
      </c>
      <c r="M776" s="156" t="s">
        <v>192</v>
      </c>
      <c r="N776" s="1" t="n">
        <v>288</v>
      </c>
    </row>
    <row r="777" customFormat="false" ht="14.25" hidden="false" customHeight="false" outlineLevel="0" collapsed="false">
      <c r="A777" s="1" t="n">
        <v>81</v>
      </c>
      <c r="B777" s="1" t="s">
        <v>565</v>
      </c>
      <c r="C777" s="1" t="s">
        <v>566</v>
      </c>
      <c r="D777" s="196" t="n">
        <v>2568</v>
      </c>
      <c r="E777" s="196" t="s">
        <v>51</v>
      </c>
      <c r="F777" s="197" t="s">
        <v>587</v>
      </c>
      <c r="G777" s="198" t="s">
        <v>588</v>
      </c>
      <c r="H777" s="163" t="s">
        <v>442</v>
      </c>
      <c r="I777" s="161" t="n">
        <v>117</v>
      </c>
      <c r="J777" s="156" t="s">
        <v>192</v>
      </c>
      <c r="K777" s="199" t="n">
        <v>45435.6325578704</v>
      </c>
      <c r="L777" s="1" t="n">
        <v>3</v>
      </c>
      <c r="M777" s="156" t="s">
        <v>192</v>
      </c>
      <c r="N777" s="1" t="n">
        <v>289</v>
      </c>
    </row>
    <row r="778" customFormat="false" ht="14.25" hidden="false" customHeight="false" outlineLevel="0" collapsed="false">
      <c r="A778" s="1" t="n">
        <v>82</v>
      </c>
      <c r="B778" s="1" t="s">
        <v>565</v>
      </c>
      <c r="C778" s="1" t="s">
        <v>566</v>
      </c>
      <c r="D778" s="196" t="n">
        <v>2568</v>
      </c>
      <c r="E778" s="196" t="s">
        <v>51</v>
      </c>
      <c r="F778" s="197" t="s">
        <v>587</v>
      </c>
      <c r="G778" s="198" t="s">
        <v>588</v>
      </c>
      <c r="H778" s="163" t="s">
        <v>442</v>
      </c>
      <c r="I778" s="161" t="n">
        <v>117</v>
      </c>
      <c r="J778" s="156" t="s">
        <v>192</v>
      </c>
      <c r="K778" s="199" t="n">
        <v>45435.6326041667</v>
      </c>
      <c r="L778" s="1" t="n">
        <v>1</v>
      </c>
      <c r="M778" s="156" t="s">
        <v>192</v>
      </c>
      <c r="N778" s="1" t="n">
        <v>290</v>
      </c>
    </row>
    <row r="779" customFormat="false" ht="14.25" hidden="false" customHeight="false" outlineLevel="0" collapsed="false">
      <c r="A779" s="1" t="n">
        <v>83</v>
      </c>
      <c r="B779" s="1" t="s">
        <v>565</v>
      </c>
      <c r="C779" s="1" t="s">
        <v>566</v>
      </c>
      <c r="D779" s="196" t="n">
        <v>2568</v>
      </c>
      <c r="E779" s="196" t="s">
        <v>51</v>
      </c>
      <c r="F779" s="197" t="s">
        <v>571</v>
      </c>
      <c r="G779" s="198" t="s">
        <v>572</v>
      </c>
      <c r="H779" s="163" t="s">
        <v>209</v>
      </c>
      <c r="I779" s="161" t="n">
        <v>18</v>
      </c>
      <c r="J779" s="156" t="s">
        <v>192</v>
      </c>
      <c r="K779" s="199" t="n">
        <v>45435.6341087963</v>
      </c>
      <c r="L779" s="10" t="n">
        <v>108</v>
      </c>
      <c r="M779" s="156" t="s">
        <v>192</v>
      </c>
      <c r="N779" s="1" t="n">
        <v>291</v>
      </c>
    </row>
    <row r="780" customFormat="false" ht="14.25" hidden="false" customHeight="false" outlineLevel="0" collapsed="false">
      <c r="A780" s="1" t="n">
        <v>84</v>
      </c>
      <c r="B780" s="1" t="s">
        <v>565</v>
      </c>
      <c r="C780" s="1" t="s">
        <v>566</v>
      </c>
      <c r="D780" s="196" t="n">
        <v>2568</v>
      </c>
      <c r="E780" s="196" t="s">
        <v>51</v>
      </c>
      <c r="F780" s="197" t="s">
        <v>577</v>
      </c>
      <c r="G780" s="198" t="s">
        <v>578</v>
      </c>
      <c r="H780" s="163" t="s">
        <v>427</v>
      </c>
      <c r="I780" s="161" t="n">
        <v>48</v>
      </c>
      <c r="J780" s="156" t="s">
        <v>192</v>
      </c>
      <c r="K780" s="199" t="n">
        <v>45435.6364351852</v>
      </c>
      <c r="L780" s="1" t="n">
        <v>1</v>
      </c>
      <c r="M780" s="156" t="s">
        <v>192</v>
      </c>
      <c r="N780" s="1" t="n">
        <v>292</v>
      </c>
    </row>
    <row r="781" customFormat="false" ht="14.25" hidden="false" customHeight="false" outlineLevel="0" collapsed="false">
      <c r="A781" s="1" t="n">
        <v>85</v>
      </c>
      <c r="B781" s="1" t="s">
        <v>565</v>
      </c>
      <c r="C781" s="1" t="s">
        <v>566</v>
      </c>
      <c r="D781" s="196" t="n">
        <v>2568</v>
      </c>
      <c r="E781" s="196" t="s">
        <v>51</v>
      </c>
      <c r="F781" s="197" t="s">
        <v>577</v>
      </c>
      <c r="G781" s="198" t="s">
        <v>578</v>
      </c>
      <c r="H781" s="163" t="s">
        <v>427</v>
      </c>
      <c r="I781" s="161" t="n">
        <v>48</v>
      </c>
      <c r="J781" s="156" t="s">
        <v>192</v>
      </c>
      <c r="K781" s="199" t="n">
        <v>45435.6364467593</v>
      </c>
      <c r="L781" s="1" t="n">
        <v>1</v>
      </c>
      <c r="M781" s="156" t="s">
        <v>192</v>
      </c>
      <c r="N781" s="1" t="n">
        <v>293</v>
      </c>
    </row>
    <row r="782" customFormat="false" ht="14.25" hidden="false" customHeight="false" outlineLevel="0" collapsed="false">
      <c r="A782" s="1" t="n">
        <v>86</v>
      </c>
      <c r="B782" s="1" t="s">
        <v>565</v>
      </c>
      <c r="C782" s="1" t="s">
        <v>566</v>
      </c>
      <c r="D782" s="196" t="n">
        <v>2568</v>
      </c>
      <c r="E782" s="196" t="s">
        <v>51</v>
      </c>
      <c r="F782" s="197" t="s">
        <v>577</v>
      </c>
      <c r="G782" s="198" t="s">
        <v>578</v>
      </c>
      <c r="H782" s="163" t="s">
        <v>427</v>
      </c>
      <c r="I782" s="161" t="n">
        <v>48</v>
      </c>
      <c r="J782" s="156" t="s">
        <v>192</v>
      </c>
      <c r="K782" s="199" t="n">
        <v>45435.6364699074</v>
      </c>
      <c r="L782" s="1" t="n">
        <v>2</v>
      </c>
      <c r="M782" s="156" t="s">
        <v>192</v>
      </c>
      <c r="N782" s="1" t="n">
        <v>294</v>
      </c>
    </row>
    <row r="783" customFormat="false" ht="14.25" hidden="false" customHeight="false" outlineLevel="0" collapsed="false">
      <c r="A783" s="1" t="n">
        <v>87</v>
      </c>
      <c r="B783" s="1" t="s">
        <v>565</v>
      </c>
      <c r="C783" s="1" t="s">
        <v>566</v>
      </c>
      <c r="D783" s="196" t="n">
        <v>2568</v>
      </c>
      <c r="E783" s="196" t="s">
        <v>51</v>
      </c>
      <c r="F783" s="197" t="s">
        <v>577</v>
      </c>
      <c r="G783" s="198" t="s">
        <v>578</v>
      </c>
      <c r="H783" s="163" t="s">
        <v>427</v>
      </c>
      <c r="I783" s="161" t="n">
        <v>48</v>
      </c>
      <c r="J783" s="156" t="s">
        <v>192</v>
      </c>
      <c r="K783" s="199" t="n">
        <v>45435.6386689815</v>
      </c>
      <c r="L783" s="1" t="n">
        <v>1</v>
      </c>
      <c r="M783" s="156" t="s">
        <v>192</v>
      </c>
      <c r="N783" s="1" t="n">
        <v>295</v>
      </c>
    </row>
    <row r="784" customFormat="false" ht="14.25" hidden="false" customHeight="false" outlineLevel="0" collapsed="false">
      <c r="A784" s="1" t="n">
        <v>88</v>
      </c>
      <c r="B784" s="1" t="s">
        <v>565</v>
      </c>
      <c r="C784" s="1" t="s">
        <v>566</v>
      </c>
      <c r="D784" s="196" t="n">
        <v>2568</v>
      </c>
      <c r="E784" s="196" t="s">
        <v>51</v>
      </c>
      <c r="F784" s="197" t="s">
        <v>589</v>
      </c>
      <c r="G784" s="198" t="s">
        <v>590</v>
      </c>
      <c r="H784" s="163" t="s">
        <v>474</v>
      </c>
      <c r="I784" s="161" t="n">
        <v>87</v>
      </c>
      <c r="J784" s="156" t="s">
        <v>192</v>
      </c>
      <c r="K784" s="199" t="n">
        <v>45435.6465972222</v>
      </c>
      <c r="L784" s="10" t="n">
        <v>734</v>
      </c>
      <c r="M784" s="156" t="s">
        <v>192</v>
      </c>
      <c r="N784" s="1" t="n">
        <v>296</v>
      </c>
    </row>
    <row r="785" customFormat="false" ht="14.25" hidden="false" customHeight="false" outlineLevel="0" collapsed="false">
      <c r="A785" s="1" t="n">
        <v>89</v>
      </c>
      <c r="B785" s="1" t="s">
        <v>565</v>
      </c>
      <c r="C785" s="1" t="s">
        <v>566</v>
      </c>
      <c r="D785" s="196" t="n">
        <v>2568</v>
      </c>
      <c r="E785" s="196" t="s">
        <v>51</v>
      </c>
      <c r="F785" s="197" t="s">
        <v>591</v>
      </c>
      <c r="G785" s="198" t="s">
        <v>592</v>
      </c>
      <c r="H785" s="163" t="s">
        <v>415</v>
      </c>
      <c r="I785" s="161" t="n">
        <v>75</v>
      </c>
      <c r="J785" s="156" t="s">
        <v>192</v>
      </c>
      <c r="K785" s="199" t="n">
        <v>45435.6551041667</v>
      </c>
      <c r="L785" s="1" t="n">
        <v>0</v>
      </c>
      <c r="M785" s="156" t="s">
        <v>192</v>
      </c>
      <c r="N785" s="1" t="n">
        <v>297</v>
      </c>
    </row>
    <row r="786" customFormat="false" ht="14.25" hidden="false" customHeight="false" outlineLevel="0" collapsed="false">
      <c r="A786" s="1" t="n">
        <v>90</v>
      </c>
      <c r="B786" s="1" t="s">
        <v>565</v>
      </c>
      <c r="C786" s="1" t="s">
        <v>566</v>
      </c>
      <c r="D786" s="196" t="n">
        <v>2568</v>
      </c>
      <c r="E786" s="196" t="s">
        <v>51</v>
      </c>
      <c r="F786" s="197" t="s">
        <v>591</v>
      </c>
      <c r="G786" s="198" t="s">
        <v>592</v>
      </c>
      <c r="H786" s="163" t="s">
        <v>415</v>
      </c>
      <c r="I786" s="161" t="n">
        <v>75</v>
      </c>
      <c r="J786" s="156" t="s">
        <v>192</v>
      </c>
      <c r="K786" s="199" t="n">
        <v>45435.6599189815</v>
      </c>
      <c r="L786" s="1" t="n">
        <v>0</v>
      </c>
      <c r="M786" s="156" t="s">
        <v>192</v>
      </c>
      <c r="N786" s="1" t="n">
        <v>298</v>
      </c>
    </row>
    <row r="787" customFormat="false" ht="14.25" hidden="false" customHeight="false" outlineLevel="0" collapsed="false">
      <c r="A787" s="1" t="n">
        <v>91</v>
      </c>
      <c r="B787" s="1" t="s">
        <v>565</v>
      </c>
      <c r="C787" s="1" t="s">
        <v>566</v>
      </c>
      <c r="D787" s="196" t="n">
        <v>2568</v>
      </c>
      <c r="E787" s="196" t="s">
        <v>51</v>
      </c>
      <c r="F787" s="197" t="s">
        <v>591</v>
      </c>
      <c r="G787" s="198" t="s">
        <v>592</v>
      </c>
      <c r="H787" s="163" t="s">
        <v>415</v>
      </c>
      <c r="I787" s="161" t="n">
        <v>75</v>
      </c>
      <c r="J787" s="156" t="s">
        <v>192</v>
      </c>
      <c r="K787" s="199" t="n">
        <v>45435.6604861111</v>
      </c>
      <c r="L787" s="1" t="n">
        <v>1</v>
      </c>
      <c r="M787" s="156" t="s">
        <v>192</v>
      </c>
      <c r="N787" s="1" t="n">
        <v>299</v>
      </c>
    </row>
    <row r="788" customFormat="false" ht="14.25" hidden="false" customHeight="false" outlineLevel="0" collapsed="false">
      <c r="A788" s="1" t="n">
        <v>92</v>
      </c>
      <c r="B788" s="1" t="s">
        <v>565</v>
      </c>
      <c r="C788" s="1" t="s">
        <v>566</v>
      </c>
      <c r="D788" s="196" t="n">
        <v>2568</v>
      </c>
      <c r="E788" s="196" t="s">
        <v>51</v>
      </c>
      <c r="F788" s="197" t="s">
        <v>591</v>
      </c>
      <c r="G788" s="198" t="s">
        <v>592</v>
      </c>
      <c r="H788" s="163" t="s">
        <v>415</v>
      </c>
      <c r="I788" s="161" t="n">
        <v>75</v>
      </c>
      <c r="J788" s="156" t="s">
        <v>192</v>
      </c>
      <c r="K788" s="199" t="n">
        <v>45435.6612731482</v>
      </c>
      <c r="L788" s="1" t="n">
        <v>0</v>
      </c>
      <c r="M788" s="156" t="s">
        <v>192</v>
      </c>
      <c r="N788" s="1" t="n">
        <v>300</v>
      </c>
    </row>
    <row r="789" customFormat="false" ht="14.25" hidden="false" customHeight="false" outlineLevel="0" collapsed="false">
      <c r="A789" s="1" t="n">
        <v>93</v>
      </c>
      <c r="B789" s="1" t="s">
        <v>565</v>
      </c>
      <c r="C789" s="1" t="s">
        <v>566</v>
      </c>
      <c r="D789" s="196" t="n">
        <v>2568</v>
      </c>
      <c r="E789" s="196" t="s">
        <v>51</v>
      </c>
      <c r="F789" s="197" t="s">
        <v>591</v>
      </c>
      <c r="G789" s="198" t="s">
        <v>592</v>
      </c>
      <c r="H789" s="163" t="s">
        <v>415</v>
      </c>
      <c r="I789" s="161" t="n">
        <v>75</v>
      </c>
      <c r="J789" s="156" t="s">
        <v>192</v>
      </c>
      <c r="K789" s="199" t="n">
        <v>45435.6636226852</v>
      </c>
      <c r="L789" s="10" t="n">
        <v>421</v>
      </c>
      <c r="M789" s="156" t="s">
        <v>192</v>
      </c>
      <c r="N789" s="1" t="n">
        <v>301</v>
      </c>
    </row>
    <row r="790" customFormat="false" ht="14.25" hidden="false" customHeight="false" outlineLevel="0" collapsed="false">
      <c r="A790" s="1" t="n">
        <v>94</v>
      </c>
      <c r="B790" s="1" t="s">
        <v>565</v>
      </c>
      <c r="C790" s="1" t="s">
        <v>566</v>
      </c>
      <c r="D790" s="196" t="n">
        <v>2568</v>
      </c>
      <c r="E790" s="196" t="s">
        <v>51</v>
      </c>
      <c r="F790" s="197" t="s">
        <v>593</v>
      </c>
      <c r="G790" s="198" t="s">
        <v>594</v>
      </c>
      <c r="H790" s="163" t="s">
        <v>495</v>
      </c>
      <c r="I790" s="161" t="n">
        <v>101</v>
      </c>
      <c r="J790" s="156" t="s">
        <v>192</v>
      </c>
      <c r="K790" s="199" t="n">
        <v>45435.669224537</v>
      </c>
      <c r="L790" s="1" t="n">
        <v>0</v>
      </c>
      <c r="M790" s="156" t="s">
        <v>192</v>
      </c>
      <c r="N790" s="1" t="n">
        <v>302</v>
      </c>
    </row>
    <row r="791" customFormat="false" ht="14.25" hidden="false" customHeight="false" outlineLevel="0" collapsed="false">
      <c r="A791" s="1" t="n">
        <v>95</v>
      </c>
      <c r="B791" s="1" t="s">
        <v>565</v>
      </c>
      <c r="C791" s="1" t="s">
        <v>566</v>
      </c>
      <c r="D791" s="196" t="n">
        <v>2568</v>
      </c>
      <c r="E791" s="196" t="s">
        <v>51</v>
      </c>
      <c r="F791" s="197" t="s">
        <v>591</v>
      </c>
      <c r="G791" s="198" t="s">
        <v>592</v>
      </c>
      <c r="H791" s="163" t="s">
        <v>415</v>
      </c>
      <c r="I791" s="161" t="n">
        <v>75</v>
      </c>
      <c r="J791" s="156" t="s">
        <v>192</v>
      </c>
      <c r="K791" s="199" t="n">
        <v>45435.6707060185</v>
      </c>
      <c r="L791" s="1" t="n">
        <v>1</v>
      </c>
      <c r="M791" s="156" t="s">
        <v>192</v>
      </c>
      <c r="N791" s="1" t="n">
        <v>303</v>
      </c>
    </row>
    <row r="792" customFormat="false" ht="14.25" hidden="false" customHeight="false" outlineLevel="0" collapsed="false">
      <c r="A792" s="1" t="n">
        <v>96</v>
      </c>
      <c r="B792" s="1" t="s">
        <v>565</v>
      </c>
      <c r="C792" s="1" t="s">
        <v>566</v>
      </c>
      <c r="D792" s="196" t="n">
        <v>2568</v>
      </c>
      <c r="E792" s="196" t="s">
        <v>51</v>
      </c>
      <c r="F792" s="197" t="s">
        <v>591</v>
      </c>
      <c r="G792" s="198" t="s">
        <v>592</v>
      </c>
      <c r="H792" s="163" t="s">
        <v>415</v>
      </c>
      <c r="I792" s="161" t="n">
        <v>75</v>
      </c>
      <c r="J792" s="156" t="s">
        <v>192</v>
      </c>
      <c r="K792" s="199" t="n">
        <v>45435.6712268519</v>
      </c>
      <c r="L792" s="1" t="n">
        <v>0</v>
      </c>
      <c r="M792" s="156" t="s">
        <v>192</v>
      </c>
      <c r="N792" s="1" t="n">
        <v>304</v>
      </c>
    </row>
    <row r="793" customFormat="false" ht="14.25" hidden="false" customHeight="false" outlineLevel="0" collapsed="false">
      <c r="A793" s="1" t="n">
        <v>97</v>
      </c>
      <c r="B793" s="1" t="s">
        <v>565</v>
      </c>
      <c r="C793" s="1" t="s">
        <v>566</v>
      </c>
      <c r="D793" s="196" t="n">
        <v>2568</v>
      </c>
      <c r="E793" s="196" t="s">
        <v>51</v>
      </c>
      <c r="F793" s="197" t="s">
        <v>577</v>
      </c>
      <c r="G793" s="198" t="s">
        <v>578</v>
      </c>
      <c r="H793" s="163" t="s">
        <v>427</v>
      </c>
      <c r="I793" s="161" t="n">
        <v>48</v>
      </c>
      <c r="J793" s="156" t="s">
        <v>192</v>
      </c>
      <c r="K793" s="199" t="n">
        <v>45435.6758333333</v>
      </c>
      <c r="L793" s="1" t="n">
        <v>1</v>
      </c>
      <c r="M793" s="156" t="s">
        <v>192</v>
      </c>
      <c r="N793" s="1" t="n">
        <v>305</v>
      </c>
    </row>
    <row r="794" customFormat="false" ht="14.25" hidden="false" customHeight="false" outlineLevel="0" collapsed="false">
      <c r="A794" s="1" t="n">
        <v>98</v>
      </c>
      <c r="B794" s="1" t="s">
        <v>565</v>
      </c>
      <c r="C794" s="1" t="s">
        <v>566</v>
      </c>
      <c r="D794" s="196" t="n">
        <v>2568</v>
      </c>
      <c r="E794" s="196" t="s">
        <v>51</v>
      </c>
      <c r="F794" s="197" t="s">
        <v>577</v>
      </c>
      <c r="G794" s="198" t="s">
        <v>578</v>
      </c>
      <c r="H794" s="163" t="s">
        <v>427</v>
      </c>
      <c r="I794" s="161" t="n">
        <v>48</v>
      </c>
      <c r="J794" s="156" t="s">
        <v>192</v>
      </c>
      <c r="K794" s="199" t="n">
        <v>45435.6758564815</v>
      </c>
      <c r="L794" s="1" t="n">
        <v>0</v>
      </c>
      <c r="M794" s="156" t="s">
        <v>192</v>
      </c>
      <c r="N794" s="1" t="n">
        <v>306</v>
      </c>
    </row>
    <row r="795" customFormat="false" ht="14.25" hidden="false" customHeight="false" outlineLevel="0" collapsed="false">
      <c r="A795" s="1" t="n">
        <v>99</v>
      </c>
      <c r="B795" s="1" t="s">
        <v>565</v>
      </c>
      <c r="C795" s="1" t="s">
        <v>566</v>
      </c>
      <c r="D795" s="196" t="n">
        <v>2568</v>
      </c>
      <c r="E795" s="196" t="s">
        <v>51</v>
      </c>
      <c r="F795" s="197" t="s">
        <v>595</v>
      </c>
      <c r="G795" s="198" t="s">
        <v>596</v>
      </c>
      <c r="H795" s="163" t="s">
        <v>534</v>
      </c>
      <c r="I795" s="161" t="n">
        <v>98</v>
      </c>
      <c r="J795" s="156" t="s">
        <v>192</v>
      </c>
      <c r="K795" s="199" t="n">
        <v>45435.6821643519</v>
      </c>
      <c r="L795" s="1" t="n">
        <v>1</v>
      </c>
      <c r="M795" s="156" t="s">
        <v>192</v>
      </c>
      <c r="N795" s="1" t="n">
        <v>307</v>
      </c>
    </row>
    <row r="796" customFormat="false" ht="14.25" hidden="false" customHeight="false" outlineLevel="0" collapsed="false">
      <c r="A796" s="1" t="n">
        <v>100</v>
      </c>
      <c r="B796" s="1" t="s">
        <v>565</v>
      </c>
      <c r="C796" s="1" t="s">
        <v>566</v>
      </c>
      <c r="D796" s="196" t="n">
        <v>2568</v>
      </c>
      <c r="E796" s="196" t="s">
        <v>51</v>
      </c>
      <c r="F796" s="197" t="s">
        <v>595</v>
      </c>
      <c r="G796" s="198" t="s">
        <v>596</v>
      </c>
      <c r="H796" s="163" t="s">
        <v>534</v>
      </c>
      <c r="I796" s="161" t="n">
        <v>98</v>
      </c>
      <c r="J796" s="156" t="s">
        <v>192</v>
      </c>
      <c r="K796" s="199" t="n">
        <v>45435.6821759259</v>
      </c>
      <c r="L796" s="1" t="n">
        <v>2</v>
      </c>
      <c r="M796" s="156" t="s">
        <v>192</v>
      </c>
      <c r="N796" s="1" t="n">
        <v>308</v>
      </c>
    </row>
    <row r="797" customFormat="false" ht="14.25" hidden="false" customHeight="false" outlineLevel="0" collapsed="false">
      <c r="A797" s="1" t="n">
        <v>101</v>
      </c>
      <c r="B797" s="1" t="s">
        <v>565</v>
      </c>
      <c r="C797" s="1" t="s">
        <v>566</v>
      </c>
      <c r="D797" s="196" t="n">
        <v>2568</v>
      </c>
      <c r="E797" s="196" t="s">
        <v>51</v>
      </c>
      <c r="F797" s="197" t="s">
        <v>595</v>
      </c>
      <c r="G797" s="198" t="s">
        <v>596</v>
      </c>
      <c r="H797" s="163" t="s">
        <v>534</v>
      </c>
      <c r="I797" s="161" t="n">
        <v>98</v>
      </c>
      <c r="J797" s="156" t="s">
        <v>192</v>
      </c>
      <c r="K797" s="199" t="n">
        <v>45435.6847106482</v>
      </c>
      <c r="L797" s="10" t="n">
        <v>114</v>
      </c>
      <c r="M797" s="156" t="s">
        <v>192</v>
      </c>
      <c r="N797" s="1" t="n">
        <v>309</v>
      </c>
    </row>
    <row r="798" customFormat="false" ht="14.25" hidden="false" customHeight="false" outlineLevel="0" collapsed="false">
      <c r="A798" s="1" t="n">
        <v>102</v>
      </c>
      <c r="B798" s="1" t="s">
        <v>565</v>
      </c>
      <c r="C798" s="1" t="s">
        <v>566</v>
      </c>
      <c r="D798" s="196" t="n">
        <v>2568</v>
      </c>
      <c r="E798" s="196" t="s">
        <v>51</v>
      </c>
      <c r="F798" s="197" t="s">
        <v>597</v>
      </c>
      <c r="G798" s="198" t="s">
        <v>598</v>
      </c>
      <c r="H798" s="163" t="s">
        <v>393</v>
      </c>
      <c r="I798" s="161" t="n">
        <v>83</v>
      </c>
      <c r="J798" s="156" t="s">
        <v>192</v>
      </c>
      <c r="K798" s="199" t="n">
        <v>45435.698587963</v>
      </c>
      <c r="L798" s="1" t="n">
        <v>0</v>
      </c>
      <c r="M798" s="156" t="s">
        <v>192</v>
      </c>
      <c r="N798" s="1" t="n">
        <v>310</v>
      </c>
    </row>
    <row r="799" customFormat="false" ht="14.25" hidden="false" customHeight="false" outlineLevel="0" collapsed="false">
      <c r="A799" s="1" t="n">
        <v>103</v>
      </c>
      <c r="B799" s="1" t="s">
        <v>565</v>
      </c>
      <c r="C799" s="1" t="s">
        <v>566</v>
      </c>
      <c r="D799" s="196" t="n">
        <v>2568</v>
      </c>
      <c r="E799" s="196" t="s">
        <v>51</v>
      </c>
      <c r="F799" s="197" t="s">
        <v>597</v>
      </c>
      <c r="G799" s="198" t="s">
        <v>598</v>
      </c>
      <c r="H799" s="163" t="s">
        <v>393</v>
      </c>
      <c r="I799" s="161" t="n">
        <v>83</v>
      </c>
      <c r="J799" s="156" t="s">
        <v>192</v>
      </c>
      <c r="K799" s="199" t="n">
        <v>45435.698599537</v>
      </c>
      <c r="L799" s="1" t="n">
        <v>1</v>
      </c>
      <c r="M799" s="156" t="s">
        <v>192</v>
      </c>
      <c r="N799" s="1" t="n">
        <v>311</v>
      </c>
    </row>
    <row r="800" customFormat="false" ht="14.25" hidden="false" customHeight="false" outlineLevel="0" collapsed="false">
      <c r="A800" s="1" t="n">
        <v>104</v>
      </c>
      <c r="B800" s="1" t="s">
        <v>565</v>
      </c>
      <c r="C800" s="1" t="s">
        <v>566</v>
      </c>
      <c r="D800" s="196" t="n">
        <v>2568</v>
      </c>
      <c r="E800" s="196" t="s">
        <v>51</v>
      </c>
      <c r="F800" s="197" t="s">
        <v>599</v>
      </c>
      <c r="G800" s="198" t="s">
        <v>600</v>
      </c>
      <c r="H800" s="163" t="s">
        <v>236</v>
      </c>
      <c r="I800" s="161" t="n">
        <v>7</v>
      </c>
      <c r="J800" s="156" t="s">
        <v>192</v>
      </c>
      <c r="K800" s="199" t="n">
        <v>45435.7126851852</v>
      </c>
      <c r="L800" s="1" t="n">
        <v>1</v>
      </c>
      <c r="M800" s="156" t="s">
        <v>192</v>
      </c>
      <c r="N800" s="1" t="n">
        <v>312</v>
      </c>
    </row>
    <row r="801" customFormat="false" ht="14.25" hidden="false" customHeight="false" outlineLevel="0" collapsed="false">
      <c r="A801" s="1" t="n">
        <v>66</v>
      </c>
      <c r="B801" s="1" t="s">
        <v>681</v>
      </c>
      <c r="C801" s="1" t="s">
        <v>682</v>
      </c>
      <c r="D801" s="1" t="n">
        <v>11197</v>
      </c>
      <c r="E801" s="1" t="s">
        <v>53</v>
      </c>
      <c r="F801" s="201" t="n">
        <v>200025889372</v>
      </c>
      <c r="G801" s="198" t="s">
        <v>697</v>
      </c>
      <c r="H801" s="163" t="s">
        <v>272</v>
      </c>
      <c r="I801" s="161" t="n">
        <v>81</v>
      </c>
      <c r="J801" s="156" t="s">
        <v>192</v>
      </c>
      <c r="K801" s="199" t="n">
        <v>45435.723275463</v>
      </c>
      <c r="L801" s="1" t="n">
        <v>1</v>
      </c>
      <c r="M801" s="156" t="s">
        <v>192</v>
      </c>
      <c r="N801" s="1" t="n">
        <v>313</v>
      </c>
    </row>
    <row r="802" customFormat="false" ht="14.25" hidden="false" customHeight="false" outlineLevel="0" collapsed="false">
      <c r="A802" s="1" t="n">
        <v>67</v>
      </c>
      <c r="B802" s="1" t="s">
        <v>681</v>
      </c>
      <c r="C802" s="1" t="s">
        <v>682</v>
      </c>
      <c r="D802" s="1" t="n">
        <v>11197</v>
      </c>
      <c r="E802" s="1" t="s">
        <v>53</v>
      </c>
      <c r="F802" s="201" t="n">
        <v>200025888944</v>
      </c>
      <c r="G802" s="198" t="s">
        <v>602</v>
      </c>
      <c r="H802" s="163" t="s">
        <v>480</v>
      </c>
      <c r="I802" s="161" t="n">
        <v>110</v>
      </c>
      <c r="J802" s="156" t="s">
        <v>192</v>
      </c>
      <c r="K802" s="199" t="n">
        <v>45435.73</v>
      </c>
      <c r="L802" s="1" t="n">
        <v>1</v>
      </c>
      <c r="M802" s="156" t="s">
        <v>192</v>
      </c>
      <c r="N802" s="1" t="n">
        <v>314</v>
      </c>
    </row>
    <row r="803" customFormat="false" ht="14.25" hidden="false" customHeight="false" outlineLevel="0" collapsed="false">
      <c r="A803" s="1" t="n">
        <v>68</v>
      </c>
      <c r="B803" s="1" t="s">
        <v>681</v>
      </c>
      <c r="C803" s="1" t="s">
        <v>682</v>
      </c>
      <c r="D803" s="1" t="n">
        <v>11197</v>
      </c>
      <c r="E803" s="1" t="s">
        <v>53</v>
      </c>
      <c r="F803" s="201" t="n">
        <v>200025888944</v>
      </c>
      <c r="G803" s="198" t="s">
        <v>602</v>
      </c>
      <c r="H803" s="163" t="s">
        <v>480</v>
      </c>
      <c r="I803" s="161" t="n">
        <v>110</v>
      </c>
      <c r="J803" s="156" t="s">
        <v>192</v>
      </c>
      <c r="K803" s="199" t="n">
        <v>45435.7307523148</v>
      </c>
      <c r="L803" s="1" t="n">
        <v>1</v>
      </c>
      <c r="M803" s="156" t="s">
        <v>192</v>
      </c>
      <c r="N803" s="1" t="n">
        <v>315</v>
      </c>
    </row>
    <row r="804" customFormat="false" ht="14.25" hidden="false" customHeight="false" outlineLevel="0" collapsed="false">
      <c r="A804" s="1" t="n">
        <v>69</v>
      </c>
      <c r="B804" s="1" t="s">
        <v>681</v>
      </c>
      <c r="C804" s="1" t="s">
        <v>682</v>
      </c>
      <c r="D804" s="1" t="n">
        <v>11197</v>
      </c>
      <c r="E804" s="1" t="s">
        <v>53</v>
      </c>
      <c r="F804" s="201" t="n">
        <v>200025888790</v>
      </c>
      <c r="G804" s="198" t="s">
        <v>588</v>
      </c>
      <c r="H804" s="163" t="s">
        <v>442</v>
      </c>
      <c r="I804" s="161" t="n">
        <v>117</v>
      </c>
      <c r="J804" s="156" t="s">
        <v>192</v>
      </c>
      <c r="K804" s="199" t="n">
        <v>45435.7559027778</v>
      </c>
      <c r="L804" s="1" t="n">
        <v>1</v>
      </c>
      <c r="M804" s="156" t="s">
        <v>192</v>
      </c>
      <c r="N804" s="1" t="n">
        <v>316</v>
      </c>
    </row>
    <row r="805" customFormat="false" ht="14.25" hidden="false" customHeight="false" outlineLevel="0" collapsed="false">
      <c r="A805" s="1" t="n">
        <v>70</v>
      </c>
      <c r="B805" s="1" t="s">
        <v>681</v>
      </c>
      <c r="C805" s="1" t="s">
        <v>682</v>
      </c>
      <c r="D805" s="1" t="n">
        <v>11197</v>
      </c>
      <c r="E805" s="1" t="s">
        <v>53</v>
      </c>
      <c r="F805" s="201" t="n">
        <v>200025888790</v>
      </c>
      <c r="G805" s="198" t="s">
        <v>588</v>
      </c>
      <c r="H805" s="163" t="s">
        <v>442</v>
      </c>
      <c r="I805" s="161" t="n">
        <v>117</v>
      </c>
      <c r="J805" s="156" t="s">
        <v>192</v>
      </c>
      <c r="K805" s="199" t="n">
        <v>45435.7559143519</v>
      </c>
      <c r="L805" s="1" t="n">
        <v>3</v>
      </c>
      <c r="M805" s="156" t="s">
        <v>192</v>
      </c>
      <c r="N805" s="1" t="n">
        <v>317</v>
      </c>
    </row>
    <row r="806" customFormat="false" ht="14.25" hidden="false" customHeight="false" outlineLevel="0" collapsed="false">
      <c r="A806" s="1" t="n">
        <v>71</v>
      </c>
      <c r="B806" s="1" t="s">
        <v>681</v>
      </c>
      <c r="C806" s="1" t="s">
        <v>682</v>
      </c>
      <c r="D806" s="1" t="n">
        <v>11197</v>
      </c>
      <c r="E806" s="1" t="s">
        <v>53</v>
      </c>
      <c r="F806" s="201" t="n">
        <v>200025888606</v>
      </c>
      <c r="G806" s="198" t="s">
        <v>576</v>
      </c>
      <c r="H806" s="163" t="s">
        <v>366</v>
      </c>
      <c r="I806" s="161" t="n">
        <v>28</v>
      </c>
      <c r="J806" s="156" t="s">
        <v>192</v>
      </c>
      <c r="K806" s="200" t="n">
        <v>45435.7628472222</v>
      </c>
      <c r="L806" s="1" t="n">
        <v>2</v>
      </c>
      <c r="M806" s="156" t="s">
        <v>192</v>
      </c>
      <c r="N806" s="1" t="n">
        <v>318</v>
      </c>
    </row>
    <row r="807" customFormat="false" ht="14.25" hidden="false" customHeight="false" outlineLevel="0" collapsed="false">
      <c r="A807" s="1" t="n">
        <v>72</v>
      </c>
      <c r="B807" s="1" t="s">
        <v>681</v>
      </c>
      <c r="C807" s="1" t="s">
        <v>682</v>
      </c>
      <c r="D807" s="1" t="n">
        <v>11197</v>
      </c>
      <c r="E807" s="1" t="s">
        <v>53</v>
      </c>
      <c r="F807" s="201" t="n">
        <v>200025888606</v>
      </c>
      <c r="G807" s="198" t="s">
        <v>576</v>
      </c>
      <c r="H807" s="163" t="s">
        <v>366</v>
      </c>
      <c r="I807" s="161" t="n">
        <v>28</v>
      </c>
      <c r="J807" s="156" t="s">
        <v>192</v>
      </c>
      <c r="K807" s="200" t="n">
        <v>45435.7642476852</v>
      </c>
      <c r="L807" s="1" t="n">
        <v>2</v>
      </c>
      <c r="M807" s="156" t="s">
        <v>192</v>
      </c>
      <c r="N807" s="1" t="n">
        <v>319</v>
      </c>
    </row>
    <row r="808" customFormat="false" ht="14.25" hidden="false" customHeight="false" outlineLevel="0" collapsed="false">
      <c r="A808" s="1" t="n">
        <v>105</v>
      </c>
      <c r="B808" s="1" t="s">
        <v>565</v>
      </c>
      <c r="C808" s="1" t="s">
        <v>566</v>
      </c>
      <c r="D808" s="196" t="n">
        <v>2568</v>
      </c>
      <c r="E808" s="196" t="s">
        <v>51</v>
      </c>
      <c r="F808" s="197" t="s">
        <v>575</v>
      </c>
      <c r="G808" s="198" t="s">
        <v>576</v>
      </c>
      <c r="H808" s="163" t="s">
        <v>366</v>
      </c>
      <c r="I808" s="161" t="n">
        <v>28</v>
      </c>
      <c r="J808" s="156" t="s">
        <v>192</v>
      </c>
      <c r="K808" s="199" t="n">
        <v>45435.7697106482</v>
      </c>
      <c r="L808" s="1" t="n">
        <v>2</v>
      </c>
      <c r="M808" s="156" t="s">
        <v>192</v>
      </c>
      <c r="N808" s="1" t="n">
        <v>320</v>
      </c>
    </row>
    <row r="809" customFormat="false" ht="14.25" hidden="false" customHeight="false" outlineLevel="0" collapsed="false">
      <c r="A809" s="1" t="n">
        <v>73</v>
      </c>
      <c r="B809" s="1" t="s">
        <v>681</v>
      </c>
      <c r="C809" s="1" t="s">
        <v>682</v>
      </c>
      <c r="D809" s="1" t="n">
        <v>11197</v>
      </c>
      <c r="E809" s="1" t="s">
        <v>53</v>
      </c>
      <c r="F809" s="201" t="n">
        <v>200025888790</v>
      </c>
      <c r="G809" s="198" t="s">
        <v>588</v>
      </c>
      <c r="H809" s="163" t="s">
        <v>442</v>
      </c>
      <c r="I809" s="161" t="n">
        <v>117</v>
      </c>
      <c r="J809" s="156" t="s">
        <v>192</v>
      </c>
      <c r="K809" s="200" t="n">
        <v>45435.7729976852</v>
      </c>
      <c r="L809" s="1" t="n">
        <v>2</v>
      </c>
      <c r="M809" s="156" t="s">
        <v>192</v>
      </c>
      <c r="N809" s="1" t="n">
        <v>321</v>
      </c>
    </row>
    <row r="810" customFormat="false" ht="14.25" hidden="false" customHeight="false" outlineLevel="0" collapsed="false">
      <c r="A810" s="1" t="n">
        <v>74</v>
      </c>
      <c r="B810" s="1" t="s">
        <v>681</v>
      </c>
      <c r="C810" s="1" t="s">
        <v>682</v>
      </c>
      <c r="D810" s="1" t="n">
        <v>11197</v>
      </c>
      <c r="E810" s="1" t="s">
        <v>53</v>
      </c>
      <c r="F810" s="201" t="n">
        <v>200025888790</v>
      </c>
      <c r="G810" s="198" t="s">
        <v>588</v>
      </c>
      <c r="H810" s="163" t="s">
        <v>442</v>
      </c>
      <c r="I810" s="161" t="n">
        <v>117</v>
      </c>
      <c r="J810" s="156" t="s">
        <v>192</v>
      </c>
      <c r="K810" s="200" t="n">
        <v>45435.7747222222</v>
      </c>
      <c r="L810" s="1" t="n">
        <v>1</v>
      </c>
      <c r="M810" s="156" t="s">
        <v>192</v>
      </c>
      <c r="N810" s="1" t="n">
        <v>322</v>
      </c>
    </row>
    <row r="811" customFormat="false" ht="14.25" hidden="false" customHeight="false" outlineLevel="0" collapsed="false">
      <c r="A811" s="1" t="n">
        <v>106</v>
      </c>
      <c r="B811" s="1" t="s">
        <v>565</v>
      </c>
      <c r="C811" s="1" t="s">
        <v>566</v>
      </c>
      <c r="D811" s="196" t="n">
        <v>2568</v>
      </c>
      <c r="E811" s="196" t="s">
        <v>51</v>
      </c>
      <c r="F811" s="197" t="s">
        <v>601</v>
      </c>
      <c r="G811" s="198" t="s">
        <v>602</v>
      </c>
      <c r="H811" s="163" t="s">
        <v>480</v>
      </c>
      <c r="I811" s="161" t="n">
        <v>110</v>
      </c>
      <c r="J811" s="156" t="s">
        <v>192</v>
      </c>
      <c r="K811" s="199" t="n">
        <v>45435.7751041667</v>
      </c>
      <c r="L811" s="1" t="n">
        <v>1</v>
      </c>
      <c r="M811" s="156" t="s">
        <v>192</v>
      </c>
      <c r="N811" s="1" t="n">
        <v>323</v>
      </c>
    </row>
    <row r="812" customFormat="false" ht="14.25" hidden="false" customHeight="false" outlineLevel="0" collapsed="false">
      <c r="A812" s="1" t="n">
        <v>107</v>
      </c>
      <c r="B812" s="1" t="s">
        <v>565</v>
      </c>
      <c r="C812" s="1" t="s">
        <v>566</v>
      </c>
      <c r="D812" s="196" t="n">
        <v>2568</v>
      </c>
      <c r="E812" s="196" t="s">
        <v>51</v>
      </c>
      <c r="F812" s="197" t="s">
        <v>601</v>
      </c>
      <c r="G812" s="198" t="s">
        <v>602</v>
      </c>
      <c r="H812" s="163" t="s">
        <v>480</v>
      </c>
      <c r="I812" s="161" t="n">
        <v>110</v>
      </c>
      <c r="J812" s="156" t="s">
        <v>192</v>
      </c>
      <c r="K812" s="199" t="n">
        <v>45435.7751157407</v>
      </c>
      <c r="L812" s="1" t="n">
        <v>1</v>
      </c>
      <c r="M812" s="156" t="s">
        <v>192</v>
      </c>
      <c r="N812" s="1" t="n">
        <v>324</v>
      </c>
    </row>
    <row r="813" customFormat="false" ht="14.25" hidden="false" customHeight="false" outlineLevel="0" collapsed="false">
      <c r="A813" s="1" t="n">
        <v>75</v>
      </c>
      <c r="B813" s="1" t="s">
        <v>681</v>
      </c>
      <c r="C813" s="1" t="s">
        <v>682</v>
      </c>
      <c r="D813" s="1" t="n">
        <v>11197</v>
      </c>
      <c r="E813" s="1" t="s">
        <v>53</v>
      </c>
      <c r="F813" s="201" t="n">
        <v>200025889394</v>
      </c>
      <c r="G813" s="198" t="s">
        <v>662</v>
      </c>
      <c r="H813" s="163" t="s">
        <v>543</v>
      </c>
      <c r="I813" s="161" t="n">
        <v>120</v>
      </c>
      <c r="J813" s="156" t="s">
        <v>192</v>
      </c>
      <c r="K813" s="200" t="n">
        <v>45435.7766550926</v>
      </c>
      <c r="L813" s="1" t="n">
        <v>1</v>
      </c>
      <c r="M813" s="156" t="s">
        <v>192</v>
      </c>
      <c r="N813" s="1" t="n">
        <v>325</v>
      </c>
    </row>
    <row r="814" customFormat="false" ht="14.25" hidden="false" customHeight="false" outlineLevel="0" collapsed="false">
      <c r="A814" s="1" t="n">
        <v>76</v>
      </c>
      <c r="B814" s="1" t="s">
        <v>681</v>
      </c>
      <c r="C814" s="1" t="s">
        <v>682</v>
      </c>
      <c r="D814" s="1" t="n">
        <v>11197</v>
      </c>
      <c r="E814" s="1" t="s">
        <v>53</v>
      </c>
      <c r="F814" s="201" t="n">
        <v>200025889394</v>
      </c>
      <c r="G814" s="198" t="s">
        <v>662</v>
      </c>
      <c r="H814" s="163" t="s">
        <v>543</v>
      </c>
      <c r="I814" s="161" t="n">
        <v>120</v>
      </c>
      <c r="J814" s="156" t="s">
        <v>192</v>
      </c>
      <c r="K814" s="200" t="n">
        <v>45435.7766666667</v>
      </c>
      <c r="L814" s="1" t="n">
        <v>0</v>
      </c>
      <c r="M814" s="156" t="s">
        <v>192</v>
      </c>
      <c r="N814" s="1" t="n">
        <v>326</v>
      </c>
    </row>
    <row r="815" customFormat="false" ht="14.25" hidden="false" customHeight="false" outlineLevel="0" collapsed="false">
      <c r="A815" s="1" t="n">
        <v>77</v>
      </c>
      <c r="B815" s="1" t="s">
        <v>681</v>
      </c>
      <c r="C815" s="1" t="s">
        <v>682</v>
      </c>
      <c r="D815" s="1" t="n">
        <v>11197</v>
      </c>
      <c r="E815" s="1" t="s">
        <v>53</v>
      </c>
      <c r="F815" s="201" t="n">
        <v>200025889127</v>
      </c>
      <c r="G815" s="198" t="s">
        <v>692</v>
      </c>
      <c r="H815" s="163" t="s">
        <v>507</v>
      </c>
      <c r="I815" s="161" t="n">
        <v>86</v>
      </c>
      <c r="J815" s="156" t="s">
        <v>192</v>
      </c>
      <c r="K815" s="200" t="n">
        <v>45435.7780324074</v>
      </c>
      <c r="L815" s="1" t="n">
        <v>0</v>
      </c>
      <c r="M815" s="156" t="s">
        <v>192</v>
      </c>
      <c r="N815" s="1" t="n">
        <v>327</v>
      </c>
    </row>
    <row r="816" customFormat="false" ht="14.25" hidden="false" customHeight="false" outlineLevel="0" collapsed="false">
      <c r="A816" s="1" t="n">
        <v>78</v>
      </c>
      <c r="B816" s="1" t="s">
        <v>681</v>
      </c>
      <c r="C816" s="1" t="s">
        <v>682</v>
      </c>
      <c r="D816" s="1" t="n">
        <v>11197</v>
      </c>
      <c r="E816" s="1" t="s">
        <v>53</v>
      </c>
      <c r="F816" s="201" t="n">
        <v>200025889127</v>
      </c>
      <c r="G816" s="198" t="s">
        <v>692</v>
      </c>
      <c r="H816" s="163" t="s">
        <v>507</v>
      </c>
      <c r="I816" s="161" t="n">
        <v>86</v>
      </c>
      <c r="J816" s="156" t="s">
        <v>192</v>
      </c>
      <c r="K816" s="200" t="n">
        <v>45435.7780324074</v>
      </c>
      <c r="L816" s="10" t="n">
        <v>728</v>
      </c>
      <c r="M816" s="156" t="s">
        <v>192</v>
      </c>
      <c r="N816" s="1" t="n">
        <v>328</v>
      </c>
    </row>
    <row r="817" customFormat="false" ht="14.25" hidden="false" customHeight="false" outlineLevel="0" collapsed="false">
      <c r="A817" s="1" t="n">
        <v>108</v>
      </c>
      <c r="B817" s="1" t="s">
        <v>565</v>
      </c>
      <c r="C817" s="1" t="s">
        <v>566</v>
      </c>
      <c r="D817" s="196" t="n">
        <v>2568</v>
      </c>
      <c r="E817" s="196" t="s">
        <v>51</v>
      </c>
      <c r="F817" s="197" t="s">
        <v>599</v>
      </c>
      <c r="G817" s="198" t="s">
        <v>600</v>
      </c>
      <c r="H817" s="163" t="s">
        <v>236</v>
      </c>
      <c r="I817" s="161" t="n">
        <v>7</v>
      </c>
      <c r="J817" s="156" t="s">
        <v>192</v>
      </c>
      <c r="K817" s="199" t="n">
        <v>45435.7821412037</v>
      </c>
      <c r="L817" s="1" t="n">
        <v>1</v>
      </c>
      <c r="M817" s="156" t="s">
        <v>192</v>
      </c>
      <c r="N817" s="1" t="n">
        <v>329</v>
      </c>
    </row>
    <row r="818" customFormat="false" ht="14.25" hidden="false" customHeight="false" outlineLevel="0" collapsed="false">
      <c r="A818" s="1" t="n">
        <v>109</v>
      </c>
      <c r="B818" s="1" t="s">
        <v>565</v>
      </c>
      <c r="C818" s="1" t="s">
        <v>566</v>
      </c>
      <c r="D818" s="196" t="n">
        <v>2568</v>
      </c>
      <c r="E818" s="196" t="s">
        <v>51</v>
      </c>
      <c r="F818" s="197" t="s">
        <v>603</v>
      </c>
      <c r="G818" s="198" t="s">
        <v>604</v>
      </c>
      <c r="H818" s="163" t="s">
        <v>489</v>
      </c>
      <c r="I818" s="161" t="n">
        <v>82</v>
      </c>
      <c r="J818" s="156" t="s">
        <v>192</v>
      </c>
      <c r="K818" s="199" t="n">
        <v>45435.7838541667</v>
      </c>
      <c r="L818" s="1" t="n">
        <v>0</v>
      </c>
      <c r="M818" s="156" t="s">
        <v>192</v>
      </c>
      <c r="N818" s="1" t="n">
        <v>330</v>
      </c>
    </row>
    <row r="819" customFormat="false" ht="14.25" hidden="false" customHeight="false" outlineLevel="0" collapsed="false">
      <c r="A819" s="1" t="n">
        <v>110</v>
      </c>
      <c r="B819" s="1" t="s">
        <v>565</v>
      </c>
      <c r="C819" s="1" t="s">
        <v>566</v>
      </c>
      <c r="D819" s="196" t="n">
        <v>2568</v>
      </c>
      <c r="E819" s="196" t="s">
        <v>51</v>
      </c>
      <c r="F819" s="197" t="s">
        <v>575</v>
      </c>
      <c r="G819" s="198" t="s">
        <v>576</v>
      </c>
      <c r="H819" s="163" t="s">
        <v>366</v>
      </c>
      <c r="I819" s="161" t="n">
        <v>28</v>
      </c>
      <c r="J819" s="156" t="s">
        <v>192</v>
      </c>
      <c r="K819" s="199" t="n">
        <v>45435.7864699074</v>
      </c>
      <c r="L819" s="10" t="n">
        <v>197</v>
      </c>
      <c r="M819" s="156" t="s">
        <v>192</v>
      </c>
      <c r="N819" s="1" t="n">
        <v>331</v>
      </c>
    </row>
    <row r="820" customFormat="false" ht="14.25" hidden="false" customHeight="false" outlineLevel="0" collapsed="false">
      <c r="A820" s="1" t="n">
        <v>111</v>
      </c>
      <c r="B820" s="1" t="s">
        <v>565</v>
      </c>
      <c r="C820" s="1" t="s">
        <v>566</v>
      </c>
      <c r="D820" s="196" t="n">
        <v>2568</v>
      </c>
      <c r="E820" s="196" t="s">
        <v>51</v>
      </c>
      <c r="F820" s="197" t="s">
        <v>575</v>
      </c>
      <c r="G820" s="198" t="s">
        <v>576</v>
      </c>
      <c r="H820" s="163" t="s">
        <v>366</v>
      </c>
      <c r="I820" s="161" t="n">
        <v>28</v>
      </c>
      <c r="J820" s="156" t="s">
        <v>192</v>
      </c>
      <c r="K820" s="199" t="n">
        <v>45435.7887731481</v>
      </c>
      <c r="L820" s="1" t="n">
        <v>33</v>
      </c>
      <c r="M820" s="156" t="s">
        <v>192</v>
      </c>
      <c r="N820" s="1" t="n">
        <v>332</v>
      </c>
    </row>
    <row r="821" customFormat="false" ht="14.25" hidden="false" customHeight="false" outlineLevel="0" collapsed="false">
      <c r="A821" s="1" t="n">
        <v>112</v>
      </c>
      <c r="B821" s="1" t="s">
        <v>565</v>
      </c>
      <c r="C821" s="1" t="s">
        <v>566</v>
      </c>
      <c r="D821" s="196" t="n">
        <v>2568</v>
      </c>
      <c r="E821" s="196" t="s">
        <v>51</v>
      </c>
      <c r="F821" s="197" t="s">
        <v>597</v>
      </c>
      <c r="G821" s="198" t="s">
        <v>598</v>
      </c>
      <c r="H821" s="163" t="s">
        <v>393</v>
      </c>
      <c r="I821" s="161" t="n">
        <v>83</v>
      </c>
      <c r="J821" s="156" t="s">
        <v>192</v>
      </c>
      <c r="K821" s="199" t="n">
        <v>45435.7913310185</v>
      </c>
      <c r="L821" s="1" t="n">
        <v>1</v>
      </c>
      <c r="M821" s="156" t="s">
        <v>192</v>
      </c>
      <c r="N821" s="1" t="n">
        <v>333</v>
      </c>
    </row>
    <row r="822" customFormat="false" ht="14.25" hidden="false" customHeight="false" outlineLevel="0" collapsed="false">
      <c r="A822" s="154" t="n">
        <v>103</v>
      </c>
      <c r="B822" s="154" t="s">
        <v>681</v>
      </c>
      <c r="C822" s="154" t="s">
        <v>682</v>
      </c>
      <c r="D822" s="154" t="n">
        <v>11197</v>
      </c>
      <c r="E822" s="1" t="s">
        <v>53</v>
      </c>
      <c r="F822" s="202" t="n">
        <v>200025888617</v>
      </c>
      <c r="G822" s="198" t="s">
        <v>662</v>
      </c>
      <c r="H822" s="188" t="s">
        <v>543</v>
      </c>
      <c r="I822" s="203" t="n">
        <v>120</v>
      </c>
      <c r="J822" s="204" t="s">
        <v>192</v>
      </c>
      <c r="K822" s="205" t="n">
        <v>45435.7987152778</v>
      </c>
      <c r="L822" s="154" t="n">
        <v>0</v>
      </c>
      <c r="M822" s="204" t="s">
        <v>192</v>
      </c>
      <c r="N822" s="1" t="n">
        <v>334</v>
      </c>
    </row>
    <row r="823" customFormat="false" ht="14.25" hidden="false" customHeight="false" outlineLevel="0" collapsed="false">
      <c r="A823" s="154" t="n">
        <v>104</v>
      </c>
      <c r="B823" s="154" t="s">
        <v>681</v>
      </c>
      <c r="C823" s="154" t="s">
        <v>682</v>
      </c>
      <c r="D823" s="154" t="n">
        <v>11197</v>
      </c>
      <c r="E823" s="1" t="s">
        <v>53</v>
      </c>
      <c r="F823" s="202" t="n">
        <v>200025888617</v>
      </c>
      <c r="G823" s="198" t="s">
        <v>662</v>
      </c>
      <c r="H823" s="188" t="s">
        <v>543</v>
      </c>
      <c r="I823" s="203" t="n">
        <v>120</v>
      </c>
      <c r="J823" s="204" t="s">
        <v>192</v>
      </c>
      <c r="K823" s="205" t="n">
        <v>45435.7987152778</v>
      </c>
      <c r="L823" s="154" t="n">
        <v>0</v>
      </c>
      <c r="M823" s="204" t="s">
        <v>192</v>
      </c>
      <c r="N823" s="1" t="n">
        <v>335</v>
      </c>
    </row>
    <row r="824" customFormat="false" ht="14.25" hidden="false" customHeight="false" outlineLevel="0" collapsed="false">
      <c r="A824" s="154" t="n">
        <v>83</v>
      </c>
      <c r="B824" s="154" t="s">
        <v>681</v>
      </c>
      <c r="C824" s="154" t="s">
        <v>682</v>
      </c>
      <c r="D824" s="154" t="n">
        <v>11197</v>
      </c>
      <c r="E824" s="1" t="s">
        <v>53</v>
      </c>
      <c r="F824" s="202" t="n">
        <v>200025888790</v>
      </c>
      <c r="G824" s="198" t="s">
        <v>662</v>
      </c>
      <c r="H824" s="188" t="s">
        <v>543</v>
      </c>
      <c r="I824" s="203" t="n">
        <v>120</v>
      </c>
      <c r="J824" s="204" t="s">
        <v>192</v>
      </c>
      <c r="K824" s="205" t="n">
        <v>45435.7987152778</v>
      </c>
      <c r="L824" s="154" t="n">
        <v>0</v>
      </c>
      <c r="M824" s="204" t="s">
        <v>192</v>
      </c>
      <c r="N824" s="1" t="n">
        <v>336</v>
      </c>
    </row>
    <row r="825" customFormat="false" ht="14.25" hidden="false" customHeight="false" outlineLevel="0" collapsed="false">
      <c r="A825" s="154" t="n">
        <v>84</v>
      </c>
      <c r="B825" s="154" t="s">
        <v>681</v>
      </c>
      <c r="C825" s="154" t="s">
        <v>682</v>
      </c>
      <c r="D825" s="154" t="n">
        <v>11197</v>
      </c>
      <c r="E825" s="1" t="s">
        <v>53</v>
      </c>
      <c r="F825" s="202" t="n">
        <v>200025888790</v>
      </c>
      <c r="G825" s="198" t="s">
        <v>662</v>
      </c>
      <c r="H825" s="188" t="s">
        <v>543</v>
      </c>
      <c r="I825" s="203" t="n">
        <v>120</v>
      </c>
      <c r="J825" s="204" t="s">
        <v>192</v>
      </c>
      <c r="K825" s="205" t="n">
        <v>45435.7987152778</v>
      </c>
      <c r="L825" s="154" t="n">
        <v>0</v>
      </c>
      <c r="M825" s="204" t="s">
        <v>192</v>
      </c>
      <c r="N825" s="1" t="n">
        <v>337</v>
      </c>
    </row>
    <row r="826" customFormat="false" ht="14.25" hidden="false" customHeight="false" outlineLevel="0" collapsed="false">
      <c r="A826" s="154" t="n">
        <v>85</v>
      </c>
      <c r="B826" s="154" t="s">
        <v>681</v>
      </c>
      <c r="C826" s="154" t="s">
        <v>682</v>
      </c>
      <c r="D826" s="154" t="n">
        <v>11197</v>
      </c>
      <c r="E826" s="1" t="s">
        <v>53</v>
      </c>
      <c r="F826" s="202" t="n">
        <v>200025888790</v>
      </c>
      <c r="G826" s="198" t="s">
        <v>582</v>
      </c>
      <c r="H826" s="188" t="s">
        <v>378</v>
      </c>
      <c r="I826" s="203" t="n">
        <v>29</v>
      </c>
      <c r="J826" s="204" t="s">
        <v>192</v>
      </c>
      <c r="K826" s="206" t="n">
        <v>45435.7987152778</v>
      </c>
      <c r="L826" s="154" t="n">
        <v>0</v>
      </c>
      <c r="M826" s="204" t="s">
        <v>192</v>
      </c>
      <c r="N826" s="1" t="n">
        <v>338</v>
      </c>
    </row>
    <row r="827" customFormat="false" ht="14.25" hidden="false" customHeight="false" outlineLevel="0" collapsed="false">
      <c r="A827" s="154" t="n">
        <v>87</v>
      </c>
      <c r="B827" s="154" t="s">
        <v>681</v>
      </c>
      <c r="C827" s="154" t="s">
        <v>682</v>
      </c>
      <c r="D827" s="154" t="n">
        <v>11197</v>
      </c>
      <c r="E827" s="1" t="s">
        <v>53</v>
      </c>
      <c r="F827" s="202" t="n">
        <v>200025888790</v>
      </c>
      <c r="G827" s="198" t="s">
        <v>588</v>
      </c>
      <c r="H827" s="188" t="s">
        <v>442</v>
      </c>
      <c r="I827" s="203" t="n">
        <v>117</v>
      </c>
      <c r="J827" s="204" t="s">
        <v>192</v>
      </c>
      <c r="K827" s="206" t="n">
        <v>45435.7987152778</v>
      </c>
      <c r="L827" s="154" t="n">
        <v>0</v>
      </c>
      <c r="M827" s="204" t="s">
        <v>192</v>
      </c>
      <c r="N827" s="1" t="n">
        <v>340</v>
      </c>
    </row>
    <row r="828" customFormat="false" ht="14.25" hidden="false" customHeight="false" outlineLevel="0" collapsed="false">
      <c r="A828" s="154" t="n">
        <v>88</v>
      </c>
      <c r="B828" s="154" t="s">
        <v>681</v>
      </c>
      <c r="C828" s="154" t="s">
        <v>682</v>
      </c>
      <c r="D828" s="154" t="n">
        <v>11197</v>
      </c>
      <c r="E828" s="1" t="s">
        <v>53</v>
      </c>
      <c r="F828" s="202" t="n">
        <v>200025888790</v>
      </c>
      <c r="G828" s="198" t="s">
        <v>588</v>
      </c>
      <c r="H828" s="188" t="s">
        <v>442</v>
      </c>
      <c r="I828" s="203" t="n">
        <v>117</v>
      </c>
      <c r="J828" s="204" t="s">
        <v>192</v>
      </c>
      <c r="K828" s="206" t="n">
        <v>45435.7987152778</v>
      </c>
      <c r="L828" s="154" t="n">
        <v>0</v>
      </c>
      <c r="M828" s="204" t="s">
        <v>192</v>
      </c>
      <c r="N828" s="1" t="n">
        <v>341</v>
      </c>
    </row>
    <row r="829" customFormat="false" ht="14.25" hidden="false" customHeight="false" outlineLevel="0" collapsed="false">
      <c r="A829" s="154" t="n">
        <v>89</v>
      </c>
      <c r="B829" s="154" t="s">
        <v>681</v>
      </c>
      <c r="C829" s="154" t="s">
        <v>682</v>
      </c>
      <c r="D829" s="154" t="n">
        <v>11197</v>
      </c>
      <c r="E829" s="1" t="s">
        <v>53</v>
      </c>
      <c r="F829" s="202" t="n">
        <v>200025888790</v>
      </c>
      <c r="G829" s="198" t="s">
        <v>588</v>
      </c>
      <c r="H829" s="188" t="s">
        <v>442</v>
      </c>
      <c r="I829" s="203" t="n">
        <v>117</v>
      </c>
      <c r="J829" s="204" t="s">
        <v>192</v>
      </c>
      <c r="K829" s="206" t="n">
        <v>45435.7987152778</v>
      </c>
      <c r="L829" s="154" t="n">
        <v>0</v>
      </c>
      <c r="M829" s="204" t="s">
        <v>192</v>
      </c>
      <c r="N829" s="1" t="n">
        <v>342</v>
      </c>
    </row>
    <row r="830" customFormat="false" ht="14.25" hidden="false" customHeight="false" outlineLevel="0" collapsed="false">
      <c r="A830" s="154" t="n">
        <v>90</v>
      </c>
      <c r="B830" s="154" t="s">
        <v>681</v>
      </c>
      <c r="C830" s="154" t="s">
        <v>682</v>
      </c>
      <c r="D830" s="154" t="n">
        <v>11197</v>
      </c>
      <c r="E830" s="1" t="s">
        <v>53</v>
      </c>
      <c r="F830" s="202" t="n">
        <v>200025888790</v>
      </c>
      <c r="G830" s="198" t="s">
        <v>588</v>
      </c>
      <c r="H830" s="188" t="s">
        <v>442</v>
      </c>
      <c r="I830" s="203" t="n">
        <v>117</v>
      </c>
      <c r="J830" s="204" t="s">
        <v>192</v>
      </c>
      <c r="K830" s="205" t="n">
        <v>45435.7987152778</v>
      </c>
      <c r="L830" s="154" t="n">
        <v>0</v>
      </c>
      <c r="M830" s="204" t="s">
        <v>192</v>
      </c>
      <c r="N830" s="1" t="n">
        <v>343</v>
      </c>
    </row>
    <row r="831" customFormat="false" ht="14.25" hidden="false" customHeight="false" outlineLevel="0" collapsed="false">
      <c r="A831" s="154" t="n">
        <v>91</v>
      </c>
      <c r="B831" s="154" t="s">
        <v>681</v>
      </c>
      <c r="C831" s="154" t="s">
        <v>682</v>
      </c>
      <c r="D831" s="154" t="n">
        <v>11197</v>
      </c>
      <c r="E831" s="1" t="s">
        <v>53</v>
      </c>
      <c r="F831" s="202" t="n">
        <v>200025888790</v>
      </c>
      <c r="G831" s="198" t="s">
        <v>588</v>
      </c>
      <c r="H831" s="188" t="s">
        <v>442</v>
      </c>
      <c r="I831" s="203" t="n">
        <v>117</v>
      </c>
      <c r="J831" s="204" t="s">
        <v>192</v>
      </c>
      <c r="K831" s="205" t="n">
        <v>45435.7987152778</v>
      </c>
      <c r="L831" s="154" t="n">
        <v>0</v>
      </c>
      <c r="M831" s="204" t="s">
        <v>192</v>
      </c>
      <c r="N831" s="1" t="n">
        <v>344</v>
      </c>
    </row>
    <row r="832" customFormat="false" ht="14.25" hidden="false" customHeight="false" outlineLevel="0" collapsed="false">
      <c r="A832" s="154" t="n">
        <v>92</v>
      </c>
      <c r="B832" s="154" t="s">
        <v>681</v>
      </c>
      <c r="C832" s="154" t="s">
        <v>682</v>
      </c>
      <c r="D832" s="154" t="n">
        <v>11197</v>
      </c>
      <c r="E832" s="1" t="s">
        <v>53</v>
      </c>
      <c r="F832" s="202" t="n">
        <v>200025888790</v>
      </c>
      <c r="G832" s="198" t="s">
        <v>588</v>
      </c>
      <c r="H832" s="188" t="s">
        <v>442</v>
      </c>
      <c r="I832" s="203" t="n">
        <v>117</v>
      </c>
      <c r="J832" s="204" t="s">
        <v>192</v>
      </c>
      <c r="K832" s="206" t="n">
        <v>45435.7987152778</v>
      </c>
      <c r="L832" s="154" t="n">
        <v>0</v>
      </c>
      <c r="M832" s="204" t="s">
        <v>192</v>
      </c>
      <c r="N832" s="1" t="n">
        <v>345</v>
      </c>
    </row>
    <row r="833" customFormat="false" ht="14.25" hidden="false" customHeight="false" outlineLevel="0" collapsed="false">
      <c r="A833" s="154" t="n">
        <v>80</v>
      </c>
      <c r="B833" s="154" t="s">
        <v>681</v>
      </c>
      <c r="C833" s="154" t="s">
        <v>682</v>
      </c>
      <c r="D833" s="154" t="n">
        <v>11197</v>
      </c>
      <c r="E833" s="1" t="s">
        <v>53</v>
      </c>
      <c r="F833" s="202" t="n">
        <v>200025889159</v>
      </c>
      <c r="G833" s="198" t="s">
        <v>588</v>
      </c>
      <c r="H833" s="188" t="s">
        <v>442</v>
      </c>
      <c r="I833" s="203" t="n">
        <v>117</v>
      </c>
      <c r="J833" s="204" t="s">
        <v>192</v>
      </c>
      <c r="K833" s="205" t="n">
        <v>45435.7987152778</v>
      </c>
      <c r="L833" s="154" t="n">
        <v>0</v>
      </c>
      <c r="M833" s="204" t="s">
        <v>192</v>
      </c>
      <c r="N833" s="1" t="n">
        <v>346</v>
      </c>
    </row>
    <row r="834" customFormat="false" ht="14.25" hidden="false" customHeight="false" outlineLevel="0" collapsed="false">
      <c r="A834" s="154" t="n">
        <v>81</v>
      </c>
      <c r="B834" s="154" t="s">
        <v>681</v>
      </c>
      <c r="C834" s="154" t="s">
        <v>682</v>
      </c>
      <c r="D834" s="154" t="n">
        <v>11197</v>
      </c>
      <c r="E834" s="1" t="s">
        <v>53</v>
      </c>
      <c r="F834" s="202" t="n">
        <v>200025889159</v>
      </c>
      <c r="G834" s="198" t="s">
        <v>588</v>
      </c>
      <c r="H834" s="188" t="s">
        <v>442</v>
      </c>
      <c r="I834" s="203" t="n">
        <v>117</v>
      </c>
      <c r="J834" s="204" t="s">
        <v>192</v>
      </c>
      <c r="K834" s="205" t="n">
        <v>45435.7987152778</v>
      </c>
      <c r="L834" s="154" t="n">
        <v>0</v>
      </c>
      <c r="M834" s="204" t="s">
        <v>192</v>
      </c>
      <c r="N834" s="1" t="n">
        <v>347</v>
      </c>
    </row>
    <row r="835" customFormat="false" ht="14.25" hidden="false" customHeight="false" outlineLevel="0" collapsed="false">
      <c r="A835" s="154" t="n">
        <v>100</v>
      </c>
      <c r="B835" s="154" t="s">
        <v>681</v>
      </c>
      <c r="C835" s="154" t="s">
        <v>682</v>
      </c>
      <c r="D835" s="154" t="n">
        <v>11197</v>
      </c>
      <c r="E835" s="1" t="s">
        <v>53</v>
      </c>
      <c r="F835" s="202" t="n">
        <v>200025889159</v>
      </c>
      <c r="G835" s="198" t="s">
        <v>588</v>
      </c>
      <c r="H835" s="188" t="s">
        <v>442</v>
      </c>
      <c r="I835" s="203" t="n">
        <v>117</v>
      </c>
      <c r="J835" s="204" t="s">
        <v>192</v>
      </c>
      <c r="K835" s="205" t="n">
        <v>45435.7987152778</v>
      </c>
      <c r="L835" s="154" t="n">
        <v>0</v>
      </c>
      <c r="M835" s="204" t="s">
        <v>192</v>
      </c>
      <c r="N835" s="1" t="n">
        <v>348</v>
      </c>
    </row>
    <row r="836" customFormat="false" ht="14.25" hidden="false" customHeight="false" outlineLevel="0" collapsed="false">
      <c r="A836" s="154" t="n">
        <v>101</v>
      </c>
      <c r="B836" s="154" t="s">
        <v>681</v>
      </c>
      <c r="C836" s="154" t="s">
        <v>682</v>
      </c>
      <c r="D836" s="154" t="n">
        <v>11197</v>
      </c>
      <c r="E836" s="1" t="s">
        <v>53</v>
      </c>
      <c r="F836" s="202" t="n">
        <v>200025889159</v>
      </c>
      <c r="G836" s="198" t="s">
        <v>588</v>
      </c>
      <c r="H836" s="188" t="s">
        <v>442</v>
      </c>
      <c r="I836" s="203" t="n">
        <v>117</v>
      </c>
      <c r="J836" s="204" t="s">
        <v>192</v>
      </c>
      <c r="K836" s="205" t="n">
        <v>45435.7987152778</v>
      </c>
      <c r="L836" s="154" t="n">
        <v>0</v>
      </c>
      <c r="M836" s="204" t="s">
        <v>192</v>
      </c>
      <c r="N836" s="1" t="n">
        <v>349</v>
      </c>
    </row>
    <row r="837" customFormat="false" ht="14.25" hidden="false" customHeight="false" outlineLevel="0" collapsed="false">
      <c r="A837" s="154" t="n">
        <v>102</v>
      </c>
      <c r="B837" s="154" t="s">
        <v>681</v>
      </c>
      <c r="C837" s="154" t="s">
        <v>682</v>
      </c>
      <c r="D837" s="154" t="n">
        <v>11197</v>
      </c>
      <c r="E837" s="1" t="s">
        <v>53</v>
      </c>
      <c r="F837" s="202" t="n">
        <v>200025889159</v>
      </c>
      <c r="G837" s="198" t="s">
        <v>698</v>
      </c>
      <c r="H837" s="188" t="s">
        <v>324</v>
      </c>
      <c r="I837" s="203" t="n">
        <v>20</v>
      </c>
      <c r="J837" s="204" t="s">
        <v>192</v>
      </c>
      <c r="K837" s="206" t="n">
        <v>45435.7987152778</v>
      </c>
      <c r="L837" s="154" t="n">
        <v>0</v>
      </c>
      <c r="M837" s="204" t="s">
        <v>192</v>
      </c>
      <c r="N837" s="1" t="n">
        <v>350</v>
      </c>
    </row>
    <row r="838" customFormat="false" ht="14.25" hidden="false" customHeight="false" outlineLevel="0" collapsed="false">
      <c r="A838" s="154" t="n">
        <v>79</v>
      </c>
      <c r="B838" s="154" t="s">
        <v>681</v>
      </c>
      <c r="C838" s="154" t="s">
        <v>682</v>
      </c>
      <c r="D838" s="154" t="n">
        <v>11197</v>
      </c>
      <c r="E838" s="1" t="s">
        <v>53</v>
      </c>
      <c r="F838" s="202" t="n">
        <v>200025889244</v>
      </c>
      <c r="G838" s="198" t="s">
        <v>699</v>
      </c>
      <c r="H838" s="188" t="s">
        <v>471</v>
      </c>
      <c r="I838" s="203" t="n">
        <v>58</v>
      </c>
      <c r="J838" s="204" t="s">
        <v>192</v>
      </c>
      <c r="K838" s="205" t="n">
        <v>45435.7987152778</v>
      </c>
      <c r="L838" s="154" t="n">
        <v>0</v>
      </c>
      <c r="M838" s="204" t="s">
        <v>192</v>
      </c>
      <c r="N838" s="1" t="n">
        <v>351</v>
      </c>
    </row>
    <row r="839" customFormat="false" ht="14.25" hidden="false" customHeight="false" outlineLevel="0" collapsed="false">
      <c r="A839" s="154" t="n">
        <v>94</v>
      </c>
      <c r="B839" s="154" t="s">
        <v>681</v>
      </c>
      <c r="C839" s="154" t="s">
        <v>682</v>
      </c>
      <c r="D839" s="154" t="n">
        <v>11197</v>
      </c>
      <c r="E839" s="1" t="s">
        <v>53</v>
      </c>
      <c r="F839" s="202" t="n">
        <v>200025889299</v>
      </c>
      <c r="G839" s="198" t="s">
        <v>623</v>
      </c>
      <c r="H839" s="188" t="s">
        <v>516</v>
      </c>
      <c r="I839" s="203" t="n">
        <v>84</v>
      </c>
      <c r="J839" s="204" t="s">
        <v>192</v>
      </c>
      <c r="K839" s="205" t="n">
        <v>45435.7987152778</v>
      </c>
      <c r="L839" s="154" t="n">
        <v>0</v>
      </c>
      <c r="M839" s="204" t="s">
        <v>192</v>
      </c>
      <c r="N839" s="1" t="n">
        <v>352</v>
      </c>
    </row>
    <row r="840" customFormat="false" ht="14.25" hidden="false" customHeight="false" outlineLevel="0" collapsed="false">
      <c r="A840" s="154" t="n">
        <v>86</v>
      </c>
      <c r="B840" s="154" t="s">
        <v>681</v>
      </c>
      <c r="C840" s="154" t="s">
        <v>682</v>
      </c>
      <c r="D840" s="154" t="n">
        <v>11197</v>
      </c>
      <c r="E840" s="1" t="s">
        <v>53</v>
      </c>
      <c r="F840" s="202" t="n">
        <v>200025888790</v>
      </c>
      <c r="G840" s="198" t="s">
        <v>700</v>
      </c>
      <c r="H840" s="188" t="n">
        <v>31277</v>
      </c>
      <c r="I840" s="203" t="n">
        <v>99</v>
      </c>
      <c r="J840" s="204" t="s">
        <v>192</v>
      </c>
      <c r="K840" s="205" t="n">
        <v>45435.7987152778</v>
      </c>
      <c r="L840" s="154" t="n">
        <v>0</v>
      </c>
      <c r="M840" s="204" t="s">
        <v>192</v>
      </c>
      <c r="N840" s="1" t="n">
        <v>339</v>
      </c>
    </row>
    <row r="841" customFormat="false" ht="14.25" hidden="false" customHeight="false" outlineLevel="0" collapsed="false">
      <c r="A841" s="154" t="n">
        <v>82</v>
      </c>
      <c r="B841" s="154" t="s">
        <v>681</v>
      </c>
      <c r="C841" s="154" t="s">
        <v>682</v>
      </c>
      <c r="D841" s="154" t="n">
        <v>11197</v>
      </c>
      <c r="E841" s="1" t="s">
        <v>53</v>
      </c>
      <c r="F841" s="202" t="n">
        <v>200025889350</v>
      </c>
      <c r="G841" s="198" t="s">
        <v>614</v>
      </c>
      <c r="H841" s="188" t="s">
        <v>387</v>
      </c>
      <c r="I841" s="203" t="n">
        <v>100</v>
      </c>
      <c r="J841" s="204" t="s">
        <v>192</v>
      </c>
      <c r="K841" s="205" t="n">
        <v>45435.7987152778</v>
      </c>
      <c r="L841" s="154" t="n">
        <v>0</v>
      </c>
      <c r="M841" s="204" t="s">
        <v>192</v>
      </c>
      <c r="N841" s="1" t="n">
        <v>353</v>
      </c>
    </row>
    <row r="842" customFormat="false" ht="14.25" hidden="false" customHeight="false" outlineLevel="0" collapsed="false">
      <c r="A842" s="154" t="n">
        <v>95</v>
      </c>
      <c r="B842" s="154" t="s">
        <v>681</v>
      </c>
      <c r="C842" s="154" t="s">
        <v>682</v>
      </c>
      <c r="D842" s="154" t="n">
        <v>11197</v>
      </c>
      <c r="E842" s="1" t="s">
        <v>53</v>
      </c>
      <c r="F842" s="202" t="n">
        <v>200025889375</v>
      </c>
      <c r="G842" s="198" t="s">
        <v>614</v>
      </c>
      <c r="H842" s="188" t="s">
        <v>387</v>
      </c>
      <c r="I842" s="203" t="n">
        <v>100</v>
      </c>
      <c r="J842" s="204" t="s">
        <v>192</v>
      </c>
      <c r="K842" s="205" t="n">
        <v>45435.7987152778</v>
      </c>
      <c r="L842" s="154" t="n">
        <v>0</v>
      </c>
      <c r="M842" s="204" t="s">
        <v>192</v>
      </c>
      <c r="N842" s="1" t="n">
        <v>354</v>
      </c>
    </row>
    <row r="843" customFormat="false" ht="14.25" hidden="false" customHeight="false" outlineLevel="0" collapsed="false">
      <c r="A843" s="154" t="n">
        <v>96</v>
      </c>
      <c r="B843" s="154" t="s">
        <v>681</v>
      </c>
      <c r="C843" s="154" t="s">
        <v>682</v>
      </c>
      <c r="D843" s="154" t="n">
        <v>11197</v>
      </c>
      <c r="E843" s="1" t="s">
        <v>53</v>
      </c>
      <c r="F843" s="202" t="n">
        <v>200025889394</v>
      </c>
      <c r="G843" s="198" t="s">
        <v>639</v>
      </c>
      <c r="H843" s="188" t="s">
        <v>513</v>
      </c>
      <c r="I843" s="203" t="n">
        <v>111</v>
      </c>
      <c r="J843" s="204" t="s">
        <v>192</v>
      </c>
      <c r="K843" s="206" t="n">
        <v>45435.7987152778</v>
      </c>
      <c r="L843" s="154" t="n">
        <v>0</v>
      </c>
      <c r="M843" s="204" t="s">
        <v>192</v>
      </c>
      <c r="N843" s="1" t="n">
        <v>355</v>
      </c>
    </row>
    <row r="844" customFormat="false" ht="14.25" hidden="false" customHeight="false" outlineLevel="0" collapsed="false">
      <c r="A844" s="154" t="n">
        <v>97</v>
      </c>
      <c r="B844" s="154" t="s">
        <v>681</v>
      </c>
      <c r="C844" s="154" t="s">
        <v>682</v>
      </c>
      <c r="D844" s="154" t="n">
        <v>11197</v>
      </c>
      <c r="E844" s="1" t="s">
        <v>53</v>
      </c>
      <c r="F844" s="202" t="n">
        <v>200025889394</v>
      </c>
      <c r="G844" s="198" t="s">
        <v>639</v>
      </c>
      <c r="H844" s="188" t="s">
        <v>513</v>
      </c>
      <c r="I844" s="203" t="n">
        <v>111</v>
      </c>
      <c r="J844" s="204" t="s">
        <v>192</v>
      </c>
      <c r="K844" s="206" t="n">
        <v>45435.7987152778</v>
      </c>
      <c r="L844" s="154" t="n">
        <v>0</v>
      </c>
      <c r="M844" s="204" t="s">
        <v>192</v>
      </c>
      <c r="N844" s="1" t="n">
        <v>356</v>
      </c>
    </row>
    <row r="845" customFormat="false" ht="14.25" hidden="false" customHeight="false" outlineLevel="0" collapsed="false">
      <c r="A845" s="154" t="n">
        <v>98</v>
      </c>
      <c r="B845" s="154" t="s">
        <v>681</v>
      </c>
      <c r="C845" s="154" t="s">
        <v>682</v>
      </c>
      <c r="D845" s="154" t="n">
        <v>11197</v>
      </c>
      <c r="E845" s="1" t="s">
        <v>53</v>
      </c>
      <c r="F845" s="202" t="n">
        <v>200025889394</v>
      </c>
      <c r="G845" s="198" t="s">
        <v>639</v>
      </c>
      <c r="H845" s="188" t="s">
        <v>513</v>
      </c>
      <c r="I845" s="203" t="n">
        <v>111</v>
      </c>
      <c r="J845" s="204" t="s">
        <v>192</v>
      </c>
      <c r="K845" s="205" t="n">
        <v>45435.7987152778</v>
      </c>
      <c r="L845" s="154" t="n">
        <v>0</v>
      </c>
      <c r="M845" s="204" t="s">
        <v>192</v>
      </c>
      <c r="N845" s="1" t="n">
        <v>357</v>
      </c>
    </row>
    <row r="846" customFormat="false" ht="14.25" hidden="false" customHeight="false" outlineLevel="0" collapsed="false">
      <c r="A846" s="154" t="n">
        <v>99</v>
      </c>
      <c r="B846" s="154" t="s">
        <v>681</v>
      </c>
      <c r="C846" s="154" t="s">
        <v>682</v>
      </c>
      <c r="D846" s="154" t="n">
        <v>11197</v>
      </c>
      <c r="E846" s="1" t="s">
        <v>53</v>
      </c>
      <c r="F846" s="202" t="n">
        <v>200025889394</v>
      </c>
      <c r="G846" s="198" t="s">
        <v>639</v>
      </c>
      <c r="H846" s="188" t="s">
        <v>513</v>
      </c>
      <c r="I846" s="203" t="n">
        <v>111</v>
      </c>
      <c r="J846" s="204" t="s">
        <v>192</v>
      </c>
      <c r="K846" s="205" t="n">
        <v>45435.7987152778</v>
      </c>
      <c r="L846" s="154" t="n">
        <v>0</v>
      </c>
      <c r="M846" s="204" t="s">
        <v>192</v>
      </c>
      <c r="N846" s="1" t="n">
        <v>358</v>
      </c>
    </row>
    <row r="847" customFormat="false" ht="14.25" hidden="false" customHeight="false" outlineLevel="0" collapsed="false">
      <c r="A847" s="154" t="n">
        <v>93</v>
      </c>
      <c r="B847" s="154" t="s">
        <v>681</v>
      </c>
      <c r="C847" s="154" t="s">
        <v>682</v>
      </c>
      <c r="D847" s="154" t="n">
        <v>11197</v>
      </c>
      <c r="E847" s="1" t="s">
        <v>53</v>
      </c>
      <c r="F847" s="202" t="n">
        <v>200025889440</v>
      </c>
      <c r="G847" s="198" t="s">
        <v>639</v>
      </c>
      <c r="H847" s="188" t="s">
        <v>513</v>
      </c>
      <c r="I847" s="203" t="n">
        <v>111</v>
      </c>
      <c r="J847" s="204" t="s">
        <v>192</v>
      </c>
      <c r="K847" s="205" t="n">
        <v>45435.7987152778</v>
      </c>
      <c r="L847" s="154" t="n">
        <v>0</v>
      </c>
      <c r="M847" s="204" t="s">
        <v>192</v>
      </c>
      <c r="N847" s="1" t="n">
        <v>359</v>
      </c>
    </row>
    <row r="848" customFormat="false" ht="14.25" hidden="false" customHeight="false" outlineLevel="0" collapsed="false">
      <c r="A848" s="1" t="n">
        <v>113</v>
      </c>
      <c r="B848" s="1" t="s">
        <v>565</v>
      </c>
      <c r="C848" s="1" t="s">
        <v>566</v>
      </c>
      <c r="D848" s="196" t="n">
        <v>2568</v>
      </c>
      <c r="E848" s="196" t="s">
        <v>51</v>
      </c>
      <c r="F848" s="197" t="s">
        <v>597</v>
      </c>
      <c r="G848" s="198" t="s">
        <v>598</v>
      </c>
      <c r="H848" s="163" t="s">
        <v>393</v>
      </c>
      <c r="I848" s="161" t="n">
        <v>83</v>
      </c>
      <c r="J848" s="156" t="s">
        <v>192</v>
      </c>
      <c r="K848" s="199" t="n">
        <v>45435.8058333333</v>
      </c>
      <c r="L848" s="1" t="n">
        <v>1</v>
      </c>
      <c r="M848" s="156" t="s">
        <v>192</v>
      </c>
      <c r="N848" s="1" t="n">
        <v>360</v>
      </c>
    </row>
    <row r="849" customFormat="false" ht="14.25" hidden="false" customHeight="false" outlineLevel="0" collapsed="false">
      <c r="A849" s="1" t="n">
        <v>114</v>
      </c>
      <c r="B849" s="1" t="s">
        <v>565</v>
      </c>
      <c r="C849" s="1" t="s">
        <v>566</v>
      </c>
      <c r="D849" s="196" t="n">
        <v>2568</v>
      </c>
      <c r="E849" s="196" t="s">
        <v>51</v>
      </c>
      <c r="F849" s="197" t="s">
        <v>575</v>
      </c>
      <c r="G849" s="198" t="s">
        <v>576</v>
      </c>
      <c r="H849" s="163" t="s">
        <v>366</v>
      </c>
      <c r="I849" s="161" t="n">
        <v>28</v>
      </c>
      <c r="J849" s="156" t="s">
        <v>192</v>
      </c>
      <c r="K849" s="199" t="n">
        <v>45435.8173032407</v>
      </c>
      <c r="L849" s="10" t="n">
        <v>806</v>
      </c>
      <c r="M849" s="156" t="s">
        <v>192</v>
      </c>
      <c r="N849" s="1" t="n">
        <v>361</v>
      </c>
    </row>
    <row r="850" customFormat="false" ht="14.25" hidden="false" customHeight="false" outlineLevel="0" collapsed="false">
      <c r="A850" s="1" t="n">
        <v>115</v>
      </c>
      <c r="B850" s="1" t="s">
        <v>565</v>
      </c>
      <c r="C850" s="1" t="s">
        <v>566</v>
      </c>
      <c r="D850" s="196" t="n">
        <v>2568</v>
      </c>
      <c r="E850" s="196" t="s">
        <v>51</v>
      </c>
      <c r="F850" s="197" t="s">
        <v>599</v>
      </c>
      <c r="G850" s="198" t="s">
        <v>600</v>
      </c>
      <c r="H850" s="163" t="s">
        <v>236</v>
      </c>
      <c r="I850" s="161" t="n">
        <v>7</v>
      </c>
      <c r="J850" s="156" t="s">
        <v>192</v>
      </c>
      <c r="K850" s="199" t="n">
        <v>45435.8270023148</v>
      </c>
      <c r="L850" s="1" t="n">
        <v>2</v>
      </c>
      <c r="M850" s="156" t="s">
        <v>192</v>
      </c>
      <c r="N850" s="1" t="n">
        <v>362</v>
      </c>
    </row>
    <row r="851" customFormat="false" ht="14.25" hidden="false" customHeight="false" outlineLevel="0" collapsed="false">
      <c r="A851" s="1" t="n">
        <v>116</v>
      </c>
      <c r="B851" s="1" t="s">
        <v>565</v>
      </c>
      <c r="C851" s="1" t="s">
        <v>566</v>
      </c>
      <c r="D851" s="196" t="n">
        <v>2568</v>
      </c>
      <c r="E851" s="196" t="s">
        <v>51</v>
      </c>
      <c r="F851" s="197" t="s">
        <v>599</v>
      </c>
      <c r="G851" s="198" t="s">
        <v>600</v>
      </c>
      <c r="H851" s="163" t="s">
        <v>236</v>
      </c>
      <c r="I851" s="161" t="n">
        <v>7</v>
      </c>
      <c r="J851" s="156" t="s">
        <v>192</v>
      </c>
      <c r="K851" s="199" t="n">
        <v>45435.8293518519</v>
      </c>
      <c r="L851" s="1" t="n">
        <v>0</v>
      </c>
      <c r="M851" s="156" t="s">
        <v>192</v>
      </c>
      <c r="N851" s="1" t="n">
        <v>363</v>
      </c>
    </row>
    <row r="852" customFormat="false" ht="14.25" hidden="false" customHeight="false" outlineLevel="0" collapsed="false">
      <c r="A852" s="1" t="n">
        <v>117</v>
      </c>
      <c r="B852" s="1" t="s">
        <v>565</v>
      </c>
      <c r="C852" s="1" t="s">
        <v>566</v>
      </c>
      <c r="D852" s="196" t="n">
        <v>2568</v>
      </c>
      <c r="E852" s="196" t="s">
        <v>51</v>
      </c>
      <c r="F852" s="197" t="s">
        <v>601</v>
      </c>
      <c r="G852" s="198" t="s">
        <v>602</v>
      </c>
      <c r="H852" s="163" t="s">
        <v>480</v>
      </c>
      <c r="I852" s="161" t="n">
        <v>110</v>
      </c>
      <c r="J852" s="156" t="s">
        <v>192</v>
      </c>
      <c r="K852" s="199" t="n">
        <v>45435.8332060185</v>
      </c>
      <c r="L852" s="1" t="n">
        <v>1</v>
      </c>
      <c r="M852" s="156" t="s">
        <v>192</v>
      </c>
      <c r="N852" s="1" t="n">
        <v>364</v>
      </c>
    </row>
    <row r="853" customFormat="false" ht="14.25" hidden="false" customHeight="false" outlineLevel="0" collapsed="false">
      <c r="A853" s="1" t="n">
        <v>118</v>
      </c>
      <c r="B853" s="1" t="s">
        <v>565</v>
      </c>
      <c r="C853" s="1" t="s">
        <v>566</v>
      </c>
      <c r="D853" s="196" t="n">
        <v>2568</v>
      </c>
      <c r="E853" s="196" t="s">
        <v>51</v>
      </c>
      <c r="F853" s="197" t="s">
        <v>601</v>
      </c>
      <c r="G853" s="198" t="s">
        <v>602</v>
      </c>
      <c r="H853" s="163" t="s">
        <v>480</v>
      </c>
      <c r="I853" s="161" t="n">
        <v>110</v>
      </c>
      <c r="J853" s="156" t="s">
        <v>192</v>
      </c>
      <c r="K853" s="199" t="n">
        <v>45435.8335069444</v>
      </c>
      <c r="L853" s="1" t="n">
        <v>1</v>
      </c>
      <c r="M853" s="156" t="s">
        <v>192</v>
      </c>
      <c r="N853" s="1" t="n">
        <v>365</v>
      </c>
    </row>
    <row r="854" customFormat="false" ht="14.25" hidden="false" customHeight="false" outlineLevel="0" collapsed="false">
      <c r="A854" s="1" t="n">
        <v>119</v>
      </c>
      <c r="B854" s="1" t="s">
        <v>565</v>
      </c>
      <c r="C854" s="1" t="s">
        <v>566</v>
      </c>
      <c r="D854" s="196" t="n">
        <v>2568</v>
      </c>
      <c r="E854" s="196" t="s">
        <v>51</v>
      </c>
      <c r="F854" s="197" t="s">
        <v>599</v>
      </c>
      <c r="G854" s="198" t="s">
        <v>600</v>
      </c>
      <c r="H854" s="163" t="s">
        <v>236</v>
      </c>
      <c r="I854" s="161" t="n">
        <v>7</v>
      </c>
      <c r="J854" s="156" t="s">
        <v>192</v>
      </c>
      <c r="K854" s="199" t="n">
        <v>45435.8383449074</v>
      </c>
      <c r="L854" s="1" t="n">
        <v>0</v>
      </c>
      <c r="M854" s="156" t="s">
        <v>192</v>
      </c>
      <c r="N854" s="1" t="n">
        <v>366</v>
      </c>
    </row>
    <row r="855" customFormat="false" ht="14.25" hidden="false" customHeight="false" outlineLevel="0" collapsed="false">
      <c r="A855" s="1" t="n">
        <v>120</v>
      </c>
      <c r="B855" s="1" t="s">
        <v>565</v>
      </c>
      <c r="C855" s="1" t="s">
        <v>566</v>
      </c>
      <c r="D855" s="196" t="n">
        <v>2568</v>
      </c>
      <c r="E855" s="196" t="s">
        <v>51</v>
      </c>
      <c r="F855" s="197" t="s">
        <v>575</v>
      </c>
      <c r="G855" s="198" t="s">
        <v>576</v>
      </c>
      <c r="H855" s="163" t="s">
        <v>366</v>
      </c>
      <c r="I855" s="161" t="n">
        <v>28</v>
      </c>
      <c r="J855" s="156" t="s">
        <v>192</v>
      </c>
      <c r="K855" s="199" t="n">
        <v>45435.8472106482</v>
      </c>
      <c r="L855" s="1" t="n">
        <v>1</v>
      </c>
      <c r="M855" s="156" t="s">
        <v>192</v>
      </c>
      <c r="N855" s="1" t="n">
        <v>367</v>
      </c>
    </row>
    <row r="856" customFormat="false" ht="14.25" hidden="false" customHeight="false" outlineLevel="0" collapsed="false">
      <c r="A856" s="1" t="n">
        <v>121</v>
      </c>
      <c r="B856" s="1" t="s">
        <v>565</v>
      </c>
      <c r="C856" s="1" t="s">
        <v>566</v>
      </c>
      <c r="D856" s="196" t="n">
        <v>2568</v>
      </c>
      <c r="E856" s="196" t="s">
        <v>51</v>
      </c>
      <c r="F856" s="197" t="s">
        <v>599</v>
      </c>
      <c r="G856" s="198" t="s">
        <v>600</v>
      </c>
      <c r="H856" s="163" t="s">
        <v>236</v>
      </c>
      <c r="I856" s="161" t="n">
        <v>7</v>
      </c>
      <c r="J856" s="156" t="s">
        <v>192</v>
      </c>
      <c r="K856" s="199" t="n">
        <v>45435.8514236111</v>
      </c>
      <c r="L856" s="1" t="n">
        <v>0</v>
      </c>
      <c r="M856" s="156" t="s">
        <v>192</v>
      </c>
      <c r="N856" s="1" t="n">
        <v>368</v>
      </c>
    </row>
    <row r="857" customFormat="false" ht="14.25" hidden="false" customHeight="false" outlineLevel="0" collapsed="false">
      <c r="A857" s="1" t="n">
        <v>122</v>
      </c>
      <c r="B857" s="1" t="s">
        <v>565</v>
      </c>
      <c r="C857" s="1" t="s">
        <v>566</v>
      </c>
      <c r="D857" s="196" t="n">
        <v>2568</v>
      </c>
      <c r="E857" s="196" t="s">
        <v>51</v>
      </c>
      <c r="F857" s="197" t="s">
        <v>605</v>
      </c>
      <c r="G857" s="198" t="s">
        <v>606</v>
      </c>
      <c r="H857" s="163" t="s">
        <v>456</v>
      </c>
      <c r="I857" s="161" t="n">
        <v>113</v>
      </c>
      <c r="J857" s="156" t="s">
        <v>192</v>
      </c>
      <c r="K857" s="199" t="n">
        <v>45435.8542939815</v>
      </c>
      <c r="L857" s="1" t="n">
        <v>0</v>
      </c>
      <c r="M857" s="156" t="s">
        <v>192</v>
      </c>
      <c r="N857" s="1" t="n">
        <v>369</v>
      </c>
    </row>
    <row r="858" customFormat="false" ht="14.25" hidden="false" customHeight="false" outlineLevel="0" collapsed="false">
      <c r="A858" s="1" t="n">
        <v>123</v>
      </c>
      <c r="B858" s="1" t="s">
        <v>565</v>
      </c>
      <c r="C858" s="1" t="s">
        <v>566</v>
      </c>
      <c r="D858" s="196" t="n">
        <v>2568</v>
      </c>
      <c r="E858" s="196" t="s">
        <v>51</v>
      </c>
      <c r="F858" s="197" t="s">
        <v>605</v>
      </c>
      <c r="G858" s="198" t="s">
        <v>606</v>
      </c>
      <c r="H858" s="163" t="s">
        <v>456</v>
      </c>
      <c r="I858" s="161" t="n">
        <v>113</v>
      </c>
      <c r="J858" s="156" t="s">
        <v>192</v>
      </c>
      <c r="K858" s="199" t="n">
        <v>45435.8543171296</v>
      </c>
      <c r="L858" s="1" t="n">
        <v>0</v>
      </c>
      <c r="M858" s="156" t="s">
        <v>192</v>
      </c>
      <c r="N858" s="1" t="n">
        <v>370</v>
      </c>
    </row>
    <row r="859" customFormat="false" ht="14.25" hidden="false" customHeight="false" outlineLevel="0" collapsed="false">
      <c r="A859" s="1" t="n">
        <v>124</v>
      </c>
      <c r="B859" s="1" t="s">
        <v>565</v>
      </c>
      <c r="C859" s="1" t="s">
        <v>566</v>
      </c>
      <c r="D859" s="196" t="n">
        <v>2568</v>
      </c>
      <c r="E859" s="196" t="s">
        <v>51</v>
      </c>
      <c r="F859" s="197" t="s">
        <v>599</v>
      </c>
      <c r="G859" s="198" t="s">
        <v>600</v>
      </c>
      <c r="H859" s="163" t="s">
        <v>236</v>
      </c>
      <c r="I859" s="161" t="n">
        <v>7</v>
      </c>
      <c r="J859" s="156" t="s">
        <v>192</v>
      </c>
      <c r="K859" s="199" t="n">
        <v>45435.8567361111</v>
      </c>
      <c r="L859" s="1" t="n">
        <v>0</v>
      </c>
      <c r="M859" s="156" t="s">
        <v>192</v>
      </c>
      <c r="N859" s="1" t="n">
        <v>371</v>
      </c>
    </row>
    <row r="860" customFormat="false" ht="14.25" hidden="false" customHeight="false" outlineLevel="0" collapsed="false">
      <c r="A860" s="1" t="n">
        <v>125</v>
      </c>
      <c r="B860" s="1" t="s">
        <v>565</v>
      </c>
      <c r="C860" s="1" t="s">
        <v>566</v>
      </c>
      <c r="D860" s="196" t="n">
        <v>2568</v>
      </c>
      <c r="E860" s="196" t="s">
        <v>51</v>
      </c>
      <c r="F860" s="197" t="s">
        <v>599</v>
      </c>
      <c r="G860" s="198" t="s">
        <v>600</v>
      </c>
      <c r="H860" s="163" t="s">
        <v>236</v>
      </c>
      <c r="I860" s="161" t="n">
        <v>7</v>
      </c>
      <c r="J860" s="156" t="s">
        <v>192</v>
      </c>
      <c r="K860" s="199" t="n">
        <v>45435.8567476852</v>
      </c>
      <c r="L860" s="1" t="n">
        <v>0</v>
      </c>
      <c r="M860" s="156" t="s">
        <v>192</v>
      </c>
      <c r="N860" s="1" t="n">
        <v>372</v>
      </c>
    </row>
    <row r="861" customFormat="false" ht="14.25" hidden="false" customHeight="false" outlineLevel="0" collapsed="false">
      <c r="A861" s="1" t="n">
        <v>126</v>
      </c>
      <c r="B861" s="1" t="s">
        <v>565</v>
      </c>
      <c r="C861" s="1" t="s">
        <v>566</v>
      </c>
      <c r="D861" s="196" t="n">
        <v>2568</v>
      </c>
      <c r="E861" s="196" t="s">
        <v>51</v>
      </c>
      <c r="F861" s="197" t="s">
        <v>607</v>
      </c>
      <c r="G861" s="198" t="s">
        <v>608</v>
      </c>
      <c r="H861" s="163" t="s">
        <v>342</v>
      </c>
      <c r="I861" s="161" t="n">
        <v>24</v>
      </c>
      <c r="J861" s="156" t="s">
        <v>192</v>
      </c>
      <c r="K861" s="199" t="n">
        <v>45435.8646643519</v>
      </c>
      <c r="L861" s="1" t="n">
        <v>1</v>
      </c>
      <c r="M861" s="156" t="s">
        <v>192</v>
      </c>
      <c r="N861" s="1" t="n">
        <v>373</v>
      </c>
    </row>
    <row r="862" customFormat="false" ht="14.25" hidden="false" customHeight="false" outlineLevel="0" collapsed="false">
      <c r="A862" s="1" t="n">
        <v>127</v>
      </c>
      <c r="B862" s="1" t="s">
        <v>565</v>
      </c>
      <c r="C862" s="1" t="s">
        <v>566</v>
      </c>
      <c r="D862" s="196" t="n">
        <v>2568</v>
      </c>
      <c r="E862" s="196" t="s">
        <v>51</v>
      </c>
      <c r="F862" s="197" t="s">
        <v>599</v>
      </c>
      <c r="G862" s="198" t="s">
        <v>600</v>
      </c>
      <c r="H862" s="163" t="s">
        <v>236</v>
      </c>
      <c r="I862" s="161" t="n">
        <v>7</v>
      </c>
      <c r="J862" s="156" t="s">
        <v>192</v>
      </c>
      <c r="K862" s="199" t="n">
        <v>45435.8660300926</v>
      </c>
      <c r="L862" s="1" t="n">
        <v>1</v>
      </c>
      <c r="M862" s="156" t="s">
        <v>192</v>
      </c>
      <c r="N862" s="1" t="n">
        <v>374</v>
      </c>
    </row>
    <row r="863" customFormat="false" ht="14.25" hidden="false" customHeight="false" outlineLevel="0" collapsed="false">
      <c r="A863" s="1" t="n">
        <v>128</v>
      </c>
      <c r="B863" s="1" t="s">
        <v>565</v>
      </c>
      <c r="C863" s="1" t="s">
        <v>566</v>
      </c>
      <c r="D863" s="196" t="n">
        <v>2568</v>
      </c>
      <c r="E863" s="196" t="s">
        <v>51</v>
      </c>
      <c r="F863" s="197" t="s">
        <v>599</v>
      </c>
      <c r="G863" s="198" t="s">
        <v>600</v>
      </c>
      <c r="H863" s="163" t="s">
        <v>236</v>
      </c>
      <c r="I863" s="161" t="n">
        <v>7</v>
      </c>
      <c r="J863" s="156" t="s">
        <v>192</v>
      </c>
      <c r="K863" s="199" t="n">
        <v>45435.8660416667</v>
      </c>
      <c r="L863" s="1" t="n">
        <v>1</v>
      </c>
      <c r="M863" s="156" t="s">
        <v>192</v>
      </c>
      <c r="N863" s="1" t="n">
        <v>375</v>
      </c>
    </row>
    <row r="864" customFormat="false" ht="14.25" hidden="false" customHeight="false" outlineLevel="0" collapsed="false">
      <c r="A864" s="1" t="n">
        <v>129</v>
      </c>
      <c r="B864" s="1" t="s">
        <v>565</v>
      </c>
      <c r="C864" s="1" t="s">
        <v>566</v>
      </c>
      <c r="D864" s="196" t="n">
        <v>2568</v>
      </c>
      <c r="E864" s="196" t="s">
        <v>51</v>
      </c>
      <c r="F864" s="197" t="s">
        <v>599</v>
      </c>
      <c r="G864" s="198" t="s">
        <v>600</v>
      </c>
      <c r="H864" s="163" t="s">
        <v>236</v>
      </c>
      <c r="I864" s="161" t="n">
        <v>7</v>
      </c>
      <c r="J864" s="156" t="s">
        <v>192</v>
      </c>
      <c r="K864" s="199" t="n">
        <v>45435.8670833333</v>
      </c>
      <c r="L864" s="1" t="n">
        <v>0</v>
      </c>
      <c r="M864" s="156" t="s">
        <v>192</v>
      </c>
      <c r="N864" s="1" t="n">
        <v>376</v>
      </c>
    </row>
    <row r="865" customFormat="false" ht="14.25" hidden="false" customHeight="false" outlineLevel="0" collapsed="false">
      <c r="A865" s="1" t="n">
        <v>130</v>
      </c>
      <c r="B865" s="1" t="s">
        <v>565</v>
      </c>
      <c r="C865" s="1" t="s">
        <v>566</v>
      </c>
      <c r="D865" s="196" t="n">
        <v>2568</v>
      </c>
      <c r="E865" s="196" t="s">
        <v>51</v>
      </c>
      <c r="F865" s="197" t="s">
        <v>599</v>
      </c>
      <c r="G865" s="198" t="s">
        <v>600</v>
      </c>
      <c r="H865" s="163" t="s">
        <v>236</v>
      </c>
      <c r="I865" s="161" t="n">
        <v>7</v>
      </c>
      <c r="J865" s="156" t="s">
        <v>192</v>
      </c>
      <c r="K865" s="199" t="n">
        <v>45435.8671064815</v>
      </c>
      <c r="L865" s="1" t="n">
        <v>0</v>
      </c>
      <c r="M865" s="156" t="s">
        <v>192</v>
      </c>
      <c r="N865" s="1" t="n">
        <v>377</v>
      </c>
    </row>
    <row r="866" customFormat="false" ht="14.25" hidden="false" customHeight="false" outlineLevel="0" collapsed="false">
      <c r="A866" s="1" t="n">
        <v>131</v>
      </c>
      <c r="B866" s="1" t="s">
        <v>565</v>
      </c>
      <c r="C866" s="1" t="s">
        <v>566</v>
      </c>
      <c r="D866" s="196" t="n">
        <v>2568</v>
      </c>
      <c r="E866" s="196" t="s">
        <v>51</v>
      </c>
      <c r="F866" s="197" t="s">
        <v>599</v>
      </c>
      <c r="G866" s="198" t="s">
        <v>600</v>
      </c>
      <c r="H866" s="163" t="s">
        <v>236</v>
      </c>
      <c r="I866" s="161" t="n">
        <v>7</v>
      </c>
      <c r="J866" s="156" t="s">
        <v>192</v>
      </c>
      <c r="K866" s="199" t="n">
        <v>45435.8700115741</v>
      </c>
      <c r="L866" s="1" t="n">
        <v>1</v>
      </c>
      <c r="M866" s="156" t="s">
        <v>192</v>
      </c>
      <c r="N866" s="1" t="n">
        <v>378</v>
      </c>
    </row>
    <row r="867" customFormat="false" ht="14.25" hidden="false" customHeight="false" outlineLevel="0" collapsed="false">
      <c r="A867" s="1" t="n">
        <v>132</v>
      </c>
      <c r="B867" s="1" t="s">
        <v>565</v>
      </c>
      <c r="C867" s="1" t="s">
        <v>566</v>
      </c>
      <c r="D867" s="196" t="n">
        <v>2568</v>
      </c>
      <c r="E867" s="196" t="s">
        <v>51</v>
      </c>
      <c r="F867" s="197" t="s">
        <v>575</v>
      </c>
      <c r="G867" s="198" t="s">
        <v>576</v>
      </c>
      <c r="H867" s="163" t="s">
        <v>366</v>
      </c>
      <c r="I867" s="161" t="n">
        <v>28</v>
      </c>
      <c r="J867" s="156" t="s">
        <v>192</v>
      </c>
      <c r="K867" s="199" t="n">
        <v>45435.8813425926</v>
      </c>
      <c r="L867" s="1" t="n">
        <v>1</v>
      </c>
      <c r="M867" s="156" t="s">
        <v>192</v>
      </c>
      <c r="N867" s="1" t="n">
        <v>379</v>
      </c>
    </row>
    <row r="868" customFormat="false" ht="14.25" hidden="false" customHeight="false" outlineLevel="0" collapsed="false">
      <c r="A868" s="1" t="n">
        <v>133</v>
      </c>
      <c r="B868" s="1" t="s">
        <v>565</v>
      </c>
      <c r="C868" s="1" t="s">
        <v>566</v>
      </c>
      <c r="D868" s="196" t="n">
        <v>2568</v>
      </c>
      <c r="E868" s="196" t="s">
        <v>51</v>
      </c>
      <c r="F868" s="197" t="s">
        <v>609</v>
      </c>
      <c r="G868" s="198" t="s">
        <v>610</v>
      </c>
      <c r="H868" s="163" t="s">
        <v>486</v>
      </c>
      <c r="I868" s="161" t="n">
        <v>69</v>
      </c>
      <c r="J868" s="156" t="s">
        <v>192</v>
      </c>
      <c r="K868" s="199" t="n">
        <v>45435.8860648148</v>
      </c>
      <c r="L868" s="1" t="n">
        <v>0</v>
      </c>
      <c r="M868" s="156" t="s">
        <v>192</v>
      </c>
      <c r="N868" s="1" t="n">
        <v>380</v>
      </c>
    </row>
    <row r="869" customFormat="false" ht="14.25" hidden="false" customHeight="false" outlineLevel="0" collapsed="false">
      <c r="A869" s="1" t="n">
        <v>134</v>
      </c>
      <c r="B869" s="1" t="s">
        <v>565</v>
      </c>
      <c r="C869" s="1" t="s">
        <v>566</v>
      </c>
      <c r="D869" s="196" t="n">
        <v>2568</v>
      </c>
      <c r="E869" s="196" t="s">
        <v>51</v>
      </c>
      <c r="F869" s="197" t="s">
        <v>609</v>
      </c>
      <c r="G869" s="198" t="s">
        <v>610</v>
      </c>
      <c r="H869" s="163" t="s">
        <v>486</v>
      </c>
      <c r="I869" s="161" t="n">
        <v>69</v>
      </c>
      <c r="J869" s="156" t="s">
        <v>192</v>
      </c>
      <c r="K869" s="199" t="n">
        <v>45435.9163425926</v>
      </c>
      <c r="L869" s="1" t="n">
        <v>1</v>
      </c>
      <c r="M869" s="156" t="s">
        <v>192</v>
      </c>
      <c r="N869" s="1" t="n">
        <v>381</v>
      </c>
    </row>
    <row r="870" customFormat="false" ht="14.25" hidden="false" customHeight="false" outlineLevel="0" collapsed="false">
      <c r="A870" s="1" t="n">
        <v>135</v>
      </c>
      <c r="B870" s="1" t="s">
        <v>565</v>
      </c>
      <c r="C870" s="1" t="s">
        <v>566</v>
      </c>
      <c r="D870" s="196" t="n">
        <v>2568</v>
      </c>
      <c r="E870" s="196" t="s">
        <v>51</v>
      </c>
      <c r="F870" s="197" t="s">
        <v>595</v>
      </c>
      <c r="G870" s="198" t="s">
        <v>596</v>
      </c>
      <c r="H870" s="163" t="s">
        <v>534</v>
      </c>
      <c r="I870" s="161" t="n">
        <v>98</v>
      </c>
      <c r="J870" s="156" t="s">
        <v>192</v>
      </c>
      <c r="K870" s="199" t="n">
        <v>45435.9530902778</v>
      </c>
      <c r="L870" s="1" t="n">
        <v>2</v>
      </c>
      <c r="M870" s="156" t="s">
        <v>192</v>
      </c>
      <c r="N870" s="1" t="n">
        <v>382</v>
      </c>
    </row>
    <row r="871" customFormat="false" ht="14.25" hidden="false" customHeight="false" outlineLevel="0" collapsed="false">
      <c r="A871" s="1" t="n">
        <v>136</v>
      </c>
      <c r="B871" s="1" t="s">
        <v>565</v>
      </c>
      <c r="C871" s="1" t="s">
        <v>566</v>
      </c>
      <c r="D871" s="196" t="n">
        <v>2568</v>
      </c>
      <c r="E871" s="196" t="s">
        <v>51</v>
      </c>
      <c r="F871" s="197" t="s">
        <v>595</v>
      </c>
      <c r="G871" s="198" t="s">
        <v>596</v>
      </c>
      <c r="H871" s="163" t="s">
        <v>534</v>
      </c>
      <c r="I871" s="161" t="n">
        <v>98</v>
      </c>
      <c r="J871" s="156" t="s">
        <v>192</v>
      </c>
      <c r="K871" s="199" t="n">
        <v>45435.9539236111</v>
      </c>
      <c r="L871" s="1" t="n">
        <v>2</v>
      </c>
      <c r="M871" s="156" t="s">
        <v>192</v>
      </c>
      <c r="N871" s="1" t="n">
        <v>383</v>
      </c>
    </row>
    <row r="872" customFormat="false" ht="14.25" hidden="false" customHeight="false" outlineLevel="0" collapsed="false">
      <c r="A872" s="1" t="n">
        <v>137</v>
      </c>
      <c r="B872" s="1" t="s">
        <v>565</v>
      </c>
      <c r="C872" s="1" t="s">
        <v>566</v>
      </c>
      <c r="D872" s="196" t="n">
        <v>2568</v>
      </c>
      <c r="E872" s="196" t="s">
        <v>51</v>
      </c>
      <c r="F872" s="197" t="s">
        <v>595</v>
      </c>
      <c r="G872" s="198" t="s">
        <v>596</v>
      </c>
      <c r="H872" s="163" t="s">
        <v>534</v>
      </c>
      <c r="I872" s="161" t="n">
        <v>98</v>
      </c>
      <c r="J872" s="156" t="s">
        <v>192</v>
      </c>
      <c r="K872" s="199" t="n">
        <v>45435.9547453704</v>
      </c>
      <c r="L872" s="1" t="n">
        <v>1</v>
      </c>
      <c r="M872" s="156" t="s">
        <v>192</v>
      </c>
      <c r="N872" s="1" t="n">
        <v>384</v>
      </c>
    </row>
    <row r="873" customFormat="false" ht="14.25" hidden="false" customHeight="false" outlineLevel="0" collapsed="false">
      <c r="A873" s="1" t="n">
        <v>138</v>
      </c>
      <c r="B873" s="1" t="s">
        <v>565</v>
      </c>
      <c r="C873" s="1" t="s">
        <v>566</v>
      </c>
      <c r="D873" s="196" t="n">
        <v>2568</v>
      </c>
      <c r="E873" s="196" t="s">
        <v>51</v>
      </c>
      <c r="F873" s="197" t="s">
        <v>595</v>
      </c>
      <c r="G873" s="198" t="s">
        <v>596</v>
      </c>
      <c r="H873" s="163" t="s">
        <v>534</v>
      </c>
      <c r="I873" s="161" t="n">
        <v>98</v>
      </c>
      <c r="J873" s="156" t="s">
        <v>192</v>
      </c>
      <c r="K873" s="199" t="n">
        <v>45435.9559259259</v>
      </c>
      <c r="L873" s="1" t="n">
        <v>0</v>
      </c>
      <c r="M873" s="156" t="s">
        <v>192</v>
      </c>
      <c r="N873" s="1" t="n">
        <v>385</v>
      </c>
    </row>
    <row r="874" customFormat="false" ht="14.25" hidden="false" customHeight="false" outlineLevel="0" collapsed="false">
      <c r="A874" s="1" t="n">
        <v>139</v>
      </c>
      <c r="B874" s="1" t="s">
        <v>565</v>
      </c>
      <c r="C874" s="1" t="s">
        <v>566</v>
      </c>
      <c r="D874" s="196" t="n">
        <v>2568</v>
      </c>
      <c r="E874" s="196" t="s">
        <v>51</v>
      </c>
      <c r="F874" s="197" t="s">
        <v>595</v>
      </c>
      <c r="G874" s="198" t="s">
        <v>596</v>
      </c>
      <c r="H874" s="163" t="s">
        <v>534</v>
      </c>
      <c r="I874" s="161" t="n">
        <v>98</v>
      </c>
      <c r="J874" s="156" t="s">
        <v>192</v>
      </c>
      <c r="K874" s="199" t="n">
        <v>45435.957037037</v>
      </c>
      <c r="L874" s="1" t="n">
        <v>1</v>
      </c>
      <c r="M874" s="156" t="s">
        <v>192</v>
      </c>
      <c r="N874" s="1" t="n">
        <v>386</v>
      </c>
    </row>
    <row r="875" customFormat="false" ht="14.25" hidden="false" customHeight="false" outlineLevel="0" collapsed="false">
      <c r="A875" s="1" t="n">
        <v>140</v>
      </c>
      <c r="B875" s="1" t="s">
        <v>565</v>
      </c>
      <c r="C875" s="1" t="s">
        <v>566</v>
      </c>
      <c r="D875" s="196" t="n">
        <v>2568</v>
      </c>
      <c r="E875" s="196" t="s">
        <v>51</v>
      </c>
      <c r="F875" s="197" t="s">
        <v>595</v>
      </c>
      <c r="G875" s="198" t="s">
        <v>596</v>
      </c>
      <c r="H875" s="163" t="s">
        <v>534</v>
      </c>
      <c r="I875" s="161" t="n">
        <v>98</v>
      </c>
      <c r="J875" s="156" t="s">
        <v>192</v>
      </c>
      <c r="K875" s="199" t="n">
        <v>45435.9570486111</v>
      </c>
      <c r="L875" s="1" t="n">
        <v>1</v>
      </c>
      <c r="M875" s="156" t="s">
        <v>192</v>
      </c>
      <c r="N875" s="1" t="n">
        <v>387</v>
      </c>
    </row>
    <row r="876" customFormat="false" ht="14.25" hidden="false" customHeight="false" outlineLevel="0" collapsed="false">
      <c r="A876" s="1" t="n">
        <v>141</v>
      </c>
      <c r="B876" s="1" t="s">
        <v>565</v>
      </c>
      <c r="C876" s="1" t="s">
        <v>566</v>
      </c>
      <c r="D876" s="196" t="n">
        <v>2568</v>
      </c>
      <c r="E876" s="196" t="s">
        <v>51</v>
      </c>
      <c r="F876" s="197" t="s">
        <v>595</v>
      </c>
      <c r="G876" s="198" t="s">
        <v>596</v>
      </c>
      <c r="H876" s="163" t="s">
        <v>534</v>
      </c>
      <c r="I876" s="161" t="n">
        <v>98</v>
      </c>
      <c r="J876" s="156" t="s">
        <v>192</v>
      </c>
      <c r="K876" s="199" t="n">
        <v>45435.9800694444</v>
      </c>
      <c r="L876" s="1" t="n">
        <v>1</v>
      </c>
      <c r="M876" s="156" t="s">
        <v>192</v>
      </c>
      <c r="N876" s="1" t="n">
        <v>388</v>
      </c>
    </row>
    <row r="877" customFormat="false" ht="14.25" hidden="false" customHeight="false" outlineLevel="0" collapsed="false">
      <c r="A877" s="1" t="n">
        <v>142</v>
      </c>
      <c r="B877" s="1" t="s">
        <v>565</v>
      </c>
      <c r="C877" s="1" t="s">
        <v>566</v>
      </c>
      <c r="D877" s="196" t="n">
        <v>2568</v>
      </c>
      <c r="E877" s="196" t="s">
        <v>51</v>
      </c>
      <c r="F877" s="197" t="s">
        <v>595</v>
      </c>
      <c r="G877" s="198" t="s">
        <v>596</v>
      </c>
      <c r="H877" s="163" t="s">
        <v>534</v>
      </c>
      <c r="I877" s="161" t="n">
        <v>98</v>
      </c>
      <c r="J877" s="156" t="s">
        <v>192</v>
      </c>
      <c r="K877" s="199" t="n">
        <v>45435.983275463</v>
      </c>
      <c r="L877" s="1" t="n">
        <v>1</v>
      </c>
      <c r="M877" s="156" t="s">
        <v>192</v>
      </c>
      <c r="N877" s="1" t="n">
        <v>389</v>
      </c>
    </row>
    <row r="878" customFormat="false" ht="14.25" hidden="false" customHeight="false" outlineLevel="0" collapsed="false">
      <c r="A878" s="1" t="n">
        <v>143</v>
      </c>
      <c r="B878" s="1" t="s">
        <v>565</v>
      </c>
      <c r="C878" s="1" t="s">
        <v>566</v>
      </c>
      <c r="D878" s="196" t="n">
        <v>2568</v>
      </c>
      <c r="E878" s="196" t="s">
        <v>51</v>
      </c>
      <c r="F878" s="197" t="s">
        <v>595</v>
      </c>
      <c r="G878" s="198" t="s">
        <v>596</v>
      </c>
      <c r="H878" s="163" t="s">
        <v>534</v>
      </c>
      <c r="I878" s="161" t="n">
        <v>98</v>
      </c>
      <c r="J878" s="156" t="s">
        <v>192</v>
      </c>
      <c r="K878" s="199" t="n">
        <v>45435.9845949074</v>
      </c>
      <c r="L878" s="1" t="n">
        <v>1</v>
      </c>
      <c r="M878" s="156" t="s">
        <v>192</v>
      </c>
      <c r="N878" s="1" t="n">
        <v>390</v>
      </c>
    </row>
    <row r="879" customFormat="false" ht="14.25" hidden="false" customHeight="false" outlineLevel="0" collapsed="false">
      <c r="A879" s="1" t="n">
        <v>144</v>
      </c>
      <c r="B879" s="1" t="s">
        <v>565</v>
      </c>
      <c r="C879" s="1" t="s">
        <v>566</v>
      </c>
      <c r="D879" s="196" t="n">
        <v>2568</v>
      </c>
      <c r="E879" s="196" t="s">
        <v>51</v>
      </c>
      <c r="F879" s="197" t="s">
        <v>575</v>
      </c>
      <c r="G879" s="198" t="s">
        <v>576</v>
      </c>
      <c r="H879" s="163" t="s">
        <v>366</v>
      </c>
      <c r="I879" s="161" t="n">
        <v>28</v>
      </c>
      <c r="J879" s="156" t="s">
        <v>192</v>
      </c>
      <c r="K879" s="199" t="n">
        <v>45435.9853587963</v>
      </c>
      <c r="L879" s="1" t="n">
        <v>21</v>
      </c>
      <c r="M879" s="156" t="s">
        <v>192</v>
      </c>
      <c r="N879" s="1" t="n">
        <v>391</v>
      </c>
    </row>
    <row r="880" customFormat="false" ht="14.25" hidden="false" customHeight="false" outlineLevel="0" collapsed="false">
      <c r="A880" s="1" t="n">
        <v>145</v>
      </c>
      <c r="B880" s="1" t="s">
        <v>565</v>
      </c>
      <c r="C880" s="1" t="s">
        <v>566</v>
      </c>
      <c r="D880" s="196" t="n">
        <v>2568</v>
      </c>
      <c r="E880" s="196" t="s">
        <v>51</v>
      </c>
      <c r="F880" s="197" t="s">
        <v>575</v>
      </c>
      <c r="G880" s="198" t="s">
        <v>576</v>
      </c>
      <c r="H880" s="163" t="s">
        <v>366</v>
      </c>
      <c r="I880" s="161" t="n">
        <v>28</v>
      </c>
      <c r="J880" s="156" t="s">
        <v>192</v>
      </c>
      <c r="K880" s="199" t="n">
        <v>45435.985625</v>
      </c>
      <c r="L880" s="1" t="n">
        <v>1</v>
      </c>
      <c r="M880" s="156" t="s">
        <v>192</v>
      </c>
      <c r="N880" s="1" t="n">
        <v>392</v>
      </c>
    </row>
    <row r="881" customFormat="false" ht="14.25" hidden="false" customHeight="false" outlineLevel="0" collapsed="false">
      <c r="A881" s="1" t="n">
        <v>146</v>
      </c>
      <c r="B881" s="1" t="s">
        <v>565</v>
      </c>
      <c r="C881" s="1" t="s">
        <v>566</v>
      </c>
      <c r="D881" s="196" t="n">
        <v>2568</v>
      </c>
      <c r="E881" s="196" t="s">
        <v>51</v>
      </c>
      <c r="F881" s="197" t="s">
        <v>575</v>
      </c>
      <c r="G881" s="198" t="s">
        <v>576</v>
      </c>
      <c r="H881" s="163" t="s">
        <v>366</v>
      </c>
      <c r="I881" s="161" t="n">
        <v>28</v>
      </c>
      <c r="J881" s="156" t="s">
        <v>192</v>
      </c>
      <c r="K881" s="199" t="n">
        <v>45435.989224537</v>
      </c>
      <c r="L881" s="1" t="n">
        <v>1</v>
      </c>
      <c r="M881" s="156" t="s">
        <v>192</v>
      </c>
      <c r="N881" s="1" t="n">
        <v>393</v>
      </c>
    </row>
    <row r="882" customFormat="false" ht="14.25" hidden="false" customHeight="false" outlineLevel="0" collapsed="false">
      <c r="A882" s="1" t="n">
        <v>147</v>
      </c>
      <c r="B882" s="1" t="s">
        <v>565</v>
      </c>
      <c r="C882" s="1" t="s">
        <v>566</v>
      </c>
      <c r="D882" s="196" t="n">
        <v>2568</v>
      </c>
      <c r="E882" s="196" t="s">
        <v>51</v>
      </c>
      <c r="F882" s="197" t="s">
        <v>577</v>
      </c>
      <c r="G882" s="198" t="s">
        <v>578</v>
      </c>
      <c r="H882" s="163" t="s">
        <v>427</v>
      </c>
      <c r="I882" s="161" t="n">
        <v>48</v>
      </c>
      <c r="J882" s="156" t="s">
        <v>192</v>
      </c>
      <c r="K882" s="199" t="n">
        <v>45435.9907523148</v>
      </c>
      <c r="L882" s="1" t="n">
        <v>1</v>
      </c>
      <c r="M882" s="156" t="s">
        <v>192</v>
      </c>
      <c r="N882" s="1" t="n">
        <v>394</v>
      </c>
    </row>
    <row r="883" customFormat="false" ht="14.25" hidden="false" customHeight="false" outlineLevel="0" collapsed="false">
      <c r="A883" s="1" t="n">
        <v>148</v>
      </c>
      <c r="B883" s="1" t="s">
        <v>565</v>
      </c>
      <c r="C883" s="1" t="s">
        <v>566</v>
      </c>
      <c r="D883" s="196" t="n">
        <v>2568</v>
      </c>
      <c r="E883" s="196" t="s">
        <v>51</v>
      </c>
      <c r="F883" s="197" t="s">
        <v>577</v>
      </c>
      <c r="G883" s="198" t="s">
        <v>578</v>
      </c>
      <c r="H883" s="163" t="s">
        <v>427</v>
      </c>
      <c r="I883" s="161" t="n">
        <v>48</v>
      </c>
      <c r="J883" s="156" t="s">
        <v>192</v>
      </c>
      <c r="K883" s="199" t="n">
        <v>45435.9915046296</v>
      </c>
      <c r="L883" s="1" t="n">
        <v>1</v>
      </c>
      <c r="M883" s="156" t="s">
        <v>192</v>
      </c>
      <c r="N883" s="1" t="n">
        <v>395</v>
      </c>
    </row>
    <row r="884" customFormat="false" ht="14.25" hidden="false" customHeight="false" outlineLevel="0" collapsed="false">
      <c r="A884" s="1" t="n">
        <v>149</v>
      </c>
      <c r="B884" s="1" t="s">
        <v>565</v>
      </c>
      <c r="C884" s="1" t="s">
        <v>566</v>
      </c>
      <c r="D884" s="196" t="n">
        <v>2568</v>
      </c>
      <c r="E884" s="196" t="s">
        <v>51</v>
      </c>
      <c r="F884" s="197" t="s">
        <v>597</v>
      </c>
      <c r="G884" s="198" t="s">
        <v>598</v>
      </c>
      <c r="H884" s="163" t="s">
        <v>393</v>
      </c>
      <c r="I884" s="161" t="n">
        <v>83</v>
      </c>
      <c r="J884" s="156" t="s">
        <v>192</v>
      </c>
      <c r="K884" s="199" t="n">
        <v>45435.9923611111</v>
      </c>
      <c r="L884" s="1" t="n">
        <v>1</v>
      </c>
      <c r="M884" s="156" t="s">
        <v>192</v>
      </c>
      <c r="N884" s="1" t="n">
        <v>396</v>
      </c>
    </row>
    <row r="885" customFormat="false" ht="14.25" hidden="false" customHeight="false" outlineLevel="0" collapsed="false">
      <c r="A885" s="1" t="n">
        <v>150</v>
      </c>
      <c r="B885" s="1" t="s">
        <v>565</v>
      </c>
      <c r="C885" s="1" t="s">
        <v>566</v>
      </c>
      <c r="D885" s="196" t="n">
        <v>2568</v>
      </c>
      <c r="E885" s="196" t="s">
        <v>51</v>
      </c>
      <c r="F885" s="197" t="s">
        <v>587</v>
      </c>
      <c r="G885" s="198" t="s">
        <v>588</v>
      </c>
      <c r="H885" s="163" t="s">
        <v>442</v>
      </c>
      <c r="I885" s="161" t="n">
        <v>117</v>
      </c>
      <c r="J885" s="156" t="s">
        <v>192</v>
      </c>
      <c r="K885" s="199" t="n">
        <v>45436.0352893519</v>
      </c>
      <c r="L885" s="1" t="n">
        <v>0</v>
      </c>
      <c r="M885" s="156" t="s">
        <v>192</v>
      </c>
      <c r="N885" s="1" t="n">
        <v>397</v>
      </c>
    </row>
    <row r="886" customFormat="false" ht="14.25" hidden="false" customHeight="false" outlineLevel="0" collapsed="false">
      <c r="A886" s="1" t="n">
        <v>151</v>
      </c>
      <c r="B886" s="1" t="s">
        <v>565</v>
      </c>
      <c r="C886" s="1" t="s">
        <v>566</v>
      </c>
      <c r="D886" s="196" t="n">
        <v>2568</v>
      </c>
      <c r="E886" s="196" t="s">
        <v>51</v>
      </c>
      <c r="F886" s="197" t="s">
        <v>587</v>
      </c>
      <c r="G886" s="198" t="s">
        <v>588</v>
      </c>
      <c r="H886" s="163" t="s">
        <v>442</v>
      </c>
      <c r="I886" s="161" t="n">
        <v>117</v>
      </c>
      <c r="J886" s="156" t="s">
        <v>192</v>
      </c>
      <c r="K886" s="199" t="n">
        <v>45436.0353009259</v>
      </c>
      <c r="L886" s="1" t="n">
        <v>0</v>
      </c>
      <c r="M886" s="156" t="s">
        <v>192</v>
      </c>
      <c r="N886" s="1" t="n">
        <v>398</v>
      </c>
    </row>
    <row r="887" customFormat="false" ht="14.25" hidden="false" customHeight="false" outlineLevel="0" collapsed="false">
      <c r="A887" s="1" t="n">
        <v>152</v>
      </c>
      <c r="B887" s="1" t="s">
        <v>565</v>
      </c>
      <c r="C887" s="1" t="s">
        <v>566</v>
      </c>
      <c r="D887" s="196" t="n">
        <v>2568</v>
      </c>
      <c r="E887" s="196" t="s">
        <v>51</v>
      </c>
      <c r="F887" s="197" t="s">
        <v>587</v>
      </c>
      <c r="G887" s="198" t="s">
        <v>588</v>
      </c>
      <c r="H887" s="163" t="s">
        <v>442</v>
      </c>
      <c r="I887" s="161" t="n">
        <v>117</v>
      </c>
      <c r="J887" s="156" t="s">
        <v>192</v>
      </c>
      <c r="K887" s="199" t="n">
        <v>45436.036724537</v>
      </c>
      <c r="L887" s="1" t="n">
        <v>0</v>
      </c>
      <c r="M887" s="156" t="s">
        <v>192</v>
      </c>
      <c r="N887" s="1" t="n">
        <v>399</v>
      </c>
    </row>
    <row r="888" customFormat="false" ht="14.25" hidden="false" customHeight="false" outlineLevel="0" collapsed="false">
      <c r="A888" s="1" t="n">
        <v>153</v>
      </c>
      <c r="B888" s="1" t="s">
        <v>565</v>
      </c>
      <c r="C888" s="1" t="s">
        <v>566</v>
      </c>
      <c r="D888" s="196" t="n">
        <v>2568</v>
      </c>
      <c r="E888" s="196" t="s">
        <v>51</v>
      </c>
      <c r="F888" s="197" t="s">
        <v>587</v>
      </c>
      <c r="G888" s="198" t="s">
        <v>588</v>
      </c>
      <c r="H888" s="163" t="s">
        <v>442</v>
      </c>
      <c r="I888" s="161" t="n">
        <v>117</v>
      </c>
      <c r="J888" s="156" t="s">
        <v>192</v>
      </c>
      <c r="K888" s="199" t="n">
        <v>45436.0385069444</v>
      </c>
      <c r="L888" s="1" t="n">
        <v>1</v>
      </c>
      <c r="M888" s="156" t="s">
        <v>192</v>
      </c>
      <c r="N888" s="1" t="n">
        <v>400</v>
      </c>
    </row>
    <row r="889" customFormat="false" ht="14.25" hidden="false" customHeight="false" outlineLevel="0" collapsed="false">
      <c r="A889" s="1" t="n">
        <v>154</v>
      </c>
      <c r="B889" s="1" t="s">
        <v>565</v>
      </c>
      <c r="C889" s="1" t="s">
        <v>566</v>
      </c>
      <c r="D889" s="196" t="n">
        <v>2568</v>
      </c>
      <c r="E889" s="196" t="s">
        <v>51</v>
      </c>
      <c r="F889" s="197" t="s">
        <v>595</v>
      </c>
      <c r="G889" s="198" t="s">
        <v>596</v>
      </c>
      <c r="H889" s="163" t="s">
        <v>534</v>
      </c>
      <c r="I889" s="161" t="n">
        <v>98</v>
      </c>
      <c r="J889" s="156" t="s">
        <v>192</v>
      </c>
      <c r="K889" s="199" t="n">
        <v>45436.0481597222</v>
      </c>
      <c r="L889" s="1" t="n">
        <v>1</v>
      </c>
      <c r="M889" s="156" t="s">
        <v>192</v>
      </c>
      <c r="N889" s="1" t="n">
        <v>401</v>
      </c>
    </row>
    <row r="890" customFormat="false" ht="14.25" hidden="false" customHeight="false" outlineLevel="0" collapsed="false">
      <c r="A890" s="1" t="n">
        <v>155</v>
      </c>
      <c r="B890" s="1" t="s">
        <v>565</v>
      </c>
      <c r="C890" s="1" t="s">
        <v>566</v>
      </c>
      <c r="D890" s="196" t="n">
        <v>2568</v>
      </c>
      <c r="E890" s="196" t="s">
        <v>51</v>
      </c>
      <c r="F890" s="197" t="s">
        <v>587</v>
      </c>
      <c r="G890" s="198" t="s">
        <v>588</v>
      </c>
      <c r="H890" s="163" t="s">
        <v>442</v>
      </c>
      <c r="I890" s="161" t="n">
        <v>117</v>
      </c>
      <c r="J890" s="156" t="s">
        <v>192</v>
      </c>
      <c r="K890" s="199" t="n">
        <v>45436.050775463</v>
      </c>
      <c r="L890" s="1" t="n">
        <v>0</v>
      </c>
      <c r="M890" s="156" t="s">
        <v>192</v>
      </c>
      <c r="N890" s="1" t="n">
        <v>402</v>
      </c>
    </row>
    <row r="891" customFormat="false" ht="14.25" hidden="false" customHeight="false" outlineLevel="0" collapsed="false">
      <c r="A891" s="1" t="n">
        <v>105</v>
      </c>
      <c r="B891" s="1" t="s">
        <v>681</v>
      </c>
      <c r="C891" s="1" t="s">
        <v>682</v>
      </c>
      <c r="D891" s="1" t="n">
        <v>11197</v>
      </c>
      <c r="E891" s="1" t="s">
        <v>53</v>
      </c>
      <c r="F891" s="201" t="n">
        <v>200025889791</v>
      </c>
      <c r="G891" s="198" t="s">
        <v>688</v>
      </c>
      <c r="H891" s="163" t="s">
        <v>510</v>
      </c>
      <c r="I891" s="161" t="n">
        <v>80</v>
      </c>
      <c r="J891" s="156" t="s">
        <v>192</v>
      </c>
      <c r="K891" s="199" t="n">
        <v>45436.1502314815</v>
      </c>
      <c r="L891" s="1" t="n">
        <v>2</v>
      </c>
      <c r="M891" s="156" t="s">
        <v>192</v>
      </c>
      <c r="N891" s="1" t="n">
        <v>403</v>
      </c>
    </row>
    <row r="892" customFormat="false" ht="14.25" hidden="false" customHeight="false" outlineLevel="0" collapsed="false">
      <c r="A892" s="1" t="n">
        <v>106</v>
      </c>
      <c r="B892" s="1" t="s">
        <v>681</v>
      </c>
      <c r="C892" s="1" t="s">
        <v>682</v>
      </c>
      <c r="D892" s="1" t="n">
        <v>11197</v>
      </c>
      <c r="E892" s="1" t="s">
        <v>53</v>
      </c>
      <c r="F892" s="201" t="n">
        <v>200025889791</v>
      </c>
      <c r="G892" s="198" t="s">
        <v>688</v>
      </c>
      <c r="H892" s="163" t="s">
        <v>510</v>
      </c>
      <c r="I892" s="161" t="n">
        <v>80</v>
      </c>
      <c r="J892" s="156" t="s">
        <v>192</v>
      </c>
      <c r="K892" s="199" t="n">
        <v>45436.1504398148</v>
      </c>
      <c r="L892" s="1" t="n">
        <v>0</v>
      </c>
      <c r="M892" s="156" t="s">
        <v>192</v>
      </c>
      <c r="N892" s="1" t="n">
        <v>404</v>
      </c>
    </row>
    <row r="893" customFormat="false" ht="14.25" hidden="false" customHeight="false" outlineLevel="0" collapsed="false">
      <c r="A893" s="1" t="n">
        <v>107</v>
      </c>
      <c r="B893" s="1" t="s">
        <v>681</v>
      </c>
      <c r="C893" s="1" t="s">
        <v>682</v>
      </c>
      <c r="D893" s="1" t="n">
        <v>11197</v>
      </c>
      <c r="E893" s="1" t="s">
        <v>53</v>
      </c>
      <c r="F893" s="201" t="n">
        <v>200025889791</v>
      </c>
      <c r="G893" s="198" t="s">
        <v>688</v>
      </c>
      <c r="H893" s="163" t="s">
        <v>510</v>
      </c>
      <c r="I893" s="161" t="n">
        <v>80</v>
      </c>
      <c r="J893" s="156" t="s">
        <v>192</v>
      </c>
      <c r="K893" s="199" t="n">
        <v>45436.1514814815</v>
      </c>
      <c r="L893" s="1" t="n">
        <v>1</v>
      </c>
      <c r="M893" s="156" t="s">
        <v>192</v>
      </c>
      <c r="N893" s="1" t="n">
        <v>405</v>
      </c>
    </row>
    <row r="894" customFormat="false" ht="14.25" hidden="false" customHeight="false" outlineLevel="0" collapsed="false">
      <c r="A894" s="1" t="n">
        <v>108</v>
      </c>
      <c r="B894" s="1" t="s">
        <v>681</v>
      </c>
      <c r="C894" s="1" t="s">
        <v>682</v>
      </c>
      <c r="D894" s="1" t="n">
        <v>11197</v>
      </c>
      <c r="E894" s="1" t="s">
        <v>53</v>
      </c>
      <c r="F894" s="201" t="n">
        <v>200025889791</v>
      </c>
      <c r="G894" s="198" t="s">
        <v>688</v>
      </c>
      <c r="H894" s="163" t="s">
        <v>510</v>
      </c>
      <c r="I894" s="161" t="n">
        <v>80</v>
      </c>
      <c r="J894" s="156" t="s">
        <v>192</v>
      </c>
      <c r="K894" s="199" t="n">
        <v>45436.1514930556</v>
      </c>
      <c r="L894" s="1" t="n">
        <v>0</v>
      </c>
      <c r="M894" s="156" t="s">
        <v>192</v>
      </c>
      <c r="N894" s="1" t="n">
        <v>406</v>
      </c>
    </row>
    <row r="895" customFormat="false" ht="14.25" hidden="false" customHeight="false" outlineLevel="0" collapsed="false">
      <c r="A895" s="1" t="n">
        <v>109</v>
      </c>
      <c r="B895" s="1" t="s">
        <v>681</v>
      </c>
      <c r="C895" s="1" t="s">
        <v>682</v>
      </c>
      <c r="D895" s="1" t="n">
        <v>11197</v>
      </c>
      <c r="E895" s="1" t="s">
        <v>53</v>
      </c>
      <c r="F895" s="201" t="n">
        <v>200025889791</v>
      </c>
      <c r="G895" s="198" t="s">
        <v>688</v>
      </c>
      <c r="H895" s="163" t="s">
        <v>510</v>
      </c>
      <c r="I895" s="161" t="n">
        <v>80</v>
      </c>
      <c r="J895" s="156" t="s">
        <v>192</v>
      </c>
      <c r="K895" s="199" t="n">
        <v>45436.1515162037</v>
      </c>
      <c r="L895" s="1" t="n">
        <v>39</v>
      </c>
      <c r="M895" s="156" t="s">
        <v>192</v>
      </c>
      <c r="N895" s="1" t="n">
        <v>407</v>
      </c>
    </row>
    <row r="896" customFormat="false" ht="14.25" hidden="false" customHeight="false" outlineLevel="0" collapsed="false">
      <c r="A896" s="1" t="n">
        <v>110</v>
      </c>
      <c r="B896" s="1" t="s">
        <v>681</v>
      </c>
      <c r="C896" s="1" t="s">
        <v>682</v>
      </c>
      <c r="D896" s="1" t="n">
        <v>11197</v>
      </c>
      <c r="E896" s="1" t="s">
        <v>53</v>
      </c>
      <c r="F896" s="201" t="n">
        <v>200025889791</v>
      </c>
      <c r="G896" s="198" t="s">
        <v>688</v>
      </c>
      <c r="H896" s="163" t="s">
        <v>510</v>
      </c>
      <c r="I896" s="161" t="n">
        <v>80</v>
      </c>
      <c r="J896" s="156" t="s">
        <v>192</v>
      </c>
      <c r="K896" s="199" t="n">
        <v>45436.1519675926</v>
      </c>
      <c r="L896" s="1" t="n">
        <v>0</v>
      </c>
      <c r="M896" s="156" t="s">
        <v>192</v>
      </c>
      <c r="N896" s="1" t="n">
        <v>408</v>
      </c>
    </row>
    <row r="897" customFormat="false" ht="14.25" hidden="false" customHeight="false" outlineLevel="0" collapsed="false">
      <c r="A897" s="1" t="n">
        <v>111</v>
      </c>
      <c r="B897" s="1" t="s">
        <v>681</v>
      </c>
      <c r="C897" s="1" t="s">
        <v>682</v>
      </c>
      <c r="D897" s="1" t="n">
        <v>11197</v>
      </c>
      <c r="E897" s="1" t="s">
        <v>53</v>
      </c>
      <c r="F897" s="201" t="n">
        <v>200025889791</v>
      </c>
      <c r="G897" s="198" t="s">
        <v>688</v>
      </c>
      <c r="H897" s="163" t="s">
        <v>510</v>
      </c>
      <c r="I897" s="161" t="n">
        <v>80</v>
      </c>
      <c r="J897" s="156" t="s">
        <v>192</v>
      </c>
      <c r="K897" s="199" t="n">
        <v>45436.1519791667</v>
      </c>
      <c r="L897" s="1" t="n">
        <v>0</v>
      </c>
      <c r="M897" s="156" t="s">
        <v>192</v>
      </c>
      <c r="N897" s="1" t="n">
        <v>409</v>
      </c>
    </row>
    <row r="898" customFormat="false" ht="14.25" hidden="false" customHeight="false" outlineLevel="0" collapsed="false">
      <c r="A898" s="1" t="n">
        <v>112</v>
      </c>
      <c r="B898" s="1" t="s">
        <v>681</v>
      </c>
      <c r="C898" s="1" t="s">
        <v>682</v>
      </c>
      <c r="D898" s="1" t="n">
        <v>11197</v>
      </c>
      <c r="E898" s="1" t="s">
        <v>53</v>
      </c>
      <c r="F898" s="201" t="n">
        <v>200025889791</v>
      </c>
      <c r="G898" s="198" t="s">
        <v>688</v>
      </c>
      <c r="H898" s="163" t="s">
        <v>510</v>
      </c>
      <c r="I898" s="161" t="n">
        <v>80</v>
      </c>
      <c r="J898" s="156" t="s">
        <v>192</v>
      </c>
      <c r="K898" s="199" t="n">
        <v>45436.1519907407</v>
      </c>
      <c r="L898" s="1" t="n">
        <v>0</v>
      </c>
      <c r="M898" s="156" t="s">
        <v>192</v>
      </c>
      <c r="N898" s="1" t="n">
        <v>410</v>
      </c>
    </row>
    <row r="899" customFormat="false" ht="14.25" hidden="false" customHeight="false" outlineLevel="0" collapsed="false">
      <c r="A899" s="1" t="n">
        <v>113</v>
      </c>
      <c r="B899" s="1" t="s">
        <v>681</v>
      </c>
      <c r="C899" s="1" t="s">
        <v>682</v>
      </c>
      <c r="D899" s="1" t="n">
        <v>11197</v>
      </c>
      <c r="E899" s="1" t="s">
        <v>53</v>
      </c>
      <c r="F899" s="201" t="n">
        <v>200025889791</v>
      </c>
      <c r="G899" s="198" t="s">
        <v>688</v>
      </c>
      <c r="H899" s="163" t="s">
        <v>510</v>
      </c>
      <c r="I899" s="161" t="n">
        <v>80</v>
      </c>
      <c r="J899" s="156" t="s">
        <v>192</v>
      </c>
      <c r="K899" s="199" t="n">
        <v>45436.1527546296</v>
      </c>
      <c r="L899" s="1" t="n">
        <v>3</v>
      </c>
      <c r="M899" s="156" t="s">
        <v>192</v>
      </c>
      <c r="N899" s="1" t="n">
        <v>411</v>
      </c>
    </row>
    <row r="900" customFormat="false" ht="14.25" hidden="false" customHeight="false" outlineLevel="0" collapsed="false">
      <c r="A900" s="1" t="n">
        <v>114</v>
      </c>
      <c r="B900" s="1" t="s">
        <v>681</v>
      </c>
      <c r="C900" s="1" t="s">
        <v>682</v>
      </c>
      <c r="D900" s="1" t="n">
        <v>11197</v>
      </c>
      <c r="E900" s="1" t="s">
        <v>53</v>
      </c>
      <c r="F900" s="201" t="n">
        <v>200025889791</v>
      </c>
      <c r="G900" s="198" t="s">
        <v>688</v>
      </c>
      <c r="H900" s="163" t="s">
        <v>510</v>
      </c>
      <c r="I900" s="161" t="n">
        <v>80</v>
      </c>
      <c r="J900" s="156" t="s">
        <v>192</v>
      </c>
      <c r="K900" s="199" t="n">
        <v>45436.1541319444</v>
      </c>
      <c r="L900" s="1" t="n">
        <v>1</v>
      </c>
      <c r="M900" s="156" t="s">
        <v>192</v>
      </c>
      <c r="N900" s="1" t="n">
        <v>412</v>
      </c>
    </row>
    <row r="901" customFormat="false" ht="14.25" hidden="false" customHeight="false" outlineLevel="0" collapsed="false">
      <c r="A901" s="1" t="n">
        <v>115</v>
      </c>
      <c r="B901" s="1" t="s">
        <v>681</v>
      </c>
      <c r="C901" s="1" t="s">
        <v>682</v>
      </c>
      <c r="D901" s="1" t="n">
        <v>11197</v>
      </c>
      <c r="E901" s="1" t="s">
        <v>53</v>
      </c>
      <c r="F901" s="201" t="n">
        <v>200025889791</v>
      </c>
      <c r="G901" s="198" t="s">
        <v>688</v>
      </c>
      <c r="H901" s="163" t="s">
        <v>510</v>
      </c>
      <c r="I901" s="161" t="n">
        <v>80</v>
      </c>
      <c r="J901" s="156" t="s">
        <v>192</v>
      </c>
      <c r="K901" s="199" t="n">
        <v>45436.1553703704</v>
      </c>
      <c r="L901" s="1" t="n">
        <v>1</v>
      </c>
      <c r="M901" s="156" t="s">
        <v>192</v>
      </c>
      <c r="N901" s="1" t="n">
        <v>413</v>
      </c>
    </row>
    <row r="902" customFormat="false" ht="14.25" hidden="false" customHeight="false" outlineLevel="0" collapsed="false">
      <c r="A902" s="1" t="n">
        <v>156</v>
      </c>
      <c r="B902" s="1" t="s">
        <v>565</v>
      </c>
      <c r="C902" s="1" t="s">
        <v>566</v>
      </c>
      <c r="D902" s="196" t="n">
        <v>2568</v>
      </c>
      <c r="E902" s="196" t="s">
        <v>51</v>
      </c>
      <c r="F902" s="197" t="s">
        <v>611</v>
      </c>
      <c r="G902" s="198" t="s">
        <v>612</v>
      </c>
      <c r="H902" s="163" t="s">
        <v>333</v>
      </c>
      <c r="I902" s="161" t="n">
        <v>21</v>
      </c>
      <c r="J902" s="156" t="s">
        <v>192</v>
      </c>
      <c r="K902" s="199" t="n">
        <v>45436.1617476852</v>
      </c>
      <c r="L902" s="1" t="n">
        <v>0</v>
      </c>
      <c r="M902" s="156" t="s">
        <v>192</v>
      </c>
      <c r="N902" s="1" t="n">
        <v>414</v>
      </c>
    </row>
    <row r="903" customFormat="false" ht="14.25" hidden="false" customHeight="false" outlineLevel="0" collapsed="false">
      <c r="A903" s="1" t="n">
        <v>157</v>
      </c>
      <c r="B903" s="1" t="s">
        <v>565</v>
      </c>
      <c r="C903" s="1" t="s">
        <v>566</v>
      </c>
      <c r="D903" s="196" t="n">
        <v>2568</v>
      </c>
      <c r="E903" s="196" t="s">
        <v>51</v>
      </c>
      <c r="F903" s="197" t="s">
        <v>611</v>
      </c>
      <c r="G903" s="198" t="s">
        <v>612</v>
      </c>
      <c r="H903" s="163" t="s">
        <v>333</v>
      </c>
      <c r="I903" s="161" t="n">
        <v>21</v>
      </c>
      <c r="J903" s="156" t="s">
        <v>192</v>
      </c>
      <c r="K903" s="199" t="n">
        <v>45436.1637037037</v>
      </c>
      <c r="L903" s="1" t="n">
        <v>2</v>
      </c>
      <c r="M903" s="156" t="s">
        <v>192</v>
      </c>
      <c r="N903" s="1" t="n">
        <v>415</v>
      </c>
    </row>
    <row r="904" customFormat="false" ht="14.25" hidden="false" customHeight="false" outlineLevel="0" collapsed="false">
      <c r="A904" s="1" t="n">
        <v>158</v>
      </c>
      <c r="B904" s="1" t="s">
        <v>565</v>
      </c>
      <c r="C904" s="1" t="s">
        <v>566</v>
      </c>
      <c r="D904" s="196" t="n">
        <v>2568</v>
      </c>
      <c r="E904" s="196" t="s">
        <v>51</v>
      </c>
      <c r="F904" s="197" t="s">
        <v>611</v>
      </c>
      <c r="G904" s="198" t="s">
        <v>612</v>
      </c>
      <c r="H904" s="163" t="s">
        <v>333</v>
      </c>
      <c r="I904" s="161" t="n">
        <v>21</v>
      </c>
      <c r="J904" s="156" t="s">
        <v>192</v>
      </c>
      <c r="K904" s="199" t="n">
        <v>45436.1653703704</v>
      </c>
      <c r="L904" s="1" t="n">
        <v>1</v>
      </c>
      <c r="M904" s="156" t="s">
        <v>192</v>
      </c>
      <c r="N904" s="1" t="n">
        <v>416</v>
      </c>
    </row>
    <row r="905" customFormat="false" ht="14.25" hidden="false" customHeight="false" outlineLevel="0" collapsed="false">
      <c r="A905" s="1" t="n">
        <v>159</v>
      </c>
      <c r="B905" s="1" t="s">
        <v>565</v>
      </c>
      <c r="C905" s="1" t="s">
        <v>566</v>
      </c>
      <c r="D905" s="196" t="n">
        <v>2568</v>
      </c>
      <c r="E905" s="196" t="s">
        <v>51</v>
      </c>
      <c r="F905" s="197" t="s">
        <v>611</v>
      </c>
      <c r="G905" s="198" t="s">
        <v>612</v>
      </c>
      <c r="H905" s="163" t="s">
        <v>333</v>
      </c>
      <c r="I905" s="161" t="n">
        <v>21</v>
      </c>
      <c r="J905" s="156" t="s">
        <v>192</v>
      </c>
      <c r="K905" s="199" t="n">
        <v>45436.1663194444</v>
      </c>
      <c r="L905" s="1" t="n">
        <v>1</v>
      </c>
      <c r="M905" s="156" t="s">
        <v>192</v>
      </c>
      <c r="N905" s="1" t="n">
        <v>417</v>
      </c>
    </row>
    <row r="906" customFormat="false" ht="14.25" hidden="false" customHeight="false" outlineLevel="0" collapsed="false">
      <c r="A906" s="1" t="n">
        <v>160</v>
      </c>
      <c r="B906" s="1" t="s">
        <v>565</v>
      </c>
      <c r="C906" s="1" t="s">
        <v>566</v>
      </c>
      <c r="D906" s="196" t="n">
        <v>2568</v>
      </c>
      <c r="E906" s="196" t="s">
        <v>51</v>
      </c>
      <c r="F906" s="197" t="s">
        <v>611</v>
      </c>
      <c r="G906" s="198" t="s">
        <v>612</v>
      </c>
      <c r="H906" s="163" t="s">
        <v>333</v>
      </c>
      <c r="I906" s="161" t="n">
        <v>21</v>
      </c>
      <c r="J906" s="156" t="s">
        <v>192</v>
      </c>
      <c r="K906" s="199" t="n">
        <v>45436.166875</v>
      </c>
      <c r="L906" s="1" t="n">
        <v>1</v>
      </c>
      <c r="M906" s="156" t="s">
        <v>192</v>
      </c>
      <c r="N906" s="1" t="n">
        <v>418</v>
      </c>
    </row>
    <row r="907" customFormat="false" ht="14.25" hidden="false" customHeight="false" outlineLevel="0" collapsed="false">
      <c r="A907" s="1" t="n">
        <v>161</v>
      </c>
      <c r="B907" s="1" t="s">
        <v>565</v>
      </c>
      <c r="C907" s="1" t="s">
        <v>566</v>
      </c>
      <c r="D907" s="196" t="n">
        <v>2568</v>
      </c>
      <c r="E907" s="196" t="s">
        <v>51</v>
      </c>
      <c r="F907" s="197" t="s">
        <v>611</v>
      </c>
      <c r="G907" s="198" t="s">
        <v>612</v>
      </c>
      <c r="H907" s="163" t="s">
        <v>333</v>
      </c>
      <c r="I907" s="161" t="n">
        <v>21</v>
      </c>
      <c r="J907" s="156" t="s">
        <v>192</v>
      </c>
      <c r="K907" s="199" t="n">
        <v>45436.1685648148</v>
      </c>
      <c r="L907" s="1" t="n">
        <v>1</v>
      </c>
      <c r="M907" s="156" t="s">
        <v>192</v>
      </c>
      <c r="N907" s="1" t="n">
        <v>419</v>
      </c>
    </row>
    <row r="908" customFormat="false" ht="14.25" hidden="false" customHeight="false" outlineLevel="0" collapsed="false">
      <c r="A908" s="1" t="n">
        <v>162</v>
      </c>
      <c r="B908" s="1" t="s">
        <v>565</v>
      </c>
      <c r="C908" s="1" t="s">
        <v>566</v>
      </c>
      <c r="D908" s="196" t="n">
        <v>2568</v>
      </c>
      <c r="E908" s="196" t="s">
        <v>51</v>
      </c>
      <c r="F908" s="197" t="s">
        <v>611</v>
      </c>
      <c r="G908" s="198" t="s">
        <v>612</v>
      </c>
      <c r="H908" s="163" t="s">
        <v>333</v>
      </c>
      <c r="I908" s="161" t="n">
        <v>21</v>
      </c>
      <c r="J908" s="156" t="s">
        <v>192</v>
      </c>
      <c r="K908" s="199" t="n">
        <v>45436.168587963</v>
      </c>
      <c r="L908" s="1" t="n">
        <v>0</v>
      </c>
      <c r="M908" s="156" t="s">
        <v>192</v>
      </c>
      <c r="N908" s="1" t="n">
        <v>420</v>
      </c>
    </row>
    <row r="909" customFormat="false" ht="14.25" hidden="false" customHeight="false" outlineLevel="0" collapsed="false">
      <c r="A909" s="1" t="n">
        <v>163</v>
      </c>
      <c r="B909" s="1" t="s">
        <v>565</v>
      </c>
      <c r="C909" s="1" t="s">
        <v>566</v>
      </c>
      <c r="D909" s="196" t="n">
        <v>2568</v>
      </c>
      <c r="E909" s="196" t="s">
        <v>51</v>
      </c>
      <c r="F909" s="197" t="s">
        <v>611</v>
      </c>
      <c r="G909" s="198" t="s">
        <v>612</v>
      </c>
      <c r="H909" s="163" t="s">
        <v>333</v>
      </c>
      <c r="I909" s="161" t="n">
        <v>21</v>
      </c>
      <c r="J909" s="156" t="s">
        <v>192</v>
      </c>
      <c r="K909" s="199" t="n">
        <v>45436.1700347222</v>
      </c>
      <c r="L909" s="1" t="n">
        <v>1</v>
      </c>
      <c r="M909" s="156" t="s">
        <v>192</v>
      </c>
      <c r="N909" s="1" t="n">
        <v>421</v>
      </c>
    </row>
    <row r="910" customFormat="false" ht="14.25" hidden="false" customHeight="false" outlineLevel="0" collapsed="false">
      <c r="A910" s="1" t="n">
        <v>164</v>
      </c>
      <c r="B910" s="1" t="s">
        <v>565</v>
      </c>
      <c r="C910" s="1" t="s">
        <v>566</v>
      </c>
      <c r="D910" s="196" t="n">
        <v>2568</v>
      </c>
      <c r="E910" s="196" t="s">
        <v>51</v>
      </c>
      <c r="F910" s="197" t="s">
        <v>611</v>
      </c>
      <c r="G910" s="198" t="s">
        <v>612</v>
      </c>
      <c r="H910" s="163" t="s">
        <v>333</v>
      </c>
      <c r="I910" s="161" t="n">
        <v>21</v>
      </c>
      <c r="J910" s="156" t="s">
        <v>192</v>
      </c>
      <c r="K910" s="199" t="n">
        <v>45436.1700462963</v>
      </c>
      <c r="L910" s="1" t="n">
        <v>1</v>
      </c>
      <c r="M910" s="156" t="s">
        <v>192</v>
      </c>
      <c r="N910" s="1" t="n">
        <v>422</v>
      </c>
    </row>
    <row r="911" customFormat="false" ht="14.25" hidden="false" customHeight="false" outlineLevel="0" collapsed="false">
      <c r="A911" s="1" t="n">
        <v>165</v>
      </c>
      <c r="B911" s="1" t="s">
        <v>565</v>
      </c>
      <c r="C911" s="1" t="s">
        <v>566</v>
      </c>
      <c r="D911" s="196" t="n">
        <v>2568</v>
      </c>
      <c r="E911" s="196" t="s">
        <v>51</v>
      </c>
      <c r="F911" s="197" t="s">
        <v>611</v>
      </c>
      <c r="G911" s="198" t="s">
        <v>612</v>
      </c>
      <c r="H911" s="163" t="s">
        <v>333</v>
      </c>
      <c r="I911" s="161" t="n">
        <v>21</v>
      </c>
      <c r="J911" s="156" t="s">
        <v>192</v>
      </c>
      <c r="K911" s="199" t="n">
        <v>45436.1711805556</v>
      </c>
      <c r="L911" s="1" t="n">
        <v>0</v>
      </c>
      <c r="M911" s="156" t="s">
        <v>192</v>
      </c>
      <c r="N911" s="1" t="n">
        <v>423</v>
      </c>
    </row>
    <row r="912" customFormat="false" ht="14.25" hidden="false" customHeight="false" outlineLevel="0" collapsed="false">
      <c r="A912" s="1" t="n">
        <v>166</v>
      </c>
      <c r="B912" s="1" t="s">
        <v>565</v>
      </c>
      <c r="C912" s="1" t="s">
        <v>566</v>
      </c>
      <c r="D912" s="196" t="n">
        <v>2568</v>
      </c>
      <c r="E912" s="196" t="s">
        <v>51</v>
      </c>
      <c r="F912" s="197" t="s">
        <v>611</v>
      </c>
      <c r="G912" s="198" t="s">
        <v>612</v>
      </c>
      <c r="H912" s="163" t="s">
        <v>333</v>
      </c>
      <c r="I912" s="161" t="n">
        <v>21</v>
      </c>
      <c r="J912" s="156" t="s">
        <v>192</v>
      </c>
      <c r="K912" s="199" t="n">
        <v>45436.1729976852</v>
      </c>
      <c r="L912" s="1" t="n">
        <v>1</v>
      </c>
      <c r="M912" s="156" t="s">
        <v>192</v>
      </c>
      <c r="N912" s="1" t="n">
        <v>424</v>
      </c>
    </row>
    <row r="913" customFormat="false" ht="14.25" hidden="false" customHeight="false" outlineLevel="0" collapsed="false">
      <c r="A913" s="1" t="n">
        <v>167</v>
      </c>
      <c r="B913" s="1" t="s">
        <v>565</v>
      </c>
      <c r="C913" s="1" t="s">
        <v>566</v>
      </c>
      <c r="D913" s="196" t="n">
        <v>2568</v>
      </c>
      <c r="E913" s="196" t="s">
        <v>51</v>
      </c>
      <c r="F913" s="197" t="s">
        <v>611</v>
      </c>
      <c r="G913" s="198" t="s">
        <v>612</v>
      </c>
      <c r="H913" s="163" t="s">
        <v>333</v>
      </c>
      <c r="I913" s="161" t="n">
        <v>21</v>
      </c>
      <c r="J913" s="156" t="s">
        <v>192</v>
      </c>
      <c r="K913" s="199" t="n">
        <v>45436.1730092593</v>
      </c>
      <c r="L913" s="1" t="n">
        <v>0</v>
      </c>
      <c r="M913" s="156" t="s">
        <v>192</v>
      </c>
      <c r="N913" s="1" t="n">
        <v>425</v>
      </c>
    </row>
    <row r="914" customFormat="false" ht="14.25" hidden="false" customHeight="false" outlineLevel="0" collapsed="false">
      <c r="A914" s="1" t="n">
        <v>168</v>
      </c>
      <c r="B914" s="1" t="s">
        <v>565</v>
      </c>
      <c r="C914" s="1" t="s">
        <v>566</v>
      </c>
      <c r="D914" s="196" t="n">
        <v>2568</v>
      </c>
      <c r="E914" s="196" t="s">
        <v>51</v>
      </c>
      <c r="F914" s="197" t="s">
        <v>611</v>
      </c>
      <c r="G914" s="198" t="s">
        <v>612</v>
      </c>
      <c r="H914" s="163" t="s">
        <v>333</v>
      </c>
      <c r="I914" s="161" t="n">
        <v>21</v>
      </c>
      <c r="J914" s="156" t="s">
        <v>192</v>
      </c>
      <c r="K914" s="199" t="n">
        <v>45436.1730208333</v>
      </c>
      <c r="L914" s="1" t="n">
        <v>1</v>
      </c>
      <c r="M914" s="156" t="s">
        <v>192</v>
      </c>
      <c r="N914" s="1" t="n">
        <v>426</v>
      </c>
    </row>
    <row r="915" customFormat="false" ht="14.25" hidden="false" customHeight="false" outlineLevel="0" collapsed="false">
      <c r="A915" s="1" t="n">
        <v>169</v>
      </c>
      <c r="B915" s="1" t="s">
        <v>565</v>
      </c>
      <c r="C915" s="1" t="s">
        <v>566</v>
      </c>
      <c r="D915" s="196" t="n">
        <v>2568</v>
      </c>
      <c r="E915" s="196" t="s">
        <v>51</v>
      </c>
      <c r="F915" s="197" t="s">
        <v>613</v>
      </c>
      <c r="G915" s="198" t="s">
        <v>614</v>
      </c>
      <c r="H915" s="163" t="s">
        <v>387</v>
      </c>
      <c r="I915" s="161" t="n">
        <v>100</v>
      </c>
      <c r="J915" s="156" t="s">
        <v>192</v>
      </c>
      <c r="K915" s="199" t="n">
        <v>45436.1764814815</v>
      </c>
      <c r="L915" s="1" t="n">
        <v>0</v>
      </c>
      <c r="M915" s="156" t="s">
        <v>192</v>
      </c>
      <c r="N915" s="1" t="n">
        <v>427</v>
      </c>
    </row>
    <row r="916" customFormat="false" ht="14.25" hidden="false" customHeight="false" outlineLevel="0" collapsed="false">
      <c r="A916" s="1" t="n">
        <v>170</v>
      </c>
      <c r="B916" s="1" t="s">
        <v>565</v>
      </c>
      <c r="C916" s="1" t="s">
        <v>566</v>
      </c>
      <c r="D916" s="196" t="n">
        <v>2568</v>
      </c>
      <c r="E916" s="196" t="s">
        <v>51</v>
      </c>
      <c r="F916" s="197" t="s">
        <v>611</v>
      </c>
      <c r="G916" s="198" t="s">
        <v>612</v>
      </c>
      <c r="H916" s="163" t="s">
        <v>333</v>
      </c>
      <c r="I916" s="161" t="n">
        <v>21</v>
      </c>
      <c r="J916" s="156" t="s">
        <v>192</v>
      </c>
      <c r="K916" s="199" t="n">
        <v>45436.1822337963</v>
      </c>
      <c r="L916" s="1" t="n">
        <v>1</v>
      </c>
      <c r="M916" s="156" t="s">
        <v>192</v>
      </c>
      <c r="N916" s="1" t="n">
        <v>428</v>
      </c>
    </row>
    <row r="917" customFormat="false" ht="14.25" hidden="false" customHeight="false" outlineLevel="0" collapsed="false">
      <c r="A917" s="1" t="n">
        <v>171</v>
      </c>
      <c r="B917" s="1" t="s">
        <v>565</v>
      </c>
      <c r="C917" s="1" t="s">
        <v>566</v>
      </c>
      <c r="D917" s="196" t="n">
        <v>2568</v>
      </c>
      <c r="E917" s="196" t="s">
        <v>51</v>
      </c>
      <c r="F917" s="197" t="s">
        <v>611</v>
      </c>
      <c r="G917" s="198" t="s">
        <v>612</v>
      </c>
      <c r="H917" s="163" t="s">
        <v>333</v>
      </c>
      <c r="I917" s="161" t="n">
        <v>21</v>
      </c>
      <c r="J917" s="156" t="s">
        <v>192</v>
      </c>
      <c r="K917" s="199" t="n">
        <v>45436.1827314815</v>
      </c>
      <c r="L917" s="1" t="n">
        <v>1</v>
      </c>
      <c r="M917" s="156" t="s">
        <v>192</v>
      </c>
      <c r="N917" s="1" t="n">
        <v>429</v>
      </c>
    </row>
    <row r="918" customFormat="false" ht="14.25" hidden="false" customHeight="false" outlineLevel="0" collapsed="false">
      <c r="A918" s="1" t="n">
        <v>172</v>
      </c>
      <c r="B918" s="1" t="s">
        <v>565</v>
      </c>
      <c r="C918" s="1" t="s">
        <v>566</v>
      </c>
      <c r="D918" s="196" t="n">
        <v>2568</v>
      </c>
      <c r="E918" s="196" t="s">
        <v>51</v>
      </c>
      <c r="F918" s="197" t="s">
        <v>595</v>
      </c>
      <c r="G918" s="198" t="s">
        <v>596</v>
      </c>
      <c r="H918" s="163" t="s">
        <v>534</v>
      </c>
      <c r="I918" s="161" t="n">
        <v>98</v>
      </c>
      <c r="J918" s="156" t="s">
        <v>192</v>
      </c>
      <c r="K918" s="199" t="n">
        <v>45436.1846759259</v>
      </c>
      <c r="L918" s="1" t="n">
        <v>0</v>
      </c>
      <c r="M918" s="156" t="s">
        <v>192</v>
      </c>
      <c r="N918" s="1" t="n">
        <v>430</v>
      </c>
    </row>
    <row r="919" customFormat="false" ht="14.25" hidden="false" customHeight="false" outlineLevel="0" collapsed="false">
      <c r="A919" s="1" t="n">
        <v>173</v>
      </c>
      <c r="B919" s="1" t="s">
        <v>565</v>
      </c>
      <c r="C919" s="1" t="s">
        <v>566</v>
      </c>
      <c r="D919" s="196" t="n">
        <v>2568</v>
      </c>
      <c r="E919" s="196" t="s">
        <v>51</v>
      </c>
      <c r="F919" s="197" t="s">
        <v>595</v>
      </c>
      <c r="G919" s="198" t="s">
        <v>596</v>
      </c>
      <c r="H919" s="163" t="s">
        <v>534</v>
      </c>
      <c r="I919" s="161" t="n">
        <v>98</v>
      </c>
      <c r="J919" s="156" t="s">
        <v>192</v>
      </c>
      <c r="K919" s="199" t="n">
        <v>45436.1846875</v>
      </c>
      <c r="L919" s="1" t="n">
        <v>1</v>
      </c>
      <c r="M919" s="156" t="s">
        <v>192</v>
      </c>
      <c r="N919" s="1" t="n">
        <v>431</v>
      </c>
    </row>
    <row r="920" customFormat="false" ht="14.25" hidden="false" customHeight="false" outlineLevel="0" collapsed="false">
      <c r="A920" s="1" t="n">
        <v>174</v>
      </c>
      <c r="B920" s="1" t="s">
        <v>565</v>
      </c>
      <c r="C920" s="1" t="s">
        <v>566</v>
      </c>
      <c r="D920" s="196" t="n">
        <v>2568</v>
      </c>
      <c r="E920" s="196" t="s">
        <v>51</v>
      </c>
      <c r="F920" s="197" t="s">
        <v>595</v>
      </c>
      <c r="G920" s="198" t="s">
        <v>596</v>
      </c>
      <c r="H920" s="163" t="s">
        <v>534</v>
      </c>
      <c r="I920" s="161" t="n">
        <v>98</v>
      </c>
      <c r="J920" s="156" t="s">
        <v>192</v>
      </c>
      <c r="K920" s="199" t="n">
        <v>45436.1851967593</v>
      </c>
      <c r="L920" s="10" t="n">
        <v>54</v>
      </c>
      <c r="M920" s="156" t="s">
        <v>192</v>
      </c>
      <c r="N920" s="1" t="n">
        <v>432</v>
      </c>
    </row>
    <row r="921" customFormat="false" ht="14.25" hidden="false" customHeight="false" outlineLevel="0" collapsed="false">
      <c r="A921" s="1" t="n">
        <v>175</v>
      </c>
      <c r="B921" s="1" t="s">
        <v>565</v>
      </c>
      <c r="C921" s="1" t="s">
        <v>566</v>
      </c>
      <c r="D921" s="196" t="n">
        <v>2568</v>
      </c>
      <c r="E921" s="196" t="s">
        <v>51</v>
      </c>
      <c r="F921" s="197" t="s">
        <v>603</v>
      </c>
      <c r="G921" s="198" t="s">
        <v>604</v>
      </c>
      <c r="H921" s="163" t="s">
        <v>489</v>
      </c>
      <c r="I921" s="161" t="n">
        <v>82</v>
      </c>
      <c r="J921" s="156" t="s">
        <v>192</v>
      </c>
      <c r="K921" s="199" t="n">
        <v>45436.2746064815</v>
      </c>
      <c r="L921" s="1" t="n">
        <v>0</v>
      </c>
      <c r="M921" s="156" t="s">
        <v>192</v>
      </c>
      <c r="N921" s="1" t="n">
        <v>433</v>
      </c>
    </row>
    <row r="922" customFormat="false" ht="14.25" hidden="false" customHeight="false" outlineLevel="0" collapsed="false">
      <c r="A922" s="1" t="n">
        <v>176</v>
      </c>
      <c r="B922" s="1" t="s">
        <v>565</v>
      </c>
      <c r="C922" s="1" t="s">
        <v>566</v>
      </c>
      <c r="D922" s="196" t="n">
        <v>2568</v>
      </c>
      <c r="E922" s="196" t="s">
        <v>51</v>
      </c>
      <c r="F922" s="197" t="s">
        <v>603</v>
      </c>
      <c r="G922" s="198" t="s">
        <v>604</v>
      </c>
      <c r="H922" s="163" t="s">
        <v>489</v>
      </c>
      <c r="I922" s="161" t="n">
        <v>82</v>
      </c>
      <c r="J922" s="156" t="s">
        <v>192</v>
      </c>
      <c r="K922" s="199" t="n">
        <v>45436.2786574074</v>
      </c>
      <c r="L922" s="1" t="n">
        <v>0</v>
      </c>
      <c r="M922" s="156" t="s">
        <v>192</v>
      </c>
      <c r="N922" s="1" t="n">
        <v>434</v>
      </c>
    </row>
    <row r="923" customFormat="false" ht="14.25" hidden="false" customHeight="false" outlineLevel="0" collapsed="false">
      <c r="A923" s="1" t="n">
        <v>116</v>
      </c>
      <c r="B923" s="1" t="s">
        <v>681</v>
      </c>
      <c r="C923" s="1" t="s">
        <v>682</v>
      </c>
      <c r="D923" s="1" t="n">
        <v>11197</v>
      </c>
      <c r="E923" s="1" t="s">
        <v>53</v>
      </c>
      <c r="F923" s="201" t="n">
        <v>200025889154</v>
      </c>
      <c r="G923" s="198" t="s">
        <v>641</v>
      </c>
      <c r="H923" s="172" t="n">
        <v>91178</v>
      </c>
      <c r="I923" s="170" t="n">
        <v>34</v>
      </c>
      <c r="J923" s="169" t="s">
        <v>192</v>
      </c>
      <c r="K923" s="200" t="n">
        <v>45436.699224537</v>
      </c>
      <c r="L923" s="1" t="n">
        <v>1</v>
      </c>
      <c r="M923" s="169" t="s">
        <v>192</v>
      </c>
      <c r="N923" s="1" t="n">
        <v>435</v>
      </c>
    </row>
    <row r="924" customFormat="false" ht="14.25" hidden="false" customHeight="false" outlineLevel="0" collapsed="false">
      <c r="A924" s="1" t="n">
        <v>117</v>
      </c>
      <c r="B924" s="1" t="s">
        <v>681</v>
      </c>
      <c r="C924" s="1" t="s">
        <v>682</v>
      </c>
      <c r="D924" s="1" t="n">
        <v>11197</v>
      </c>
      <c r="E924" s="1" t="s">
        <v>53</v>
      </c>
      <c r="F924" s="201" t="n">
        <v>200025889154</v>
      </c>
      <c r="G924" s="198" t="s">
        <v>641</v>
      </c>
      <c r="H924" s="172" t="n">
        <v>91178</v>
      </c>
      <c r="I924" s="170" t="n">
        <v>34</v>
      </c>
      <c r="J924" s="169" t="s">
        <v>192</v>
      </c>
      <c r="K924" s="200" t="n">
        <v>45436.6997453704</v>
      </c>
      <c r="L924" s="1" t="n">
        <v>0</v>
      </c>
      <c r="M924" s="169" t="s">
        <v>192</v>
      </c>
      <c r="N924" s="1" t="n">
        <v>436</v>
      </c>
    </row>
    <row r="925" customFormat="false" ht="14.25" hidden="false" customHeight="false" outlineLevel="0" collapsed="false">
      <c r="A925" s="1" t="n">
        <v>118</v>
      </c>
      <c r="B925" s="1" t="s">
        <v>681</v>
      </c>
      <c r="C925" s="1" t="s">
        <v>682</v>
      </c>
      <c r="D925" s="1" t="n">
        <v>11197</v>
      </c>
      <c r="E925" s="1" t="s">
        <v>53</v>
      </c>
      <c r="F925" s="201" t="n">
        <v>200025889154</v>
      </c>
      <c r="G925" s="198" t="s">
        <v>641</v>
      </c>
      <c r="H925" s="172" t="n">
        <v>91178</v>
      </c>
      <c r="I925" s="170" t="n">
        <v>34</v>
      </c>
      <c r="J925" s="169" t="s">
        <v>192</v>
      </c>
      <c r="K925" s="200" t="n">
        <v>45436.7264583333</v>
      </c>
      <c r="L925" s="1" t="n">
        <v>1</v>
      </c>
      <c r="M925" s="169" t="s">
        <v>192</v>
      </c>
      <c r="N925" s="1" t="n">
        <v>437</v>
      </c>
    </row>
    <row r="926" customFormat="false" ht="14.25" hidden="false" customHeight="false" outlineLevel="0" collapsed="false">
      <c r="A926" s="1" t="n">
        <v>226</v>
      </c>
      <c r="B926" s="1" t="s">
        <v>621</v>
      </c>
      <c r="C926" s="1" t="s">
        <v>622</v>
      </c>
      <c r="D926" s="1" t="n">
        <v>11171</v>
      </c>
      <c r="E926" s="1" t="s">
        <v>55</v>
      </c>
      <c r="F926" s="201" t="n">
        <v>200025889154</v>
      </c>
      <c r="G926" s="198" t="s">
        <v>641</v>
      </c>
      <c r="H926" s="172" t="n">
        <v>91178</v>
      </c>
      <c r="I926" s="170" t="n">
        <v>34</v>
      </c>
      <c r="J926" s="169" t="s">
        <v>192</v>
      </c>
      <c r="K926" s="200" t="n">
        <v>45436.7791782407</v>
      </c>
      <c r="L926" s="1" t="n">
        <v>5</v>
      </c>
      <c r="M926" s="169" t="s">
        <v>192</v>
      </c>
      <c r="N926" s="1" t="n">
        <v>438</v>
      </c>
    </row>
    <row r="927" customFormat="false" ht="14.25" hidden="false" customHeight="false" outlineLevel="0" collapsed="false">
      <c r="A927" s="1" t="n">
        <v>227</v>
      </c>
      <c r="B927" s="1" t="s">
        <v>621</v>
      </c>
      <c r="C927" s="1" t="s">
        <v>622</v>
      </c>
      <c r="D927" s="1" t="n">
        <v>11171</v>
      </c>
      <c r="E927" s="1" t="s">
        <v>55</v>
      </c>
      <c r="F927" s="201" t="n">
        <v>200025889154</v>
      </c>
      <c r="G927" s="198" t="s">
        <v>641</v>
      </c>
      <c r="H927" s="172" t="n">
        <v>91178</v>
      </c>
      <c r="I927" s="170" t="n">
        <v>34</v>
      </c>
      <c r="J927" s="169" t="s">
        <v>192</v>
      </c>
      <c r="K927" s="200" t="n">
        <v>45436.7806828704</v>
      </c>
      <c r="L927" s="1" t="n">
        <v>2</v>
      </c>
      <c r="M927" s="169" t="s">
        <v>192</v>
      </c>
      <c r="N927" s="1" t="n">
        <v>439</v>
      </c>
    </row>
    <row r="928" customFormat="false" ht="14.25" hidden="false" customHeight="false" outlineLevel="0" collapsed="false">
      <c r="A928" s="1" t="n">
        <v>228</v>
      </c>
      <c r="B928" s="1" t="s">
        <v>621</v>
      </c>
      <c r="C928" s="1" t="s">
        <v>622</v>
      </c>
      <c r="D928" s="1" t="n">
        <v>11171</v>
      </c>
      <c r="E928" s="1" t="s">
        <v>55</v>
      </c>
      <c r="F928" s="201" t="n">
        <v>200025889154</v>
      </c>
      <c r="G928" s="198" t="s">
        <v>641</v>
      </c>
      <c r="H928" s="172" t="n">
        <v>91178</v>
      </c>
      <c r="I928" s="170" t="n">
        <v>34</v>
      </c>
      <c r="J928" s="169" t="s">
        <v>192</v>
      </c>
      <c r="K928" s="200" t="n">
        <v>45436.7813773148</v>
      </c>
      <c r="L928" s="1" t="n">
        <v>9</v>
      </c>
      <c r="M928" s="169" t="s">
        <v>192</v>
      </c>
      <c r="N928" s="1" t="n">
        <v>440</v>
      </c>
    </row>
    <row r="929" customFormat="false" ht="14.25" hidden="false" customHeight="false" outlineLevel="0" collapsed="false">
      <c r="A929" s="1" t="n">
        <v>229</v>
      </c>
      <c r="B929" s="1" t="s">
        <v>621</v>
      </c>
      <c r="C929" s="1" t="s">
        <v>622</v>
      </c>
      <c r="D929" s="1" t="n">
        <v>11171</v>
      </c>
      <c r="E929" s="1" t="s">
        <v>55</v>
      </c>
      <c r="F929" s="201" t="n">
        <v>200025889154</v>
      </c>
      <c r="G929" s="198" t="s">
        <v>641</v>
      </c>
      <c r="H929" s="172" t="n">
        <v>91178</v>
      </c>
      <c r="I929" s="170" t="n">
        <v>34</v>
      </c>
      <c r="J929" s="169" t="s">
        <v>192</v>
      </c>
      <c r="K929" s="200" t="n">
        <v>45436.8488657407</v>
      </c>
      <c r="L929" s="1" t="n">
        <v>2</v>
      </c>
      <c r="M929" s="169" t="s">
        <v>192</v>
      </c>
      <c r="N929" s="1" t="n">
        <v>441</v>
      </c>
    </row>
    <row r="930" customFormat="false" ht="14.25" hidden="false" customHeight="false" outlineLevel="0" collapsed="false">
      <c r="A930" s="1" t="n">
        <v>230</v>
      </c>
      <c r="B930" s="1" t="s">
        <v>621</v>
      </c>
      <c r="C930" s="1" t="s">
        <v>622</v>
      </c>
      <c r="D930" s="1" t="n">
        <v>11171</v>
      </c>
      <c r="E930" s="1" t="s">
        <v>55</v>
      </c>
      <c r="F930" s="201" t="n">
        <v>200025889154</v>
      </c>
      <c r="G930" s="198" t="s">
        <v>641</v>
      </c>
      <c r="H930" s="172" t="n">
        <v>91178</v>
      </c>
      <c r="I930" s="170" t="n">
        <v>34</v>
      </c>
      <c r="J930" s="169" t="s">
        <v>192</v>
      </c>
      <c r="K930" s="200" t="n">
        <v>45436.9282523148</v>
      </c>
      <c r="L930" s="1" t="n">
        <v>2</v>
      </c>
      <c r="M930" s="169" t="s">
        <v>192</v>
      </c>
      <c r="N930" s="1" t="n">
        <v>442</v>
      </c>
    </row>
    <row r="931" customFormat="false" ht="14.25" hidden="false" customHeight="false" outlineLevel="0" collapsed="false">
      <c r="A931" s="1" t="n">
        <v>231</v>
      </c>
      <c r="B931" s="1" t="s">
        <v>621</v>
      </c>
      <c r="C931" s="1" t="s">
        <v>622</v>
      </c>
      <c r="D931" s="1" t="n">
        <v>11171</v>
      </c>
      <c r="E931" s="1" t="s">
        <v>55</v>
      </c>
      <c r="F931" s="201" t="n">
        <v>200025889154</v>
      </c>
      <c r="G931" s="198" t="s">
        <v>641</v>
      </c>
      <c r="H931" s="172" t="n">
        <v>91178</v>
      </c>
      <c r="I931" s="170" t="n">
        <v>34</v>
      </c>
      <c r="J931" s="169" t="s">
        <v>192</v>
      </c>
      <c r="K931" s="200" t="n">
        <v>45436.9336111111</v>
      </c>
      <c r="L931" s="1" t="n">
        <v>5</v>
      </c>
      <c r="M931" s="169" t="s">
        <v>192</v>
      </c>
      <c r="N931" s="1" t="n">
        <v>443</v>
      </c>
    </row>
    <row r="932" customFormat="false" ht="14.25" hidden="false" customHeight="false" outlineLevel="0" collapsed="false">
      <c r="A932" s="1" t="n">
        <v>232</v>
      </c>
      <c r="B932" s="1" t="s">
        <v>621</v>
      </c>
      <c r="C932" s="1" t="s">
        <v>622</v>
      </c>
      <c r="D932" s="1" t="n">
        <v>11171</v>
      </c>
      <c r="E932" s="1" t="s">
        <v>55</v>
      </c>
      <c r="F932" s="201" t="n">
        <v>200025889154</v>
      </c>
      <c r="G932" s="198" t="s">
        <v>641</v>
      </c>
      <c r="H932" s="172" t="n">
        <v>91178</v>
      </c>
      <c r="I932" s="170" t="n">
        <v>34</v>
      </c>
      <c r="J932" s="169" t="s">
        <v>192</v>
      </c>
      <c r="K932" s="200" t="n">
        <v>45436.9355092593</v>
      </c>
      <c r="L932" s="1" t="n">
        <v>2</v>
      </c>
      <c r="M932" s="169" t="s">
        <v>192</v>
      </c>
      <c r="N932" s="1" t="n">
        <v>444</v>
      </c>
    </row>
    <row r="933" customFormat="false" ht="14.25" hidden="false" customHeight="false" outlineLevel="0" collapsed="false">
      <c r="A933" s="1" t="n">
        <v>233</v>
      </c>
      <c r="B933" s="1" t="s">
        <v>621</v>
      </c>
      <c r="C933" s="1" t="s">
        <v>622</v>
      </c>
      <c r="D933" s="1" t="n">
        <v>11171</v>
      </c>
      <c r="E933" s="1" t="s">
        <v>55</v>
      </c>
      <c r="F933" s="201" t="n">
        <v>200025889154</v>
      </c>
      <c r="G933" s="198" t="s">
        <v>641</v>
      </c>
      <c r="H933" s="172" t="n">
        <v>91178</v>
      </c>
      <c r="I933" s="170" t="n">
        <v>34</v>
      </c>
      <c r="J933" s="169" t="s">
        <v>192</v>
      </c>
      <c r="K933" s="200" t="n">
        <v>45436.9558912037</v>
      </c>
      <c r="L933" s="1" t="n">
        <v>2</v>
      </c>
      <c r="M933" s="169" t="s">
        <v>192</v>
      </c>
      <c r="N933" s="1" t="n">
        <v>445</v>
      </c>
    </row>
    <row r="934" customFormat="false" ht="14.25" hidden="false" customHeight="false" outlineLevel="0" collapsed="false">
      <c r="A934" s="1" t="n">
        <v>177</v>
      </c>
      <c r="B934" s="1" t="s">
        <v>565</v>
      </c>
      <c r="C934" s="1" t="s">
        <v>566</v>
      </c>
      <c r="D934" s="196" t="n">
        <v>11197</v>
      </c>
      <c r="E934" s="1" t="s">
        <v>53</v>
      </c>
      <c r="F934" s="198" t="n">
        <v>200025889154</v>
      </c>
      <c r="G934" s="198" t="s">
        <v>641</v>
      </c>
      <c r="H934" s="172" t="n">
        <v>91178</v>
      </c>
      <c r="I934" s="170" t="n">
        <v>34</v>
      </c>
      <c r="J934" s="169" t="s">
        <v>192</v>
      </c>
      <c r="K934" s="199" t="n">
        <v>45436.9966203704</v>
      </c>
      <c r="L934" s="1" t="n">
        <v>1</v>
      </c>
      <c r="M934" s="169" t="s">
        <v>192</v>
      </c>
      <c r="N934" s="1" t="n">
        <v>446</v>
      </c>
    </row>
    <row r="935" customFormat="false" ht="14.25" hidden="false" customHeight="false" outlineLevel="0" collapsed="false">
      <c r="A935" s="1" t="n">
        <v>178</v>
      </c>
      <c r="B935" s="1" t="s">
        <v>565</v>
      </c>
      <c r="C935" s="1" t="s">
        <v>566</v>
      </c>
      <c r="D935" s="196" t="n">
        <v>11197</v>
      </c>
      <c r="E935" s="1" t="s">
        <v>53</v>
      </c>
      <c r="F935" s="198" t="n">
        <v>200025889154</v>
      </c>
      <c r="G935" s="198" t="s">
        <v>641</v>
      </c>
      <c r="H935" s="172" t="n">
        <v>91178</v>
      </c>
      <c r="I935" s="170" t="n">
        <v>34</v>
      </c>
      <c r="J935" s="169" t="s">
        <v>192</v>
      </c>
      <c r="K935" s="199" t="n">
        <v>45436.999849537</v>
      </c>
      <c r="L935" s="1" t="n">
        <v>0</v>
      </c>
      <c r="M935" s="169" t="s">
        <v>192</v>
      </c>
      <c r="N935" s="1" t="n">
        <v>447</v>
      </c>
    </row>
    <row r="936" customFormat="false" ht="14.25" hidden="false" customHeight="false" outlineLevel="0" collapsed="false">
      <c r="A936" s="1" t="n">
        <v>179</v>
      </c>
      <c r="B936" s="1" t="s">
        <v>565</v>
      </c>
      <c r="C936" s="1" t="s">
        <v>566</v>
      </c>
      <c r="D936" s="196" t="n">
        <v>11197</v>
      </c>
      <c r="E936" s="1" t="s">
        <v>53</v>
      </c>
      <c r="F936" s="198" t="n">
        <v>200025889154</v>
      </c>
      <c r="G936" s="198" t="s">
        <v>641</v>
      </c>
      <c r="H936" s="172" t="n">
        <v>91178</v>
      </c>
      <c r="I936" s="170" t="n">
        <v>34</v>
      </c>
      <c r="J936" s="169" t="s">
        <v>192</v>
      </c>
      <c r="K936" s="199" t="n">
        <v>45437.0001273148</v>
      </c>
      <c r="L936" s="1" t="n">
        <v>1</v>
      </c>
      <c r="M936" s="169" t="s">
        <v>192</v>
      </c>
      <c r="N936" s="1" t="n">
        <v>448</v>
      </c>
    </row>
    <row r="937" customFormat="false" ht="14.25" hidden="false" customHeight="false" outlineLevel="0" collapsed="false">
      <c r="A937" s="1" t="n">
        <v>180</v>
      </c>
      <c r="B937" s="1" t="s">
        <v>565</v>
      </c>
      <c r="C937" s="1" t="s">
        <v>566</v>
      </c>
      <c r="D937" s="196" t="n">
        <v>11197</v>
      </c>
      <c r="E937" s="1" t="s">
        <v>53</v>
      </c>
      <c r="F937" s="198" t="n">
        <v>200025889154</v>
      </c>
      <c r="G937" s="198" t="s">
        <v>641</v>
      </c>
      <c r="H937" s="172" t="n">
        <v>91178</v>
      </c>
      <c r="I937" s="170" t="n">
        <v>34</v>
      </c>
      <c r="J937" s="169" t="s">
        <v>192</v>
      </c>
      <c r="K937" s="199" t="n">
        <v>45437.000150463</v>
      </c>
      <c r="L937" s="10" t="n">
        <v>296</v>
      </c>
      <c r="M937" s="169" t="s">
        <v>192</v>
      </c>
      <c r="N937" s="1" t="n">
        <v>449</v>
      </c>
    </row>
    <row r="938" customFormat="false" ht="14.25" hidden="false" customHeight="false" outlineLevel="0" collapsed="false">
      <c r="A938" s="1" t="n">
        <v>181</v>
      </c>
      <c r="B938" s="1" t="s">
        <v>565</v>
      </c>
      <c r="C938" s="1" t="s">
        <v>566</v>
      </c>
      <c r="D938" s="196" t="n">
        <v>11197</v>
      </c>
      <c r="E938" s="1" t="s">
        <v>53</v>
      </c>
      <c r="F938" s="198" t="n">
        <v>200025889154</v>
      </c>
      <c r="G938" s="198" t="s">
        <v>641</v>
      </c>
      <c r="H938" s="172" t="n">
        <v>91178</v>
      </c>
      <c r="I938" s="170" t="n">
        <v>34</v>
      </c>
      <c r="J938" s="169" t="s">
        <v>192</v>
      </c>
      <c r="K938" s="199" t="n">
        <v>45437.0084953704</v>
      </c>
      <c r="L938" s="1" t="n">
        <v>2</v>
      </c>
      <c r="M938" s="169" t="s">
        <v>192</v>
      </c>
      <c r="N938" s="1" t="n">
        <v>450</v>
      </c>
    </row>
    <row r="939" customFormat="false" ht="14.25" hidden="false" customHeight="false" outlineLevel="0" collapsed="false">
      <c r="A939" s="1" t="n">
        <v>182</v>
      </c>
      <c r="B939" s="1" t="s">
        <v>565</v>
      </c>
      <c r="C939" s="1" t="s">
        <v>566</v>
      </c>
      <c r="D939" s="196" t="n">
        <v>11197</v>
      </c>
      <c r="E939" s="1" t="s">
        <v>53</v>
      </c>
      <c r="F939" s="198" t="n">
        <v>200025889154</v>
      </c>
      <c r="G939" s="198" t="s">
        <v>641</v>
      </c>
      <c r="H939" s="172" t="n">
        <v>91178</v>
      </c>
      <c r="I939" s="170" t="n">
        <v>34</v>
      </c>
      <c r="J939" s="169" t="s">
        <v>192</v>
      </c>
      <c r="K939" s="199" t="n">
        <v>45437.0099652778</v>
      </c>
      <c r="L939" s="1" t="n">
        <v>1</v>
      </c>
      <c r="M939" s="169" t="s">
        <v>192</v>
      </c>
      <c r="N939" s="1" t="n">
        <v>451</v>
      </c>
    </row>
    <row r="940" customFormat="false" ht="14.25" hidden="false" customHeight="false" outlineLevel="0" collapsed="false">
      <c r="A940" s="1" t="n">
        <v>234</v>
      </c>
      <c r="B940" s="1" t="s">
        <v>621</v>
      </c>
      <c r="C940" s="1" t="s">
        <v>622</v>
      </c>
      <c r="D940" s="1" t="n">
        <v>11171</v>
      </c>
      <c r="E940" s="1" t="s">
        <v>55</v>
      </c>
      <c r="F940" s="201" t="n">
        <v>200025888228</v>
      </c>
      <c r="G940" s="198" t="s">
        <v>680</v>
      </c>
      <c r="H940" s="163" t="s">
        <v>282</v>
      </c>
      <c r="I940" s="161" t="n">
        <v>106</v>
      </c>
      <c r="J940" s="156" t="s">
        <v>192</v>
      </c>
      <c r="K940" s="200" t="n">
        <v>45437.1995023148</v>
      </c>
      <c r="L940" s="1" t="n">
        <v>4</v>
      </c>
      <c r="M940" s="156" t="s">
        <v>192</v>
      </c>
      <c r="N940" s="1" t="n">
        <v>452</v>
      </c>
    </row>
    <row r="941" customFormat="false" ht="14.25" hidden="false" customHeight="false" outlineLevel="0" collapsed="false">
      <c r="A941" s="1" t="n">
        <v>235</v>
      </c>
      <c r="B941" s="1" t="s">
        <v>621</v>
      </c>
      <c r="C941" s="1" t="s">
        <v>622</v>
      </c>
      <c r="D941" s="1" t="n">
        <v>11171</v>
      </c>
      <c r="E941" s="1" t="s">
        <v>55</v>
      </c>
      <c r="F941" s="201" t="n">
        <v>200025888228</v>
      </c>
      <c r="G941" s="198" t="s">
        <v>680</v>
      </c>
      <c r="H941" s="163" t="s">
        <v>282</v>
      </c>
      <c r="I941" s="161" t="n">
        <v>106</v>
      </c>
      <c r="J941" s="156" t="s">
        <v>192</v>
      </c>
      <c r="K941" s="200" t="n">
        <v>45437.2010069444</v>
      </c>
      <c r="L941" s="1" t="n">
        <v>4</v>
      </c>
      <c r="M941" s="156" t="s">
        <v>192</v>
      </c>
      <c r="N941" s="1" t="n">
        <v>453</v>
      </c>
    </row>
    <row r="942" customFormat="false" ht="14.25" hidden="false" customHeight="false" outlineLevel="0" collapsed="false">
      <c r="A942" s="1" t="n">
        <v>236</v>
      </c>
      <c r="B942" s="1" t="s">
        <v>621</v>
      </c>
      <c r="C942" s="1" t="s">
        <v>622</v>
      </c>
      <c r="D942" s="1" t="n">
        <v>11171</v>
      </c>
      <c r="E942" s="1" t="s">
        <v>55</v>
      </c>
      <c r="F942" s="201" t="n">
        <v>200025888228</v>
      </c>
      <c r="G942" s="198" t="s">
        <v>680</v>
      </c>
      <c r="H942" s="163" t="s">
        <v>282</v>
      </c>
      <c r="I942" s="161" t="n">
        <v>106</v>
      </c>
      <c r="J942" s="156" t="s">
        <v>192</v>
      </c>
      <c r="K942" s="200" t="n">
        <v>45437.2059259259</v>
      </c>
      <c r="L942" s="1" t="n">
        <v>3</v>
      </c>
      <c r="M942" s="156" t="s">
        <v>192</v>
      </c>
      <c r="N942" s="1" t="n">
        <v>454</v>
      </c>
    </row>
    <row r="943" customFormat="false" ht="14.25" hidden="false" customHeight="false" outlineLevel="0" collapsed="false">
      <c r="A943" s="1" t="n">
        <v>237</v>
      </c>
      <c r="B943" s="1" t="s">
        <v>621</v>
      </c>
      <c r="C943" s="1" t="s">
        <v>622</v>
      </c>
      <c r="D943" s="1" t="n">
        <v>11171</v>
      </c>
      <c r="E943" s="1" t="s">
        <v>55</v>
      </c>
      <c r="F943" s="201" t="n">
        <v>200025888228</v>
      </c>
      <c r="G943" s="198" t="s">
        <v>680</v>
      </c>
      <c r="H943" s="163" t="s">
        <v>282</v>
      </c>
      <c r="I943" s="161" t="n">
        <v>106</v>
      </c>
      <c r="J943" s="156" t="s">
        <v>192</v>
      </c>
      <c r="K943" s="200" t="n">
        <v>45437.2088541667</v>
      </c>
      <c r="L943" s="1" t="n">
        <v>2</v>
      </c>
      <c r="M943" s="156" t="s">
        <v>192</v>
      </c>
      <c r="N943" s="1" t="n">
        <v>455</v>
      </c>
    </row>
    <row r="944" customFormat="false" ht="14.25" hidden="false" customHeight="false" outlineLevel="0" collapsed="false">
      <c r="A944" s="1" t="n">
        <v>119</v>
      </c>
      <c r="B944" s="1" t="s">
        <v>681</v>
      </c>
      <c r="C944" s="1" t="s">
        <v>682</v>
      </c>
      <c r="D944" s="1" t="n">
        <v>11171</v>
      </c>
      <c r="E944" s="1" t="s">
        <v>55</v>
      </c>
      <c r="F944" s="201" t="n">
        <v>200025889212</v>
      </c>
      <c r="G944" s="198" t="s">
        <v>683</v>
      </c>
      <c r="H944" s="163" t="s">
        <v>519</v>
      </c>
      <c r="I944" s="161" t="n">
        <v>112</v>
      </c>
      <c r="J944" s="156" t="s">
        <v>192</v>
      </c>
      <c r="K944" s="200" t="n">
        <v>45437.5852199074</v>
      </c>
      <c r="L944" s="1" t="n">
        <v>0</v>
      </c>
      <c r="M944" s="156" t="s">
        <v>192</v>
      </c>
      <c r="N944" s="1" t="n">
        <v>456</v>
      </c>
    </row>
    <row r="945" customFormat="false" ht="14.25" hidden="false" customHeight="false" outlineLevel="0" collapsed="false">
      <c r="A945" s="1" t="n">
        <v>259</v>
      </c>
      <c r="B945" s="1" t="s">
        <v>621</v>
      </c>
      <c r="C945" s="1" t="s">
        <v>622</v>
      </c>
      <c r="D945" s="196" t="n">
        <v>2568</v>
      </c>
      <c r="E945" s="196" t="s">
        <v>51</v>
      </c>
      <c r="F945" s="201" t="n">
        <v>200025889375</v>
      </c>
      <c r="G945" s="198" t="s">
        <v>623</v>
      </c>
      <c r="H945" s="163" t="s">
        <v>516</v>
      </c>
      <c r="I945" s="161" t="n">
        <v>84</v>
      </c>
      <c r="J945" s="156" t="s">
        <v>192</v>
      </c>
      <c r="K945" s="200" t="n">
        <v>45442.5783217593</v>
      </c>
      <c r="L945" s="10" t="n">
        <v>7793</v>
      </c>
      <c r="M945" s="156" t="s">
        <v>192</v>
      </c>
      <c r="N945" s="1" t="n">
        <v>457</v>
      </c>
    </row>
    <row r="946" customFormat="false" ht="14.25" hidden="false" customHeight="false" outlineLevel="0" collapsed="false">
      <c r="A946" s="1" t="n">
        <v>13</v>
      </c>
      <c r="B946" s="1" t="s">
        <v>643</v>
      </c>
      <c r="C946" s="1" t="s">
        <v>644</v>
      </c>
      <c r="D946" s="1" t="n">
        <v>11197</v>
      </c>
      <c r="E946" s="1" t="s">
        <v>53</v>
      </c>
      <c r="F946" s="201" t="n">
        <v>200025888194</v>
      </c>
      <c r="G946" s="198" t="s">
        <v>701</v>
      </c>
      <c r="H946" s="163" t="s">
        <v>230</v>
      </c>
      <c r="I946" s="161" t="n">
        <v>33</v>
      </c>
      <c r="J946" s="156" t="s">
        <v>192</v>
      </c>
      <c r="K946" s="200" t="n">
        <v>45443.483125</v>
      </c>
      <c r="L946" s="1" t="n">
        <v>0</v>
      </c>
      <c r="M946" s="156" t="s">
        <v>192</v>
      </c>
      <c r="N946" s="1" t="n">
        <v>458</v>
      </c>
    </row>
    <row r="947" customFormat="false" ht="14.25" hidden="false" customHeight="false" outlineLevel="0" collapsed="false">
      <c r="A947" s="1" t="n">
        <v>14</v>
      </c>
      <c r="B947" s="1" t="s">
        <v>643</v>
      </c>
      <c r="C947" s="1" t="s">
        <v>644</v>
      </c>
      <c r="D947" s="1" t="n">
        <v>11197</v>
      </c>
      <c r="E947" s="1" t="s">
        <v>53</v>
      </c>
      <c r="F947" s="201" t="n">
        <v>200025889394</v>
      </c>
      <c r="G947" s="198" t="s">
        <v>662</v>
      </c>
      <c r="H947" s="163" t="s">
        <v>543</v>
      </c>
      <c r="I947" s="161" t="n">
        <v>120</v>
      </c>
      <c r="J947" s="156" t="s">
        <v>192</v>
      </c>
      <c r="K947" s="200" t="n">
        <v>45443.5935763889</v>
      </c>
      <c r="L947" s="1" t="n">
        <v>0</v>
      </c>
      <c r="M947" s="156" t="s">
        <v>192</v>
      </c>
      <c r="N947" s="1" t="n">
        <v>459</v>
      </c>
    </row>
    <row r="948" customFormat="false" ht="14.25" hidden="false" customHeight="false" outlineLevel="0" collapsed="false">
      <c r="A948" s="1" t="n">
        <v>15</v>
      </c>
      <c r="B948" s="1" t="s">
        <v>643</v>
      </c>
      <c r="C948" s="1" t="s">
        <v>644</v>
      </c>
      <c r="D948" s="1" t="n">
        <v>11197</v>
      </c>
      <c r="E948" s="1" t="s">
        <v>53</v>
      </c>
      <c r="F948" s="201" t="n">
        <v>200025889333</v>
      </c>
      <c r="G948" s="198" t="s">
        <v>652</v>
      </c>
      <c r="H948" s="163" t="s">
        <v>445</v>
      </c>
      <c r="I948" s="161" t="n">
        <v>50</v>
      </c>
      <c r="J948" s="156" t="s">
        <v>192</v>
      </c>
      <c r="K948" s="200" t="n">
        <v>45444.5920717593</v>
      </c>
      <c r="L948" s="1" t="n">
        <v>0</v>
      </c>
      <c r="M948" s="156" t="s">
        <v>192</v>
      </c>
      <c r="N948" s="1" t="n">
        <v>460</v>
      </c>
    </row>
    <row r="949" customFormat="false" ht="14.25" hidden="false" customHeight="false" outlineLevel="0" collapsed="false">
      <c r="A949" s="1" t="n">
        <v>16</v>
      </c>
      <c r="B949" s="1" t="s">
        <v>643</v>
      </c>
      <c r="C949" s="1" t="s">
        <v>644</v>
      </c>
      <c r="D949" s="1" t="n">
        <v>11197</v>
      </c>
      <c r="E949" s="1" t="s">
        <v>53</v>
      </c>
      <c r="F949" s="201" t="n">
        <v>200025889333</v>
      </c>
      <c r="G949" s="198" t="s">
        <v>652</v>
      </c>
      <c r="H949" s="163" t="s">
        <v>445</v>
      </c>
      <c r="I949" s="161" t="n">
        <v>50</v>
      </c>
      <c r="J949" s="156" t="s">
        <v>192</v>
      </c>
      <c r="K949" s="200" t="n">
        <v>45444.5920833333</v>
      </c>
      <c r="L949" s="1" t="n">
        <v>0</v>
      </c>
      <c r="M949" s="156" t="s">
        <v>192</v>
      </c>
      <c r="N949" s="1" t="n">
        <v>461</v>
      </c>
    </row>
    <row r="950" customFormat="false" ht="14.25" hidden="false" customHeight="false" outlineLevel="0" collapsed="false">
      <c r="A950" s="1" t="n">
        <v>17</v>
      </c>
      <c r="B950" s="1" t="s">
        <v>643</v>
      </c>
      <c r="C950" s="1" t="s">
        <v>644</v>
      </c>
      <c r="D950" s="1" t="n">
        <v>11197</v>
      </c>
      <c r="E950" s="1" t="s">
        <v>53</v>
      </c>
      <c r="F950" s="201" t="n">
        <v>200025889333</v>
      </c>
      <c r="G950" s="198" t="s">
        <v>652</v>
      </c>
      <c r="H950" s="163" t="s">
        <v>445</v>
      </c>
      <c r="I950" s="161" t="n">
        <v>50</v>
      </c>
      <c r="J950" s="156" t="s">
        <v>192</v>
      </c>
      <c r="K950" s="200" t="n">
        <v>45444.5921064815</v>
      </c>
      <c r="L950" s="1" t="n">
        <v>0</v>
      </c>
      <c r="M950" s="156" t="s">
        <v>192</v>
      </c>
      <c r="N950" s="1" t="n">
        <v>462</v>
      </c>
    </row>
    <row r="951" customFormat="false" ht="14.25" hidden="false" customHeight="false" outlineLevel="0" collapsed="false">
      <c r="A951" s="1" t="n">
        <v>11</v>
      </c>
      <c r="B951" s="1" t="s">
        <v>684</v>
      </c>
      <c r="C951" s="1" t="s">
        <v>685</v>
      </c>
      <c r="D951" s="1" t="n">
        <v>11171</v>
      </c>
      <c r="E951" s="1" t="s">
        <v>55</v>
      </c>
      <c r="F951" s="201" t="n">
        <v>200025888708</v>
      </c>
      <c r="G951" s="198" t="s">
        <v>686</v>
      </c>
      <c r="H951" s="163" t="s">
        <v>424</v>
      </c>
      <c r="I951" s="161" t="n">
        <v>104</v>
      </c>
      <c r="J951" s="156" t="s">
        <v>192</v>
      </c>
      <c r="K951" s="200" t="n">
        <v>45445.5759837963</v>
      </c>
      <c r="L951" s="1" t="n">
        <v>1</v>
      </c>
      <c r="M951" s="156" t="s">
        <v>192</v>
      </c>
      <c r="N951" s="1" t="n">
        <v>463</v>
      </c>
    </row>
    <row r="952" customFormat="false" ht="14.25" hidden="false" customHeight="false" outlineLevel="0" collapsed="false">
      <c r="A952" s="1" t="n">
        <v>262</v>
      </c>
      <c r="B952" s="1" t="s">
        <v>621</v>
      </c>
      <c r="C952" s="1" t="s">
        <v>622</v>
      </c>
      <c r="D952" s="1" t="n">
        <v>21296</v>
      </c>
      <c r="E952" s="1" t="s">
        <v>57</v>
      </c>
      <c r="F952" s="201" t="n">
        <v>200025889350</v>
      </c>
      <c r="G952" s="198" t="s">
        <v>582</v>
      </c>
      <c r="H952" s="163" t="s">
        <v>378</v>
      </c>
      <c r="I952" s="161" t="n">
        <v>29</v>
      </c>
      <c r="J952" s="156" t="s">
        <v>192</v>
      </c>
      <c r="K952" s="200" t="n">
        <v>45447.5959953704</v>
      </c>
      <c r="L952" s="1" t="n">
        <v>0</v>
      </c>
      <c r="M952" s="156" t="s">
        <v>192</v>
      </c>
      <c r="N952" s="1" t="n">
        <v>464</v>
      </c>
    </row>
    <row r="953" customFormat="false" ht="14.25" hidden="false" customHeight="false" outlineLevel="0" collapsed="false">
      <c r="A953" s="1" t="n">
        <v>263</v>
      </c>
      <c r="B953" s="1" t="s">
        <v>621</v>
      </c>
      <c r="C953" s="1" t="s">
        <v>622</v>
      </c>
      <c r="D953" s="1" t="n">
        <v>21296</v>
      </c>
      <c r="E953" s="1" t="s">
        <v>57</v>
      </c>
      <c r="F953" s="201" t="n">
        <v>200025889350</v>
      </c>
      <c r="G953" s="198" t="s">
        <v>582</v>
      </c>
      <c r="H953" s="163" t="s">
        <v>378</v>
      </c>
      <c r="I953" s="161" t="n">
        <v>29</v>
      </c>
      <c r="J953" s="156" t="s">
        <v>192</v>
      </c>
      <c r="K953" s="200" t="n">
        <v>45447.5960069444</v>
      </c>
      <c r="L953" s="1" t="n">
        <v>0</v>
      </c>
      <c r="M953" s="156" t="s">
        <v>192</v>
      </c>
      <c r="N953" s="1" t="n">
        <v>465</v>
      </c>
    </row>
    <row r="954" customFormat="false" ht="14.25" hidden="false" customHeight="false" outlineLevel="0" collapsed="false">
      <c r="A954" s="1" t="n">
        <v>264</v>
      </c>
      <c r="B954" s="1" t="s">
        <v>621</v>
      </c>
      <c r="C954" s="1" t="s">
        <v>622</v>
      </c>
      <c r="D954" s="1" t="n">
        <v>21296</v>
      </c>
      <c r="E954" s="1" t="s">
        <v>57</v>
      </c>
      <c r="F954" s="201" t="n">
        <v>200025889350</v>
      </c>
      <c r="G954" s="198" t="s">
        <v>582</v>
      </c>
      <c r="H954" s="163" t="s">
        <v>378</v>
      </c>
      <c r="I954" s="161" t="n">
        <v>29</v>
      </c>
      <c r="J954" s="156" t="s">
        <v>192</v>
      </c>
      <c r="K954" s="200" t="n">
        <v>45447.5960069444</v>
      </c>
      <c r="L954" s="1" t="n">
        <v>1</v>
      </c>
      <c r="M954" s="156" t="s">
        <v>192</v>
      </c>
      <c r="N954" s="1" t="n">
        <v>466</v>
      </c>
    </row>
    <row r="955" customFormat="false" ht="14.25" hidden="false" customHeight="false" outlineLevel="0" collapsed="false">
      <c r="A955" s="1" t="n">
        <v>19</v>
      </c>
      <c r="B955" s="1" t="s">
        <v>643</v>
      </c>
      <c r="C955" s="1" t="s">
        <v>644</v>
      </c>
      <c r="D955" s="1" t="n">
        <v>11171</v>
      </c>
      <c r="E955" s="1" t="s">
        <v>55</v>
      </c>
      <c r="F955" s="201" t="n">
        <v>200025889149</v>
      </c>
      <c r="G955" s="198" t="s">
        <v>687</v>
      </c>
      <c r="H955" s="163" t="s">
        <v>459</v>
      </c>
      <c r="I955" s="161" t="n">
        <v>53</v>
      </c>
      <c r="J955" s="156" t="s">
        <v>192</v>
      </c>
      <c r="K955" s="200" t="n">
        <v>45447.6194560185</v>
      </c>
      <c r="L955" s="1" t="n">
        <v>2</v>
      </c>
      <c r="M955" s="156" t="s">
        <v>192</v>
      </c>
      <c r="N955" s="1" t="n">
        <v>467</v>
      </c>
    </row>
    <row r="956" customFormat="false" ht="14.25" hidden="false" customHeight="false" outlineLevel="0" collapsed="false">
      <c r="A956" s="1" t="n">
        <v>20</v>
      </c>
      <c r="B956" s="1" t="s">
        <v>643</v>
      </c>
      <c r="C956" s="1" t="s">
        <v>644</v>
      </c>
      <c r="D956" s="1" t="n">
        <v>11171</v>
      </c>
      <c r="E956" s="1" t="s">
        <v>55</v>
      </c>
      <c r="F956" s="201" t="n">
        <v>200025889149</v>
      </c>
      <c r="G956" s="198" t="s">
        <v>687</v>
      </c>
      <c r="H956" s="163" t="s">
        <v>459</v>
      </c>
      <c r="I956" s="161" t="n">
        <v>53</v>
      </c>
      <c r="J956" s="156" t="s">
        <v>192</v>
      </c>
      <c r="K956" s="200" t="n">
        <v>45447.6204398148</v>
      </c>
      <c r="L956" s="1" t="n">
        <v>1</v>
      </c>
      <c r="M956" s="156" t="s">
        <v>192</v>
      </c>
      <c r="N956" s="1" t="n">
        <v>468</v>
      </c>
    </row>
    <row r="957" customFormat="false" ht="14.25" hidden="false" customHeight="false" outlineLevel="0" collapsed="false">
      <c r="A957" s="1" t="n">
        <v>21</v>
      </c>
      <c r="B957" s="1" t="s">
        <v>643</v>
      </c>
      <c r="C957" s="1" t="s">
        <v>644</v>
      </c>
      <c r="D957" s="1" t="n">
        <v>11171</v>
      </c>
      <c r="E957" s="1" t="s">
        <v>55</v>
      </c>
      <c r="F957" s="201" t="n">
        <v>200025889149</v>
      </c>
      <c r="G957" s="198" t="s">
        <v>687</v>
      </c>
      <c r="H957" s="163" t="s">
        <v>459</v>
      </c>
      <c r="I957" s="161" t="n">
        <v>53</v>
      </c>
      <c r="J957" s="156" t="s">
        <v>192</v>
      </c>
      <c r="K957" s="200" t="n">
        <v>45447.6209953704</v>
      </c>
      <c r="L957" s="1" t="n">
        <v>2</v>
      </c>
      <c r="M957" s="156" t="s">
        <v>192</v>
      </c>
      <c r="N957" s="1" t="n">
        <v>469</v>
      </c>
    </row>
    <row r="958" customFormat="false" ht="14.25" hidden="false" customHeight="false" outlineLevel="0" collapsed="false">
      <c r="A958" s="1" t="n">
        <v>22</v>
      </c>
      <c r="B958" s="1" t="s">
        <v>643</v>
      </c>
      <c r="C958" s="1" t="s">
        <v>644</v>
      </c>
      <c r="D958" s="1" t="n">
        <v>11171</v>
      </c>
      <c r="E958" s="1" t="s">
        <v>55</v>
      </c>
      <c r="F958" s="201" t="n">
        <v>200025889149</v>
      </c>
      <c r="G958" s="198" t="s">
        <v>687</v>
      </c>
      <c r="H958" s="163" t="s">
        <v>459</v>
      </c>
      <c r="I958" s="161" t="n">
        <v>53</v>
      </c>
      <c r="J958" s="156" t="s">
        <v>192</v>
      </c>
      <c r="K958" s="200" t="n">
        <v>45447.6215393519</v>
      </c>
      <c r="L958" s="1" t="n">
        <v>2</v>
      </c>
      <c r="M958" s="156" t="s">
        <v>192</v>
      </c>
      <c r="N958" s="1" t="n">
        <v>470</v>
      </c>
    </row>
    <row r="959" customFormat="false" ht="14.25" hidden="false" customHeight="false" outlineLevel="0" collapsed="false">
      <c r="A959" s="1" t="n">
        <v>23</v>
      </c>
      <c r="B959" s="1" t="s">
        <v>643</v>
      </c>
      <c r="C959" s="1" t="s">
        <v>644</v>
      </c>
      <c r="D959" s="1" t="n">
        <v>11171</v>
      </c>
      <c r="E959" s="1" t="s">
        <v>55</v>
      </c>
      <c r="F959" s="201" t="n">
        <v>200025889149</v>
      </c>
      <c r="G959" s="198" t="s">
        <v>687</v>
      </c>
      <c r="H959" s="163" t="s">
        <v>459</v>
      </c>
      <c r="I959" s="161" t="n">
        <v>53</v>
      </c>
      <c r="J959" s="156" t="s">
        <v>192</v>
      </c>
      <c r="K959" s="200" t="n">
        <v>45447.7995486111</v>
      </c>
      <c r="L959" s="1" t="n">
        <v>2</v>
      </c>
      <c r="M959" s="156" t="s">
        <v>192</v>
      </c>
      <c r="N959" s="1" t="n">
        <v>471</v>
      </c>
    </row>
    <row r="960" customFormat="false" ht="14.25" hidden="false" customHeight="false" outlineLevel="0" collapsed="false">
      <c r="A960" s="1" t="n">
        <v>24</v>
      </c>
      <c r="B960" s="1" t="s">
        <v>643</v>
      </c>
      <c r="C960" s="1" t="s">
        <v>644</v>
      </c>
      <c r="D960" s="1" t="n">
        <v>11171</v>
      </c>
      <c r="E960" s="1" t="s">
        <v>55</v>
      </c>
      <c r="F960" s="201" t="n">
        <v>200025889149</v>
      </c>
      <c r="G960" s="198" t="s">
        <v>687</v>
      </c>
      <c r="H960" s="163" t="s">
        <v>459</v>
      </c>
      <c r="I960" s="161" t="n">
        <v>53</v>
      </c>
      <c r="J960" s="156" t="s">
        <v>192</v>
      </c>
      <c r="K960" s="200" t="n">
        <v>45447.7997800926</v>
      </c>
      <c r="L960" s="1" t="n">
        <v>2</v>
      </c>
      <c r="M960" s="156" t="s">
        <v>192</v>
      </c>
      <c r="N960" s="1" t="n">
        <v>472</v>
      </c>
    </row>
    <row r="961" customFormat="false" ht="14.25" hidden="false" customHeight="false" outlineLevel="0" collapsed="false">
      <c r="A961" s="1" t="n">
        <v>25</v>
      </c>
      <c r="B961" s="1" t="s">
        <v>643</v>
      </c>
      <c r="C961" s="1" t="s">
        <v>644</v>
      </c>
      <c r="D961" s="1" t="n">
        <v>11171</v>
      </c>
      <c r="E961" s="1" t="s">
        <v>55</v>
      </c>
      <c r="F961" s="201" t="n">
        <v>200025889276</v>
      </c>
      <c r="G961" s="198" t="s">
        <v>574</v>
      </c>
      <c r="H961" s="163" t="s">
        <v>477</v>
      </c>
      <c r="I961" s="161" t="n">
        <v>61</v>
      </c>
      <c r="J961" s="156" t="s">
        <v>192</v>
      </c>
      <c r="K961" s="200" t="n">
        <v>45447.8016550926</v>
      </c>
      <c r="L961" s="1" t="n">
        <v>0</v>
      </c>
      <c r="M961" s="156" t="s">
        <v>192</v>
      </c>
      <c r="N961" s="1" t="n">
        <v>473</v>
      </c>
    </row>
    <row r="962" customFormat="false" ht="14.25" hidden="false" customHeight="false" outlineLevel="0" collapsed="false">
      <c r="A962" s="1" t="n">
        <v>26</v>
      </c>
      <c r="B962" s="1" t="s">
        <v>643</v>
      </c>
      <c r="C962" s="1" t="s">
        <v>644</v>
      </c>
      <c r="D962" s="1" t="n">
        <v>11171</v>
      </c>
      <c r="E962" s="1" t="s">
        <v>55</v>
      </c>
      <c r="F962" s="201" t="n">
        <v>200025889149</v>
      </c>
      <c r="G962" s="198" t="s">
        <v>687</v>
      </c>
      <c r="H962" s="163" t="s">
        <v>459</v>
      </c>
      <c r="I962" s="161" t="n">
        <v>53</v>
      </c>
      <c r="J962" s="156" t="s">
        <v>192</v>
      </c>
      <c r="K962" s="200" t="n">
        <v>45447.8024421296</v>
      </c>
      <c r="L962" s="1" t="n">
        <v>1</v>
      </c>
      <c r="M962" s="156" t="s">
        <v>192</v>
      </c>
      <c r="N962" s="1" t="n">
        <v>474</v>
      </c>
    </row>
    <row r="963" customFormat="false" ht="14.25" hidden="false" customHeight="false" outlineLevel="0" collapsed="false">
      <c r="A963" s="1" t="n">
        <v>27</v>
      </c>
      <c r="B963" s="1" t="s">
        <v>643</v>
      </c>
      <c r="C963" s="1" t="s">
        <v>644</v>
      </c>
      <c r="D963" s="1" t="n">
        <v>11171</v>
      </c>
      <c r="E963" s="1" t="s">
        <v>55</v>
      </c>
      <c r="F963" s="201" t="n">
        <v>200025889149</v>
      </c>
      <c r="G963" s="198" t="s">
        <v>687</v>
      </c>
      <c r="H963" s="163" t="s">
        <v>459</v>
      </c>
      <c r="I963" s="161" t="n">
        <v>53</v>
      </c>
      <c r="J963" s="156" t="s">
        <v>192</v>
      </c>
      <c r="K963" s="200" t="n">
        <v>45447.8771296296</v>
      </c>
      <c r="L963" s="1" t="n">
        <v>2</v>
      </c>
      <c r="M963" s="156" t="s">
        <v>192</v>
      </c>
      <c r="N963" s="1" t="n">
        <v>475</v>
      </c>
    </row>
    <row r="964" customFormat="false" ht="14.25" hidden="false" customHeight="false" outlineLevel="0" collapsed="false">
      <c r="A964" s="1" t="n">
        <v>28</v>
      </c>
      <c r="B964" s="1" t="s">
        <v>643</v>
      </c>
      <c r="C964" s="1" t="s">
        <v>644</v>
      </c>
      <c r="D964" s="1" t="n">
        <v>11171</v>
      </c>
      <c r="E964" s="1" t="s">
        <v>55</v>
      </c>
      <c r="F964" s="201" t="n">
        <v>200025889149</v>
      </c>
      <c r="G964" s="198" t="s">
        <v>687</v>
      </c>
      <c r="H964" s="163" t="s">
        <v>459</v>
      </c>
      <c r="I964" s="161" t="n">
        <v>53</v>
      </c>
      <c r="J964" s="156" t="s">
        <v>192</v>
      </c>
      <c r="K964" s="200" t="n">
        <v>45447.8777662037</v>
      </c>
      <c r="L964" s="1" t="n">
        <v>2</v>
      </c>
      <c r="M964" s="156" t="s">
        <v>192</v>
      </c>
      <c r="N964" s="1" t="n">
        <v>476</v>
      </c>
    </row>
    <row r="965" customFormat="false" ht="14.25" hidden="false" customHeight="false" outlineLevel="0" collapsed="false">
      <c r="A965" s="1" t="n">
        <v>29</v>
      </c>
      <c r="B965" s="1" t="s">
        <v>643</v>
      </c>
      <c r="C965" s="1" t="s">
        <v>644</v>
      </c>
      <c r="D965" s="1" t="n">
        <v>11171</v>
      </c>
      <c r="E965" s="1" t="s">
        <v>55</v>
      </c>
      <c r="F965" s="201" t="n">
        <v>200025889149</v>
      </c>
      <c r="G965" s="198" t="s">
        <v>687</v>
      </c>
      <c r="H965" s="163" t="s">
        <v>459</v>
      </c>
      <c r="I965" s="161" t="n">
        <v>53</v>
      </c>
      <c r="J965" s="156" t="s">
        <v>192</v>
      </c>
      <c r="K965" s="200" t="n">
        <v>45447.8830671296</v>
      </c>
      <c r="L965" s="1" t="n">
        <v>1</v>
      </c>
      <c r="M965" s="156" t="s">
        <v>192</v>
      </c>
      <c r="N965" s="1" t="n">
        <v>477</v>
      </c>
    </row>
    <row r="966" customFormat="false" ht="14.25" hidden="false" customHeight="false" outlineLevel="0" collapsed="false">
      <c r="A966" s="1" t="n">
        <v>30</v>
      </c>
      <c r="B966" s="1" t="s">
        <v>643</v>
      </c>
      <c r="C966" s="1" t="s">
        <v>644</v>
      </c>
      <c r="D966" s="1" t="n">
        <v>11171</v>
      </c>
      <c r="E966" s="1" t="s">
        <v>55</v>
      </c>
      <c r="F966" s="201" t="n">
        <v>200025889149</v>
      </c>
      <c r="G966" s="198" t="s">
        <v>687</v>
      </c>
      <c r="H966" s="163" t="s">
        <v>459</v>
      </c>
      <c r="I966" s="161" t="n">
        <v>53</v>
      </c>
      <c r="J966" s="156" t="s">
        <v>192</v>
      </c>
      <c r="K966" s="200" t="n">
        <v>45447.8830787037</v>
      </c>
      <c r="L966" s="1" t="n">
        <v>2</v>
      </c>
      <c r="M966" s="156" t="s">
        <v>192</v>
      </c>
      <c r="N966" s="1" t="n">
        <v>478</v>
      </c>
    </row>
    <row r="967" customFormat="false" ht="14.25" hidden="false" customHeight="false" outlineLevel="0" collapsed="false">
      <c r="A967" s="1" t="n">
        <v>31</v>
      </c>
      <c r="B967" s="1" t="s">
        <v>643</v>
      </c>
      <c r="C967" s="1" t="s">
        <v>644</v>
      </c>
      <c r="D967" s="1" t="n">
        <v>11171</v>
      </c>
      <c r="E967" s="1" t="s">
        <v>55</v>
      </c>
      <c r="F967" s="201" t="n">
        <v>200025889149</v>
      </c>
      <c r="G967" s="198" t="s">
        <v>687</v>
      </c>
      <c r="H967" s="163" t="s">
        <v>459</v>
      </c>
      <c r="I967" s="161" t="n">
        <v>53</v>
      </c>
      <c r="J967" s="156" t="s">
        <v>192</v>
      </c>
      <c r="K967" s="200" t="n">
        <v>45447.8831134259</v>
      </c>
      <c r="L967" s="1" t="n">
        <v>2</v>
      </c>
      <c r="M967" s="156" t="s">
        <v>192</v>
      </c>
      <c r="N967" s="1" t="n">
        <v>479</v>
      </c>
    </row>
    <row r="968" customFormat="false" ht="14.25" hidden="false" customHeight="false" outlineLevel="0" collapsed="false">
      <c r="A968" s="1" t="n">
        <v>32</v>
      </c>
      <c r="B968" s="1" t="s">
        <v>643</v>
      </c>
      <c r="C968" s="1" t="s">
        <v>644</v>
      </c>
      <c r="D968" s="1" t="n">
        <v>11171</v>
      </c>
      <c r="E968" s="1" t="s">
        <v>55</v>
      </c>
      <c r="F968" s="201" t="n">
        <v>200025889149</v>
      </c>
      <c r="G968" s="198" t="s">
        <v>687</v>
      </c>
      <c r="H968" s="163" t="s">
        <v>459</v>
      </c>
      <c r="I968" s="161" t="n">
        <v>53</v>
      </c>
      <c r="J968" s="156" t="s">
        <v>192</v>
      </c>
      <c r="K968" s="200" t="n">
        <v>45447.9740162037</v>
      </c>
      <c r="L968" s="1" t="n">
        <v>2</v>
      </c>
      <c r="M968" s="156" t="s">
        <v>192</v>
      </c>
      <c r="N968" s="1" t="n">
        <v>480</v>
      </c>
    </row>
    <row r="969" customFormat="false" ht="14.25" hidden="false" customHeight="false" outlineLevel="0" collapsed="false">
      <c r="A969" s="1" t="n">
        <v>33</v>
      </c>
      <c r="B969" s="1" t="s">
        <v>643</v>
      </c>
      <c r="C969" s="1" t="s">
        <v>644</v>
      </c>
      <c r="D969" s="1" t="n">
        <v>11171</v>
      </c>
      <c r="E969" s="1" t="s">
        <v>55</v>
      </c>
      <c r="F969" s="201" t="n">
        <v>200025889149</v>
      </c>
      <c r="G969" s="198" t="s">
        <v>687</v>
      </c>
      <c r="H969" s="163" t="s">
        <v>459</v>
      </c>
      <c r="I969" s="161" t="n">
        <v>53</v>
      </c>
      <c r="J969" s="156" t="s">
        <v>192</v>
      </c>
      <c r="K969" s="200" t="n">
        <v>45447.9883333333</v>
      </c>
      <c r="L969" s="1" t="n">
        <v>5</v>
      </c>
      <c r="M969" s="156" t="s">
        <v>192</v>
      </c>
      <c r="N969" s="1" t="n">
        <v>481</v>
      </c>
    </row>
    <row r="970" customFormat="false" ht="14.25" hidden="false" customHeight="false" outlineLevel="0" collapsed="false">
      <c r="A970" s="1" t="n">
        <v>34</v>
      </c>
      <c r="B970" s="1" t="s">
        <v>643</v>
      </c>
      <c r="C970" s="1" t="s">
        <v>644</v>
      </c>
      <c r="D970" s="1" t="n">
        <v>11171</v>
      </c>
      <c r="E970" s="1" t="s">
        <v>55</v>
      </c>
      <c r="F970" s="201" t="n">
        <v>200025889149</v>
      </c>
      <c r="G970" s="198" t="s">
        <v>687</v>
      </c>
      <c r="H970" s="163" t="s">
        <v>459</v>
      </c>
      <c r="I970" s="161" t="n">
        <v>53</v>
      </c>
      <c r="J970" s="156" t="s">
        <v>192</v>
      </c>
      <c r="K970" s="200" t="n">
        <v>45447.9921296296</v>
      </c>
      <c r="L970" s="1" t="n">
        <v>1</v>
      </c>
      <c r="M970" s="156" t="s">
        <v>192</v>
      </c>
      <c r="N970" s="1" t="n">
        <v>482</v>
      </c>
    </row>
    <row r="971" customFormat="false" ht="14.25" hidden="false" customHeight="false" outlineLevel="0" collapsed="false">
      <c r="A971" s="1" t="n">
        <v>35</v>
      </c>
      <c r="B971" s="1" t="s">
        <v>643</v>
      </c>
      <c r="C971" s="1" t="s">
        <v>644</v>
      </c>
      <c r="D971" s="1" t="n">
        <v>11171</v>
      </c>
      <c r="E971" s="1" t="s">
        <v>55</v>
      </c>
      <c r="F971" s="201" t="n">
        <v>200025889149</v>
      </c>
      <c r="G971" s="198" t="s">
        <v>687</v>
      </c>
      <c r="H971" s="163" t="s">
        <v>459</v>
      </c>
      <c r="I971" s="161" t="n">
        <v>53</v>
      </c>
      <c r="J971" s="156" t="s">
        <v>192</v>
      </c>
      <c r="K971" s="200" t="n">
        <v>45447.9921412037</v>
      </c>
      <c r="L971" s="1" t="n">
        <v>2</v>
      </c>
      <c r="M971" s="156" t="s">
        <v>192</v>
      </c>
      <c r="N971" s="1" t="n">
        <v>483</v>
      </c>
    </row>
    <row r="972" customFormat="false" ht="14.25" hidden="false" customHeight="false" outlineLevel="0" collapsed="false">
      <c r="A972" s="1" t="n">
        <v>36</v>
      </c>
      <c r="B972" s="1" t="s">
        <v>643</v>
      </c>
      <c r="C972" s="1" t="s">
        <v>644</v>
      </c>
      <c r="D972" s="1" t="n">
        <v>11171</v>
      </c>
      <c r="E972" s="1" t="s">
        <v>55</v>
      </c>
      <c r="F972" s="201" t="n">
        <v>200025889149</v>
      </c>
      <c r="G972" s="198" t="s">
        <v>687</v>
      </c>
      <c r="H972" s="163" t="s">
        <v>459</v>
      </c>
      <c r="I972" s="161" t="n">
        <v>53</v>
      </c>
      <c r="J972" s="156" t="s">
        <v>192</v>
      </c>
      <c r="K972" s="200" t="n">
        <v>45447.9952546296</v>
      </c>
      <c r="L972" s="1" t="n">
        <v>1</v>
      </c>
      <c r="M972" s="156" t="s">
        <v>192</v>
      </c>
      <c r="N972" s="1" t="n">
        <v>484</v>
      </c>
    </row>
    <row r="973" customFormat="false" ht="14.25" hidden="false" customHeight="false" outlineLevel="0" collapsed="false">
      <c r="A973" s="1" t="n">
        <v>37</v>
      </c>
      <c r="B973" s="1" t="s">
        <v>643</v>
      </c>
      <c r="C973" s="1" t="s">
        <v>644</v>
      </c>
      <c r="D973" s="1" t="n">
        <v>11171</v>
      </c>
      <c r="E973" s="1" t="s">
        <v>55</v>
      </c>
      <c r="F973" s="201" t="n">
        <v>200025889149</v>
      </c>
      <c r="G973" s="198" t="s">
        <v>687</v>
      </c>
      <c r="H973" s="163" t="s">
        <v>459</v>
      </c>
      <c r="I973" s="161" t="n">
        <v>53</v>
      </c>
      <c r="J973" s="156" t="s">
        <v>192</v>
      </c>
      <c r="K973" s="200" t="n">
        <v>45448.116412037</v>
      </c>
      <c r="L973" s="1" t="n">
        <v>0</v>
      </c>
      <c r="M973" s="156" t="s">
        <v>192</v>
      </c>
      <c r="N973" s="1" t="n">
        <v>485</v>
      </c>
    </row>
    <row r="974" customFormat="false" ht="14.25" hidden="false" customHeight="false" outlineLevel="0" collapsed="false">
      <c r="A974" s="1" t="n">
        <v>38</v>
      </c>
      <c r="B974" s="1" t="s">
        <v>643</v>
      </c>
      <c r="C974" s="1" t="s">
        <v>644</v>
      </c>
      <c r="D974" s="1" t="n">
        <v>11171</v>
      </c>
      <c r="E974" s="1" t="s">
        <v>55</v>
      </c>
      <c r="F974" s="201" t="n">
        <v>200025889149</v>
      </c>
      <c r="G974" s="198" t="s">
        <v>687</v>
      </c>
      <c r="H974" s="163" t="s">
        <v>459</v>
      </c>
      <c r="I974" s="161" t="n">
        <v>53</v>
      </c>
      <c r="J974" s="156" t="s">
        <v>192</v>
      </c>
      <c r="K974" s="200" t="n">
        <v>45448.1192476852</v>
      </c>
      <c r="L974" s="1" t="n">
        <v>1</v>
      </c>
      <c r="M974" s="156" t="s">
        <v>192</v>
      </c>
      <c r="N974" s="1" t="n">
        <v>486</v>
      </c>
    </row>
    <row r="975" customFormat="false" ht="14.25" hidden="false" customHeight="false" outlineLevel="0" collapsed="false">
      <c r="A975" s="1" t="n">
        <v>39</v>
      </c>
      <c r="B975" s="1" t="s">
        <v>643</v>
      </c>
      <c r="C975" s="1" t="s">
        <v>644</v>
      </c>
      <c r="D975" s="1" t="n">
        <v>11171</v>
      </c>
      <c r="E975" s="1" t="s">
        <v>55</v>
      </c>
      <c r="F975" s="201" t="n">
        <v>200025889149</v>
      </c>
      <c r="G975" s="198" t="s">
        <v>687</v>
      </c>
      <c r="H975" s="163" t="s">
        <v>459</v>
      </c>
      <c r="I975" s="161" t="n">
        <v>53</v>
      </c>
      <c r="J975" s="156" t="s">
        <v>192</v>
      </c>
      <c r="K975" s="200" t="n">
        <v>45448.1210532407</v>
      </c>
      <c r="L975" s="1" t="n">
        <v>1</v>
      </c>
      <c r="M975" s="156" t="s">
        <v>192</v>
      </c>
      <c r="N975" s="1" t="n">
        <v>487</v>
      </c>
    </row>
    <row r="976" customFormat="false" ht="14.25" hidden="false" customHeight="false" outlineLevel="0" collapsed="false">
      <c r="A976" s="1" t="n">
        <v>40</v>
      </c>
      <c r="B976" s="1" t="s">
        <v>643</v>
      </c>
      <c r="C976" s="1" t="s">
        <v>644</v>
      </c>
      <c r="D976" s="1" t="n">
        <v>11171</v>
      </c>
      <c r="E976" s="1" t="s">
        <v>55</v>
      </c>
      <c r="F976" s="201" t="n">
        <v>200025889149</v>
      </c>
      <c r="G976" s="198" t="s">
        <v>687</v>
      </c>
      <c r="H976" s="163" t="s">
        <v>459</v>
      </c>
      <c r="I976" s="161" t="n">
        <v>53</v>
      </c>
      <c r="J976" s="156" t="s">
        <v>192</v>
      </c>
      <c r="K976" s="200" t="n">
        <v>45448.1210763889</v>
      </c>
      <c r="L976" s="1" t="n">
        <v>2</v>
      </c>
      <c r="M976" s="156" t="s">
        <v>192</v>
      </c>
      <c r="N976" s="1" t="n">
        <v>488</v>
      </c>
    </row>
    <row r="977" customFormat="false" ht="14.25" hidden="false" customHeight="false" outlineLevel="0" collapsed="false">
      <c r="A977" s="1" t="n">
        <v>41</v>
      </c>
      <c r="B977" s="1" t="s">
        <v>643</v>
      </c>
      <c r="C977" s="1" t="s">
        <v>644</v>
      </c>
      <c r="D977" s="1" t="n">
        <v>11171</v>
      </c>
      <c r="E977" s="1" t="s">
        <v>55</v>
      </c>
      <c r="F977" s="201" t="n">
        <v>200025889149</v>
      </c>
      <c r="G977" s="198" t="s">
        <v>687</v>
      </c>
      <c r="H977" s="163" t="s">
        <v>459</v>
      </c>
      <c r="I977" s="161" t="n">
        <v>53</v>
      </c>
      <c r="J977" s="156" t="s">
        <v>192</v>
      </c>
      <c r="K977" s="200" t="n">
        <v>45448.2337847222</v>
      </c>
      <c r="L977" s="1" t="n">
        <v>21</v>
      </c>
      <c r="M977" s="156" t="s">
        <v>192</v>
      </c>
      <c r="N977" s="1" t="n">
        <v>489</v>
      </c>
    </row>
    <row r="978" customFormat="false" ht="14.25" hidden="false" customHeight="false" outlineLevel="0" collapsed="false">
      <c r="A978" s="1" t="n">
        <v>14</v>
      </c>
      <c r="B978" s="1" t="s">
        <v>684</v>
      </c>
      <c r="C978" s="1" t="s">
        <v>685</v>
      </c>
      <c r="D978" s="1" t="n">
        <v>21296</v>
      </c>
      <c r="E978" s="1" t="s">
        <v>57</v>
      </c>
      <c r="F978" s="201" t="n">
        <v>200025889127</v>
      </c>
      <c r="G978" s="198" t="s">
        <v>692</v>
      </c>
      <c r="H978" s="163" t="s">
        <v>507</v>
      </c>
      <c r="I978" s="161" t="n">
        <v>86</v>
      </c>
      <c r="J978" s="156" t="s">
        <v>192</v>
      </c>
      <c r="K978" s="200" t="n">
        <v>45449.5091087963</v>
      </c>
      <c r="L978" s="1" t="n">
        <v>0</v>
      </c>
      <c r="M978" s="156" t="s">
        <v>192</v>
      </c>
      <c r="N978" s="1" t="n">
        <v>490</v>
      </c>
    </row>
    <row r="979" customFormat="false" ht="14.25" hidden="false" customHeight="false" outlineLevel="0" collapsed="false">
      <c r="A979" s="1" t="n">
        <v>15</v>
      </c>
      <c r="B979" s="1" t="s">
        <v>684</v>
      </c>
      <c r="C979" s="1" t="s">
        <v>685</v>
      </c>
      <c r="D979" s="1" t="n">
        <v>21296</v>
      </c>
      <c r="E979" s="1" t="s">
        <v>57</v>
      </c>
      <c r="F979" s="201" t="n">
        <v>200025888890</v>
      </c>
      <c r="G979" s="198" t="s">
        <v>661</v>
      </c>
      <c r="H979" s="163" t="s">
        <v>421</v>
      </c>
      <c r="I979" s="161" t="n">
        <v>40</v>
      </c>
      <c r="J979" s="156" t="s">
        <v>192</v>
      </c>
      <c r="K979" s="200" t="n">
        <v>45450.4923263889</v>
      </c>
      <c r="L979" s="1" t="n">
        <v>1</v>
      </c>
      <c r="M979" s="156" t="s">
        <v>192</v>
      </c>
      <c r="N979" s="1" t="n">
        <v>491</v>
      </c>
    </row>
    <row r="980" customFormat="false" ht="14.25" hidden="false" customHeight="false" outlineLevel="0" collapsed="false">
      <c r="A980" s="1" t="n">
        <v>16</v>
      </c>
      <c r="B980" s="1" t="s">
        <v>684</v>
      </c>
      <c r="C980" s="1" t="s">
        <v>685</v>
      </c>
      <c r="D980" s="1" t="n">
        <v>21296</v>
      </c>
      <c r="E980" s="1" t="s">
        <v>57</v>
      </c>
      <c r="F980" s="201" t="n">
        <v>200025888890</v>
      </c>
      <c r="G980" s="198" t="s">
        <v>661</v>
      </c>
      <c r="H980" s="163" t="s">
        <v>421</v>
      </c>
      <c r="I980" s="161" t="n">
        <v>40</v>
      </c>
      <c r="J980" s="156" t="s">
        <v>192</v>
      </c>
      <c r="K980" s="200" t="n">
        <v>45450.492337963</v>
      </c>
      <c r="L980" s="1" t="n">
        <v>1</v>
      </c>
      <c r="M980" s="156" t="s">
        <v>192</v>
      </c>
      <c r="N980" s="1" t="n">
        <v>492</v>
      </c>
    </row>
    <row r="981" customFormat="false" ht="14.25" hidden="false" customHeight="false" outlineLevel="0" collapsed="false">
      <c r="A981" s="1" t="n">
        <v>17</v>
      </c>
      <c r="B981" s="1" t="s">
        <v>684</v>
      </c>
      <c r="C981" s="1" t="s">
        <v>685</v>
      </c>
      <c r="D981" s="1" t="n">
        <v>21296</v>
      </c>
      <c r="E981" s="1" t="s">
        <v>57</v>
      </c>
      <c r="F981" s="201" t="n">
        <v>200025889159</v>
      </c>
      <c r="G981" s="198" t="s">
        <v>639</v>
      </c>
      <c r="H981" s="163" t="s">
        <v>513</v>
      </c>
      <c r="I981" s="161" t="n">
        <v>111</v>
      </c>
      <c r="J981" s="156" t="s">
        <v>192</v>
      </c>
      <c r="K981" s="200" t="n">
        <v>45450.4976388889</v>
      </c>
      <c r="L981" s="1" t="n">
        <v>3</v>
      </c>
      <c r="M981" s="156" t="s">
        <v>192</v>
      </c>
      <c r="N981" s="1" t="n">
        <v>493</v>
      </c>
    </row>
    <row r="982" customFormat="false" ht="14.25" hidden="false" customHeight="false" outlineLevel="0" collapsed="false">
      <c r="A982" s="1" t="n">
        <v>18</v>
      </c>
      <c r="B982" s="1" t="s">
        <v>684</v>
      </c>
      <c r="C982" s="1" t="s">
        <v>685</v>
      </c>
      <c r="D982" s="1" t="n">
        <v>21296</v>
      </c>
      <c r="E982" s="1" t="s">
        <v>57</v>
      </c>
      <c r="F982" s="201" t="n">
        <v>200025889232</v>
      </c>
      <c r="G982" s="198" t="s">
        <v>627</v>
      </c>
      <c r="H982" s="163" t="s">
        <v>525</v>
      </c>
      <c r="I982" s="161" t="n">
        <v>107</v>
      </c>
      <c r="J982" s="156" t="s">
        <v>192</v>
      </c>
      <c r="K982" s="200" t="n">
        <v>45450.595462963</v>
      </c>
      <c r="L982" s="1" t="n">
        <v>1</v>
      </c>
      <c r="M982" s="156" t="s">
        <v>192</v>
      </c>
      <c r="N982" s="1" t="n">
        <v>494</v>
      </c>
    </row>
    <row r="983" customFormat="false" ht="14.25" hidden="false" customHeight="false" outlineLevel="0" collapsed="false">
      <c r="A983" s="1" t="n">
        <v>19</v>
      </c>
      <c r="B983" s="1" t="s">
        <v>684</v>
      </c>
      <c r="C983" s="1" t="s">
        <v>685</v>
      </c>
      <c r="D983" s="1" t="n">
        <v>21296</v>
      </c>
      <c r="E983" s="1" t="s">
        <v>57</v>
      </c>
      <c r="F983" s="201" t="n">
        <v>200025888748</v>
      </c>
      <c r="G983" s="198" t="s">
        <v>626</v>
      </c>
      <c r="H983" s="163" t="s">
        <v>430</v>
      </c>
      <c r="I983" s="161" t="n">
        <v>85</v>
      </c>
      <c r="J983" s="156" t="s">
        <v>192</v>
      </c>
      <c r="K983" s="200" t="n">
        <v>45450.598900463</v>
      </c>
      <c r="L983" s="1" t="n">
        <v>1</v>
      </c>
      <c r="M983" s="156" t="s">
        <v>192</v>
      </c>
      <c r="N983" s="1" t="n">
        <v>495</v>
      </c>
    </row>
    <row r="984" customFormat="false" ht="14.25" hidden="false" customHeight="false" outlineLevel="0" collapsed="false">
      <c r="A984" s="1" t="n">
        <v>20</v>
      </c>
      <c r="B984" s="1" t="s">
        <v>684</v>
      </c>
      <c r="C984" s="1" t="s">
        <v>685</v>
      </c>
      <c r="D984" s="1" t="n">
        <v>21296</v>
      </c>
      <c r="E984" s="1" t="s">
        <v>57</v>
      </c>
      <c r="F984" s="201" t="n">
        <v>200025889427</v>
      </c>
      <c r="G984" s="198" t="s">
        <v>596</v>
      </c>
      <c r="H984" s="163" t="s">
        <v>534</v>
      </c>
      <c r="I984" s="161" t="n">
        <v>98</v>
      </c>
      <c r="J984" s="156" t="s">
        <v>192</v>
      </c>
      <c r="K984" s="200" t="n">
        <v>45450.6012152778</v>
      </c>
      <c r="L984" s="1" t="n">
        <v>1</v>
      </c>
      <c r="M984" s="156" t="s">
        <v>192</v>
      </c>
      <c r="N984" s="1" t="n">
        <v>496</v>
      </c>
    </row>
    <row r="985" customFormat="false" ht="14.25" hidden="false" customHeight="false" outlineLevel="0" collapsed="false">
      <c r="A985" s="1" t="n">
        <v>21</v>
      </c>
      <c r="B985" s="1" t="s">
        <v>684</v>
      </c>
      <c r="C985" s="1" t="s">
        <v>685</v>
      </c>
      <c r="D985" s="1" t="n">
        <v>21296</v>
      </c>
      <c r="E985" s="1" t="s">
        <v>57</v>
      </c>
      <c r="F985" s="201" t="n">
        <v>200025889427</v>
      </c>
      <c r="G985" s="198" t="s">
        <v>596</v>
      </c>
      <c r="H985" s="163" t="s">
        <v>534</v>
      </c>
      <c r="I985" s="161" t="n">
        <v>98</v>
      </c>
      <c r="J985" s="156" t="s">
        <v>192</v>
      </c>
      <c r="K985" s="200" t="n">
        <v>45450.6013425926</v>
      </c>
      <c r="L985" s="1" t="n">
        <v>1</v>
      </c>
      <c r="M985" s="156" t="s">
        <v>192</v>
      </c>
      <c r="N985" s="1" t="n">
        <v>497</v>
      </c>
    </row>
    <row r="986" customFormat="false" ht="14.25" hidden="false" customHeight="false" outlineLevel="0" collapsed="false">
      <c r="A986" s="1" t="n">
        <v>16</v>
      </c>
      <c r="B986" s="1" t="s">
        <v>624</v>
      </c>
      <c r="C986" s="1" t="s">
        <v>625</v>
      </c>
      <c r="D986" s="196" t="n">
        <v>2568</v>
      </c>
      <c r="E986" s="196" t="s">
        <v>51</v>
      </c>
      <c r="F986" s="201" t="n">
        <v>200025888748</v>
      </c>
      <c r="G986" s="198" t="s">
        <v>626</v>
      </c>
      <c r="H986" s="163" t="s">
        <v>430</v>
      </c>
      <c r="I986" s="161" t="n">
        <v>85</v>
      </c>
      <c r="J986" s="156" t="s">
        <v>192</v>
      </c>
      <c r="K986" s="200" t="n">
        <v>45450.6723148148</v>
      </c>
      <c r="L986" s="201" t="n">
        <v>1</v>
      </c>
      <c r="M986" s="156" t="s">
        <v>192</v>
      </c>
      <c r="N986" s="1" t="n">
        <v>498</v>
      </c>
    </row>
    <row r="987" customFormat="false" ht="14.25" hidden="false" customHeight="false" outlineLevel="0" collapsed="false">
      <c r="A987" s="1" t="n">
        <v>17</v>
      </c>
      <c r="B987" s="1" t="s">
        <v>624</v>
      </c>
      <c r="C987" s="1" t="s">
        <v>625</v>
      </c>
      <c r="D987" s="196" t="n">
        <v>2568</v>
      </c>
      <c r="E987" s="196" t="s">
        <v>51</v>
      </c>
      <c r="F987" s="201" t="n">
        <v>200025889232</v>
      </c>
      <c r="G987" s="198" t="s">
        <v>627</v>
      </c>
      <c r="H987" s="163" t="s">
        <v>525</v>
      </c>
      <c r="I987" s="161" t="n">
        <v>107</v>
      </c>
      <c r="J987" s="156" t="s">
        <v>192</v>
      </c>
      <c r="K987" s="200" t="n">
        <v>45450.6730787037</v>
      </c>
      <c r="L987" s="201" t="n">
        <v>1</v>
      </c>
      <c r="M987" s="156" t="s">
        <v>192</v>
      </c>
      <c r="N987" s="1" t="n">
        <v>499</v>
      </c>
    </row>
    <row r="988" customFormat="false" ht="14.25" hidden="false" customHeight="false" outlineLevel="0" collapsed="false">
      <c r="A988" s="1" t="n">
        <v>13</v>
      </c>
      <c r="B988" s="1" t="s">
        <v>637</v>
      </c>
      <c r="C988" s="1" t="s">
        <v>638</v>
      </c>
      <c r="D988" s="1" t="n">
        <v>21296</v>
      </c>
      <c r="E988" s="1" t="s">
        <v>57</v>
      </c>
      <c r="F988" s="198" t="n">
        <v>200025888864</v>
      </c>
      <c r="G988" s="198" t="s">
        <v>590</v>
      </c>
      <c r="H988" s="163" t="s">
        <v>474</v>
      </c>
      <c r="I988" s="161" t="n">
        <v>87</v>
      </c>
      <c r="J988" s="156" t="s">
        <v>192</v>
      </c>
      <c r="K988" s="200" t="n">
        <v>45450.7462731482</v>
      </c>
      <c r="L988" s="10" t="n">
        <v>765</v>
      </c>
      <c r="M988" s="156" t="s">
        <v>192</v>
      </c>
      <c r="N988" s="1" t="n">
        <v>500</v>
      </c>
    </row>
    <row r="989" customFormat="false" ht="14.25" hidden="false" customHeight="false" outlineLevel="0" collapsed="false">
      <c r="A989" s="1" t="n">
        <v>18</v>
      </c>
      <c r="B989" s="1" t="s">
        <v>624</v>
      </c>
      <c r="C989" s="1" t="s">
        <v>625</v>
      </c>
      <c r="D989" s="196" t="n">
        <v>2568</v>
      </c>
      <c r="E989" s="196" t="s">
        <v>51</v>
      </c>
      <c r="F989" s="201" t="n">
        <v>200025888995</v>
      </c>
      <c r="G989" s="198" t="s">
        <v>628</v>
      </c>
      <c r="H989" s="163" t="s">
        <v>483</v>
      </c>
      <c r="I989" s="161" t="n">
        <v>67</v>
      </c>
      <c r="J989" s="156" t="s">
        <v>192</v>
      </c>
      <c r="K989" s="200" t="n">
        <v>45450.9187037037</v>
      </c>
      <c r="L989" s="201" t="n">
        <v>30</v>
      </c>
      <c r="M989" s="156" t="s">
        <v>192</v>
      </c>
      <c r="N989" s="1" t="n">
        <v>501</v>
      </c>
    </row>
    <row r="990" customFormat="false" ht="14.25" hidden="false" customHeight="false" outlineLevel="0" collapsed="false">
      <c r="A990" s="1" t="n">
        <v>19</v>
      </c>
      <c r="B990" s="1" t="s">
        <v>624</v>
      </c>
      <c r="C990" s="1" t="s">
        <v>625</v>
      </c>
      <c r="D990" s="196" t="n">
        <v>2568</v>
      </c>
      <c r="E990" s="196" t="s">
        <v>51</v>
      </c>
      <c r="F990" s="201" t="n">
        <v>200025888995</v>
      </c>
      <c r="G990" s="198" t="s">
        <v>628</v>
      </c>
      <c r="H990" s="163" t="s">
        <v>483</v>
      </c>
      <c r="I990" s="161" t="n">
        <v>67</v>
      </c>
      <c r="J990" s="156" t="s">
        <v>192</v>
      </c>
      <c r="K990" s="200" t="n">
        <v>45450.9401157407</v>
      </c>
      <c r="L990" s="201" t="n">
        <v>0</v>
      </c>
      <c r="M990" s="156" t="s">
        <v>192</v>
      </c>
      <c r="N990" s="1" t="n">
        <v>502</v>
      </c>
    </row>
    <row r="991" customFormat="false" ht="14.25" hidden="false" customHeight="false" outlineLevel="0" collapsed="false">
      <c r="A991" s="1" t="n">
        <v>20</v>
      </c>
      <c r="B991" s="1" t="s">
        <v>624</v>
      </c>
      <c r="C991" s="1" t="s">
        <v>625</v>
      </c>
      <c r="D991" s="196" t="n">
        <v>2568</v>
      </c>
      <c r="E991" s="196" t="s">
        <v>51</v>
      </c>
      <c r="F991" s="201" t="n">
        <v>200025888995</v>
      </c>
      <c r="G991" s="198" t="s">
        <v>628</v>
      </c>
      <c r="H991" s="163" t="s">
        <v>483</v>
      </c>
      <c r="I991" s="161" t="n">
        <v>67</v>
      </c>
      <c r="J991" s="156" t="s">
        <v>192</v>
      </c>
      <c r="K991" s="200" t="n">
        <v>45450.9989351852</v>
      </c>
      <c r="L991" s="201" t="n">
        <v>0</v>
      </c>
      <c r="M991" s="156" t="s">
        <v>192</v>
      </c>
      <c r="N991" s="1" t="n">
        <v>503</v>
      </c>
    </row>
    <row r="992" customFormat="false" ht="14.25" hidden="false" customHeight="false" outlineLevel="0" collapsed="false">
      <c r="A992" s="1" t="n">
        <v>21</v>
      </c>
      <c r="B992" s="1" t="s">
        <v>624</v>
      </c>
      <c r="C992" s="1" t="s">
        <v>625</v>
      </c>
      <c r="D992" s="196" t="n">
        <v>2568</v>
      </c>
      <c r="E992" s="196" t="s">
        <v>51</v>
      </c>
      <c r="F992" s="201" t="n">
        <v>200025888995</v>
      </c>
      <c r="G992" s="198" t="s">
        <v>628</v>
      </c>
      <c r="H992" s="163" t="s">
        <v>483</v>
      </c>
      <c r="I992" s="161" t="n">
        <v>67</v>
      </c>
      <c r="J992" s="156" t="s">
        <v>192</v>
      </c>
      <c r="K992" s="200" t="n">
        <v>45451.0272222222</v>
      </c>
      <c r="L992" s="201" t="n">
        <v>0</v>
      </c>
      <c r="M992" s="156" t="s">
        <v>192</v>
      </c>
      <c r="N992" s="1" t="n">
        <v>504</v>
      </c>
    </row>
    <row r="993" customFormat="false" ht="14.25" hidden="false" customHeight="false" outlineLevel="0" collapsed="false">
      <c r="A993" s="1" t="n">
        <v>22</v>
      </c>
      <c r="B993" s="1" t="s">
        <v>624</v>
      </c>
      <c r="C993" s="1" t="s">
        <v>625</v>
      </c>
      <c r="D993" s="196" t="n">
        <v>2568</v>
      </c>
      <c r="E993" s="196" t="s">
        <v>51</v>
      </c>
      <c r="F993" s="201" t="n">
        <v>200025888995</v>
      </c>
      <c r="G993" s="198" t="s">
        <v>628</v>
      </c>
      <c r="H993" s="163" t="s">
        <v>483</v>
      </c>
      <c r="I993" s="161" t="n">
        <v>67</v>
      </c>
      <c r="J993" s="156" t="s">
        <v>192</v>
      </c>
      <c r="K993" s="200" t="n">
        <v>45451.0677777778</v>
      </c>
      <c r="L993" s="201" t="n">
        <v>1</v>
      </c>
      <c r="M993" s="156" t="s">
        <v>192</v>
      </c>
      <c r="N993" s="1" t="n">
        <v>505</v>
      </c>
    </row>
    <row r="994" customFormat="false" ht="14.25" hidden="false" customHeight="false" outlineLevel="0" collapsed="false">
      <c r="A994" s="1" t="n">
        <v>23</v>
      </c>
      <c r="B994" s="1" t="s">
        <v>624</v>
      </c>
      <c r="C994" s="1" t="s">
        <v>625</v>
      </c>
      <c r="D994" s="196" t="n">
        <v>2568</v>
      </c>
      <c r="E994" s="196" t="s">
        <v>51</v>
      </c>
      <c r="F994" s="201" t="n">
        <v>200025888995</v>
      </c>
      <c r="G994" s="198" t="s">
        <v>628</v>
      </c>
      <c r="H994" s="163" t="s">
        <v>483</v>
      </c>
      <c r="I994" s="161" t="n">
        <v>67</v>
      </c>
      <c r="J994" s="156" t="s">
        <v>192</v>
      </c>
      <c r="K994" s="200" t="n">
        <v>45451.1184143519</v>
      </c>
      <c r="L994" s="201" t="n">
        <v>0</v>
      </c>
      <c r="M994" s="156" t="s">
        <v>192</v>
      </c>
      <c r="N994" s="1" t="n">
        <v>506</v>
      </c>
    </row>
    <row r="995" customFormat="false" ht="14.25" hidden="false" customHeight="false" outlineLevel="0" collapsed="false">
      <c r="A995" s="1" t="n">
        <v>24</v>
      </c>
      <c r="B995" s="1" t="s">
        <v>624</v>
      </c>
      <c r="C995" s="1" t="s">
        <v>625</v>
      </c>
      <c r="D995" s="196" t="n">
        <v>2568</v>
      </c>
      <c r="E995" s="196" t="s">
        <v>51</v>
      </c>
      <c r="F995" s="201" t="n">
        <v>200025888995</v>
      </c>
      <c r="G995" s="198" t="s">
        <v>628</v>
      </c>
      <c r="H995" s="163" t="s">
        <v>483</v>
      </c>
      <c r="I995" s="161" t="n">
        <v>67</v>
      </c>
      <c r="J995" s="156" t="s">
        <v>192</v>
      </c>
      <c r="K995" s="200" t="n">
        <v>45451.1562962963</v>
      </c>
      <c r="L995" s="1" t="n">
        <v>0</v>
      </c>
      <c r="M995" s="156" t="s">
        <v>192</v>
      </c>
      <c r="N995" s="1" t="n">
        <v>507</v>
      </c>
    </row>
    <row r="996" customFormat="false" ht="14.25" hidden="false" customHeight="false" outlineLevel="0" collapsed="false">
      <c r="A996" s="1" t="n">
        <v>25</v>
      </c>
      <c r="B996" s="1" t="s">
        <v>624</v>
      </c>
      <c r="C996" s="1" t="s">
        <v>625</v>
      </c>
      <c r="D996" s="196" t="n">
        <v>2568</v>
      </c>
      <c r="E996" s="196" t="s">
        <v>51</v>
      </c>
      <c r="F996" s="201" t="n">
        <v>200025888995</v>
      </c>
      <c r="G996" s="198" t="s">
        <v>628</v>
      </c>
      <c r="H996" s="163" t="s">
        <v>483</v>
      </c>
      <c r="I996" s="161" t="n">
        <v>67</v>
      </c>
      <c r="J996" s="156" t="s">
        <v>192</v>
      </c>
      <c r="K996" s="200" t="n">
        <v>45451.2814351852</v>
      </c>
      <c r="L996" s="1" t="n">
        <v>1</v>
      </c>
      <c r="M996" s="156" t="s">
        <v>192</v>
      </c>
      <c r="N996" s="1" t="n">
        <v>508</v>
      </c>
    </row>
    <row r="997" customFormat="false" ht="14.25" hidden="false" customHeight="false" outlineLevel="0" collapsed="false">
      <c r="A997" s="1" t="n">
        <v>26</v>
      </c>
      <c r="B997" s="1" t="s">
        <v>624</v>
      </c>
      <c r="C997" s="1" t="s">
        <v>625</v>
      </c>
      <c r="D997" s="196" t="n">
        <v>2568</v>
      </c>
      <c r="E997" s="196" t="s">
        <v>51</v>
      </c>
      <c r="F997" s="201" t="n">
        <v>200025888995</v>
      </c>
      <c r="G997" s="198" t="s">
        <v>628</v>
      </c>
      <c r="H997" s="163" t="s">
        <v>483</v>
      </c>
      <c r="I997" s="161" t="n">
        <v>67</v>
      </c>
      <c r="J997" s="156" t="s">
        <v>192</v>
      </c>
      <c r="K997" s="200" t="n">
        <v>45451.2814467593</v>
      </c>
      <c r="L997" s="1" t="n">
        <v>0</v>
      </c>
      <c r="M997" s="156" t="s">
        <v>192</v>
      </c>
      <c r="N997" s="1" t="n">
        <v>509</v>
      </c>
    </row>
    <row r="998" customFormat="false" ht="14.25" hidden="false" customHeight="false" outlineLevel="0" collapsed="false">
      <c r="A998" s="1" t="n">
        <v>27</v>
      </c>
      <c r="B998" s="1" t="s">
        <v>624</v>
      </c>
      <c r="C998" s="1" t="s">
        <v>625</v>
      </c>
      <c r="D998" s="196" t="n">
        <v>2568</v>
      </c>
      <c r="E998" s="196" t="s">
        <v>51</v>
      </c>
      <c r="F998" s="201" t="n">
        <v>200025888995</v>
      </c>
      <c r="G998" s="198" t="s">
        <v>628</v>
      </c>
      <c r="H998" s="163" t="s">
        <v>483</v>
      </c>
      <c r="I998" s="161" t="n">
        <v>67</v>
      </c>
      <c r="J998" s="156" t="s">
        <v>192</v>
      </c>
      <c r="K998" s="200" t="n">
        <v>45451.2814583333</v>
      </c>
      <c r="L998" s="1" t="n">
        <v>0</v>
      </c>
      <c r="M998" s="156" t="s">
        <v>192</v>
      </c>
      <c r="N998" s="1" t="n">
        <v>510</v>
      </c>
    </row>
    <row r="999" customFormat="false" ht="14.25" hidden="false" customHeight="false" outlineLevel="0" collapsed="false">
      <c r="A999" s="1" t="n">
        <v>14</v>
      </c>
      <c r="B999" s="1" t="s">
        <v>637</v>
      </c>
      <c r="C999" s="1" t="s">
        <v>638</v>
      </c>
      <c r="D999" s="1" t="n">
        <v>21296</v>
      </c>
      <c r="E999" s="1" t="s">
        <v>57</v>
      </c>
      <c r="F999" s="198" t="n">
        <v>200025888299</v>
      </c>
      <c r="G999" s="198" t="s">
        <v>629</v>
      </c>
      <c r="H999" s="163" t="s">
        <v>312</v>
      </c>
      <c r="I999" s="161" t="n">
        <v>43</v>
      </c>
      <c r="J999" s="156" t="s">
        <v>192</v>
      </c>
      <c r="K999" s="200" t="n">
        <v>45451.3293171296</v>
      </c>
      <c r="L999" s="1" t="n">
        <v>1</v>
      </c>
      <c r="M999" s="156" t="s">
        <v>192</v>
      </c>
      <c r="N999" s="1" t="n">
        <v>511</v>
      </c>
    </row>
    <row r="1000" customFormat="false" ht="14.25" hidden="false" customHeight="false" outlineLevel="0" collapsed="false">
      <c r="A1000" s="1" t="n">
        <v>15</v>
      </c>
      <c r="B1000" s="1" t="s">
        <v>637</v>
      </c>
      <c r="C1000" s="1" t="s">
        <v>638</v>
      </c>
      <c r="D1000" s="1" t="n">
        <v>21296</v>
      </c>
      <c r="E1000" s="1" t="s">
        <v>57</v>
      </c>
      <c r="F1000" s="198" t="n">
        <v>200025888299</v>
      </c>
      <c r="G1000" s="198" t="s">
        <v>629</v>
      </c>
      <c r="H1000" s="163" t="s">
        <v>312</v>
      </c>
      <c r="I1000" s="161" t="n">
        <v>43</v>
      </c>
      <c r="J1000" s="156" t="s">
        <v>192</v>
      </c>
      <c r="K1000" s="200" t="n">
        <v>45451.3293402778</v>
      </c>
      <c r="L1000" s="1" t="n">
        <v>0</v>
      </c>
      <c r="M1000" s="156" t="s">
        <v>192</v>
      </c>
      <c r="N1000" s="1" t="n">
        <v>512</v>
      </c>
    </row>
    <row r="1001" customFormat="false" ht="14.25" hidden="false" customHeight="false" outlineLevel="0" collapsed="false">
      <c r="A1001" s="1" t="n">
        <v>28</v>
      </c>
      <c r="B1001" s="1" t="s">
        <v>624</v>
      </c>
      <c r="C1001" s="1" t="s">
        <v>625</v>
      </c>
      <c r="D1001" s="196" t="n">
        <v>2568</v>
      </c>
      <c r="E1001" s="196" t="s">
        <v>51</v>
      </c>
      <c r="F1001" s="201" t="n">
        <v>200025888995</v>
      </c>
      <c r="G1001" s="198" t="s">
        <v>628</v>
      </c>
      <c r="H1001" s="163" t="s">
        <v>483</v>
      </c>
      <c r="I1001" s="161" t="n">
        <v>67</v>
      </c>
      <c r="J1001" s="156" t="s">
        <v>192</v>
      </c>
      <c r="K1001" s="200" t="n">
        <v>45451.3648958333</v>
      </c>
      <c r="L1001" s="1" t="n">
        <v>1</v>
      </c>
      <c r="M1001" s="156" t="s">
        <v>192</v>
      </c>
      <c r="N1001" s="1" t="n">
        <v>513</v>
      </c>
    </row>
    <row r="1002" customFormat="false" ht="14.25" hidden="false" customHeight="false" outlineLevel="0" collapsed="false">
      <c r="A1002" s="1" t="n">
        <v>29</v>
      </c>
      <c r="B1002" s="1" t="s">
        <v>624</v>
      </c>
      <c r="C1002" s="1" t="s">
        <v>625</v>
      </c>
      <c r="D1002" s="196" t="n">
        <v>2568</v>
      </c>
      <c r="E1002" s="196" t="s">
        <v>51</v>
      </c>
      <c r="F1002" s="201" t="n">
        <v>200025888995</v>
      </c>
      <c r="G1002" s="198" t="s">
        <v>628</v>
      </c>
      <c r="H1002" s="163" t="s">
        <v>483</v>
      </c>
      <c r="I1002" s="161" t="n">
        <v>67</v>
      </c>
      <c r="J1002" s="156" t="s">
        <v>192</v>
      </c>
      <c r="K1002" s="200" t="n">
        <v>45451.3649305556</v>
      </c>
      <c r="L1002" s="1" t="n">
        <v>1</v>
      </c>
      <c r="M1002" s="156" t="s">
        <v>192</v>
      </c>
      <c r="N1002" s="1" t="n">
        <v>514</v>
      </c>
    </row>
    <row r="1003" customFormat="false" ht="14.25" hidden="false" customHeight="false" outlineLevel="0" collapsed="false">
      <c r="A1003" s="1" t="n">
        <v>30</v>
      </c>
      <c r="B1003" s="1" t="s">
        <v>624</v>
      </c>
      <c r="C1003" s="1" t="s">
        <v>625</v>
      </c>
      <c r="D1003" s="196" t="n">
        <v>2568</v>
      </c>
      <c r="E1003" s="196" t="s">
        <v>51</v>
      </c>
      <c r="F1003" s="201" t="n">
        <v>200025888995</v>
      </c>
      <c r="G1003" s="198" t="s">
        <v>628</v>
      </c>
      <c r="H1003" s="163" t="s">
        <v>483</v>
      </c>
      <c r="I1003" s="161" t="n">
        <v>67</v>
      </c>
      <c r="J1003" s="156" t="s">
        <v>192</v>
      </c>
      <c r="K1003" s="200" t="n">
        <v>45451.4232407407</v>
      </c>
      <c r="L1003" s="1" t="n">
        <v>0</v>
      </c>
      <c r="M1003" s="156" t="s">
        <v>192</v>
      </c>
      <c r="N1003" s="1" t="n">
        <v>515</v>
      </c>
    </row>
    <row r="1004" customFormat="false" ht="14.25" hidden="false" customHeight="false" outlineLevel="0" collapsed="false">
      <c r="A1004" s="1" t="n">
        <v>31</v>
      </c>
      <c r="B1004" s="1" t="s">
        <v>624</v>
      </c>
      <c r="C1004" s="1" t="s">
        <v>625</v>
      </c>
      <c r="D1004" s="196" t="n">
        <v>2568</v>
      </c>
      <c r="E1004" s="196" t="s">
        <v>51</v>
      </c>
      <c r="F1004" s="201" t="n">
        <v>200025888299</v>
      </c>
      <c r="G1004" s="198" t="s">
        <v>629</v>
      </c>
      <c r="H1004" s="163" t="s">
        <v>312</v>
      </c>
      <c r="I1004" s="161" t="n">
        <v>43</v>
      </c>
      <c r="J1004" s="156" t="s">
        <v>192</v>
      </c>
      <c r="K1004" s="200" t="n">
        <v>45451.4464699074</v>
      </c>
      <c r="L1004" s="1" t="n">
        <v>0</v>
      </c>
      <c r="M1004" s="156" t="s">
        <v>192</v>
      </c>
      <c r="N1004" s="1" t="n">
        <v>516</v>
      </c>
    </row>
    <row r="1005" customFormat="false" ht="14.25" hidden="false" customHeight="false" outlineLevel="0" collapsed="false">
      <c r="A1005" s="1" t="n">
        <v>32</v>
      </c>
      <c r="B1005" s="1" t="s">
        <v>624</v>
      </c>
      <c r="C1005" s="1" t="s">
        <v>625</v>
      </c>
      <c r="D1005" s="196" t="n">
        <v>2568</v>
      </c>
      <c r="E1005" s="196" t="s">
        <v>51</v>
      </c>
      <c r="F1005" s="201" t="n">
        <v>200025888299</v>
      </c>
      <c r="G1005" s="198" t="s">
        <v>629</v>
      </c>
      <c r="H1005" s="163" t="s">
        <v>312</v>
      </c>
      <c r="I1005" s="161" t="n">
        <v>43</v>
      </c>
      <c r="J1005" s="156" t="s">
        <v>192</v>
      </c>
      <c r="K1005" s="200" t="n">
        <v>45451.4464814815</v>
      </c>
      <c r="L1005" s="1" t="n">
        <v>1</v>
      </c>
      <c r="M1005" s="156" t="s">
        <v>192</v>
      </c>
      <c r="N1005" s="1" t="n">
        <v>517</v>
      </c>
    </row>
    <row r="1006" customFormat="false" ht="14.25" hidden="false" customHeight="false" outlineLevel="0" collapsed="false">
      <c r="A1006" s="1" t="n">
        <v>33</v>
      </c>
      <c r="B1006" s="1" t="s">
        <v>624</v>
      </c>
      <c r="C1006" s="1" t="s">
        <v>625</v>
      </c>
      <c r="D1006" s="196" t="n">
        <v>2568</v>
      </c>
      <c r="E1006" s="196" t="s">
        <v>51</v>
      </c>
      <c r="F1006" s="201" t="n">
        <v>200025888299</v>
      </c>
      <c r="G1006" s="198" t="s">
        <v>629</v>
      </c>
      <c r="H1006" s="163" t="s">
        <v>312</v>
      </c>
      <c r="I1006" s="161" t="n">
        <v>43</v>
      </c>
      <c r="J1006" s="156" t="s">
        <v>192</v>
      </c>
      <c r="K1006" s="200" t="n">
        <v>45451.4468171296</v>
      </c>
      <c r="L1006" s="1" t="n">
        <v>1</v>
      </c>
      <c r="M1006" s="156" t="s">
        <v>192</v>
      </c>
      <c r="N1006" s="1" t="n">
        <v>518</v>
      </c>
    </row>
    <row r="1007" customFormat="false" ht="14.25" hidden="false" customHeight="false" outlineLevel="0" collapsed="false">
      <c r="A1007" s="1" t="n">
        <v>34</v>
      </c>
      <c r="B1007" s="1" t="s">
        <v>624</v>
      </c>
      <c r="C1007" s="1" t="s">
        <v>625</v>
      </c>
      <c r="D1007" s="196" t="n">
        <v>2568</v>
      </c>
      <c r="E1007" s="196" t="s">
        <v>51</v>
      </c>
      <c r="F1007" s="201" t="n">
        <v>200025888299</v>
      </c>
      <c r="G1007" s="198" t="s">
        <v>629</v>
      </c>
      <c r="H1007" s="163" t="s">
        <v>312</v>
      </c>
      <c r="I1007" s="161" t="n">
        <v>43</v>
      </c>
      <c r="J1007" s="156" t="s">
        <v>192</v>
      </c>
      <c r="K1007" s="200" t="n">
        <v>45451.4647337963</v>
      </c>
      <c r="L1007" s="1" t="n">
        <v>1</v>
      </c>
      <c r="M1007" s="156" t="s">
        <v>192</v>
      </c>
      <c r="N1007" s="1" t="n">
        <v>519</v>
      </c>
    </row>
    <row r="1008" customFormat="false" ht="14.25" hidden="false" customHeight="false" outlineLevel="0" collapsed="false">
      <c r="A1008" s="1" t="n">
        <v>35</v>
      </c>
      <c r="B1008" s="1" t="s">
        <v>624</v>
      </c>
      <c r="C1008" s="1" t="s">
        <v>625</v>
      </c>
      <c r="D1008" s="196" t="n">
        <v>2568</v>
      </c>
      <c r="E1008" s="196" t="s">
        <v>51</v>
      </c>
      <c r="F1008" s="201" t="n">
        <v>200025888299</v>
      </c>
      <c r="G1008" s="198" t="s">
        <v>629</v>
      </c>
      <c r="H1008" s="163" t="s">
        <v>312</v>
      </c>
      <c r="I1008" s="161" t="n">
        <v>43</v>
      </c>
      <c r="J1008" s="156" t="s">
        <v>192</v>
      </c>
      <c r="K1008" s="200" t="n">
        <v>45451.4733564815</v>
      </c>
      <c r="L1008" s="1" t="n">
        <v>1</v>
      </c>
      <c r="M1008" s="156" t="s">
        <v>192</v>
      </c>
      <c r="N1008" s="1" t="n">
        <v>520</v>
      </c>
    </row>
    <row r="1009" customFormat="false" ht="14.25" hidden="false" customHeight="false" outlineLevel="0" collapsed="false">
      <c r="A1009" s="1" t="n">
        <v>36</v>
      </c>
      <c r="B1009" s="1" t="s">
        <v>624</v>
      </c>
      <c r="C1009" s="1" t="s">
        <v>625</v>
      </c>
      <c r="D1009" s="196" t="n">
        <v>2568</v>
      </c>
      <c r="E1009" s="196" t="s">
        <v>51</v>
      </c>
      <c r="F1009" s="201" t="n">
        <v>200025888299</v>
      </c>
      <c r="G1009" s="198" t="s">
        <v>629</v>
      </c>
      <c r="H1009" s="163" t="s">
        <v>312</v>
      </c>
      <c r="I1009" s="161" t="n">
        <v>43</v>
      </c>
      <c r="J1009" s="156" t="s">
        <v>192</v>
      </c>
      <c r="K1009" s="200" t="n">
        <v>45451.4733912037</v>
      </c>
      <c r="L1009" s="1" t="n">
        <v>0</v>
      </c>
      <c r="M1009" s="156" t="s">
        <v>192</v>
      </c>
      <c r="N1009" s="1" t="n">
        <v>521</v>
      </c>
    </row>
    <row r="1010" customFormat="false" ht="14.25" hidden="false" customHeight="false" outlineLevel="0" collapsed="false">
      <c r="A1010" s="1" t="n">
        <v>37</v>
      </c>
      <c r="B1010" s="1" t="s">
        <v>624</v>
      </c>
      <c r="C1010" s="1" t="s">
        <v>625</v>
      </c>
      <c r="D1010" s="196" t="n">
        <v>2568</v>
      </c>
      <c r="E1010" s="196" t="s">
        <v>51</v>
      </c>
      <c r="F1010" s="201" t="n">
        <v>200025888299</v>
      </c>
      <c r="G1010" s="198" t="s">
        <v>629</v>
      </c>
      <c r="H1010" s="163" t="s">
        <v>312</v>
      </c>
      <c r="I1010" s="161" t="n">
        <v>43</v>
      </c>
      <c r="J1010" s="156" t="s">
        <v>192</v>
      </c>
      <c r="K1010" s="200" t="n">
        <v>45451.5322222222</v>
      </c>
      <c r="L1010" s="1" t="n">
        <v>1</v>
      </c>
      <c r="M1010" s="156" t="s">
        <v>192</v>
      </c>
      <c r="N1010" s="1" t="n">
        <v>522</v>
      </c>
    </row>
    <row r="1011" customFormat="false" ht="14.25" hidden="false" customHeight="false" outlineLevel="0" collapsed="false">
      <c r="A1011" s="1" t="n">
        <v>38</v>
      </c>
      <c r="B1011" s="1" t="s">
        <v>624</v>
      </c>
      <c r="C1011" s="1" t="s">
        <v>625</v>
      </c>
      <c r="D1011" s="196" t="n">
        <v>2568</v>
      </c>
      <c r="E1011" s="196" t="s">
        <v>51</v>
      </c>
      <c r="F1011" s="201" t="n">
        <v>200025888299</v>
      </c>
      <c r="G1011" s="198" t="s">
        <v>629</v>
      </c>
      <c r="H1011" s="163" t="s">
        <v>312</v>
      </c>
      <c r="I1011" s="161" t="n">
        <v>43</v>
      </c>
      <c r="J1011" s="156" t="s">
        <v>192</v>
      </c>
      <c r="K1011" s="200" t="n">
        <v>45451.5326388889</v>
      </c>
      <c r="L1011" s="1" t="n">
        <v>1</v>
      </c>
      <c r="M1011" s="156" t="s">
        <v>192</v>
      </c>
      <c r="N1011" s="1" t="n">
        <v>523</v>
      </c>
    </row>
    <row r="1012" customFormat="false" ht="14.25" hidden="false" customHeight="false" outlineLevel="0" collapsed="false">
      <c r="A1012" s="1" t="n">
        <v>39</v>
      </c>
      <c r="B1012" s="1" t="s">
        <v>624</v>
      </c>
      <c r="C1012" s="1" t="s">
        <v>625</v>
      </c>
      <c r="D1012" s="196" t="n">
        <v>2568</v>
      </c>
      <c r="E1012" s="196" t="s">
        <v>51</v>
      </c>
      <c r="F1012" s="201" t="n">
        <v>200025888299</v>
      </c>
      <c r="G1012" s="198" t="s">
        <v>629</v>
      </c>
      <c r="H1012" s="163" t="s">
        <v>312</v>
      </c>
      <c r="I1012" s="161" t="n">
        <v>43</v>
      </c>
      <c r="J1012" s="156" t="s">
        <v>192</v>
      </c>
      <c r="K1012" s="200" t="n">
        <v>45451.5346990741</v>
      </c>
      <c r="L1012" s="1" t="n">
        <v>2</v>
      </c>
      <c r="M1012" s="156" t="s">
        <v>192</v>
      </c>
      <c r="N1012" s="1" t="n">
        <v>524</v>
      </c>
    </row>
    <row r="1013" customFormat="false" ht="14.25" hidden="false" customHeight="false" outlineLevel="0" collapsed="false">
      <c r="A1013" s="1" t="n">
        <v>40</v>
      </c>
      <c r="B1013" s="1" t="s">
        <v>624</v>
      </c>
      <c r="C1013" s="1" t="s">
        <v>625</v>
      </c>
      <c r="D1013" s="196" t="n">
        <v>2568</v>
      </c>
      <c r="E1013" s="196" t="s">
        <v>51</v>
      </c>
      <c r="F1013" s="201" t="n">
        <v>200025888299</v>
      </c>
      <c r="G1013" s="198" t="s">
        <v>629</v>
      </c>
      <c r="H1013" s="163" t="s">
        <v>312</v>
      </c>
      <c r="I1013" s="161" t="n">
        <v>43</v>
      </c>
      <c r="J1013" s="156" t="s">
        <v>192</v>
      </c>
      <c r="K1013" s="200" t="n">
        <v>45451.5625925926</v>
      </c>
      <c r="L1013" s="1" t="n">
        <v>0</v>
      </c>
      <c r="M1013" s="156" t="s">
        <v>192</v>
      </c>
      <c r="N1013" s="1" t="n">
        <v>525</v>
      </c>
    </row>
    <row r="1014" customFormat="false" ht="14.25" hidden="false" customHeight="false" outlineLevel="0" collapsed="false">
      <c r="A1014" s="1" t="n">
        <v>16</v>
      </c>
      <c r="B1014" s="1" t="s">
        <v>637</v>
      </c>
      <c r="C1014" s="1" t="s">
        <v>638</v>
      </c>
      <c r="D1014" s="1" t="n">
        <v>21296</v>
      </c>
      <c r="E1014" s="1" t="s">
        <v>57</v>
      </c>
      <c r="F1014" s="198" t="n">
        <v>200025888995</v>
      </c>
      <c r="G1014" s="198" t="s">
        <v>628</v>
      </c>
      <c r="H1014" s="163" t="s">
        <v>483</v>
      </c>
      <c r="I1014" s="161" t="n">
        <v>67</v>
      </c>
      <c r="J1014" s="156" t="s">
        <v>192</v>
      </c>
      <c r="K1014" s="200" t="n">
        <v>45451.5655439815</v>
      </c>
      <c r="L1014" s="1" t="n">
        <v>0</v>
      </c>
      <c r="M1014" s="156" t="s">
        <v>192</v>
      </c>
      <c r="N1014" s="1" t="n">
        <v>526</v>
      </c>
    </row>
    <row r="1015" customFormat="false" ht="14.25" hidden="false" customHeight="false" outlineLevel="0" collapsed="false">
      <c r="A1015" s="1" t="n">
        <v>17</v>
      </c>
      <c r="B1015" s="1" t="s">
        <v>637</v>
      </c>
      <c r="C1015" s="1" t="s">
        <v>638</v>
      </c>
      <c r="D1015" s="1" t="n">
        <v>21296</v>
      </c>
      <c r="E1015" s="1" t="s">
        <v>57</v>
      </c>
      <c r="F1015" s="201" t="n">
        <v>200025888995</v>
      </c>
      <c r="G1015" s="198" t="s">
        <v>628</v>
      </c>
      <c r="H1015" s="163" t="s">
        <v>483</v>
      </c>
      <c r="I1015" s="161" t="n">
        <v>67</v>
      </c>
      <c r="J1015" s="156" t="s">
        <v>192</v>
      </c>
      <c r="K1015" s="200" t="n">
        <v>45451.5655439815</v>
      </c>
      <c r="L1015" s="1" t="n">
        <v>0</v>
      </c>
      <c r="M1015" s="156" t="s">
        <v>192</v>
      </c>
      <c r="N1015" s="1" t="n">
        <v>527</v>
      </c>
    </row>
    <row r="1016" customFormat="false" ht="14.25" hidden="false" customHeight="false" outlineLevel="0" collapsed="false">
      <c r="A1016" s="1" t="n">
        <v>18</v>
      </c>
      <c r="B1016" s="1" t="s">
        <v>637</v>
      </c>
      <c r="C1016" s="1" t="s">
        <v>638</v>
      </c>
      <c r="D1016" s="1" t="n">
        <v>21296</v>
      </c>
      <c r="E1016" s="1" t="s">
        <v>57</v>
      </c>
      <c r="F1016" s="201" t="n">
        <v>200025888995</v>
      </c>
      <c r="G1016" s="198" t="s">
        <v>628</v>
      </c>
      <c r="H1016" s="163" t="s">
        <v>483</v>
      </c>
      <c r="I1016" s="161" t="n">
        <v>67</v>
      </c>
      <c r="J1016" s="156" t="s">
        <v>192</v>
      </c>
      <c r="K1016" s="200" t="n">
        <v>45451.5655555556</v>
      </c>
      <c r="L1016" s="1" t="n">
        <v>1</v>
      </c>
      <c r="M1016" s="156" t="s">
        <v>192</v>
      </c>
      <c r="N1016" s="1" t="n">
        <v>528</v>
      </c>
    </row>
    <row r="1017" customFormat="false" ht="14.25" hidden="false" customHeight="false" outlineLevel="0" collapsed="false">
      <c r="A1017" s="1" t="n">
        <v>41</v>
      </c>
      <c r="B1017" s="1" t="s">
        <v>624</v>
      </c>
      <c r="C1017" s="1" t="s">
        <v>625</v>
      </c>
      <c r="D1017" s="196" t="n">
        <v>2568</v>
      </c>
      <c r="E1017" s="196" t="s">
        <v>51</v>
      </c>
      <c r="F1017" s="201" t="n">
        <v>200025888995</v>
      </c>
      <c r="G1017" s="198" t="s">
        <v>628</v>
      </c>
      <c r="H1017" s="163" t="s">
        <v>483</v>
      </c>
      <c r="I1017" s="161" t="n">
        <v>67</v>
      </c>
      <c r="J1017" s="156" t="s">
        <v>192</v>
      </c>
      <c r="K1017" s="200" t="n">
        <v>45451.5659722222</v>
      </c>
      <c r="L1017" s="1" t="n">
        <v>1</v>
      </c>
      <c r="M1017" s="156" t="s">
        <v>192</v>
      </c>
      <c r="N1017" s="1" t="n">
        <v>529</v>
      </c>
    </row>
    <row r="1018" customFormat="false" ht="14.25" hidden="false" customHeight="false" outlineLevel="0" collapsed="false">
      <c r="A1018" s="1" t="n">
        <v>19</v>
      </c>
      <c r="B1018" s="1" t="s">
        <v>637</v>
      </c>
      <c r="C1018" s="1" t="s">
        <v>638</v>
      </c>
      <c r="D1018" s="1" t="n">
        <v>21296</v>
      </c>
      <c r="E1018" s="1" t="s">
        <v>57</v>
      </c>
      <c r="F1018" s="201" t="n">
        <v>200025888995</v>
      </c>
      <c r="G1018" s="198" t="s">
        <v>628</v>
      </c>
      <c r="H1018" s="163" t="s">
        <v>483</v>
      </c>
      <c r="I1018" s="161" t="n">
        <v>67</v>
      </c>
      <c r="J1018" s="156" t="s">
        <v>192</v>
      </c>
      <c r="K1018" s="200" t="n">
        <v>45451.5699884259</v>
      </c>
      <c r="L1018" s="1" t="n">
        <v>1</v>
      </c>
      <c r="M1018" s="156" t="s">
        <v>192</v>
      </c>
      <c r="N1018" s="1" t="n">
        <v>530</v>
      </c>
    </row>
    <row r="1019" customFormat="false" ht="14.25" hidden="false" customHeight="false" outlineLevel="0" collapsed="false">
      <c r="A1019" s="1" t="n">
        <v>20</v>
      </c>
      <c r="B1019" s="1" t="s">
        <v>637</v>
      </c>
      <c r="C1019" s="1" t="s">
        <v>638</v>
      </c>
      <c r="D1019" s="1" t="n">
        <v>21296</v>
      </c>
      <c r="E1019" s="1" t="s">
        <v>57</v>
      </c>
      <c r="F1019" s="201" t="n">
        <v>200025888995</v>
      </c>
      <c r="G1019" s="198" t="s">
        <v>628</v>
      </c>
      <c r="H1019" s="163" t="s">
        <v>483</v>
      </c>
      <c r="I1019" s="161" t="n">
        <v>67</v>
      </c>
      <c r="J1019" s="156" t="s">
        <v>192</v>
      </c>
      <c r="K1019" s="200" t="n">
        <v>45451.57</v>
      </c>
      <c r="L1019" s="1" t="n">
        <v>1</v>
      </c>
      <c r="M1019" s="156" t="s">
        <v>192</v>
      </c>
      <c r="N1019" s="1" t="n">
        <v>531</v>
      </c>
    </row>
    <row r="1020" customFormat="false" ht="14.25" hidden="false" customHeight="false" outlineLevel="0" collapsed="false">
      <c r="A1020" s="1" t="n">
        <v>42</v>
      </c>
      <c r="B1020" s="1" t="s">
        <v>624</v>
      </c>
      <c r="C1020" s="1" t="s">
        <v>625</v>
      </c>
      <c r="D1020" s="196" t="n">
        <v>2568</v>
      </c>
      <c r="E1020" s="196" t="s">
        <v>51</v>
      </c>
      <c r="F1020" s="201" t="n">
        <v>200025888299</v>
      </c>
      <c r="G1020" s="198" t="s">
        <v>629</v>
      </c>
      <c r="H1020" s="163" t="s">
        <v>312</v>
      </c>
      <c r="I1020" s="161" t="n">
        <v>43</v>
      </c>
      <c r="J1020" s="156" t="s">
        <v>192</v>
      </c>
      <c r="K1020" s="200" t="n">
        <v>45451.5754282407</v>
      </c>
      <c r="L1020" s="10" t="n">
        <v>2051</v>
      </c>
      <c r="M1020" s="156" t="s">
        <v>192</v>
      </c>
      <c r="N1020" s="1" t="n">
        <v>532</v>
      </c>
    </row>
    <row r="1021" customFormat="false" ht="14.25" hidden="false" customHeight="false" outlineLevel="0" collapsed="false">
      <c r="A1021" s="1" t="n">
        <v>21</v>
      </c>
      <c r="B1021" s="1" t="s">
        <v>637</v>
      </c>
      <c r="C1021" s="1" t="s">
        <v>638</v>
      </c>
      <c r="D1021" s="1" t="n">
        <v>21296</v>
      </c>
      <c r="E1021" s="1" t="s">
        <v>57</v>
      </c>
      <c r="F1021" s="201" t="n">
        <v>200025888995</v>
      </c>
      <c r="G1021" s="198" t="s">
        <v>628</v>
      </c>
      <c r="H1021" s="163" t="s">
        <v>483</v>
      </c>
      <c r="I1021" s="161" t="n">
        <v>67</v>
      </c>
      <c r="J1021" s="156" t="s">
        <v>192</v>
      </c>
      <c r="K1021" s="200" t="n">
        <v>45451.6068287037</v>
      </c>
      <c r="L1021" s="10" t="n">
        <v>5707</v>
      </c>
      <c r="M1021" s="156" t="s">
        <v>192</v>
      </c>
      <c r="N1021" s="1" t="n">
        <v>533</v>
      </c>
    </row>
    <row r="1022" customFormat="false" ht="14.25" hidden="false" customHeight="false" outlineLevel="0" collapsed="false">
      <c r="A1022" s="1" t="n">
        <v>43</v>
      </c>
      <c r="B1022" s="1" t="s">
        <v>624</v>
      </c>
      <c r="C1022" s="1" t="s">
        <v>625</v>
      </c>
      <c r="D1022" s="196" t="n">
        <v>2568</v>
      </c>
      <c r="E1022" s="196" t="s">
        <v>51</v>
      </c>
      <c r="F1022" s="201" t="n">
        <v>200025888299</v>
      </c>
      <c r="G1022" s="198" t="s">
        <v>629</v>
      </c>
      <c r="H1022" s="163" t="s">
        <v>312</v>
      </c>
      <c r="I1022" s="161" t="n">
        <v>43</v>
      </c>
      <c r="J1022" s="156" t="s">
        <v>192</v>
      </c>
      <c r="K1022" s="200" t="n">
        <v>45451.6280439815</v>
      </c>
      <c r="L1022" s="1" t="n">
        <v>1</v>
      </c>
      <c r="M1022" s="156" t="s">
        <v>192</v>
      </c>
      <c r="N1022" s="1" t="n">
        <v>534</v>
      </c>
    </row>
    <row r="1023" customFormat="false" ht="14.25" hidden="false" customHeight="false" outlineLevel="0" collapsed="false">
      <c r="A1023" s="1" t="n">
        <v>22</v>
      </c>
      <c r="B1023" s="1" t="s">
        <v>637</v>
      </c>
      <c r="C1023" s="1" t="s">
        <v>638</v>
      </c>
      <c r="D1023" s="1" t="n">
        <v>21296</v>
      </c>
      <c r="E1023" s="1" t="s">
        <v>57</v>
      </c>
      <c r="F1023" s="201" t="n">
        <v>200025888995</v>
      </c>
      <c r="G1023" s="198" t="s">
        <v>628</v>
      </c>
      <c r="H1023" s="163" t="s">
        <v>483</v>
      </c>
      <c r="I1023" s="161" t="n">
        <v>67</v>
      </c>
      <c r="J1023" s="156" t="s">
        <v>192</v>
      </c>
      <c r="K1023" s="200" t="n">
        <v>45451.6728819445</v>
      </c>
      <c r="L1023" s="1" t="n">
        <v>1</v>
      </c>
      <c r="M1023" s="156" t="s">
        <v>192</v>
      </c>
      <c r="N1023" s="1" t="n">
        <v>535</v>
      </c>
    </row>
    <row r="1024" customFormat="false" ht="14.25" hidden="false" customHeight="false" outlineLevel="0" collapsed="false">
      <c r="A1024" s="1" t="n">
        <v>23</v>
      </c>
      <c r="B1024" s="1" t="s">
        <v>637</v>
      </c>
      <c r="C1024" s="1" t="s">
        <v>638</v>
      </c>
      <c r="D1024" s="1" t="n">
        <v>21296</v>
      </c>
      <c r="E1024" s="1" t="s">
        <v>57</v>
      </c>
      <c r="F1024" s="201" t="n">
        <v>200025888995</v>
      </c>
      <c r="G1024" s="198" t="s">
        <v>628</v>
      </c>
      <c r="H1024" s="163" t="s">
        <v>483</v>
      </c>
      <c r="I1024" s="161" t="n">
        <v>67</v>
      </c>
      <c r="J1024" s="156" t="s">
        <v>192</v>
      </c>
      <c r="K1024" s="200" t="n">
        <v>45451.6728935185</v>
      </c>
      <c r="L1024" s="1" t="n">
        <v>1</v>
      </c>
      <c r="M1024" s="156" t="s">
        <v>192</v>
      </c>
      <c r="N1024" s="1" t="n">
        <v>536</v>
      </c>
    </row>
    <row r="1025" customFormat="false" ht="14.25" hidden="false" customHeight="false" outlineLevel="0" collapsed="false">
      <c r="A1025" s="1" t="n">
        <v>24</v>
      </c>
      <c r="B1025" s="1" t="s">
        <v>637</v>
      </c>
      <c r="C1025" s="1" t="s">
        <v>638</v>
      </c>
      <c r="D1025" s="1" t="n">
        <v>21296</v>
      </c>
      <c r="E1025" s="1" t="s">
        <v>57</v>
      </c>
      <c r="F1025" s="201" t="n">
        <v>200025888995</v>
      </c>
      <c r="G1025" s="198" t="s">
        <v>628</v>
      </c>
      <c r="H1025" s="163" t="s">
        <v>483</v>
      </c>
      <c r="I1025" s="161" t="n">
        <v>67</v>
      </c>
      <c r="J1025" s="156" t="s">
        <v>192</v>
      </c>
      <c r="K1025" s="200" t="n">
        <v>45451.6729050926</v>
      </c>
      <c r="L1025" s="1" t="n">
        <v>1</v>
      </c>
      <c r="M1025" s="156" t="s">
        <v>192</v>
      </c>
      <c r="N1025" s="1" t="n">
        <v>537</v>
      </c>
    </row>
    <row r="1026" customFormat="false" ht="14.25" hidden="false" customHeight="false" outlineLevel="0" collapsed="false">
      <c r="A1026" s="1" t="n">
        <v>25</v>
      </c>
      <c r="B1026" s="1" t="s">
        <v>637</v>
      </c>
      <c r="C1026" s="1" t="s">
        <v>638</v>
      </c>
      <c r="D1026" s="1" t="n">
        <v>21296</v>
      </c>
      <c r="E1026" s="1" t="s">
        <v>57</v>
      </c>
      <c r="F1026" s="201" t="n">
        <v>200025888995</v>
      </c>
      <c r="G1026" s="198" t="s">
        <v>628</v>
      </c>
      <c r="H1026" s="163" t="s">
        <v>483</v>
      </c>
      <c r="I1026" s="161" t="n">
        <v>67</v>
      </c>
      <c r="J1026" s="156" t="s">
        <v>192</v>
      </c>
      <c r="K1026" s="200" t="n">
        <v>45451.7208101852</v>
      </c>
      <c r="L1026" s="1" t="n">
        <v>1</v>
      </c>
      <c r="M1026" s="156" t="s">
        <v>192</v>
      </c>
      <c r="N1026" s="1" t="n">
        <v>538</v>
      </c>
    </row>
    <row r="1027" customFormat="false" ht="14.25" hidden="false" customHeight="false" outlineLevel="0" collapsed="false">
      <c r="A1027" s="1" t="n">
        <v>26</v>
      </c>
      <c r="B1027" s="1" t="s">
        <v>637</v>
      </c>
      <c r="C1027" s="1" t="s">
        <v>638</v>
      </c>
      <c r="D1027" s="1" t="n">
        <v>21296</v>
      </c>
      <c r="E1027" s="1" t="s">
        <v>57</v>
      </c>
      <c r="F1027" s="201" t="n">
        <v>200025888995</v>
      </c>
      <c r="G1027" s="198" t="s">
        <v>628</v>
      </c>
      <c r="H1027" s="163" t="s">
        <v>483</v>
      </c>
      <c r="I1027" s="161" t="n">
        <v>67</v>
      </c>
      <c r="J1027" s="156" t="s">
        <v>192</v>
      </c>
      <c r="K1027" s="200" t="n">
        <v>45451.7208333333</v>
      </c>
      <c r="L1027" s="1" t="n">
        <v>1</v>
      </c>
      <c r="M1027" s="156" t="s">
        <v>192</v>
      </c>
      <c r="N1027" s="1" t="n">
        <v>539</v>
      </c>
    </row>
    <row r="1028" customFormat="false" ht="14.25" hidden="false" customHeight="false" outlineLevel="0" collapsed="false">
      <c r="A1028" s="1" t="n">
        <v>27</v>
      </c>
      <c r="B1028" s="1" t="s">
        <v>637</v>
      </c>
      <c r="C1028" s="1" t="s">
        <v>638</v>
      </c>
      <c r="D1028" s="1" t="n">
        <v>21296</v>
      </c>
      <c r="E1028" s="1" t="s">
        <v>57</v>
      </c>
      <c r="F1028" s="201" t="n">
        <v>200025888995</v>
      </c>
      <c r="G1028" s="198" t="s">
        <v>628</v>
      </c>
      <c r="H1028" s="163" t="s">
        <v>483</v>
      </c>
      <c r="I1028" s="161" t="n">
        <v>67</v>
      </c>
      <c r="J1028" s="156" t="s">
        <v>192</v>
      </c>
      <c r="K1028" s="200" t="n">
        <v>45451.7216666667</v>
      </c>
      <c r="L1028" s="1" t="n">
        <v>1</v>
      </c>
      <c r="M1028" s="156" t="s">
        <v>192</v>
      </c>
      <c r="N1028" s="1" t="n">
        <v>540</v>
      </c>
    </row>
    <row r="1029" customFormat="false" ht="14.25" hidden="false" customHeight="false" outlineLevel="0" collapsed="false">
      <c r="A1029" s="1" t="n">
        <v>28</v>
      </c>
      <c r="B1029" s="1" t="s">
        <v>637</v>
      </c>
      <c r="C1029" s="1" t="s">
        <v>638</v>
      </c>
      <c r="D1029" s="1" t="n">
        <v>21296</v>
      </c>
      <c r="E1029" s="1" t="s">
        <v>57</v>
      </c>
      <c r="F1029" s="201" t="n">
        <v>200025888995</v>
      </c>
      <c r="G1029" s="198" t="s">
        <v>628</v>
      </c>
      <c r="H1029" s="163" t="s">
        <v>483</v>
      </c>
      <c r="I1029" s="161" t="n">
        <v>67</v>
      </c>
      <c r="J1029" s="156" t="s">
        <v>192</v>
      </c>
      <c r="K1029" s="200" t="n">
        <v>45451.7216898148</v>
      </c>
      <c r="L1029" s="1" t="n">
        <v>0</v>
      </c>
      <c r="M1029" s="156" t="s">
        <v>192</v>
      </c>
      <c r="N1029" s="1" t="n">
        <v>541</v>
      </c>
    </row>
    <row r="1030" customFormat="false" ht="14.25" hidden="false" customHeight="false" outlineLevel="0" collapsed="false">
      <c r="A1030" s="1" t="n">
        <v>29</v>
      </c>
      <c r="B1030" s="1" t="s">
        <v>637</v>
      </c>
      <c r="C1030" s="1" t="s">
        <v>638</v>
      </c>
      <c r="D1030" s="1" t="n">
        <v>21296</v>
      </c>
      <c r="E1030" s="1" t="s">
        <v>57</v>
      </c>
      <c r="F1030" s="201" t="n">
        <v>200025888158</v>
      </c>
      <c r="G1030" s="198" t="s">
        <v>630</v>
      </c>
      <c r="H1030" s="163" t="s">
        <v>193</v>
      </c>
      <c r="I1030" s="161" t="n">
        <v>30</v>
      </c>
      <c r="J1030" s="156" t="s">
        <v>192</v>
      </c>
      <c r="K1030" s="200" t="n">
        <v>45451.8589814815</v>
      </c>
      <c r="L1030" s="1" t="n">
        <v>0</v>
      </c>
      <c r="M1030" s="156" t="s">
        <v>192</v>
      </c>
      <c r="N1030" s="1" t="n">
        <v>542</v>
      </c>
    </row>
    <row r="1031" customFormat="false" ht="14.25" hidden="false" customHeight="false" outlineLevel="0" collapsed="false">
      <c r="A1031" s="1" t="n">
        <v>44</v>
      </c>
      <c r="B1031" s="1" t="s">
        <v>624</v>
      </c>
      <c r="C1031" s="1" t="s">
        <v>625</v>
      </c>
      <c r="D1031" s="196" t="n">
        <v>2568</v>
      </c>
      <c r="E1031" s="196" t="s">
        <v>51</v>
      </c>
      <c r="F1031" s="201" t="n">
        <v>200025888158</v>
      </c>
      <c r="G1031" s="198" t="s">
        <v>630</v>
      </c>
      <c r="H1031" s="163" t="s">
        <v>193</v>
      </c>
      <c r="I1031" s="161" t="n">
        <v>30</v>
      </c>
      <c r="J1031" s="156" t="s">
        <v>192</v>
      </c>
      <c r="K1031" s="200" t="n">
        <v>45452.0107175926</v>
      </c>
      <c r="L1031" s="1" t="n">
        <v>1</v>
      </c>
      <c r="M1031" s="156" t="s">
        <v>192</v>
      </c>
      <c r="N1031" s="1" t="n">
        <v>543</v>
      </c>
    </row>
    <row r="1032" customFormat="false" ht="14.25" hidden="false" customHeight="false" outlineLevel="0" collapsed="false">
      <c r="A1032" s="1" t="n">
        <v>45</v>
      </c>
      <c r="B1032" s="1" t="s">
        <v>624</v>
      </c>
      <c r="C1032" s="1" t="s">
        <v>625</v>
      </c>
      <c r="D1032" s="196" t="n">
        <v>2568</v>
      </c>
      <c r="E1032" s="196" t="s">
        <v>51</v>
      </c>
      <c r="F1032" s="201" t="n">
        <v>200025888158</v>
      </c>
      <c r="G1032" s="198" t="s">
        <v>630</v>
      </c>
      <c r="H1032" s="163" t="s">
        <v>193</v>
      </c>
      <c r="I1032" s="161" t="n">
        <v>30</v>
      </c>
      <c r="J1032" s="156" t="s">
        <v>192</v>
      </c>
      <c r="K1032" s="200" t="n">
        <v>45452.0107291667</v>
      </c>
      <c r="L1032" s="10" t="n">
        <v>1335</v>
      </c>
      <c r="M1032" s="156" t="s">
        <v>192</v>
      </c>
      <c r="N1032" s="1" t="n">
        <v>544</v>
      </c>
    </row>
    <row r="1033" customFormat="false" ht="14.25" hidden="false" customHeight="false" outlineLevel="0" collapsed="false">
      <c r="A1033" s="1" t="n">
        <v>46</v>
      </c>
      <c r="B1033" s="1" t="s">
        <v>624</v>
      </c>
      <c r="C1033" s="1" t="s">
        <v>625</v>
      </c>
      <c r="D1033" s="196" t="n">
        <v>2568</v>
      </c>
      <c r="E1033" s="196" t="s">
        <v>51</v>
      </c>
      <c r="F1033" s="201" t="n">
        <v>200025888158</v>
      </c>
      <c r="G1033" s="198" t="s">
        <v>630</v>
      </c>
      <c r="H1033" s="163" t="s">
        <v>193</v>
      </c>
      <c r="I1033" s="161" t="n">
        <v>30</v>
      </c>
      <c r="J1033" s="156" t="s">
        <v>192</v>
      </c>
      <c r="K1033" s="200" t="n">
        <v>45452.1212152778</v>
      </c>
      <c r="L1033" s="10" t="n">
        <v>794</v>
      </c>
      <c r="M1033" s="156" t="s">
        <v>192</v>
      </c>
      <c r="N1033" s="1" t="n">
        <v>545</v>
      </c>
    </row>
    <row r="1034" customFormat="false" ht="14.25" hidden="false" customHeight="false" outlineLevel="0" collapsed="false">
      <c r="A1034" s="1" t="n">
        <v>30</v>
      </c>
      <c r="B1034" s="1" t="s">
        <v>637</v>
      </c>
      <c r="C1034" s="1" t="s">
        <v>638</v>
      </c>
      <c r="D1034" s="1" t="n">
        <v>21296</v>
      </c>
      <c r="E1034" s="1" t="s">
        <v>57</v>
      </c>
      <c r="F1034" s="201" t="n">
        <v>200025888158</v>
      </c>
      <c r="G1034" s="198" t="s">
        <v>630</v>
      </c>
      <c r="H1034" s="163" t="s">
        <v>193</v>
      </c>
      <c r="I1034" s="161" t="n">
        <v>30</v>
      </c>
      <c r="J1034" s="156" t="s">
        <v>192</v>
      </c>
      <c r="K1034" s="200" t="n">
        <v>45452.2109953704</v>
      </c>
      <c r="L1034" s="1" t="n">
        <v>0</v>
      </c>
      <c r="M1034" s="156" t="s">
        <v>192</v>
      </c>
      <c r="N1034" s="1" t="n">
        <v>546</v>
      </c>
    </row>
    <row r="1035" customFormat="false" ht="14.25" hidden="false" customHeight="false" outlineLevel="0" collapsed="false">
      <c r="A1035" s="1" t="n">
        <v>47</v>
      </c>
      <c r="B1035" s="1" t="s">
        <v>624</v>
      </c>
      <c r="C1035" s="1" t="s">
        <v>625</v>
      </c>
      <c r="D1035" s="196" t="n">
        <v>2568</v>
      </c>
      <c r="E1035" s="196" t="s">
        <v>51</v>
      </c>
      <c r="F1035" s="201" t="n">
        <v>200025888158</v>
      </c>
      <c r="G1035" s="198" t="s">
        <v>630</v>
      </c>
      <c r="H1035" s="163" t="s">
        <v>193</v>
      </c>
      <c r="I1035" s="161" t="n">
        <v>30</v>
      </c>
      <c r="J1035" s="156" t="s">
        <v>192</v>
      </c>
      <c r="K1035" s="200" t="n">
        <v>45452.2334143519</v>
      </c>
      <c r="L1035" s="1" t="n">
        <v>0</v>
      </c>
      <c r="M1035" s="156" t="s">
        <v>192</v>
      </c>
      <c r="N1035" s="1" t="n">
        <v>547</v>
      </c>
    </row>
    <row r="1036" customFormat="false" ht="14.25" hidden="false" customHeight="false" outlineLevel="0" collapsed="false">
      <c r="A1036" s="1" t="n">
        <v>31</v>
      </c>
      <c r="B1036" s="1" t="s">
        <v>637</v>
      </c>
      <c r="C1036" s="1" t="s">
        <v>638</v>
      </c>
      <c r="D1036" s="1" t="n">
        <v>21296</v>
      </c>
      <c r="E1036" s="1" t="s">
        <v>57</v>
      </c>
      <c r="F1036" s="201" t="n">
        <v>200025888864</v>
      </c>
      <c r="G1036" s="198" t="s">
        <v>590</v>
      </c>
      <c r="H1036" s="163" t="s">
        <v>474</v>
      </c>
      <c r="I1036" s="161" t="n">
        <v>87</v>
      </c>
      <c r="J1036" s="156" t="s">
        <v>192</v>
      </c>
      <c r="K1036" s="200" t="n">
        <v>45452.2444791667</v>
      </c>
      <c r="L1036" s="1" t="n">
        <v>0</v>
      </c>
      <c r="M1036" s="156" t="s">
        <v>192</v>
      </c>
      <c r="N1036" s="1" t="n">
        <v>548</v>
      </c>
    </row>
    <row r="1037" customFormat="false" ht="14.25" hidden="false" customHeight="false" outlineLevel="0" collapsed="false">
      <c r="A1037" s="1" t="n">
        <v>32</v>
      </c>
      <c r="B1037" s="1" t="s">
        <v>637</v>
      </c>
      <c r="C1037" s="1" t="s">
        <v>638</v>
      </c>
      <c r="D1037" s="1" t="n">
        <v>21296</v>
      </c>
      <c r="E1037" s="1" t="s">
        <v>57</v>
      </c>
      <c r="F1037" s="201" t="n">
        <v>200025888181</v>
      </c>
      <c r="G1037" s="198" t="s">
        <v>631</v>
      </c>
      <c r="H1037" s="163" t="s">
        <v>215</v>
      </c>
      <c r="I1037" s="161" t="n">
        <v>115</v>
      </c>
      <c r="J1037" s="156" t="s">
        <v>192</v>
      </c>
      <c r="K1037" s="200" t="n">
        <v>45452.277337963</v>
      </c>
      <c r="L1037" s="1" t="n">
        <v>0</v>
      </c>
      <c r="M1037" s="156" t="s">
        <v>192</v>
      </c>
      <c r="N1037" s="1" t="n">
        <v>549</v>
      </c>
    </row>
    <row r="1038" customFormat="false" ht="14.25" hidden="false" customHeight="false" outlineLevel="0" collapsed="false">
      <c r="A1038" s="1" t="n">
        <v>33</v>
      </c>
      <c r="B1038" s="1" t="s">
        <v>637</v>
      </c>
      <c r="C1038" s="1" t="s">
        <v>638</v>
      </c>
      <c r="D1038" s="1" t="n">
        <v>21296</v>
      </c>
      <c r="E1038" s="1" t="s">
        <v>57</v>
      </c>
      <c r="F1038" s="201" t="n">
        <v>200025888181</v>
      </c>
      <c r="G1038" s="198" t="s">
        <v>631</v>
      </c>
      <c r="H1038" s="163" t="s">
        <v>215</v>
      </c>
      <c r="I1038" s="161" t="n">
        <v>115</v>
      </c>
      <c r="J1038" s="156" t="s">
        <v>192</v>
      </c>
      <c r="K1038" s="200" t="n">
        <v>45452.2781018519</v>
      </c>
      <c r="L1038" s="1" t="n">
        <v>1</v>
      </c>
      <c r="M1038" s="156" t="s">
        <v>192</v>
      </c>
      <c r="N1038" s="1" t="n">
        <v>550</v>
      </c>
    </row>
    <row r="1039" customFormat="false" ht="14.25" hidden="false" customHeight="false" outlineLevel="0" collapsed="false">
      <c r="A1039" s="1" t="n">
        <v>48</v>
      </c>
      <c r="B1039" s="1" t="s">
        <v>624</v>
      </c>
      <c r="C1039" s="1" t="s">
        <v>625</v>
      </c>
      <c r="D1039" s="196" t="n">
        <v>2568</v>
      </c>
      <c r="E1039" s="196" t="s">
        <v>51</v>
      </c>
      <c r="F1039" s="201" t="n">
        <v>200025888181</v>
      </c>
      <c r="G1039" s="198" t="s">
        <v>631</v>
      </c>
      <c r="H1039" s="163" t="s">
        <v>215</v>
      </c>
      <c r="I1039" s="161" t="n">
        <v>115</v>
      </c>
      <c r="J1039" s="156" t="s">
        <v>192</v>
      </c>
      <c r="K1039" s="200" t="n">
        <v>45452.2856828704</v>
      </c>
      <c r="L1039" s="1" t="n">
        <v>1</v>
      </c>
      <c r="M1039" s="156" t="s">
        <v>192</v>
      </c>
      <c r="N1039" s="1" t="n">
        <v>551</v>
      </c>
    </row>
    <row r="1040" customFormat="false" ht="14.25" hidden="false" customHeight="false" outlineLevel="0" collapsed="false">
      <c r="A1040" s="1" t="n">
        <v>49</v>
      </c>
      <c r="B1040" s="1" t="s">
        <v>624</v>
      </c>
      <c r="C1040" s="1" t="s">
        <v>625</v>
      </c>
      <c r="D1040" s="196" t="n">
        <v>2568</v>
      </c>
      <c r="E1040" s="196" t="s">
        <v>51</v>
      </c>
      <c r="F1040" s="201" t="n">
        <v>200025888181</v>
      </c>
      <c r="G1040" s="198" t="s">
        <v>631</v>
      </c>
      <c r="H1040" s="163" t="s">
        <v>215</v>
      </c>
      <c r="I1040" s="161" t="n">
        <v>115</v>
      </c>
      <c r="J1040" s="156" t="s">
        <v>192</v>
      </c>
      <c r="K1040" s="200" t="n">
        <v>45452.2900578704</v>
      </c>
      <c r="L1040" s="1" t="n">
        <v>1</v>
      </c>
      <c r="M1040" s="156" t="s">
        <v>192</v>
      </c>
      <c r="N1040" s="1" t="n">
        <v>552</v>
      </c>
    </row>
    <row r="1041" customFormat="false" ht="14.25" hidden="false" customHeight="false" outlineLevel="0" collapsed="false">
      <c r="A1041" s="1" t="n">
        <v>34</v>
      </c>
      <c r="B1041" s="1" t="s">
        <v>637</v>
      </c>
      <c r="C1041" s="1" t="s">
        <v>638</v>
      </c>
      <c r="D1041" s="1" t="n">
        <v>21296</v>
      </c>
      <c r="E1041" s="1" t="s">
        <v>57</v>
      </c>
      <c r="F1041" s="198" t="n">
        <v>200025888158</v>
      </c>
      <c r="G1041" s="198" t="s">
        <v>630</v>
      </c>
      <c r="H1041" s="163" t="s">
        <v>193</v>
      </c>
      <c r="I1041" s="161" t="n">
        <v>30</v>
      </c>
      <c r="J1041" s="156" t="s">
        <v>192</v>
      </c>
      <c r="K1041" s="200" t="n">
        <v>45452.3300694445</v>
      </c>
      <c r="L1041" s="1" t="n">
        <v>0</v>
      </c>
      <c r="M1041" s="156" t="s">
        <v>192</v>
      </c>
      <c r="N1041" s="1" t="n">
        <v>553</v>
      </c>
    </row>
    <row r="1042" customFormat="false" ht="14.25" hidden="false" customHeight="false" outlineLevel="0" collapsed="false">
      <c r="A1042" s="1" t="n">
        <v>50</v>
      </c>
      <c r="B1042" s="1" t="s">
        <v>624</v>
      </c>
      <c r="C1042" s="1" t="s">
        <v>625</v>
      </c>
      <c r="D1042" s="196" t="n">
        <v>2568</v>
      </c>
      <c r="E1042" s="196" t="s">
        <v>51</v>
      </c>
      <c r="F1042" s="201" t="n">
        <v>200025888158</v>
      </c>
      <c r="G1042" s="198" t="s">
        <v>630</v>
      </c>
      <c r="H1042" s="163" t="s">
        <v>193</v>
      </c>
      <c r="I1042" s="161" t="n">
        <v>30</v>
      </c>
      <c r="J1042" s="156" t="s">
        <v>192</v>
      </c>
      <c r="K1042" s="200" t="n">
        <v>45452.3320601852</v>
      </c>
      <c r="L1042" s="1" t="n">
        <v>0</v>
      </c>
      <c r="M1042" s="156" t="s">
        <v>192</v>
      </c>
      <c r="N1042" s="1" t="n">
        <v>554</v>
      </c>
    </row>
    <row r="1043" customFormat="false" ht="14.25" hidden="false" customHeight="false" outlineLevel="0" collapsed="false">
      <c r="A1043" s="1" t="n">
        <v>51</v>
      </c>
      <c r="B1043" s="1" t="s">
        <v>624</v>
      </c>
      <c r="C1043" s="1" t="s">
        <v>625</v>
      </c>
      <c r="D1043" s="196" t="n">
        <v>2568</v>
      </c>
      <c r="E1043" s="196" t="s">
        <v>51</v>
      </c>
      <c r="F1043" s="201" t="n">
        <v>200025888158</v>
      </c>
      <c r="G1043" s="198" t="s">
        <v>630</v>
      </c>
      <c r="H1043" s="163" t="s">
        <v>193</v>
      </c>
      <c r="I1043" s="161" t="n">
        <v>30</v>
      </c>
      <c r="J1043" s="156" t="s">
        <v>192</v>
      </c>
      <c r="K1043" s="200" t="n">
        <v>45452.3320601852</v>
      </c>
      <c r="L1043" s="1" t="n">
        <v>5</v>
      </c>
      <c r="M1043" s="156" t="s">
        <v>192</v>
      </c>
      <c r="N1043" s="1" t="n">
        <v>555</v>
      </c>
    </row>
    <row r="1044" customFormat="false" ht="14.25" hidden="false" customHeight="false" outlineLevel="0" collapsed="false">
      <c r="A1044" s="1" t="n">
        <v>64</v>
      </c>
      <c r="B1044" s="1" t="s">
        <v>565</v>
      </c>
      <c r="C1044" s="1" t="s">
        <v>566</v>
      </c>
      <c r="D1044" s="1" t="n">
        <v>11171</v>
      </c>
      <c r="E1044" s="1" t="s">
        <v>55</v>
      </c>
      <c r="F1044" s="198" t="n">
        <v>200025888864</v>
      </c>
      <c r="G1044" s="198" t="s">
        <v>590</v>
      </c>
      <c r="H1044" s="163" t="s">
        <v>474</v>
      </c>
      <c r="I1044" s="161" t="n">
        <v>87</v>
      </c>
      <c r="J1044" s="156" t="s">
        <v>192</v>
      </c>
      <c r="K1044" s="199" t="n">
        <v>45452.378125</v>
      </c>
      <c r="L1044" s="1" t="n">
        <v>0</v>
      </c>
      <c r="M1044" s="156" t="s">
        <v>192</v>
      </c>
      <c r="N1044" s="1" t="n">
        <v>556</v>
      </c>
    </row>
    <row r="1045" customFormat="false" ht="14.25" hidden="false" customHeight="false" outlineLevel="0" collapsed="false">
      <c r="A1045" s="1" t="n">
        <v>65</v>
      </c>
      <c r="B1045" s="1" t="s">
        <v>565</v>
      </c>
      <c r="C1045" s="1" t="s">
        <v>566</v>
      </c>
      <c r="D1045" s="1" t="n">
        <v>11171</v>
      </c>
      <c r="E1045" s="1" t="s">
        <v>55</v>
      </c>
      <c r="F1045" s="198" t="n">
        <v>200025888864</v>
      </c>
      <c r="G1045" s="198" t="s">
        <v>590</v>
      </c>
      <c r="H1045" s="163" t="s">
        <v>474</v>
      </c>
      <c r="I1045" s="161" t="n">
        <v>87</v>
      </c>
      <c r="J1045" s="156" t="s">
        <v>192</v>
      </c>
      <c r="K1045" s="199" t="n">
        <v>45452.3781365741</v>
      </c>
      <c r="L1045" s="1" t="n">
        <v>0</v>
      </c>
      <c r="M1045" s="156" t="s">
        <v>192</v>
      </c>
      <c r="N1045" s="1" t="n">
        <v>557</v>
      </c>
    </row>
    <row r="1046" customFormat="false" ht="14.25" hidden="false" customHeight="false" outlineLevel="0" collapsed="false">
      <c r="A1046" s="1" t="n">
        <v>66</v>
      </c>
      <c r="B1046" s="1" t="s">
        <v>565</v>
      </c>
      <c r="C1046" s="1" t="s">
        <v>566</v>
      </c>
      <c r="D1046" s="1" t="n">
        <v>11171</v>
      </c>
      <c r="E1046" s="1" t="s">
        <v>55</v>
      </c>
      <c r="F1046" s="198" t="n">
        <v>200025888158</v>
      </c>
      <c r="G1046" s="198" t="s">
        <v>630</v>
      </c>
      <c r="H1046" s="163" t="s">
        <v>193</v>
      </c>
      <c r="I1046" s="161" t="n">
        <v>30</v>
      </c>
      <c r="J1046" s="156" t="s">
        <v>192</v>
      </c>
      <c r="K1046" s="199" t="n">
        <v>45452.3797800926</v>
      </c>
      <c r="L1046" s="1" t="n">
        <v>1</v>
      </c>
      <c r="M1046" s="156" t="s">
        <v>192</v>
      </c>
      <c r="N1046" s="1" t="n">
        <v>558</v>
      </c>
    </row>
    <row r="1047" customFormat="false" ht="14.25" hidden="false" customHeight="false" outlineLevel="0" collapsed="false">
      <c r="A1047" s="1" t="n">
        <v>67</v>
      </c>
      <c r="B1047" s="1" t="s">
        <v>565</v>
      </c>
      <c r="C1047" s="1" t="s">
        <v>566</v>
      </c>
      <c r="D1047" s="1" t="n">
        <v>11171</v>
      </c>
      <c r="E1047" s="1" t="s">
        <v>55</v>
      </c>
      <c r="F1047" s="198" t="n">
        <v>200025888158</v>
      </c>
      <c r="G1047" s="198" t="s">
        <v>630</v>
      </c>
      <c r="H1047" s="163" t="s">
        <v>193</v>
      </c>
      <c r="I1047" s="161" t="n">
        <v>30</v>
      </c>
      <c r="J1047" s="156" t="s">
        <v>192</v>
      </c>
      <c r="K1047" s="199" t="n">
        <v>45452.3800115741</v>
      </c>
      <c r="L1047" s="1" t="n">
        <v>3</v>
      </c>
      <c r="M1047" s="156" t="s">
        <v>192</v>
      </c>
      <c r="N1047" s="1" t="n">
        <v>559</v>
      </c>
    </row>
    <row r="1048" customFormat="false" ht="14.25" hidden="false" customHeight="false" outlineLevel="0" collapsed="false">
      <c r="A1048" s="1" t="n">
        <v>105</v>
      </c>
      <c r="B1048" s="1" t="s">
        <v>702</v>
      </c>
      <c r="C1048" s="1" t="s">
        <v>703</v>
      </c>
      <c r="D1048" s="1" t="n">
        <v>11197</v>
      </c>
      <c r="E1048" s="1" t="s">
        <v>53</v>
      </c>
      <c r="F1048" s="201" t="n">
        <v>200025888864</v>
      </c>
      <c r="G1048" s="198" t="s">
        <v>590</v>
      </c>
      <c r="H1048" s="163" t="s">
        <v>474</v>
      </c>
      <c r="I1048" s="161" t="n">
        <v>87</v>
      </c>
      <c r="J1048" s="156" t="s">
        <v>192</v>
      </c>
      <c r="K1048" s="200" t="n">
        <v>45452.3808101852</v>
      </c>
      <c r="L1048" s="1" t="n">
        <v>1</v>
      </c>
      <c r="M1048" s="156" t="s">
        <v>192</v>
      </c>
      <c r="N1048" s="1" t="n">
        <v>560</v>
      </c>
    </row>
    <row r="1049" customFormat="false" ht="14.25" hidden="false" customHeight="false" outlineLevel="0" collapsed="false">
      <c r="A1049" s="1" t="n">
        <v>68</v>
      </c>
      <c r="B1049" s="1" t="s">
        <v>565</v>
      </c>
      <c r="C1049" s="1" t="s">
        <v>566</v>
      </c>
      <c r="D1049" s="1" t="n">
        <v>11171</v>
      </c>
      <c r="E1049" s="1" t="s">
        <v>55</v>
      </c>
      <c r="F1049" s="198" t="n">
        <v>200025888995</v>
      </c>
      <c r="G1049" s="198" t="s">
        <v>628</v>
      </c>
      <c r="H1049" s="163" t="s">
        <v>483</v>
      </c>
      <c r="I1049" s="161" t="n">
        <v>67</v>
      </c>
      <c r="J1049" s="156" t="s">
        <v>192</v>
      </c>
      <c r="K1049" s="199" t="n">
        <v>45452.3809722222</v>
      </c>
      <c r="L1049" s="1" t="n">
        <v>2</v>
      </c>
      <c r="M1049" s="156" t="s">
        <v>192</v>
      </c>
      <c r="N1049" s="1" t="n">
        <v>561</v>
      </c>
    </row>
    <row r="1050" customFormat="false" ht="14.25" hidden="false" customHeight="false" outlineLevel="0" collapsed="false">
      <c r="A1050" s="1" t="n">
        <v>69</v>
      </c>
      <c r="B1050" s="1" t="s">
        <v>565</v>
      </c>
      <c r="C1050" s="1" t="s">
        <v>566</v>
      </c>
      <c r="D1050" s="1" t="n">
        <v>11171</v>
      </c>
      <c r="E1050" s="1" t="s">
        <v>55</v>
      </c>
      <c r="F1050" s="198" t="n">
        <v>200025888995</v>
      </c>
      <c r="G1050" s="198" t="s">
        <v>628</v>
      </c>
      <c r="H1050" s="163" t="s">
        <v>483</v>
      </c>
      <c r="I1050" s="161" t="n">
        <v>67</v>
      </c>
      <c r="J1050" s="156" t="s">
        <v>192</v>
      </c>
      <c r="K1050" s="199" t="n">
        <v>45452.3809953704</v>
      </c>
      <c r="L1050" s="1" t="n">
        <v>0</v>
      </c>
      <c r="M1050" s="156" t="s">
        <v>192</v>
      </c>
      <c r="N1050" s="1" t="n">
        <v>562</v>
      </c>
    </row>
    <row r="1051" customFormat="false" ht="14.25" hidden="false" customHeight="false" outlineLevel="0" collapsed="false">
      <c r="A1051" s="1" t="n">
        <v>70</v>
      </c>
      <c r="B1051" s="1" t="s">
        <v>565</v>
      </c>
      <c r="C1051" s="1" t="s">
        <v>566</v>
      </c>
      <c r="D1051" s="1" t="n">
        <v>11171</v>
      </c>
      <c r="E1051" s="1" t="s">
        <v>55</v>
      </c>
      <c r="F1051" s="198" t="n">
        <v>200025888995</v>
      </c>
      <c r="G1051" s="198" t="s">
        <v>628</v>
      </c>
      <c r="H1051" s="163" t="s">
        <v>483</v>
      </c>
      <c r="I1051" s="161" t="n">
        <v>67</v>
      </c>
      <c r="J1051" s="156" t="s">
        <v>192</v>
      </c>
      <c r="K1051" s="199" t="n">
        <v>45452.3809953704</v>
      </c>
      <c r="L1051" s="1" t="n">
        <v>1</v>
      </c>
      <c r="M1051" s="156" t="s">
        <v>192</v>
      </c>
      <c r="N1051" s="1" t="n">
        <v>563</v>
      </c>
    </row>
    <row r="1052" customFormat="false" ht="14.25" hidden="false" customHeight="false" outlineLevel="0" collapsed="false">
      <c r="A1052" s="1" t="n">
        <v>71</v>
      </c>
      <c r="B1052" s="1" t="s">
        <v>565</v>
      </c>
      <c r="C1052" s="1" t="s">
        <v>566</v>
      </c>
      <c r="D1052" s="1" t="n">
        <v>11171</v>
      </c>
      <c r="E1052" s="1" t="s">
        <v>55</v>
      </c>
      <c r="F1052" s="198" t="n">
        <v>200025888158</v>
      </c>
      <c r="G1052" s="198" t="s">
        <v>630</v>
      </c>
      <c r="H1052" s="163" t="s">
        <v>193</v>
      </c>
      <c r="I1052" s="161" t="n">
        <v>30</v>
      </c>
      <c r="J1052" s="156" t="s">
        <v>192</v>
      </c>
      <c r="K1052" s="199" t="n">
        <v>45452.3821296296</v>
      </c>
      <c r="L1052" s="1" t="n">
        <v>1</v>
      </c>
      <c r="M1052" s="156" t="s">
        <v>192</v>
      </c>
      <c r="N1052" s="1" t="n">
        <v>564</v>
      </c>
    </row>
    <row r="1053" customFormat="false" ht="14.25" hidden="false" customHeight="false" outlineLevel="0" collapsed="false">
      <c r="A1053" s="1" t="n">
        <v>72</v>
      </c>
      <c r="B1053" s="1" t="s">
        <v>565</v>
      </c>
      <c r="C1053" s="1" t="s">
        <v>566</v>
      </c>
      <c r="D1053" s="1" t="n">
        <v>11171</v>
      </c>
      <c r="E1053" s="1" t="s">
        <v>55</v>
      </c>
      <c r="F1053" s="198" t="n">
        <v>200025888864</v>
      </c>
      <c r="G1053" s="198" t="s">
        <v>590</v>
      </c>
      <c r="H1053" s="163" t="s">
        <v>474</v>
      </c>
      <c r="I1053" s="161" t="n">
        <v>87</v>
      </c>
      <c r="J1053" s="156" t="s">
        <v>192</v>
      </c>
      <c r="K1053" s="199" t="n">
        <v>45452.3881018519</v>
      </c>
      <c r="L1053" s="1" t="n">
        <v>2</v>
      </c>
      <c r="M1053" s="156" t="s">
        <v>192</v>
      </c>
      <c r="N1053" s="1" t="n">
        <v>565</v>
      </c>
    </row>
    <row r="1054" customFormat="false" ht="14.25" hidden="false" customHeight="false" outlineLevel="0" collapsed="false">
      <c r="A1054" s="1" t="n">
        <v>106</v>
      </c>
      <c r="B1054" s="1" t="s">
        <v>702</v>
      </c>
      <c r="C1054" s="1" t="s">
        <v>703</v>
      </c>
      <c r="D1054" s="1" t="n">
        <v>11197</v>
      </c>
      <c r="E1054" s="1" t="s">
        <v>53</v>
      </c>
      <c r="F1054" s="201" t="n">
        <v>200025888158</v>
      </c>
      <c r="G1054" s="198" t="s">
        <v>630</v>
      </c>
      <c r="H1054" s="163" t="s">
        <v>193</v>
      </c>
      <c r="I1054" s="161" t="n">
        <v>30</v>
      </c>
      <c r="J1054" s="156" t="s">
        <v>192</v>
      </c>
      <c r="K1054" s="200" t="n">
        <v>45452.397037037</v>
      </c>
      <c r="L1054" s="1" t="n">
        <v>2</v>
      </c>
      <c r="M1054" s="156" t="s">
        <v>192</v>
      </c>
      <c r="N1054" s="1" t="n">
        <v>566</v>
      </c>
    </row>
    <row r="1055" customFormat="false" ht="14.25" hidden="false" customHeight="false" outlineLevel="0" collapsed="false">
      <c r="A1055" s="1" t="n">
        <v>107</v>
      </c>
      <c r="B1055" s="1" t="s">
        <v>702</v>
      </c>
      <c r="C1055" s="1" t="s">
        <v>703</v>
      </c>
      <c r="D1055" s="1" t="n">
        <v>11197</v>
      </c>
      <c r="E1055" s="1" t="s">
        <v>53</v>
      </c>
      <c r="F1055" s="201" t="n">
        <v>200025888158</v>
      </c>
      <c r="G1055" s="198" t="s">
        <v>630</v>
      </c>
      <c r="H1055" s="163" t="s">
        <v>193</v>
      </c>
      <c r="I1055" s="161" t="n">
        <v>30</v>
      </c>
      <c r="J1055" s="156" t="s">
        <v>192</v>
      </c>
      <c r="K1055" s="200" t="n">
        <v>45452.3979050926</v>
      </c>
      <c r="L1055" s="1" t="n">
        <v>5</v>
      </c>
      <c r="M1055" s="156" t="s">
        <v>192</v>
      </c>
      <c r="N1055" s="1" t="n">
        <v>567</v>
      </c>
    </row>
    <row r="1056" customFormat="false" ht="14.25" hidden="false" customHeight="false" outlineLevel="0" collapsed="false">
      <c r="A1056" s="1" t="n">
        <v>108</v>
      </c>
      <c r="B1056" s="1" t="s">
        <v>702</v>
      </c>
      <c r="C1056" s="1" t="s">
        <v>703</v>
      </c>
      <c r="D1056" s="1" t="n">
        <v>11197</v>
      </c>
      <c r="E1056" s="1" t="s">
        <v>53</v>
      </c>
      <c r="F1056" s="201" t="n">
        <v>200025888158</v>
      </c>
      <c r="G1056" s="198" t="s">
        <v>630</v>
      </c>
      <c r="H1056" s="163" t="s">
        <v>193</v>
      </c>
      <c r="I1056" s="161" t="n">
        <v>30</v>
      </c>
      <c r="J1056" s="156" t="s">
        <v>192</v>
      </c>
      <c r="K1056" s="200" t="n">
        <v>45452.3981018519</v>
      </c>
      <c r="L1056" s="1" t="n">
        <v>2</v>
      </c>
      <c r="M1056" s="156" t="s">
        <v>192</v>
      </c>
      <c r="N1056" s="1" t="n">
        <v>568</v>
      </c>
    </row>
    <row r="1057" customFormat="false" ht="14.25" hidden="false" customHeight="false" outlineLevel="0" collapsed="false">
      <c r="A1057" s="1" t="n">
        <v>73</v>
      </c>
      <c r="B1057" s="1" t="s">
        <v>565</v>
      </c>
      <c r="C1057" s="1" t="s">
        <v>566</v>
      </c>
      <c r="D1057" s="1" t="n">
        <v>11171</v>
      </c>
      <c r="E1057" s="1" t="s">
        <v>55</v>
      </c>
      <c r="F1057" s="198" t="n">
        <v>200025888864</v>
      </c>
      <c r="G1057" s="198" t="s">
        <v>590</v>
      </c>
      <c r="H1057" s="163" t="s">
        <v>474</v>
      </c>
      <c r="I1057" s="161" t="n">
        <v>87</v>
      </c>
      <c r="J1057" s="156" t="s">
        <v>192</v>
      </c>
      <c r="K1057" s="199" t="n">
        <v>45452.4020486111</v>
      </c>
      <c r="L1057" s="1" t="n">
        <v>1</v>
      </c>
      <c r="M1057" s="156" t="s">
        <v>192</v>
      </c>
      <c r="N1057" s="1" t="n">
        <v>569</v>
      </c>
    </row>
    <row r="1058" customFormat="false" ht="14.25" hidden="false" customHeight="false" outlineLevel="0" collapsed="false">
      <c r="A1058" s="1" t="n">
        <v>74</v>
      </c>
      <c r="B1058" s="1" t="s">
        <v>565</v>
      </c>
      <c r="C1058" s="1" t="s">
        <v>566</v>
      </c>
      <c r="D1058" s="1" t="n">
        <v>11171</v>
      </c>
      <c r="E1058" s="1" t="s">
        <v>55</v>
      </c>
      <c r="F1058" s="198" t="n">
        <v>200025888864</v>
      </c>
      <c r="G1058" s="198" t="s">
        <v>590</v>
      </c>
      <c r="H1058" s="163" t="s">
        <v>474</v>
      </c>
      <c r="I1058" s="161" t="n">
        <v>87</v>
      </c>
      <c r="J1058" s="156" t="s">
        <v>192</v>
      </c>
      <c r="K1058" s="199" t="n">
        <v>45452.4020601852</v>
      </c>
      <c r="L1058" s="1" t="n">
        <v>1</v>
      </c>
      <c r="M1058" s="156" t="s">
        <v>192</v>
      </c>
      <c r="N1058" s="1" t="n">
        <v>570</v>
      </c>
    </row>
    <row r="1059" customFormat="false" ht="14.25" hidden="false" customHeight="false" outlineLevel="0" collapsed="false">
      <c r="A1059" s="1" t="n">
        <v>75</v>
      </c>
      <c r="B1059" s="1" t="s">
        <v>565</v>
      </c>
      <c r="C1059" s="1" t="s">
        <v>566</v>
      </c>
      <c r="D1059" s="1" t="n">
        <v>11171</v>
      </c>
      <c r="E1059" s="1" t="s">
        <v>55</v>
      </c>
      <c r="F1059" s="198" t="n">
        <v>200025888864</v>
      </c>
      <c r="G1059" s="198" t="s">
        <v>590</v>
      </c>
      <c r="H1059" s="163" t="s">
        <v>474</v>
      </c>
      <c r="I1059" s="161" t="n">
        <v>87</v>
      </c>
      <c r="J1059" s="156" t="s">
        <v>192</v>
      </c>
      <c r="K1059" s="199" t="n">
        <v>45452.4022916667</v>
      </c>
      <c r="L1059" s="1" t="n">
        <v>0</v>
      </c>
      <c r="M1059" s="156" t="s">
        <v>192</v>
      </c>
      <c r="N1059" s="1" t="n">
        <v>571</v>
      </c>
    </row>
    <row r="1060" customFormat="false" ht="14.25" hidden="false" customHeight="false" outlineLevel="0" collapsed="false">
      <c r="A1060" s="1" t="n">
        <v>76</v>
      </c>
      <c r="B1060" s="1" t="s">
        <v>565</v>
      </c>
      <c r="C1060" s="1" t="s">
        <v>566</v>
      </c>
      <c r="D1060" s="1" t="n">
        <v>11171</v>
      </c>
      <c r="E1060" s="1" t="s">
        <v>55</v>
      </c>
      <c r="F1060" s="198" t="n">
        <v>200025888864</v>
      </c>
      <c r="G1060" s="198" t="s">
        <v>590</v>
      </c>
      <c r="H1060" s="163" t="s">
        <v>474</v>
      </c>
      <c r="I1060" s="161" t="n">
        <v>87</v>
      </c>
      <c r="J1060" s="156" t="s">
        <v>192</v>
      </c>
      <c r="K1060" s="199" t="n">
        <v>45452.4023032407</v>
      </c>
      <c r="L1060" s="1" t="n">
        <v>0</v>
      </c>
      <c r="M1060" s="156" t="s">
        <v>192</v>
      </c>
      <c r="N1060" s="1" t="n">
        <v>572</v>
      </c>
    </row>
    <row r="1061" customFormat="false" ht="14.25" hidden="false" customHeight="false" outlineLevel="0" collapsed="false">
      <c r="A1061" s="1" t="n">
        <v>77</v>
      </c>
      <c r="B1061" s="1" t="s">
        <v>565</v>
      </c>
      <c r="C1061" s="1" t="s">
        <v>566</v>
      </c>
      <c r="D1061" s="1" t="n">
        <v>11171</v>
      </c>
      <c r="E1061" s="1" t="s">
        <v>55</v>
      </c>
      <c r="F1061" s="198" t="n">
        <v>200025888864</v>
      </c>
      <c r="G1061" s="198" t="s">
        <v>590</v>
      </c>
      <c r="H1061" s="163" t="s">
        <v>474</v>
      </c>
      <c r="I1061" s="161" t="n">
        <v>87</v>
      </c>
      <c r="J1061" s="156" t="s">
        <v>192</v>
      </c>
      <c r="K1061" s="199" t="n">
        <v>45452.4046412037</v>
      </c>
      <c r="L1061" s="1" t="n">
        <v>0</v>
      </c>
      <c r="M1061" s="156" t="s">
        <v>192</v>
      </c>
      <c r="N1061" s="1" t="n">
        <v>573</v>
      </c>
    </row>
    <row r="1062" customFormat="false" ht="14.25" hidden="false" customHeight="false" outlineLevel="0" collapsed="false">
      <c r="A1062" s="1" t="n">
        <v>78</v>
      </c>
      <c r="B1062" s="1" t="s">
        <v>565</v>
      </c>
      <c r="C1062" s="1" t="s">
        <v>566</v>
      </c>
      <c r="D1062" s="1" t="n">
        <v>11171</v>
      </c>
      <c r="E1062" s="1" t="s">
        <v>55</v>
      </c>
      <c r="F1062" s="198" t="n">
        <v>200025888864</v>
      </c>
      <c r="G1062" s="198" t="s">
        <v>590</v>
      </c>
      <c r="H1062" s="163" t="s">
        <v>474</v>
      </c>
      <c r="I1062" s="161" t="n">
        <v>87</v>
      </c>
      <c r="J1062" s="156" t="s">
        <v>192</v>
      </c>
      <c r="K1062" s="199" t="n">
        <v>45452.4056365741</v>
      </c>
      <c r="L1062" s="1" t="n">
        <v>0</v>
      </c>
      <c r="M1062" s="156" t="s">
        <v>192</v>
      </c>
      <c r="N1062" s="1" t="n">
        <v>574</v>
      </c>
    </row>
    <row r="1063" customFormat="false" ht="14.25" hidden="false" customHeight="false" outlineLevel="0" collapsed="false">
      <c r="A1063" s="1" t="n">
        <v>79</v>
      </c>
      <c r="B1063" s="1" t="s">
        <v>565</v>
      </c>
      <c r="C1063" s="1" t="s">
        <v>566</v>
      </c>
      <c r="D1063" s="1" t="n">
        <v>11171</v>
      </c>
      <c r="E1063" s="1" t="s">
        <v>55</v>
      </c>
      <c r="F1063" s="198" t="n">
        <v>200025888181</v>
      </c>
      <c r="G1063" s="198" t="s">
        <v>631</v>
      </c>
      <c r="H1063" s="163" t="s">
        <v>215</v>
      </c>
      <c r="I1063" s="161" t="n">
        <v>115</v>
      </c>
      <c r="J1063" s="156" t="s">
        <v>192</v>
      </c>
      <c r="K1063" s="199" t="n">
        <v>45452.4097569444</v>
      </c>
      <c r="L1063" s="1" t="n">
        <v>0</v>
      </c>
      <c r="M1063" s="156" t="s">
        <v>192</v>
      </c>
      <c r="N1063" s="1" t="n">
        <v>575</v>
      </c>
    </row>
    <row r="1064" customFormat="false" ht="14.25" hidden="false" customHeight="false" outlineLevel="0" collapsed="false">
      <c r="A1064" s="1" t="n">
        <v>109</v>
      </c>
      <c r="B1064" s="1" t="s">
        <v>702</v>
      </c>
      <c r="C1064" s="1" t="s">
        <v>703</v>
      </c>
      <c r="D1064" s="1" t="n">
        <v>11197</v>
      </c>
      <c r="E1064" s="1" t="s">
        <v>53</v>
      </c>
      <c r="F1064" s="201" t="n">
        <v>200025888864</v>
      </c>
      <c r="G1064" s="198" t="s">
        <v>590</v>
      </c>
      <c r="H1064" s="163" t="s">
        <v>474</v>
      </c>
      <c r="I1064" s="161" t="n">
        <v>87</v>
      </c>
      <c r="J1064" s="156" t="s">
        <v>192</v>
      </c>
      <c r="K1064" s="200" t="n">
        <v>45452.4195023148</v>
      </c>
      <c r="L1064" s="1" t="n">
        <v>1</v>
      </c>
      <c r="M1064" s="156" t="s">
        <v>192</v>
      </c>
      <c r="N1064" s="1" t="n">
        <v>576</v>
      </c>
    </row>
    <row r="1065" customFormat="false" ht="14.25" hidden="false" customHeight="false" outlineLevel="0" collapsed="false">
      <c r="A1065" s="1" t="n">
        <v>110</v>
      </c>
      <c r="B1065" s="1" t="s">
        <v>702</v>
      </c>
      <c r="C1065" s="1" t="s">
        <v>703</v>
      </c>
      <c r="D1065" s="1" t="n">
        <v>11197</v>
      </c>
      <c r="E1065" s="1" t="s">
        <v>53</v>
      </c>
      <c r="F1065" s="201" t="n">
        <v>200025888864</v>
      </c>
      <c r="G1065" s="198" t="s">
        <v>590</v>
      </c>
      <c r="H1065" s="163" t="s">
        <v>474</v>
      </c>
      <c r="I1065" s="161" t="n">
        <v>87</v>
      </c>
      <c r="J1065" s="156" t="s">
        <v>192</v>
      </c>
      <c r="K1065" s="200" t="n">
        <v>45452.4195138889</v>
      </c>
      <c r="L1065" s="1" t="n">
        <v>13</v>
      </c>
      <c r="M1065" s="156" t="s">
        <v>192</v>
      </c>
      <c r="N1065" s="1" t="n">
        <v>577</v>
      </c>
    </row>
    <row r="1066" customFormat="false" ht="14.25" hidden="false" customHeight="false" outlineLevel="0" collapsed="false">
      <c r="A1066" s="1" t="n">
        <v>111</v>
      </c>
      <c r="B1066" s="1" t="s">
        <v>702</v>
      </c>
      <c r="C1066" s="1" t="s">
        <v>703</v>
      </c>
      <c r="D1066" s="1" t="n">
        <v>11197</v>
      </c>
      <c r="E1066" s="1" t="s">
        <v>53</v>
      </c>
      <c r="F1066" s="201" t="n">
        <v>200025888864</v>
      </c>
      <c r="G1066" s="198" t="s">
        <v>590</v>
      </c>
      <c r="H1066" s="163" t="s">
        <v>474</v>
      </c>
      <c r="I1066" s="161" t="n">
        <v>87</v>
      </c>
      <c r="J1066" s="156" t="s">
        <v>192</v>
      </c>
      <c r="K1066" s="200" t="n">
        <v>45452.4206018519</v>
      </c>
      <c r="L1066" s="1" t="n">
        <v>1</v>
      </c>
      <c r="M1066" s="156" t="s">
        <v>192</v>
      </c>
      <c r="N1066" s="1" t="n">
        <v>578</v>
      </c>
    </row>
    <row r="1067" customFormat="false" ht="14.25" hidden="false" customHeight="false" outlineLevel="0" collapsed="false">
      <c r="A1067" s="1" t="n">
        <v>112</v>
      </c>
      <c r="B1067" s="1" t="s">
        <v>702</v>
      </c>
      <c r="C1067" s="1" t="s">
        <v>703</v>
      </c>
      <c r="D1067" s="1" t="n">
        <v>11197</v>
      </c>
      <c r="E1067" s="1" t="s">
        <v>53</v>
      </c>
      <c r="F1067" s="201" t="n">
        <v>200025888864</v>
      </c>
      <c r="G1067" s="198" t="s">
        <v>590</v>
      </c>
      <c r="H1067" s="163" t="s">
        <v>474</v>
      </c>
      <c r="I1067" s="161" t="n">
        <v>87</v>
      </c>
      <c r="J1067" s="156" t="s">
        <v>192</v>
      </c>
      <c r="K1067" s="200" t="n">
        <v>45452.420775463</v>
      </c>
      <c r="L1067" s="1" t="n">
        <v>2</v>
      </c>
      <c r="M1067" s="156" t="s">
        <v>192</v>
      </c>
      <c r="N1067" s="1" t="n">
        <v>579</v>
      </c>
    </row>
    <row r="1068" customFormat="false" ht="14.25" hidden="false" customHeight="false" outlineLevel="0" collapsed="false">
      <c r="A1068" s="1" t="n">
        <v>80</v>
      </c>
      <c r="B1068" s="1" t="s">
        <v>565</v>
      </c>
      <c r="C1068" s="1" t="s">
        <v>566</v>
      </c>
      <c r="D1068" s="1" t="n">
        <v>11171</v>
      </c>
      <c r="E1068" s="1" t="s">
        <v>55</v>
      </c>
      <c r="F1068" s="198" t="n">
        <v>200025888864</v>
      </c>
      <c r="G1068" s="198" t="s">
        <v>590</v>
      </c>
      <c r="H1068" s="163" t="s">
        <v>474</v>
      </c>
      <c r="I1068" s="161" t="n">
        <v>87</v>
      </c>
      <c r="J1068" s="156" t="s">
        <v>192</v>
      </c>
      <c r="K1068" s="199" t="n">
        <v>45452.4393981482</v>
      </c>
      <c r="L1068" s="1" t="n">
        <v>1</v>
      </c>
      <c r="M1068" s="156" t="s">
        <v>192</v>
      </c>
      <c r="N1068" s="1" t="n">
        <v>580</v>
      </c>
    </row>
    <row r="1069" customFormat="false" ht="14.25" hidden="false" customHeight="false" outlineLevel="0" collapsed="false">
      <c r="A1069" s="1" t="n">
        <v>81</v>
      </c>
      <c r="B1069" s="1" t="s">
        <v>565</v>
      </c>
      <c r="C1069" s="1" t="s">
        <v>566</v>
      </c>
      <c r="D1069" s="1" t="n">
        <v>11171</v>
      </c>
      <c r="E1069" s="1" t="s">
        <v>55</v>
      </c>
      <c r="F1069" s="198" t="n">
        <v>200025889163</v>
      </c>
      <c r="G1069" s="198" t="s">
        <v>612</v>
      </c>
      <c r="H1069" s="163" t="s">
        <v>333</v>
      </c>
      <c r="I1069" s="161" t="n">
        <v>21</v>
      </c>
      <c r="J1069" s="156" t="s">
        <v>192</v>
      </c>
      <c r="K1069" s="199" t="n">
        <v>45452.4423726852</v>
      </c>
      <c r="L1069" s="1" t="n">
        <v>1</v>
      </c>
      <c r="M1069" s="156" t="s">
        <v>192</v>
      </c>
      <c r="N1069" s="1" t="n">
        <v>581</v>
      </c>
    </row>
    <row r="1070" customFormat="false" ht="14.25" hidden="false" customHeight="false" outlineLevel="0" collapsed="false">
      <c r="A1070" s="1" t="n">
        <v>82</v>
      </c>
      <c r="B1070" s="1" t="s">
        <v>565</v>
      </c>
      <c r="C1070" s="1" t="s">
        <v>566</v>
      </c>
      <c r="D1070" s="1" t="n">
        <v>11171</v>
      </c>
      <c r="E1070" s="1" t="s">
        <v>55</v>
      </c>
      <c r="F1070" s="198" t="n">
        <v>200025889163</v>
      </c>
      <c r="G1070" s="198" t="s">
        <v>612</v>
      </c>
      <c r="H1070" s="163" t="s">
        <v>333</v>
      </c>
      <c r="I1070" s="161" t="n">
        <v>21</v>
      </c>
      <c r="J1070" s="156" t="s">
        <v>192</v>
      </c>
      <c r="K1070" s="199" t="n">
        <v>45452.4522337963</v>
      </c>
      <c r="L1070" s="1" t="n">
        <v>2</v>
      </c>
      <c r="M1070" s="156" t="s">
        <v>192</v>
      </c>
      <c r="N1070" s="1" t="n">
        <v>582</v>
      </c>
    </row>
    <row r="1071" customFormat="false" ht="14.25" hidden="false" customHeight="false" outlineLevel="0" collapsed="false">
      <c r="A1071" s="1" t="n">
        <v>83</v>
      </c>
      <c r="B1071" s="1" t="s">
        <v>565</v>
      </c>
      <c r="C1071" s="1" t="s">
        <v>566</v>
      </c>
      <c r="D1071" s="1" t="n">
        <v>11171</v>
      </c>
      <c r="E1071" s="1" t="s">
        <v>55</v>
      </c>
      <c r="F1071" s="198" t="n">
        <v>200025888181</v>
      </c>
      <c r="G1071" s="198" t="s">
        <v>631</v>
      </c>
      <c r="H1071" s="163" t="s">
        <v>215</v>
      </c>
      <c r="I1071" s="161" t="n">
        <v>115</v>
      </c>
      <c r="J1071" s="156" t="s">
        <v>192</v>
      </c>
      <c r="K1071" s="199" t="n">
        <v>45452.4552777778</v>
      </c>
      <c r="L1071" s="1" t="n">
        <v>1</v>
      </c>
      <c r="M1071" s="156" t="s">
        <v>192</v>
      </c>
      <c r="N1071" s="1" t="n">
        <v>583</v>
      </c>
    </row>
    <row r="1072" customFormat="false" ht="14.25" hidden="false" customHeight="false" outlineLevel="0" collapsed="false">
      <c r="A1072" s="1" t="n">
        <v>84</v>
      </c>
      <c r="B1072" s="1" t="s">
        <v>565</v>
      </c>
      <c r="C1072" s="1" t="s">
        <v>566</v>
      </c>
      <c r="D1072" s="1" t="n">
        <v>11171</v>
      </c>
      <c r="E1072" s="1" t="s">
        <v>55</v>
      </c>
      <c r="F1072" s="198" t="n">
        <v>200025888181</v>
      </c>
      <c r="G1072" s="198" t="s">
        <v>631</v>
      </c>
      <c r="H1072" s="163" t="s">
        <v>215</v>
      </c>
      <c r="I1072" s="161" t="n">
        <v>115</v>
      </c>
      <c r="J1072" s="156" t="s">
        <v>192</v>
      </c>
      <c r="K1072" s="199" t="n">
        <v>45452.4553009259</v>
      </c>
      <c r="L1072" s="1" t="n">
        <v>0</v>
      </c>
      <c r="M1072" s="156" t="s">
        <v>192</v>
      </c>
      <c r="N1072" s="1" t="n">
        <v>584</v>
      </c>
    </row>
    <row r="1073" customFormat="false" ht="14.25" hidden="false" customHeight="false" outlineLevel="0" collapsed="false">
      <c r="A1073" s="1" t="n">
        <v>85</v>
      </c>
      <c r="B1073" s="1" t="s">
        <v>565</v>
      </c>
      <c r="C1073" s="1" t="s">
        <v>566</v>
      </c>
      <c r="D1073" s="1" t="n">
        <v>11171</v>
      </c>
      <c r="E1073" s="1" t="s">
        <v>55</v>
      </c>
      <c r="F1073" s="198" t="n">
        <v>200025888181</v>
      </c>
      <c r="G1073" s="198" t="s">
        <v>631</v>
      </c>
      <c r="H1073" s="163" t="s">
        <v>215</v>
      </c>
      <c r="I1073" s="161" t="n">
        <v>115</v>
      </c>
      <c r="J1073" s="156" t="s">
        <v>192</v>
      </c>
      <c r="K1073" s="199" t="n">
        <v>45452.4565625</v>
      </c>
      <c r="L1073" s="1" t="n">
        <v>2</v>
      </c>
      <c r="M1073" s="156" t="s">
        <v>192</v>
      </c>
      <c r="N1073" s="1" t="n">
        <v>585</v>
      </c>
    </row>
    <row r="1074" customFormat="false" ht="14.25" hidden="false" customHeight="false" outlineLevel="0" collapsed="false">
      <c r="A1074" s="1" t="n">
        <v>86</v>
      </c>
      <c r="B1074" s="1" t="s">
        <v>565</v>
      </c>
      <c r="C1074" s="1" t="s">
        <v>566</v>
      </c>
      <c r="D1074" s="1" t="n">
        <v>11171</v>
      </c>
      <c r="E1074" s="1" t="s">
        <v>55</v>
      </c>
      <c r="F1074" s="198" t="n">
        <v>200025888181</v>
      </c>
      <c r="G1074" s="198" t="s">
        <v>631</v>
      </c>
      <c r="H1074" s="163" t="s">
        <v>215</v>
      </c>
      <c r="I1074" s="161" t="n">
        <v>115</v>
      </c>
      <c r="J1074" s="156" t="s">
        <v>192</v>
      </c>
      <c r="K1074" s="199" t="n">
        <v>45452.4575810185</v>
      </c>
      <c r="L1074" s="1" t="n">
        <v>1</v>
      </c>
      <c r="M1074" s="156" t="s">
        <v>192</v>
      </c>
      <c r="N1074" s="1" t="n">
        <v>586</v>
      </c>
    </row>
    <row r="1075" customFormat="false" ht="14.25" hidden="false" customHeight="false" outlineLevel="0" collapsed="false">
      <c r="A1075" s="1" t="n">
        <v>113</v>
      </c>
      <c r="B1075" s="1" t="s">
        <v>702</v>
      </c>
      <c r="C1075" s="1" t="s">
        <v>703</v>
      </c>
      <c r="D1075" s="1" t="n">
        <v>11197</v>
      </c>
      <c r="E1075" s="1" t="s">
        <v>53</v>
      </c>
      <c r="F1075" s="201" t="n">
        <v>200025888181</v>
      </c>
      <c r="G1075" s="198" t="s">
        <v>631</v>
      </c>
      <c r="H1075" s="163" t="s">
        <v>215</v>
      </c>
      <c r="I1075" s="161" t="n">
        <v>115</v>
      </c>
      <c r="J1075" s="156" t="s">
        <v>192</v>
      </c>
      <c r="K1075" s="200" t="n">
        <v>45452.4583333333</v>
      </c>
      <c r="L1075" s="1" t="n">
        <v>1</v>
      </c>
      <c r="M1075" s="156" t="s">
        <v>192</v>
      </c>
      <c r="N1075" s="1" t="n">
        <v>587</v>
      </c>
    </row>
    <row r="1076" customFormat="false" ht="14.25" hidden="false" customHeight="false" outlineLevel="0" collapsed="false">
      <c r="A1076" s="1" t="n">
        <v>114</v>
      </c>
      <c r="B1076" s="1" t="s">
        <v>702</v>
      </c>
      <c r="C1076" s="1" t="s">
        <v>703</v>
      </c>
      <c r="D1076" s="1" t="n">
        <v>11197</v>
      </c>
      <c r="E1076" s="1" t="s">
        <v>53</v>
      </c>
      <c r="F1076" s="201" t="n">
        <v>200025888181</v>
      </c>
      <c r="G1076" s="198" t="s">
        <v>631</v>
      </c>
      <c r="H1076" s="163" t="s">
        <v>215</v>
      </c>
      <c r="I1076" s="161" t="n">
        <v>115</v>
      </c>
      <c r="J1076" s="156" t="s">
        <v>192</v>
      </c>
      <c r="K1076" s="200" t="n">
        <v>45452.4587152778</v>
      </c>
      <c r="L1076" s="1" t="n">
        <v>2</v>
      </c>
      <c r="M1076" s="156" t="s">
        <v>192</v>
      </c>
      <c r="N1076" s="1" t="n">
        <v>588</v>
      </c>
    </row>
    <row r="1077" customFormat="false" ht="14.25" hidden="false" customHeight="false" outlineLevel="0" collapsed="false">
      <c r="A1077" s="1" t="n">
        <v>115</v>
      </c>
      <c r="B1077" s="1" t="s">
        <v>702</v>
      </c>
      <c r="C1077" s="1" t="s">
        <v>703</v>
      </c>
      <c r="D1077" s="1" t="n">
        <v>11197</v>
      </c>
      <c r="E1077" s="1" t="s">
        <v>53</v>
      </c>
      <c r="F1077" s="201" t="n">
        <v>200025888181</v>
      </c>
      <c r="G1077" s="198" t="s">
        <v>631</v>
      </c>
      <c r="H1077" s="163" t="s">
        <v>215</v>
      </c>
      <c r="I1077" s="161" t="n">
        <v>115</v>
      </c>
      <c r="J1077" s="156" t="s">
        <v>192</v>
      </c>
      <c r="K1077" s="200" t="n">
        <v>45452.4590393519</v>
      </c>
      <c r="L1077" s="1" t="n">
        <v>6</v>
      </c>
      <c r="M1077" s="156" t="s">
        <v>192</v>
      </c>
      <c r="N1077" s="1" t="n">
        <v>589</v>
      </c>
    </row>
    <row r="1078" customFormat="false" ht="14.25" hidden="false" customHeight="false" outlineLevel="0" collapsed="false">
      <c r="A1078" s="1" t="n">
        <v>87</v>
      </c>
      <c r="B1078" s="1" t="s">
        <v>565</v>
      </c>
      <c r="C1078" s="1" t="s">
        <v>566</v>
      </c>
      <c r="D1078" s="1" t="n">
        <v>11171</v>
      </c>
      <c r="E1078" s="1" t="s">
        <v>55</v>
      </c>
      <c r="F1078" s="198" t="n">
        <v>200025888864</v>
      </c>
      <c r="G1078" s="198" t="s">
        <v>590</v>
      </c>
      <c r="H1078" s="163" t="s">
        <v>474</v>
      </c>
      <c r="I1078" s="161" t="n">
        <v>87</v>
      </c>
      <c r="J1078" s="156" t="s">
        <v>192</v>
      </c>
      <c r="K1078" s="199" t="n">
        <v>45452.4596643519</v>
      </c>
      <c r="L1078" s="1" t="n">
        <v>2</v>
      </c>
      <c r="M1078" s="156" t="s">
        <v>192</v>
      </c>
      <c r="N1078" s="1" t="n">
        <v>590</v>
      </c>
    </row>
    <row r="1079" customFormat="false" ht="14.25" hidden="false" customHeight="false" outlineLevel="0" collapsed="false">
      <c r="A1079" s="1" t="n">
        <v>116</v>
      </c>
      <c r="B1079" s="1" t="s">
        <v>702</v>
      </c>
      <c r="C1079" s="1" t="s">
        <v>703</v>
      </c>
      <c r="D1079" s="1" t="n">
        <v>11197</v>
      </c>
      <c r="E1079" s="1" t="s">
        <v>53</v>
      </c>
      <c r="F1079" s="201" t="n">
        <v>200025888181</v>
      </c>
      <c r="G1079" s="198" t="s">
        <v>631</v>
      </c>
      <c r="H1079" s="163" t="s">
        <v>215</v>
      </c>
      <c r="I1079" s="161" t="n">
        <v>115</v>
      </c>
      <c r="J1079" s="156" t="s">
        <v>192</v>
      </c>
      <c r="K1079" s="200" t="n">
        <v>45452.4598611111</v>
      </c>
      <c r="L1079" s="1" t="n">
        <v>2</v>
      </c>
      <c r="M1079" s="156" t="s">
        <v>192</v>
      </c>
      <c r="N1079" s="1" t="n">
        <v>591</v>
      </c>
    </row>
    <row r="1080" customFormat="false" ht="14.25" hidden="false" customHeight="false" outlineLevel="0" collapsed="false">
      <c r="A1080" s="1" t="n">
        <v>88</v>
      </c>
      <c r="B1080" s="1" t="s">
        <v>565</v>
      </c>
      <c r="C1080" s="1" t="s">
        <v>566</v>
      </c>
      <c r="D1080" s="1" t="n">
        <v>11171</v>
      </c>
      <c r="E1080" s="1" t="s">
        <v>55</v>
      </c>
      <c r="F1080" s="198" t="n">
        <v>200025888864</v>
      </c>
      <c r="G1080" s="198" t="s">
        <v>590</v>
      </c>
      <c r="H1080" s="163" t="s">
        <v>474</v>
      </c>
      <c r="I1080" s="161" t="n">
        <v>87</v>
      </c>
      <c r="J1080" s="156" t="s">
        <v>192</v>
      </c>
      <c r="K1080" s="199" t="n">
        <v>45452.46</v>
      </c>
      <c r="L1080" s="1" t="n">
        <v>1</v>
      </c>
      <c r="M1080" s="156" t="s">
        <v>192</v>
      </c>
      <c r="N1080" s="1" t="n">
        <v>592</v>
      </c>
    </row>
    <row r="1081" customFormat="false" ht="14.25" hidden="false" customHeight="false" outlineLevel="0" collapsed="false">
      <c r="A1081" s="1" t="n">
        <v>89</v>
      </c>
      <c r="B1081" s="1" t="s">
        <v>565</v>
      </c>
      <c r="C1081" s="1" t="s">
        <v>566</v>
      </c>
      <c r="D1081" s="1" t="n">
        <v>11171</v>
      </c>
      <c r="E1081" s="1" t="s">
        <v>55</v>
      </c>
      <c r="F1081" s="198" t="n">
        <v>200025889163</v>
      </c>
      <c r="G1081" s="198" t="s">
        <v>612</v>
      </c>
      <c r="H1081" s="163" t="s">
        <v>333</v>
      </c>
      <c r="I1081" s="161" t="n">
        <v>21</v>
      </c>
      <c r="J1081" s="156" t="s">
        <v>192</v>
      </c>
      <c r="K1081" s="199" t="n">
        <v>45452.4612962963</v>
      </c>
      <c r="L1081" s="1" t="n">
        <v>1</v>
      </c>
      <c r="M1081" s="156" t="s">
        <v>192</v>
      </c>
      <c r="N1081" s="1" t="n">
        <v>593</v>
      </c>
    </row>
    <row r="1082" customFormat="false" ht="14.25" hidden="false" customHeight="false" outlineLevel="0" collapsed="false">
      <c r="A1082" s="1" t="n">
        <v>90</v>
      </c>
      <c r="B1082" s="1" t="s">
        <v>565</v>
      </c>
      <c r="C1082" s="1" t="s">
        <v>566</v>
      </c>
      <c r="D1082" s="1" t="n">
        <v>11171</v>
      </c>
      <c r="E1082" s="1" t="s">
        <v>55</v>
      </c>
      <c r="F1082" s="198" t="n">
        <v>200025889163</v>
      </c>
      <c r="G1082" s="198" t="s">
        <v>612</v>
      </c>
      <c r="H1082" s="163" t="s">
        <v>333</v>
      </c>
      <c r="I1082" s="161" t="n">
        <v>21</v>
      </c>
      <c r="J1082" s="156" t="s">
        <v>192</v>
      </c>
      <c r="K1082" s="199" t="n">
        <v>45452.4613078704</v>
      </c>
      <c r="L1082" s="1" t="n">
        <v>1</v>
      </c>
      <c r="M1082" s="156" t="s">
        <v>192</v>
      </c>
      <c r="N1082" s="1" t="n">
        <v>594</v>
      </c>
    </row>
    <row r="1083" customFormat="false" ht="14.25" hidden="false" customHeight="false" outlineLevel="0" collapsed="false">
      <c r="A1083" s="1" t="n">
        <v>91</v>
      </c>
      <c r="B1083" s="1" t="s">
        <v>565</v>
      </c>
      <c r="C1083" s="1" t="s">
        <v>566</v>
      </c>
      <c r="D1083" s="1" t="n">
        <v>11171</v>
      </c>
      <c r="E1083" s="1" t="s">
        <v>55</v>
      </c>
      <c r="F1083" s="198" t="n">
        <v>200025888864</v>
      </c>
      <c r="G1083" s="198" t="s">
        <v>590</v>
      </c>
      <c r="H1083" s="163" t="s">
        <v>474</v>
      </c>
      <c r="I1083" s="161" t="n">
        <v>87</v>
      </c>
      <c r="J1083" s="156" t="s">
        <v>192</v>
      </c>
      <c r="K1083" s="199" t="n">
        <v>45452.4656944444</v>
      </c>
      <c r="L1083" s="1" t="n">
        <v>2</v>
      </c>
      <c r="M1083" s="156" t="s">
        <v>192</v>
      </c>
      <c r="N1083" s="1" t="n">
        <v>595</v>
      </c>
    </row>
    <row r="1084" customFormat="false" ht="14.25" hidden="false" customHeight="false" outlineLevel="0" collapsed="false">
      <c r="A1084" s="1" t="n">
        <v>92</v>
      </c>
      <c r="B1084" s="1" t="s">
        <v>565</v>
      </c>
      <c r="C1084" s="1" t="s">
        <v>566</v>
      </c>
      <c r="D1084" s="1" t="n">
        <v>11171</v>
      </c>
      <c r="E1084" s="1" t="s">
        <v>55</v>
      </c>
      <c r="F1084" s="198" t="n">
        <v>200025888864</v>
      </c>
      <c r="G1084" s="198" t="s">
        <v>590</v>
      </c>
      <c r="H1084" s="163" t="s">
        <v>474</v>
      </c>
      <c r="I1084" s="161" t="n">
        <v>87</v>
      </c>
      <c r="J1084" s="156" t="s">
        <v>192</v>
      </c>
      <c r="K1084" s="199" t="n">
        <v>45452.4658333333</v>
      </c>
      <c r="L1084" s="1" t="n">
        <v>1</v>
      </c>
      <c r="M1084" s="156" t="s">
        <v>192</v>
      </c>
      <c r="N1084" s="1" t="n">
        <v>596</v>
      </c>
    </row>
    <row r="1085" customFormat="false" ht="14.25" hidden="false" customHeight="false" outlineLevel="0" collapsed="false">
      <c r="A1085" s="1" t="n">
        <v>93</v>
      </c>
      <c r="B1085" s="1" t="s">
        <v>565</v>
      </c>
      <c r="C1085" s="1" t="s">
        <v>566</v>
      </c>
      <c r="D1085" s="1" t="n">
        <v>11171</v>
      </c>
      <c r="E1085" s="1" t="s">
        <v>55</v>
      </c>
      <c r="F1085" s="198" t="n">
        <v>200025888864</v>
      </c>
      <c r="G1085" s="198" t="s">
        <v>590</v>
      </c>
      <c r="H1085" s="163" t="s">
        <v>474</v>
      </c>
      <c r="I1085" s="161" t="n">
        <v>87</v>
      </c>
      <c r="J1085" s="156" t="s">
        <v>192</v>
      </c>
      <c r="K1085" s="199" t="n">
        <v>45452.466099537</v>
      </c>
      <c r="L1085" s="1" t="n">
        <v>2</v>
      </c>
      <c r="M1085" s="156" t="s">
        <v>192</v>
      </c>
      <c r="N1085" s="1" t="n">
        <v>597</v>
      </c>
    </row>
    <row r="1086" customFormat="false" ht="14.25" hidden="false" customHeight="false" outlineLevel="0" collapsed="false">
      <c r="A1086" s="1" t="n">
        <v>94</v>
      </c>
      <c r="B1086" s="1" t="s">
        <v>565</v>
      </c>
      <c r="C1086" s="1" t="s">
        <v>566</v>
      </c>
      <c r="D1086" s="1" t="n">
        <v>11171</v>
      </c>
      <c r="E1086" s="1" t="s">
        <v>55</v>
      </c>
      <c r="F1086" s="198" t="n">
        <v>200025888158</v>
      </c>
      <c r="G1086" s="198" t="s">
        <v>630</v>
      </c>
      <c r="H1086" s="163" t="s">
        <v>193</v>
      </c>
      <c r="I1086" s="161" t="n">
        <v>30</v>
      </c>
      <c r="J1086" s="156" t="s">
        <v>192</v>
      </c>
      <c r="K1086" s="199" t="n">
        <v>45452.4667361111</v>
      </c>
      <c r="L1086" s="1" t="n">
        <v>3</v>
      </c>
      <c r="M1086" s="156" t="s">
        <v>192</v>
      </c>
      <c r="N1086" s="1" t="n">
        <v>598</v>
      </c>
    </row>
    <row r="1087" customFormat="false" ht="14.25" hidden="false" customHeight="false" outlineLevel="0" collapsed="false">
      <c r="A1087" s="1" t="n">
        <v>117</v>
      </c>
      <c r="B1087" s="1" t="s">
        <v>702</v>
      </c>
      <c r="C1087" s="1" t="s">
        <v>703</v>
      </c>
      <c r="D1087" s="1" t="n">
        <v>11197</v>
      </c>
      <c r="E1087" s="1" t="s">
        <v>53</v>
      </c>
      <c r="F1087" s="201" t="n">
        <v>200025888864</v>
      </c>
      <c r="G1087" s="198" t="s">
        <v>590</v>
      </c>
      <c r="H1087" s="163" t="s">
        <v>474</v>
      </c>
      <c r="I1087" s="161" t="n">
        <v>87</v>
      </c>
      <c r="J1087" s="156" t="s">
        <v>192</v>
      </c>
      <c r="K1087" s="200" t="n">
        <v>45452.467974537</v>
      </c>
      <c r="L1087" s="1" t="n">
        <v>0</v>
      </c>
      <c r="M1087" s="156" t="s">
        <v>192</v>
      </c>
      <c r="N1087" s="1" t="n">
        <v>599</v>
      </c>
    </row>
    <row r="1088" customFormat="false" ht="14.25" hidden="false" customHeight="false" outlineLevel="0" collapsed="false">
      <c r="A1088" s="1" t="n">
        <v>118</v>
      </c>
      <c r="B1088" s="1" t="s">
        <v>702</v>
      </c>
      <c r="C1088" s="1" t="s">
        <v>703</v>
      </c>
      <c r="D1088" s="1" t="n">
        <v>11197</v>
      </c>
      <c r="E1088" s="1" t="s">
        <v>53</v>
      </c>
      <c r="F1088" s="201" t="n">
        <v>200025888864</v>
      </c>
      <c r="G1088" s="198" t="s">
        <v>590</v>
      </c>
      <c r="H1088" s="163" t="s">
        <v>474</v>
      </c>
      <c r="I1088" s="161" t="n">
        <v>87</v>
      </c>
      <c r="J1088" s="156" t="s">
        <v>192</v>
      </c>
      <c r="K1088" s="200" t="n">
        <v>45452.4682291667</v>
      </c>
      <c r="L1088" s="1" t="n">
        <v>1</v>
      </c>
      <c r="M1088" s="156" t="s">
        <v>192</v>
      </c>
      <c r="N1088" s="1" t="n">
        <v>600</v>
      </c>
    </row>
    <row r="1089" customFormat="false" ht="14.25" hidden="false" customHeight="false" outlineLevel="0" collapsed="false">
      <c r="A1089" s="1" t="n">
        <v>95</v>
      </c>
      <c r="B1089" s="1" t="s">
        <v>565</v>
      </c>
      <c r="C1089" s="1" t="s">
        <v>566</v>
      </c>
      <c r="D1089" s="1" t="n">
        <v>11171</v>
      </c>
      <c r="E1089" s="1" t="s">
        <v>55</v>
      </c>
      <c r="F1089" s="198" t="n">
        <v>200025889163</v>
      </c>
      <c r="G1089" s="198" t="s">
        <v>612</v>
      </c>
      <c r="H1089" s="163" t="s">
        <v>333</v>
      </c>
      <c r="I1089" s="161" t="n">
        <v>21</v>
      </c>
      <c r="J1089" s="156" t="s">
        <v>192</v>
      </c>
      <c r="K1089" s="199" t="n">
        <v>45452.468587963</v>
      </c>
      <c r="L1089" s="1" t="n">
        <v>2</v>
      </c>
      <c r="M1089" s="156" t="s">
        <v>192</v>
      </c>
      <c r="N1089" s="1" t="n">
        <v>601</v>
      </c>
    </row>
    <row r="1090" customFormat="false" ht="14.25" hidden="false" customHeight="false" outlineLevel="0" collapsed="false">
      <c r="A1090" s="1" t="n">
        <v>119</v>
      </c>
      <c r="B1090" s="1" t="s">
        <v>702</v>
      </c>
      <c r="C1090" s="1" t="s">
        <v>703</v>
      </c>
      <c r="D1090" s="1" t="n">
        <v>11197</v>
      </c>
      <c r="E1090" s="1" t="s">
        <v>53</v>
      </c>
      <c r="F1090" s="201" t="n">
        <v>200025888864</v>
      </c>
      <c r="G1090" s="198" t="s">
        <v>590</v>
      </c>
      <c r="H1090" s="163" t="s">
        <v>474</v>
      </c>
      <c r="I1090" s="161" t="n">
        <v>87</v>
      </c>
      <c r="J1090" s="156" t="s">
        <v>192</v>
      </c>
      <c r="K1090" s="200" t="n">
        <v>45452.4694328704</v>
      </c>
      <c r="L1090" s="1" t="n">
        <v>3</v>
      </c>
      <c r="M1090" s="156" t="s">
        <v>192</v>
      </c>
      <c r="N1090" s="1" t="n">
        <v>602</v>
      </c>
    </row>
    <row r="1091" customFormat="false" ht="14.25" hidden="false" customHeight="false" outlineLevel="0" collapsed="false">
      <c r="A1091" s="1" t="n">
        <v>96</v>
      </c>
      <c r="B1091" s="1" t="s">
        <v>565</v>
      </c>
      <c r="C1091" s="1" t="s">
        <v>566</v>
      </c>
      <c r="D1091" s="1" t="n">
        <v>11171</v>
      </c>
      <c r="E1091" s="1" t="s">
        <v>55</v>
      </c>
      <c r="F1091" s="198" t="n">
        <v>200025888864</v>
      </c>
      <c r="G1091" s="198" t="s">
        <v>590</v>
      </c>
      <c r="H1091" s="163" t="s">
        <v>474</v>
      </c>
      <c r="I1091" s="161" t="n">
        <v>87</v>
      </c>
      <c r="J1091" s="156" t="s">
        <v>192</v>
      </c>
      <c r="K1091" s="199" t="n">
        <v>45452.4863194445</v>
      </c>
      <c r="L1091" s="1" t="n">
        <v>1</v>
      </c>
      <c r="M1091" s="156" t="s">
        <v>192</v>
      </c>
      <c r="N1091" s="1" t="n">
        <v>603</v>
      </c>
    </row>
    <row r="1092" customFormat="false" ht="14.25" hidden="false" customHeight="false" outlineLevel="0" collapsed="false">
      <c r="A1092" s="1" t="n">
        <v>97</v>
      </c>
      <c r="B1092" s="1" t="s">
        <v>565</v>
      </c>
      <c r="C1092" s="1" t="s">
        <v>566</v>
      </c>
      <c r="D1092" s="1" t="n">
        <v>11171</v>
      </c>
      <c r="E1092" s="1" t="s">
        <v>55</v>
      </c>
      <c r="F1092" s="198" t="n">
        <v>200025889163</v>
      </c>
      <c r="G1092" s="198" t="s">
        <v>612</v>
      </c>
      <c r="H1092" s="163" t="s">
        <v>333</v>
      </c>
      <c r="I1092" s="161" t="n">
        <v>21</v>
      </c>
      <c r="J1092" s="156" t="s">
        <v>192</v>
      </c>
      <c r="K1092" s="199" t="n">
        <v>45452.4867824074</v>
      </c>
      <c r="L1092" s="1" t="n">
        <v>2</v>
      </c>
      <c r="M1092" s="156" t="s">
        <v>192</v>
      </c>
      <c r="N1092" s="1" t="n">
        <v>604</v>
      </c>
    </row>
    <row r="1093" customFormat="false" ht="14.25" hidden="false" customHeight="false" outlineLevel="0" collapsed="false">
      <c r="A1093" s="1" t="n">
        <v>98</v>
      </c>
      <c r="B1093" s="1" t="s">
        <v>565</v>
      </c>
      <c r="C1093" s="1" t="s">
        <v>566</v>
      </c>
      <c r="D1093" s="1" t="n">
        <v>11171</v>
      </c>
      <c r="E1093" s="1" t="s">
        <v>55</v>
      </c>
      <c r="F1093" s="198" t="n">
        <v>200025889163</v>
      </c>
      <c r="G1093" s="198" t="s">
        <v>612</v>
      </c>
      <c r="H1093" s="163" t="s">
        <v>333</v>
      </c>
      <c r="I1093" s="161" t="n">
        <v>21</v>
      </c>
      <c r="J1093" s="156" t="s">
        <v>192</v>
      </c>
      <c r="K1093" s="199" t="n">
        <v>45452.4868171296</v>
      </c>
      <c r="L1093" s="1" t="n">
        <v>0</v>
      </c>
      <c r="M1093" s="156" t="s">
        <v>192</v>
      </c>
      <c r="N1093" s="1" t="n">
        <v>605</v>
      </c>
    </row>
    <row r="1094" customFormat="false" ht="14.25" hidden="false" customHeight="false" outlineLevel="0" collapsed="false">
      <c r="A1094" s="1" t="n">
        <v>99</v>
      </c>
      <c r="B1094" s="1" t="s">
        <v>565</v>
      </c>
      <c r="C1094" s="1" t="s">
        <v>566</v>
      </c>
      <c r="D1094" s="1" t="n">
        <v>11171</v>
      </c>
      <c r="E1094" s="1" t="s">
        <v>55</v>
      </c>
      <c r="F1094" s="198" t="n">
        <v>200025888181</v>
      </c>
      <c r="G1094" s="198" t="s">
        <v>631</v>
      </c>
      <c r="H1094" s="163" t="s">
        <v>215</v>
      </c>
      <c r="I1094" s="161" t="n">
        <v>115</v>
      </c>
      <c r="J1094" s="156" t="s">
        <v>192</v>
      </c>
      <c r="K1094" s="199" t="n">
        <v>45452.4921296296</v>
      </c>
      <c r="L1094" s="1" t="n">
        <v>1</v>
      </c>
      <c r="M1094" s="156" t="s">
        <v>192</v>
      </c>
      <c r="N1094" s="1" t="n">
        <v>606</v>
      </c>
    </row>
    <row r="1095" customFormat="false" ht="14.25" hidden="false" customHeight="false" outlineLevel="0" collapsed="false">
      <c r="A1095" s="1" t="n">
        <v>100</v>
      </c>
      <c r="B1095" s="1" t="s">
        <v>565</v>
      </c>
      <c r="C1095" s="1" t="s">
        <v>566</v>
      </c>
      <c r="D1095" s="1" t="n">
        <v>11171</v>
      </c>
      <c r="E1095" s="1" t="s">
        <v>55</v>
      </c>
      <c r="F1095" s="198" t="n">
        <v>200025888181</v>
      </c>
      <c r="G1095" s="198" t="s">
        <v>631</v>
      </c>
      <c r="H1095" s="163" t="s">
        <v>215</v>
      </c>
      <c r="I1095" s="161" t="n">
        <v>115</v>
      </c>
      <c r="J1095" s="156" t="s">
        <v>192</v>
      </c>
      <c r="K1095" s="199" t="n">
        <v>45452.4946412037</v>
      </c>
      <c r="L1095" s="1" t="n">
        <v>1</v>
      </c>
      <c r="M1095" s="156" t="s">
        <v>192</v>
      </c>
      <c r="N1095" s="1" t="n">
        <v>607</v>
      </c>
    </row>
    <row r="1096" customFormat="false" ht="14.25" hidden="false" customHeight="false" outlineLevel="0" collapsed="false">
      <c r="A1096" s="1" t="n">
        <v>120</v>
      </c>
      <c r="B1096" s="1" t="s">
        <v>702</v>
      </c>
      <c r="C1096" s="1" t="s">
        <v>703</v>
      </c>
      <c r="D1096" s="1" t="n">
        <v>11197</v>
      </c>
      <c r="E1096" s="1" t="s">
        <v>53</v>
      </c>
      <c r="F1096" s="201" t="n">
        <v>200025888864</v>
      </c>
      <c r="G1096" s="198" t="s">
        <v>590</v>
      </c>
      <c r="H1096" s="163" t="s">
        <v>474</v>
      </c>
      <c r="I1096" s="161" t="n">
        <v>87</v>
      </c>
      <c r="J1096" s="156" t="s">
        <v>192</v>
      </c>
      <c r="K1096" s="200" t="n">
        <v>45452.4950578704</v>
      </c>
      <c r="L1096" s="1" t="n">
        <v>2</v>
      </c>
      <c r="M1096" s="156" t="s">
        <v>192</v>
      </c>
      <c r="N1096" s="1" t="n">
        <v>608</v>
      </c>
    </row>
    <row r="1097" customFormat="false" ht="14.25" hidden="false" customHeight="false" outlineLevel="0" collapsed="false">
      <c r="A1097" s="1" t="n">
        <v>101</v>
      </c>
      <c r="B1097" s="1" t="s">
        <v>565</v>
      </c>
      <c r="C1097" s="1" t="s">
        <v>566</v>
      </c>
      <c r="D1097" s="1" t="n">
        <v>11171</v>
      </c>
      <c r="E1097" s="1" t="s">
        <v>55</v>
      </c>
      <c r="F1097" s="198" t="n">
        <v>200025888181</v>
      </c>
      <c r="G1097" s="198" t="s">
        <v>631</v>
      </c>
      <c r="H1097" s="163" t="s">
        <v>215</v>
      </c>
      <c r="I1097" s="161" t="n">
        <v>115</v>
      </c>
      <c r="J1097" s="156" t="s">
        <v>192</v>
      </c>
      <c r="K1097" s="199" t="n">
        <v>45452.4957523148</v>
      </c>
      <c r="L1097" s="1" t="n">
        <v>1</v>
      </c>
      <c r="M1097" s="156" t="s">
        <v>192</v>
      </c>
      <c r="N1097" s="1" t="n">
        <v>609</v>
      </c>
    </row>
    <row r="1098" customFormat="false" ht="14.25" hidden="false" customHeight="false" outlineLevel="0" collapsed="false">
      <c r="A1098" s="1" t="n">
        <v>102</v>
      </c>
      <c r="B1098" s="1" t="s">
        <v>565</v>
      </c>
      <c r="C1098" s="1" t="s">
        <v>566</v>
      </c>
      <c r="D1098" s="1" t="n">
        <v>11171</v>
      </c>
      <c r="E1098" s="1" t="s">
        <v>55</v>
      </c>
      <c r="F1098" s="198" t="n">
        <v>200025888181</v>
      </c>
      <c r="G1098" s="198" t="s">
        <v>631</v>
      </c>
      <c r="H1098" s="163" t="s">
        <v>215</v>
      </c>
      <c r="I1098" s="161" t="n">
        <v>115</v>
      </c>
      <c r="J1098" s="156" t="s">
        <v>192</v>
      </c>
      <c r="K1098" s="199" t="n">
        <v>45452.4959259259</v>
      </c>
      <c r="L1098" s="1" t="n">
        <v>1</v>
      </c>
      <c r="M1098" s="156" t="s">
        <v>192</v>
      </c>
      <c r="N1098" s="1" t="n">
        <v>610</v>
      </c>
    </row>
    <row r="1099" customFormat="false" ht="14.25" hidden="false" customHeight="false" outlineLevel="0" collapsed="false">
      <c r="A1099" s="1" t="n">
        <v>103</v>
      </c>
      <c r="B1099" s="1" t="s">
        <v>565</v>
      </c>
      <c r="C1099" s="1" t="s">
        <v>566</v>
      </c>
      <c r="D1099" s="1" t="n">
        <v>11171</v>
      </c>
      <c r="E1099" s="1" t="s">
        <v>55</v>
      </c>
      <c r="F1099" s="198" t="n">
        <v>200025888181</v>
      </c>
      <c r="G1099" s="198" t="s">
        <v>631</v>
      </c>
      <c r="H1099" s="163" t="s">
        <v>215</v>
      </c>
      <c r="I1099" s="161" t="n">
        <v>115</v>
      </c>
      <c r="J1099" s="156" t="s">
        <v>192</v>
      </c>
      <c r="K1099" s="199" t="n">
        <v>45452.4960416667</v>
      </c>
      <c r="L1099" s="1" t="n">
        <v>1</v>
      </c>
      <c r="M1099" s="156" t="s">
        <v>192</v>
      </c>
      <c r="N1099" s="1" t="n">
        <v>611</v>
      </c>
    </row>
    <row r="1100" customFormat="false" ht="14.25" hidden="false" customHeight="false" outlineLevel="0" collapsed="false">
      <c r="A1100" s="1" t="n">
        <v>104</v>
      </c>
      <c r="B1100" s="1" t="s">
        <v>565</v>
      </c>
      <c r="C1100" s="1" t="s">
        <v>566</v>
      </c>
      <c r="D1100" s="1" t="n">
        <v>11171</v>
      </c>
      <c r="E1100" s="1" t="s">
        <v>55</v>
      </c>
      <c r="F1100" s="198" t="n">
        <v>200025888864</v>
      </c>
      <c r="G1100" s="198" t="s">
        <v>590</v>
      </c>
      <c r="H1100" s="163" t="s">
        <v>474</v>
      </c>
      <c r="I1100" s="161" t="n">
        <v>87</v>
      </c>
      <c r="J1100" s="156" t="s">
        <v>192</v>
      </c>
      <c r="K1100" s="199" t="n">
        <v>45452.5008564815</v>
      </c>
      <c r="L1100" s="1" t="n">
        <v>1</v>
      </c>
      <c r="M1100" s="156" t="s">
        <v>192</v>
      </c>
      <c r="N1100" s="1" t="n">
        <v>612</v>
      </c>
    </row>
    <row r="1101" customFormat="false" ht="14.25" hidden="false" customHeight="false" outlineLevel="0" collapsed="false">
      <c r="A1101" s="1" t="n">
        <v>121</v>
      </c>
      <c r="B1101" s="1" t="s">
        <v>702</v>
      </c>
      <c r="C1101" s="1" t="s">
        <v>703</v>
      </c>
      <c r="D1101" s="1" t="n">
        <v>11197</v>
      </c>
      <c r="E1101" s="1" t="s">
        <v>53</v>
      </c>
      <c r="F1101" s="201" t="n">
        <v>200025888864</v>
      </c>
      <c r="G1101" s="198" t="s">
        <v>590</v>
      </c>
      <c r="H1101" s="163" t="s">
        <v>474</v>
      </c>
      <c r="I1101" s="161" t="n">
        <v>87</v>
      </c>
      <c r="J1101" s="156" t="s">
        <v>192</v>
      </c>
      <c r="K1101" s="200" t="n">
        <v>45452.5015856482</v>
      </c>
      <c r="L1101" s="1" t="n">
        <v>1</v>
      </c>
      <c r="M1101" s="156" t="s">
        <v>192</v>
      </c>
      <c r="N1101" s="1" t="n">
        <v>613</v>
      </c>
    </row>
    <row r="1102" customFormat="false" ht="14.25" hidden="false" customHeight="false" outlineLevel="0" collapsed="false">
      <c r="A1102" s="1" t="n">
        <v>105</v>
      </c>
      <c r="B1102" s="1" t="s">
        <v>565</v>
      </c>
      <c r="C1102" s="1" t="s">
        <v>566</v>
      </c>
      <c r="D1102" s="1" t="n">
        <v>11171</v>
      </c>
      <c r="E1102" s="1" t="s">
        <v>55</v>
      </c>
      <c r="F1102" s="198" t="n">
        <v>200025888181</v>
      </c>
      <c r="G1102" s="198" t="s">
        <v>631</v>
      </c>
      <c r="H1102" s="163" t="s">
        <v>215</v>
      </c>
      <c r="I1102" s="161" t="n">
        <v>115</v>
      </c>
      <c r="J1102" s="156" t="s">
        <v>192</v>
      </c>
      <c r="K1102" s="199" t="n">
        <v>45452.5016550926</v>
      </c>
      <c r="L1102" s="1" t="n">
        <v>2</v>
      </c>
      <c r="M1102" s="156" t="s">
        <v>192</v>
      </c>
      <c r="N1102" s="1" t="n">
        <v>614</v>
      </c>
    </row>
    <row r="1103" customFormat="false" ht="14.25" hidden="false" customHeight="false" outlineLevel="0" collapsed="false">
      <c r="A1103" s="1" t="n">
        <v>106</v>
      </c>
      <c r="B1103" s="1" t="s">
        <v>565</v>
      </c>
      <c r="C1103" s="1" t="s">
        <v>566</v>
      </c>
      <c r="D1103" s="1" t="n">
        <v>11171</v>
      </c>
      <c r="E1103" s="1" t="s">
        <v>55</v>
      </c>
      <c r="F1103" s="198" t="n">
        <v>200025888181</v>
      </c>
      <c r="G1103" s="198" t="s">
        <v>631</v>
      </c>
      <c r="H1103" s="163" t="s">
        <v>215</v>
      </c>
      <c r="I1103" s="161" t="n">
        <v>115</v>
      </c>
      <c r="J1103" s="156" t="s">
        <v>192</v>
      </c>
      <c r="K1103" s="199" t="n">
        <v>45452.501875</v>
      </c>
      <c r="L1103" s="1" t="n">
        <v>1</v>
      </c>
      <c r="M1103" s="156" t="s">
        <v>192</v>
      </c>
      <c r="N1103" s="1" t="n">
        <v>615</v>
      </c>
    </row>
    <row r="1104" customFormat="false" ht="14.25" hidden="false" customHeight="false" outlineLevel="0" collapsed="false">
      <c r="A1104" s="1" t="n">
        <v>122</v>
      </c>
      <c r="B1104" s="1" t="s">
        <v>702</v>
      </c>
      <c r="C1104" s="1" t="s">
        <v>703</v>
      </c>
      <c r="D1104" s="1" t="n">
        <v>11197</v>
      </c>
      <c r="E1104" s="1" t="s">
        <v>53</v>
      </c>
      <c r="F1104" s="201" t="n">
        <v>200025888864</v>
      </c>
      <c r="G1104" s="198" t="s">
        <v>590</v>
      </c>
      <c r="H1104" s="163" t="s">
        <v>474</v>
      </c>
      <c r="I1104" s="161" t="n">
        <v>87</v>
      </c>
      <c r="J1104" s="156" t="s">
        <v>192</v>
      </c>
      <c r="K1104" s="200" t="n">
        <v>45452.5028472222</v>
      </c>
      <c r="L1104" s="1" t="n">
        <v>2</v>
      </c>
      <c r="M1104" s="156" t="s">
        <v>192</v>
      </c>
      <c r="N1104" s="1" t="n">
        <v>616</v>
      </c>
    </row>
    <row r="1105" customFormat="false" ht="14.25" hidden="false" customHeight="false" outlineLevel="0" collapsed="false">
      <c r="A1105" s="1" t="n">
        <v>107</v>
      </c>
      <c r="B1105" s="1" t="s">
        <v>565</v>
      </c>
      <c r="C1105" s="1" t="s">
        <v>566</v>
      </c>
      <c r="D1105" s="1" t="n">
        <v>11171</v>
      </c>
      <c r="E1105" s="1" t="s">
        <v>55</v>
      </c>
      <c r="F1105" s="198" t="n">
        <v>200025888181</v>
      </c>
      <c r="G1105" s="198" t="s">
        <v>631</v>
      </c>
      <c r="H1105" s="163" t="s">
        <v>215</v>
      </c>
      <c r="I1105" s="161" t="n">
        <v>115</v>
      </c>
      <c r="J1105" s="156" t="s">
        <v>192</v>
      </c>
      <c r="K1105" s="199" t="n">
        <v>45452.5041203704</v>
      </c>
      <c r="L1105" s="1" t="n">
        <v>1</v>
      </c>
      <c r="M1105" s="156" t="s">
        <v>192</v>
      </c>
      <c r="N1105" s="1" t="n">
        <v>617</v>
      </c>
    </row>
    <row r="1106" customFormat="false" ht="14.25" hidden="false" customHeight="false" outlineLevel="0" collapsed="false">
      <c r="A1106" s="1" t="n">
        <v>108</v>
      </c>
      <c r="B1106" s="1" t="s">
        <v>565</v>
      </c>
      <c r="C1106" s="1" t="s">
        <v>566</v>
      </c>
      <c r="D1106" s="1" t="n">
        <v>11171</v>
      </c>
      <c r="E1106" s="1" t="s">
        <v>55</v>
      </c>
      <c r="F1106" s="198" t="n">
        <v>200025888181</v>
      </c>
      <c r="G1106" s="198" t="s">
        <v>631</v>
      </c>
      <c r="H1106" s="163" t="s">
        <v>215</v>
      </c>
      <c r="I1106" s="161" t="n">
        <v>115</v>
      </c>
      <c r="J1106" s="156" t="s">
        <v>192</v>
      </c>
      <c r="K1106" s="199" t="n">
        <v>45452.5042592593</v>
      </c>
      <c r="L1106" s="1" t="n">
        <v>1</v>
      </c>
      <c r="M1106" s="156" t="s">
        <v>192</v>
      </c>
      <c r="N1106" s="1" t="n">
        <v>618</v>
      </c>
    </row>
    <row r="1107" customFormat="false" ht="14.25" hidden="false" customHeight="false" outlineLevel="0" collapsed="false">
      <c r="A1107" s="1" t="n">
        <v>109</v>
      </c>
      <c r="B1107" s="1" t="s">
        <v>565</v>
      </c>
      <c r="C1107" s="1" t="s">
        <v>566</v>
      </c>
      <c r="D1107" s="1" t="n">
        <v>11171</v>
      </c>
      <c r="E1107" s="1" t="s">
        <v>55</v>
      </c>
      <c r="F1107" s="198" t="n">
        <v>200025888181</v>
      </c>
      <c r="G1107" s="198" t="s">
        <v>631</v>
      </c>
      <c r="H1107" s="163" t="s">
        <v>215</v>
      </c>
      <c r="I1107" s="161" t="n">
        <v>115</v>
      </c>
      <c r="J1107" s="156" t="s">
        <v>192</v>
      </c>
      <c r="K1107" s="199" t="n">
        <v>45452.504375</v>
      </c>
      <c r="L1107" s="1" t="n">
        <v>1</v>
      </c>
      <c r="M1107" s="156" t="s">
        <v>192</v>
      </c>
      <c r="N1107" s="1" t="n">
        <v>619</v>
      </c>
    </row>
    <row r="1108" customFormat="false" ht="14.25" hidden="false" customHeight="false" outlineLevel="0" collapsed="false">
      <c r="A1108" s="1" t="n">
        <v>110</v>
      </c>
      <c r="B1108" s="1" t="s">
        <v>565</v>
      </c>
      <c r="C1108" s="1" t="s">
        <v>566</v>
      </c>
      <c r="D1108" s="1" t="n">
        <v>11171</v>
      </c>
      <c r="E1108" s="1" t="s">
        <v>55</v>
      </c>
      <c r="F1108" s="198" t="n">
        <v>200025888181</v>
      </c>
      <c r="G1108" s="198" t="s">
        <v>631</v>
      </c>
      <c r="H1108" s="163" t="s">
        <v>215</v>
      </c>
      <c r="I1108" s="161" t="n">
        <v>115</v>
      </c>
      <c r="J1108" s="156" t="s">
        <v>192</v>
      </c>
      <c r="K1108" s="199" t="n">
        <v>45452.5049421296</v>
      </c>
      <c r="L1108" s="1" t="n">
        <v>2</v>
      </c>
      <c r="M1108" s="156" t="s">
        <v>192</v>
      </c>
      <c r="N1108" s="1" t="n">
        <v>620</v>
      </c>
    </row>
    <row r="1109" customFormat="false" ht="14.25" hidden="false" customHeight="false" outlineLevel="0" collapsed="false">
      <c r="A1109" s="1" t="n">
        <v>111</v>
      </c>
      <c r="B1109" s="1" t="s">
        <v>565</v>
      </c>
      <c r="C1109" s="1" t="s">
        <v>566</v>
      </c>
      <c r="D1109" s="1" t="n">
        <v>11171</v>
      </c>
      <c r="E1109" s="1" t="s">
        <v>55</v>
      </c>
      <c r="F1109" s="198" t="n">
        <v>200025888181</v>
      </c>
      <c r="G1109" s="198" t="s">
        <v>631</v>
      </c>
      <c r="H1109" s="163" t="s">
        <v>215</v>
      </c>
      <c r="I1109" s="161" t="n">
        <v>115</v>
      </c>
      <c r="J1109" s="156" t="s">
        <v>192</v>
      </c>
      <c r="K1109" s="199" t="n">
        <v>45452.5064814815</v>
      </c>
      <c r="L1109" s="1" t="n">
        <v>1</v>
      </c>
      <c r="M1109" s="156" t="s">
        <v>192</v>
      </c>
      <c r="N1109" s="1" t="n">
        <v>621</v>
      </c>
    </row>
    <row r="1110" customFormat="false" ht="14.25" hidden="false" customHeight="false" outlineLevel="0" collapsed="false">
      <c r="A1110" s="1" t="n">
        <v>123</v>
      </c>
      <c r="B1110" s="1" t="s">
        <v>702</v>
      </c>
      <c r="C1110" s="1" t="s">
        <v>703</v>
      </c>
      <c r="D1110" s="1" t="n">
        <v>11197</v>
      </c>
      <c r="E1110" s="1" t="s">
        <v>53</v>
      </c>
      <c r="F1110" s="201" t="n">
        <v>200025888864</v>
      </c>
      <c r="G1110" s="198" t="s">
        <v>590</v>
      </c>
      <c r="H1110" s="163" t="s">
        <v>474</v>
      </c>
      <c r="I1110" s="161" t="n">
        <v>87</v>
      </c>
      <c r="J1110" s="156" t="s">
        <v>192</v>
      </c>
      <c r="K1110" s="200" t="n">
        <v>45452.5075115741</v>
      </c>
      <c r="L1110" s="1" t="n">
        <v>1</v>
      </c>
      <c r="M1110" s="156" t="s">
        <v>192</v>
      </c>
      <c r="N1110" s="1" t="n">
        <v>622</v>
      </c>
    </row>
    <row r="1111" customFormat="false" ht="14.25" hidden="false" customHeight="false" outlineLevel="0" collapsed="false">
      <c r="A1111" s="1" t="n">
        <v>112</v>
      </c>
      <c r="B1111" s="1" t="s">
        <v>565</v>
      </c>
      <c r="C1111" s="1" t="s">
        <v>566</v>
      </c>
      <c r="D1111" s="1" t="n">
        <v>11171</v>
      </c>
      <c r="E1111" s="1" t="s">
        <v>55</v>
      </c>
      <c r="F1111" s="198" t="n">
        <v>200025889163</v>
      </c>
      <c r="G1111" s="198" t="s">
        <v>612</v>
      </c>
      <c r="H1111" s="163" t="s">
        <v>333</v>
      </c>
      <c r="I1111" s="161" t="n">
        <v>21</v>
      </c>
      <c r="J1111" s="156" t="s">
        <v>192</v>
      </c>
      <c r="K1111" s="199" t="n">
        <v>45452.5207523148</v>
      </c>
      <c r="L1111" s="1" t="n">
        <v>2</v>
      </c>
      <c r="M1111" s="156" t="s">
        <v>192</v>
      </c>
      <c r="N1111" s="1" t="n">
        <v>623</v>
      </c>
    </row>
    <row r="1112" customFormat="false" ht="14.25" hidden="false" customHeight="false" outlineLevel="0" collapsed="false">
      <c r="A1112" s="1" t="n">
        <v>113</v>
      </c>
      <c r="B1112" s="1" t="s">
        <v>565</v>
      </c>
      <c r="C1112" s="1" t="s">
        <v>566</v>
      </c>
      <c r="D1112" s="1" t="n">
        <v>11171</v>
      </c>
      <c r="E1112" s="1" t="s">
        <v>55</v>
      </c>
      <c r="F1112" s="198" t="n">
        <v>200025889163</v>
      </c>
      <c r="G1112" s="198" t="s">
        <v>612</v>
      </c>
      <c r="H1112" s="163" t="s">
        <v>333</v>
      </c>
      <c r="I1112" s="161" t="n">
        <v>21</v>
      </c>
      <c r="J1112" s="156" t="s">
        <v>192</v>
      </c>
      <c r="K1112" s="199" t="n">
        <v>45452.5212615741</v>
      </c>
      <c r="L1112" s="1" t="n">
        <v>1</v>
      </c>
      <c r="M1112" s="156" t="s">
        <v>192</v>
      </c>
      <c r="N1112" s="1" t="n">
        <v>624</v>
      </c>
    </row>
    <row r="1113" customFormat="false" ht="14.25" hidden="false" customHeight="false" outlineLevel="0" collapsed="false">
      <c r="A1113" s="1" t="n">
        <v>124</v>
      </c>
      <c r="B1113" s="1" t="s">
        <v>702</v>
      </c>
      <c r="C1113" s="1" t="s">
        <v>703</v>
      </c>
      <c r="D1113" s="1" t="n">
        <v>11197</v>
      </c>
      <c r="E1113" s="1" t="s">
        <v>53</v>
      </c>
      <c r="F1113" s="201" t="n">
        <v>200025888181</v>
      </c>
      <c r="G1113" s="198" t="s">
        <v>631</v>
      </c>
      <c r="H1113" s="163" t="s">
        <v>215</v>
      </c>
      <c r="I1113" s="161" t="n">
        <v>115</v>
      </c>
      <c r="J1113" s="156" t="s">
        <v>192</v>
      </c>
      <c r="K1113" s="200" t="n">
        <v>45452.5247106482</v>
      </c>
      <c r="L1113" s="1" t="n">
        <v>1</v>
      </c>
      <c r="M1113" s="156" t="s">
        <v>192</v>
      </c>
      <c r="N1113" s="1" t="n">
        <v>625</v>
      </c>
    </row>
    <row r="1114" customFormat="false" ht="14.25" hidden="false" customHeight="false" outlineLevel="0" collapsed="false">
      <c r="A1114" s="1" t="n">
        <v>114</v>
      </c>
      <c r="B1114" s="1" t="s">
        <v>565</v>
      </c>
      <c r="C1114" s="1" t="s">
        <v>566</v>
      </c>
      <c r="D1114" s="1" t="n">
        <v>11171</v>
      </c>
      <c r="E1114" s="1" t="s">
        <v>55</v>
      </c>
      <c r="F1114" s="198" t="n">
        <v>200025888158</v>
      </c>
      <c r="G1114" s="198" t="s">
        <v>630</v>
      </c>
      <c r="H1114" s="163" t="s">
        <v>193</v>
      </c>
      <c r="I1114" s="161" t="n">
        <v>30</v>
      </c>
      <c r="J1114" s="156" t="s">
        <v>192</v>
      </c>
      <c r="K1114" s="199" t="n">
        <v>45452.5267824074</v>
      </c>
      <c r="L1114" s="1" t="n">
        <v>2</v>
      </c>
      <c r="M1114" s="156" t="s">
        <v>192</v>
      </c>
      <c r="N1114" s="1" t="n">
        <v>626</v>
      </c>
    </row>
    <row r="1115" customFormat="false" ht="14.25" hidden="false" customHeight="false" outlineLevel="0" collapsed="false">
      <c r="A1115" s="1" t="n">
        <v>125</v>
      </c>
      <c r="B1115" s="1" t="s">
        <v>702</v>
      </c>
      <c r="C1115" s="1" t="s">
        <v>703</v>
      </c>
      <c r="D1115" s="1" t="n">
        <v>11197</v>
      </c>
      <c r="E1115" s="1" t="s">
        <v>53</v>
      </c>
      <c r="F1115" s="201" t="n">
        <v>200025888224</v>
      </c>
      <c r="G1115" s="198" t="s">
        <v>656</v>
      </c>
      <c r="H1115" s="163" t="s">
        <v>245</v>
      </c>
      <c r="I1115" s="161" t="n">
        <v>8</v>
      </c>
      <c r="J1115" s="156" t="s">
        <v>192</v>
      </c>
      <c r="K1115" s="200" t="n">
        <v>45452.5377314815</v>
      </c>
      <c r="L1115" s="1" t="n">
        <v>1</v>
      </c>
      <c r="M1115" s="156" t="s">
        <v>192</v>
      </c>
      <c r="N1115" s="1" t="n">
        <v>627</v>
      </c>
    </row>
    <row r="1116" customFormat="false" ht="14.25" hidden="false" customHeight="false" outlineLevel="0" collapsed="false">
      <c r="A1116" s="1" t="n">
        <v>126</v>
      </c>
      <c r="B1116" s="1" t="s">
        <v>702</v>
      </c>
      <c r="C1116" s="1" t="s">
        <v>703</v>
      </c>
      <c r="D1116" s="1" t="n">
        <v>11197</v>
      </c>
      <c r="E1116" s="1" t="s">
        <v>53</v>
      </c>
      <c r="F1116" s="201" t="n">
        <v>200025888224</v>
      </c>
      <c r="G1116" s="198" t="s">
        <v>656</v>
      </c>
      <c r="H1116" s="163" t="s">
        <v>245</v>
      </c>
      <c r="I1116" s="161" t="n">
        <v>8</v>
      </c>
      <c r="J1116" s="156" t="s">
        <v>192</v>
      </c>
      <c r="K1116" s="200" t="n">
        <v>45452.5378819444</v>
      </c>
      <c r="L1116" s="1" t="n">
        <v>1</v>
      </c>
      <c r="M1116" s="156" t="s">
        <v>192</v>
      </c>
      <c r="N1116" s="1" t="n">
        <v>628</v>
      </c>
    </row>
    <row r="1117" customFormat="false" ht="14.25" hidden="false" customHeight="false" outlineLevel="0" collapsed="false">
      <c r="A1117" s="1" t="n">
        <v>127</v>
      </c>
      <c r="B1117" s="1" t="s">
        <v>702</v>
      </c>
      <c r="C1117" s="1" t="s">
        <v>703</v>
      </c>
      <c r="D1117" s="1" t="n">
        <v>11197</v>
      </c>
      <c r="E1117" s="1" t="s">
        <v>53</v>
      </c>
      <c r="F1117" s="201" t="n">
        <v>200025888224</v>
      </c>
      <c r="G1117" s="198" t="s">
        <v>656</v>
      </c>
      <c r="H1117" s="163" t="s">
        <v>245</v>
      </c>
      <c r="I1117" s="161" t="n">
        <v>8</v>
      </c>
      <c r="J1117" s="156" t="s">
        <v>192</v>
      </c>
      <c r="K1117" s="200" t="n">
        <v>45452.5383217593</v>
      </c>
      <c r="L1117" s="1" t="n">
        <v>2</v>
      </c>
      <c r="M1117" s="156" t="s">
        <v>192</v>
      </c>
      <c r="N1117" s="1" t="n">
        <v>629</v>
      </c>
    </row>
    <row r="1118" customFormat="false" ht="14.25" hidden="false" customHeight="false" outlineLevel="0" collapsed="false">
      <c r="A1118" s="1" t="n">
        <v>128</v>
      </c>
      <c r="B1118" s="1" t="s">
        <v>702</v>
      </c>
      <c r="C1118" s="1" t="s">
        <v>703</v>
      </c>
      <c r="D1118" s="1" t="n">
        <v>11197</v>
      </c>
      <c r="E1118" s="1" t="s">
        <v>53</v>
      </c>
      <c r="F1118" s="201" t="n">
        <v>200025888224</v>
      </c>
      <c r="G1118" s="198" t="s">
        <v>656</v>
      </c>
      <c r="H1118" s="163" t="s">
        <v>245</v>
      </c>
      <c r="I1118" s="161" t="n">
        <v>8</v>
      </c>
      <c r="J1118" s="156" t="s">
        <v>192</v>
      </c>
      <c r="K1118" s="200" t="n">
        <v>45452.5383449074</v>
      </c>
      <c r="L1118" s="1" t="n">
        <v>0</v>
      </c>
      <c r="M1118" s="156" t="s">
        <v>192</v>
      </c>
      <c r="N1118" s="1" t="n">
        <v>630</v>
      </c>
    </row>
    <row r="1119" customFormat="false" ht="14.25" hidden="false" customHeight="false" outlineLevel="0" collapsed="false">
      <c r="A1119" s="1" t="n">
        <v>129</v>
      </c>
      <c r="B1119" s="1" t="s">
        <v>702</v>
      </c>
      <c r="C1119" s="1" t="s">
        <v>703</v>
      </c>
      <c r="D1119" s="1" t="n">
        <v>11197</v>
      </c>
      <c r="E1119" s="1" t="s">
        <v>53</v>
      </c>
      <c r="F1119" s="201" t="n">
        <v>200025888224</v>
      </c>
      <c r="G1119" s="198" t="s">
        <v>656</v>
      </c>
      <c r="H1119" s="163" t="s">
        <v>245</v>
      </c>
      <c r="I1119" s="161" t="n">
        <v>8</v>
      </c>
      <c r="J1119" s="156" t="s">
        <v>192</v>
      </c>
      <c r="K1119" s="200" t="n">
        <v>45452.5386342593</v>
      </c>
      <c r="L1119" s="1" t="n">
        <v>2</v>
      </c>
      <c r="M1119" s="156" t="s">
        <v>192</v>
      </c>
      <c r="N1119" s="1" t="n">
        <v>631</v>
      </c>
    </row>
    <row r="1120" customFormat="false" ht="14.25" hidden="false" customHeight="false" outlineLevel="0" collapsed="false">
      <c r="A1120" s="1" t="n">
        <v>130</v>
      </c>
      <c r="B1120" s="1" t="s">
        <v>702</v>
      </c>
      <c r="C1120" s="1" t="s">
        <v>703</v>
      </c>
      <c r="D1120" s="1" t="n">
        <v>11197</v>
      </c>
      <c r="E1120" s="1" t="s">
        <v>53</v>
      </c>
      <c r="F1120" s="201" t="n">
        <v>200025888224</v>
      </c>
      <c r="G1120" s="198" t="s">
        <v>656</v>
      </c>
      <c r="H1120" s="163" t="s">
        <v>245</v>
      </c>
      <c r="I1120" s="161" t="n">
        <v>8</v>
      </c>
      <c r="J1120" s="156" t="s">
        <v>192</v>
      </c>
      <c r="K1120" s="200" t="n">
        <v>45452.542337963</v>
      </c>
      <c r="L1120" s="1" t="n">
        <v>1</v>
      </c>
      <c r="M1120" s="156" t="s">
        <v>192</v>
      </c>
      <c r="N1120" s="1" t="n">
        <v>632</v>
      </c>
    </row>
    <row r="1121" customFormat="false" ht="14.25" hidden="false" customHeight="false" outlineLevel="0" collapsed="false">
      <c r="A1121" s="1" t="n">
        <v>131</v>
      </c>
      <c r="B1121" s="1" t="s">
        <v>702</v>
      </c>
      <c r="C1121" s="1" t="s">
        <v>703</v>
      </c>
      <c r="D1121" s="1" t="n">
        <v>11197</v>
      </c>
      <c r="E1121" s="1" t="s">
        <v>53</v>
      </c>
      <c r="F1121" s="201" t="n">
        <v>200025888224</v>
      </c>
      <c r="G1121" s="198" t="s">
        <v>656</v>
      </c>
      <c r="H1121" s="163" t="s">
        <v>245</v>
      </c>
      <c r="I1121" s="161" t="n">
        <v>8</v>
      </c>
      <c r="J1121" s="156" t="s">
        <v>192</v>
      </c>
      <c r="K1121" s="200" t="n">
        <v>45452.5429050926</v>
      </c>
      <c r="L1121" s="1" t="n">
        <v>11</v>
      </c>
      <c r="M1121" s="156" t="s">
        <v>192</v>
      </c>
      <c r="N1121" s="1" t="n">
        <v>633</v>
      </c>
    </row>
    <row r="1122" customFormat="false" ht="14.25" hidden="false" customHeight="false" outlineLevel="0" collapsed="false">
      <c r="A1122" s="1" t="n">
        <v>115</v>
      </c>
      <c r="B1122" s="1" t="s">
        <v>565</v>
      </c>
      <c r="C1122" s="1" t="s">
        <v>566</v>
      </c>
      <c r="D1122" s="1" t="n">
        <v>11171</v>
      </c>
      <c r="E1122" s="1" t="s">
        <v>55</v>
      </c>
      <c r="F1122" s="198" t="n">
        <v>200025888158</v>
      </c>
      <c r="G1122" s="198" t="s">
        <v>630</v>
      </c>
      <c r="H1122" s="163" t="s">
        <v>193</v>
      </c>
      <c r="I1122" s="161" t="n">
        <v>30</v>
      </c>
      <c r="J1122" s="156" t="s">
        <v>192</v>
      </c>
      <c r="K1122" s="199" t="n">
        <v>45452.5429282407</v>
      </c>
      <c r="L1122" s="1" t="n">
        <v>2</v>
      </c>
      <c r="M1122" s="156" t="s">
        <v>192</v>
      </c>
      <c r="N1122" s="1" t="n">
        <v>634</v>
      </c>
    </row>
    <row r="1123" customFormat="false" ht="14.25" hidden="false" customHeight="false" outlineLevel="0" collapsed="false">
      <c r="A1123" s="1" t="n">
        <v>132</v>
      </c>
      <c r="B1123" s="1" t="s">
        <v>702</v>
      </c>
      <c r="C1123" s="1" t="s">
        <v>703</v>
      </c>
      <c r="D1123" s="1" t="n">
        <v>11197</v>
      </c>
      <c r="E1123" s="1" t="s">
        <v>53</v>
      </c>
      <c r="F1123" s="201" t="n">
        <v>200025888224</v>
      </c>
      <c r="G1123" s="198" t="s">
        <v>656</v>
      </c>
      <c r="H1123" s="163" t="s">
        <v>245</v>
      </c>
      <c r="I1123" s="161" t="n">
        <v>8</v>
      </c>
      <c r="J1123" s="156" t="s">
        <v>192</v>
      </c>
      <c r="K1123" s="200" t="n">
        <v>45452.5433217593</v>
      </c>
      <c r="L1123" s="1" t="n">
        <v>4</v>
      </c>
      <c r="M1123" s="156" t="s">
        <v>192</v>
      </c>
      <c r="N1123" s="1" t="n">
        <v>635</v>
      </c>
    </row>
    <row r="1124" customFormat="false" ht="14.25" hidden="false" customHeight="false" outlineLevel="0" collapsed="false">
      <c r="A1124" s="1" t="n">
        <v>116</v>
      </c>
      <c r="B1124" s="1" t="s">
        <v>565</v>
      </c>
      <c r="C1124" s="1" t="s">
        <v>566</v>
      </c>
      <c r="D1124" s="1" t="n">
        <v>11171</v>
      </c>
      <c r="E1124" s="1" t="s">
        <v>55</v>
      </c>
      <c r="F1124" s="198" t="n">
        <v>200025888158</v>
      </c>
      <c r="G1124" s="198" t="s">
        <v>630</v>
      </c>
      <c r="H1124" s="163" t="s">
        <v>193</v>
      </c>
      <c r="I1124" s="161" t="n">
        <v>30</v>
      </c>
      <c r="J1124" s="156" t="s">
        <v>192</v>
      </c>
      <c r="K1124" s="199" t="n">
        <v>45452.5437037037</v>
      </c>
      <c r="L1124" s="1" t="n">
        <v>2</v>
      </c>
      <c r="M1124" s="156" t="s">
        <v>192</v>
      </c>
      <c r="N1124" s="1" t="n">
        <v>636</v>
      </c>
    </row>
    <row r="1125" customFormat="false" ht="14.25" hidden="false" customHeight="false" outlineLevel="0" collapsed="false">
      <c r="A1125" s="1" t="n">
        <v>117</v>
      </c>
      <c r="B1125" s="1" t="s">
        <v>565</v>
      </c>
      <c r="C1125" s="1" t="s">
        <v>566</v>
      </c>
      <c r="D1125" s="1" t="n">
        <v>11171</v>
      </c>
      <c r="E1125" s="1" t="s">
        <v>55</v>
      </c>
      <c r="F1125" s="198" t="n">
        <v>200025888158</v>
      </c>
      <c r="G1125" s="198" t="s">
        <v>630</v>
      </c>
      <c r="H1125" s="163" t="s">
        <v>193</v>
      </c>
      <c r="I1125" s="161" t="n">
        <v>30</v>
      </c>
      <c r="J1125" s="156" t="s">
        <v>192</v>
      </c>
      <c r="K1125" s="199" t="n">
        <v>45452.5438541667</v>
      </c>
      <c r="L1125" s="1" t="n">
        <v>2</v>
      </c>
      <c r="M1125" s="156" t="s">
        <v>192</v>
      </c>
      <c r="N1125" s="1" t="n">
        <v>637</v>
      </c>
    </row>
    <row r="1126" customFormat="false" ht="14.25" hidden="false" customHeight="false" outlineLevel="0" collapsed="false">
      <c r="A1126" s="1" t="n">
        <v>133</v>
      </c>
      <c r="B1126" s="1" t="s">
        <v>702</v>
      </c>
      <c r="C1126" s="1" t="s">
        <v>703</v>
      </c>
      <c r="D1126" s="1" t="n">
        <v>11197</v>
      </c>
      <c r="E1126" s="1" t="s">
        <v>53</v>
      </c>
      <c r="F1126" s="201" t="n">
        <v>200025888224</v>
      </c>
      <c r="G1126" s="198" t="s">
        <v>656</v>
      </c>
      <c r="H1126" s="163" t="s">
        <v>245</v>
      </c>
      <c r="I1126" s="161" t="n">
        <v>8</v>
      </c>
      <c r="J1126" s="156" t="s">
        <v>192</v>
      </c>
      <c r="K1126" s="200" t="n">
        <v>45452.5440625</v>
      </c>
      <c r="L1126" s="1" t="n">
        <v>1</v>
      </c>
      <c r="M1126" s="156" t="s">
        <v>192</v>
      </c>
      <c r="N1126" s="1" t="n">
        <v>638</v>
      </c>
    </row>
    <row r="1127" customFormat="false" ht="14.25" hidden="false" customHeight="false" outlineLevel="0" collapsed="false">
      <c r="A1127" s="1" t="n">
        <v>134</v>
      </c>
      <c r="B1127" s="1" t="s">
        <v>702</v>
      </c>
      <c r="C1127" s="1" t="s">
        <v>703</v>
      </c>
      <c r="D1127" s="1" t="n">
        <v>11197</v>
      </c>
      <c r="E1127" s="1" t="s">
        <v>53</v>
      </c>
      <c r="F1127" s="201" t="n">
        <v>200025888224</v>
      </c>
      <c r="G1127" s="198" t="s">
        <v>656</v>
      </c>
      <c r="H1127" s="163" t="s">
        <v>245</v>
      </c>
      <c r="I1127" s="161" t="n">
        <v>8</v>
      </c>
      <c r="J1127" s="156" t="s">
        <v>192</v>
      </c>
      <c r="K1127" s="200" t="n">
        <v>45452.5445949074</v>
      </c>
      <c r="L1127" s="1" t="n">
        <v>2</v>
      </c>
      <c r="M1127" s="156" t="s">
        <v>192</v>
      </c>
      <c r="N1127" s="1" t="n">
        <v>639</v>
      </c>
    </row>
    <row r="1128" customFormat="false" ht="14.25" hidden="false" customHeight="false" outlineLevel="0" collapsed="false">
      <c r="A1128" s="1" t="n">
        <v>135</v>
      </c>
      <c r="B1128" s="1" t="s">
        <v>702</v>
      </c>
      <c r="C1128" s="1" t="s">
        <v>703</v>
      </c>
      <c r="D1128" s="1" t="n">
        <v>11197</v>
      </c>
      <c r="E1128" s="1" t="s">
        <v>53</v>
      </c>
      <c r="F1128" s="201" t="n">
        <v>200025888224</v>
      </c>
      <c r="G1128" s="198" t="s">
        <v>656</v>
      </c>
      <c r="H1128" s="163" t="s">
        <v>245</v>
      </c>
      <c r="I1128" s="161" t="n">
        <v>8</v>
      </c>
      <c r="J1128" s="156" t="s">
        <v>192</v>
      </c>
      <c r="K1128" s="200" t="n">
        <v>45452.5518171296</v>
      </c>
      <c r="L1128" s="1" t="n">
        <v>1</v>
      </c>
      <c r="M1128" s="156" t="s">
        <v>192</v>
      </c>
      <c r="N1128" s="1" t="n">
        <v>640</v>
      </c>
    </row>
    <row r="1129" customFormat="false" ht="14.25" hidden="false" customHeight="false" outlineLevel="0" collapsed="false">
      <c r="A1129" s="1" t="n">
        <v>136</v>
      </c>
      <c r="B1129" s="1" t="s">
        <v>702</v>
      </c>
      <c r="C1129" s="1" t="s">
        <v>703</v>
      </c>
      <c r="D1129" s="1" t="n">
        <v>11197</v>
      </c>
      <c r="E1129" s="1" t="s">
        <v>53</v>
      </c>
      <c r="F1129" s="201" t="n">
        <v>200025888224</v>
      </c>
      <c r="G1129" s="198" t="s">
        <v>656</v>
      </c>
      <c r="H1129" s="163" t="s">
        <v>245</v>
      </c>
      <c r="I1129" s="161" t="n">
        <v>8</v>
      </c>
      <c r="J1129" s="156" t="s">
        <v>192</v>
      </c>
      <c r="K1129" s="200" t="n">
        <v>45452.5523263889</v>
      </c>
      <c r="L1129" s="1" t="n">
        <v>1</v>
      </c>
      <c r="M1129" s="156" t="s">
        <v>192</v>
      </c>
      <c r="N1129" s="1" t="n">
        <v>641</v>
      </c>
    </row>
    <row r="1130" customFormat="false" ht="14.25" hidden="false" customHeight="false" outlineLevel="0" collapsed="false">
      <c r="A1130" s="1" t="n">
        <v>137</v>
      </c>
      <c r="B1130" s="1" t="s">
        <v>702</v>
      </c>
      <c r="C1130" s="1" t="s">
        <v>703</v>
      </c>
      <c r="D1130" s="1" t="n">
        <v>11197</v>
      </c>
      <c r="E1130" s="1" t="s">
        <v>53</v>
      </c>
      <c r="F1130" s="201" t="n">
        <v>200025888224</v>
      </c>
      <c r="G1130" s="198" t="s">
        <v>656</v>
      </c>
      <c r="H1130" s="163" t="s">
        <v>245</v>
      </c>
      <c r="I1130" s="161" t="n">
        <v>8</v>
      </c>
      <c r="J1130" s="156" t="s">
        <v>192</v>
      </c>
      <c r="K1130" s="200" t="n">
        <v>45452.5527777778</v>
      </c>
      <c r="L1130" s="1" t="n">
        <v>1</v>
      </c>
      <c r="M1130" s="156" t="s">
        <v>192</v>
      </c>
      <c r="N1130" s="1" t="n">
        <v>642</v>
      </c>
    </row>
    <row r="1131" customFormat="false" ht="14.25" hidden="false" customHeight="false" outlineLevel="0" collapsed="false">
      <c r="A1131" s="1" t="n">
        <v>118</v>
      </c>
      <c r="B1131" s="1" t="s">
        <v>565</v>
      </c>
      <c r="C1131" s="1" t="s">
        <v>566</v>
      </c>
      <c r="D1131" s="1" t="n">
        <v>11171</v>
      </c>
      <c r="E1131" s="1" t="s">
        <v>55</v>
      </c>
      <c r="F1131" s="198" t="n">
        <v>200025888181</v>
      </c>
      <c r="G1131" s="198" t="s">
        <v>631</v>
      </c>
      <c r="H1131" s="163" t="s">
        <v>215</v>
      </c>
      <c r="I1131" s="161" t="n">
        <v>115</v>
      </c>
      <c r="J1131" s="156" t="s">
        <v>192</v>
      </c>
      <c r="K1131" s="199" t="n">
        <v>45452.5572337963</v>
      </c>
      <c r="L1131" s="1" t="n">
        <v>1</v>
      </c>
      <c r="M1131" s="156" t="s">
        <v>192</v>
      </c>
      <c r="N1131" s="1" t="n">
        <v>643</v>
      </c>
    </row>
    <row r="1132" customFormat="false" ht="14.25" hidden="false" customHeight="false" outlineLevel="0" collapsed="false">
      <c r="A1132" s="1" t="n">
        <v>138</v>
      </c>
      <c r="B1132" s="1" t="s">
        <v>702</v>
      </c>
      <c r="C1132" s="1" t="s">
        <v>703</v>
      </c>
      <c r="D1132" s="1" t="n">
        <v>11197</v>
      </c>
      <c r="E1132" s="1" t="s">
        <v>53</v>
      </c>
      <c r="F1132" s="201" t="n">
        <v>200025888181</v>
      </c>
      <c r="G1132" s="198" t="s">
        <v>631</v>
      </c>
      <c r="H1132" s="163" t="s">
        <v>215</v>
      </c>
      <c r="I1132" s="161" t="n">
        <v>115</v>
      </c>
      <c r="J1132" s="156" t="s">
        <v>192</v>
      </c>
      <c r="K1132" s="200" t="n">
        <v>45452.5620717593</v>
      </c>
      <c r="L1132" s="1" t="n">
        <v>1</v>
      </c>
      <c r="M1132" s="156" t="s">
        <v>192</v>
      </c>
      <c r="N1132" s="1" t="n">
        <v>644</v>
      </c>
    </row>
    <row r="1133" customFormat="false" ht="14.25" hidden="false" customHeight="false" outlineLevel="0" collapsed="false">
      <c r="A1133" s="1" t="n">
        <v>139</v>
      </c>
      <c r="B1133" s="1" t="s">
        <v>702</v>
      </c>
      <c r="C1133" s="1" t="s">
        <v>703</v>
      </c>
      <c r="D1133" s="1" t="n">
        <v>11197</v>
      </c>
      <c r="E1133" s="1" t="s">
        <v>53</v>
      </c>
      <c r="F1133" s="201" t="n">
        <v>200025888181</v>
      </c>
      <c r="G1133" s="198" t="s">
        <v>631</v>
      </c>
      <c r="H1133" s="163" t="s">
        <v>215</v>
      </c>
      <c r="I1133" s="161" t="n">
        <v>115</v>
      </c>
      <c r="J1133" s="156" t="s">
        <v>192</v>
      </c>
      <c r="K1133" s="200" t="n">
        <v>45452.5628819445</v>
      </c>
      <c r="L1133" s="1" t="n">
        <v>1</v>
      </c>
      <c r="M1133" s="156" t="s">
        <v>192</v>
      </c>
      <c r="N1133" s="1" t="n">
        <v>645</v>
      </c>
    </row>
    <row r="1134" customFormat="false" ht="14.25" hidden="false" customHeight="false" outlineLevel="0" collapsed="false">
      <c r="A1134" s="1" t="n">
        <v>140</v>
      </c>
      <c r="B1134" s="1" t="s">
        <v>702</v>
      </c>
      <c r="C1134" s="1" t="s">
        <v>703</v>
      </c>
      <c r="D1134" s="1" t="n">
        <v>11197</v>
      </c>
      <c r="E1134" s="1" t="s">
        <v>53</v>
      </c>
      <c r="F1134" s="201" t="n">
        <v>200025888181</v>
      </c>
      <c r="G1134" s="198" t="s">
        <v>631</v>
      </c>
      <c r="H1134" s="163" t="s">
        <v>215</v>
      </c>
      <c r="I1134" s="161" t="n">
        <v>115</v>
      </c>
      <c r="J1134" s="156" t="s">
        <v>192</v>
      </c>
      <c r="K1134" s="200" t="n">
        <v>45452.5628935185</v>
      </c>
      <c r="L1134" s="1" t="n">
        <v>1</v>
      </c>
      <c r="M1134" s="156" t="s">
        <v>192</v>
      </c>
      <c r="N1134" s="1" t="n">
        <v>646</v>
      </c>
    </row>
    <row r="1135" customFormat="false" ht="14.25" hidden="false" customHeight="false" outlineLevel="0" collapsed="false">
      <c r="A1135" s="1" t="n">
        <v>141</v>
      </c>
      <c r="B1135" s="1" t="s">
        <v>702</v>
      </c>
      <c r="C1135" s="1" t="s">
        <v>703</v>
      </c>
      <c r="D1135" s="1" t="n">
        <v>11197</v>
      </c>
      <c r="E1135" s="1" t="s">
        <v>53</v>
      </c>
      <c r="F1135" s="201" t="n">
        <v>200025888181</v>
      </c>
      <c r="G1135" s="198" t="s">
        <v>631</v>
      </c>
      <c r="H1135" s="163" t="s">
        <v>215</v>
      </c>
      <c r="I1135" s="161" t="n">
        <v>115</v>
      </c>
      <c r="J1135" s="156" t="s">
        <v>192</v>
      </c>
      <c r="K1135" s="200" t="n">
        <v>45452.5632407407</v>
      </c>
      <c r="L1135" s="1" t="n">
        <v>2</v>
      </c>
      <c r="M1135" s="156" t="s">
        <v>192</v>
      </c>
      <c r="N1135" s="1" t="n">
        <v>647</v>
      </c>
    </row>
    <row r="1136" customFormat="false" ht="14.25" hidden="false" customHeight="false" outlineLevel="0" collapsed="false">
      <c r="A1136" s="1" t="n">
        <v>142</v>
      </c>
      <c r="B1136" s="1" t="s">
        <v>702</v>
      </c>
      <c r="C1136" s="1" t="s">
        <v>703</v>
      </c>
      <c r="D1136" s="1" t="n">
        <v>11197</v>
      </c>
      <c r="E1136" s="1" t="s">
        <v>53</v>
      </c>
      <c r="F1136" s="201" t="n">
        <v>200025888181</v>
      </c>
      <c r="G1136" s="198" t="s">
        <v>631</v>
      </c>
      <c r="H1136" s="163" t="s">
        <v>215</v>
      </c>
      <c r="I1136" s="161" t="n">
        <v>115</v>
      </c>
      <c r="J1136" s="156" t="s">
        <v>192</v>
      </c>
      <c r="K1136" s="200" t="n">
        <v>45452.5640393519</v>
      </c>
      <c r="L1136" s="1" t="n">
        <v>3</v>
      </c>
      <c r="M1136" s="156" t="s">
        <v>192</v>
      </c>
      <c r="N1136" s="1" t="n">
        <v>648</v>
      </c>
    </row>
    <row r="1137" customFormat="false" ht="14.25" hidden="false" customHeight="false" outlineLevel="0" collapsed="false">
      <c r="A1137" s="1" t="n">
        <v>143</v>
      </c>
      <c r="B1137" s="1" t="s">
        <v>702</v>
      </c>
      <c r="C1137" s="1" t="s">
        <v>703</v>
      </c>
      <c r="D1137" s="1" t="n">
        <v>11197</v>
      </c>
      <c r="E1137" s="1" t="s">
        <v>53</v>
      </c>
      <c r="F1137" s="201" t="n">
        <v>200025888181</v>
      </c>
      <c r="G1137" s="198" t="s">
        <v>631</v>
      </c>
      <c r="H1137" s="163" t="s">
        <v>215</v>
      </c>
      <c r="I1137" s="161" t="n">
        <v>115</v>
      </c>
      <c r="J1137" s="156" t="s">
        <v>192</v>
      </c>
      <c r="K1137" s="200" t="n">
        <v>45452.5654861111</v>
      </c>
      <c r="L1137" s="1" t="n">
        <v>2</v>
      </c>
      <c r="M1137" s="156" t="s">
        <v>192</v>
      </c>
      <c r="N1137" s="1" t="n">
        <v>649</v>
      </c>
    </row>
    <row r="1138" customFormat="false" ht="14.25" hidden="false" customHeight="false" outlineLevel="0" collapsed="false">
      <c r="A1138" s="1" t="n">
        <v>119</v>
      </c>
      <c r="B1138" s="1" t="s">
        <v>565</v>
      </c>
      <c r="C1138" s="1" t="s">
        <v>566</v>
      </c>
      <c r="D1138" s="1" t="n">
        <v>11171</v>
      </c>
      <c r="E1138" s="1" t="s">
        <v>55</v>
      </c>
      <c r="F1138" s="198" t="n">
        <v>200025888864</v>
      </c>
      <c r="G1138" s="198" t="s">
        <v>590</v>
      </c>
      <c r="H1138" s="163" t="s">
        <v>474</v>
      </c>
      <c r="I1138" s="161" t="n">
        <v>87</v>
      </c>
      <c r="J1138" s="156" t="s">
        <v>192</v>
      </c>
      <c r="K1138" s="199" t="n">
        <v>45452.5655671296</v>
      </c>
      <c r="L1138" s="1" t="n">
        <v>2</v>
      </c>
      <c r="M1138" s="156" t="s">
        <v>192</v>
      </c>
      <c r="N1138" s="1" t="n">
        <v>650</v>
      </c>
    </row>
    <row r="1139" customFormat="false" ht="14.25" hidden="false" customHeight="false" outlineLevel="0" collapsed="false">
      <c r="A1139" s="1" t="n">
        <v>120</v>
      </c>
      <c r="B1139" s="1" t="s">
        <v>565</v>
      </c>
      <c r="C1139" s="1" t="s">
        <v>566</v>
      </c>
      <c r="D1139" s="1" t="n">
        <v>11171</v>
      </c>
      <c r="E1139" s="1" t="s">
        <v>55</v>
      </c>
      <c r="F1139" s="198" t="n">
        <v>200025888864</v>
      </c>
      <c r="G1139" s="198" t="s">
        <v>590</v>
      </c>
      <c r="H1139" s="163" t="s">
        <v>474</v>
      </c>
      <c r="I1139" s="161" t="n">
        <v>87</v>
      </c>
      <c r="J1139" s="156" t="s">
        <v>192</v>
      </c>
      <c r="K1139" s="199" t="n">
        <v>45452.5655902778</v>
      </c>
      <c r="L1139" s="1" t="n">
        <v>0</v>
      </c>
      <c r="M1139" s="156" t="s">
        <v>192</v>
      </c>
      <c r="N1139" s="1" t="n">
        <v>651</v>
      </c>
    </row>
    <row r="1140" customFormat="false" ht="14.25" hidden="false" customHeight="false" outlineLevel="0" collapsed="false">
      <c r="A1140" s="1" t="n">
        <v>121</v>
      </c>
      <c r="B1140" s="1" t="s">
        <v>565</v>
      </c>
      <c r="C1140" s="1" t="s">
        <v>566</v>
      </c>
      <c r="D1140" s="1" t="n">
        <v>11171</v>
      </c>
      <c r="E1140" s="1" t="s">
        <v>55</v>
      </c>
      <c r="F1140" s="198" t="n">
        <v>200025888864</v>
      </c>
      <c r="G1140" s="198" t="s">
        <v>590</v>
      </c>
      <c r="H1140" s="163" t="s">
        <v>474</v>
      </c>
      <c r="I1140" s="161" t="n">
        <v>87</v>
      </c>
      <c r="J1140" s="156" t="s">
        <v>192</v>
      </c>
      <c r="K1140" s="199" t="n">
        <v>45452.5655902778</v>
      </c>
      <c r="L1140" s="1" t="n">
        <v>1</v>
      </c>
      <c r="M1140" s="156" t="s">
        <v>192</v>
      </c>
      <c r="N1140" s="1" t="n">
        <v>652</v>
      </c>
    </row>
    <row r="1141" customFormat="false" ht="14.25" hidden="false" customHeight="false" outlineLevel="0" collapsed="false">
      <c r="A1141" s="1" t="n">
        <v>144</v>
      </c>
      <c r="B1141" s="1" t="s">
        <v>702</v>
      </c>
      <c r="C1141" s="1" t="s">
        <v>703</v>
      </c>
      <c r="D1141" s="1" t="n">
        <v>11197</v>
      </c>
      <c r="E1141" s="1" t="s">
        <v>53</v>
      </c>
      <c r="F1141" s="201" t="n">
        <v>200025888181</v>
      </c>
      <c r="G1141" s="198" t="s">
        <v>631</v>
      </c>
      <c r="H1141" s="163" t="s">
        <v>215</v>
      </c>
      <c r="I1141" s="161" t="n">
        <v>115</v>
      </c>
      <c r="J1141" s="156" t="s">
        <v>192</v>
      </c>
      <c r="K1141" s="200" t="n">
        <v>45452.5659027778</v>
      </c>
      <c r="L1141" s="1" t="n">
        <v>2</v>
      </c>
      <c r="M1141" s="156" t="s">
        <v>192</v>
      </c>
      <c r="N1141" s="1" t="n">
        <v>653</v>
      </c>
    </row>
    <row r="1142" customFormat="false" ht="14.25" hidden="false" customHeight="false" outlineLevel="0" collapsed="false">
      <c r="A1142" s="1" t="n">
        <v>122</v>
      </c>
      <c r="B1142" s="1" t="s">
        <v>565</v>
      </c>
      <c r="C1142" s="1" t="s">
        <v>566</v>
      </c>
      <c r="D1142" s="1" t="n">
        <v>11171</v>
      </c>
      <c r="E1142" s="1" t="s">
        <v>55</v>
      </c>
      <c r="F1142" s="198" t="n">
        <v>200025888864</v>
      </c>
      <c r="G1142" s="198" t="s">
        <v>590</v>
      </c>
      <c r="H1142" s="163" t="s">
        <v>474</v>
      </c>
      <c r="I1142" s="161" t="n">
        <v>87</v>
      </c>
      <c r="J1142" s="156" t="s">
        <v>192</v>
      </c>
      <c r="K1142" s="199" t="n">
        <v>45452.5659143519</v>
      </c>
      <c r="L1142" s="1" t="n">
        <v>1</v>
      </c>
      <c r="M1142" s="156" t="s">
        <v>192</v>
      </c>
      <c r="N1142" s="1" t="n">
        <v>654</v>
      </c>
    </row>
    <row r="1143" customFormat="false" ht="14.25" hidden="false" customHeight="false" outlineLevel="0" collapsed="false">
      <c r="A1143" s="1" t="n">
        <v>123</v>
      </c>
      <c r="B1143" s="1" t="s">
        <v>565</v>
      </c>
      <c r="C1143" s="1" t="s">
        <v>566</v>
      </c>
      <c r="D1143" s="1" t="n">
        <v>11171</v>
      </c>
      <c r="E1143" s="1" t="s">
        <v>55</v>
      </c>
      <c r="F1143" s="198" t="n">
        <v>200025888864</v>
      </c>
      <c r="G1143" s="198" t="s">
        <v>590</v>
      </c>
      <c r="H1143" s="163" t="s">
        <v>474</v>
      </c>
      <c r="I1143" s="161" t="n">
        <v>87</v>
      </c>
      <c r="J1143" s="156" t="s">
        <v>192</v>
      </c>
      <c r="K1143" s="199" t="n">
        <v>45452.5661226852</v>
      </c>
      <c r="L1143" s="1" t="n">
        <v>1</v>
      </c>
      <c r="M1143" s="156" t="s">
        <v>192</v>
      </c>
      <c r="N1143" s="1" t="n">
        <v>655</v>
      </c>
    </row>
    <row r="1144" customFormat="false" ht="14.25" hidden="false" customHeight="false" outlineLevel="0" collapsed="false">
      <c r="A1144" s="1" t="n">
        <v>124</v>
      </c>
      <c r="B1144" s="1" t="s">
        <v>565</v>
      </c>
      <c r="C1144" s="1" t="s">
        <v>566</v>
      </c>
      <c r="D1144" s="1" t="n">
        <v>11171</v>
      </c>
      <c r="E1144" s="1" t="s">
        <v>55</v>
      </c>
      <c r="F1144" s="198" t="n">
        <v>200025888158</v>
      </c>
      <c r="G1144" s="198" t="s">
        <v>630</v>
      </c>
      <c r="H1144" s="163" t="s">
        <v>193</v>
      </c>
      <c r="I1144" s="161" t="n">
        <v>30</v>
      </c>
      <c r="J1144" s="156" t="s">
        <v>192</v>
      </c>
      <c r="K1144" s="199" t="n">
        <v>45452.5707638889</v>
      </c>
      <c r="L1144" s="1" t="n">
        <v>3</v>
      </c>
      <c r="M1144" s="156" t="s">
        <v>192</v>
      </c>
      <c r="N1144" s="1" t="n">
        <v>656</v>
      </c>
    </row>
    <row r="1145" customFormat="false" ht="14.25" hidden="false" customHeight="false" outlineLevel="0" collapsed="false">
      <c r="A1145" s="1" t="n">
        <v>145</v>
      </c>
      <c r="B1145" s="1" t="s">
        <v>702</v>
      </c>
      <c r="C1145" s="1" t="s">
        <v>703</v>
      </c>
      <c r="D1145" s="1" t="n">
        <v>11197</v>
      </c>
      <c r="E1145" s="1" t="s">
        <v>53</v>
      </c>
      <c r="F1145" s="201" t="n">
        <v>200025888158</v>
      </c>
      <c r="G1145" s="198" t="s">
        <v>630</v>
      </c>
      <c r="H1145" s="163" t="s">
        <v>193</v>
      </c>
      <c r="I1145" s="161" t="n">
        <v>30</v>
      </c>
      <c r="J1145" s="156" t="s">
        <v>192</v>
      </c>
      <c r="K1145" s="200" t="n">
        <v>45452.5913657407</v>
      </c>
      <c r="L1145" s="1" t="n">
        <v>2</v>
      </c>
      <c r="M1145" s="156" t="s">
        <v>192</v>
      </c>
      <c r="N1145" s="1" t="n">
        <v>657</v>
      </c>
    </row>
    <row r="1146" customFormat="false" ht="14.25" hidden="false" customHeight="false" outlineLevel="0" collapsed="false">
      <c r="A1146" s="1" t="n">
        <v>125</v>
      </c>
      <c r="B1146" s="1" t="s">
        <v>565</v>
      </c>
      <c r="C1146" s="1" t="s">
        <v>566</v>
      </c>
      <c r="D1146" s="1" t="n">
        <v>11171</v>
      </c>
      <c r="E1146" s="1" t="s">
        <v>55</v>
      </c>
      <c r="F1146" s="198" t="n">
        <v>200025889163</v>
      </c>
      <c r="G1146" s="198" t="s">
        <v>612</v>
      </c>
      <c r="H1146" s="163" t="s">
        <v>333</v>
      </c>
      <c r="I1146" s="161" t="n">
        <v>21</v>
      </c>
      <c r="J1146" s="156" t="s">
        <v>192</v>
      </c>
      <c r="K1146" s="199" t="n">
        <v>45452.6025810185</v>
      </c>
      <c r="L1146" s="1" t="n">
        <v>2</v>
      </c>
      <c r="M1146" s="156" t="s">
        <v>192</v>
      </c>
      <c r="N1146" s="1" t="n">
        <v>658</v>
      </c>
    </row>
    <row r="1147" customFormat="false" ht="14.25" hidden="false" customHeight="false" outlineLevel="0" collapsed="false">
      <c r="A1147" s="1" t="n">
        <v>126</v>
      </c>
      <c r="B1147" s="1" t="s">
        <v>565</v>
      </c>
      <c r="C1147" s="1" t="s">
        <v>566</v>
      </c>
      <c r="D1147" s="1" t="n">
        <v>11171</v>
      </c>
      <c r="E1147" s="1" t="s">
        <v>55</v>
      </c>
      <c r="F1147" s="198" t="n">
        <v>200025889163</v>
      </c>
      <c r="G1147" s="198" t="s">
        <v>612</v>
      </c>
      <c r="H1147" s="163" t="s">
        <v>333</v>
      </c>
      <c r="I1147" s="161" t="n">
        <v>21</v>
      </c>
      <c r="J1147" s="156" t="s">
        <v>192</v>
      </c>
      <c r="K1147" s="199" t="n">
        <v>45452.6158449074</v>
      </c>
      <c r="L1147" s="1" t="n">
        <v>1</v>
      </c>
      <c r="M1147" s="156" t="s">
        <v>192</v>
      </c>
      <c r="N1147" s="1" t="n">
        <v>659</v>
      </c>
    </row>
    <row r="1148" customFormat="false" ht="14.25" hidden="false" customHeight="false" outlineLevel="0" collapsed="false">
      <c r="A1148" s="1" t="n">
        <v>146</v>
      </c>
      <c r="B1148" s="1" t="s">
        <v>702</v>
      </c>
      <c r="C1148" s="1" t="s">
        <v>703</v>
      </c>
      <c r="D1148" s="1" t="n">
        <v>11197</v>
      </c>
      <c r="E1148" s="1" t="s">
        <v>53</v>
      </c>
      <c r="F1148" s="201" t="n">
        <v>200025888181</v>
      </c>
      <c r="G1148" s="198" t="s">
        <v>631</v>
      </c>
      <c r="H1148" s="163" t="s">
        <v>215</v>
      </c>
      <c r="I1148" s="161" t="n">
        <v>115</v>
      </c>
      <c r="J1148" s="156" t="s">
        <v>192</v>
      </c>
      <c r="K1148" s="200" t="n">
        <v>45452.6187847222</v>
      </c>
      <c r="L1148" s="1" t="n">
        <v>1</v>
      </c>
      <c r="M1148" s="156" t="s">
        <v>192</v>
      </c>
      <c r="N1148" s="1" t="n">
        <v>660</v>
      </c>
    </row>
    <row r="1149" customFormat="false" ht="14.25" hidden="false" customHeight="false" outlineLevel="0" collapsed="false">
      <c r="A1149" s="1" t="n">
        <v>147</v>
      </c>
      <c r="B1149" s="1" t="s">
        <v>702</v>
      </c>
      <c r="C1149" s="1" t="s">
        <v>703</v>
      </c>
      <c r="D1149" s="1" t="n">
        <v>11197</v>
      </c>
      <c r="E1149" s="1" t="s">
        <v>53</v>
      </c>
      <c r="F1149" s="201" t="n">
        <v>200025888181</v>
      </c>
      <c r="G1149" s="198" t="s">
        <v>631</v>
      </c>
      <c r="H1149" s="163" t="s">
        <v>215</v>
      </c>
      <c r="I1149" s="161" t="n">
        <v>115</v>
      </c>
      <c r="J1149" s="156" t="s">
        <v>192</v>
      </c>
      <c r="K1149" s="200" t="n">
        <v>45452.6198958333</v>
      </c>
      <c r="L1149" s="1" t="n">
        <v>2</v>
      </c>
      <c r="M1149" s="156" t="s">
        <v>192</v>
      </c>
      <c r="N1149" s="1" t="n">
        <v>661</v>
      </c>
    </row>
    <row r="1150" customFormat="false" ht="14.25" hidden="false" customHeight="false" outlineLevel="0" collapsed="false">
      <c r="A1150" s="1" t="n">
        <v>148</v>
      </c>
      <c r="B1150" s="1" t="s">
        <v>702</v>
      </c>
      <c r="C1150" s="1" t="s">
        <v>703</v>
      </c>
      <c r="D1150" s="1" t="n">
        <v>11197</v>
      </c>
      <c r="E1150" s="1" t="s">
        <v>53</v>
      </c>
      <c r="F1150" s="201" t="n">
        <v>200025888181</v>
      </c>
      <c r="G1150" s="198" t="s">
        <v>631</v>
      </c>
      <c r="H1150" s="163" t="s">
        <v>215</v>
      </c>
      <c r="I1150" s="161" t="n">
        <v>115</v>
      </c>
      <c r="J1150" s="156" t="s">
        <v>192</v>
      </c>
      <c r="K1150" s="200" t="n">
        <v>45452.6201851852</v>
      </c>
      <c r="L1150" s="1" t="n">
        <v>1</v>
      </c>
      <c r="M1150" s="156" t="s">
        <v>192</v>
      </c>
      <c r="N1150" s="1" t="n">
        <v>662</v>
      </c>
    </row>
    <row r="1151" customFormat="false" ht="14.25" hidden="false" customHeight="false" outlineLevel="0" collapsed="false">
      <c r="A1151" s="1" t="n">
        <v>149</v>
      </c>
      <c r="B1151" s="1" t="s">
        <v>702</v>
      </c>
      <c r="C1151" s="1" t="s">
        <v>703</v>
      </c>
      <c r="D1151" s="1" t="n">
        <v>11197</v>
      </c>
      <c r="E1151" s="1" t="s">
        <v>53</v>
      </c>
      <c r="F1151" s="201" t="n">
        <v>200025888181</v>
      </c>
      <c r="G1151" s="198" t="s">
        <v>631</v>
      </c>
      <c r="H1151" s="163" t="s">
        <v>215</v>
      </c>
      <c r="I1151" s="161" t="n">
        <v>115</v>
      </c>
      <c r="J1151" s="156" t="s">
        <v>192</v>
      </c>
      <c r="K1151" s="200" t="n">
        <v>45452.6206134259</v>
      </c>
      <c r="L1151" s="1" t="n">
        <v>1</v>
      </c>
      <c r="M1151" s="156" t="s">
        <v>192</v>
      </c>
      <c r="N1151" s="1" t="n">
        <v>663</v>
      </c>
    </row>
    <row r="1152" customFormat="false" ht="14.25" hidden="false" customHeight="false" outlineLevel="0" collapsed="false">
      <c r="A1152" s="1" t="n">
        <v>150</v>
      </c>
      <c r="B1152" s="1" t="s">
        <v>702</v>
      </c>
      <c r="C1152" s="1" t="s">
        <v>703</v>
      </c>
      <c r="D1152" s="1" t="n">
        <v>11197</v>
      </c>
      <c r="E1152" s="1" t="s">
        <v>53</v>
      </c>
      <c r="F1152" s="201" t="n">
        <v>200025888181</v>
      </c>
      <c r="G1152" s="198" t="s">
        <v>631</v>
      </c>
      <c r="H1152" s="163" t="s">
        <v>215</v>
      </c>
      <c r="I1152" s="161" t="n">
        <v>115</v>
      </c>
      <c r="J1152" s="156" t="s">
        <v>192</v>
      </c>
      <c r="K1152" s="200" t="n">
        <v>45452.6208449074</v>
      </c>
      <c r="L1152" s="1" t="n">
        <v>2</v>
      </c>
      <c r="M1152" s="156" t="s">
        <v>192</v>
      </c>
      <c r="N1152" s="1" t="n">
        <v>664</v>
      </c>
    </row>
    <row r="1153" customFormat="false" ht="14.25" hidden="false" customHeight="false" outlineLevel="0" collapsed="false">
      <c r="A1153" s="1" t="n">
        <v>151</v>
      </c>
      <c r="B1153" s="1" t="s">
        <v>702</v>
      </c>
      <c r="C1153" s="1" t="s">
        <v>703</v>
      </c>
      <c r="D1153" s="1" t="n">
        <v>11197</v>
      </c>
      <c r="E1153" s="1" t="s">
        <v>53</v>
      </c>
      <c r="F1153" s="201" t="n">
        <v>200025888181</v>
      </c>
      <c r="G1153" s="198" t="s">
        <v>631</v>
      </c>
      <c r="H1153" s="163" t="s">
        <v>215</v>
      </c>
      <c r="I1153" s="161" t="n">
        <v>115</v>
      </c>
      <c r="J1153" s="156" t="s">
        <v>192</v>
      </c>
      <c r="K1153" s="200" t="n">
        <v>45452.6209490741</v>
      </c>
      <c r="L1153" s="1" t="n">
        <v>1</v>
      </c>
      <c r="M1153" s="156" t="s">
        <v>192</v>
      </c>
      <c r="N1153" s="1" t="n">
        <v>665</v>
      </c>
    </row>
    <row r="1154" customFormat="false" ht="14.25" hidden="false" customHeight="false" outlineLevel="0" collapsed="false">
      <c r="A1154" s="1" t="n">
        <v>152</v>
      </c>
      <c r="B1154" s="1" t="s">
        <v>702</v>
      </c>
      <c r="C1154" s="1" t="s">
        <v>703</v>
      </c>
      <c r="D1154" s="1" t="n">
        <v>11197</v>
      </c>
      <c r="E1154" s="1" t="s">
        <v>53</v>
      </c>
      <c r="F1154" s="201" t="n">
        <v>200025888181</v>
      </c>
      <c r="G1154" s="198" t="s">
        <v>631</v>
      </c>
      <c r="H1154" s="163" t="s">
        <v>215</v>
      </c>
      <c r="I1154" s="161" t="n">
        <v>115</v>
      </c>
      <c r="J1154" s="156" t="s">
        <v>192</v>
      </c>
      <c r="K1154" s="200" t="n">
        <v>45452.6209722222</v>
      </c>
      <c r="L1154" s="1" t="n">
        <v>2</v>
      </c>
      <c r="M1154" s="156" t="s">
        <v>192</v>
      </c>
      <c r="N1154" s="1" t="n">
        <v>666</v>
      </c>
    </row>
    <row r="1155" customFormat="false" ht="14.25" hidden="false" customHeight="false" outlineLevel="0" collapsed="false">
      <c r="A1155" s="1" t="n">
        <v>153</v>
      </c>
      <c r="B1155" s="1" t="s">
        <v>702</v>
      </c>
      <c r="C1155" s="1" t="s">
        <v>703</v>
      </c>
      <c r="D1155" s="1" t="n">
        <v>11197</v>
      </c>
      <c r="E1155" s="1" t="s">
        <v>53</v>
      </c>
      <c r="F1155" s="201" t="n">
        <v>200025888181</v>
      </c>
      <c r="G1155" s="198" t="s">
        <v>631</v>
      </c>
      <c r="H1155" s="163" t="s">
        <v>215</v>
      </c>
      <c r="I1155" s="161" t="n">
        <v>115</v>
      </c>
      <c r="J1155" s="156" t="s">
        <v>192</v>
      </c>
      <c r="K1155" s="200" t="n">
        <v>45452.6217361111</v>
      </c>
      <c r="L1155" s="1" t="n">
        <v>2</v>
      </c>
      <c r="M1155" s="156" t="s">
        <v>192</v>
      </c>
      <c r="N1155" s="1" t="n">
        <v>667</v>
      </c>
    </row>
    <row r="1156" customFormat="false" ht="14.25" hidden="false" customHeight="false" outlineLevel="0" collapsed="false">
      <c r="A1156" s="1" t="n">
        <v>154</v>
      </c>
      <c r="B1156" s="1" t="s">
        <v>702</v>
      </c>
      <c r="C1156" s="1" t="s">
        <v>703</v>
      </c>
      <c r="D1156" s="1" t="n">
        <v>11197</v>
      </c>
      <c r="E1156" s="1" t="s">
        <v>53</v>
      </c>
      <c r="F1156" s="201" t="n">
        <v>200025888181</v>
      </c>
      <c r="G1156" s="198" t="s">
        <v>631</v>
      </c>
      <c r="H1156" s="163" t="s">
        <v>215</v>
      </c>
      <c r="I1156" s="161" t="n">
        <v>115</v>
      </c>
      <c r="J1156" s="156" t="s">
        <v>192</v>
      </c>
      <c r="K1156" s="200" t="n">
        <v>45452.6224768519</v>
      </c>
      <c r="L1156" s="1" t="n">
        <v>1</v>
      </c>
      <c r="M1156" s="156" t="s">
        <v>192</v>
      </c>
      <c r="N1156" s="1" t="n">
        <v>668</v>
      </c>
    </row>
    <row r="1157" customFormat="false" ht="14.25" hidden="false" customHeight="false" outlineLevel="0" collapsed="false">
      <c r="A1157" s="1" t="n">
        <v>155</v>
      </c>
      <c r="B1157" s="1" t="s">
        <v>702</v>
      </c>
      <c r="C1157" s="1" t="s">
        <v>703</v>
      </c>
      <c r="D1157" s="1" t="n">
        <v>11197</v>
      </c>
      <c r="E1157" s="1" t="s">
        <v>53</v>
      </c>
      <c r="F1157" s="201" t="n">
        <v>200025888181</v>
      </c>
      <c r="G1157" s="198" t="s">
        <v>631</v>
      </c>
      <c r="H1157" s="163" t="s">
        <v>215</v>
      </c>
      <c r="I1157" s="161" t="n">
        <v>115</v>
      </c>
      <c r="J1157" s="156" t="s">
        <v>192</v>
      </c>
      <c r="K1157" s="200" t="n">
        <v>45452.6232060185</v>
      </c>
      <c r="L1157" s="1" t="n">
        <v>0</v>
      </c>
      <c r="M1157" s="156" t="s">
        <v>192</v>
      </c>
      <c r="N1157" s="1" t="n">
        <v>669</v>
      </c>
    </row>
    <row r="1158" customFormat="false" ht="14.25" hidden="false" customHeight="false" outlineLevel="0" collapsed="false">
      <c r="A1158" s="1" t="n">
        <v>156</v>
      </c>
      <c r="B1158" s="1" t="s">
        <v>702</v>
      </c>
      <c r="C1158" s="1" t="s">
        <v>703</v>
      </c>
      <c r="D1158" s="1" t="n">
        <v>11197</v>
      </c>
      <c r="E1158" s="1" t="s">
        <v>53</v>
      </c>
      <c r="F1158" s="201" t="n">
        <v>200025888181</v>
      </c>
      <c r="G1158" s="198" t="s">
        <v>631</v>
      </c>
      <c r="H1158" s="163" t="s">
        <v>215</v>
      </c>
      <c r="I1158" s="161" t="n">
        <v>115</v>
      </c>
      <c r="J1158" s="156" t="s">
        <v>192</v>
      </c>
      <c r="K1158" s="200" t="n">
        <v>45452.6235069444</v>
      </c>
      <c r="L1158" s="1" t="n">
        <v>1</v>
      </c>
      <c r="M1158" s="156" t="s">
        <v>192</v>
      </c>
      <c r="N1158" s="1" t="n">
        <v>670</v>
      </c>
    </row>
    <row r="1159" customFormat="false" ht="14.25" hidden="false" customHeight="false" outlineLevel="0" collapsed="false">
      <c r="A1159" s="1" t="n">
        <v>157</v>
      </c>
      <c r="B1159" s="1" t="s">
        <v>702</v>
      </c>
      <c r="C1159" s="1" t="s">
        <v>703</v>
      </c>
      <c r="D1159" s="1" t="n">
        <v>11197</v>
      </c>
      <c r="E1159" s="1" t="s">
        <v>53</v>
      </c>
      <c r="F1159" s="201" t="n">
        <v>200025888181</v>
      </c>
      <c r="G1159" s="198" t="s">
        <v>631</v>
      </c>
      <c r="H1159" s="163" t="s">
        <v>215</v>
      </c>
      <c r="I1159" s="161" t="n">
        <v>115</v>
      </c>
      <c r="J1159" s="156" t="s">
        <v>192</v>
      </c>
      <c r="K1159" s="200" t="n">
        <v>45452.6244444444</v>
      </c>
      <c r="L1159" s="1" t="n">
        <v>0</v>
      </c>
      <c r="M1159" s="156" t="s">
        <v>192</v>
      </c>
      <c r="N1159" s="1" t="n">
        <v>671</v>
      </c>
    </row>
    <row r="1160" customFormat="false" ht="14.25" hidden="false" customHeight="false" outlineLevel="0" collapsed="false">
      <c r="A1160" s="1" t="n">
        <v>158</v>
      </c>
      <c r="B1160" s="1" t="s">
        <v>702</v>
      </c>
      <c r="C1160" s="1" t="s">
        <v>703</v>
      </c>
      <c r="D1160" s="1" t="n">
        <v>11197</v>
      </c>
      <c r="E1160" s="1" t="s">
        <v>53</v>
      </c>
      <c r="F1160" s="201" t="n">
        <v>200025888181</v>
      </c>
      <c r="G1160" s="198" t="s">
        <v>631</v>
      </c>
      <c r="H1160" s="163" t="s">
        <v>215</v>
      </c>
      <c r="I1160" s="161" t="n">
        <v>115</v>
      </c>
      <c r="J1160" s="156" t="s">
        <v>192</v>
      </c>
      <c r="K1160" s="200" t="n">
        <v>45452.6244560185</v>
      </c>
      <c r="L1160" s="1" t="n">
        <v>0</v>
      </c>
      <c r="M1160" s="156" t="s">
        <v>192</v>
      </c>
      <c r="N1160" s="1" t="n">
        <v>672</v>
      </c>
    </row>
    <row r="1161" customFormat="false" ht="14.25" hidden="false" customHeight="false" outlineLevel="0" collapsed="false">
      <c r="A1161" s="1" t="n">
        <v>127</v>
      </c>
      <c r="B1161" s="1" t="s">
        <v>565</v>
      </c>
      <c r="C1161" s="1" t="s">
        <v>566</v>
      </c>
      <c r="D1161" s="1" t="n">
        <v>11171</v>
      </c>
      <c r="E1161" s="1" t="s">
        <v>55</v>
      </c>
      <c r="F1161" s="198" t="n">
        <v>200025889163</v>
      </c>
      <c r="G1161" s="198" t="s">
        <v>612</v>
      </c>
      <c r="H1161" s="163" t="s">
        <v>333</v>
      </c>
      <c r="I1161" s="161" t="n">
        <v>21</v>
      </c>
      <c r="J1161" s="156" t="s">
        <v>192</v>
      </c>
      <c r="K1161" s="199" t="n">
        <v>45452.6407291667</v>
      </c>
      <c r="L1161" s="1" t="n">
        <v>2</v>
      </c>
      <c r="M1161" s="156" t="s">
        <v>192</v>
      </c>
      <c r="N1161" s="1" t="n">
        <v>673</v>
      </c>
    </row>
    <row r="1162" customFormat="false" ht="14.25" hidden="false" customHeight="false" outlineLevel="0" collapsed="false">
      <c r="A1162" s="1" t="n">
        <v>128</v>
      </c>
      <c r="B1162" s="1" t="s">
        <v>565</v>
      </c>
      <c r="C1162" s="1" t="s">
        <v>566</v>
      </c>
      <c r="D1162" s="1" t="n">
        <v>11171</v>
      </c>
      <c r="E1162" s="1" t="s">
        <v>55</v>
      </c>
      <c r="F1162" s="198" t="n">
        <v>200025889163</v>
      </c>
      <c r="G1162" s="198" t="s">
        <v>612</v>
      </c>
      <c r="H1162" s="163" t="s">
        <v>333</v>
      </c>
      <c r="I1162" s="161" t="n">
        <v>21</v>
      </c>
      <c r="J1162" s="156" t="s">
        <v>192</v>
      </c>
      <c r="K1162" s="199" t="n">
        <v>45452.6586342593</v>
      </c>
      <c r="L1162" s="1" t="n">
        <v>0</v>
      </c>
      <c r="M1162" s="156" t="s">
        <v>192</v>
      </c>
      <c r="N1162" s="1" t="n">
        <v>674</v>
      </c>
    </row>
    <row r="1163" customFormat="false" ht="14.25" hidden="false" customHeight="false" outlineLevel="0" collapsed="false">
      <c r="A1163" s="1" t="n">
        <v>129</v>
      </c>
      <c r="B1163" s="1" t="s">
        <v>565</v>
      </c>
      <c r="C1163" s="1" t="s">
        <v>566</v>
      </c>
      <c r="D1163" s="1" t="n">
        <v>11171</v>
      </c>
      <c r="E1163" s="1" t="s">
        <v>55</v>
      </c>
      <c r="F1163" s="198" t="n">
        <v>200025889163</v>
      </c>
      <c r="G1163" s="198" t="s">
        <v>612</v>
      </c>
      <c r="H1163" s="163" t="s">
        <v>333</v>
      </c>
      <c r="I1163" s="161" t="n">
        <v>21</v>
      </c>
      <c r="J1163" s="156" t="s">
        <v>192</v>
      </c>
      <c r="K1163" s="199" t="n">
        <v>45452.6586458333</v>
      </c>
      <c r="L1163" s="1" t="n">
        <v>0</v>
      </c>
      <c r="M1163" s="156" t="s">
        <v>192</v>
      </c>
      <c r="N1163" s="1" t="n">
        <v>675</v>
      </c>
    </row>
    <row r="1164" customFormat="false" ht="14.25" hidden="false" customHeight="false" outlineLevel="0" collapsed="false">
      <c r="A1164" s="1" t="n">
        <v>130</v>
      </c>
      <c r="B1164" s="1" t="s">
        <v>565</v>
      </c>
      <c r="C1164" s="1" t="s">
        <v>566</v>
      </c>
      <c r="D1164" s="1" t="n">
        <v>11171</v>
      </c>
      <c r="E1164" s="1" t="s">
        <v>55</v>
      </c>
      <c r="F1164" s="198" t="n">
        <v>200025889163</v>
      </c>
      <c r="G1164" s="198" t="s">
        <v>612</v>
      </c>
      <c r="H1164" s="163" t="s">
        <v>333</v>
      </c>
      <c r="I1164" s="161" t="n">
        <v>21</v>
      </c>
      <c r="J1164" s="156" t="s">
        <v>192</v>
      </c>
      <c r="K1164" s="199" t="n">
        <v>45452.6610416667</v>
      </c>
      <c r="L1164" s="1" t="n">
        <v>2</v>
      </c>
      <c r="M1164" s="156" t="s">
        <v>192</v>
      </c>
      <c r="N1164" s="1" t="n">
        <v>676</v>
      </c>
    </row>
    <row r="1165" customFormat="false" ht="14.25" hidden="false" customHeight="false" outlineLevel="0" collapsed="false">
      <c r="A1165" s="1" t="n">
        <v>131</v>
      </c>
      <c r="B1165" s="1" t="s">
        <v>565</v>
      </c>
      <c r="C1165" s="1" t="s">
        <v>566</v>
      </c>
      <c r="D1165" s="1" t="n">
        <v>11171</v>
      </c>
      <c r="E1165" s="1" t="s">
        <v>55</v>
      </c>
      <c r="F1165" s="198" t="n">
        <v>200025889163</v>
      </c>
      <c r="G1165" s="198" t="s">
        <v>612</v>
      </c>
      <c r="H1165" s="163" t="s">
        <v>333</v>
      </c>
      <c r="I1165" s="161" t="n">
        <v>21</v>
      </c>
      <c r="J1165" s="156" t="s">
        <v>192</v>
      </c>
      <c r="K1165" s="199" t="n">
        <v>45452.6611689815</v>
      </c>
      <c r="L1165" s="1" t="n">
        <v>0</v>
      </c>
      <c r="M1165" s="156" t="s">
        <v>192</v>
      </c>
      <c r="N1165" s="1" t="n">
        <v>677</v>
      </c>
    </row>
    <row r="1166" customFormat="false" ht="14.25" hidden="false" customHeight="false" outlineLevel="0" collapsed="false">
      <c r="A1166" s="1" t="n">
        <v>132</v>
      </c>
      <c r="B1166" s="1" t="s">
        <v>565</v>
      </c>
      <c r="C1166" s="1" t="s">
        <v>566</v>
      </c>
      <c r="D1166" s="1" t="n">
        <v>11171</v>
      </c>
      <c r="E1166" s="1" t="s">
        <v>55</v>
      </c>
      <c r="F1166" s="198" t="n">
        <v>200025889163</v>
      </c>
      <c r="G1166" s="198" t="s">
        <v>612</v>
      </c>
      <c r="H1166" s="163" t="s">
        <v>333</v>
      </c>
      <c r="I1166" s="161" t="n">
        <v>21</v>
      </c>
      <c r="J1166" s="156" t="s">
        <v>192</v>
      </c>
      <c r="K1166" s="199" t="n">
        <v>45452.6623032407</v>
      </c>
      <c r="L1166" s="1" t="n">
        <v>3</v>
      </c>
      <c r="M1166" s="156" t="s">
        <v>192</v>
      </c>
      <c r="N1166" s="1" t="n">
        <v>678</v>
      </c>
    </row>
    <row r="1167" customFormat="false" ht="14.25" hidden="false" customHeight="false" outlineLevel="0" collapsed="false">
      <c r="A1167" s="1" t="n">
        <v>133</v>
      </c>
      <c r="B1167" s="1" t="s">
        <v>565</v>
      </c>
      <c r="C1167" s="1" t="s">
        <v>566</v>
      </c>
      <c r="D1167" s="1" t="n">
        <v>11171</v>
      </c>
      <c r="E1167" s="1" t="s">
        <v>55</v>
      </c>
      <c r="F1167" s="198" t="n">
        <v>200025889163</v>
      </c>
      <c r="G1167" s="198" t="s">
        <v>612</v>
      </c>
      <c r="H1167" s="163" t="s">
        <v>333</v>
      </c>
      <c r="I1167" s="161" t="n">
        <v>21</v>
      </c>
      <c r="J1167" s="156" t="s">
        <v>192</v>
      </c>
      <c r="K1167" s="199" t="n">
        <v>45452.6624074074</v>
      </c>
      <c r="L1167" s="1" t="n">
        <v>1</v>
      </c>
      <c r="M1167" s="156" t="s">
        <v>192</v>
      </c>
      <c r="N1167" s="1" t="n">
        <v>679</v>
      </c>
    </row>
    <row r="1168" customFormat="false" ht="14.25" hidden="false" customHeight="false" outlineLevel="0" collapsed="false">
      <c r="A1168" s="1" t="n">
        <v>134</v>
      </c>
      <c r="B1168" s="1" t="s">
        <v>565</v>
      </c>
      <c r="C1168" s="1" t="s">
        <v>566</v>
      </c>
      <c r="D1168" s="1" t="n">
        <v>11171</v>
      </c>
      <c r="E1168" s="1" t="s">
        <v>55</v>
      </c>
      <c r="F1168" s="198" t="n">
        <v>200025889163</v>
      </c>
      <c r="G1168" s="198" t="s">
        <v>612</v>
      </c>
      <c r="H1168" s="163" t="s">
        <v>333</v>
      </c>
      <c r="I1168" s="161" t="n">
        <v>21</v>
      </c>
      <c r="J1168" s="156" t="s">
        <v>192</v>
      </c>
      <c r="K1168" s="199" t="n">
        <v>45452.6642013889</v>
      </c>
      <c r="L1168" s="1" t="n">
        <v>1</v>
      </c>
      <c r="M1168" s="156" t="s">
        <v>192</v>
      </c>
      <c r="N1168" s="1" t="n">
        <v>680</v>
      </c>
    </row>
    <row r="1169" customFormat="false" ht="14.25" hidden="false" customHeight="false" outlineLevel="0" collapsed="false">
      <c r="A1169" s="1" t="n">
        <v>135</v>
      </c>
      <c r="B1169" s="1" t="s">
        <v>565</v>
      </c>
      <c r="C1169" s="1" t="s">
        <v>566</v>
      </c>
      <c r="D1169" s="1" t="n">
        <v>11171</v>
      </c>
      <c r="E1169" s="1" t="s">
        <v>55</v>
      </c>
      <c r="F1169" s="198" t="n">
        <v>200025889163</v>
      </c>
      <c r="G1169" s="198" t="s">
        <v>612</v>
      </c>
      <c r="H1169" s="163" t="s">
        <v>333</v>
      </c>
      <c r="I1169" s="161" t="n">
        <v>21</v>
      </c>
      <c r="J1169" s="156" t="s">
        <v>192</v>
      </c>
      <c r="K1169" s="199" t="n">
        <v>45452.6643287037</v>
      </c>
      <c r="L1169" s="1" t="n">
        <v>3</v>
      </c>
      <c r="M1169" s="156" t="s">
        <v>192</v>
      </c>
      <c r="N1169" s="1" t="n">
        <v>681</v>
      </c>
    </row>
    <row r="1170" customFormat="false" ht="14.25" hidden="false" customHeight="false" outlineLevel="0" collapsed="false">
      <c r="A1170" s="1" t="n">
        <v>159</v>
      </c>
      <c r="B1170" s="1" t="s">
        <v>702</v>
      </c>
      <c r="C1170" s="1" t="s">
        <v>703</v>
      </c>
      <c r="D1170" s="1" t="n">
        <v>11197</v>
      </c>
      <c r="E1170" s="1" t="s">
        <v>53</v>
      </c>
      <c r="F1170" s="201" t="n">
        <v>200025888224</v>
      </c>
      <c r="G1170" s="198" t="s">
        <v>656</v>
      </c>
      <c r="H1170" s="163" t="s">
        <v>245</v>
      </c>
      <c r="I1170" s="161" t="n">
        <v>8</v>
      </c>
      <c r="J1170" s="156" t="s">
        <v>192</v>
      </c>
      <c r="K1170" s="200" t="n">
        <v>45452.6751388889</v>
      </c>
      <c r="L1170" s="1" t="n">
        <v>1</v>
      </c>
      <c r="M1170" s="156" t="s">
        <v>192</v>
      </c>
      <c r="N1170" s="1" t="n">
        <v>682</v>
      </c>
    </row>
    <row r="1171" customFormat="false" ht="14.25" hidden="false" customHeight="false" outlineLevel="0" collapsed="false">
      <c r="A1171" s="1" t="n">
        <v>160</v>
      </c>
      <c r="B1171" s="1" t="s">
        <v>702</v>
      </c>
      <c r="C1171" s="1" t="s">
        <v>703</v>
      </c>
      <c r="D1171" s="1" t="n">
        <v>11197</v>
      </c>
      <c r="E1171" s="1" t="s">
        <v>53</v>
      </c>
      <c r="F1171" s="201" t="n">
        <v>200025888181</v>
      </c>
      <c r="G1171" s="198" t="s">
        <v>631</v>
      </c>
      <c r="H1171" s="163" t="s">
        <v>215</v>
      </c>
      <c r="I1171" s="161" t="n">
        <v>115</v>
      </c>
      <c r="J1171" s="156" t="s">
        <v>192</v>
      </c>
      <c r="K1171" s="200" t="n">
        <v>45452.6772453704</v>
      </c>
      <c r="L1171" s="1" t="n">
        <v>1</v>
      </c>
      <c r="M1171" s="156" t="s">
        <v>192</v>
      </c>
      <c r="N1171" s="1" t="n">
        <v>683</v>
      </c>
    </row>
    <row r="1172" customFormat="false" ht="14.25" hidden="false" customHeight="false" outlineLevel="0" collapsed="false">
      <c r="A1172" s="1" t="n">
        <v>161</v>
      </c>
      <c r="B1172" s="1" t="s">
        <v>702</v>
      </c>
      <c r="C1172" s="1" t="s">
        <v>703</v>
      </c>
      <c r="D1172" s="1" t="n">
        <v>11197</v>
      </c>
      <c r="E1172" s="1" t="s">
        <v>53</v>
      </c>
      <c r="F1172" s="201" t="n">
        <v>200025888181</v>
      </c>
      <c r="G1172" s="198" t="s">
        <v>631</v>
      </c>
      <c r="H1172" s="163" t="s">
        <v>215</v>
      </c>
      <c r="I1172" s="161" t="n">
        <v>115</v>
      </c>
      <c r="J1172" s="156" t="s">
        <v>192</v>
      </c>
      <c r="K1172" s="200" t="n">
        <v>45452.6778703704</v>
      </c>
      <c r="L1172" s="1" t="n">
        <v>2</v>
      </c>
      <c r="M1172" s="156" t="s">
        <v>192</v>
      </c>
      <c r="N1172" s="1" t="n">
        <v>684</v>
      </c>
    </row>
    <row r="1173" customFormat="false" ht="14.25" hidden="false" customHeight="false" outlineLevel="0" collapsed="false">
      <c r="A1173" s="1" t="n">
        <v>162</v>
      </c>
      <c r="B1173" s="1" t="s">
        <v>702</v>
      </c>
      <c r="C1173" s="1" t="s">
        <v>703</v>
      </c>
      <c r="D1173" s="1" t="n">
        <v>11197</v>
      </c>
      <c r="E1173" s="1" t="s">
        <v>53</v>
      </c>
      <c r="F1173" s="201" t="n">
        <v>200025888181</v>
      </c>
      <c r="G1173" s="198" t="s">
        <v>631</v>
      </c>
      <c r="H1173" s="163" t="s">
        <v>215</v>
      </c>
      <c r="I1173" s="161" t="n">
        <v>115</v>
      </c>
      <c r="J1173" s="156" t="s">
        <v>192</v>
      </c>
      <c r="K1173" s="200" t="n">
        <v>45452.6778935185</v>
      </c>
      <c r="L1173" s="1" t="n">
        <v>1</v>
      </c>
      <c r="M1173" s="156" t="s">
        <v>192</v>
      </c>
      <c r="N1173" s="1" t="n">
        <v>685</v>
      </c>
    </row>
    <row r="1174" customFormat="false" ht="14.25" hidden="false" customHeight="false" outlineLevel="0" collapsed="false">
      <c r="A1174" s="1" t="n">
        <v>163</v>
      </c>
      <c r="B1174" s="1" t="s">
        <v>702</v>
      </c>
      <c r="C1174" s="1" t="s">
        <v>703</v>
      </c>
      <c r="D1174" s="1" t="n">
        <v>11197</v>
      </c>
      <c r="E1174" s="1" t="s">
        <v>53</v>
      </c>
      <c r="F1174" s="201" t="n">
        <v>200025888181</v>
      </c>
      <c r="G1174" s="198" t="s">
        <v>631</v>
      </c>
      <c r="H1174" s="163" t="s">
        <v>215</v>
      </c>
      <c r="I1174" s="161" t="n">
        <v>115</v>
      </c>
      <c r="J1174" s="156" t="s">
        <v>192</v>
      </c>
      <c r="K1174" s="200" t="n">
        <v>45452.6779166667</v>
      </c>
      <c r="L1174" s="1" t="n">
        <v>0</v>
      </c>
      <c r="M1174" s="156" t="s">
        <v>192</v>
      </c>
      <c r="N1174" s="1" t="n">
        <v>686</v>
      </c>
    </row>
    <row r="1175" customFormat="false" ht="14.25" hidden="false" customHeight="false" outlineLevel="0" collapsed="false">
      <c r="A1175" s="1" t="n">
        <v>164</v>
      </c>
      <c r="B1175" s="1" t="s">
        <v>702</v>
      </c>
      <c r="C1175" s="1" t="s">
        <v>703</v>
      </c>
      <c r="D1175" s="1" t="n">
        <v>11197</v>
      </c>
      <c r="E1175" s="1" t="s">
        <v>53</v>
      </c>
      <c r="F1175" s="201" t="n">
        <v>200025888224</v>
      </c>
      <c r="G1175" s="198" t="s">
        <v>656</v>
      </c>
      <c r="H1175" s="163" t="s">
        <v>245</v>
      </c>
      <c r="I1175" s="161" t="n">
        <v>8</v>
      </c>
      <c r="J1175" s="156" t="s">
        <v>192</v>
      </c>
      <c r="K1175" s="200" t="n">
        <v>45452.6796527778</v>
      </c>
      <c r="L1175" s="1" t="n">
        <v>1</v>
      </c>
      <c r="M1175" s="156" t="s">
        <v>192</v>
      </c>
      <c r="N1175" s="1" t="n">
        <v>687</v>
      </c>
    </row>
    <row r="1176" customFormat="false" ht="14.25" hidden="false" customHeight="false" outlineLevel="0" collapsed="false">
      <c r="A1176" s="1" t="n">
        <v>165</v>
      </c>
      <c r="B1176" s="1" t="s">
        <v>702</v>
      </c>
      <c r="C1176" s="1" t="s">
        <v>703</v>
      </c>
      <c r="D1176" s="1" t="n">
        <v>11197</v>
      </c>
      <c r="E1176" s="1" t="s">
        <v>53</v>
      </c>
      <c r="F1176" s="201" t="n">
        <v>200025888181</v>
      </c>
      <c r="G1176" s="198" t="s">
        <v>631</v>
      </c>
      <c r="H1176" s="163" t="s">
        <v>215</v>
      </c>
      <c r="I1176" s="161" t="n">
        <v>115</v>
      </c>
      <c r="J1176" s="156" t="s">
        <v>192</v>
      </c>
      <c r="K1176" s="200" t="n">
        <v>45452.6905555556</v>
      </c>
      <c r="L1176" s="1" t="n">
        <v>2</v>
      </c>
      <c r="M1176" s="156" t="s">
        <v>192</v>
      </c>
      <c r="N1176" s="1" t="n">
        <v>688</v>
      </c>
    </row>
    <row r="1177" customFormat="false" ht="14.25" hidden="false" customHeight="false" outlineLevel="0" collapsed="false">
      <c r="A1177" s="1" t="n">
        <v>166</v>
      </c>
      <c r="B1177" s="1" t="s">
        <v>702</v>
      </c>
      <c r="C1177" s="1" t="s">
        <v>703</v>
      </c>
      <c r="D1177" s="1" t="n">
        <v>11197</v>
      </c>
      <c r="E1177" s="1" t="s">
        <v>53</v>
      </c>
      <c r="F1177" s="201" t="n">
        <v>200025888617</v>
      </c>
      <c r="G1177" s="198" t="s">
        <v>614</v>
      </c>
      <c r="H1177" s="163" t="s">
        <v>387</v>
      </c>
      <c r="I1177" s="161" t="n">
        <v>100</v>
      </c>
      <c r="J1177" s="156" t="s">
        <v>192</v>
      </c>
      <c r="K1177" s="200" t="n">
        <v>45452.6926273148</v>
      </c>
      <c r="L1177" s="1" t="n">
        <v>0</v>
      </c>
      <c r="M1177" s="156" t="s">
        <v>192</v>
      </c>
      <c r="N1177" s="1" t="n">
        <v>689</v>
      </c>
    </row>
    <row r="1178" customFormat="false" ht="14.25" hidden="false" customHeight="false" outlineLevel="0" collapsed="false">
      <c r="A1178" s="1" t="n">
        <v>167</v>
      </c>
      <c r="B1178" s="1" t="s">
        <v>702</v>
      </c>
      <c r="C1178" s="1" t="s">
        <v>703</v>
      </c>
      <c r="D1178" s="1" t="n">
        <v>11197</v>
      </c>
      <c r="E1178" s="1" t="s">
        <v>53</v>
      </c>
      <c r="F1178" s="201" t="n">
        <v>200025888617</v>
      </c>
      <c r="G1178" s="198" t="s">
        <v>614</v>
      </c>
      <c r="H1178" s="163" t="s">
        <v>387</v>
      </c>
      <c r="I1178" s="161" t="n">
        <v>100</v>
      </c>
      <c r="J1178" s="156" t="s">
        <v>192</v>
      </c>
      <c r="K1178" s="200" t="n">
        <v>45452.6926736111</v>
      </c>
      <c r="L1178" s="1" t="n">
        <v>32</v>
      </c>
      <c r="M1178" s="156" t="s">
        <v>192</v>
      </c>
      <c r="N1178" s="1" t="n">
        <v>690</v>
      </c>
    </row>
    <row r="1179" customFormat="false" ht="14.25" hidden="false" customHeight="false" outlineLevel="0" collapsed="false">
      <c r="A1179" s="1" t="n">
        <v>168</v>
      </c>
      <c r="B1179" s="1" t="s">
        <v>702</v>
      </c>
      <c r="C1179" s="1" t="s">
        <v>703</v>
      </c>
      <c r="D1179" s="1" t="n">
        <v>11197</v>
      </c>
      <c r="E1179" s="1" t="s">
        <v>53</v>
      </c>
      <c r="F1179" s="201" t="n">
        <v>200025888617</v>
      </c>
      <c r="G1179" s="198" t="s">
        <v>614</v>
      </c>
      <c r="H1179" s="163" t="s">
        <v>387</v>
      </c>
      <c r="I1179" s="161" t="n">
        <v>100</v>
      </c>
      <c r="J1179" s="156" t="s">
        <v>192</v>
      </c>
      <c r="K1179" s="200" t="n">
        <v>45452.6930439815</v>
      </c>
      <c r="L1179" s="1" t="n">
        <v>2</v>
      </c>
      <c r="M1179" s="156" t="s">
        <v>192</v>
      </c>
      <c r="N1179" s="1" t="n">
        <v>691</v>
      </c>
    </row>
    <row r="1180" customFormat="false" ht="14.25" hidden="false" customHeight="false" outlineLevel="0" collapsed="false">
      <c r="A1180" s="1" t="n">
        <v>136</v>
      </c>
      <c r="B1180" s="1" t="s">
        <v>565</v>
      </c>
      <c r="C1180" s="1" t="s">
        <v>566</v>
      </c>
      <c r="D1180" s="1" t="n">
        <v>11171</v>
      </c>
      <c r="E1180" s="1" t="s">
        <v>55</v>
      </c>
      <c r="F1180" s="198" t="n">
        <v>200025889163</v>
      </c>
      <c r="G1180" s="198" t="s">
        <v>612</v>
      </c>
      <c r="H1180" s="163" t="s">
        <v>333</v>
      </c>
      <c r="I1180" s="161" t="n">
        <v>21</v>
      </c>
      <c r="J1180" s="156" t="s">
        <v>192</v>
      </c>
      <c r="K1180" s="199" t="n">
        <v>45452.710775463</v>
      </c>
      <c r="L1180" s="1" t="n">
        <v>2</v>
      </c>
      <c r="M1180" s="156" t="s">
        <v>192</v>
      </c>
      <c r="N1180" s="1" t="n">
        <v>692</v>
      </c>
    </row>
    <row r="1181" customFormat="false" ht="14.25" hidden="false" customHeight="false" outlineLevel="0" collapsed="false">
      <c r="A1181" s="1" t="n">
        <v>169</v>
      </c>
      <c r="B1181" s="1" t="s">
        <v>702</v>
      </c>
      <c r="C1181" s="1" t="s">
        <v>703</v>
      </c>
      <c r="D1181" s="1" t="n">
        <v>11197</v>
      </c>
      <c r="E1181" s="1" t="s">
        <v>53</v>
      </c>
      <c r="F1181" s="201" t="n">
        <v>200025888181</v>
      </c>
      <c r="G1181" s="198" t="s">
        <v>631</v>
      </c>
      <c r="H1181" s="163" t="s">
        <v>215</v>
      </c>
      <c r="I1181" s="161" t="n">
        <v>115</v>
      </c>
      <c r="J1181" s="156" t="s">
        <v>192</v>
      </c>
      <c r="K1181" s="200" t="n">
        <v>45452.7213078704</v>
      </c>
      <c r="L1181" s="1" t="n">
        <v>1</v>
      </c>
      <c r="M1181" s="156" t="s">
        <v>192</v>
      </c>
      <c r="N1181" s="1" t="n">
        <v>693</v>
      </c>
    </row>
    <row r="1182" customFormat="false" ht="14.25" hidden="false" customHeight="false" outlineLevel="0" collapsed="false">
      <c r="A1182" s="1" t="n">
        <v>170</v>
      </c>
      <c r="B1182" s="1" t="s">
        <v>702</v>
      </c>
      <c r="C1182" s="1" t="s">
        <v>703</v>
      </c>
      <c r="D1182" s="1" t="n">
        <v>11197</v>
      </c>
      <c r="E1182" s="1" t="s">
        <v>53</v>
      </c>
      <c r="F1182" s="201" t="n">
        <v>200025888181</v>
      </c>
      <c r="G1182" s="198" t="s">
        <v>631</v>
      </c>
      <c r="H1182" s="163" t="s">
        <v>215</v>
      </c>
      <c r="I1182" s="161" t="n">
        <v>115</v>
      </c>
      <c r="J1182" s="156" t="s">
        <v>192</v>
      </c>
      <c r="K1182" s="200" t="n">
        <v>45452.7215162037</v>
      </c>
      <c r="L1182" s="1" t="n">
        <v>1</v>
      </c>
      <c r="M1182" s="156" t="s">
        <v>192</v>
      </c>
      <c r="N1182" s="1" t="n">
        <v>694</v>
      </c>
    </row>
    <row r="1183" customFormat="false" ht="14.25" hidden="false" customHeight="false" outlineLevel="0" collapsed="false">
      <c r="A1183" s="1" t="n">
        <v>171</v>
      </c>
      <c r="B1183" s="1" t="s">
        <v>702</v>
      </c>
      <c r="C1183" s="1" t="s">
        <v>703</v>
      </c>
      <c r="D1183" s="1" t="n">
        <v>11197</v>
      </c>
      <c r="E1183" s="1" t="s">
        <v>53</v>
      </c>
      <c r="F1183" s="201" t="n">
        <v>200025888181</v>
      </c>
      <c r="G1183" s="198" t="s">
        <v>631</v>
      </c>
      <c r="H1183" s="163" t="s">
        <v>215</v>
      </c>
      <c r="I1183" s="161" t="n">
        <v>115</v>
      </c>
      <c r="J1183" s="156" t="s">
        <v>192</v>
      </c>
      <c r="K1183" s="200" t="n">
        <v>45452.722650463</v>
      </c>
      <c r="L1183" s="1" t="n">
        <v>1</v>
      </c>
      <c r="M1183" s="156" t="s">
        <v>192</v>
      </c>
      <c r="N1183" s="1" t="n">
        <v>695</v>
      </c>
    </row>
    <row r="1184" customFormat="false" ht="14.25" hidden="false" customHeight="false" outlineLevel="0" collapsed="false">
      <c r="A1184" s="1" t="n">
        <v>172</v>
      </c>
      <c r="B1184" s="1" t="s">
        <v>702</v>
      </c>
      <c r="C1184" s="1" t="s">
        <v>703</v>
      </c>
      <c r="D1184" s="1" t="n">
        <v>11197</v>
      </c>
      <c r="E1184" s="1" t="s">
        <v>53</v>
      </c>
      <c r="F1184" s="201" t="n">
        <v>200025888181</v>
      </c>
      <c r="G1184" s="198" t="s">
        <v>631</v>
      </c>
      <c r="H1184" s="163" t="s">
        <v>215</v>
      </c>
      <c r="I1184" s="161" t="n">
        <v>115</v>
      </c>
      <c r="J1184" s="156" t="s">
        <v>192</v>
      </c>
      <c r="K1184" s="200" t="n">
        <v>45452.7226736111</v>
      </c>
      <c r="L1184" s="1" t="n">
        <v>0</v>
      </c>
      <c r="M1184" s="156" t="s">
        <v>192</v>
      </c>
      <c r="N1184" s="1" t="n">
        <v>696</v>
      </c>
    </row>
    <row r="1185" customFormat="false" ht="14.25" hidden="false" customHeight="false" outlineLevel="0" collapsed="false">
      <c r="A1185" s="1" t="n">
        <v>173</v>
      </c>
      <c r="B1185" s="1" t="s">
        <v>702</v>
      </c>
      <c r="C1185" s="1" t="s">
        <v>703</v>
      </c>
      <c r="D1185" s="1" t="n">
        <v>11197</v>
      </c>
      <c r="E1185" s="1" t="s">
        <v>53</v>
      </c>
      <c r="F1185" s="201" t="n">
        <v>200025888181</v>
      </c>
      <c r="G1185" s="198" t="s">
        <v>631</v>
      </c>
      <c r="H1185" s="163" t="s">
        <v>215</v>
      </c>
      <c r="I1185" s="161" t="n">
        <v>115</v>
      </c>
      <c r="J1185" s="156" t="s">
        <v>192</v>
      </c>
      <c r="K1185" s="200" t="n">
        <v>45452.7226851852</v>
      </c>
      <c r="L1185" s="1" t="n">
        <v>2</v>
      </c>
      <c r="M1185" s="156" t="s">
        <v>192</v>
      </c>
      <c r="N1185" s="1" t="n">
        <v>697</v>
      </c>
    </row>
    <row r="1186" customFormat="false" ht="14.25" hidden="false" customHeight="false" outlineLevel="0" collapsed="false">
      <c r="A1186" s="1" t="n">
        <v>137</v>
      </c>
      <c r="B1186" s="1" t="s">
        <v>565</v>
      </c>
      <c r="C1186" s="1" t="s">
        <v>566</v>
      </c>
      <c r="D1186" s="1" t="n">
        <v>11171</v>
      </c>
      <c r="E1186" s="1" t="s">
        <v>55</v>
      </c>
      <c r="F1186" s="198" t="n">
        <v>200025888224</v>
      </c>
      <c r="G1186" s="198" t="s">
        <v>656</v>
      </c>
      <c r="H1186" s="163" t="s">
        <v>245</v>
      </c>
      <c r="I1186" s="161" t="n">
        <v>8</v>
      </c>
      <c r="J1186" s="156" t="s">
        <v>192</v>
      </c>
      <c r="K1186" s="199" t="n">
        <v>45452.7324421296</v>
      </c>
      <c r="L1186" s="1" t="n">
        <v>1</v>
      </c>
      <c r="M1186" s="156" t="s">
        <v>192</v>
      </c>
      <c r="N1186" s="1" t="n">
        <v>698</v>
      </c>
    </row>
    <row r="1187" customFormat="false" ht="14.25" hidden="false" customHeight="false" outlineLevel="0" collapsed="false">
      <c r="A1187" s="1" t="n">
        <v>138</v>
      </c>
      <c r="B1187" s="1" t="s">
        <v>565</v>
      </c>
      <c r="C1187" s="1" t="s">
        <v>566</v>
      </c>
      <c r="D1187" s="1" t="n">
        <v>11171</v>
      </c>
      <c r="E1187" s="1" t="s">
        <v>55</v>
      </c>
      <c r="F1187" s="198" t="n">
        <v>200025888224</v>
      </c>
      <c r="G1187" s="198" t="s">
        <v>656</v>
      </c>
      <c r="H1187" s="163" t="s">
        <v>245</v>
      </c>
      <c r="I1187" s="161" t="n">
        <v>8</v>
      </c>
      <c r="J1187" s="156" t="s">
        <v>192</v>
      </c>
      <c r="K1187" s="199" t="n">
        <v>45452.7326157407</v>
      </c>
      <c r="L1187" s="1" t="n">
        <v>1</v>
      </c>
      <c r="M1187" s="156" t="s">
        <v>192</v>
      </c>
      <c r="N1187" s="1" t="n">
        <v>699</v>
      </c>
    </row>
    <row r="1188" customFormat="false" ht="14.25" hidden="false" customHeight="false" outlineLevel="0" collapsed="false">
      <c r="A1188" s="1" t="n">
        <v>139</v>
      </c>
      <c r="B1188" s="1" t="s">
        <v>565</v>
      </c>
      <c r="C1188" s="1" t="s">
        <v>566</v>
      </c>
      <c r="D1188" s="1" t="n">
        <v>11171</v>
      </c>
      <c r="E1188" s="1" t="s">
        <v>55</v>
      </c>
      <c r="F1188" s="198" t="n">
        <v>200025888224</v>
      </c>
      <c r="G1188" s="198" t="s">
        <v>656</v>
      </c>
      <c r="H1188" s="163" t="s">
        <v>245</v>
      </c>
      <c r="I1188" s="161" t="n">
        <v>8</v>
      </c>
      <c r="J1188" s="156" t="s">
        <v>192</v>
      </c>
      <c r="K1188" s="199" t="n">
        <v>45452.7327777778</v>
      </c>
      <c r="L1188" s="1" t="n">
        <v>0</v>
      </c>
      <c r="M1188" s="156" t="s">
        <v>192</v>
      </c>
      <c r="N1188" s="1" t="n">
        <v>700</v>
      </c>
    </row>
    <row r="1189" customFormat="false" ht="14.25" hidden="false" customHeight="false" outlineLevel="0" collapsed="false">
      <c r="A1189" s="1" t="n">
        <v>140</v>
      </c>
      <c r="B1189" s="1" t="s">
        <v>565</v>
      </c>
      <c r="C1189" s="1" t="s">
        <v>566</v>
      </c>
      <c r="D1189" s="1" t="n">
        <v>11171</v>
      </c>
      <c r="E1189" s="1" t="s">
        <v>55</v>
      </c>
      <c r="F1189" s="198" t="n">
        <v>200025888181</v>
      </c>
      <c r="G1189" s="198" t="s">
        <v>631</v>
      </c>
      <c r="H1189" s="163" t="s">
        <v>215</v>
      </c>
      <c r="I1189" s="161" t="n">
        <v>115</v>
      </c>
      <c r="J1189" s="156" t="s">
        <v>192</v>
      </c>
      <c r="K1189" s="199" t="n">
        <v>45452.732962963</v>
      </c>
      <c r="L1189" s="1" t="n">
        <v>1</v>
      </c>
      <c r="M1189" s="156" t="s">
        <v>192</v>
      </c>
      <c r="N1189" s="1" t="n">
        <v>701</v>
      </c>
    </row>
    <row r="1190" customFormat="false" ht="14.25" hidden="false" customHeight="false" outlineLevel="0" collapsed="false">
      <c r="A1190" s="1" t="n">
        <v>141</v>
      </c>
      <c r="B1190" s="1" t="s">
        <v>565</v>
      </c>
      <c r="C1190" s="1" t="s">
        <v>566</v>
      </c>
      <c r="D1190" s="1" t="n">
        <v>11171</v>
      </c>
      <c r="E1190" s="1" t="s">
        <v>55</v>
      </c>
      <c r="F1190" s="198" t="n">
        <v>200025888224</v>
      </c>
      <c r="G1190" s="198" t="s">
        <v>656</v>
      </c>
      <c r="H1190" s="163" t="s">
        <v>245</v>
      </c>
      <c r="I1190" s="161" t="n">
        <v>8</v>
      </c>
      <c r="J1190" s="156" t="s">
        <v>192</v>
      </c>
      <c r="K1190" s="199" t="n">
        <v>45452.7338657407</v>
      </c>
      <c r="L1190" s="1" t="n">
        <v>2</v>
      </c>
      <c r="M1190" s="156" t="s">
        <v>192</v>
      </c>
      <c r="N1190" s="1" t="n">
        <v>702</v>
      </c>
    </row>
    <row r="1191" customFormat="false" ht="14.25" hidden="false" customHeight="false" outlineLevel="0" collapsed="false">
      <c r="A1191" s="1" t="n">
        <v>142</v>
      </c>
      <c r="B1191" s="1" t="s">
        <v>565</v>
      </c>
      <c r="C1191" s="1" t="s">
        <v>566</v>
      </c>
      <c r="D1191" s="1" t="n">
        <v>11171</v>
      </c>
      <c r="E1191" s="1" t="s">
        <v>55</v>
      </c>
      <c r="F1191" s="198" t="n">
        <v>200025888224</v>
      </c>
      <c r="G1191" s="198" t="s">
        <v>656</v>
      </c>
      <c r="H1191" s="163" t="s">
        <v>245</v>
      </c>
      <c r="I1191" s="161" t="n">
        <v>8</v>
      </c>
      <c r="J1191" s="156" t="s">
        <v>192</v>
      </c>
      <c r="K1191" s="199" t="n">
        <v>45452.7341087963</v>
      </c>
      <c r="L1191" s="1" t="n">
        <v>1</v>
      </c>
      <c r="M1191" s="156" t="s">
        <v>192</v>
      </c>
      <c r="N1191" s="1" t="n">
        <v>703</v>
      </c>
    </row>
    <row r="1192" customFormat="false" ht="14.25" hidden="false" customHeight="false" outlineLevel="0" collapsed="false">
      <c r="A1192" s="1" t="n">
        <v>143</v>
      </c>
      <c r="B1192" s="1" t="s">
        <v>565</v>
      </c>
      <c r="C1192" s="1" t="s">
        <v>566</v>
      </c>
      <c r="D1192" s="1" t="n">
        <v>11171</v>
      </c>
      <c r="E1192" s="1" t="s">
        <v>55</v>
      </c>
      <c r="F1192" s="198" t="n">
        <v>200025888224</v>
      </c>
      <c r="G1192" s="198" t="s">
        <v>656</v>
      </c>
      <c r="H1192" s="163" t="s">
        <v>245</v>
      </c>
      <c r="I1192" s="161" t="n">
        <v>8</v>
      </c>
      <c r="J1192" s="156" t="s">
        <v>192</v>
      </c>
      <c r="K1192" s="199" t="n">
        <v>45452.735150463</v>
      </c>
      <c r="L1192" s="1" t="n">
        <v>1</v>
      </c>
      <c r="M1192" s="156" t="s">
        <v>192</v>
      </c>
      <c r="N1192" s="1" t="n">
        <v>704</v>
      </c>
    </row>
    <row r="1193" customFormat="false" ht="14.25" hidden="false" customHeight="false" outlineLevel="0" collapsed="false">
      <c r="A1193" s="1" t="n">
        <v>144</v>
      </c>
      <c r="B1193" s="1" t="s">
        <v>565</v>
      </c>
      <c r="C1193" s="1" t="s">
        <v>566</v>
      </c>
      <c r="D1193" s="1" t="n">
        <v>11171</v>
      </c>
      <c r="E1193" s="1" t="s">
        <v>55</v>
      </c>
      <c r="F1193" s="198" t="n">
        <v>200025888864</v>
      </c>
      <c r="G1193" s="198" t="s">
        <v>590</v>
      </c>
      <c r="H1193" s="163" t="s">
        <v>474</v>
      </c>
      <c r="I1193" s="161" t="n">
        <v>87</v>
      </c>
      <c r="J1193" s="156" t="s">
        <v>192</v>
      </c>
      <c r="K1193" s="199" t="n">
        <v>45452.7388888889</v>
      </c>
      <c r="L1193" s="1" t="n">
        <v>1</v>
      </c>
      <c r="M1193" s="156" t="s">
        <v>192</v>
      </c>
      <c r="N1193" s="1" t="n">
        <v>705</v>
      </c>
    </row>
    <row r="1194" customFormat="false" ht="14.25" hidden="false" customHeight="false" outlineLevel="0" collapsed="false">
      <c r="A1194" s="1" t="n">
        <v>145</v>
      </c>
      <c r="B1194" s="1" t="s">
        <v>565</v>
      </c>
      <c r="C1194" s="1" t="s">
        <v>566</v>
      </c>
      <c r="D1194" s="1" t="n">
        <v>11171</v>
      </c>
      <c r="E1194" s="1" t="s">
        <v>55</v>
      </c>
      <c r="F1194" s="198" t="n">
        <v>200025888864</v>
      </c>
      <c r="G1194" s="198" t="s">
        <v>590</v>
      </c>
      <c r="H1194" s="163" t="s">
        <v>474</v>
      </c>
      <c r="I1194" s="161" t="n">
        <v>87</v>
      </c>
      <c r="J1194" s="156" t="s">
        <v>192</v>
      </c>
      <c r="K1194" s="199" t="n">
        <v>45452.7394212963</v>
      </c>
      <c r="L1194" s="1" t="n">
        <v>1</v>
      </c>
      <c r="M1194" s="156" t="s">
        <v>192</v>
      </c>
      <c r="N1194" s="1" t="n">
        <v>706</v>
      </c>
    </row>
    <row r="1195" customFormat="false" ht="14.25" hidden="false" customHeight="false" outlineLevel="0" collapsed="false">
      <c r="A1195" s="1" t="n">
        <v>146</v>
      </c>
      <c r="B1195" s="1" t="s">
        <v>565</v>
      </c>
      <c r="C1195" s="1" t="s">
        <v>566</v>
      </c>
      <c r="D1195" s="1" t="n">
        <v>11171</v>
      </c>
      <c r="E1195" s="1" t="s">
        <v>55</v>
      </c>
      <c r="F1195" s="198" t="n">
        <v>200025888864</v>
      </c>
      <c r="G1195" s="198" t="s">
        <v>590</v>
      </c>
      <c r="H1195" s="163" t="s">
        <v>474</v>
      </c>
      <c r="I1195" s="161" t="n">
        <v>87</v>
      </c>
      <c r="J1195" s="156" t="s">
        <v>192</v>
      </c>
      <c r="K1195" s="199" t="n">
        <v>45452.7394444444</v>
      </c>
      <c r="L1195" s="1" t="n">
        <v>14</v>
      </c>
      <c r="M1195" s="156" t="s">
        <v>192</v>
      </c>
      <c r="N1195" s="1" t="n">
        <v>707</v>
      </c>
    </row>
    <row r="1196" customFormat="false" ht="14.25" hidden="false" customHeight="false" outlineLevel="0" collapsed="false">
      <c r="A1196" s="1" t="n">
        <v>174</v>
      </c>
      <c r="B1196" s="1" t="s">
        <v>702</v>
      </c>
      <c r="C1196" s="1" t="s">
        <v>703</v>
      </c>
      <c r="D1196" s="1" t="n">
        <v>11197</v>
      </c>
      <c r="E1196" s="1" t="s">
        <v>53</v>
      </c>
      <c r="F1196" s="201" t="n">
        <v>200025888864</v>
      </c>
      <c r="G1196" s="198" t="s">
        <v>590</v>
      </c>
      <c r="H1196" s="163" t="s">
        <v>474</v>
      </c>
      <c r="I1196" s="161" t="n">
        <v>87</v>
      </c>
      <c r="J1196" s="156" t="s">
        <v>192</v>
      </c>
      <c r="K1196" s="200" t="n">
        <v>45452.7401273148</v>
      </c>
      <c r="L1196" s="1" t="n">
        <v>0</v>
      </c>
      <c r="M1196" s="156" t="s">
        <v>192</v>
      </c>
      <c r="N1196" s="1" t="n">
        <v>708</v>
      </c>
    </row>
    <row r="1197" customFormat="false" ht="14.25" hidden="false" customHeight="false" outlineLevel="0" collapsed="false">
      <c r="A1197" s="1" t="n">
        <v>147</v>
      </c>
      <c r="B1197" s="1" t="s">
        <v>565</v>
      </c>
      <c r="C1197" s="1" t="s">
        <v>566</v>
      </c>
      <c r="D1197" s="1" t="n">
        <v>11171</v>
      </c>
      <c r="E1197" s="1" t="s">
        <v>55</v>
      </c>
      <c r="F1197" s="198" t="n">
        <v>200025889163</v>
      </c>
      <c r="G1197" s="198" t="s">
        <v>612</v>
      </c>
      <c r="H1197" s="163" t="s">
        <v>333</v>
      </c>
      <c r="I1197" s="161" t="n">
        <v>21</v>
      </c>
      <c r="J1197" s="156" t="s">
        <v>192</v>
      </c>
      <c r="K1197" s="199" t="n">
        <v>45452.7455555556</v>
      </c>
      <c r="L1197" s="1" t="n">
        <v>2</v>
      </c>
      <c r="M1197" s="156" t="s">
        <v>192</v>
      </c>
      <c r="N1197" s="1" t="n">
        <v>709</v>
      </c>
    </row>
    <row r="1198" customFormat="false" ht="14.25" hidden="false" customHeight="false" outlineLevel="0" collapsed="false">
      <c r="A1198" s="1" t="n">
        <v>175</v>
      </c>
      <c r="B1198" s="1" t="s">
        <v>702</v>
      </c>
      <c r="C1198" s="1" t="s">
        <v>703</v>
      </c>
      <c r="D1198" s="1" t="n">
        <v>11197</v>
      </c>
      <c r="E1198" s="1" t="s">
        <v>53</v>
      </c>
      <c r="F1198" s="201" t="n">
        <v>200025888617</v>
      </c>
      <c r="G1198" s="198" t="s">
        <v>614</v>
      </c>
      <c r="H1198" s="163" t="s">
        <v>387</v>
      </c>
      <c r="I1198" s="161" t="n">
        <v>100</v>
      </c>
      <c r="J1198" s="156" t="s">
        <v>192</v>
      </c>
      <c r="K1198" s="200" t="n">
        <v>45452.7761226852</v>
      </c>
      <c r="L1198" s="1" t="n">
        <v>2</v>
      </c>
      <c r="M1198" s="156" t="s">
        <v>192</v>
      </c>
      <c r="N1198" s="1" t="n">
        <v>710</v>
      </c>
    </row>
    <row r="1199" customFormat="false" ht="14.25" hidden="false" customHeight="false" outlineLevel="0" collapsed="false">
      <c r="A1199" s="1" t="n">
        <v>148</v>
      </c>
      <c r="B1199" s="1" t="s">
        <v>565</v>
      </c>
      <c r="C1199" s="1" t="s">
        <v>566</v>
      </c>
      <c r="D1199" s="1" t="n">
        <v>11171</v>
      </c>
      <c r="E1199" s="1" t="s">
        <v>55</v>
      </c>
      <c r="F1199" s="198" t="n">
        <v>200025888181</v>
      </c>
      <c r="G1199" s="198" t="s">
        <v>631</v>
      </c>
      <c r="H1199" s="163" t="s">
        <v>215</v>
      </c>
      <c r="I1199" s="161" t="n">
        <v>115</v>
      </c>
      <c r="J1199" s="156" t="s">
        <v>192</v>
      </c>
      <c r="K1199" s="199" t="n">
        <v>45452.7889351852</v>
      </c>
      <c r="L1199" s="1" t="n">
        <v>0</v>
      </c>
      <c r="M1199" s="156" t="s">
        <v>192</v>
      </c>
      <c r="N1199" s="1" t="n">
        <v>711</v>
      </c>
    </row>
    <row r="1200" customFormat="false" ht="14.25" hidden="false" customHeight="false" outlineLevel="0" collapsed="false">
      <c r="A1200" s="1" t="n">
        <v>149</v>
      </c>
      <c r="B1200" s="1" t="s">
        <v>565</v>
      </c>
      <c r="C1200" s="1" t="s">
        <v>566</v>
      </c>
      <c r="D1200" s="1" t="n">
        <v>11171</v>
      </c>
      <c r="E1200" s="1" t="s">
        <v>55</v>
      </c>
      <c r="F1200" s="198" t="n">
        <v>200025888181</v>
      </c>
      <c r="G1200" s="198" t="s">
        <v>631</v>
      </c>
      <c r="H1200" s="163" t="s">
        <v>215</v>
      </c>
      <c r="I1200" s="161" t="n">
        <v>115</v>
      </c>
      <c r="J1200" s="156" t="s">
        <v>192</v>
      </c>
      <c r="K1200" s="199" t="n">
        <v>45452.7889467593</v>
      </c>
      <c r="L1200" s="1" t="n">
        <v>1</v>
      </c>
      <c r="M1200" s="156" t="s">
        <v>192</v>
      </c>
      <c r="N1200" s="1" t="n">
        <v>712</v>
      </c>
    </row>
    <row r="1201" customFormat="false" ht="14.25" hidden="false" customHeight="false" outlineLevel="0" collapsed="false">
      <c r="A1201" s="1" t="n">
        <v>150</v>
      </c>
      <c r="B1201" s="1" t="s">
        <v>565</v>
      </c>
      <c r="C1201" s="1" t="s">
        <v>566</v>
      </c>
      <c r="D1201" s="1" t="n">
        <v>11171</v>
      </c>
      <c r="E1201" s="1" t="s">
        <v>55</v>
      </c>
      <c r="F1201" s="198" t="n">
        <v>200025888181</v>
      </c>
      <c r="G1201" s="198" t="s">
        <v>631</v>
      </c>
      <c r="H1201" s="163" t="s">
        <v>215</v>
      </c>
      <c r="I1201" s="161" t="n">
        <v>115</v>
      </c>
      <c r="J1201" s="156" t="s">
        <v>192</v>
      </c>
      <c r="K1201" s="199" t="n">
        <v>45452.7894560185</v>
      </c>
      <c r="L1201" s="1" t="n">
        <v>1</v>
      </c>
      <c r="M1201" s="156" t="s">
        <v>192</v>
      </c>
      <c r="N1201" s="1" t="n">
        <v>713</v>
      </c>
    </row>
    <row r="1202" customFormat="false" ht="14.25" hidden="false" customHeight="false" outlineLevel="0" collapsed="false">
      <c r="A1202" s="1" t="n">
        <v>151</v>
      </c>
      <c r="B1202" s="1" t="s">
        <v>565</v>
      </c>
      <c r="C1202" s="1" t="s">
        <v>566</v>
      </c>
      <c r="D1202" s="1" t="n">
        <v>11171</v>
      </c>
      <c r="E1202" s="1" t="s">
        <v>55</v>
      </c>
      <c r="F1202" s="198" t="n">
        <v>200025888224</v>
      </c>
      <c r="G1202" s="198" t="s">
        <v>656</v>
      </c>
      <c r="H1202" s="163" t="s">
        <v>245</v>
      </c>
      <c r="I1202" s="161" t="n">
        <v>8</v>
      </c>
      <c r="J1202" s="156" t="s">
        <v>192</v>
      </c>
      <c r="K1202" s="199" t="n">
        <v>45452.7923726852</v>
      </c>
      <c r="L1202" s="1" t="n">
        <v>2</v>
      </c>
      <c r="M1202" s="156" t="s">
        <v>192</v>
      </c>
      <c r="N1202" s="1" t="n">
        <v>714</v>
      </c>
    </row>
    <row r="1203" customFormat="false" ht="14.25" hidden="false" customHeight="false" outlineLevel="0" collapsed="false">
      <c r="A1203" s="1" t="n">
        <v>152</v>
      </c>
      <c r="B1203" s="1" t="s">
        <v>565</v>
      </c>
      <c r="C1203" s="1" t="s">
        <v>566</v>
      </c>
      <c r="D1203" s="1" t="n">
        <v>11171</v>
      </c>
      <c r="E1203" s="1" t="s">
        <v>55</v>
      </c>
      <c r="F1203" s="198" t="n">
        <v>200025888224</v>
      </c>
      <c r="G1203" s="198" t="s">
        <v>656</v>
      </c>
      <c r="H1203" s="163" t="s">
        <v>245</v>
      </c>
      <c r="I1203" s="161" t="n">
        <v>8</v>
      </c>
      <c r="J1203" s="156" t="s">
        <v>192</v>
      </c>
      <c r="K1203" s="199" t="n">
        <v>45452.7931597222</v>
      </c>
      <c r="L1203" s="1" t="n">
        <v>1</v>
      </c>
      <c r="M1203" s="156" t="s">
        <v>192</v>
      </c>
      <c r="N1203" s="1" t="n">
        <v>715</v>
      </c>
    </row>
    <row r="1204" customFormat="false" ht="14.25" hidden="false" customHeight="false" outlineLevel="0" collapsed="false">
      <c r="A1204" s="1" t="n">
        <v>153</v>
      </c>
      <c r="B1204" s="1" t="s">
        <v>565</v>
      </c>
      <c r="C1204" s="1" t="s">
        <v>566</v>
      </c>
      <c r="D1204" s="1" t="n">
        <v>11171</v>
      </c>
      <c r="E1204" s="1" t="s">
        <v>55</v>
      </c>
      <c r="F1204" s="198" t="n">
        <v>200025888224</v>
      </c>
      <c r="G1204" s="198" t="s">
        <v>656</v>
      </c>
      <c r="H1204" s="163" t="s">
        <v>245</v>
      </c>
      <c r="I1204" s="161" t="n">
        <v>8</v>
      </c>
      <c r="J1204" s="156" t="s">
        <v>192</v>
      </c>
      <c r="K1204" s="199" t="n">
        <v>45452.7965740741</v>
      </c>
      <c r="L1204" s="1" t="n">
        <v>2</v>
      </c>
      <c r="M1204" s="156" t="s">
        <v>192</v>
      </c>
      <c r="N1204" s="1" t="n">
        <v>716</v>
      </c>
    </row>
    <row r="1205" customFormat="false" ht="14.25" hidden="false" customHeight="false" outlineLevel="0" collapsed="false">
      <c r="A1205" s="1" t="n">
        <v>154</v>
      </c>
      <c r="B1205" s="1" t="s">
        <v>565</v>
      </c>
      <c r="C1205" s="1" t="s">
        <v>566</v>
      </c>
      <c r="D1205" s="1" t="n">
        <v>11171</v>
      </c>
      <c r="E1205" s="1" t="s">
        <v>55</v>
      </c>
      <c r="F1205" s="198" t="n">
        <v>200025889163</v>
      </c>
      <c r="G1205" s="198" t="s">
        <v>612</v>
      </c>
      <c r="H1205" s="163" t="s">
        <v>333</v>
      </c>
      <c r="I1205" s="161" t="n">
        <v>21</v>
      </c>
      <c r="J1205" s="156" t="s">
        <v>192</v>
      </c>
      <c r="K1205" s="199" t="n">
        <v>45452.7982291667</v>
      </c>
      <c r="L1205" s="1" t="n">
        <v>2</v>
      </c>
      <c r="M1205" s="156" t="s">
        <v>192</v>
      </c>
      <c r="N1205" s="1" t="n">
        <v>717</v>
      </c>
    </row>
    <row r="1206" customFormat="false" ht="14.25" hidden="false" customHeight="false" outlineLevel="0" collapsed="false">
      <c r="A1206" s="1" t="n">
        <v>176</v>
      </c>
      <c r="B1206" s="1" t="s">
        <v>702</v>
      </c>
      <c r="C1206" s="1" t="s">
        <v>703</v>
      </c>
      <c r="D1206" s="1" t="n">
        <v>11197</v>
      </c>
      <c r="E1206" s="1" t="s">
        <v>53</v>
      </c>
      <c r="F1206" s="201" t="n">
        <v>200025889791</v>
      </c>
      <c r="G1206" s="198" t="s">
        <v>688</v>
      </c>
      <c r="H1206" s="163" t="s">
        <v>510</v>
      </c>
      <c r="I1206" s="161" t="n">
        <v>80</v>
      </c>
      <c r="J1206" s="156" t="s">
        <v>192</v>
      </c>
      <c r="K1206" s="200" t="n">
        <v>45452.8081712963</v>
      </c>
      <c r="L1206" s="1" t="n">
        <v>40</v>
      </c>
      <c r="M1206" s="156" t="s">
        <v>192</v>
      </c>
      <c r="N1206" s="1" t="n">
        <v>718</v>
      </c>
    </row>
    <row r="1207" customFormat="false" ht="14.25" hidden="false" customHeight="false" outlineLevel="0" collapsed="false">
      <c r="A1207" s="1" t="n">
        <v>177</v>
      </c>
      <c r="B1207" s="1" t="s">
        <v>702</v>
      </c>
      <c r="C1207" s="1" t="s">
        <v>703</v>
      </c>
      <c r="D1207" s="1" t="n">
        <v>11197</v>
      </c>
      <c r="E1207" s="1" t="s">
        <v>53</v>
      </c>
      <c r="F1207" s="201" t="n">
        <v>200025889791</v>
      </c>
      <c r="G1207" s="198" t="s">
        <v>688</v>
      </c>
      <c r="H1207" s="163" t="s">
        <v>510</v>
      </c>
      <c r="I1207" s="161" t="n">
        <v>80</v>
      </c>
      <c r="J1207" s="156" t="s">
        <v>192</v>
      </c>
      <c r="K1207" s="200" t="n">
        <v>45452.8088310185</v>
      </c>
      <c r="L1207" s="1" t="n">
        <v>1</v>
      </c>
      <c r="M1207" s="156" t="s">
        <v>192</v>
      </c>
      <c r="N1207" s="1" t="n">
        <v>719</v>
      </c>
    </row>
    <row r="1208" customFormat="false" ht="14.25" hidden="false" customHeight="false" outlineLevel="0" collapsed="false">
      <c r="A1208" s="1" t="n">
        <v>178</v>
      </c>
      <c r="B1208" s="1" t="s">
        <v>702</v>
      </c>
      <c r="C1208" s="1" t="s">
        <v>703</v>
      </c>
      <c r="D1208" s="1" t="n">
        <v>11197</v>
      </c>
      <c r="E1208" s="1" t="s">
        <v>53</v>
      </c>
      <c r="F1208" s="201" t="n">
        <v>200025889791</v>
      </c>
      <c r="G1208" s="198" t="s">
        <v>688</v>
      </c>
      <c r="H1208" s="163" t="s">
        <v>510</v>
      </c>
      <c r="I1208" s="161" t="n">
        <v>80</v>
      </c>
      <c r="J1208" s="156" t="s">
        <v>192</v>
      </c>
      <c r="K1208" s="200" t="n">
        <v>45452.8088541667</v>
      </c>
      <c r="L1208" s="1" t="n">
        <v>0</v>
      </c>
      <c r="M1208" s="156" t="s">
        <v>192</v>
      </c>
      <c r="N1208" s="1" t="n">
        <v>720</v>
      </c>
    </row>
    <row r="1209" customFormat="false" ht="14.25" hidden="false" customHeight="false" outlineLevel="0" collapsed="false">
      <c r="A1209" s="1" t="n">
        <v>179</v>
      </c>
      <c r="B1209" s="1" t="s">
        <v>702</v>
      </c>
      <c r="C1209" s="1" t="s">
        <v>703</v>
      </c>
      <c r="D1209" s="1" t="n">
        <v>11197</v>
      </c>
      <c r="E1209" s="1" t="s">
        <v>53</v>
      </c>
      <c r="F1209" s="201" t="n">
        <v>200025889791</v>
      </c>
      <c r="G1209" s="198" t="s">
        <v>688</v>
      </c>
      <c r="H1209" s="163" t="s">
        <v>510</v>
      </c>
      <c r="I1209" s="161" t="n">
        <v>80</v>
      </c>
      <c r="J1209" s="156" t="s">
        <v>192</v>
      </c>
      <c r="K1209" s="200" t="n">
        <v>45452.8095023148</v>
      </c>
      <c r="L1209" s="1" t="n">
        <v>2</v>
      </c>
      <c r="M1209" s="156" t="s">
        <v>192</v>
      </c>
      <c r="N1209" s="1" t="n">
        <v>721</v>
      </c>
    </row>
    <row r="1210" customFormat="false" ht="14.25" hidden="false" customHeight="false" outlineLevel="0" collapsed="false">
      <c r="A1210" s="1" t="n">
        <v>155</v>
      </c>
      <c r="B1210" s="1" t="s">
        <v>565</v>
      </c>
      <c r="C1210" s="1" t="s">
        <v>566</v>
      </c>
      <c r="D1210" s="1" t="n">
        <v>11171</v>
      </c>
      <c r="E1210" s="1" t="s">
        <v>55</v>
      </c>
      <c r="F1210" s="198" t="n">
        <v>200025889163</v>
      </c>
      <c r="G1210" s="198" t="s">
        <v>612</v>
      </c>
      <c r="H1210" s="163" t="s">
        <v>333</v>
      </c>
      <c r="I1210" s="161" t="n">
        <v>21</v>
      </c>
      <c r="J1210" s="156" t="s">
        <v>192</v>
      </c>
      <c r="K1210" s="199" t="n">
        <v>45452.8227662037</v>
      </c>
      <c r="L1210" s="1" t="n">
        <v>2</v>
      </c>
      <c r="M1210" s="156" t="s">
        <v>192</v>
      </c>
      <c r="N1210" s="1" t="n">
        <v>722</v>
      </c>
    </row>
    <row r="1211" customFormat="false" ht="14.25" hidden="false" customHeight="false" outlineLevel="0" collapsed="false">
      <c r="A1211" s="1" t="n">
        <v>156</v>
      </c>
      <c r="B1211" s="1" t="s">
        <v>565</v>
      </c>
      <c r="C1211" s="1" t="s">
        <v>566</v>
      </c>
      <c r="D1211" s="1" t="n">
        <v>11171</v>
      </c>
      <c r="E1211" s="1" t="s">
        <v>55</v>
      </c>
      <c r="F1211" s="198" t="n">
        <v>200025889163</v>
      </c>
      <c r="G1211" s="198" t="s">
        <v>612</v>
      </c>
      <c r="H1211" s="163" t="s">
        <v>333</v>
      </c>
      <c r="I1211" s="161" t="n">
        <v>21</v>
      </c>
      <c r="J1211" s="156" t="s">
        <v>192</v>
      </c>
      <c r="K1211" s="199" t="n">
        <v>45452.8235069444</v>
      </c>
      <c r="L1211" s="1" t="n">
        <v>3</v>
      </c>
      <c r="M1211" s="156" t="s">
        <v>192</v>
      </c>
      <c r="N1211" s="1" t="n">
        <v>723</v>
      </c>
    </row>
    <row r="1212" customFormat="false" ht="14.25" hidden="false" customHeight="false" outlineLevel="0" collapsed="false">
      <c r="A1212" s="1" t="n">
        <v>157</v>
      </c>
      <c r="B1212" s="1" t="s">
        <v>565</v>
      </c>
      <c r="C1212" s="1" t="s">
        <v>566</v>
      </c>
      <c r="D1212" s="1" t="n">
        <v>11171</v>
      </c>
      <c r="E1212" s="1" t="s">
        <v>55</v>
      </c>
      <c r="F1212" s="198" t="n">
        <v>200025889163</v>
      </c>
      <c r="G1212" s="198" t="s">
        <v>612</v>
      </c>
      <c r="H1212" s="163" t="s">
        <v>333</v>
      </c>
      <c r="I1212" s="161" t="n">
        <v>21</v>
      </c>
      <c r="J1212" s="156" t="s">
        <v>192</v>
      </c>
      <c r="K1212" s="199" t="n">
        <v>45452.8246064815</v>
      </c>
      <c r="L1212" s="1" t="n">
        <v>1</v>
      </c>
      <c r="M1212" s="156" t="s">
        <v>192</v>
      </c>
      <c r="N1212" s="1" t="n">
        <v>724</v>
      </c>
    </row>
    <row r="1213" customFormat="false" ht="14.25" hidden="false" customHeight="false" outlineLevel="0" collapsed="false">
      <c r="A1213" s="1" t="n">
        <v>158</v>
      </c>
      <c r="B1213" s="1" t="s">
        <v>565</v>
      </c>
      <c r="C1213" s="1" t="s">
        <v>566</v>
      </c>
      <c r="D1213" s="1" t="n">
        <v>11171</v>
      </c>
      <c r="E1213" s="1" t="s">
        <v>55</v>
      </c>
      <c r="F1213" s="198" t="n">
        <v>200025889163</v>
      </c>
      <c r="G1213" s="198" t="s">
        <v>612</v>
      </c>
      <c r="H1213" s="163" t="s">
        <v>333</v>
      </c>
      <c r="I1213" s="161" t="n">
        <v>21</v>
      </c>
      <c r="J1213" s="156" t="s">
        <v>192</v>
      </c>
      <c r="K1213" s="199" t="n">
        <v>45452.8259375</v>
      </c>
      <c r="L1213" s="1" t="n">
        <v>2</v>
      </c>
      <c r="M1213" s="156" t="s">
        <v>192</v>
      </c>
      <c r="N1213" s="1" t="n">
        <v>725</v>
      </c>
    </row>
    <row r="1214" customFormat="false" ht="14.25" hidden="false" customHeight="false" outlineLevel="0" collapsed="false">
      <c r="A1214" s="1" t="n">
        <v>159</v>
      </c>
      <c r="B1214" s="1" t="s">
        <v>565</v>
      </c>
      <c r="C1214" s="1" t="s">
        <v>566</v>
      </c>
      <c r="D1214" s="1" t="n">
        <v>11171</v>
      </c>
      <c r="E1214" s="1" t="s">
        <v>55</v>
      </c>
      <c r="F1214" s="198" t="n">
        <v>200025888224</v>
      </c>
      <c r="G1214" s="198" t="s">
        <v>656</v>
      </c>
      <c r="H1214" s="163" t="s">
        <v>245</v>
      </c>
      <c r="I1214" s="161" t="n">
        <v>8</v>
      </c>
      <c r="J1214" s="156" t="s">
        <v>192</v>
      </c>
      <c r="K1214" s="199" t="n">
        <v>45452.8344675926</v>
      </c>
      <c r="L1214" s="1" t="n">
        <v>2</v>
      </c>
      <c r="M1214" s="156" t="s">
        <v>192</v>
      </c>
      <c r="N1214" s="1" t="n">
        <v>726</v>
      </c>
    </row>
    <row r="1215" customFormat="false" ht="14.25" hidden="false" customHeight="false" outlineLevel="0" collapsed="false">
      <c r="A1215" s="1" t="n">
        <v>160</v>
      </c>
      <c r="B1215" s="1" t="s">
        <v>565</v>
      </c>
      <c r="C1215" s="1" t="s">
        <v>566</v>
      </c>
      <c r="D1215" s="1" t="n">
        <v>11171</v>
      </c>
      <c r="E1215" s="1" t="s">
        <v>55</v>
      </c>
      <c r="F1215" s="198" t="n">
        <v>200025888224</v>
      </c>
      <c r="G1215" s="198" t="s">
        <v>656</v>
      </c>
      <c r="H1215" s="163" t="s">
        <v>245</v>
      </c>
      <c r="I1215" s="161" t="n">
        <v>8</v>
      </c>
      <c r="J1215" s="156" t="s">
        <v>192</v>
      </c>
      <c r="K1215" s="199" t="n">
        <v>45452.8348842593</v>
      </c>
      <c r="L1215" s="1" t="n">
        <v>2</v>
      </c>
      <c r="M1215" s="156" t="s">
        <v>192</v>
      </c>
      <c r="N1215" s="1" t="n">
        <v>727</v>
      </c>
    </row>
    <row r="1216" customFormat="false" ht="14.25" hidden="false" customHeight="false" outlineLevel="0" collapsed="false">
      <c r="A1216" s="1" t="n">
        <v>161</v>
      </c>
      <c r="B1216" s="1" t="s">
        <v>565</v>
      </c>
      <c r="C1216" s="1" t="s">
        <v>566</v>
      </c>
      <c r="D1216" s="1" t="n">
        <v>11171</v>
      </c>
      <c r="E1216" s="1" t="s">
        <v>55</v>
      </c>
      <c r="F1216" s="198" t="n">
        <v>200025888224</v>
      </c>
      <c r="G1216" s="198" t="s">
        <v>656</v>
      </c>
      <c r="H1216" s="163" t="s">
        <v>245</v>
      </c>
      <c r="I1216" s="161" t="n">
        <v>8</v>
      </c>
      <c r="J1216" s="156" t="s">
        <v>192</v>
      </c>
      <c r="K1216" s="199" t="n">
        <v>45452.8351157407</v>
      </c>
      <c r="L1216" s="1" t="n">
        <v>1</v>
      </c>
      <c r="M1216" s="156" t="s">
        <v>192</v>
      </c>
      <c r="N1216" s="1" t="n">
        <v>728</v>
      </c>
    </row>
    <row r="1217" customFormat="false" ht="14.25" hidden="false" customHeight="false" outlineLevel="0" collapsed="false">
      <c r="A1217" s="1" t="n">
        <v>162</v>
      </c>
      <c r="B1217" s="1" t="s">
        <v>565</v>
      </c>
      <c r="C1217" s="1" t="s">
        <v>566</v>
      </c>
      <c r="D1217" s="1" t="n">
        <v>11171</v>
      </c>
      <c r="E1217" s="1" t="s">
        <v>55</v>
      </c>
      <c r="F1217" s="198" t="n">
        <v>200025888224</v>
      </c>
      <c r="G1217" s="198" t="s">
        <v>656</v>
      </c>
      <c r="H1217" s="163" t="s">
        <v>245</v>
      </c>
      <c r="I1217" s="161" t="n">
        <v>8</v>
      </c>
      <c r="J1217" s="156" t="s">
        <v>192</v>
      </c>
      <c r="K1217" s="199" t="n">
        <v>45452.8363194445</v>
      </c>
      <c r="L1217" s="1" t="n">
        <v>1</v>
      </c>
      <c r="M1217" s="156" t="s">
        <v>192</v>
      </c>
      <c r="N1217" s="1" t="n">
        <v>729</v>
      </c>
    </row>
    <row r="1218" customFormat="false" ht="14.25" hidden="false" customHeight="false" outlineLevel="0" collapsed="false">
      <c r="A1218" s="1" t="n">
        <v>163</v>
      </c>
      <c r="B1218" s="1" t="s">
        <v>565</v>
      </c>
      <c r="C1218" s="1" t="s">
        <v>566</v>
      </c>
      <c r="D1218" s="1" t="n">
        <v>11171</v>
      </c>
      <c r="E1218" s="1" t="s">
        <v>55</v>
      </c>
      <c r="F1218" s="198" t="n">
        <v>200025888224</v>
      </c>
      <c r="G1218" s="198" t="s">
        <v>656</v>
      </c>
      <c r="H1218" s="163" t="s">
        <v>245</v>
      </c>
      <c r="I1218" s="161" t="n">
        <v>8</v>
      </c>
      <c r="J1218" s="156" t="s">
        <v>192</v>
      </c>
      <c r="K1218" s="199" t="n">
        <v>45452.8363310185</v>
      </c>
      <c r="L1218" s="10" t="n">
        <v>1078</v>
      </c>
      <c r="M1218" s="156" t="s">
        <v>192</v>
      </c>
      <c r="N1218" s="1" t="n">
        <v>730</v>
      </c>
    </row>
    <row r="1219" customFormat="false" ht="14.25" hidden="false" customHeight="false" outlineLevel="0" collapsed="false">
      <c r="A1219" s="1" t="n">
        <v>180</v>
      </c>
      <c r="B1219" s="1" t="s">
        <v>702</v>
      </c>
      <c r="C1219" s="1" t="s">
        <v>703</v>
      </c>
      <c r="D1219" s="1" t="n">
        <v>11197</v>
      </c>
      <c r="E1219" s="1" t="s">
        <v>53</v>
      </c>
      <c r="F1219" s="201" t="n">
        <v>200025889791</v>
      </c>
      <c r="G1219" s="198" t="s">
        <v>688</v>
      </c>
      <c r="H1219" s="163" t="s">
        <v>510</v>
      </c>
      <c r="I1219" s="161" t="n">
        <v>80</v>
      </c>
      <c r="J1219" s="156" t="s">
        <v>192</v>
      </c>
      <c r="K1219" s="200" t="n">
        <v>45452.8485532407</v>
      </c>
      <c r="L1219" s="1" t="n">
        <v>0</v>
      </c>
      <c r="M1219" s="156" t="s">
        <v>192</v>
      </c>
      <c r="N1219" s="1" t="n">
        <v>731</v>
      </c>
    </row>
    <row r="1220" customFormat="false" ht="14.25" hidden="false" customHeight="false" outlineLevel="0" collapsed="false">
      <c r="A1220" s="1" t="n">
        <v>181</v>
      </c>
      <c r="B1220" s="1" t="s">
        <v>702</v>
      </c>
      <c r="C1220" s="1" t="s">
        <v>703</v>
      </c>
      <c r="D1220" s="1" t="n">
        <v>11197</v>
      </c>
      <c r="E1220" s="1" t="s">
        <v>53</v>
      </c>
      <c r="F1220" s="201" t="n">
        <v>200025889791</v>
      </c>
      <c r="G1220" s="198" t="s">
        <v>688</v>
      </c>
      <c r="H1220" s="163" t="s">
        <v>510</v>
      </c>
      <c r="I1220" s="161" t="n">
        <v>80</v>
      </c>
      <c r="J1220" s="156" t="s">
        <v>192</v>
      </c>
      <c r="K1220" s="200" t="n">
        <v>45452.8488078704</v>
      </c>
      <c r="L1220" s="1" t="n">
        <v>0</v>
      </c>
      <c r="M1220" s="156" t="s">
        <v>192</v>
      </c>
      <c r="N1220" s="1" t="n">
        <v>732</v>
      </c>
    </row>
    <row r="1221" customFormat="false" ht="14.25" hidden="false" customHeight="false" outlineLevel="0" collapsed="false">
      <c r="A1221" s="1" t="n">
        <v>182</v>
      </c>
      <c r="B1221" s="1" t="s">
        <v>702</v>
      </c>
      <c r="C1221" s="1" t="s">
        <v>703</v>
      </c>
      <c r="D1221" s="1" t="n">
        <v>11197</v>
      </c>
      <c r="E1221" s="1" t="s">
        <v>53</v>
      </c>
      <c r="F1221" s="201" t="n">
        <v>200025889791</v>
      </c>
      <c r="G1221" s="198" t="s">
        <v>688</v>
      </c>
      <c r="H1221" s="163" t="s">
        <v>510</v>
      </c>
      <c r="I1221" s="161" t="n">
        <v>80</v>
      </c>
      <c r="J1221" s="156" t="s">
        <v>192</v>
      </c>
      <c r="K1221" s="200" t="n">
        <v>45452.8488194444</v>
      </c>
      <c r="L1221" s="1" t="n">
        <v>0</v>
      </c>
      <c r="M1221" s="156" t="s">
        <v>192</v>
      </c>
      <c r="N1221" s="1" t="n">
        <v>733</v>
      </c>
    </row>
    <row r="1222" customFormat="false" ht="14.25" hidden="false" customHeight="false" outlineLevel="0" collapsed="false">
      <c r="A1222" s="1" t="n">
        <v>164</v>
      </c>
      <c r="B1222" s="1" t="s">
        <v>565</v>
      </c>
      <c r="C1222" s="1" t="s">
        <v>566</v>
      </c>
      <c r="D1222" s="1" t="n">
        <v>11171</v>
      </c>
      <c r="E1222" s="1" t="s">
        <v>55</v>
      </c>
      <c r="F1222" s="198" t="n">
        <v>200025888181</v>
      </c>
      <c r="G1222" s="198" t="s">
        <v>631</v>
      </c>
      <c r="H1222" s="163" t="s">
        <v>215</v>
      </c>
      <c r="I1222" s="161" t="n">
        <v>115</v>
      </c>
      <c r="J1222" s="156" t="s">
        <v>192</v>
      </c>
      <c r="K1222" s="199" t="n">
        <v>45452.8498148148</v>
      </c>
      <c r="L1222" s="1" t="n">
        <v>1</v>
      </c>
      <c r="M1222" s="156" t="s">
        <v>192</v>
      </c>
      <c r="N1222" s="1" t="n">
        <v>734</v>
      </c>
    </row>
    <row r="1223" customFormat="false" ht="14.25" hidden="false" customHeight="false" outlineLevel="0" collapsed="false">
      <c r="A1223" s="1" t="n">
        <v>165</v>
      </c>
      <c r="B1223" s="1" t="s">
        <v>565</v>
      </c>
      <c r="C1223" s="1" t="s">
        <v>566</v>
      </c>
      <c r="D1223" s="1" t="n">
        <v>11171</v>
      </c>
      <c r="E1223" s="1" t="s">
        <v>55</v>
      </c>
      <c r="F1223" s="198" t="n">
        <v>200025888181</v>
      </c>
      <c r="G1223" s="198" t="s">
        <v>631</v>
      </c>
      <c r="H1223" s="163" t="s">
        <v>215</v>
      </c>
      <c r="I1223" s="161" t="n">
        <v>115</v>
      </c>
      <c r="J1223" s="156" t="s">
        <v>192</v>
      </c>
      <c r="K1223" s="199" t="n">
        <v>45452.8499074074</v>
      </c>
      <c r="L1223" s="1" t="n">
        <v>1</v>
      </c>
      <c r="M1223" s="156" t="s">
        <v>192</v>
      </c>
      <c r="N1223" s="1" t="n">
        <v>735</v>
      </c>
    </row>
    <row r="1224" customFormat="false" ht="14.25" hidden="false" customHeight="false" outlineLevel="0" collapsed="false">
      <c r="A1224" s="1" t="n">
        <v>183</v>
      </c>
      <c r="B1224" s="1" t="s">
        <v>702</v>
      </c>
      <c r="C1224" s="1" t="s">
        <v>703</v>
      </c>
      <c r="D1224" s="1" t="n">
        <v>11197</v>
      </c>
      <c r="E1224" s="1" t="s">
        <v>53</v>
      </c>
      <c r="F1224" s="201" t="n">
        <v>200025888617</v>
      </c>
      <c r="G1224" s="198" t="s">
        <v>614</v>
      </c>
      <c r="H1224" s="163" t="s">
        <v>387</v>
      </c>
      <c r="I1224" s="161" t="n">
        <v>100</v>
      </c>
      <c r="J1224" s="156" t="s">
        <v>192</v>
      </c>
      <c r="K1224" s="200" t="n">
        <v>45452.8500462963</v>
      </c>
      <c r="L1224" s="1" t="n">
        <v>4</v>
      </c>
      <c r="M1224" s="156" t="s">
        <v>192</v>
      </c>
      <c r="N1224" s="1" t="n">
        <v>736</v>
      </c>
    </row>
    <row r="1225" customFormat="false" ht="14.25" hidden="false" customHeight="false" outlineLevel="0" collapsed="false">
      <c r="A1225" s="1" t="n">
        <v>184</v>
      </c>
      <c r="B1225" s="1" t="s">
        <v>702</v>
      </c>
      <c r="C1225" s="1" t="s">
        <v>703</v>
      </c>
      <c r="D1225" s="1" t="n">
        <v>11197</v>
      </c>
      <c r="E1225" s="1" t="s">
        <v>53</v>
      </c>
      <c r="F1225" s="201" t="n">
        <v>200025888617</v>
      </c>
      <c r="G1225" s="198" t="s">
        <v>614</v>
      </c>
      <c r="H1225" s="163" t="s">
        <v>387</v>
      </c>
      <c r="I1225" s="161" t="n">
        <v>100</v>
      </c>
      <c r="J1225" s="156" t="s">
        <v>192</v>
      </c>
      <c r="K1225" s="200" t="n">
        <v>45452.8503587963</v>
      </c>
      <c r="L1225" s="1" t="n">
        <v>2</v>
      </c>
      <c r="M1225" s="156" t="s">
        <v>192</v>
      </c>
      <c r="N1225" s="1" t="n">
        <v>737</v>
      </c>
    </row>
    <row r="1226" customFormat="false" ht="14.25" hidden="false" customHeight="false" outlineLevel="0" collapsed="false">
      <c r="A1226" s="1" t="n">
        <v>185</v>
      </c>
      <c r="B1226" s="1" t="s">
        <v>702</v>
      </c>
      <c r="C1226" s="1" t="s">
        <v>703</v>
      </c>
      <c r="D1226" s="1" t="n">
        <v>11197</v>
      </c>
      <c r="E1226" s="1" t="s">
        <v>53</v>
      </c>
      <c r="F1226" s="201" t="n">
        <v>200025888617</v>
      </c>
      <c r="G1226" s="198" t="s">
        <v>614</v>
      </c>
      <c r="H1226" s="163" t="s">
        <v>387</v>
      </c>
      <c r="I1226" s="161" t="n">
        <v>100</v>
      </c>
      <c r="J1226" s="156" t="s">
        <v>192</v>
      </c>
      <c r="K1226" s="200" t="n">
        <v>45452.8508564815</v>
      </c>
      <c r="L1226" s="1" t="n">
        <v>2</v>
      </c>
      <c r="M1226" s="156" t="s">
        <v>192</v>
      </c>
      <c r="N1226" s="1" t="n">
        <v>738</v>
      </c>
    </row>
    <row r="1227" customFormat="false" ht="14.25" hidden="false" customHeight="false" outlineLevel="0" collapsed="false">
      <c r="A1227" s="1" t="n">
        <v>166</v>
      </c>
      <c r="B1227" s="1" t="s">
        <v>565</v>
      </c>
      <c r="C1227" s="1" t="s">
        <v>566</v>
      </c>
      <c r="D1227" s="1" t="n">
        <v>11171</v>
      </c>
      <c r="E1227" s="1" t="s">
        <v>55</v>
      </c>
      <c r="F1227" s="198" t="n">
        <v>200025889163</v>
      </c>
      <c r="G1227" s="198" t="s">
        <v>612</v>
      </c>
      <c r="H1227" s="163" t="s">
        <v>333</v>
      </c>
      <c r="I1227" s="161" t="n">
        <v>21</v>
      </c>
      <c r="J1227" s="156" t="s">
        <v>192</v>
      </c>
      <c r="K1227" s="199" t="n">
        <v>45452.8510532407</v>
      </c>
      <c r="L1227" s="1" t="n">
        <v>2</v>
      </c>
      <c r="M1227" s="156" t="s">
        <v>192</v>
      </c>
      <c r="N1227" s="1" t="n">
        <v>739</v>
      </c>
    </row>
    <row r="1228" customFormat="false" ht="14.25" hidden="false" customHeight="false" outlineLevel="0" collapsed="false">
      <c r="A1228" s="1" t="n">
        <v>167</v>
      </c>
      <c r="B1228" s="1" t="s">
        <v>565</v>
      </c>
      <c r="C1228" s="1" t="s">
        <v>566</v>
      </c>
      <c r="D1228" s="1" t="n">
        <v>11171</v>
      </c>
      <c r="E1228" s="1" t="s">
        <v>55</v>
      </c>
      <c r="F1228" s="198" t="n">
        <v>200025889163</v>
      </c>
      <c r="G1228" s="198" t="s">
        <v>612</v>
      </c>
      <c r="H1228" s="163" t="s">
        <v>333</v>
      </c>
      <c r="I1228" s="161" t="n">
        <v>21</v>
      </c>
      <c r="J1228" s="156" t="s">
        <v>192</v>
      </c>
      <c r="K1228" s="199" t="n">
        <v>45452.8515162037</v>
      </c>
      <c r="L1228" s="1" t="n">
        <v>3</v>
      </c>
      <c r="M1228" s="156" t="s">
        <v>192</v>
      </c>
      <c r="N1228" s="1" t="n">
        <v>740</v>
      </c>
    </row>
    <row r="1229" customFormat="false" ht="14.25" hidden="false" customHeight="false" outlineLevel="0" collapsed="false">
      <c r="A1229" s="1" t="n">
        <v>168</v>
      </c>
      <c r="B1229" s="1" t="s">
        <v>565</v>
      </c>
      <c r="C1229" s="1" t="s">
        <v>566</v>
      </c>
      <c r="D1229" s="1" t="n">
        <v>11171</v>
      </c>
      <c r="E1229" s="1" t="s">
        <v>55</v>
      </c>
      <c r="F1229" s="198" t="n">
        <v>200025889163</v>
      </c>
      <c r="G1229" s="198" t="s">
        <v>612</v>
      </c>
      <c r="H1229" s="163" t="s">
        <v>333</v>
      </c>
      <c r="I1229" s="161" t="n">
        <v>21</v>
      </c>
      <c r="J1229" s="156" t="s">
        <v>192</v>
      </c>
      <c r="K1229" s="199" t="n">
        <v>45452.8516319444</v>
      </c>
      <c r="L1229" s="1" t="n">
        <v>2</v>
      </c>
      <c r="M1229" s="156" t="s">
        <v>192</v>
      </c>
      <c r="N1229" s="1" t="n">
        <v>741</v>
      </c>
    </row>
    <row r="1230" customFormat="false" ht="14.25" hidden="false" customHeight="false" outlineLevel="0" collapsed="false">
      <c r="A1230" s="1" t="n">
        <v>186</v>
      </c>
      <c r="B1230" s="1" t="s">
        <v>702</v>
      </c>
      <c r="C1230" s="1" t="s">
        <v>703</v>
      </c>
      <c r="D1230" s="1" t="n">
        <v>11197</v>
      </c>
      <c r="E1230" s="1" t="s">
        <v>53</v>
      </c>
      <c r="F1230" s="201" t="n">
        <v>200025888617</v>
      </c>
      <c r="G1230" s="198" t="s">
        <v>614</v>
      </c>
      <c r="H1230" s="163" t="s">
        <v>387</v>
      </c>
      <c r="I1230" s="161" t="n">
        <v>100</v>
      </c>
      <c r="J1230" s="156" t="s">
        <v>192</v>
      </c>
      <c r="K1230" s="200" t="n">
        <v>45452.8523958333</v>
      </c>
      <c r="L1230" s="1" t="n">
        <v>1</v>
      </c>
      <c r="M1230" s="156" t="s">
        <v>192</v>
      </c>
      <c r="N1230" s="1" t="n">
        <v>742</v>
      </c>
    </row>
    <row r="1231" customFormat="false" ht="14.25" hidden="false" customHeight="false" outlineLevel="0" collapsed="false">
      <c r="A1231" s="1" t="n">
        <v>169</v>
      </c>
      <c r="B1231" s="1" t="s">
        <v>565</v>
      </c>
      <c r="C1231" s="1" t="s">
        <v>566</v>
      </c>
      <c r="D1231" s="1" t="n">
        <v>11171</v>
      </c>
      <c r="E1231" s="1" t="s">
        <v>55</v>
      </c>
      <c r="F1231" s="198" t="n">
        <v>200025889163</v>
      </c>
      <c r="G1231" s="198" t="s">
        <v>612</v>
      </c>
      <c r="H1231" s="163" t="s">
        <v>333</v>
      </c>
      <c r="I1231" s="161" t="n">
        <v>21</v>
      </c>
      <c r="J1231" s="156" t="s">
        <v>192</v>
      </c>
      <c r="K1231" s="199" t="n">
        <v>45452.8525115741</v>
      </c>
      <c r="L1231" s="1" t="n">
        <v>0</v>
      </c>
      <c r="M1231" s="156" t="s">
        <v>192</v>
      </c>
      <c r="N1231" s="1" t="n">
        <v>743</v>
      </c>
    </row>
    <row r="1232" customFormat="false" ht="14.25" hidden="false" customHeight="false" outlineLevel="0" collapsed="false">
      <c r="A1232" s="1" t="n">
        <v>170</v>
      </c>
      <c r="B1232" s="1" t="s">
        <v>565</v>
      </c>
      <c r="C1232" s="1" t="s">
        <v>566</v>
      </c>
      <c r="D1232" s="1" t="n">
        <v>11171</v>
      </c>
      <c r="E1232" s="1" t="s">
        <v>55</v>
      </c>
      <c r="F1232" s="198" t="n">
        <v>200025889791</v>
      </c>
      <c r="G1232" s="198" t="s">
        <v>688</v>
      </c>
      <c r="H1232" s="163" t="s">
        <v>510</v>
      </c>
      <c r="I1232" s="161" t="n">
        <v>80</v>
      </c>
      <c r="J1232" s="156" t="s">
        <v>192</v>
      </c>
      <c r="K1232" s="199" t="n">
        <v>45452.8612037037</v>
      </c>
      <c r="L1232" s="1" t="n">
        <v>2</v>
      </c>
      <c r="M1232" s="156" t="s">
        <v>192</v>
      </c>
      <c r="N1232" s="1" t="n">
        <v>744</v>
      </c>
    </row>
    <row r="1233" customFormat="false" ht="14.25" hidden="false" customHeight="false" outlineLevel="0" collapsed="false">
      <c r="A1233" s="1" t="n">
        <v>171</v>
      </c>
      <c r="B1233" s="1" t="s">
        <v>565</v>
      </c>
      <c r="C1233" s="1" t="s">
        <v>566</v>
      </c>
      <c r="D1233" s="1" t="n">
        <v>11171</v>
      </c>
      <c r="E1233" s="1" t="s">
        <v>55</v>
      </c>
      <c r="F1233" s="198" t="n">
        <v>200025889791</v>
      </c>
      <c r="G1233" s="198" t="s">
        <v>688</v>
      </c>
      <c r="H1233" s="163" t="s">
        <v>510</v>
      </c>
      <c r="I1233" s="161" t="n">
        <v>80</v>
      </c>
      <c r="J1233" s="156" t="s">
        <v>192</v>
      </c>
      <c r="K1233" s="199" t="n">
        <v>45452.8646643519</v>
      </c>
      <c r="L1233" s="1" t="n">
        <v>0</v>
      </c>
      <c r="M1233" s="156" t="s">
        <v>192</v>
      </c>
      <c r="N1233" s="1" t="n">
        <v>745</v>
      </c>
    </row>
    <row r="1234" customFormat="false" ht="14.25" hidden="false" customHeight="false" outlineLevel="0" collapsed="false">
      <c r="A1234" s="1" t="n">
        <v>172</v>
      </c>
      <c r="B1234" s="1" t="s">
        <v>565</v>
      </c>
      <c r="C1234" s="1" t="s">
        <v>566</v>
      </c>
      <c r="D1234" s="1" t="n">
        <v>11171</v>
      </c>
      <c r="E1234" s="1" t="s">
        <v>55</v>
      </c>
      <c r="F1234" s="198" t="n">
        <v>200025889791</v>
      </c>
      <c r="G1234" s="198" t="s">
        <v>688</v>
      </c>
      <c r="H1234" s="163" t="s">
        <v>510</v>
      </c>
      <c r="I1234" s="161" t="n">
        <v>80</v>
      </c>
      <c r="J1234" s="156" t="s">
        <v>192</v>
      </c>
      <c r="K1234" s="199" t="n">
        <v>45452.866087963</v>
      </c>
      <c r="L1234" s="1" t="n">
        <v>0</v>
      </c>
      <c r="M1234" s="156" t="s">
        <v>192</v>
      </c>
      <c r="N1234" s="1" t="n">
        <v>746</v>
      </c>
    </row>
    <row r="1235" customFormat="false" ht="14.25" hidden="false" customHeight="false" outlineLevel="0" collapsed="false">
      <c r="A1235" s="1" t="n">
        <v>173</v>
      </c>
      <c r="B1235" s="1" t="s">
        <v>565</v>
      </c>
      <c r="C1235" s="1" t="s">
        <v>566</v>
      </c>
      <c r="D1235" s="1" t="n">
        <v>11171</v>
      </c>
      <c r="E1235" s="1" t="s">
        <v>55</v>
      </c>
      <c r="F1235" s="198" t="n">
        <v>200025889791</v>
      </c>
      <c r="G1235" s="198" t="s">
        <v>688</v>
      </c>
      <c r="H1235" s="163" t="s">
        <v>510</v>
      </c>
      <c r="I1235" s="161" t="n">
        <v>80</v>
      </c>
      <c r="J1235" s="156" t="s">
        <v>192</v>
      </c>
      <c r="K1235" s="199" t="n">
        <v>45452.8661111111</v>
      </c>
      <c r="L1235" s="1" t="n">
        <v>0</v>
      </c>
      <c r="M1235" s="156" t="s">
        <v>192</v>
      </c>
      <c r="N1235" s="1" t="n">
        <v>747</v>
      </c>
    </row>
    <row r="1236" customFormat="false" ht="14.25" hidden="false" customHeight="false" outlineLevel="0" collapsed="false">
      <c r="A1236" s="1" t="n">
        <v>174</v>
      </c>
      <c r="B1236" s="1" t="s">
        <v>565</v>
      </c>
      <c r="C1236" s="1" t="s">
        <v>566</v>
      </c>
      <c r="D1236" s="1" t="n">
        <v>11171</v>
      </c>
      <c r="E1236" s="1" t="s">
        <v>55</v>
      </c>
      <c r="F1236" s="198" t="n">
        <v>200025889163</v>
      </c>
      <c r="G1236" s="198" t="s">
        <v>612</v>
      </c>
      <c r="H1236" s="163" t="s">
        <v>333</v>
      </c>
      <c r="I1236" s="161" t="n">
        <v>21</v>
      </c>
      <c r="J1236" s="156" t="s">
        <v>192</v>
      </c>
      <c r="K1236" s="199" t="n">
        <v>45452.8702893519</v>
      </c>
      <c r="L1236" s="1" t="n">
        <v>2</v>
      </c>
      <c r="M1236" s="156" t="s">
        <v>192</v>
      </c>
      <c r="N1236" s="1" t="n">
        <v>748</v>
      </c>
    </row>
    <row r="1237" customFormat="false" ht="14.25" hidden="false" customHeight="false" outlineLevel="0" collapsed="false">
      <c r="A1237" s="1" t="n">
        <v>187</v>
      </c>
      <c r="B1237" s="1" t="s">
        <v>702</v>
      </c>
      <c r="C1237" s="1" t="s">
        <v>703</v>
      </c>
      <c r="D1237" s="1" t="n">
        <v>11197</v>
      </c>
      <c r="E1237" s="1" t="s">
        <v>53</v>
      </c>
      <c r="F1237" s="201" t="n">
        <v>200025888617</v>
      </c>
      <c r="G1237" s="198" t="s">
        <v>614</v>
      </c>
      <c r="H1237" s="163" t="s">
        <v>387</v>
      </c>
      <c r="I1237" s="161" t="n">
        <v>100</v>
      </c>
      <c r="J1237" s="156" t="s">
        <v>192</v>
      </c>
      <c r="K1237" s="200" t="n">
        <v>45452.8842013889</v>
      </c>
      <c r="L1237" s="1" t="n">
        <v>1</v>
      </c>
      <c r="M1237" s="156" t="s">
        <v>192</v>
      </c>
      <c r="N1237" s="1" t="n">
        <v>749</v>
      </c>
    </row>
    <row r="1238" customFormat="false" ht="14.25" hidden="false" customHeight="false" outlineLevel="0" collapsed="false">
      <c r="A1238" s="1" t="n">
        <v>188</v>
      </c>
      <c r="B1238" s="1" t="s">
        <v>702</v>
      </c>
      <c r="C1238" s="1" t="s">
        <v>703</v>
      </c>
      <c r="D1238" s="1" t="n">
        <v>11197</v>
      </c>
      <c r="E1238" s="1" t="s">
        <v>53</v>
      </c>
      <c r="F1238" s="201" t="n">
        <v>200025888617</v>
      </c>
      <c r="G1238" s="198" t="s">
        <v>614</v>
      </c>
      <c r="H1238" s="163" t="s">
        <v>387</v>
      </c>
      <c r="I1238" s="161" t="n">
        <v>100</v>
      </c>
      <c r="J1238" s="156" t="s">
        <v>192</v>
      </c>
      <c r="K1238" s="200" t="n">
        <v>45452.8847685185</v>
      </c>
      <c r="L1238" s="1" t="n">
        <v>0</v>
      </c>
      <c r="M1238" s="156" t="s">
        <v>192</v>
      </c>
      <c r="N1238" s="1" t="n">
        <v>750</v>
      </c>
    </row>
    <row r="1239" customFormat="false" ht="14.25" hidden="false" customHeight="false" outlineLevel="0" collapsed="false">
      <c r="A1239" s="1" t="n">
        <v>189</v>
      </c>
      <c r="B1239" s="1" t="s">
        <v>702</v>
      </c>
      <c r="C1239" s="1" t="s">
        <v>703</v>
      </c>
      <c r="D1239" s="1" t="n">
        <v>11197</v>
      </c>
      <c r="E1239" s="1" t="s">
        <v>53</v>
      </c>
      <c r="F1239" s="201" t="n">
        <v>200025888617</v>
      </c>
      <c r="G1239" s="198" t="s">
        <v>614</v>
      </c>
      <c r="H1239" s="163" t="s">
        <v>387</v>
      </c>
      <c r="I1239" s="161" t="n">
        <v>100</v>
      </c>
      <c r="J1239" s="156" t="s">
        <v>192</v>
      </c>
      <c r="K1239" s="200" t="n">
        <v>45452.885625</v>
      </c>
      <c r="L1239" s="1" t="n">
        <v>3</v>
      </c>
      <c r="M1239" s="156" t="s">
        <v>192</v>
      </c>
      <c r="N1239" s="1" t="n">
        <v>751</v>
      </c>
    </row>
    <row r="1240" customFormat="false" ht="14.25" hidden="false" customHeight="false" outlineLevel="0" collapsed="false">
      <c r="A1240" s="1" t="n">
        <v>175</v>
      </c>
      <c r="B1240" s="1" t="s">
        <v>565</v>
      </c>
      <c r="C1240" s="1" t="s">
        <v>566</v>
      </c>
      <c r="D1240" s="1" t="n">
        <v>11171</v>
      </c>
      <c r="E1240" s="1" t="s">
        <v>55</v>
      </c>
      <c r="F1240" s="198" t="n">
        <v>200025889791</v>
      </c>
      <c r="G1240" s="198" t="s">
        <v>688</v>
      </c>
      <c r="H1240" s="163" t="s">
        <v>510</v>
      </c>
      <c r="I1240" s="161" t="n">
        <v>80</v>
      </c>
      <c r="J1240" s="156" t="s">
        <v>192</v>
      </c>
      <c r="K1240" s="199" t="n">
        <v>45452.8917476852</v>
      </c>
      <c r="L1240" s="1" t="n">
        <v>1</v>
      </c>
      <c r="M1240" s="156" t="s">
        <v>192</v>
      </c>
      <c r="N1240" s="1" t="n">
        <v>752</v>
      </c>
    </row>
    <row r="1241" customFormat="false" ht="14.25" hidden="false" customHeight="false" outlineLevel="0" collapsed="false">
      <c r="A1241" s="1" t="n">
        <v>176</v>
      </c>
      <c r="B1241" s="1" t="s">
        <v>565</v>
      </c>
      <c r="C1241" s="1" t="s">
        <v>566</v>
      </c>
      <c r="D1241" s="1" t="n">
        <v>11171</v>
      </c>
      <c r="E1241" s="1" t="s">
        <v>55</v>
      </c>
      <c r="F1241" s="198" t="n">
        <v>200025889163</v>
      </c>
      <c r="G1241" s="198" t="s">
        <v>612</v>
      </c>
      <c r="H1241" s="163" t="s">
        <v>333</v>
      </c>
      <c r="I1241" s="161" t="n">
        <v>21</v>
      </c>
      <c r="J1241" s="156" t="s">
        <v>192</v>
      </c>
      <c r="K1241" s="199" t="n">
        <v>45452.8957407407</v>
      </c>
      <c r="L1241" s="1" t="n">
        <v>2</v>
      </c>
      <c r="M1241" s="156" t="s">
        <v>192</v>
      </c>
      <c r="N1241" s="1" t="n">
        <v>753</v>
      </c>
    </row>
    <row r="1242" customFormat="false" ht="14.25" hidden="false" customHeight="false" outlineLevel="0" collapsed="false">
      <c r="A1242" s="1" t="n">
        <v>190</v>
      </c>
      <c r="B1242" s="1" t="s">
        <v>702</v>
      </c>
      <c r="C1242" s="1" t="s">
        <v>703</v>
      </c>
      <c r="D1242" s="1" t="n">
        <v>11197</v>
      </c>
      <c r="E1242" s="1" t="s">
        <v>53</v>
      </c>
      <c r="F1242" s="201" t="n">
        <v>200025889791</v>
      </c>
      <c r="G1242" s="198" t="s">
        <v>688</v>
      </c>
      <c r="H1242" s="163" t="s">
        <v>510</v>
      </c>
      <c r="I1242" s="161" t="n">
        <v>80</v>
      </c>
      <c r="J1242" s="156" t="s">
        <v>192</v>
      </c>
      <c r="K1242" s="200" t="n">
        <v>45452.911712963</v>
      </c>
      <c r="L1242" s="1" t="n">
        <v>2</v>
      </c>
      <c r="M1242" s="156" t="s">
        <v>192</v>
      </c>
      <c r="N1242" s="1" t="n">
        <v>754</v>
      </c>
    </row>
    <row r="1243" customFormat="false" ht="14.25" hidden="false" customHeight="false" outlineLevel="0" collapsed="false">
      <c r="A1243" s="1" t="n">
        <v>191</v>
      </c>
      <c r="B1243" s="1" t="s">
        <v>702</v>
      </c>
      <c r="C1243" s="1" t="s">
        <v>703</v>
      </c>
      <c r="D1243" s="1" t="n">
        <v>11197</v>
      </c>
      <c r="E1243" s="1" t="s">
        <v>53</v>
      </c>
      <c r="F1243" s="201" t="n">
        <v>200025889791</v>
      </c>
      <c r="G1243" s="198" t="s">
        <v>688</v>
      </c>
      <c r="H1243" s="163" t="s">
        <v>510</v>
      </c>
      <c r="I1243" s="161" t="n">
        <v>80</v>
      </c>
      <c r="J1243" s="156" t="s">
        <v>192</v>
      </c>
      <c r="K1243" s="200" t="n">
        <v>45452.912337963</v>
      </c>
      <c r="L1243" s="1" t="n">
        <v>1</v>
      </c>
      <c r="M1243" s="156" t="s">
        <v>192</v>
      </c>
      <c r="N1243" s="1" t="n">
        <v>755</v>
      </c>
    </row>
    <row r="1244" customFormat="false" ht="14.25" hidden="false" customHeight="false" outlineLevel="0" collapsed="false">
      <c r="A1244" s="1" t="n">
        <v>192</v>
      </c>
      <c r="B1244" s="1" t="s">
        <v>702</v>
      </c>
      <c r="C1244" s="1" t="s">
        <v>703</v>
      </c>
      <c r="D1244" s="1" t="n">
        <v>11197</v>
      </c>
      <c r="E1244" s="1" t="s">
        <v>53</v>
      </c>
      <c r="F1244" s="201" t="n">
        <v>200025889791</v>
      </c>
      <c r="G1244" s="198" t="s">
        <v>688</v>
      </c>
      <c r="H1244" s="163" t="s">
        <v>510</v>
      </c>
      <c r="I1244" s="161" t="n">
        <v>80</v>
      </c>
      <c r="J1244" s="156" t="s">
        <v>192</v>
      </c>
      <c r="K1244" s="200" t="n">
        <v>45452.9123611111</v>
      </c>
      <c r="L1244" s="1" t="n">
        <v>0</v>
      </c>
      <c r="M1244" s="156" t="s">
        <v>192</v>
      </c>
      <c r="N1244" s="1" t="n">
        <v>756</v>
      </c>
    </row>
    <row r="1245" customFormat="false" ht="14.25" hidden="false" customHeight="false" outlineLevel="0" collapsed="false">
      <c r="A1245" s="1" t="n">
        <v>193</v>
      </c>
      <c r="B1245" s="1" t="s">
        <v>702</v>
      </c>
      <c r="C1245" s="1" t="s">
        <v>703</v>
      </c>
      <c r="D1245" s="1" t="n">
        <v>11197</v>
      </c>
      <c r="E1245" s="1" t="s">
        <v>53</v>
      </c>
      <c r="F1245" s="201" t="n">
        <v>200025889791</v>
      </c>
      <c r="G1245" s="198" t="s">
        <v>688</v>
      </c>
      <c r="H1245" s="163" t="s">
        <v>510</v>
      </c>
      <c r="I1245" s="161" t="n">
        <v>80</v>
      </c>
      <c r="J1245" s="156" t="s">
        <v>192</v>
      </c>
      <c r="K1245" s="200" t="n">
        <v>45452.9123726852</v>
      </c>
      <c r="L1245" s="1" t="n">
        <v>0</v>
      </c>
      <c r="M1245" s="156" t="s">
        <v>192</v>
      </c>
      <c r="N1245" s="1" t="n">
        <v>757</v>
      </c>
    </row>
    <row r="1246" customFormat="false" ht="14.25" hidden="false" customHeight="false" outlineLevel="0" collapsed="false">
      <c r="A1246" s="1" t="n">
        <v>194</v>
      </c>
      <c r="B1246" s="1" t="s">
        <v>702</v>
      </c>
      <c r="C1246" s="1" t="s">
        <v>703</v>
      </c>
      <c r="D1246" s="1" t="n">
        <v>11197</v>
      </c>
      <c r="E1246" s="1" t="s">
        <v>53</v>
      </c>
      <c r="F1246" s="201" t="n">
        <v>200025889791</v>
      </c>
      <c r="G1246" s="198" t="s">
        <v>688</v>
      </c>
      <c r="H1246" s="163" t="s">
        <v>510</v>
      </c>
      <c r="I1246" s="161" t="n">
        <v>80</v>
      </c>
      <c r="J1246" s="156" t="s">
        <v>192</v>
      </c>
      <c r="K1246" s="200" t="n">
        <v>45452.9127662037</v>
      </c>
      <c r="L1246" s="1" t="n">
        <v>2</v>
      </c>
      <c r="M1246" s="156" t="s">
        <v>192</v>
      </c>
      <c r="N1246" s="1" t="n">
        <v>758</v>
      </c>
    </row>
    <row r="1247" customFormat="false" ht="14.25" hidden="false" customHeight="false" outlineLevel="0" collapsed="false">
      <c r="A1247" s="1" t="n">
        <v>195</v>
      </c>
      <c r="B1247" s="1" t="s">
        <v>702</v>
      </c>
      <c r="C1247" s="1" t="s">
        <v>703</v>
      </c>
      <c r="D1247" s="1" t="n">
        <v>11197</v>
      </c>
      <c r="E1247" s="1" t="s">
        <v>53</v>
      </c>
      <c r="F1247" s="201" t="n">
        <v>200025889791</v>
      </c>
      <c r="G1247" s="198" t="s">
        <v>688</v>
      </c>
      <c r="H1247" s="163" t="s">
        <v>510</v>
      </c>
      <c r="I1247" s="161" t="n">
        <v>80</v>
      </c>
      <c r="J1247" s="156" t="s">
        <v>192</v>
      </c>
      <c r="K1247" s="200" t="n">
        <v>45452.9130787037</v>
      </c>
      <c r="L1247" s="1" t="n">
        <v>1</v>
      </c>
      <c r="M1247" s="156" t="s">
        <v>192</v>
      </c>
      <c r="N1247" s="1" t="n">
        <v>759</v>
      </c>
    </row>
    <row r="1248" customFormat="false" ht="14.25" hidden="false" customHeight="false" outlineLevel="0" collapsed="false">
      <c r="A1248" s="1" t="n">
        <v>196</v>
      </c>
      <c r="B1248" s="1" t="s">
        <v>702</v>
      </c>
      <c r="C1248" s="1" t="s">
        <v>703</v>
      </c>
      <c r="D1248" s="1" t="n">
        <v>11197</v>
      </c>
      <c r="E1248" s="1" t="s">
        <v>53</v>
      </c>
      <c r="F1248" s="201" t="n">
        <v>200025889791</v>
      </c>
      <c r="G1248" s="198" t="s">
        <v>688</v>
      </c>
      <c r="H1248" s="163" t="s">
        <v>510</v>
      </c>
      <c r="I1248" s="161" t="n">
        <v>80</v>
      </c>
      <c r="J1248" s="156" t="s">
        <v>192</v>
      </c>
      <c r="K1248" s="200" t="n">
        <v>45452.9132291667</v>
      </c>
      <c r="L1248" s="1" t="n">
        <v>0</v>
      </c>
      <c r="M1248" s="156" t="s">
        <v>192</v>
      </c>
      <c r="N1248" s="1" t="n">
        <v>760</v>
      </c>
    </row>
    <row r="1249" customFormat="false" ht="14.25" hidden="false" customHeight="false" outlineLevel="0" collapsed="false">
      <c r="A1249" s="1" t="n">
        <v>197</v>
      </c>
      <c r="B1249" s="1" t="s">
        <v>702</v>
      </c>
      <c r="C1249" s="1" t="s">
        <v>703</v>
      </c>
      <c r="D1249" s="1" t="n">
        <v>11197</v>
      </c>
      <c r="E1249" s="1" t="s">
        <v>53</v>
      </c>
      <c r="F1249" s="201" t="n">
        <v>200025889791</v>
      </c>
      <c r="G1249" s="198" t="s">
        <v>688</v>
      </c>
      <c r="H1249" s="163" t="s">
        <v>510</v>
      </c>
      <c r="I1249" s="161" t="n">
        <v>80</v>
      </c>
      <c r="J1249" s="156" t="s">
        <v>192</v>
      </c>
      <c r="K1249" s="200" t="n">
        <v>45452.9132291667</v>
      </c>
      <c r="L1249" s="1" t="n">
        <v>1</v>
      </c>
      <c r="M1249" s="156" t="s">
        <v>192</v>
      </c>
      <c r="N1249" s="1" t="n">
        <v>761</v>
      </c>
    </row>
    <row r="1250" customFormat="false" ht="14.25" hidden="false" customHeight="false" outlineLevel="0" collapsed="false">
      <c r="A1250" s="1" t="n">
        <v>177</v>
      </c>
      <c r="B1250" s="1" t="s">
        <v>565</v>
      </c>
      <c r="C1250" s="1" t="s">
        <v>566</v>
      </c>
      <c r="D1250" s="1" t="n">
        <v>11171</v>
      </c>
      <c r="E1250" s="1" t="s">
        <v>55</v>
      </c>
      <c r="F1250" s="198" t="n">
        <v>200025889163</v>
      </c>
      <c r="G1250" s="198" t="s">
        <v>612</v>
      </c>
      <c r="H1250" s="163" t="s">
        <v>333</v>
      </c>
      <c r="I1250" s="161" t="n">
        <v>21</v>
      </c>
      <c r="J1250" s="156" t="s">
        <v>192</v>
      </c>
      <c r="K1250" s="199" t="n">
        <v>45452.9284375</v>
      </c>
      <c r="L1250" s="1" t="n">
        <v>1</v>
      </c>
      <c r="M1250" s="156" t="s">
        <v>192</v>
      </c>
      <c r="N1250" s="1" t="n">
        <v>762</v>
      </c>
    </row>
    <row r="1251" customFormat="false" ht="14.25" hidden="false" customHeight="false" outlineLevel="0" collapsed="false">
      <c r="A1251" s="1" t="n">
        <v>198</v>
      </c>
      <c r="B1251" s="1" t="s">
        <v>702</v>
      </c>
      <c r="C1251" s="1" t="s">
        <v>703</v>
      </c>
      <c r="D1251" s="1" t="n">
        <v>11197</v>
      </c>
      <c r="E1251" s="1" t="s">
        <v>53</v>
      </c>
      <c r="F1251" s="201" t="n">
        <v>200025888617</v>
      </c>
      <c r="G1251" s="198" t="s">
        <v>614</v>
      </c>
      <c r="H1251" s="163" t="s">
        <v>387</v>
      </c>
      <c r="I1251" s="161" t="n">
        <v>100</v>
      </c>
      <c r="J1251" s="156" t="s">
        <v>192</v>
      </c>
      <c r="K1251" s="200" t="n">
        <v>45452.9383333333</v>
      </c>
      <c r="L1251" s="1" t="n">
        <v>1</v>
      </c>
      <c r="M1251" s="156" t="s">
        <v>192</v>
      </c>
      <c r="N1251" s="1" t="n">
        <v>763</v>
      </c>
    </row>
    <row r="1252" customFormat="false" ht="14.25" hidden="false" customHeight="false" outlineLevel="0" collapsed="false">
      <c r="A1252" s="1" t="n">
        <v>178</v>
      </c>
      <c r="B1252" s="1" t="s">
        <v>565</v>
      </c>
      <c r="C1252" s="1" t="s">
        <v>566</v>
      </c>
      <c r="D1252" s="1" t="n">
        <v>11171</v>
      </c>
      <c r="E1252" s="1" t="s">
        <v>55</v>
      </c>
      <c r="F1252" s="198" t="n">
        <v>200025889163</v>
      </c>
      <c r="G1252" s="198" t="s">
        <v>612</v>
      </c>
      <c r="H1252" s="163" t="s">
        <v>333</v>
      </c>
      <c r="I1252" s="161" t="n">
        <v>21</v>
      </c>
      <c r="J1252" s="156" t="s">
        <v>192</v>
      </c>
      <c r="K1252" s="199" t="n">
        <v>45452.9459143519</v>
      </c>
      <c r="L1252" s="1" t="n">
        <v>3</v>
      </c>
      <c r="M1252" s="156" t="s">
        <v>192</v>
      </c>
      <c r="N1252" s="1" t="n">
        <v>764</v>
      </c>
    </row>
    <row r="1253" customFormat="false" ht="14.25" hidden="false" customHeight="false" outlineLevel="0" collapsed="false">
      <c r="A1253" s="1" t="n">
        <v>179</v>
      </c>
      <c r="B1253" s="1" t="s">
        <v>565</v>
      </c>
      <c r="C1253" s="1" t="s">
        <v>566</v>
      </c>
      <c r="D1253" s="1" t="n">
        <v>11171</v>
      </c>
      <c r="E1253" s="1" t="s">
        <v>55</v>
      </c>
      <c r="F1253" s="198" t="n">
        <v>200025889163</v>
      </c>
      <c r="G1253" s="198" t="s">
        <v>612</v>
      </c>
      <c r="H1253" s="163" t="s">
        <v>333</v>
      </c>
      <c r="I1253" s="161" t="n">
        <v>21</v>
      </c>
      <c r="J1253" s="156" t="s">
        <v>192</v>
      </c>
      <c r="K1253" s="199" t="n">
        <v>45452.9467939815</v>
      </c>
      <c r="L1253" s="1" t="n">
        <v>1</v>
      </c>
      <c r="M1253" s="156" t="s">
        <v>192</v>
      </c>
      <c r="N1253" s="1" t="n">
        <v>765</v>
      </c>
    </row>
    <row r="1254" customFormat="false" ht="14.25" hidden="false" customHeight="false" outlineLevel="0" collapsed="false">
      <c r="A1254" s="1" t="n">
        <v>180</v>
      </c>
      <c r="B1254" s="1" t="s">
        <v>565</v>
      </c>
      <c r="C1254" s="1" t="s">
        <v>566</v>
      </c>
      <c r="D1254" s="1" t="n">
        <v>11171</v>
      </c>
      <c r="E1254" s="1" t="s">
        <v>55</v>
      </c>
      <c r="F1254" s="198" t="n">
        <v>200025889098</v>
      </c>
      <c r="G1254" s="198" t="s">
        <v>689</v>
      </c>
      <c r="H1254" s="163" t="s">
        <v>433</v>
      </c>
      <c r="I1254" s="161" t="n">
        <v>46</v>
      </c>
      <c r="J1254" s="156" t="s">
        <v>192</v>
      </c>
      <c r="K1254" s="199" t="n">
        <v>45452.9536805556</v>
      </c>
      <c r="L1254" s="1" t="n">
        <v>2</v>
      </c>
      <c r="M1254" s="156" t="s">
        <v>192</v>
      </c>
      <c r="N1254" s="1" t="n">
        <v>766</v>
      </c>
    </row>
    <row r="1255" customFormat="false" ht="14.25" hidden="false" customHeight="false" outlineLevel="0" collapsed="false">
      <c r="A1255" s="1" t="n">
        <v>199</v>
      </c>
      <c r="B1255" s="1" t="s">
        <v>702</v>
      </c>
      <c r="C1255" s="1" t="s">
        <v>703</v>
      </c>
      <c r="D1255" s="1" t="n">
        <v>11197</v>
      </c>
      <c r="E1255" s="1" t="s">
        <v>53</v>
      </c>
      <c r="F1255" s="201" t="n">
        <v>200025888224</v>
      </c>
      <c r="G1255" s="198" t="s">
        <v>656</v>
      </c>
      <c r="H1255" s="163" t="s">
        <v>245</v>
      </c>
      <c r="I1255" s="161" t="n">
        <v>8</v>
      </c>
      <c r="J1255" s="156" t="s">
        <v>192</v>
      </c>
      <c r="K1255" s="200" t="n">
        <v>45452.9663310185</v>
      </c>
      <c r="L1255" s="1" t="n">
        <v>1</v>
      </c>
      <c r="M1255" s="156" t="s">
        <v>192</v>
      </c>
      <c r="N1255" s="1" t="n">
        <v>767</v>
      </c>
    </row>
    <row r="1256" customFormat="false" ht="14.25" hidden="false" customHeight="false" outlineLevel="0" collapsed="false">
      <c r="A1256" s="1" t="n">
        <v>200</v>
      </c>
      <c r="B1256" s="1" t="s">
        <v>702</v>
      </c>
      <c r="C1256" s="1" t="s">
        <v>703</v>
      </c>
      <c r="D1256" s="1" t="n">
        <v>11197</v>
      </c>
      <c r="E1256" s="1" t="s">
        <v>53</v>
      </c>
      <c r="F1256" s="201" t="n">
        <v>200025888224</v>
      </c>
      <c r="G1256" s="198" t="s">
        <v>656</v>
      </c>
      <c r="H1256" s="163" t="s">
        <v>245</v>
      </c>
      <c r="I1256" s="161" t="n">
        <v>8</v>
      </c>
      <c r="J1256" s="156" t="s">
        <v>192</v>
      </c>
      <c r="K1256" s="200" t="n">
        <v>45452.968912037</v>
      </c>
      <c r="L1256" s="1" t="n">
        <v>0</v>
      </c>
      <c r="M1256" s="156" t="s">
        <v>192</v>
      </c>
      <c r="N1256" s="1" t="n">
        <v>768</v>
      </c>
    </row>
    <row r="1257" customFormat="false" ht="14.25" hidden="false" customHeight="false" outlineLevel="0" collapsed="false">
      <c r="A1257" s="1" t="n">
        <v>201</v>
      </c>
      <c r="B1257" s="1" t="s">
        <v>702</v>
      </c>
      <c r="C1257" s="1" t="s">
        <v>703</v>
      </c>
      <c r="D1257" s="1" t="n">
        <v>11197</v>
      </c>
      <c r="E1257" s="1" t="s">
        <v>53</v>
      </c>
      <c r="F1257" s="201" t="n">
        <v>200025888224</v>
      </c>
      <c r="G1257" s="198" t="s">
        <v>656</v>
      </c>
      <c r="H1257" s="163" t="s">
        <v>245</v>
      </c>
      <c r="I1257" s="161" t="n">
        <v>8</v>
      </c>
      <c r="J1257" s="156" t="s">
        <v>192</v>
      </c>
      <c r="K1257" s="200" t="n">
        <v>45452.9689236111</v>
      </c>
      <c r="L1257" s="207" t="n">
        <v>244</v>
      </c>
      <c r="M1257" s="156" t="s">
        <v>192</v>
      </c>
      <c r="N1257" s="1" t="n">
        <v>769</v>
      </c>
    </row>
    <row r="1258" customFormat="false" ht="14.25" hidden="false" customHeight="false" outlineLevel="0" collapsed="false">
      <c r="A1258" s="1" t="n">
        <v>202</v>
      </c>
      <c r="B1258" s="1" t="s">
        <v>702</v>
      </c>
      <c r="C1258" s="1" t="s">
        <v>703</v>
      </c>
      <c r="D1258" s="1" t="n">
        <v>11197</v>
      </c>
      <c r="E1258" s="1" t="s">
        <v>53</v>
      </c>
      <c r="F1258" s="201" t="n">
        <v>200025889098</v>
      </c>
      <c r="G1258" s="198" t="s">
        <v>689</v>
      </c>
      <c r="H1258" s="163" t="s">
        <v>433</v>
      </c>
      <c r="I1258" s="161" t="n">
        <v>46</v>
      </c>
      <c r="J1258" s="156" t="s">
        <v>192</v>
      </c>
      <c r="K1258" s="200" t="n">
        <v>45452.9717592593</v>
      </c>
      <c r="L1258" s="1" t="n">
        <v>0</v>
      </c>
      <c r="M1258" s="156" t="s">
        <v>192</v>
      </c>
      <c r="N1258" s="1" t="n">
        <v>770</v>
      </c>
    </row>
    <row r="1259" customFormat="false" ht="14.25" hidden="false" customHeight="false" outlineLevel="0" collapsed="false">
      <c r="A1259" s="1" t="n">
        <v>181</v>
      </c>
      <c r="B1259" s="1" t="s">
        <v>565</v>
      </c>
      <c r="C1259" s="1" t="s">
        <v>566</v>
      </c>
      <c r="D1259" s="1" t="n">
        <v>11171</v>
      </c>
      <c r="E1259" s="1" t="s">
        <v>55</v>
      </c>
      <c r="F1259" s="198" t="n">
        <v>200025889163</v>
      </c>
      <c r="G1259" s="198" t="s">
        <v>612</v>
      </c>
      <c r="H1259" s="163" t="s">
        <v>333</v>
      </c>
      <c r="I1259" s="161" t="n">
        <v>21</v>
      </c>
      <c r="J1259" s="156" t="s">
        <v>192</v>
      </c>
      <c r="K1259" s="199" t="n">
        <v>45452.9936342593</v>
      </c>
      <c r="L1259" s="1" t="n">
        <v>3</v>
      </c>
      <c r="M1259" s="156" t="s">
        <v>192</v>
      </c>
      <c r="N1259" s="1" t="n">
        <v>771</v>
      </c>
    </row>
    <row r="1260" customFormat="false" ht="14.25" hidden="false" customHeight="false" outlineLevel="0" collapsed="false">
      <c r="A1260" s="1" t="n">
        <v>182</v>
      </c>
      <c r="B1260" s="1" t="s">
        <v>565</v>
      </c>
      <c r="C1260" s="1" t="s">
        <v>566</v>
      </c>
      <c r="D1260" s="1" t="n">
        <v>11171</v>
      </c>
      <c r="E1260" s="1" t="s">
        <v>55</v>
      </c>
      <c r="F1260" s="198" t="n">
        <v>200025889163</v>
      </c>
      <c r="G1260" s="198" t="s">
        <v>612</v>
      </c>
      <c r="H1260" s="163" t="s">
        <v>333</v>
      </c>
      <c r="I1260" s="161" t="n">
        <v>21</v>
      </c>
      <c r="J1260" s="156" t="s">
        <v>192</v>
      </c>
      <c r="K1260" s="199" t="n">
        <v>45452.9945601852</v>
      </c>
      <c r="L1260" s="1" t="n">
        <v>1</v>
      </c>
      <c r="M1260" s="156" t="s">
        <v>192</v>
      </c>
      <c r="N1260" s="1" t="n">
        <v>772</v>
      </c>
    </row>
    <row r="1261" customFormat="false" ht="14.25" hidden="false" customHeight="false" outlineLevel="0" collapsed="false">
      <c r="A1261" s="1" t="n">
        <v>183</v>
      </c>
      <c r="B1261" s="1" t="s">
        <v>565</v>
      </c>
      <c r="C1261" s="1" t="s">
        <v>566</v>
      </c>
      <c r="D1261" s="1" t="n">
        <v>11171</v>
      </c>
      <c r="E1261" s="1" t="s">
        <v>55</v>
      </c>
      <c r="F1261" s="198" t="n">
        <v>200025889163</v>
      </c>
      <c r="G1261" s="198" t="s">
        <v>612</v>
      </c>
      <c r="H1261" s="163" t="s">
        <v>333</v>
      </c>
      <c r="I1261" s="161" t="n">
        <v>21</v>
      </c>
      <c r="J1261" s="156" t="s">
        <v>192</v>
      </c>
      <c r="K1261" s="199" t="n">
        <v>45452.9963425926</v>
      </c>
      <c r="L1261" s="1" t="n">
        <v>2</v>
      </c>
      <c r="M1261" s="156" t="s">
        <v>192</v>
      </c>
      <c r="N1261" s="1" t="n">
        <v>773</v>
      </c>
    </row>
    <row r="1262" customFormat="false" ht="14.25" hidden="false" customHeight="false" outlineLevel="0" collapsed="false">
      <c r="A1262" s="1" t="n">
        <v>184</v>
      </c>
      <c r="B1262" s="1" t="s">
        <v>565</v>
      </c>
      <c r="C1262" s="1" t="s">
        <v>566</v>
      </c>
      <c r="D1262" s="1" t="n">
        <v>11171</v>
      </c>
      <c r="E1262" s="1" t="s">
        <v>55</v>
      </c>
      <c r="F1262" s="198" t="n">
        <v>200025889098</v>
      </c>
      <c r="G1262" s="198" t="s">
        <v>689</v>
      </c>
      <c r="H1262" s="163" t="s">
        <v>433</v>
      </c>
      <c r="I1262" s="161" t="n">
        <v>46</v>
      </c>
      <c r="J1262" s="156" t="s">
        <v>192</v>
      </c>
      <c r="K1262" s="199" t="n">
        <v>45453.0024884259</v>
      </c>
      <c r="L1262" s="1" t="n">
        <v>0</v>
      </c>
      <c r="M1262" s="156" t="s">
        <v>192</v>
      </c>
      <c r="N1262" s="1" t="n">
        <v>774</v>
      </c>
    </row>
    <row r="1263" customFormat="false" ht="14.25" hidden="false" customHeight="false" outlineLevel="0" collapsed="false">
      <c r="A1263" s="1" t="n">
        <v>203</v>
      </c>
      <c r="B1263" s="1" t="s">
        <v>702</v>
      </c>
      <c r="C1263" s="1" t="s">
        <v>703</v>
      </c>
      <c r="D1263" s="1" t="n">
        <v>11197</v>
      </c>
      <c r="E1263" s="1" t="s">
        <v>53</v>
      </c>
      <c r="F1263" s="201" t="n">
        <v>200025888617</v>
      </c>
      <c r="G1263" s="198" t="s">
        <v>614</v>
      </c>
      <c r="H1263" s="163" t="s">
        <v>387</v>
      </c>
      <c r="I1263" s="161" t="n">
        <v>100</v>
      </c>
      <c r="J1263" s="156" t="s">
        <v>192</v>
      </c>
      <c r="K1263" s="200" t="n">
        <v>45453.0035648148</v>
      </c>
      <c r="L1263" s="1" t="n">
        <v>1</v>
      </c>
      <c r="M1263" s="156" t="s">
        <v>192</v>
      </c>
      <c r="N1263" s="1" t="n">
        <v>775</v>
      </c>
    </row>
    <row r="1264" customFormat="false" ht="14.25" hidden="false" customHeight="false" outlineLevel="0" collapsed="false">
      <c r="A1264" s="1" t="n">
        <v>185</v>
      </c>
      <c r="B1264" s="1" t="s">
        <v>565</v>
      </c>
      <c r="C1264" s="1" t="s">
        <v>566</v>
      </c>
      <c r="D1264" s="1" t="n">
        <v>11171</v>
      </c>
      <c r="E1264" s="1" t="s">
        <v>55</v>
      </c>
      <c r="F1264" s="198" t="n">
        <v>200025888224</v>
      </c>
      <c r="G1264" s="198" t="s">
        <v>656</v>
      </c>
      <c r="H1264" s="163" t="s">
        <v>245</v>
      </c>
      <c r="I1264" s="161" t="n">
        <v>8</v>
      </c>
      <c r="J1264" s="156" t="s">
        <v>192</v>
      </c>
      <c r="K1264" s="199" t="n">
        <v>45453.0040972222</v>
      </c>
      <c r="L1264" s="1" t="n">
        <v>0</v>
      </c>
      <c r="M1264" s="156" t="s">
        <v>192</v>
      </c>
      <c r="N1264" s="1" t="n">
        <v>776</v>
      </c>
    </row>
    <row r="1265" customFormat="false" ht="14.25" hidden="false" customHeight="false" outlineLevel="0" collapsed="false">
      <c r="A1265" s="1" t="n">
        <v>204</v>
      </c>
      <c r="B1265" s="1" t="s">
        <v>702</v>
      </c>
      <c r="C1265" s="1" t="s">
        <v>703</v>
      </c>
      <c r="D1265" s="1" t="n">
        <v>11197</v>
      </c>
      <c r="E1265" s="1" t="s">
        <v>53</v>
      </c>
      <c r="F1265" s="201" t="n">
        <v>200025888617</v>
      </c>
      <c r="G1265" s="198" t="s">
        <v>614</v>
      </c>
      <c r="H1265" s="163" t="s">
        <v>387</v>
      </c>
      <c r="I1265" s="161" t="n">
        <v>100</v>
      </c>
      <c r="J1265" s="156" t="s">
        <v>192</v>
      </c>
      <c r="K1265" s="200" t="n">
        <v>45453.004525463</v>
      </c>
      <c r="L1265" s="1" t="n">
        <v>0</v>
      </c>
      <c r="M1265" s="156" t="s">
        <v>192</v>
      </c>
      <c r="N1265" s="1" t="n">
        <v>777</v>
      </c>
    </row>
    <row r="1266" customFormat="false" ht="14.25" hidden="false" customHeight="false" outlineLevel="0" collapsed="false">
      <c r="A1266" s="1" t="n">
        <v>205</v>
      </c>
      <c r="B1266" s="1" t="s">
        <v>702</v>
      </c>
      <c r="C1266" s="1" t="s">
        <v>703</v>
      </c>
      <c r="D1266" s="1" t="n">
        <v>11197</v>
      </c>
      <c r="E1266" s="1" t="s">
        <v>53</v>
      </c>
      <c r="F1266" s="201" t="n">
        <v>200025888617</v>
      </c>
      <c r="G1266" s="198" t="s">
        <v>614</v>
      </c>
      <c r="H1266" s="163" t="s">
        <v>387</v>
      </c>
      <c r="I1266" s="161" t="n">
        <v>100</v>
      </c>
      <c r="J1266" s="156" t="s">
        <v>192</v>
      </c>
      <c r="K1266" s="200" t="n">
        <v>45453.0045486111</v>
      </c>
      <c r="L1266" s="1" t="n">
        <v>0</v>
      </c>
      <c r="M1266" s="156" t="s">
        <v>192</v>
      </c>
      <c r="N1266" s="1" t="n">
        <v>778</v>
      </c>
    </row>
    <row r="1267" customFormat="false" ht="14.25" hidden="false" customHeight="false" outlineLevel="0" collapsed="false">
      <c r="A1267" s="1" t="n">
        <v>206</v>
      </c>
      <c r="B1267" s="1" t="s">
        <v>702</v>
      </c>
      <c r="C1267" s="1" t="s">
        <v>703</v>
      </c>
      <c r="D1267" s="1" t="n">
        <v>11197</v>
      </c>
      <c r="E1267" s="1" t="s">
        <v>53</v>
      </c>
      <c r="F1267" s="201" t="n">
        <v>200025888617</v>
      </c>
      <c r="G1267" s="198" t="s">
        <v>614</v>
      </c>
      <c r="H1267" s="163" t="s">
        <v>387</v>
      </c>
      <c r="I1267" s="161" t="n">
        <v>100</v>
      </c>
      <c r="J1267" s="156" t="s">
        <v>192</v>
      </c>
      <c r="K1267" s="200" t="n">
        <v>45453.0062037037</v>
      </c>
      <c r="L1267" s="1" t="n">
        <v>2</v>
      </c>
      <c r="M1267" s="156" t="s">
        <v>192</v>
      </c>
      <c r="N1267" s="1" t="n">
        <v>779</v>
      </c>
    </row>
    <row r="1268" customFormat="false" ht="14.25" hidden="false" customHeight="false" outlineLevel="0" collapsed="false">
      <c r="A1268" s="1" t="n">
        <v>186</v>
      </c>
      <c r="B1268" s="1" t="s">
        <v>565</v>
      </c>
      <c r="C1268" s="1" t="s">
        <v>566</v>
      </c>
      <c r="D1268" s="1" t="n">
        <v>11171</v>
      </c>
      <c r="E1268" s="1" t="s">
        <v>55</v>
      </c>
      <c r="F1268" s="198" t="n">
        <v>200025888617</v>
      </c>
      <c r="G1268" s="198" t="s">
        <v>614</v>
      </c>
      <c r="H1268" s="163" t="s">
        <v>387</v>
      </c>
      <c r="I1268" s="161" t="n">
        <v>100</v>
      </c>
      <c r="J1268" s="156" t="s">
        <v>192</v>
      </c>
      <c r="K1268" s="199" t="n">
        <v>45453.013912037</v>
      </c>
      <c r="L1268" s="1" t="n">
        <v>2</v>
      </c>
      <c r="M1268" s="156" t="s">
        <v>192</v>
      </c>
      <c r="N1268" s="1" t="n">
        <v>780</v>
      </c>
    </row>
    <row r="1269" customFormat="false" ht="14.25" hidden="false" customHeight="false" outlineLevel="0" collapsed="false">
      <c r="A1269" s="1" t="n">
        <v>187</v>
      </c>
      <c r="B1269" s="1" t="s">
        <v>565</v>
      </c>
      <c r="C1269" s="1" t="s">
        <v>566</v>
      </c>
      <c r="D1269" s="1" t="n">
        <v>11171</v>
      </c>
      <c r="E1269" s="1" t="s">
        <v>55</v>
      </c>
      <c r="F1269" s="198" t="n">
        <v>200025888617</v>
      </c>
      <c r="G1269" s="198" t="s">
        <v>614</v>
      </c>
      <c r="H1269" s="163" t="s">
        <v>387</v>
      </c>
      <c r="I1269" s="161" t="n">
        <v>100</v>
      </c>
      <c r="J1269" s="156" t="s">
        <v>192</v>
      </c>
      <c r="K1269" s="199" t="n">
        <v>45453.0141782407</v>
      </c>
      <c r="L1269" s="1" t="n">
        <v>0</v>
      </c>
      <c r="M1269" s="156" t="s">
        <v>192</v>
      </c>
      <c r="N1269" s="1" t="n">
        <v>781</v>
      </c>
    </row>
    <row r="1270" customFormat="false" ht="14.25" hidden="false" customHeight="false" outlineLevel="0" collapsed="false">
      <c r="A1270" s="1" t="n">
        <v>188</v>
      </c>
      <c r="B1270" s="1" t="s">
        <v>565</v>
      </c>
      <c r="C1270" s="1" t="s">
        <v>566</v>
      </c>
      <c r="D1270" s="1" t="n">
        <v>11171</v>
      </c>
      <c r="E1270" s="1" t="s">
        <v>55</v>
      </c>
      <c r="F1270" s="198" t="n">
        <v>200025888617</v>
      </c>
      <c r="G1270" s="198" t="s">
        <v>614</v>
      </c>
      <c r="H1270" s="163" t="s">
        <v>387</v>
      </c>
      <c r="I1270" s="161" t="n">
        <v>100</v>
      </c>
      <c r="J1270" s="156" t="s">
        <v>192</v>
      </c>
      <c r="K1270" s="199" t="n">
        <v>45453.0145023148</v>
      </c>
      <c r="L1270" s="1" t="n">
        <v>1</v>
      </c>
      <c r="M1270" s="156" t="s">
        <v>192</v>
      </c>
      <c r="N1270" s="1" t="n">
        <v>782</v>
      </c>
    </row>
    <row r="1271" customFormat="false" ht="14.25" hidden="false" customHeight="false" outlineLevel="0" collapsed="false">
      <c r="A1271" s="1" t="n">
        <v>189</v>
      </c>
      <c r="B1271" s="1" t="s">
        <v>565</v>
      </c>
      <c r="C1271" s="1" t="s">
        <v>566</v>
      </c>
      <c r="D1271" s="1" t="n">
        <v>11171</v>
      </c>
      <c r="E1271" s="1" t="s">
        <v>55</v>
      </c>
      <c r="F1271" s="198" t="n">
        <v>200025888617</v>
      </c>
      <c r="G1271" s="198" t="s">
        <v>614</v>
      </c>
      <c r="H1271" s="163" t="s">
        <v>387</v>
      </c>
      <c r="I1271" s="161" t="n">
        <v>100</v>
      </c>
      <c r="J1271" s="156" t="s">
        <v>192</v>
      </c>
      <c r="K1271" s="199" t="n">
        <v>45453.0146296296</v>
      </c>
      <c r="L1271" s="1" t="n">
        <v>1</v>
      </c>
      <c r="M1271" s="156" t="s">
        <v>192</v>
      </c>
      <c r="N1271" s="1" t="n">
        <v>783</v>
      </c>
    </row>
    <row r="1272" customFormat="false" ht="14.25" hidden="false" customHeight="false" outlineLevel="0" collapsed="false">
      <c r="A1272" s="1" t="n">
        <v>190</v>
      </c>
      <c r="B1272" s="1" t="s">
        <v>565</v>
      </c>
      <c r="C1272" s="1" t="s">
        <v>566</v>
      </c>
      <c r="D1272" s="1" t="n">
        <v>11171</v>
      </c>
      <c r="E1272" s="1" t="s">
        <v>55</v>
      </c>
      <c r="F1272" s="198" t="n">
        <v>200025888617</v>
      </c>
      <c r="G1272" s="198" t="s">
        <v>614</v>
      </c>
      <c r="H1272" s="163" t="s">
        <v>387</v>
      </c>
      <c r="I1272" s="161" t="n">
        <v>100</v>
      </c>
      <c r="J1272" s="156" t="s">
        <v>192</v>
      </c>
      <c r="K1272" s="199" t="n">
        <v>45453.0149768519</v>
      </c>
      <c r="L1272" s="1" t="n">
        <v>0</v>
      </c>
      <c r="M1272" s="156" t="s">
        <v>192</v>
      </c>
      <c r="N1272" s="1" t="n">
        <v>784</v>
      </c>
    </row>
    <row r="1273" customFormat="false" ht="14.25" hidden="false" customHeight="false" outlineLevel="0" collapsed="false">
      <c r="A1273" s="1" t="n">
        <v>191</v>
      </c>
      <c r="B1273" s="1" t="s">
        <v>565</v>
      </c>
      <c r="C1273" s="1" t="s">
        <v>566</v>
      </c>
      <c r="D1273" s="1" t="n">
        <v>11171</v>
      </c>
      <c r="E1273" s="1" t="s">
        <v>55</v>
      </c>
      <c r="F1273" s="198" t="n">
        <v>200025889163</v>
      </c>
      <c r="G1273" s="198" t="s">
        <v>612</v>
      </c>
      <c r="H1273" s="163" t="s">
        <v>333</v>
      </c>
      <c r="I1273" s="161" t="n">
        <v>21</v>
      </c>
      <c r="J1273" s="156" t="s">
        <v>192</v>
      </c>
      <c r="K1273" s="199" t="n">
        <v>45453.0166435185</v>
      </c>
      <c r="L1273" s="1" t="n">
        <v>1</v>
      </c>
      <c r="M1273" s="156" t="s">
        <v>192</v>
      </c>
      <c r="N1273" s="1" t="n">
        <v>785</v>
      </c>
    </row>
    <row r="1274" customFormat="false" ht="14.25" hidden="false" customHeight="false" outlineLevel="0" collapsed="false">
      <c r="A1274" s="1" t="n">
        <v>192</v>
      </c>
      <c r="B1274" s="1" t="s">
        <v>565</v>
      </c>
      <c r="C1274" s="1" t="s">
        <v>566</v>
      </c>
      <c r="D1274" s="1" t="n">
        <v>11171</v>
      </c>
      <c r="E1274" s="1" t="s">
        <v>55</v>
      </c>
      <c r="F1274" s="198" t="n">
        <v>200025889163</v>
      </c>
      <c r="G1274" s="198" t="s">
        <v>612</v>
      </c>
      <c r="H1274" s="163" t="s">
        <v>333</v>
      </c>
      <c r="I1274" s="161" t="n">
        <v>21</v>
      </c>
      <c r="J1274" s="156" t="s">
        <v>192</v>
      </c>
      <c r="K1274" s="199" t="n">
        <v>45453.0166550926</v>
      </c>
      <c r="L1274" s="10" t="n">
        <v>58</v>
      </c>
      <c r="M1274" s="156" t="s">
        <v>192</v>
      </c>
      <c r="N1274" s="1" t="n">
        <v>786</v>
      </c>
    </row>
    <row r="1275" customFormat="false" ht="14.25" hidden="false" customHeight="false" outlineLevel="0" collapsed="false">
      <c r="A1275" s="1" t="n">
        <v>193</v>
      </c>
      <c r="B1275" s="1" t="s">
        <v>565</v>
      </c>
      <c r="C1275" s="1" t="s">
        <v>566</v>
      </c>
      <c r="D1275" s="1" t="n">
        <v>11171</v>
      </c>
      <c r="E1275" s="1" t="s">
        <v>55</v>
      </c>
      <c r="F1275" s="198" t="n">
        <v>200025889163</v>
      </c>
      <c r="G1275" s="198" t="s">
        <v>612</v>
      </c>
      <c r="H1275" s="163" t="s">
        <v>333</v>
      </c>
      <c r="I1275" s="161" t="n">
        <v>21</v>
      </c>
      <c r="J1275" s="156" t="s">
        <v>192</v>
      </c>
      <c r="K1275" s="199" t="n">
        <v>45453.0174189815</v>
      </c>
      <c r="L1275" s="1" t="n">
        <v>1</v>
      </c>
      <c r="M1275" s="156" t="s">
        <v>192</v>
      </c>
      <c r="N1275" s="1" t="n">
        <v>787</v>
      </c>
    </row>
    <row r="1276" customFormat="false" ht="14.25" hidden="false" customHeight="false" outlineLevel="0" collapsed="false">
      <c r="A1276" s="1" t="n">
        <v>207</v>
      </c>
      <c r="B1276" s="1" t="s">
        <v>702</v>
      </c>
      <c r="C1276" s="1" t="s">
        <v>703</v>
      </c>
      <c r="D1276" s="1" t="n">
        <v>11197</v>
      </c>
      <c r="E1276" s="1" t="s">
        <v>53</v>
      </c>
      <c r="F1276" s="201" t="n">
        <v>200025889791</v>
      </c>
      <c r="G1276" s="198" t="s">
        <v>688</v>
      </c>
      <c r="H1276" s="163" t="s">
        <v>510</v>
      </c>
      <c r="I1276" s="161" t="n">
        <v>80</v>
      </c>
      <c r="J1276" s="156" t="s">
        <v>192</v>
      </c>
      <c r="K1276" s="200" t="n">
        <v>45453.0175231482</v>
      </c>
      <c r="L1276" s="1" t="n">
        <v>1</v>
      </c>
      <c r="M1276" s="156" t="s">
        <v>192</v>
      </c>
      <c r="N1276" s="1" t="n">
        <v>788</v>
      </c>
    </row>
    <row r="1277" customFormat="false" ht="14.25" hidden="false" customHeight="false" outlineLevel="0" collapsed="false">
      <c r="A1277" s="1" t="n">
        <v>208</v>
      </c>
      <c r="B1277" s="1" t="s">
        <v>702</v>
      </c>
      <c r="C1277" s="1" t="s">
        <v>703</v>
      </c>
      <c r="D1277" s="1" t="n">
        <v>11197</v>
      </c>
      <c r="E1277" s="1" t="s">
        <v>53</v>
      </c>
      <c r="F1277" s="201" t="n">
        <v>200025889791</v>
      </c>
      <c r="G1277" s="198" t="s">
        <v>688</v>
      </c>
      <c r="H1277" s="163" t="s">
        <v>510</v>
      </c>
      <c r="I1277" s="161" t="n">
        <v>80</v>
      </c>
      <c r="J1277" s="156" t="s">
        <v>192</v>
      </c>
      <c r="K1277" s="200" t="n">
        <v>45453.0175347222</v>
      </c>
      <c r="L1277" s="1" t="n">
        <v>0</v>
      </c>
      <c r="M1277" s="156" t="s">
        <v>192</v>
      </c>
      <c r="N1277" s="1" t="n">
        <v>789</v>
      </c>
    </row>
    <row r="1278" customFormat="false" ht="14.25" hidden="false" customHeight="false" outlineLevel="0" collapsed="false">
      <c r="A1278" s="1" t="n">
        <v>209</v>
      </c>
      <c r="B1278" s="1" t="s">
        <v>702</v>
      </c>
      <c r="C1278" s="1" t="s">
        <v>703</v>
      </c>
      <c r="D1278" s="1" t="n">
        <v>11197</v>
      </c>
      <c r="E1278" s="1" t="s">
        <v>53</v>
      </c>
      <c r="F1278" s="201" t="n">
        <v>200025889791</v>
      </c>
      <c r="G1278" s="198" t="s">
        <v>688</v>
      </c>
      <c r="H1278" s="163" t="s">
        <v>510</v>
      </c>
      <c r="I1278" s="161" t="n">
        <v>80</v>
      </c>
      <c r="J1278" s="156" t="s">
        <v>192</v>
      </c>
      <c r="K1278" s="200" t="n">
        <v>45453.0175462963</v>
      </c>
      <c r="L1278" s="1" t="n">
        <v>1</v>
      </c>
      <c r="M1278" s="156" t="s">
        <v>192</v>
      </c>
      <c r="N1278" s="1" t="n">
        <v>790</v>
      </c>
    </row>
    <row r="1279" customFormat="false" ht="14.25" hidden="false" customHeight="false" outlineLevel="0" collapsed="false">
      <c r="A1279" s="1" t="n">
        <v>194</v>
      </c>
      <c r="B1279" s="1" t="s">
        <v>565</v>
      </c>
      <c r="C1279" s="1" t="s">
        <v>566</v>
      </c>
      <c r="D1279" s="1" t="n">
        <v>11171</v>
      </c>
      <c r="E1279" s="1" t="s">
        <v>55</v>
      </c>
      <c r="F1279" s="198" t="n">
        <v>200025888617</v>
      </c>
      <c r="G1279" s="198" t="s">
        <v>614</v>
      </c>
      <c r="H1279" s="163" t="s">
        <v>387</v>
      </c>
      <c r="I1279" s="161" t="n">
        <v>100</v>
      </c>
      <c r="J1279" s="156" t="s">
        <v>192</v>
      </c>
      <c r="K1279" s="199" t="n">
        <v>45453.0180208333</v>
      </c>
      <c r="L1279" s="1" t="n">
        <v>0</v>
      </c>
      <c r="M1279" s="156" t="s">
        <v>192</v>
      </c>
      <c r="N1279" s="1" t="n">
        <v>791</v>
      </c>
    </row>
    <row r="1280" customFormat="false" ht="14.25" hidden="false" customHeight="false" outlineLevel="0" collapsed="false">
      <c r="A1280" s="1" t="n">
        <v>195</v>
      </c>
      <c r="B1280" s="1" t="s">
        <v>565</v>
      </c>
      <c r="C1280" s="1" t="s">
        <v>566</v>
      </c>
      <c r="D1280" s="1" t="n">
        <v>11171</v>
      </c>
      <c r="E1280" s="1" t="s">
        <v>55</v>
      </c>
      <c r="F1280" s="198" t="n">
        <v>200025888617</v>
      </c>
      <c r="G1280" s="198" t="s">
        <v>614</v>
      </c>
      <c r="H1280" s="163" t="s">
        <v>387</v>
      </c>
      <c r="I1280" s="161" t="n">
        <v>100</v>
      </c>
      <c r="J1280" s="156" t="s">
        <v>192</v>
      </c>
      <c r="K1280" s="199" t="n">
        <v>45453.018125</v>
      </c>
      <c r="L1280" s="1" t="n">
        <v>1</v>
      </c>
      <c r="M1280" s="156" t="s">
        <v>192</v>
      </c>
      <c r="N1280" s="1" t="n">
        <v>792</v>
      </c>
    </row>
    <row r="1281" customFormat="false" ht="14.25" hidden="false" customHeight="false" outlineLevel="0" collapsed="false">
      <c r="A1281" s="1" t="n">
        <v>196</v>
      </c>
      <c r="B1281" s="1" t="s">
        <v>565</v>
      </c>
      <c r="C1281" s="1" t="s">
        <v>566</v>
      </c>
      <c r="D1281" s="1" t="n">
        <v>11171</v>
      </c>
      <c r="E1281" s="1" t="s">
        <v>55</v>
      </c>
      <c r="F1281" s="198" t="n">
        <v>200025888617</v>
      </c>
      <c r="G1281" s="198" t="s">
        <v>614</v>
      </c>
      <c r="H1281" s="163" t="s">
        <v>387</v>
      </c>
      <c r="I1281" s="161" t="n">
        <v>100</v>
      </c>
      <c r="J1281" s="156" t="s">
        <v>192</v>
      </c>
      <c r="K1281" s="199" t="n">
        <v>45453.0182523148</v>
      </c>
      <c r="L1281" s="1" t="n">
        <v>0</v>
      </c>
      <c r="M1281" s="156" t="s">
        <v>192</v>
      </c>
      <c r="N1281" s="1" t="n">
        <v>793</v>
      </c>
    </row>
    <row r="1282" customFormat="false" ht="14.25" hidden="false" customHeight="false" outlineLevel="0" collapsed="false">
      <c r="A1282" s="1" t="n">
        <v>197</v>
      </c>
      <c r="B1282" s="1" t="s">
        <v>565</v>
      </c>
      <c r="C1282" s="1" t="s">
        <v>566</v>
      </c>
      <c r="D1282" s="1" t="n">
        <v>11171</v>
      </c>
      <c r="E1282" s="1" t="s">
        <v>55</v>
      </c>
      <c r="F1282" s="198" t="n">
        <v>200025888617</v>
      </c>
      <c r="G1282" s="198" t="s">
        <v>614</v>
      </c>
      <c r="H1282" s="163" t="s">
        <v>387</v>
      </c>
      <c r="I1282" s="161" t="n">
        <v>100</v>
      </c>
      <c r="J1282" s="156" t="s">
        <v>192</v>
      </c>
      <c r="K1282" s="199" t="n">
        <v>45453.0182638889</v>
      </c>
      <c r="L1282" s="1" t="n">
        <v>29</v>
      </c>
      <c r="M1282" s="156" t="s">
        <v>192</v>
      </c>
      <c r="N1282" s="1" t="n">
        <v>794</v>
      </c>
    </row>
    <row r="1283" customFormat="false" ht="14.25" hidden="false" customHeight="false" outlineLevel="0" collapsed="false">
      <c r="A1283" s="1" t="n">
        <v>198</v>
      </c>
      <c r="B1283" s="1" t="s">
        <v>565</v>
      </c>
      <c r="C1283" s="1" t="s">
        <v>566</v>
      </c>
      <c r="D1283" s="1" t="n">
        <v>11171</v>
      </c>
      <c r="E1283" s="1" t="s">
        <v>55</v>
      </c>
      <c r="F1283" s="198" t="n">
        <v>200025888617</v>
      </c>
      <c r="G1283" s="198" t="s">
        <v>614</v>
      </c>
      <c r="H1283" s="163" t="s">
        <v>387</v>
      </c>
      <c r="I1283" s="161" t="n">
        <v>100</v>
      </c>
      <c r="J1283" s="156" t="s">
        <v>192</v>
      </c>
      <c r="K1283" s="199" t="n">
        <v>45453.018900463</v>
      </c>
      <c r="L1283" s="1" t="n">
        <v>1</v>
      </c>
      <c r="M1283" s="156" t="s">
        <v>192</v>
      </c>
      <c r="N1283" s="1" t="n">
        <v>795</v>
      </c>
    </row>
    <row r="1284" customFormat="false" ht="14.25" hidden="false" customHeight="false" outlineLevel="0" collapsed="false">
      <c r="A1284" s="1" t="n">
        <v>199</v>
      </c>
      <c r="B1284" s="1" t="s">
        <v>565</v>
      </c>
      <c r="C1284" s="1" t="s">
        <v>566</v>
      </c>
      <c r="D1284" s="1" t="n">
        <v>11171</v>
      </c>
      <c r="E1284" s="1" t="s">
        <v>55</v>
      </c>
      <c r="F1284" s="198" t="n">
        <v>200025888617</v>
      </c>
      <c r="G1284" s="198" t="s">
        <v>614</v>
      </c>
      <c r="H1284" s="163" t="s">
        <v>387</v>
      </c>
      <c r="I1284" s="161" t="n">
        <v>100</v>
      </c>
      <c r="J1284" s="156" t="s">
        <v>192</v>
      </c>
      <c r="K1284" s="199" t="n">
        <v>45453.0212731482</v>
      </c>
      <c r="L1284" s="1" t="n">
        <v>0</v>
      </c>
      <c r="M1284" s="156" t="s">
        <v>192</v>
      </c>
      <c r="N1284" s="1" t="n">
        <v>796</v>
      </c>
    </row>
    <row r="1285" customFormat="false" ht="14.25" hidden="false" customHeight="false" outlineLevel="0" collapsed="false">
      <c r="A1285" s="1" t="n">
        <v>200</v>
      </c>
      <c r="B1285" s="1" t="s">
        <v>565</v>
      </c>
      <c r="C1285" s="1" t="s">
        <v>566</v>
      </c>
      <c r="D1285" s="1" t="n">
        <v>11171</v>
      </c>
      <c r="E1285" s="1" t="s">
        <v>55</v>
      </c>
      <c r="F1285" s="198" t="n">
        <v>200025889163</v>
      </c>
      <c r="G1285" s="198" t="s">
        <v>612</v>
      </c>
      <c r="H1285" s="163" t="s">
        <v>333</v>
      </c>
      <c r="I1285" s="161" t="n">
        <v>21</v>
      </c>
      <c r="J1285" s="156" t="s">
        <v>192</v>
      </c>
      <c r="K1285" s="199" t="n">
        <v>45453.0229513889</v>
      </c>
      <c r="L1285" s="1" t="n">
        <v>1</v>
      </c>
      <c r="M1285" s="156" t="s">
        <v>192</v>
      </c>
      <c r="N1285" s="1" t="n">
        <v>797</v>
      </c>
    </row>
    <row r="1286" customFormat="false" ht="14.25" hidden="false" customHeight="false" outlineLevel="0" collapsed="false">
      <c r="A1286" s="1" t="n">
        <v>201</v>
      </c>
      <c r="B1286" s="1" t="s">
        <v>565</v>
      </c>
      <c r="C1286" s="1" t="s">
        <v>566</v>
      </c>
      <c r="D1286" s="1" t="n">
        <v>11171</v>
      </c>
      <c r="E1286" s="1" t="s">
        <v>55</v>
      </c>
      <c r="F1286" s="198" t="n">
        <v>200025889163</v>
      </c>
      <c r="G1286" s="198" t="s">
        <v>612</v>
      </c>
      <c r="H1286" s="163" t="s">
        <v>333</v>
      </c>
      <c r="I1286" s="161" t="n">
        <v>21</v>
      </c>
      <c r="J1286" s="156" t="s">
        <v>192</v>
      </c>
      <c r="K1286" s="199" t="n">
        <v>45453.0235185185</v>
      </c>
      <c r="L1286" s="1" t="n">
        <v>1</v>
      </c>
      <c r="M1286" s="156" t="s">
        <v>192</v>
      </c>
      <c r="N1286" s="1" t="n">
        <v>798</v>
      </c>
    </row>
    <row r="1287" customFormat="false" ht="14.25" hidden="false" customHeight="false" outlineLevel="0" collapsed="false">
      <c r="A1287" s="1" t="n">
        <v>202</v>
      </c>
      <c r="B1287" s="1" t="s">
        <v>565</v>
      </c>
      <c r="C1287" s="1" t="s">
        <v>566</v>
      </c>
      <c r="D1287" s="1" t="n">
        <v>11171</v>
      </c>
      <c r="E1287" s="1" t="s">
        <v>55</v>
      </c>
      <c r="F1287" s="198" t="n">
        <v>200025889163</v>
      </c>
      <c r="G1287" s="198" t="s">
        <v>612</v>
      </c>
      <c r="H1287" s="163" t="s">
        <v>333</v>
      </c>
      <c r="I1287" s="161" t="n">
        <v>21</v>
      </c>
      <c r="J1287" s="156" t="s">
        <v>192</v>
      </c>
      <c r="K1287" s="199" t="n">
        <v>45453.0236342593</v>
      </c>
      <c r="L1287" s="1" t="n">
        <v>1</v>
      </c>
      <c r="M1287" s="156" t="s">
        <v>192</v>
      </c>
      <c r="N1287" s="1" t="n">
        <v>799</v>
      </c>
    </row>
    <row r="1288" customFormat="false" ht="14.25" hidden="false" customHeight="false" outlineLevel="0" collapsed="false">
      <c r="A1288" s="1" t="n">
        <v>210</v>
      </c>
      <c r="B1288" s="1" t="s">
        <v>702</v>
      </c>
      <c r="C1288" s="1" t="s">
        <v>703</v>
      </c>
      <c r="D1288" s="1" t="n">
        <v>11197</v>
      </c>
      <c r="E1288" s="1" t="s">
        <v>53</v>
      </c>
      <c r="F1288" s="201" t="n">
        <v>200025888617</v>
      </c>
      <c r="G1288" s="198" t="s">
        <v>614</v>
      </c>
      <c r="H1288" s="163" t="s">
        <v>387</v>
      </c>
      <c r="I1288" s="161" t="n">
        <v>100</v>
      </c>
      <c r="J1288" s="156" t="s">
        <v>192</v>
      </c>
      <c r="K1288" s="200" t="n">
        <v>45453.0271527778</v>
      </c>
      <c r="L1288" s="1" t="n">
        <v>0</v>
      </c>
      <c r="M1288" s="156" t="s">
        <v>192</v>
      </c>
      <c r="N1288" s="1" t="n">
        <v>800</v>
      </c>
    </row>
    <row r="1289" customFormat="false" ht="14.25" hidden="false" customHeight="false" outlineLevel="0" collapsed="false">
      <c r="A1289" s="1" t="n">
        <v>211</v>
      </c>
      <c r="B1289" s="1" t="s">
        <v>702</v>
      </c>
      <c r="C1289" s="1" t="s">
        <v>703</v>
      </c>
      <c r="D1289" s="1" t="n">
        <v>11197</v>
      </c>
      <c r="E1289" s="1" t="s">
        <v>53</v>
      </c>
      <c r="F1289" s="201" t="n">
        <v>200025888617</v>
      </c>
      <c r="G1289" s="198" t="s">
        <v>614</v>
      </c>
      <c r="H1289" s="163" t="s">
        <v>387</v>
      </c>
      <c r="I1289" s="161" t="n">
        <v>100</v>
      </c>
      <c r="J1289" s="156" t="s">
        <v>192</v>
      </c>
      <c r="K1289" s="200" t="n">
        <v>45453.0275</v>
      </c>
      <c r="L1289" s="1" t="n">
        <v>1</v>
      </c>
      <c r="M1289" s="156" t="s">
        <v>192</v>
      </c>
      <c r="N1289" s="1" t="n">
        <v>801</v>
      </c>
    </row>
    <row r="1290" customFormat="false" ht="14.25" hidden="false" customHeight="false" outlineLevel="0" collapsed="false">
      <c r="A1290" s="1" t="n">
        <v>203</v>
      </c>
      <c r="B1290" s="1" t="s">
        <v>565</v>
      </c>
      <c r="C1290" s="1" t="s">
        <v>566</v>
      </c>
      <c r="D1290" s="1" t="n">
        <v>11171</v>
      </c>
      <c r="E1290" s="1" t="s">
        <v>55</v>
      </c>
      <c r="F1290" s="198" t="n">
        <v>200025888617</v>
      </c>
      <c r="G1290" s="198" t="s">
        <v>614</v>
      </c>
      <c r="H1290" s="163" t="s">
        <v>387</v>
      </c>
      <c r="I1290" s="161" t="n">
        <v>100</v>
      </c>
      <c r="J1290" s="156" t="s">
        <v>192</v>
      </c>
      <c r="K1290" s="199" t="n">
        <v>45453.0328587963</v>
      </c>
      <c r="L1290" s="1" t="n">
        <v>20</v>
      </c>
      <c r="M1290" s="156" t="s">
        <v>192</v>
      </c>
      <c r="N1290" s="1" t="n">
        <v>802</v>
      </c>
    </row>
    <row r="1291" customFormat="false" ht="14.25" hidden="false" customHeight="false" outlineLevel="0" collapsed="false">
      <c r="A1291" s="1" t="n">
        <v>204</v>
      </c>
      <c r="B1291" s="1" t="s">
        <v>565</v>
      </c>
      <c r="C1291" s="1" t="s">
        <v>566</v>
      </c>
      <c r="D1291" s="1" t="n">
        <v>11171</v>
      </c>
      <c r="E1291" s="1" t="s">
        <v>55</v>
      </c>
      <c r="F1291" s="198" t="n">
        <v>200025888617</v>
      </c>
      <c r="G1291" s="198" t="s">
        <v>614</v>
      </c>
      <c r="H1291" s="163" t="s">
        <v>387</v>
      </c>
      <c r="I1291" s="161" t="n">
        <v>100</v>
      </c>
      <c r="J1291" s="156" t="s">
        <v>192</v>
      </c>
      <c r="K1291" s="199" t="n">
        <v>45453.0330902778</v>
      </c>
      <c r="L1291" s="1" t="n">
        <v>1</v>
      </c>
      <c r="M1291" s="156" t="s">
        <v>192</v>
      </c>
      <c r="N1291" s="1" t="n">
        <v>803</v>
      </c>
    </row>
    <row r="1292" customFormat="false" ht="14.25" hidden="false" customHeight="false" outlineLevel="0" collapsed="false">
      <c r="A1292" s="1" t="n">
        <v>205</v>
      </c>
      <c r="B1292" s="1" t="s">
        <v>565</v>
      </c>
      <c r="C1292" s="1" t="s">
        <v>566</v>
      </c>
      <c r="D1292" s="1" t="n">
        <v>11171</v>
      </c>
      <c r="E1292" s="1" t="s">
        <v>55</v>
      </c>
      <c r="F1292" s="198" t="n">
        <v>200025888617</v>
      </c>
      <c r="G1292" s="198" t="s">
        <v>614</v>
      </c>
      <c r="H1292" s="163" t="s">
        <v>387</v>
      </c>
      <c r="I1292" s="161" t="n">
        <v>100</v>
      </c>
      <c r="J1292" s="156" t="s">
        <v>192</v>
      </c>
      <c r="K1292" s="199" t="n">
        <v>45453.0335763889</v>
      </c>
      <c r="L1292" s="1" t="n">
        <v>2</v>
      </c>
      <c r="M1292" s="156" t="s">
        <v>192</v>
      </c>
      <c r="N1292" s="1" t="n">
        <v>804</v>
      </c>
    </row>
    <row r="1293" customFormat="false" ht="14.25" hidden="false" customHeight="false" outlineLevel="0" collapsed="false">
      <c r="A1293" s="1" t="n">
        <v>206</v>
      </c>
      <c r="B1293" s="1" t="s">
        <v>565</v>
      </c>
      <c r="C1293" s="1" t="s">
        <v>566</v>
      </c>
      <c r="D1293" s="1" t="n">
        <v>11171</v>
      </c>
      <c r="E1293" s="1" t="s">
        <v>55</v>
      </c>
      <c r="F1293" s="198" t="n">
        <v>200025888617</v>
      </c>
      <c r="G1293" s="198" t="s">
        <v>614</v>
      </c>
      <c r="H1293" s="163" t="s">
        <v>387</v>
      </c>
      <c r="I1293" s="161" t="n">
        <v>100</v>
      </c>
      <c r="J1293" s="156" t="s">
        <v>192</v>
      </c>
      <c r="K1293" s="199" t="n">
        <v>45453.0344791667</v>
      </c>
      <c r="L1293" s="1" t="n">
        <v>1</v>
      </c>
      <c r="M1293" s="156" t="s">
        <v>192</v>
      </c>
      <c r="N1293" s="1" t="n">
        <v>805</v>
      </c>
    </row>
    <row r="1294" customFormat="false" ht="14.25" hidden="false" customHeight="false" outlineLevel="0" collapsed="false">
      <c r="A1294" s="1" t="n">
        <v>212</v>
      </c>
      <c r="B1294" s="1" t="s">
        <v>702</v>
      </c>
      <c r="C1294" s="1" t="s">
        <v>703</v>
      </c>
      <c r="D1294" s="1" t="n">
        <v>11197</v>
      </c>
      <c r="E1294" s="1" t="s">
        <v>53</v>
      </c>
      <c r="F1294" s="201" t="n">
        <v>200025889098</v>
      </c>
      <c r="G1294" s="198" t="s">
        <v>689</v>
      </c>
      <c r="H1294" s="163" t="s">
        <v>433</v>
      </c>
      <c r="I1294" s="161" t="n">
        <v>46</v>
      </c>
      <c r="J1294" s="156" t="s">
        <v>192</v>
      </c>
      <c r="K1294" s="200" t="n">
        <v>45453.0499189815</v>
      </c>
      <c r="L1294" s="1" t="n">
        <v>2</v>
      </c>
      <c r="M1294" s="156" t="s">
        <v>192</v>
      </c>
      <c r="N1294" s="1" t="n">
        <v>806</v>
      </c>
    </row>
    <row r="1295" customFormat="false" ht="14.25" hidden="false" customHeight="false" outlineLevel="0" collapsed="false">
      <c r="A1295" s="1" t="n">
        <v>213</v>
      </c>
      <c r="B1295" s="1" t="s">
        <v>702</v>
      </c>
      <c r="C1295" s="1" t="s">
        <v>703</v>
      </c>
      <c r="D1295" s="1" t="n">
        <v>11197</v>
      </c>
      <c r="E1295" s="1" t="s">
        <v>53</v>
      </c>
      <c r="F1295" s="201" t="n">
        <v>200025889098</v>
      </c>
      <c r="G1295" s="198" t="s">
        <v>689</v>
      </c>
      <c r="H1295" s="163" t="s">
        <v>433</v>
      </c>
      <c r="I1295" s="161" t="n">
        <v>46</v>
      </c>
      <c r="J1295" s="156" t="s">
        <v>192</v>
      </c>
      <c r="K1295" s="200" t="n">
        <v>45453.050474537</v>
      </c>
      <c r="L1295" s="1" t="n">
        <v>2</v>
      </c>
      <c r="M1295" s="156" t="s">
        <v>192</v>
      </c>
      <c r="N1295" s="1" t="n">
        <v>807</v>
      </c>
    </row>
    <row r="1296" customFormat="false" ht="14.25" hidden="false" customHeight="false" outlineLevel="0" collapsed="false">
      <c r="A1296" s="1" t="n">
        <v>207</v>
      </c>
      <c r="B1296" s="1" t="s">
        <v>565</v>
      </c>
      <c r="C1296" s="1" t="s">
        <v>566</v>
      </c>
      <c r="D1296" s="1" t="n">
        <v>11171</v>
      </c>
      <c r="E1296" s="1" t="s">
        <v>55</v>
      </c>
      <c r="F1296" s="198" t="n">
        <v>200025888617</v>
      </c>
      <c r="G1296" s="198" t="s">
        <v>614</v>
      </c>
      <c r="H1296" s="163" t="s">
        <v>387</v>
      </c>
      <c r="I1296" s="161" t="n">
        <v>100</v>
      </c>
      <c r="J1296" s="156" t="s">
        <v>192</v>
      </c>
      <c r="K1296" s="199" t="n">
        <v>45453.0993634259</v>
      </c>
      <c r="L1296" s="1" t="n">
        <v>1</v>
      </c>
      <c r="M1296" s="156" t="s">
        <v>192</v>
      </c>
      <c r="N1296" s="1" t="n">
        <v>808</v>
      </c>
    </row>
    <row r="1297" customFormat="false" ht="14.25" hidden="false" customHeight="false" outlineLevel="0" collapsed="false">
      <c r="A1297" s="1" t="n">
        <v>208</v>
      </c>
      <c r="B1297" s="1" t="s">
        <v>565</v>
      </c>
      <c r="C1297" s="1" t="s">
        <v>566</v>
      </c>
      <c r="D1297" s="1" t="n">
        <v>11171</v>
      </c>
      <c r="E1297" s="1" t="s">
        <v>55</v>
      </c>
      <c r="F1297" s="198" t="n">
        <v>200025888617</v>
      </c>
      <c r="G1297" s="198" t="s">
        <v>614</v>
      </c>
      <c r="H1297" s="163" t="s">
        <v>387</v>
      </c>
      <c r="I1297" s="161" t="n">
        <v>100</v>
      </c>
      <c r="J1297" s="156" t="s">
        <v>192</v>
      </c>
      <c r="K1297" s="199" t="n">
        <v>45453.1023842593</v>
      </c>
      <c r="L1297" s="1" t="n">
        <v>0</v>
      </c>
      <c r="M1297" s="156" t="s">
        <v>192</v>
      </c>
      <c r="N1297" s="1" t="n">
        <v>809</v>
      </c>
    </row>
    <row r="1298" customFormat="false" ht="14.25" hidden="false" customHeight="false" outlineLevel="0" collapsed="false">
      <c r="A1298" s="1" t="n">
        <v>209</v>
      </c>
      <c r="B1298" s="1" t="s">
        <v>565</v>
      </c>
      <c r="C1298" s="1" t="s">
        <v>566</v>
      </c>
      <c r="D1298" s="1" t="n">
        <v>11171</v>
      </c>
      <c r="E1298" s="1" t="s">
        <v>55</v>
      </c>
      <c r="F1298" s="198" t="n">
        <v>200025888617</v>
      </c>
      <c r="G1298" s="198" t="s">
        <v>614</v>
      </c>
      <c r="H1298" s="163" t="s">
        <v>387</v>
      </c>
      <c r="I1298" s="161" t="n">
        <v>100</v>
      </c>
      <c r="J1298" s="156" t="s">
        <v>192</v>
      </c>
      <c r="K1298" s="199" t="n">
        <v>45453.1023842593</v>
      </c>
      <c r="L1298" s="1" t="n">
        <v>1</v>
      </c>
      <c r="M1298" s="156" t="s">
        <v>192</v>
      </c>
      <c r="N1298" s="1" t="n">
        <v>810</v>
      </c>
    </row>
    <row r="1299" customFormat="false" ht="14.25" hidden="false" customHeight="false" outlineLevel="0" collapsed="false">
      <c r="A1299" s="1" t="n">
        <v>210</v>
      </c>
      <c r="B1299" s="1" t="s">
        <v>565</v>
      </c>
      <c r="C1299" s="1" t="s">
        <v>566</v>
      </c>
      <c r="D1299" s="1" t="n">
        <v>11171</v>
      </c>
      <c r="E1299" s="1" t="s">
        <v>55</v>
      </c>
      <c r="F1299" s="198" t="n">
        <v>200025888617</v>
      </c>
      <c r="G1299" s="198" t="s">
        <v>614</v>
      </c>
      <c r="H1299" s="163" t="s">
        <v>387</v>
      </c>
      <c r="I1299" s="161" t="n">
        <v>100</v>
      </c>
      <c r="J1299" s="156" t="s">
        <v>192</v>
      </c>
      <c r="K1299" s="199" t="n">
        <v>45453.102650463</v>
      </c>
      <c r="L1299" s="1" t="n">
        <v>2</v>
      </c>
      <c r="M1299" s="156" t="s">
        <v>192</v>
      </c>
      <c r="N1299" s="1" t="n">
        <v>811</v>
      </c>
    </row>
    <row r="1300" customFormat="false" ht="14.25" hidden="false" customHeight="false" outlineLevel="0" collapsed="false">
      <c r="A1300" s="1" t="n">
        <v>211</v>
      </c>
      <c r="B1300" s="1" t="s">
        <v>565</v>
      </c>
      <c r="C1300" s="1" t="s">
        <v>566</v>
      </c>
      <c r="D1300" s="1" t="n">
        <v>11171</v>
      </c>
      <c r="E1300" s="1" t="s">
        <v>55</v>
      </c>
      <c r="F1300" s="198" t="n">
        <v>200025888617</v>
      </c>
      <c r="G1300" s="198" t="s">
        <v>614</v>
      </c>
      <c r="H1300" s="163" t="s">
        <v>387</v>
      </c>
      <c r="I1300" s="161" t="n">
        <v>100</v>
      </c>
      <c r="J1300" s="156" t="s">
        <v>192</v>
      </c>
      <c r="K1300" s="199" t="n">
        <v>45453.1028472222</v>
      </c>
      <c r="L1300" s="1" t="n">
        <v>0</v>
      </c>
      <c r="M1300" s="156" t="s">
        <v>192</v>
      </c>
      <c r="N1300" s="1" t="n">
        <v>812</v>
      </c>
    </row>
    <row r="1301" customFormat="false" ht="14.25" hidden="false" customHeight="false" outlineLevel="0" collapsed="false">
      <c r="A1301" s="1" t="n">
        <v>214</v>
      </c>
      <c r="B1301" s="1" t="s">
        <v>702</v>
      </c>
      <c r="C1301" s="1" t="s">
        <v>703</v>
      </c>
      <c r="D1301" s="1" t="n">
        <v>11197</v>
      </c>
      <c r="E1301" s="1" t="s">
        <v>53</v>
      </c>
      <c r="F1301" s="201" t="n">
        <v>200025889791</v>
      </c>
      <c r="G1301" s="198" t="s">
        <v>688</v>
      </c>
      <c r="H1301" s="163" t="s">
        <v>510</v>
      </c>
      <c r="I1301" s="161" t="n">
        <v>80</v>
      </c>
      <c r="J1301" s="156" t="s">
        <v>192</v>
      </c>
      <c r="K1301" s="200" t="n">
        <v>45453.1038541667</v>
      </c>
      <c r="L1301" s="1" t="n">
        <v>0</v>
      </c>
      <c r="M1301" s="156" t="s">
        <v>192</v>
      </c>
      <c r="N1301" s="1" t="n">
        <v>813</v>
      </c>
    </row>
    <row r="1302" customFormat="false" ht="14.25" hidden="false" customHeight="false" outlineLevel="0" collapsed="false">
      <c r="A1302" s="1" t="n">
        <v>215</v>
      </c>
      <c r="B1302" s="1" t="s">
        <v>702</v>
      </c>
      <c r="C1302" s="1" t="s">
        <v>703</v>
      </c>
      <c r="D1302" s="1" t="n">
        <v>11197</v>
      </c>
      <c r="E1302" s="1" t="s">
        <v>53</v>
      </c>
      <c r="F1302" s="201" t="n">
        <v>200025889791</v>
      </c>
      <c r="G1302" s="198" t="s">
        <v>688</v>
      </c>
      <c r="H1302" s="163" t="s">
        <v>510</v>
      </c>
      <c r="I1302" s="161" t="n">
        <v>80</v>
      </c>
      <c r="J1302" s="156" t="s">
        <v>192</v>
      </c>
      <c r="K1302" s="200" t="n">
        <v>45453.1043865741</v>
      </c>
      <c r="L1302" s="1" t="n">
        <v>0</v>
      </c>
      <c r="M1302" s="156" t="s">
        <v>192</v>
      </c>
      <c r="N1302" s="1" t="n">
        <v>814</v>
      </c>
    </row>
    <row r="1303" customFormat="false" ht="14.25" hidden="false" customHeight="false" outlineLevel="0" collapsed="false">
      <c r="A1303" s="1" t="n">
        <v>216</v>
      </c>
      <c r="B1303" s="1" t="s">
        <v>702</v>
      </c>
      <c r="C1303" s="1" t="s">
        <v>703</v>
      </c>
      <c r="D1303" s="1" t="n">
        <v>11197</v>
      </c>
      <c r="E1303" s="1" t="s">
        <v>53</v>
      </c>
      <c r="F1303" s="201" t="n">
        <v>200025889791</v>
      </c>
      <c r="G1303" s="198" t="s">
        <v>688</v>
      </c>
      <c r="H1303" s="163" t="s">
        <v>510</v>
      </c>
      <c r="I1303" s="161" t="n">
        <v>80</v>
      </c>
      <c r="J1303" s="156" t="s">
        <v>192</v>
      </c>
      <c r="K1303" s="200" t="n">
        <v>45453.1043981482</v>
      </c>
      <c r="L1303" s="1" t="n">
        <v>0</v>
      </c>
      <c r="M1303" s="156" t="s">
        <v>192</v>
      </c>
      <c r="N1303" s="1" t="n">
        <v>815</v>
      </c>
    </row>
    <row r="1304" customFormat="false" ht="14.25" hidden="false" customHeight="false" outlineLevel="0" collapsed="false">
      <c r="A1304" s="1" t="n">
        <v>217</v>
      </c>
      <c r="B1304" s="1" t="s">
        <v>702</v>
      </c>
      <c r="C1304" s="1" t="s">
        <v>703</v>
      </c>
      <c r="D1304" s="1" t="n">
        <v>11197</v>
      </c>
      <c r="E1304" s="1" t="s">
        <v>53</v>
      </c>
      <c r="F1304" s="201" t="n">
        <v>200025889791</v>
      </c>
      <c r="G1304" s="198" t="s">
        <v>688</v>
      </c>
      <c r="H1304" s="163" t="s">
        <v>510</v>
      </c>
      <c r="I1304" s="161" t="n">
        <v>80</v>
      </c>
      <c r="J1304" s="156" t="s">
        <v>192</v>
      </c>
      <c r="K1304" s="200" t="n">
        <v>45453.1045601852</v>
      </c>
      <c r="L1304" s="1" t="n">
        <v>25</v>
      </c>
      <c r="M1304" s="156" t="s">
        <v>192</v>
      </c>
      <c r="N1304" s="1" t="n">
        <v>816</v>
      </c>
    </row>
    <row r="1305" customFormat="false" ht="14.25" hidden="false" customHeight="false" outlineLevel="0" collapsed="false">
      <c r="A1305" s="1" t="n">
        <v>218</v>
      </c>
      <c r="B1305" s="1" t="s">
        <v>702</v>
      </c>
      <c r="C1305" s="1" t="s">
        <v>703</v>
      </c>
      <c r="D1305" s="1" t="n">
        <v>11197</v>
      </c>
      <c r="E1305" s="1" t="s">
        <v>53</v>
      </c>
      <c r="F1305" s="201" t="n">
        <v>200025889791</v>
      </c>
      <c r="G1305" s="198" t="s">
        <v>688</v>
      </c>
      <c r="H1305" s="163" t="s">
        <v>510</v>
      </c>
      <c r="I1305" s="161" t="n">
        <v>80</v>
      </c>
      <c r="J1305" s="156" t="s">
        <v>192</v>
      </c>
      <c r="K1305" s="200" t="n">
        <v>45453.1058449074</v>
      </c>
      <c r="L1305" s="1" t="n">
        <v>2</v>
      </c>
      <c r="M1305" s="156" t="s">
        <v>192</v>
      </c>
      <c r="N1305" s="1" t="n">
        <v>817</v>
      </c>
    </row>
    <row r="1306" customFormat="false" ht="14.25" hidden="false" customHeight="false" outlineLevel="0" collapsed="false">
      <c r="A1306" s="1" t="n">
        <v>212</v>
      </c>
      <c r="B1306" s="1" t="s">
        <v>565</v>
      </c>
      <c r="C1306" s="1" t="s">
        <v>566</v>
      </c>
      <c r="D1306" s="1" t="n">
        <v>11171</v>
      </c>
      <c r="E1306" s="1" t="s">
        <v>55</v>
      </c>
      <c r="F1306" s="198" t="n">
        <v>200025889098</v>
      </c>
      <c r="G1306" s="198" t="s">
        <v>689</v>
      </c>
      <c r="H1306" s="163" t="s">
        <v>433</v>
      </c>
      <c r="I1306" s="161" t="n">
        <v>46</v>
      </c>
      <c r="J1306" s="156" t="s">
        <v>192</v>
      </c>
      <c r="K1306" s="199" t="n">
        <v>45453.1071990741</v>
      </c>
      <c r="L1306" s="1" t="n">
        <v>2</v>
      </c>
      <c r="M1306" s="156" t="s">
        <v>192</v>
      </c>
      <c r="N1306" s="1" t="n">
        <v>818</v>
      </c>
    </row>
    <row r="1307" customFormat="false" ht="14.25" hidden="false" customHeight="false" outlineLevel="0" collapsed="false">
      <c r="A1307" s="1" t="n">
        <v>219</v>
      </c>
      <c r="B1307" s="1" t="s">
        <v>702</v>
      </c>
      <c r="C1307" s="1" t="s">
        <v>703</v>
      </c>
      <c r="D1307" s="1" t="n">
        <v>11197</v>
      </c>
      <c r="E1307" s="1" t="s">
        <v>53</v>
      </c>
      <c r="F1307" s="201" t="n">
        <v>200025889098</v>
      </c>
      <c r="G1307" s="198" t="s">
        <v>689</v>
      </c>
      <c r="H1307" s="163" t="s">
        <v>433</v>
      </c>
      <c r="I1307" s="161" t="n">
        <v>46</v>
      </c>
      <c r="J1307" s="156" t="s">
        <v>192</v>
      </c>
      <c r="K1307" s="200" t="n">
        <v>45453.1086111111</v>
      </c>
      <c r="L1307" s="1" t="n">
        <v>1</v>
      </c>
      <c r="M1307" s="156" t="s">
        <v>192</v>
      </c>
      <c r="N1307" s="1" t="n">
        <v>819</v>
      </c>
    </row>
    <row r="1308" customFormat="false" ht="14.25" hidden="false" customHeight="false" outlineLevel="0" collapsed="false">
      <c r="A1308" s="1" t="n">
        <v>220</v>
      </c>
      <c r="B1308" s="1" t="s">
        <v>702</v>
      </c>
      <c r="C1308" s="1" t="s">
        <v>703</v>
      </c>
      <c r="D1308" s="1" t="n">
        <v>11197</v>
      </c>
      <c r="E1308" s="1" t="s">
        <v>53</v>
      </c>
      <c r="F1308" s="201" t="n">
        <v>200025889098</v>
      </c>
      <c r="G1308" s="198" t="s">
        <v>689</v>
      </c>
      <c r="H1308" s="163" t="s">
        <v>433</v>
      </c>
      <c r="I1308" s="161" t="n">
        <v>46</v>
      </c>
      <c r="J1308" s="156" t="s">
        <v>192</v>
      </c>
      <c r="K1308" s="200" t="n">
        <v>45453.1481944444</v>
      </c>
      <c r="L1308" s="1" t="n">
        <v>2</v>
      </c>
      <c r="M1308" s="156" t="s">
        <v>192</v>
      </c>
      <c r="N1308" s="1" t="n">
        <v>820</v>
      </c>
    </row>
    <row r="1309" customFormat="false" ht="14.25" hidden="false" customHeight="false" outlineLevel="0" collapsed="false">
      <c r="A1309" s="1" t="n">
        <v>221</v>
      </c>
      <c r="B1309" s="1" t="s">
        <v>702</v>
      </c>
      <c r="C1309" s="1" t="s">
        <v>703</v>
      </c>
      <c r="D1309" s="1" t="n">
        <v>11197</v>
      </c>
      <c r="E1309" s="1" t="s">
        <v>53</v>
      </c>
      <c r="F1309" s="201" t="n">
        <v>200025889098</v>
      </c>
      <c r="G1309" s="198" t="s">
        <v>689</v>
      </c>
      <c r="H1309" s="163" t="s">
        <v>433</v>
      </c>
      <c r="I1309" s="161" t="n">
        <v>46</v>
      </c>
      <c r="J1309" s="156" t="s">
        <v>192</v>
      </c>
      <c r="K1309" s="200" t="n">
        <v>45453.1486226852</v>
      </c>
      <c r="L1309" s="1" t="n">
        <v>2</v>
      </c>
      <c r="M1309" s="156" t="s">
        <v>192</v>
      </c>
      <c r="N1309" s="1" t="n">
        <v>821</v>
      </c>
    </row>
    <row r="1310" customFormat="false" ht="14.25" hidden="false" customHeight="false" outlineLevel="0" collapsed="false">
      <c r="A1310" s="1" t="n">
        <v>222</v>
      </c>
      <c r="B1310" s="1" t="s">
        <v>702</v>
      </c>
      <c r="C1310" s="1" t="s">
        <v>703</v>
      </c>
      <c r="D1310" s="1" t="n">
        <v>11197</v>
      </c>
      <c r="E1310" s="1" t="s">
        <v>53</v>
      </c>
      <c r="F1310" s="201" t="n">
        <v>200025889098</v>
      </c>
      <c r="G1310" s="198" t="s">
        <v>689</v>
      </c>
      <c r="H1310" s="163" t="s">
        <v>433</v>
      </c>
      <c r="I1310" s="161" t="n">
        <v>46</v>
      </c>
      <c r="J1310" s="156" t="s">
        <v>192</v>
      </c>
      <c r="K1310" s="200" t="n">
        <v>45453.2121180556</v>
      </c>
      <c r="L1310" s="1" t="n">
        <v>6</v>
      </c>
      <c r="M1310" s="156" t="s">
        <v>192</v>
      </c>
      <c r="N1310" s="1" t="n">
        <v>822</v>
      </c>
    </row>
    <row r="1311" customFormat="false" ht="14.25" hidden="false" customHeight="false" outlineLevel="0" collapsed="false">
      <c r="A1311" s="1" t="n">
        <v>223</v>
      </c>
      <c r="B1311" s="1" t="s">
        <v>702</v>
      </c>
      <c r="C1311" s="1" t="s">
        <v>703</v>
      </c>
      <c r="D1311" s="1" t="n">
        <v>11197</v>
      </c>
      <c r="E1311" s="1" t="s">
        <v>53</v>
      </c>
      <c r="F1311" s="201" t="n">
        <v>200025888632</v>
      </c>
      <c r="G1311" s="198" t="s">
        <v>598</v>
      </c>
      <c r="H1311" s="163" t="s">
        <v>393</v>
      </c>
      <c r="I1311" s="161" t="n">
        <v>83</v>
      </c>
      <c r="J1311" s="156" t="s">
        <v>192</v>
      </c>
      <c r="K1311" s="200" t="n">
        <v>45453.2372106482</v>
      </c>
      <c r="L1311" s="1" t="n">
        <v>40</v>
      </c>
      <c r="M1311" s="156" t="s">
        <v>192</v>
      </c>
      <c r="N1311" s="1" t="n">
        <v>823</v>
      </c>
    </row>
    <row r="1312" customFormat="false" ht="14.25" hidden="false" customHeight="false" outlineLevel="0" collapsed="false">
      <c r="A1312" s="1" t="n">
        <v>224</v>
      </c>
      <c r="B1312" s="1" t="s">
        <v>702</v>
      </c>
      <c r="C1312" s="1" t="s">
        <v>703</v>
      </c>
      <c r="D1312" s="1" t="n">
        <v>11197</v>
      </c>
      <c r="E1312" s="1" t="s">
        <v>53</v>
      </c>
      <c r="F1312" s="201" t="n">
        <v>200025888632</v>
      </c>
      <c r="G1312" s="198" t="s">
        <v>598</v>
      </c>
      <c r="H1312" s="163" t="s">
        <v>393</v>
      </c>
      <c r="I1312" s="161" t="n">
        <v>83</v>
      </c>
      <c r="J1312" s="156" t="s">
        <v>192</v>
      </c>
      <c r="K1312" s="200" t="n">
        <v>45453.2376736111</v>
      </c>
      <c r="L1312" s="1" t="n">
        <v>1</v>
      </c>
      <c r="M1312" s="156" t="s">
        <v>192</v>
      </c>
      <c r="N1312" s="1" t="n">
        <v>824</v>
      </c>
    </row>
    <row r="1313" customFormat="false" ht="14.25" hidden="false" customHeight="false" outlineLevel="0" collapsed="false">
      <c r="A1313" s="1" t="n">
        <v>225</v>
      </c>
      <c r="B1313" s="1" t="s">
        <v>702</v>
      </c>
      <c r="C1313" s="1" t="s">
        <v>703</v>
      </c>
      <c r="D1313" s="1" t="n">
        <v>11197</v>
      </c>
      <c r="E1313" s="1" t="s">
        <v>53</v>
      </c>
      <c r="F1313" s="201" t="n">
        <v>200025888632</v>
      </c>
      <c r="G1313" s="198" t="s">
        <v>598</v>
      </c>
      <c r="H1313" s="163" t="s">
        <v>393</v>
      </c>
      <c r="I1313" s="161" t="n">
        <v>83</v>
      </c>
      <c r="J1313" s="156" t="s">
        <v>192</v>
      </c>
      <c r="K1313" s="200" t="n">
        <v>45453.237974537</v>
      </c>
      <c r="L1313" s="1" t="n">
        <v>3</v>
      </c>
      <c r="M1313" s="156" t="s">
        <v>192</v>
      </c>
      <c r="N1313" s="1" t="n">
        <v>825</v>
      </c>
    </row>
    <row r="1314" customFormat="false" ht="14.25" hidden="false" customHeight="false" outlineLevel="0" collapsed="false">
      <c r="A1314" s="1" t="n">
        <v>226</v>
      </c>
      <c r="B1314" s="1" t="s">
        <v>702</v>
      </c>
      <c r="C1314" s="1" t="s">
        <v>703</v>
      </c>
      <c r="D1314" s="1" t="n">
        <v>11197</v>
      </c>
      <c r="E1314" s="1" t="s">
        <v>53</v>
      </c>
      <c r="F1314" s="201" t="n">
        <v>200025888632</v>
      </c>
      <c r="G1314" s="198" t="s">
        <v>598</v>
      </c>
      <c r="H1314" s="163" t="s">
        <v>393</v>
      </c>
      <c r="I1314" s="161" t="n">
        <v>83</v>
      </c>
      <c r="J1314" s="156" t="s">
        <v>192</v>
      </c>
      <c r="K1314" s="200" t="n">
        <v>45453.2380092593</v>
      </c>
      <c r="L1314" s="1" t="n">
        <v>1</v>
      </c>
      <c r="M1314" s="156" t="s">
        <v>192</v>
      </c>
      <c r="N1314" s="1" t="n">
        <v>826</v>
      </c>
    </row>
    <row r="1315" customFormat="false" ht="14.25" hidden="false" customHeight="false" outlineLevel="0" collapsed="false">
      <c r="A1315" s="1" t="n">
        <v>213</v>
      </c>
      <c r="B1315" s="1" t="s">
        <v>565</v>
      </c>
      <c r="C1315" s="1" t="s">
        <v>566</v>
      </c>
      <c r="D1315" s="1" t="n">
        <v>11171</v>
      </c>
      <c r="E1315" s="1" t="s">
        <v>55</v>
      </c>
      <c r="F1315" s="198" t="n">
        <v>200025888632</v>
      </c>
      <c r="G1315" s="198" t="s">
        <v>598</v>
      </c>
      <c r="H1315" s="163" t="s">
        <v>393</v>
      </c>
      <c r="I1315" s="161" t="n">
        <v>83</v>
      </c>
      <c r="J1315" s="156" t="s">
        <v>192</v>
      </c>
      <c r="K1315" s="199" t="n">
        <v>45453.2598032407</v>
      </c>
      <c r="L1315" s="1" t="n">
        <v>3</v>
      </c>
      <c r="M1315" s="156" t="s">
        <v>192</v>
      </c>
      <c r="N1315" s="1" t="n">
        <v>827</v>
      </c>
    </row>
    <row r="1316" customFormat="false" ht="14.25" hidden="false" customHeight="false" outlineLevel="0" collapsed="false">
      <c r="A1316" s="1" t="n">
        <v>227</v>
      </c>
      <c r="B1316" s="1" t="s">
        <v>702</v>
      </c>
      <c r="C1316" s="1" t="s">
        <v>703</v>
      </c>
      <c r="D1316" s="1" t="n">
        <v>11197</v>
      </c>
      <c r="E1316" s="1" t="s">
        <v>53</v>
      </c>
      <c r="F1316" s="201" t="n">
        <v>200025888632</v>
      </c>
      <c r="G1316" s="198" t="s">
        <v>598</v>
      </c>
      <c r="H1316" s="163" t="s">
        <v>393</v>
      </c>
      <c r="I1316" s="161" t="n">
        <v>83</v>
      </c>
      <c r="J1316" s="156" t="s">
        <v>192</v>
      </c>
      <c r="K1316" s="200" t="n">
        <v>45453.2616087963</v>
      </c>
      <c r="L1316" s="1" t="n">
        <v>1</v>
      </c>
      <c r="M1316" s="156" t="s">
        <v>192</v>
      </c>
      <c r="N1316" s="1" t="n">
        <v>828</v>
      </c>
    </row>
    <row r="1317" customFormat="false" ht="14.25" hidden="false" customHeight="false" outlineLevel="0" collapsed="false">
      <c r="A1317" s="1" t="n">
        <v>214</v>
      </c>
      <c r="B1317" s="1" t="s">
        <v>565</v>
      </c>
      <c r="C1317" s="1" t="s">
        <v>566</v>
      </c>
      <c r="D1317" s="1" t="n">
        <v>11171</v>
      </c>
      <c r="E1317" s="1" t="s">
        <v>55</v>
      </c>
      <c r="F1317" s="198" t="n">
        <v>200025889163</v>
      </c>
      <c r="G1317" s="198" t="s">
        <v>612</v>
      </c>
      <c r="H1317" s="163" t="s">
        <v>333</v>
      </c>
      <c r="I1317" s="161" t="n">
        <v>21</v>
      </c>
      <c r="J1317" s="156" t="s">
        <v>192</v>
      </c>
      <c r="K1317" s="199" t="n">
        <v>45453.2628819444</v>
      </c>
      <c r="L1317" s="1" t="n">
        <v>1</v>
      </c>
      <c r="M1317" s="156" t="s">
        <v>192</v>
      </c>
      <c r="N1317" s="1" t="n">
        <v>829</v>
      </c>
    </row>
    <row r="1318" customFormat="false" ht="14.25" hidden="false" customHeight="false" outlineLevel="0" collapsed="false">
      <c r="A1318" s="1" t="n">
        <v>215</v>
      </c>
      <c r="B1318" s="1" t="s">
        <v>565</v>
      </c>
      <c r="C1318" s="1" t="s">
        <v>566</v>
      </c>
      <c r="D1318" s="1" t="n">
        <v>11171</v>
      </c>
      <c r="E1318" s="1" t="s">
        <v>55</v>
      </c>
      <c r="F1318" s="198" t="n">
        <v>200025889163</v>
      </c>
      <c r="G1318" s="198" t="s">
        <v>612</v>
      </c>
      <c r="H1318" s="163" t="s">
        <v>333</v>
      </c>
      <c r="I1318" s="161" t="n">
        <v>21</v>
      </c>
      <c r="J1318" s="156" t="s">
        <v>192</v>
      </c>
      <c r="K1318" s="199" t="n">
        <v>45453.2628935185</v>
      </c>
      <c r="L1318" s="1" t="n">
        <v>1</v>
      </c>
      <c r="M1318" s="156" t="s">
        <v>192</v>
      </c>
      <c r="N1318" s="1" t="n">
        <v>830</v>
      </c>
    </row>
    <row r="1319" customFormat="false" ht="14.25" hidden="false" customHeight="false" outlineLevel="0" collapsed="false">
      <c r="A1319" s="1" t="n">
        <v>228</v>
      </c>
      <c r="B1319" s="1" t="s">
        <v>702</v>
      </c>
      <c r="C1319" s="1" t="s">
        <v>703</v>
      </c>
      <c r="D1319" s="1" t="n">
        <v>11197</v>
      </c>
      <c r="E1319" s="1" t="s">
        <v>53</v>
      </c>
      <c r="F1319" s="201" t="n">
        <v>200025888632</v>
      </c>
      <c r="G1319" s="198" t="s">
        <v>598</v>
      </c>
      <c r="H1319" s="163" t="s">
        <v>393</v>
      </c>
      <c r="I1319" s="161" t="n">
        <v>83</v>
      </c>
      <c r="J1319" s="156" t="s">
        <v>192</v>
      </c>
      <c r="K1319" s="200" t="n">
        <v>45453.2629398148</v>
      </c>
      <c r="L1319" s="1" t="n">
        <v>1</v>
      </c>
      <c r="M1319" s="156" t="s">
        <v>192</v>
      </c>
      <c r="N1319" s="1" t="n">
        <v>831</v>
      </c>
    </row>
    <row r="1320" customFormat="false" ht="14.25" hidden="false" customHeight="false" outlineLevel="0" collapsed="false">
      <c r="A1320" s="1" t="n">
        <v>229</v>
      </c>
      <c r="B1320" s="1" t="s">
        <v>702</v>
      </c>
      <c r="C1320" s="1" t="s">
        <v>703</v>
      </c>
      <c r="D1320" s="1" t="n">
        <v>11197</v>
      </c>
      <c r="E1320" s="1" t="s">
        <v>53</v>
      </c>
      <c r="F1320" s="201" t="n">
        <v>200025888632</v>
      </c>
      <c r="G1320" s="198" t="s">
        <v>598</v>
      </c>
      <c r="H1320" s="163" t="s">
        <v>393</v>
      </c>
      <c r="I1320" s="161" t="n">
        <v>83</v>
      </c>
      <c r="J1320" s="156" t="s">
        <v>192</v>
      </c>
      <c r="K1320" s="200" t="n">
        <v>45453.262962963</v>
      </c>
      <c r="L1320" s="1" t="n">
        <v>0</v>
      </c>
      <c r="M1320" s="156" t="s">
        <v>192</v>
      </c>
      <c r="N1320" s="1" t="n">
        <v>832</v>
      </c>
    </row>
    <row r="1321" customFormat="false" ht="14.25" hidden="false" customHeight="false" outlineLevel="0" collapsed="false">
      <c r="A1321" s="1" t="n">
        <v>230</v>
      </c>
      <c r="B1321" s="1" t="s">
        <v>702</v>
      </c>
      <c r="C1321" s="1" t="s">
        <v>703</v>
      </c>
      <c r="D1321" s="1" t="n">
        <v>11197</v>
      </c>
      <c r="E1321" s="1" t="s">
        <v>53</v>
      </c>
      <c r="F1321" s="201" t="n">
        <v>200025888632</v>
      </c>
      <c r="G1321" s="198" t="s">
        <v>598</v>
      </c>
      <c r="H1321" s="163" t="s">
        <v>393</v>
      </c>
      <c r="I1321" s="161" t="n">
        <v>83</v>
      </c>
      <c r="J1321" s="156" t="s">
        <v>192</v>
      </c>
      <c r="K1321" s="200" t="n">
        <v>45453.262962963</v>
      </c>
      <c r="L1321" s="1" t="n">
        <v>7</v>
      </c>
      <c r="M1321" s="156" t="s">
        <v>192</v>
      </c>
      <c r="N1321" s="1" t="n">
        <v>833</v>
      </c>
    </row>
    <row r="1322" customFormat="false" ht="14.25" hidden="false" customHeight="false" outlineLevel="0" collapsed="false">
      <c r="A1322" s="1" t="n">
        <v>216</v>
      </c>
      <c r="B1322" s="1" t="s">
        <v>565</v>
      </c>
      <c r="C1322" s="1" t="s">
        <v>566</v>
      </c>
      <c r="D1322" s="1" t="n">
        <v>11171</v>
      </c>
      <c r="E1322" s="1" t="s">
        <v>55</v>
      </c>
      <c r="F1322" s="198" t="n">
        <v>200025889163</v>
      </c>
      <c r="G1322" s="198" t="s">
        <v>612</v>
      </c>
      <c r="H1322" s="163" t="s">
        <v>333</v>
      </c>
      <c r="I1322" s="161" t="n">
        <v>21</v>
      </c>
      <c r="J1322" s="156" t="s">
        <v>192</v>
      </c>
      <c r="K1322" s="199" t="n">
        <v>45453.2630208333</v>
      </c>
      <c r="L1322" s="1" t="n">
        <v>0</v>
      </c>
      <c r="M1322" s="156" t="s">
        <v>192</v>
      </c>
      <c r="N1322" s="1" t="n">
        <v>834</v>
      </c>
    </row>
    <row r="1323" customFormat="false" ht="14.25" hidden="false" customHeight="false" outlineLevel="0" collapsed="false">
      <c r="A1323" s="1" t="n">
        <v>217</v>
      </c>
      <c r="B1323" s="1" t="s">
        <v>565</v>
      </c>
      <c r="C1323" s="1" t="s">
        <v>566</v>
      </c>
      <c r="D1323" s="1" t="n">
        <v>11171</v>
      </c>
      <c r="E1323" s="1" t="s">
        <v>55</v>
      </c>
      <c r="F1323" s="198" t="n">
        <v>200025889791</v>
      </c>
      <c r="G1323" s="198" t="s">
        <v>688</v>
      </c>
      <c r="H1323" s="163" t="s">
        <v>510</v>
      </c>
      <c r="I1323" s="161" t="n">
        <v>80</v>
      </c>
      <c r="J1323" s="156" t="s">
        <v>192</v>
      </c>
      <c r="K1323" s="199" t="n">
        <v>45453.2722685185</v>
      </c>
      <c r="L1323" s="1" t="n">
        <v>2</v>
      </c>
      <c r="M1323" s="156" t="s">
        <v>192</v>
      </c>
      <c r="N1323" s="1" t="n">
        <v>835</v>
      </c>
    </row>
    <row r="1324" customFormat="false" ht="14.25" hidden="false" customHeight="false" outlineLevel="0" collapsed="false">
      <c r="A1324" s="1" t="n">
        <v>218</v>
      </c>
      <c r="B1324" s="1" t="s">
        <v>565</v>
      </c>
      <c r="C1324" s="1" t="s">
        <v>566</v>
      </c>
      <c r="D1324" s="1" t="n">
        <v>11171</v>
      </c>
      <c r="E1324" s="1" t="s">
        <v>55</v>
      </c>
      <c r="F1324" s="198" t="n">
        <v>200025889791</v>
      </c>
      <c r="G1324" s="198" t="s">
        <v>688</v>
      </c>
      <c r="H1324" s="163" t="s">
        <v>510</v>
      </c>
      <c r="I1324" s="161" t="n">
        <v>80</v>
      </c>
      <c r="J1324" s="156" t="s">
        <v>192</v>
      </c>
      <c r="K1324" s="199" t="n">
        <v>45453.2725694444</v>
      </c>
      <c r="L1324" s="1" t="n">
        <v>1</v>
      </c>
      <c r="M1324" s="156" t="s">
        <v>192</v>
      </c>
      <c r="N1324" s="1" t="n">
        <v>836</v>
      </c>
    </row>
    <row r="1325" customFormat="false" ht="14.25" hidden="false" customHeight="false" outlineLevel="0" collapsed="false">
      <c r="A1325" s="1" t="n">
        <v>231</v>
      </c>
      <c r="B1325" s="1" t="s">
        <v>702</v>
      </c>
      <c r="C1325" s="1" t="s">
        <v>703</v>
      </c>
      <c r="D1325" s="1" t="n">
        <v>11197</v>
      </c>
      <c r="E1325" s="1" t="s">
        <v>53</v>
      </c>
      <c r="F1325" s="201" t="n">
        <v>200025888632</v>
      </c>
      <c r="G1325" s="198" t="s">
        <v>598</v>
      </c>
      <c r="H1325" s="163" t="s">
        <v>393</v>
      </c>
      <c r="I1325" s="161" t="n">
        <v>83</v>
      </c>
      <c r="J1325" s="156" t="s">
        <v>192</v>
      </c>
      <c r="K1325" s="200" t="n">
        <v>45453.2750115741</v>
      </c>
      <c r="L1325" s="1" t="n">
        <v>1</v>
      </c>
      <c r="M1325" s="156" t="s">
        <v>192</v>
      </c>
      <c r="N1325" s="1" t="n">
        <v>837</v>
      </c>
    </row>
    <row r="1326" customFormat="false" ht="14.25" hidden="false" customHeight="false" outlineLevel="0" collapsed="false">
      <c r="A1326" s="1" t="n">
        <v>232</v>
      </c>
      <c r="B1326" s="1" t="s">
        <v>702</v>
      </c>
      <c r="C1326" s="1" t="s">
        <v>703</v>
      </c>
      <c r="D1326" s="1" t="n">
        <v>11197</v>
      </c>
      <c r="E1326" s="1" t="s">
        <v>53</v>
      </c>
      <c r="F1326" s="201" t="n">
        <v>200025888632</v>
      </c>
      <c r="G1326" s="198" t="s">
        <v>598</v>
      </c>
      <c r="H1326" s="163" t="s">
        <v>393</v>
      </c>
      <c r="I1326" s="161" t="n">
        <v>83</v>
      </c>
      <c r="J1326" s="156" t="s">
        <v>192</v>
      </c>
      <c r="K1326" s="200" t="n">
        <v>45453.2753935185</v>
      </c>
      <c r="L1326" s="1" t="n">
        <v>1</v>
      </c>
      <c r="M1326" s="156" t="s">
        <v>192</v>
      </c>
      <c r="N1326" s="1" t="n">
        <v>838</v>
      </c>
    </row>
    <row r="1327" customFormat="false" ht="14.25" hidden="false" customHeight="false" outlineLevel="0" collapsed="false">
      <c r="A1327" s="1" t="n">
        <v>233</v>
      </c>
      <c r="B1327" s="1" t="s">
        <v>702</v>
      </c>
      <c r="C1327" s="1" t="s">
        <v>703</v>
      </c>
      <c r="D1327" s="1" t="n">
        <v>11197</v>
      </c>
      <c r="E1327" s="1" t="s">
        <v>53</v>
      </c>
      <c r="F1327" s="201" t="n">
        <v>200025888632</v>
      </c>
      <c r="G1327" s="198" t="s">
        <v>598</v>
      </c>
      <c r="H1327" s="163" t="s">
        <v>393</v>
      </c>
      <c r="I1327" s="161" t="n">
        <v>83</v>
      </c>
      <c r="J1327" s="156" t="s">
        <v>192</v>
      </c>
      <c r="K1327" s="200" t="n">
        <v>45453.2756365741</v>
      </c>
      <c r="L1327" s="1" t="n">
        <v>4</v>
      </c>
      <c r="M1327" s="156" t="s">
        <v>192</v>
      </c>
      <c r="N1327" s="1" t="n">
        <v>839</v>
      </c>
    </row>
    <row r="1328" customFormat="false" ht="14.25" hidden="false" customHeight="false" outlineLevel="0" collapsed="false">
      <c r="A1328" s="1" t="n">
        <v>234</v>
      </c>
      <c r="B1328" s="1" t="s">
        <v>702</v>
      </c>
      <c r="C1328" s="1" t="s">
        <v>703</v>
      </c>
      <c r="D1328" s="1" t="n">
        <v>11197</v>
      </c>
      <c r="E1328" s="1" t="s">
        <v>53</v>
      </c>
      <c r="F1328" s="201" t="n">
        <v>200025888632</v>
      </c>
      <c r="G1328" s="198" t="s">
        <v>598</v>
      </c>
      <c r="H1328" s="163" t="s">
        <v>393</v>
      </c>
      <c r="I1328" s="161" t="n">
        <v>83</v>
      </c>
      <c r="J1328" s="156" t="s">
        <v>192</v>
      </c>
      <c r="K1328" s="200" t="n">
        <v>45453.2761689815</v>
      </c>
      <c r="L1328" s="1" t="n">
        <v>1</v>
      </c>
      <c r="M1328" s="156" t="s">
        <v>192</v>
      </c>
      <c r="N1328" s="1" t="n">
        <v>840</v>
      </c>
    </row>
    <row r="1329" customFormat="false" ht="14.25" hidden="false" customHeight="false" outlineLevel="0" collapsed="false">
      <c r="A1329" s="1" t="n">
        <v>235</v>
      </c>
      <c r="B1329" s="1" t="s">
        <v>702</v>
      </c>
      <c r="C1329" s="1" t="s">
        <v>703</v>
      </c>
      <c r="D1329" s="1" t="n">
        <v>11197</v>
      </c>
      <c r="E1329" s="1" t="s">
        <v>53</v>
      </c>
      <c r="F1329" s="201" t="n">
        <v>200025888632</v>
      </c>
      <c r="G1329" s="198" t="s">
        <v>598</v>
      </c>
      <c r="H1329" s="163" t="s">
        <v>393</v>
      </c>
      <c r="I1329" s="161" t="n">
        <v>83</v>
      </c>
      <c r="J1329" s="156" t="s">
        <v>192</v>
      </c>
      <c r="K1329" s="200" t="n">
        <v>45453.2761805556</v>
      </c>
      <c r="L1329" s="1" t="n">
        <v>2</v>
      </c>
      <c r="M1329" s="156" t="s">
        <v>192</v>
      </c>
      <c r="N1329" s="1" t="n">
        <v>841</v>
      </c>
    </row>
    <row r="1330" customFormat="false" ht="14.25" hidden="false" customHeight="false" outlineLevel="0" collapsed="false">
      <c r="A1330" s="1" t="n">
        <v>219</v>
      </c>
      <c r="B1330" s="1" t="s">
        <v>565</v>
      </c>
      <c r="C1330" s="1" t="s">
        <v>566</v>
      </c>
      <c r="D1330" s="1" t="n">
        <v>11171</v>
      </c>
      <c r="E1330" s="1" t="s">
        <v>55</v>
      </c>
      <c r="F1330" s="198" t="n">
        <v>200025888632</v>
      </c>
      <c r="G1330" s="198" t="s">
        <v>598</v>
      </c>
      <c r="H1330" s="163" t="s">
        <v>393</v>
      </c>
      <c r="I1330" s="161" t="n">
        <v>83</v>
      </c>
      <c r="J1330" s="156" t="s">
        <v>192</v>
      </c>
      <c r="K1330" s="199" t="n">
        <v>45453.3222800926</v>
      </c>
      <c r="L1330" s="1" t="n">
        <v>0</v>
      </c>
      <c r="M1330" s="156" t="s">
        <v>192</v>
      </c>
      <c r="N1330" s="1" t="n">
        <v>842</v>
      </c>
    </row>
    <row r="1331" customFormat="false" ht="14.25" hidden="false" customHeight="false" outlineLevel="0" collapsed="false">
      <c r="A1331" s="1" t="n">
        <v>220</v>
      </c>
      <c r="B1331" s="1" t="s">
        <v>565</v>
      </c>
      <c r="C1331" s="1" t="s">
        <v>566</v>
      </c>
      <c r="D1331" s="1" t="n">
        <v>11171</v>
      </c>
      <c r="E1331" s="1" t="s">
        <v>55</v>
      </c>
      <c r="F1331" s="198" t="n">
        <v>200025888632</v>
      </c>
      <c r="G1331" s="198" t="s">
        <v>598</v>
      </c>
      <c r="H1331" s="163" t="s">
        <v>393</v>
      </c>
      <c r="I1331" s="161" t="n">
        <v>83</v>
      </c>
      <c r="J1331" s="156" t="s">
        <v>192</v>
      </c>
      <c r="K1331" s="199" t="n">
        <v>45453.3222800926</v>
      </c>
      <c r="L1331" s="1" t="n">
        <v>1</v>
      </c>
      <c r="M1331" s="156" t="s">
        <v>192</v>
      </c>
      <c r="N1331" s="1" t="n">
        <v>843</v>
      </c>
    </row>
    <row r="1332" customFormat="false" ht="14.25" hidden="false" customHeight="false" outlineLevel="0" collapsed="false">
      <c r="A1332" s="1" t="n">
        <v>221</v>
      </c>
      <c r="B1332" s="1" t="s">
        <v>565</v>
      </c>
      <c r="C1332" s="1" t="s">
        <v>566</v>
      </c>
      <c r="D1332" s="1" t="n">
        <v>11171</v>
      </c>
      <c r="E1332" s="1" t="s">
        <v>55</v>
      </c>
      <c r="F1332" s="198" t="n">
        <v>200025889163</v>
      </c>
      <c r="G1332" s="198" t="s">
        <v>612</v>
      </c>
      <c r="H1332" s="163" t="s">
        <v>333</v>
      </c>
      <c r="I1332" s="161" t="n">
        <v>21</v>
      </c>
      <c r="J1332" s="156" t="s">
        <v>192</v>
      </c>
      <c r="K1332" s="199" t="n">
        <v>45453.3245949074</v>
      </c>
      <c r="L1332" s="1" t="n">
        <v>1</v>
      </c>
      <c r="M1332" s="156" t="s">
        <v>192</v>
      </c>
      <c r="N1332" s="1" t="n">
        <v>844</v>
      </c>
    </row>
    <row r="1333" customFormat="false" ht="14.25" hidden="false" customHeight="false" outlineLevel="0" collapsed="false">
      <c r="A1333" s="1" t="n">
        <v>222</v>
      </c>
      <c r="B1333" s="1" t="s">
        <v>565</v>
      </c>
      <c r="C1333" s="1" t="s">
        <v>566</v>
      </c>
      <c r="D1333" s="1" t="n">
        <v>11171</v>
      </c>
      <c r="E1333" s="1" t="s">
        <v>55</v>
      </c>
      <c r="F1333" s="198" t="n">
        <v>200025889163</v>
      </c>
      <c r="G1333" s="198" t="s">
        <v>612</v>
      </c>
      <c r="H1333" s="163" t="s">
        <v>333</v>
      </c>
      <c r="I1333" s="161" t="n">
        <v>21</v>
      </c>
      <c r="J1333" s="156" t="s">
        <v>192</v>
      </c>
      <c r="K1333" s="199" t="n">
        <v>45453.3251967593</v>
      </c>
      <c r="L1333" s="1" t="n">
        <v>3</v>
      </c>
      <c r="M1333" s="156" t="s">
        <v>192</v>
      </c>
      <c r="N1333" s="1" t="n">
        <v>845</v>
      </c>
    </row>
    <row r="1334" customFormat="false" ht="14.25" hidden="false" customHeight="false" outlineLevel="0" collapsed="false">
      <c r="A1334" s="1" t="n">
        <v>223</v>
      </c>
      <c r="B1334" s="1" t="s">
        <v>565</v>
      </c>
      <c r="C1334" s="1" t="s">
        <v>566</v>
      </c>
      <c r="D1334" s="1" t="n">
        <v>11171</v>
      </c>
      <c r="E1334" s="1" t="s">
        <v>55</v>
      </c>
      <c r="F1334" s="198" t="n">
        <v>200025888632</v>
      </c>
      <c r="G1334" s="198" t="s">
        <v>598</v>
      </c>
      <c r="H1334" s="163" t="s">
        <v>393</v>
      </c>
      <c r="I1334" s="161" t="n">
        <v>83</v>
      </c>
      <c r="J1334" s="156" t="s">
        <v>192</v>
      </c>
      <c r="K1334" s="199" t="n">
        <v>45453.3259606482</v>
      </c>
      <c r="L1334" s="1" t="n">
        <v>2</v>
      </c>
      <c r="M1334" s="156" t="s">
        <v>192</v>
      </c>
      <c r="N1334" s="1" t="n">
        <v>846</v>
      </c>
    </row>
    <row r="1335" customFormat="false" ht="14.25" hidden="false" customHeight="false" outlineLevel="0" collapsed="false">
      <c r="A1335" s="1" t="n">
        <v>224</v>
      </c>
      <c r="B1335" s="1" t="s">
        <v>565</v>
      </c>
      <c r="C1335" s="1" t="s">
        <v>566</v>
      </c>
      <c r="D1335" s="1" t="n">
        <v>11171</v>
      </c>
      <c r="E1335" s="1" t="s">
        <v>55</v>
      </c>
      <c r="F1335" s="198" t="n">
        <v>200025888632</v>
      </c>
      <c r="G1335" s="198" t="s">
        <v>598</v>
      </c>
      <c r="H1335" s="163" t="s">
        <v>393</v>
      </c>
      <c r="I1335" s="161" t="n">
        <v>83</v>
      </c>
      <c r="J1335" s="156" t="s">
        <v>192</v>
      </c>
      <c r="K1335" s="199" t="n">
        <v>45453.32625</v>
      </c>
      <c r="L1335" s="1" t="n">
        <v>2</v>
      </c>
      <c r="M1335" s="156" t="s">
        <v>192</v>
      </c>
      <c r="N1335" s="1" t="n">
        <v>847</v>
      </c>
    </row>
    <row r="1336" customFormat="false" ht="14.25" hidden="false" customHeight="false" outlineLevel="0" collapsed="false">
      <c r="A1336" s="1" t="n">
        <v>225</v>
      </c>
      <c r="B1336" s="1" t="s">
        <v>565</v>
      </c>
      <c r="C1336" s="1" t="s">
        <v>566</v>
      </c>
      <c r="D1336" s="1" t="n">
        <v>11171</v>
      </c>
      <c r="E1336" s="1" t="s">
        <v>55</v>
      </c>
      <c r="F1336" s="198" t="n">
        <v>200025888632</v>
      </c>
      <c r="G1336" s="198" t="s">
        <v>598</v>
      </c>
      <c r="H1336" s="163" t="s">
        <v>393</v>
      </c>
      <c r="I1336" s="161" t="n">
        <v>83</v>
      </c>
      <c r="J1336" s="156" t="s">
        <v>192</v>
      </c>
      <c r="K1336" s="199" t="n">
        <v>45453.3262847222</v>
      </c>
      <c r="L1336" s="1" t="n">
        <v>1</v>
      </c>
      <c r="M1336" s="156" t="s">
        <v>192</v>
      </c>
      <c r="N1336" s="1" t="n">
        <v>848</v>
      </c>
    </row>
    <row r="1337" customFormat="false" ht="14.25" hidden="false" customHeight="false" outlineLevel="0" collapsed="false">
      <c r="A1337" s="1" t="n">
        <v>226</v>
      </c>
      <c r="B1337" s="1" t="s">
        <v>565</v>
      </c>
      <c r="C1337" s="1" t="s">
        <v>566</v>
      </c>
      <c r="D1337" s="1" t="n">
        <v>11171</v>
      </c>
      <c r="E1337" s="1" t="s">
        <v>55</v>
      </c>
      <c r="F1337" s="198" t="n">
        <v>200025888632</v>
      </c>
      <c r="G1337" s="198" t="s">
        <v>598</v>
      </c>
      <c r="H1337" s="163" t="s">
        <v>393</v>
      </c>
      <c r="I1337" s="161" t="n">
        <v>83</v>
      </c>
      <c r="J1337" s="156" t="s">
        <v>192</v>
      </c>
      <c r="K1337" s="199" t="n">
        <v>45453.3264814815</v>
      </c>
      <c r="L1337" s="1" t="n">
        <v>0</v>
      </c>
      <c r="M1337" s="156" t="s">
        <v>192</v>
      </c>
      <c r="N1337" s="1" t="n">
        <v>849</v>
      </c>
    </row>
    <row r="1338" customFormat="false" ht="14.25" hidden="false" customHeight="false" outlineLevel="0" collapsed="false">
      <c r="A1338" s="1" t="n">
        <v>227</v>
      </c>
      <c r="B1338" s="1" t="s">
        <v>565</v>
      </c>
      <c r="C1338" s="1" t="s">
        <v>566</v>
      </c>
      <c r="D1338" s="1" t="n">
        <v>11171</v>
      </c>
      <c r="E1338" s="1" t="s">
        <v>55</v>
      </c>
      <c r="F1338" s="198" t="n">
        <v>200025888632</v>
      </c>
      <c r="G1338" s="198" t="s">
        <v>598</v>
      </c>
      <c r="H1338" s="163" t="s">
        <v>393</v>
      </c>
      <c r="I1338" s="161" t="n">
        <v>83</v>
      </c>
      <c r="J1338" s="156" t="s">
        <v>192</v>
      </c>
      <c r="K1338" s="199" t="n">
        <v>45453.3264930556</v>
      </c>
      <c r="L1338" s="1" t="n">
        <v>1</v>
      </c>
      <c r="M1338" s="156" t="s">
        <v>192</v>
      </c>
      <c r="N1338" s="1" t="n">
        <v>850</v>
      </c>
    </row>
    <row r="1339" customFormat="false" ht="14.25" hidden="false" customHeight="false" outlineLevel="0" collapsed="false">
      <c r="A1339" s="1" t="n">
        <v>236</v>
      </c>
      <c r="B1339" s="1" t="s">
        <v>702</v>
      </c>
      <c r="C1339" s="1" t="s">
        <v>703</v>
      </c>
      <c r="D1339" s="1" t="n">
        <v>11197</v>
      </c>
      <c r="E1339" s="1" t="s">
        <v>53</v>
      </c>
      <c r="F1339" s="201" t="n">
        <v>200025888632</v>
      </c>
      <c r="G1339" s="198" t="s">
        <v>598</v>
      </c>
      <c r="H1339" s="163" t="s">
        <v>393</v>
      </c>
      <c r="I1339" s="161" t="n">
        <v>83</v>
      </c>
      <c r="J1339" s="156" t="s">
        <v>192</v>
      </c>
      <c r="K1339" s="200" t="n">
        <v>45453.3281597222</v>
      </c>
      <c r="L1339" s="1" t="n">
        <v>3</v>
      </c>
      <c r="M1339" s="156" t="s">
        <v>192</v>
      </c>
      <c r="N1339" s="1" t="n">
        <v>851</v>
      </c>
    </row>
    <row r="1340" customFormat="false" ht="14.25" hidden="false" customHeight="false" outlineLevel="0" collapsed="false">
      <c r="A1340" s="1" t="n">
        <v>228</v>
      </c>
      <c r="B1340" s="1" t="s">
        <v>565</v>
      </c>
      <c r="C1340" s="1" t="s">
        <v>566</v>
      </c>
      <c r="D1340" s="1" t="n">
        <v>11171</v>
      </c>
      <c r="E1340" s="1" t="s">
        <v>55</v>
      </c>
      <c r="F1340" s="198" t="n">
        <v>200025889791</v>
      </c>
      <c r="G1340" s="198" t="s">
        <v>688</v>
      </c>
      <c r="H1340" s="163" t="s">
        <v>510</v>
      </c>
      <c r="I1340" s="161" t="n">
        <v>80</v>
      </c>
      <c r="J1340" s="156" t="s">
        <v>192</v>
      </c>
      <c r="K1340" s="199" t="n">
        <v>45453.3289351852</v>
      </c>
      <c r="L1340" s="1" t="n">
        <v>1</v>
      </c>
      <c r="M1340" s="156" t="s">
        <v>192</v>
      </c>
      <c r="N1340" s="1" t="n">
        <v>852</v>
      </c>
    </row>
    <row r="1341" customFormat="false" ht="14.25" hidden="false" customHeight="false" outlineLevel="0" collapsed="false">
      <c r="A1341" s="1" t="n">
        <v>229</v>
      </c>
      <c r="B1341" s="1" t="s">
        <v>565</v>
      </c>
      <c r="C1341" s="1" t="s">
        <v>566</v>
      </c>
      <c r="D1341" s="1" t="n">
        <v>11171</v>
      </c>
      <c r="E1341" s="1" t="s">
        <v>55</v>
      </c>
      <c r="F1341" s="198" t="n">
        <v>200025888632</v>
      </c>
      <c r="G1341" s="198" t="s">
        <v>598</v>
      </c>
      <c r="H1341" s="163" t="s">
        <v>393</v>
      </c>
      <c r="I1341" s="161" t="n">
        <v>83</v>
      </c>
      <c r="J1341" s="156" t="s">
        <v>192</v>
      </c>
      <c r="K1341" s="199" t="n">
        <v>45453.3389467593</v>
      </c>
      <c r="L1341" s="1" t="n">
        <v>2</v>
      </c>
      <c r="M1341" s="156" t="s">
        <v>192</v>
      </c>
      <c r="N1341" s="1" t="n">
        <v>853</v>
      </c>
    </row>
    <row r="1342" customFormat="false" ht="14.25" hidden="false" customHeight="false" outlineLevel="0" collapsed="false">
      <c r="A1342" s="1" t="n">
        <v>230</v>
      </c>
      <c r="B1342" s="1" t="s">
        <v>565</v>
      </c>
      <c r="C1342" s="1" t="s">
        <v>566</v>
      </c>
      <c r="D1342" s="1" t="n">
        <v>11171</v>
      </c>
      <c r="E1342" s="1" t="s">
        <v>55</v>
      </c>
      <c r="F1342" s="198" t="n">
        <v>200025888632</v>
      </c>
      <c r="G1342" s="198" t="s">
        <v>598</v>
      </c>
      <c r="H1342" s="163" t="s">
        <v>393</v>
      </c>
      <c r="I1342" s="161" t="n">
        <v>83</v>
      </c>
      <c r="J1342" s="156" t="s">
        <v>192</v>
      </c>
      <c r="K1342" s="199" t="n">
        <v>45453.3488194444</v>
      </c>
      <c r="L1342" s="1" t="n">
        <v>1</v>
      </c>
      <c r="M1342" s="156" t="s">
        <v>192</v>
      </c>
      <c r="N1342" s="1" t="n">
        <v>854</v>
      </c>
    </row>
    <row r="1343" customFormat="false" ht="14.25" hidden="false" customHeight="false" outlineLevel="0" collapsed="false">
      <c r="A1343" s="1" t="n">
        <v>231</v>
      </c>
      <c r="B1343" s="1" t="s">
        <v>565</v>
      </c>
      <c r="C1343" s="1" t="s">
        <v>566</v>
      </c>
      <c r="D1343" s="1" t="n">
        <v>11171</v>
      </c>
      <c r="E1343" s="1" t="s">
        <v>55</v>
      </c>
      <c r="F1343" s="198" t="n">
        <v>200025888632</v>
      </c>
      <c r="G1343" s="198" t="s">
        <v>598</v>
      </c>
      <c r="H1343" s="163" t="s">
        <v>393</v>
      </c>
      <c r="I1343" s="161" t="n">
        <v>83</v>
      </c>
      <c r="J1343" s="156" t="s">
        <v>192</v>
      </c>
      <c r="K1343" s="199" t="n">
        <v>45453.3488310185</v>
      </c>
      <c r="L1343" s="1" t="n">
        <v>14</v>
      </c>
      <c r="M1343" s="156" t="s">
        <v>192</v>
      </c>
      <c r="N1343" s="1" t="n">
        <v>855</v>
      </c>
    </row>
    <row r="1344" customFormat="false" ht="14.25" hidden="false" customHeight="false" outlineLevel="0" collapsed="false">
      <c r="A1344" s="1" t="n">
        <v>232</v>
      </c>
      <c r="B1344" s="1" t="s">
        <v>565</v>
      </c>
      <c r="C1344" s="1" t="s">
        <v>566</v>
      </c>
      <c r="D1344" s="1" t="n">
        <v>11171</v>
      </c>
      <c r="E1344" s="1" t="s">
        <v>55</v>
      </c>
      <c r="F1344" s="198" t="n">
        <v>200025888632</v>
      </c>
      <c r="G1344" s="198" t="s">
        <v>598</v>
      </c>
      <c r="H1344" s="163" t="s">
        <v>393</v>
      </c>
      <c r="I1344" s="161" t="n">
        <v>83</v>
      </c>
      <c r="J1344" s="156" t="s">
        <v>192</v>
      </c>
      <c r="K1344" s="199" t="n">
        <v>45453.3490046296</v>
      </c>
      <c r="L1344" s="1" t="n">
        <v>0</v>
      </c>
      <c r="M1344" s="156" t="s">
        <v>192</v>
      </c>
      <c r="N1344" s="1" t="n">
        <v>856</v>
      </c>
    </row>
    <row r="1345" customFormat="false" ht="14.25" hidden="false" customHeight="false" outlineLevel="0" collapsed="false">
      <c r="A1345" s="1" t="n">
        <v>233</v>
      </c>
      <c r="B1345" s="1" t="s">
        <v>565</v>
      </c>
      <c r="C1345" s="1" t="s">
        <v>566</v>
      </c>
      <c r="D1345" s="1" t="n">
        <v>11171</v>
      </c>
      <c r="E1345" s="1" t="s">
        <v>55</v>
      </c>
      <c r="F1345" s="198" t="n">
        <v>200025888632</v>
      </c>
      <c r="G1345" s="198" t="s">
        <v>598</v>
      </c>
      <c r="H1345" s="163" t="s">
        <v>393</v>
      </c>
      <c r="I1345" s="161" t="n">
        <v>83</v>
      </c>
      <c r="J1345" s="156" t="s">
        <v>192</v>
      </c>
      <c r="K1345" s="199" t="n">
        <v>45453.3750115741</v>
      </c>
      <c r="L1345" s="1" t="n">
        <v>1</v>
      </c>
      <c r="M1345" s="156" t="s">
        <v>192</v>
      </c>
      <c r="N1345" s="1" t="n">
        <v>857</v>
      </c>
    </row>
    <row r="1346" customFormat="false" ht="14.25" hidden="false" customHeight="false" outlineLevel="0" collapsed="false">
      <c r="A1346" s="1" t="n">
        <v>234</v>
      </c>
      <c r="B1346" s="1" t="s">
        <v>565</v>
      </c>
      <c r="C1346" s="1" t="s">
        <v>566</v>
      </c>
      <c r="D1346" s="1" t="n">
        <v>11171</v>
      </c>
      <c r="E1346" s="1" t="s">
        <v>55</v>
      </c>
      <c r="F1346" s="198" t="n">
        <v>200025888632</v>
      </c>
      <c r="G1346" s="198" t="s">
        <v>598</v>
      </c>
      <c r="H1346" s="163" t="s">
        <v>393</v>
      </c>
      <c r="I1346" s="161" t="n">
        <v>83</v>
      </c>
      <c r="J1346" s="156" t="s">
        <v>192</v>
      </c>
      <c r="K1346" s="199" t="n">
        <v>45453.3753819445</v>
      </c>
      <c r="L1346" s="1" t="n">
        <v>0</v>
      </c>
      <c r="M1346" s="156" t="s">
        <v>192</v>
      </c>
      <c r="N1346" s="1" t="n">
        <v>858</v>
      </c>
    </row>
    <row r="1347" customFormat="false" ht="14.25" hidden="false" customHeight="false" outlineLevel="0" collapsed="false">
      <c r="A1347" s="1" t="n">
        <v>235</v>
      </c>
      <c r="B1347" s="1" t="s">
        <v>565</v>
      </c>
      <c r="C1347" s="1" t="s">
        <v>566</v>
      </c>
      <c r="D1347" s="1" t="n">
        <v>11171</v>
      </c>
      <c r="E1347" s="1" t="s">
        <v>55</v>
      </c>
      <c r="F1347" s="198" t="n">
        <v>200025888632</v>
      </c>
      <c r="G1347" s="198" t="s">
        <v>598</v>
      </c>
      <c r="H1347" s="163" t="s">
        <v>393</v>
      </c>
      <c r="I1347" s="161" t="n">
        <v>83</v>
      </c>
      <c r="J1347" s="156" t="s">
        <v>192</v>
      </c>
      <c r="K1347" s="199" t="n">
        <v>45453.3753935185</v>
      </c>
      <c r="L1347" s="1" t="n">
        <v>1</v>
      </c>
      <c r="M1347" s="156" t="s">
        <v>192</v>
      </c>
      <c r="N1347" s="1" t="n">
        <v>859</v>
      </c>
    </row>
    <row r="1348" customFormat="false" ht="14.25" hidden="false" customHeight="false" outlineLevel="0" collapsed="false">
      <c r="A1348" s="1" t="n">
        <v>236</v>
      </c>
      <c r="B1348" s="1" t="s">
        <v>565</v>
      </c>
      <c r="C1348" s="1" t="s">
        <v>566</v>
      </c>
      <c r="D1348" s="1" t="n">
        <v>11171</v>
      </c>
      <c r="E1348" s="1" t="s">
        <v>55</v>
      </c>
      <c r="F1348" s="198" t="n">
        <v>200025888632</v>
      </c>
      <c r="G1348" s="198" t="s">
        <v>598</v>
      </c>
      <c r="H1348" s="163" t="s">
        <v>393</v>
      </c>
      <c r="I1348" s="161" t="n">
        <v>83</v>
      </c>
      <c r="J1348" s="156" t="s">
        <v>192</v>
      </c>
      <c r="K1348" s="199" t="n">
        <v>45453.3759143519</v>
      </c>
      <c r="L1348" s="1" t="n">
        <v>1</v>
      </c>
      <c r="M1348" s="156" t="s">
        <v>192</v>
      </c>
      <c r="N1348" s="1" t="n">
        <v>860</v>
      </c>
    </row>
    <row r="1349" customFormat="false" ht="14.25" hidden="false" customHeight="false" outlineLevel="0" collapsed="false">
      <c r="A1349" s="1" t="n">
        <v>237</v>
      </c>
      <c r="B1349" s="1" t="s">
        <v>565</v>
      </c>
      <c r="C1349" s="1" t="s">
        <v>566</v>
      </c>
      <c r="D1349" s="1" t="n">
        <v>11171</v>
      </c>
      <c r="E1349" s="1" t="s">
        <v>55</v>
      </c>
      <c r="F1349" s="198" t="n">
        <v>200025888632</v>
      </c>
      <c r="G1349" s="198" t="s">
        <v>598</v>
      </c>
      <c r="H1349" s="163" t="s">
        <v>393</v>
      </c>
      <c r="I1349" s="161" t="n">
        <v>83</v>
      </c>
      <c r="J1349" s="156" t="s">
        <v>192</v>
      </c>
      <c r="K1349" s="199" t="n">
        <v>45453.3760185185</v>
      </c>
      <c r="L1349" s="1" t="n">
        <v>3</v>
      </c>
      <c r="M1349" s="156" t="s">
        <v>192</v>
      </c>
      <c r="N1349" s="1" t="n">
        <v>861</v>
      </c>
    </row>
    <row r="1350" customFormat="false" ht="14.25" hidden="false" customHeight="false" outlineLevel="0" collapsed="false">
      <c r="A1350" s="1" t="n">
        <v>238</v>
      </c>
      <c r="B1350" s="1" t="s">
        <v>565</v>
      </c>
      <c r="C1350" s="1" t="s">
        <v>566</v>
      </c>
      <c r="D1350" s="1" t="n">
        <v>11171</v>
      </c>
      <c r="E1350" s="1" t="s">
        <v>55</v>
      </c>
      <c r="F1350" s="198" t="n">
        <v>200025888632</v>
      </c>
      <c r="G1350" s="198" t="s">
        <v>598</v>
      </c>
      <c r="H1350" s="163" t="s">
        <v>393</v>
      </c>
      <c r="I1350" s="161" t="n">
        <v>83</v>
      </c>
      <c r="J1350" s="156" t="s">
        <v>192</v>
      </c>
      <c r="K1350" s="199" t="n">
        <v>45453.3762731482</v>
      </c>
      <c r="L1350" s="1" t="n">
        <v>0</v>
      </c>
      <c r="M1350" s="156" t="s">
        <v>192</v>
      </c>
      <c r="N1350" s="1" t="n">
        <v>862</v>
      </c>
    </row>
    <row r="1351" customFormat="false" ht="14.25" hidden="false" customHeight="false" outlineLevel="0" collapsed="false">
      <c r="A1351" s="1" t="n">
        <v>239</v>
      </c>
      <c r="B1351" s="1" t="s">
        <v>565</v>
      </c>
      <c r="C1351" s="1" t="s">
        <v>566</v>
      </c>
      <c r="D1351" s="1" t="n">
        <v>11171</v>
      </c>
      <c r="E1351" s="1" t="s">
        <v>55</v>
      </c>
      <c r="F1351" s="198" t="n">
        <v>200025888632</v>
      </c>
      <c r="G1351" s="198" t="s">
        <v>598</v>
      </c>
      <c r="H1351" s="163" t="s">
        <v>393</v>
      </c>
      <c r="I1351" s="161" t="n">
        <v>83</v>
      </c>
      <c r="J1351" s="156" t="s">
        <v>192</v>
      </c>
      <c r="K1351" s="199" t="n">
        <v>45453.3763773148</v>
      </c>
      <c r="L1351" s="1" t="n">
        <v>0</v>
      </c>
      <c r="M1351" s="156" t="s">
        <v>192</v>
      </c>
      <c r="N1351" s="1" t="n">
        <v>863</v>
      </c>
    </row>
    <row r="1352" customFormat="false" ht="14.25" hidden="false" customHeight="false" outlineLevel="0" collapsed="false">
      <c r="A1352" s="1" t="n">
        <v>240</v>
      </c>
      <c r="B1352" s="1" t="s">
        <v>565</v>
      </c>
      <c r="C1352" s="1" t="s">
        <v>566</v>
      </c>
      <c r="D1352" s="1" t="n">
        <v>11171</v>
      </c>
      <c r="E1352" s="1" t="s">
        <v>55</v>
      </c>
      <c r="F1352" s="198" t="n">
        <v>200025888632</v>
      </c>
      <c r="G1352" s="198" t="s">
        <v>598</v>
      </c>
      <c r="H1352" s="163" t="s">
        <v>393</v>
      </c>
      <c r="I1352" s="161" t="n">
        <v>83</v>
      </c>
      <c r="J1352" s="156" t="s">
        <v>192</v>
      </c>
      <c r="K1352" s="199" t="n">
        <v>45453.3763888889</v>
      </c>
      <c r="L1352" s="1" t="n">
        <v>0</v>
      </c>
      <c r="M1352" s="156" t="s">
        <v>192</v>
      </c>
      <c r="N1352" s="1" t="n">
        <v>864</v>
      </c>
    </row>
    <row r="1353" customFormat="false" ht="14.25" hidden="false" customHeight="false" outlineLevel="0" collapsed="false">
      <c r="A1353" s="1" t="n">
        <v>241</v>
      </c>
      <c r="B1353" s="1" t="s">
        <v>565</v>
      </c>
      <c r="C1353" s="1" t="s">
        <v>566</v>
      </c>
      <c r="D1353" s="1" t="n">
        <v>11171</v>
      </c>
      <c r="E1353" s="1" t="s">
        <v>55</v>
      </c>
      <c r="F1353" s="198" t="n">
        <v>200025888632</v>
      </c>
      <c r="G1353" s="198" t="s">
        <v>598</v>
      </c>
      <c r="H1353" s="163" t="s">
        <v>393</v>
      </c>
      <c r="I1353" s="161" t="n">
        <v>83</v>
      </c>
      <c r="J1353" s="156" t="s">
        <v>192</v>
      </c>
      <c r="K1353" s="199" t="n">
        <v>45453.3768287037</v>
      </c>
      <c r="L1353" s="1" t="n">
        <v>1</v>
      </c>
      <c r="M1353" s="156" t="s">
        <v>192</v>
      </c>
      <c r="N1353" s="1" t="n">
        <v>865</v>
      </c>
    </row>
    <row r="1354" customFormat="false" ht="14.25" hidden="false" customHeight="false" outlineLevel="0" collapsed="false">
      <c r="A1354" s="1" t="n">
        <v>242</v>
      </c>
      <c r="B1354" s="1" t="s">
        <v>565</v>
      </c>
      <c r="C1354" s="1" t="s">
        <v>566</v>
      </c>
      <c r="D1354" s="1" t="n">
        <v>11171</v>
      </c>
      <c r="E1354" s="1" t="s">
        <v>55</v>
      </c>
      <c r="F1354" s="198" t="n">
        <v>200025888632</v>
      </c>
      <c r="G1354" s="198" t="s">
        <v>598</v>
      </c>
      <c r="H1354" s="163" t="s">
        <v>393</v>
      </c>
      <c r="I1354" s="161" t="n">
        <v>83</v>
      </c>
      <c r="J1354" s="156" t="s">
        <v>192</v>
      </c>
      <c r="K1354" s="199" t="n">
        <v>45453.3774537037</v>
      </c>
      <c r="L1354" s="1" t="n">
        <v>2</v>
      </c>
      <c r="M1354" s="156" t="s">
        <v>192</v>
      </c>
      <c r="N1354" s="1" t="n">
        <v>866</v>
      </c>
    </row>
    <row r="1355" customFormat="false" ht="14.25" hidden="false" customHeight="false" outlineLevel="0" collapsed="false">
      <c r="A1355" s="1" t="n">
        <v>243</v>
      </c>
      <c r="B1355" s="1" t="s">
        <v>565</v>
      </c>
      <c r="C1355" s="1" t="s">
        <v>566</v>
      </c>
      <c r="D1355" s="1" t="n">
        <v>11171</v>
      </c>
      <c r="E1355" s="1" t="s">
        <v>55</v>
      </c>
      <c r="F1355" s="198" t="n">
        <v>200025888632</v>
      </c>
      <c r="G1355" s="198" t="s">
        <v>598</v>
      </c>
      <c r="H1355" s="163" t="s">
        <v>393</v>
      </c>
      <c r="I1355" s="161" t="n">
        <v>83</v>
      </c>
      <c r="J1355" s="156" t="s">
        <v>192</v>
      </c>
      <c r="K1355" s="199" t="n">
        <v>45453.3775231482</v>
      </c>
      <c r="L1355" s="1" t="n">
        <v>2</v>
      </c>
      <c r="M1355" s="156" t="s">
        <v>192</v>
      </c>
      <c r="N1355" s="1" t="n">
        <v>867</v>
      </c>
    </row>
    <row r="1356" customFormat="false" ht="14.25" hidden="false" customHeight="false" outlineLevel="0" collapsed="false">
      <c r="A1356" s="1" t="n">
        <v>237</v>
      </c>
      <c r="B1356" s="1" t="s">
        <v>702</v>
      </c>
      <c r="C1356" s="1" t="s">
        <v>703</v>
      </c>
      <c r="D1356" s="1" t="n">
        <v>11197</v>
      </c>
      <c r="E1356" s="1" t="s">
        <v>53</v>
      </c>
      <c r="F1356" s="201" t="n">
        <v>200025889427</v>
      </c>
      <c r="G1356" s="198" t="s">
        <v>596</v>
      </c>
      <c r="H1356" s="163" t="s">
        <v>534</v>
      </c>
      <c r="I1356" s="161" t="n">
        <v>98</v>
      </c>
      <c r="J1356" s="156" t="s">
        <v>192</v>
      </c>
      <c r="K1356" s="200" t="n">
        <v>45453.3854861111</v>
      </c>
      <c r="L1356" s="207" t="n">
        <v>122</v>
      </c>
      <c r="M1356" s="156" t="s">
        <v>192</v>
      </c>
      <c r="N1356" s="1" t="n">
        <v>868</v>
      </c>
    </row>
    <row r="1357" customFormat="false" ht="14.25" hidden="false" customHeight="false" outlineLevel="0" collapsed="false">
      <c r="A1357" s="1" t="n">
        <v>238</v>
      </c>
      <c r="B1357" s="1" t="s">
        <v>702</v>
      </c>
      <c r="C1357" s="1" t="s">
        <v>703</v>
      </c>
      <c r="D1357" s="1" t="n">
        <v>11197</v>
      </c>
      <c r="E1357" s="1" t="s">
        <v>53</v>
      </c>
      <c r="F1357" s="201" t="n">
        <v>200025888632</v>
      </c>
      <c r="G1357" s="198" t="s">
        <v>598</v>
      </c>
      <c r="H1357" s="163" t="s">
        <v>393</v>
      </c>
      <c r="I1357" s="161" t="n">
        <v>83</v>
      </c>
      <c r="J1357" s="156" t="s">
        <v>192</v>
      </c>
      <c r="K1357" s="200" t="n">
        <v>45453.3925578704</v>
      </c>
      <c r="L1357" s="1" t="n">
        <v>0</v>
      </c>
      <c r="M1357" s="156" t="s">
        <v>192</v>
      </c>
      <c r="N1357" s="1" t="n">
        <v>869</v>
      </c>
    </row>
    <row r="1358" customFormat="false" ht="14.25" hidden="false" customHeight="false" outlineLevel="0" collapsed="false">
      <c r="A1358" s="1" t="n">
        <v>239</v>
      </c>
      <c r="B1358" s="1" t="s">
        <v>702</v>
      </c>
      <c r="C1358" s="1" t="s">
        <v>703</v>
      </c>
      <c r="D1358" s="1" t="n">
        <v>11197</v>
      </c>
      <c r="E1358" s="1" t="s">
        <v>53</v>
      </c>
      <c r="F1358" s="201" t="n">
        <v>200025888632</v>
      </c>
      <c r="G1358" s="198" t="s">
        <v>598</v>
      </c>
      <c r="H1358" s="163" t="s">
        <v>393</v>
      </c>
      <c r="I1358" s="161" t="n">
        <v>83</v>
      </c>
      <c r="J1358" s="156" t="s">
        <v>192</v>
      </c>
      <c r="K1358" s="200" t="n">
        <v>45453.3928703704</v>
      </c>
      <c r="L1358" s="1" t="n">
        <v>1</v>
      </c>
      <c r="M1358" s="156" t="s">
        <v>192</v>
      </c>
      <c r="N1358" s="1" t="n">
        <v>870</v>
      </c>
    </row>
    <row r="1359" customFormat="false" ht="14.25" hidden="false" customHeight="false" outlineLevel="0" collapsed="false">
      <c r="A1359" s="1" t="n">
        <v>240</v>
      </c>
      <c r="B1359" s="1" t="s">
        <v>702</v>
      </c>
      <c r="C1359" s="1" t="s">
        <v>703</v>
      </c>
      <c r="D1359" s="1" t="n">
        <v>11197</v>
      </c>
      <c r="E1359" s="1" t="s">
        <v>53</v>
      </c>
      <c r="F1359" s="201" t="n">
        <v>200025888632</v>
      </c>
      <c r="G1359" s="198" t="s">
        <v>598</v>
      </c>
      <c r="H1359" s="163" t="s">
        <v>393</v>
      </c>
      <c r="I1359" s="161" t="n">
        <v>83</v>
      </c>
      <c r="J1359" s="156" t="s">
        <v>192</v>
      </c>
      <c r="K1359" s="200" t="n">
        <v>45453.3932175926</v>
      </c>
      <c r="L1359" s="1" t="n">
        <v>2</v>
      </c>
      <c r="M1359" s="156" t="s">
        <v>192</v>
      </c>
      <c r="N1359" s="1" t="n">
        <v>871</v>
      </c>
    </row>
    <row r="1360" customFormat="false" ht="14.25" hidden="false" customHeight="false" outlineLevel="0" collapsed="false">
      <c r="A1360" s="1" t="n">
        <v>241</v>
      </c>
      <c r="B1360" s="1" t="s">
        <v>702</v>
      </c>
      <c r="C1360" s="1" t="s">
        <v>703</v>
      </c>
      <c r="D1360" s="1" t="n">
        <v>11197</v>
      </c>
      <c r="E1360" s="1" t="s">
        <v>53</v>
      </c>
      <c r="F1360" s="201" t="n">
        <v>200025888632</v>
      </c>
      <c r="G1360" s="198" t="s">
        <v>598</v>
      </c>
      <c r="H1360" s="163" t="s">
        <v>393</v>
      </c>
      <c r="I1360" s="161" t="n">
        <v>83</v>
      </c>
      <c r="J1360" s="156" t="s">
        <v>192</v>
      </c>
      <c r="K1360" s="200" t="n">
        <v>45453.3933796296</v>
      </c>
      <c r="L1360" s="1" t="n">
        <v>1</v>
      </c>
      <c r="M1360" s="156" t="s">
        <v>192</v>
      </c>
      <c r="N1360" s="1" t="n">
        <v>872</v>
      </c>
    </row>
    <row r="1361" customFormat="false" ht="14.25" hidden="false" customHeight="false" outlineLevel="0" collapsed="false">
      <c r="A1361" s="1" t="n">
        <v>242</v>
      </c>
      <c r="B1361" s="1" t="s">
        <v>702</v>
      </c>
      <c r="C1361" s="1" t="s">
        <v>703</v>
      </c>
      <c r="D1361" s="1" t="n">
        <v>11197</v>
      </c>
      <c r="E1361" s="1" t="s">
        <v>53</v>
      </c>
      <c r="F1361" s="201" t="n">
        <v>200025888632</v>
      </c>
      <c r="G1361" s="198" t="s">
        <v>598</v>
      </c>
      <c r="H1361" s="163" t="s">
        <v>393</v>
      </c>
      <c r="I1361" s="161" t="n">
        <v>83</v>
      </c>
      <c r="J1361" s="156" t="s">
        <v>192</v>
      </c>
      <c r="K1361" s="200" t="n">
        <v>45453.3933912037</v>
      </c>
      <c r="L1361" s="1" t="n">
        <v>0</v>
      </c>
      <c r="M1361" s="156" t="s">
        <v>192</v>
      </c>
      <c r="N1361" s="1" t="n">
        <v>873</v>
      </c>
    </row>
    <row r="1362" customFormat="false" ht="14.25" hidden="false" customHeight="false" outlineLevel="0" collapsed="false">
      <c r="A1362" s="1" t="n">
        <v>244</v>
      </c>
      <c r="B1362" s="1" t="s">
        <v>565</v>
      </c>
      <c r="C1362" s="1" t="s">
        <v>566</v>
      </c>
      <c r="D1362" s="1" t="n">
        <v>11171</v>
      </c>
      <c r="E1362" s="1" t="s">
        <v>55</v>
      </c>
      <c r="F1362" s="198" t="n">
        <v>200025888839</v>
      </c>
      <c r="G1362" s="198" t="s">
        <v>690</v>
      </c>
      <c r="H1362" s="163" t="s">
        <v>297</v>
      </c>
      <c r="I1362" s="161" t="n">
        <v>14</v>
      </c>
      <c r="J1362" s="156" t="s">
        <v>192</v>
      </c>
      <c r="K1362" s="199" t="n">
        <v>45453.4102083333</v>
      </c>
      <c r="L1362" s="1" t="n">
        <v>0</v>
      </c>
      <c r="M1362" s="156" t="s">
        <v>192</v>
      </c>
      <c r="N1362" s="1" t="n">
        <v>874</v>
      </c>
    </row>
    <row r="1363" customFormat="false" ht="14.25" hidden="false" customHeight="false" outlineLevel="0" collapsed="false">
      <c r="A1363" s="1" t="n">
        <v>245</v>
      </c>
      <c r="B1363" s="1" t="s">
        <v>565</v>
      </c>
      <c r="C1363" s="1" t="s">
        <v>566</v>
      </c>
      <c r="D1363" s="1" t="n">
        <v>11171</v>
      </c>
      <c r="E1363" s="1" t="s">
        <v>55</v>
      </c>
      <c r="F1363" s="198" t="n">
        <v>200025888839</v>
      </c>
      <c r="G1363" s="198" t="s">
        <v>690</v>
      </c>
      <c r="H1363" s="163" t="s">
        <v>297</v>
      </c>
      <c r="I1363" s="161" t="n">
        <v>14</v>
      </c>
      <c r="J1363" s="156" t="s">
        <v>192</v>
      </c>
      <c r="K1363" s="199" t="n">
        <v>45453.4105555556</v>
      </c>
      <c r="L1363" s="1" t="n">
        <v>1</v>
      </c>
      <c r="M1363" s="156" t="s">
        <v>192</v>
      </c>
      <c r="N1363" s="1" t="n">
        <v>875</v>
      </c>
    </row>
    <row r="1364" customFormat="false" ht="14.25" hidden="false" customHeight="false" outlineLevel="0" collapsed="false">
      <c r="A1364" s="1" t="n">
        <v>246</v>
      </c>
      <c r="B1364" s="1" t="s">
        <v>565</v>
      </c>
      <c r="C1364" s="1" t="s">
        <v>566</v>
      </c>
      <c r="D1364" s="1" t="n">
        <v>11171</v>
      </c>
      <c r="E1364" s="1" t="s">
        <v>55</v>
      </c>
      <c r="F1364" s="198" t="n">
        <v>200025888632</v>
      </c>
      <c r="G1364" s="198" t="s">
        <v>598</v>
      </c>
      <c r="H1364" s="163" t="s">
        <v>393</v>
      </c>
      <c r="I1364" s="161" t="n">
        <v>83</v>
      </c>
      <c r="J1364" s="156" t="s">
        <v>192</v>
      </c>
      <c r="K1364" s="199" t="n">
        <v>45453.4528819444</v>
      </c>
      <c r="L1364" s="1" t="n">
        <v>1</v>
      </c>
      <c r="M1364" s="156" t="s">
        <v>192</v>
      </c>
      <c r="N1364" s="1" t="n">
        <v>876</v>
      </c>
    </row>
    <row r="1365" customFormat="false" ht="14.25" hidden="false" customHeight="false" outlineLevel="0" collapsed="false">
      <c r="A1365" s="1" t="n">
        <v>247</v>
      </c>
      <c r="B1365" s="1" t="s">
        <v>565</v>
      </c>
      <c r="C1365" s="1" t="s">
        <v>566</v>
      </c>
      <c r="D1365" s="1" t="n">
        <v>11171</v>
      </c>
      <c r="E1365" s="1" t="s">
        <v>55</v>
      </c>
      <c r="F1365" s="198" t="n">
        <v>200025888632</v>
      </c>
      <c r="G1365" s="198" t="s">
        <v>598</v>
      </c>
      <c r="H1365" s="163" t="s">
        <v>393</v>
      </c>
      <c r="I1365" s="161" t="n">
        <v>83</v>
      </c>
      <c r="J1365" s="156" t="s">
        <v>192</v>
      </c>
      <c r="K1365" s="199" t="n">
        <v>45453.4528935185</v>
      </c>
      <c r="L1365" s="1" t="n">
        <v>0</v>
      </c>
      <c r="M1365" s="156" t="s">
        <v>192</v>
      </c>
      <c r="N1365" s="1" t="n">
        <v>877</v>
      </c>
    </row>
    <row r="1366" customFormat="false" ht="14.25" hidden="false" customHeight="false" outlineLevel="0" collapsed="false">
      <c r="A1366" s="1" t="n">
        <v>248</v>
      </c>
      <c r="B1366" s="1" t="s">
        <v>565</v>
      </c>
      <c r="C1366" s="1" t="s">
        <v>566</v>
      </c>
      <c r="D1366" s="1" t="n">
        <v>11171</v>
      </c>
      <c r="E1366" s="1" t="s">
        <v>55</v>
      </c>
      <c r="F1366" s="198" t="n">
        <v>200025888632</v>
      </c>
      <c r="G1366" s="198" t="s">
        <v>598</v>
      </c>
      <c r="H1366" s="163" t="s">
        <v>393</v>
      </c>
      <c r="I1366" s="161" t="n">
        <v>83</v>
      </c>
      <c r="J1366" s="156" t="s">
        <v>192</v>
      </c>
      <c r="K1366" s="199" t="n">
        <v>45453.4662847222</v>
      </c>
      <c r="L1366" s="1" t="n">
        <v>1</v>
      </c>
      <c r="M1366" s="156" t="s">
        <v>192</v>
      </c>
      <c r="N1366" s="1" t="n">
        <v>878</v>
      </c>
    </row>
    <row r="1367" customFormat="false" ht="14.25" hidden="false" customHeight="false" outlineLevel="0" collapsed="false">
      <c r="A1367" s="1" t="n">
        <v>249</v>
      </c>
      <c r="B1367" s="1" t="s">
        <v>565</v>
      </c>
      <c r="C1367" s="1" t="s">
        <v>566</v>
      </c>
      <c r="D1367" s="1" t="n">
        <v>11171</v>
      </c>
      <c r="E1367" s="1" t="s">
        <v>55</v>
      </c>
      <c r="F1367" s="198" t="n">
        <v>200025888632</v>
      </c>
      <c r="G1367" s="198" t="s">
        <v>598</v>
      </c>
      <c r="H1367" s="163" t="s">
        <v>393</v>
      </c>
      <c r="I1367" s="161" t="n">
        <v>83</v>
      </c>
      <c r="J1367" s="156" t="s">
        <v>192</v>
      </c>
      <c r="K1367" s="199" t="n">
        <v>45453.4665740741</v>
      </c>
      <c r="L1367" s="1" t="n">
        <v>2</v>
      </c>
      <c r="M1367" s="156" t="s">
        <v>192</v>
      </c>
      <c r="N1367" s="1" t="n">
        <v>879</v>
      </c>
    </row>
    <row r="1368" customFormat="false" ht="14.25" hidden="false" customHeight="false" outlineLevel="0" collapsed="false">
      <c r="A1368" s="1" t="n">
        <v>250</v>
      </c>
      <c r="B1368" s="1" t="s">
        <v>565</v>
      </c>
      <c r="C1368" s="1" t="s">
        <v>566</v>
      </c>
      <c r="D1368" s="1" t="n">
        <v>11171</v>
      </c>
      <c r="E1368" s="1" t="s">
        <v>55</v>
      </c>
      <c r="F1368" s="198" t="n">
        <v>200025888632</v>
      </c>
      <c r="G1368" s="198" t="s">
        <v>598</v>
      </c>
      <c r="H1368" s="163" t="s">
        <v>393</v>
      </c>
      <c r="I1368" s="161" t="n">
        <v>83</v>
      </c>
      <c r="J1368" s="156" t="s">
        <v>192</v>
      </c>
      <c r="K1368" s="199" t="n">
        <v>45453.4673611111</v>
      </c>
      <c r="L1368" s="1" t="n">
        <v>2</v>
      </c>
      <c r="M1368" s="156" t="s">
        <v>192</v>
      </c>
      <c r="N1368" s="1" t="n">
        <v>880</v>
      </c>
    </row>
    <row r="1369" customFormat="false" ht="14.25" hidden="false" customHeight="false" outlineLevel="0" collapsed="false">
      <c r="A1369" s="1" t="n">
        <v>243</v>
      </c>
      <c r="B1369" s="1" t="s">
        <v>702</v>
      </c>
      <c r="C1369" s="1" t="s">
        <v>703</v>
      </c>
      <c r="D1369" s="1" t="n">
        <v>11197</v>
      </c>
      <c r="E1369" s="1" t="s">
        <v>53</v>
      </c>
      <c r="F1369" s="201" t="n">
        <v>200025888632</v>
      </c>
      <c r="G1369" s="198" t="s">
        <v>598</v>
      </c>
      <c r="H1369" s="163" t="s">
        <v>393</v>
      </c>
      <c r="I1369" s="161" t="n">
        <v>83</v>
      </c>
      <c r="J1369" s="156" t="s">
        <v>192</v>
      </c>
      <c r="K1369" s="200" t="n">
        <v>45453.4683101852</v>
      </c>
      <c r="L1369" s="1" t="n">
        <v>3</v>
      </c>
      <c r="M1369" s="156" t="s">
        <v>192</v>
      </c>
      <c r="N1369" s="1" t="n">
        <v>881</v>
      </c>
    </row>
    <row r="1370" customFormat="false" ht="14.25" hidden="false" customHeight="false" outlineLevel="0" collapsed="false">
      <c r="A1370" s="1" t="n">
        <v>244</v>
      </c>
      <c r="B1370" s="1" t="s">
        <v>702</v>
      </c>
      <c r="C1370" s="1" t="s">
        <v>703</v>
      </c>
      <c r="D1370" s="1" t="n">
        <v>11197</v>
      </c>
      <c r="E1370" s="1" t="s">
        <v>53</v>
      </c>
      <c r="F1370" s="201" t="n">
        <v>200025888632</v>
      </c>
      <c r="G1370" s="198" t="s">
        <v>598</v>
      </c>
      <c r="H1370" s="163" t="s">
        <v>393</v>
      </c>
      <c r="I1370" s="161" t="n">
        <v>83</v>
      </c>
      <c r="J1370" s="156" t="s">
        <v>192</v>
      </c>
      <c r="K1370" s="200" t="n">
        <v>45453.4683564815</v>
      </c>
      <c r="L1370" s="1" t="n">
        <v>21</v>
      </c>
      <c r="M1370" s="156" t="s">
        <v>192</v>
      </c>
      <c r="N1370" s="1" t="n">
        <v>882</v>
      </c>
    </row>
    <row r="1371" customFormat="false" ht="14.25" hidden="false" customHeight="false" outlineLevel="0" collapsed="false">
      <c r="A1371" s="1" t="n">
        <v>251</v>
      </c>
      <c r="B1371" s="1" t="s">
        <v>565</v>
      </c>
      <c r="C1371" s="1" t="s">
        <v>566</v>
      </c>
      <c r="D1371" s="1" t="n">
        <v>11171</v>
      </c>
      <c r="E1371" s="1" t="s">
        <v>55</v>
      </c>
      <c r="F1371" s="198" t="n">
        <v>200025888839</v>
      </c>
      <c r="G1371" s="198" t="s">
        <v>690</v>
      </c>
      <c r="H1371" s="163" t="s">
        <v>297</v>
      </c>
      <c r="I1371" s="161" t="n">
        <v>14</v>
      </c>
      <c r="J1371" s="156" t="s">
        <v>192</v>
      </c>
      <c r="K1371" s="199" t="n">
        <v>45453.4684722222</v>
      </c>
      <c r="L1371" s="1" t="n">
        <v>3</v>
      </c>
      <c r="M1371" s="156" t="s">
        <v>192</v>
      </c>
      <c r="N1371" s="1" t="n">
        <v>883</v>
      </c>
    </row>
    <row r="1372" customFormat="false" ht="14.25" hidden="false" customHeight="false" outlineLevel="0" collapsed="false">
      <c r="A1372" s="1" t="n">
        <v>252</v>
      </c>
      <c r="B1372" s="1" t="s">
        <v>565</v>
      </c>
      <c r="C1372" s="1" t="s">
        <v>566</v>
      </c>
      <c r="D1372" s="1" t="n">
        <v>11171</v>
      </c>
      <c r="E1372" s="1" t="s">
        <v>55</v>
      </c>
      <c r="F1372" s="198" t="n">
        <v>200025888839</v>
      </c>
      <c r="G1372" s="198" t="s">
        <v>690</v>
      </c>
      <c r="H1372" s="163" t="s">
        <v>297</v>
      </c>
      <c r="I1372" s="161" t="n">
        <v>14</v>
      </c>
      <c r="J1372" s="156" t="s">
        <v>192</v>
      </c>
      <c r="K1372" s="199" t="n">
        <v>45453.4687962963</v>
      </c>
      <c r="L1372" s="1" t="n">
        <v>0</v>
      </c>
      <c r="M1372" s="156" t="s">
        <v>192</v>
      </c>
      <c r="N1372" s="1" t="n">
        <v>884</v>
      </c>
    </row>
    <row r="1373" customFormat="false" ht="14.25" hidden="false" customHeight="false" outlineLevel="0" collapsed="false">
      <c r="A1373" s="1" t="n">
        <v>253</v>
      </c>
      <c r="B1373" s="1" t="s">
        <v>565</v>
      </c>
      <c r="C1373" s="1" t="s">
        <v>566</v>
      </c>
      <c r="D1373" s="1" t="n">
        <v>11171</v>
      </c>
      <c r="E1373" s="1" t="s">
        <v>55</v>
      </c>
      <c r="F1373" s="198" t="n">
        <v>200025888632</v>
      </c>
      <c r="G1373" s="198" t="s">
        <v>598</v>
      </c>
      <c r="H1373" s="163" t="s">
        <v>393</v>
      </c>
      <c r="I1373" s="161" t="n">
        <v>83</v>
      </c>
      <c r="J1373" s="156" t="s">
        <v>192</v>
      </c>
      <c r="K1373" s="199" t="n">
        <v>45453.4715625</v>
      </c>
      <c r="L1373" s="1" t="n">
        <v>0</v>
      </c>
      <c r="M1373" s="156" t="s">
        <v>192</v>
      </c>
      <c r="N1373" s="1" t="n">
        <v>885</v>
      </c>
    </row>
    <row r="1374" customFormat="false" ht="14.25" hidden="false" customHeight="false" outlineLevel="0" collapsed="false">
      <c r="A1374" s="1" t="n">
        <v>254</v>
      </c>
      <c r="B1374" s="1" t="s">
        <v>565</v>
      </c>
      <c r="C1374" s="1" t="s">
        <v>566</v>
      </c>
      <c r="D1374" s="1" t="n">
        <v>11171</v>
      </c>
      <c r="E1374" s="1" t="s">
        <v>55</v>
      </c>
      <c r="F1374" s="198" t="n">
        <v>200025888632</v>
      </c>
      <c r="G1374" s="198" t="s">
        <v>598</v>
      </c>
      <c r="H1374" s="163" t="s">
        <v>393</v>
      </c>
      <c r="I1374" s="161" t="n">
        <v>83</v>
      </c>
      <c r="J1374" s="156" t="s">
        <v>192</v>
      </c>
      <c r="K1374" s="199" t="n">
        <v>45453.4715740741</v>
      </c>
      <c r="L1374" s="1" t="n">
        <v>23</v>
      </c>
      <c r="M1374" s="156" t="s">
        <v>192</v>
      </c>
      <c r="N1374" s="1" t="n">
        <v>886</v>
      </c>
    </row>
    <row r="1375" customFormat="false" ht="14.25" hidden="false" customHeight="false" outlineLevel="0" collapsed="false">
      <c r="A1375" s="1" t="n">
        <v>255</v>
      </c>
      <c r="B1375" s="1" t="s">
        <v>565</v>
      </c>
      <c r="C1375" s="1" t="s">
        <v>566</v>
      </c>
      <c r="D1375" s="1" t="n">
        <v>11171</v>
      </c>
      <c r="E1375" s="1" t="s">
        <v>55</v>
      </c>
      <c r="F1375" s="198" t="n">
        <v>200025888632</v>
      </c>
      <c r="G1375" s="198" t="s">
        <v>598</v>
      </c>
      <c r="H1375" s="163" t="s">
        <v>393</v>
      </c>
      <c r="I1375" s="161" t="n">
        <v>83</v>
      </c>
      <c r="J1375" s="156" t="s">
        <v>192</v>
      </c>
      <c r="K1375" s="199" t="n">
        <v>45453.4720023148</v>
      </c>
      <c r="L1375" s="1" t="n">
        <v>1</v>
      </c>
      <c r="M1375" s="156" t="s">
        <v>192</v>
      </c>
      <c r="N1375" s="1" t="n">
        <v>887</v>
      </c>
    </row>
    <row r="1376" customFormat="false" ht="14.25" hidden="false" customHeight="false" outlineLevel="0" collapsed="false">
      <c r="A1376" s="1" t="n">
        <v>256</v>
      </c>
      <c r="B1376" s="1" t="s">
        <v>565</v>
      </c>
      <c r="C1376" s="1" t="s">
        <v>566</v>
      </c>
      <c r="D1376" s="1" t="n">
        <v>11171</v>
      </c>
      <c r="E1376" s="1" t="s">
        <v>55</v>
      </c>
      <c r="F1376" s="198" t="n">
        <v>200025888632</v>
      </c>
      <c r="G1376" s="198" t="s">
        <v>598</v>
      </c>
      <c r="H1376" s="163" t="s">
        <v>393</v>
      </c>
      <c r="I1376" s="161" t="n">
        <v>83</v>
      </c>
      <c r="J1376" s="156" t="s">
        <v>192</v>
      </c>
      <c r="K1376" s="199" t="n">
        <v>45453.4722685185</v>
      </c>
      <c r="L1376" s="1" t="n">
        <v>2</v>
      </c>
      <c r="M1376" s="156" t="s">
        <v>192</v>
      </c>
      <c r="N1376" s="1" t="n">
        <v>888</v>
      </c>
    </row>
    <row r="1377" customFormat="false" ht="14.25" hidden="false" customHeight="false" outlineLevel="0" collapsed="false">
      <c r="A1377" s="1" t="n">
        <v>257</v>
      </c>
      <c r="B1377" s="1" t="s">
        <v>565</v>
      </c>
      <c r="C1377" s="1" t="s">
        <v>566</v>
      </c>
      <c r="D1377" s="1" t="n">
        <v>11171</v>
      </c>
      <c r="E1377" s="1" t="s">
        <v>55</v>
      </c>
      <c r="F1377" s="198" t="n">
        <v>200025888632</v>
      </c>
      <c r="G1377" s="198" t="s">
        <v>598</v>
      </c>
      <c r="H1377" s="163" t="s">
        <v>393</v>
      </c>
      <c r="I1377" s="161" t="n">
        <v>83</v>
      </c>
      <c r="J1377" s="156" t="s">
        <v>192</v>
      </c>
      <c r="K1377" s="199" t="n">
        <v>45453.4723842593</v>
      </c>
      <c r="L1377" s="1" t="n">
        <v>1</v>
      </c>
      <c r="M1377" s="156" t="s">
        <v>192</v>
      </c>
      <c r="N1377" s="1" t="n">
        <v>889</v>
      </c>
    </row>
    <row r="1378" customFormat="false" ht="14.25" hidden="false" customHeight="false" outlineLevel="0" collapsed="false">
      <c r="A1378" s="1" t="n">
        <v>258</v>
      </c>
      <c r="B1378" s="1" t="s">
        <v>565</v>
      </c>
      <c r="C1378" s="1" t="s">
        <v>566</v>
      </c>
      <c r="D1378" s="1" t="n">
        <v>11171</v>
      </c>
      <c r="E1378" s="1" t="s">
        <v>55</v>
      </c>
      <c r="F1378" s="198" t="n">
        <v>200025888632</v>
      </c>
      <c r="G1378" s="198" t="s">
        <v>598</v>
      </c>
      <c r="H1378" s="163" t="s">
        <v>393</v>
      </c>
      <c r="I1378" s="161" t="n">
        <v>83</v>
      </c>
      <c r="J1378" s="156" t="s">
        <v>192</v>
      </c>
      <c r="K1378" s="199" t="n">
        <v>45453.4724074074</v>
      </c>
      <c r="L1378" s="10" t="n">
        <v>289</v>
      </c>
      <c r="M1378" s="156" t="s">
        <v>192</v>
      </c>
      <c r="N1378" s="1" t="n">
        <v>890</v>
      </c>
    </row>
    <row r="1379" customFormat="false" ht="14.25" hidden="false" customHeight="false" outlineLevel="0" collapsed="false">
      <c r="A1379" s="1" t="n">
        <v>245</v>
      </c>
      <c r="B1379" s="1" t="s">
        <v>702</v>
      </c>
      <c r="C1379" s="1" t="s">
        <v>703</v>
      </c>
      <c r="D1379" s="1" t="n">
        <v>11197</v>
      </c>
      <c r="E1379" s="1" t="s">
        <v>53</v>
      </c>
      <c r="F1379" s="201" t="n">
        <v>200025888839</v>
      </c>
      <c r="G1379" s="198" t="s">
        <v>690</v>
      </c>
      <c r="H1379" s="163" t="s">
        <v>297</v>
      </c>
      <c r="I1379" s="161" t="n">
        <v>14</v>
      </c>
      <c r="J1379" s="156" t="s">
        <v>192</v>
      </c>
      <c r="K1379" s="200" t="n">
        <v>45453.4752777778</v>
      </c>
      <c r="L1379" s="1" t="n">
        <v>1</v>
      </c>
      <c r="M1379" s="156" t="s">
        <v>192</v>
      </c>
      <c r="N1379" s="1" t="n">
        <v>891</v>
      </c>
    </row>
    <row r="1380" customFormat="false" ht="14.25" hidden="false" customHeight="false" outlineLevel="0" collapsed="false">
      <c r="A1380" s="1" t="n">
        <v>246</v>
      </c>
      <c r="B1380" s="1" t="s">
        <v>702</v>
      </c>
      <c r="C1380" s="1" t="s">
        <v>703</v>
      </c>
      <c r="D1380" s="1" t="n">
        <v>11197</v>
      </c>
      <c r="E1380" s="1" t="s">
        <v>53</v>
      </c>
      <c r="F1380" s="201" t="n">
        <v>200025888839</v>
      </c>
      <c r="G1380" s="198" t="s">
        <v>690</v>
      </c>
      <c r="H1380" s="163" t="s">
        <v>297</v>
      </c>
      <c r="I1380" s="161" t="n">
        <v>14</v>
      </c>
      <c r="J1380" s="156" t="s">
        <v>192</v>
      </c>
      <c r="K1380" s="200" t="n">
        <v>45453.4755324074</v>
      </c>
      <c r="L1380" s="1" t="n">
        <v>1</v>
      </c>
      <c r="M1380" s="156" t="s">
        <v>192</v>
      </c>
      <c r="N1380" s="1" t="n">
        <v>892</v>
      </c>
    </row>
    <row r="1381" customFormat="false" ht="14.25" hidden="false" customHeight="false" outlineLevel="0" collapsed="false">
      <c r="A1381" s="1" t="n">
        <v>247</v>
      </c>
      <c r="B1381" s="1" t="s">
        <v>702</v>
      </c>
      <c r="C1381" s="1" t="s">
        <v>703</v>
      </c>
      <c r="D1381" s="1" t="n">
        <v>11197</v>
      </c>
      <c r="E1381" s="1" t="s">
        <v>53</v>
      </c>
      <c r="F1381" s="201" t="n">
        <v>200025888839</v>
      </c>
      <c r="G1381" s="198" t="s">
        <v>690</v>
      </c>
      <c r="H1381" s="163" t="s">
        <v>297</v>
      </c>
      <c r="I1381" s="161" t="n">
        <v>14</v>
      </c>
      <c r="J1381" s="156" t="s">
        <v>192</v>
      </c>
      <c r="K1381" s="200" t="n">
        <v>45453.4755555556</v>
      </c>
      <c r="L1381" s="1" t="n">
        <v>0</v>
      </c>
      <c r="M1381" s="156" t="s">
        <v>192</v>
      </c>
      <c r="N1381" s="1" t="n">
        <v>893</v>
      </c>
    </row>
    <row r="1382" customFormat="false" ht="14.25" hidden="false" customHeight="false" outlineLevel="0" collapsed="false">
      <c r="A1382" s="1" t="n">
        <v>259</v>
      </c>
      <c r="B1382" s="1" t="s">
        <v>565</v>
      </c>
      <c r="C1382" s="1" t="s">
        <v>566</v>
      </c>
      <c r="D1382" s="1" t="n">
        <v>11171</v>
      </c>
      <c r="E1382" s="1" t="s">
        <v>55</v>
      </c>
      <c r="F1382" s="198" t="n">
        <v>200025888632</v>
      </c>
      <c r="G1382" s="198" t="s">
        <v>598</v>
      </c>
      <c r="H1382" s="163" t="s">
        <v>393</v>
      </c>
      <c r="I1382" s="161" t="n">
        <v>83</v>
      </c>
      <c r="J1382" s="156" t="s">
        <v>192</v>
      </c>
      <c r="K1382" s="199" t="n">
        <v>45453.4759606481</v>
      </c>
      <c r="L1382" s="1" t="n">
        <v>1</v>
      </c>
      <c r="M1382" s="156" t="s">
        <v>192</v>
      </c>
      <c r="N1382" s="1" t="n">
        <v>894</v>
      </c>
    </row>
    <row r="1383" customFormat="false" ht="14.25" hidden="false" customHeight="false" outlineLevel="0" collapsed="false">
      <c r="A1383" s="1" t="n">
        <v>260</v>
      </c>
      <c r="B1383" s="1" t="s">
        <v>565</v>
      </c>
      <c r="C1383" s="1" t="s">
        <v>566</v>
      </c>
      <c r="D1383" s="1" t="n">
        <v>11171</v>
      </c>
      <c r="E1383" s="1" t="s">
        <v>55</v>
      </c>
      <c r="F1383" s="198" t="n">
        <v>200025888632</v>
      </c>
      <c r="G1383" s="198" t="s">
        <v>598</v>
      </c>
      <c r="H1383" s="163" t="s">
        <v>393</v>
      </c>
      <c r="I1383" s="161" t="n">
        <v>83</v>
      </c>
      <c r="J1383" s="156" t="s">
        <v>192</v>
      </c>
      <c r="K1383" s="199" t="n">
        <v>45453.4768287037</v>
      </c>
      <c r="L1383" s="1" t="n">
        <v>1</v>
      </c>
      <c r="M1383" s="156" t="s">
        <v>192</v>
      </c>
      <c r="N1383" s="1" t="n">
        <v>895</v>
      </c>
    </row>
    <row r="1384" customFormat="false" ht="14.25" hidden="false" customHeight="false" outlineLevel="0" collapsed="false">
      <c r="A1384" s="1" t="n">
        <v>261</v>
      </c>
      <c r="B1384" s="1" t="s">
        <v>565</v>
      </c>
      <c r="C1384" s="1" t="s">
        <v>566</v>
      </c>
      <c r="D1384" s="1" t="n">
        <v>11171</v>
      </c>
      <c r="E1384" s="1" t="s">
        <v>55</v>
      </c>
      <c r="F1384" s="198" t="n">
        <v>200025888632</v>
      </c>
      <c r="G1384" s="198" t="s">
        <v>598</v>
      </c>
      <c r="H1384" s="163" t="s">
        <v>393</v>
      </c>
      <c r="I1384" s="161" t="n">
        <v>83</v>
      </c>
      <c r="J1384" s="156" t="s">
        <v>192</v>
      </c>
      <c r="K1384" s="199" t="n">
        <v>45453.4793287037</v>
      </c>
      <c r="L1384" s="1" t="n">
        <v>1</v>
      </c>
      <c r="M1384" s="156" t="s">
        <v>192</v>
      </c>
      <c r="N1384" s="1" t="n">
        <v>896</v>
      </c>
    </row>
    <row r="1385" customFormat="false" ht="14.25" hidden="false" customHeight="false" outlineLevel="0" collapsed="false">
      <c r="A1385" s="1" t="n">
        <v>262</v>
      </c>
      <c r="B1385" s="1" t="s">
        <v>565</v>
      </c>
      <c r="C1385" s="1" t="s">
        <v>566</v>
      </c>
      <c r="D1385" s="1" t="n">
        <v>11171</v>
      </c>
      <c r="E1385" s="1" t="s">
        <v>55</v>
      </c>
      <c r="F1385" s="198" t="n">
        <v>200025888632</v>
      </c>
      <c r="G1385" s="198" t="s">
        <v>598</v>
      </c>
      <c r="H1385" s="163" t="s">
        <v>393</v>
      </c>
      <c r="I1385" s="161" t="n">
        <v>83</v>
      </c>
      <c r="J1385" s="156" t="s">
        <v>192</v>
      </c>
      <c r="K1385" s="199" t="n">
        <v>45453.4856481482</v>
      </c>
      <c r="L1385" s="1" t="n">
        <v>1</v>
      </c>
      <c r="M1385" s="156" t="s">
        <v>192</v>
      </c>
      <c r="N1385" s="1" t="n">
        <v>897</v>
      </c>
    </row>
    <row r="1386" customFormat="false" ht="14.25" hidden="false" customHeight="false" outlineLevel="0" collapsed="false">
      <c r="A1386" s="1" t="n">
        <v>263</v>
      </c>
      <c r="B1386" s="1" t="s">
        <v>565</v>
      </c>
      <c r="C1386" s="1" t="s">
        <v>566</v>
      </c>
      <c r="D1386" s="1" t="n">
        <v>11171</v>
      </c>
      <c r="E1386" s="1" t="s">
        <v>55</v>
      </c>
      <c r="F1386" s="198" t="n">
        <v>200025888632</v>
      </c>
      <c r="G1386" s="198" t="s">
        <v>598</v>
      </c>
      <c r="H1386" s="163" t="s">
        <v>393</v>
      </c>
      <c r="I1386" s="161" t="n">
        <v>83</v>
      </c>
      <c r="J1386" s="156" t="s">
        <v>192</v>
      </c>
      <c r="K1386" s="199" t="n">
        <v>45453.4859490741</v>
      </c>
      <c r="L1386" s="1" t="n">
        <v>2</v>
      </c>
      <c r="M1386" s="156" t="s">
        <v>192</v>
      </c>
      <c r="N1386" s="1" t="n">
        <v>898</v>
      </c>
    </row>
    <row r="1387" customFormat="false" ht="14.25" hidden="false" customHeight="false" outlineLevel="0" collapsed="false">
      <c r="A1387" s="1" t="n">
        <v>264</v>
      </c>
      <c r="B1387" s="1" t="s">
        <v>565</v>
      </c>
      <c r="C1387" s="1" t="s">
        <v>566</v>
      </c>
      <c r="D1387" s="1" t="n">
        <v>11171</v>
      </c>
      <c r="E1387" s="1" t="s">
        <v>55</v>
      </c>
      <c r="F1387" s="198" t="n">
        <v>200025888632</v>
      </c>
      <c r="G1387" s="198" t="s">
        <v>598</v>
      </c>
      <c r="H1387" s="163" t="s">
        <v>393</v>
      </c>
      <c r="I1387" s="161" t="n">
        <v>83</v>
      </c>
      <c r="J1387" s="156" t="s">
        <v>192</v>
      </c>
      <c r="K1387" s="199" t="n">
        <v>45453.4860416667</v>
      </c>
      <c r="L1387" s="1" t="n">
        <v>2</v>
      </c>
      <c r="M1387" s="156" t="s">
        <v>192</v>
      </c>
      <c r="N1387" s="1" t="n">
        <v>899</v>
      </c>
    </row>
    <row r="1388" customFormat="false" ht="14.25" hidden="false" customHeight="false" outlineLevel="0" collapsed="false">
      <c r="A1388" s="1" t="n">
        <v>265</v>
      </c>
      <c r="B1388" s="1" t="s">
        <v>565</v>
      </c>
      <c r="C1388" s="1" t="s">
        <v>566</v>
      </c>
      <c r="D1388" s="1" t="n">
        <v>11171</v>
      </c>
      <c r="E1388" s="1" t="s">
        <v>55</v>
      </c>
      <c r="F1388" s="198" t="n">
        <v>200025888632</v>
      </c>
      <c r="G1388" s="198" t="s">
        <v>598</v>
      </c>
      <c r="H1388" s="163" t="s">
        <v>393</v>
      </c>
      <c r="I1388" s="161" t="n">
        <v>83</v>
      </c>
      <c r="J1388" s="156" t="s">
        <v>192</v>
      </c>
      <c r="K1388" s="199" t="n">
        <v>45453.4871875</v>
      </c>
      <c r="L1388" s="1" t="n">
        <v>1</v>
      </c>
      <c r="M1388" s="156" t="s">
        <v>192</v>
      </c>
      <c r="N1388" s="1" t="n">
        <v>900</v>
      </c>
    </row>
    <row r="1389" customFormat="false" ht="14.25" hidden="false" customHeight="false" outlineLevel="0" collapsed="false">
      <c r="A1389" s="1" t="n">
        <v>266</v>
      </c>
      <c r="B1389" s="1" t="s">
        <v>565</v>
      </c>
      <c r="C1389" s="1" t="s">
        <v>566</v>
      </c>
      <c r="D1389" s="1" t="n">
        <v>11171</v>
      </c>
      <c r="E1389" s="1" t="s">
        <v>55</v>
      </c>
      <c r="F1389" s="198" t="n">
        <v>200025888632</v>
      </c>
      <c r="G1389" s="198" t="s">
        <v>598</v>
      </c>
      <c r="H1389" s="163" t="s">
        <v>393</v>
      </c>
      <c r="I1389" s="161" t="n">
        <v>83</v>
      </c>
      <c r="J1389" s="156" t="s">
        <v>192</v>
      </c>
      <c r="K1389" s="199" t="n">
        <v>45453.487337963</v>
      </c>
      <c r="L1389" s="1" t="n">
        <v>0</v>
      </c>
      <c r="M1389" s="156" t="s">
        <v>192</v>
      </c>
      <c r="N1389" s="1" t="n">
        <v>901</v>
      </c>
    </row>
    <row r="1390" customFormat="false" ht="14.25" hidden="false" customHeight="false" outlineLevel="0" collapsed="false">
      <c r="A1390" s="1" t="n">
        <v>267</v>
      </c>
      <c r="B1390" s="1" t="s">
        <v>565</v>
      </c>
      <c r="C1390" s="1" t="s">
        <v>566</v>
      </c>
      <c r="D1390" s="1" t="n">
        <v>11171</v>
      </c>
      <c r="E1390" s="1" t="s">
        <v>55</v>
      </c>
      <c r="F1390" s="198" t="n">
        <v>200025888632</v>
      </c>
      <c r="G1390" s="198" t="s">
        <v>598</v>
      </c>
      <c r="H1390" s="163" t="s">
        <v>393</v>
      </c>
      <c r="I1390" s="161" t="n">
        <v>83</v>
      </c>
      <c r="J1390" s="156" t="s">
        <v>192</v>
      </c>
      <c r="K1390" s="199" t="n">
        <v>45453.487349537</v>
      </c>
      <c r="L1390" s="1" t="n">
        <v>0</v>
      </c>
      <c r="M1390" s="156" t="s">
        <v>192</v>
      </c>
      <c r="N1390" s="1" t="n">
        <v>902</v>
      </c>
    </row>
    <row r="1391" customFormat="false" ht="14.25" hidden="false" customHeight="false" outlineLevel="0" collapsed="false">
      <c r="A1391" s="1" t="n">
        <v>268</v>
      </c>
      <c r="B1391" s="1" t="s">
        <v>565</v>
      </c>
      <c r="C1391" s="1" t="s">
        <v>566</v>
      </c>
      <c r="D1391" s="1" t="n">
        <v>11171</v>
      </c>
      <c r="E1391" s="1" t="s">
        <v>55</v>
      </c>
      <c r="F1391" s="198" t="n">
        <v>200025888632</v>
      </c>
      <c r="G1391" s="198" t="s">
        <v>598</v>
      </c>
      <c r="H1391" s="163" t="s">
        <v>393</v>
      </c>
      <c r="I1391" s="161" t="n">
        <v>83</v>
      </c>
      <c r="J1391" s="156" t="s">
        <v>192</v>
      </c>
      <c r="K1391" s="199" t="n">
        <v>45453.4877083333</v>
      </c>
      <c r="L1391" s="1" t="n">
        <v>2</v>
      </c>
      <c r="M1391" s="156" t="s">
        <v>192</v>
      </c>
      <c r="N1391" s="1" t="n">
        <v>903</v>
      </c>
    </row>
    <row r="1392" customFormat="false" ht="14.25" hidden="false" customHeight="false" outlineLevel="0" collapsed="false">
      <c r="A1392" s="1" t="n">
        <v>248</v>
      </c>
      <c r="B1392" s="1" t="s">
        <v>702</v>
      </c>
      <c r="C1392" s="1" t="s">
        <v>703</v>
      </c>
      <c r="D1392" s="1" t="n">
        <v>11197</v>
      </c>
      <c r="E1392" s="1" t="s">
        <v>53</v>
      </c>
      <c r="F1392" s="201" t="n">
        <v>200025888839</v>
      </c>
      <c r="G1392" s="198" t="s">
        <v>690</v>
      </c>
      <c r="H1392" s="163" t="s">
        <v>297</v>
      </c>
      <c r="I1392" s="161" t="n">
        <v>14</v>
      </c>
      <c r="J1392" s="156" t="s">
        <v>192</v>
      </c>
      <c r="K1392" s="200" t="n">
        <v>45453.500474537</v>
      </c>
      <c r="L1392" s="1" t="n">
        <v>0</v>
      </c>
      <c r="M1392" s="156" t="s">
        <v>192</v>
      </c>
      <c r="N1392" s="1" t="n">
        <v>904</v>
      </c>
    </row>
    <row r="1393" customFormat="false" ht="14.25" hidden="false" customHeight="false" outlineLevel="0" collapsed="false">
      <c r="A1393" s="1" t="n">
        <v>249</v>
      </c>
      <c r="B1393" s="1" t="s">
        <v>702</v>
      </c>
      <c r="C1393" s="1" t="s">
        <v>703</v>
      </c>
      <c r="D1393" s="1" t="n">
        <v>11197</v>
      </c>
      <c r="E1393" s="1" t="s">
        <v>53</v>
      </c>
      <c r="F1393" s="201" t="n">
        <v>200025888839</v>
      </c>
      <c r="G1393" s="198" t="s">
        <v>690</v>
      </c>
      <c r="H1393" s="163" t="s">
        <v>297</v>
      </c>
      <c r="I1393" s="161" t="n">
        <v>14</v>
      </c>
      <c r="J1393" s="156" t="s">
        <v>192</v>
      </c>
      <c r="K1393" s="200" t="n">
        <v>45453.500474537</v>
      </c>
      <c r="L1393" s="207" t="n">
        <v>60</v>
      </c>
      <c r="M1393" s="156" t="s">
        <v>192</v>
      </c>
      <c r="N1393" s="1" t="n">
        <v>905</v>
      </c>
    </row>
    <row r="1394" customFormat="false" ht="14.25" hidden="false" customHeight="false" outlineLevel="0" collapsed="false">
      <c r="A1394" s="1" t="n">
        <v>250</v>
      </c>
      <c r="B1394" s="1" t="s">
        <v>702</v>
      </c>
      <c r="C1394" s="1" t="s">
        <v>703</v>
      </c>
      <c r="D1394" s="1" t="n">
        <v>11197</v>
      </c>
      <c r="E1394" s="1" t="s">
        <v>53</v>
      </c>
      <c r="F1394" s="201" t="n">
        <v>200025888839</v>
      </c>
      <c r="G1394" s="198" t="s">
        <v>690</v>
      </c>
      <c r="H1394" s="163" t="s">
        <v>297</v>
      </c>
      <c r="I1394" s="161" t="n">
        <v>14</v>
      </c>
      <c r="J1394" s="156" t="s">
        <v>192</v>
      </c>
      <c r="K1394" s="200" t="n">
        <v>45453.501412037</v>
      </c>
      <c r="L1394" s="1" t="n">
        <v>1</v>
      </c>
      <c r="M1394" s="156" t="s">
        <v>192</v>
      </c>
      <c r="N1394" s="1" t="n">
        <v>906</v>
      </c>
    </row>
    <row r="1395" customFormat="false" ht="14.25" hidden="false" customHeight="false" outlineLevel="0" collapsed="false">
      <c r="A1395" s="1" t="n">
        <v>251</v>
      </c>
      <c r="B1395" s="1" t="s">
        <v>702</v>
      </c>
      <c r="C1395" s="1" t="s">
        <v>703</v>
      </c>
      <c r="D1395" s="1" t="n">
        <v>11197</v>
      </c>
      <c r="E1395" s="1" t="s">
        <v>53</v>
      </c>
      <c r="F1395" s="201" t="n">
        <v>200025888632</v>
      </c>
      <c r="G1395" s="198" t="s">
        <v>598</v>
      </c>
      <c r="H1395" s="163" t="s">
        <v>393</v>
      </c>
      <c r="I1395" s="161" t="n">
        <v>83</v>
      </c>
      <c r="J1395" s="156" t="s">
        <v>192</v>
      </c>
      <c r="K1395" s="200" t="n">
        <v>45453.5298958333</v>
      </c>
      <c r="L1395" s="1" t="n">
        <v>1</v>
      </c>
      <c r="M1395" s="156" t="s">
        <v>192</v>
      </c>
      <c r="N1395" s="1" t="n">
        <v>907</v>
      </c>
    </row>
    <row r="1396" customFormat="false" ht="14.25" hidden="false" customHeight="false" outlineLevel="0" collapsed="false">
      <c r="A1396" s="1" t="n">
        <v>252</v>
      </c>
      <c r="B1396" s="1" t="s">
        <v>702</v>
      </c>
      <c r="C1396" s="1" t="s">
        <v>703</v>
      </c>
      <c r="D1396" s="1" t="n">
        <v>11197</v>
      </c>
      <c r="E1396" s="1" t="s">
        <v>53</v>
      </c>
      <c r="F1396" s="201" t="n">
        <v>200025888632</v>
      </c>
      <c r="G1396" s="198" t="s">
        <v>598</v>
      </c>
      <c r="H1396" s="163" t="s">
        <v>393</v>
      </c>
      <c r="I1396" s="161" t="n">
        <v>83</v>
      </c>
      <c r="J1396" s="156" t="s">
        <v>192</v>
      </c>
      <c r="K1396" s="200" t="n">
        <v>45453.5313194444</v>
      </c>
      <c r="L1396" s="1" t="n">
        <v>0</v>
      </c>
      <c r="M1396" s="156" t="s">
        <v>192</v>
      </c>
      <c r="N1396" s="1" t="n">
        <v>908</v>
      </c>
    </row>
    <row r="1397" customFormat="false" ht="14.25" hidden="false" customHeight="false" outlineLevel="0" collapsed="false">
      <c r="A1397" s="1" t="n">
        <v>253</v>
      </c>
      <c r="B1397" s="1" t="s">
        <v>702</v>
      </c>
      <c r="C1397" s="1" t="s">
        <v>703</v>
      </c>
      <c r="D1397" s="1" t="n">
        <v>11197</v>
      </c>
      <c r="E1397" s="1" t="s">
        <v>53</v>
      </c>
      <c r="F1397" s="201" t="n">
        <v>200025888632</v>
      </c>
      <c r="G1397" s="198" t="s">
        <v>598</v>
      </c>
      <c r="H1397" s="163" t="s">
        <v>393</v>
      </c>
      <c r="I1397" s="161" t="n">
        <v>83</v>
      </c>
      <c r="J1397" s="156" t="s">
        <v>192</v>
      </c>
      <c r="K1397" s="200" t="n">
        <v>45453.5315740741</v>
      </c>
      <c r="L1397" s="1" t="n">
        <v>2</v>
      </c>
      <c r="M1397" s="156" t="s">
        <v>192</v>
      </c>
      <c r="N1397" s="1" t="n">
        <v>909</v>
      </c>
    </row>
    <row r="1398" customFormat="false" ht="14.25" hidden="false" customHeight="false" outlineLevel="0" collapsed="false">
      <c r="A1398" s="1" t="n">
        <v>254</v>
      </c>
      <c r="B1398" s="1" t="s">
        <v>702</v>
      </c>
      <c r="C1398" s="1" t="s">
        <v>703</v>
      </c>
      <c r="D1398" s="1" t="n">
        <v>11197</v>
      </c>
      <c r="E1398" s="1" t="s">
        <v>53</v>
      </c>
      <c r="F1398" s="201" t="n">
        <v>200025888632</v>
      </c>
      <c r="G1398" s="198" t="s">
        <v>598</v>
      </c>
      <c r="H1398" s="163" t="s">
        <v>393</v>
      </c>
      <c r="I1398" s="161" t="n">
        <v>83</v>
      </c>
      <c r="J1398" s="156" t="s">
        <v>192</v>
      </c>
      <c r="K1398" s="200" t="n">
        <v>45453.5326041667</v>
      </c>
      <c r="L1398" s="1" t="n">
        <v>0</v>
      </c>
      <c r="M1398" s="156" t="s">
        <v>192</v>
      </c>
      <c r="N1398" s="1" t="n">
        <v>910</v>
      </c>
    </row>
    <row r="1399" customFormat="false" ht="14.25" hidden="false" customHeight="false" outlineLevel="0" collapsed="false">
      <c r="A1399" s="1" t="n">
        <v>255</v>
      </c>
      <c r="B1399" s="1" t="s">
        <v>702</v>
      </c>
      <c r="C1399" s="1" t="s">
        <v>703</v>
      </c>
      <c r="D1399" s="1" t="n">
        <v>11197</v>
      </c>
      <c r="E1399" s="1" t="s">
        <v>53</v>
      </c>
      <c r="F1399" s="201" t="n">
        <v>200025888632</v>
      </c>
      <c r="G1399" s="198" t="s">
        <v>598</v>
      </c>
      <c r="H1399" s="163" t="s">
        <v>393</v>
      </c>
      <c r="I1399" s="161" t="n">
        <v>83</v>
      </c>
      <c r="J1399" s="156" t="s">
        <v>192</v>
      </c>
      <c r="K1399" s="200" t="n">
        <v>45453.5329166667</v>
      </c>
      <c r="L1399" s="1" t="n">
        <v>0</v>
      </c>
      <c r="M1399" s="156" t="s">
        <v>192</v>
      </c>
      <c r="N1399" s="1" t="n">
        <v>911</v>
      </c>
    </row>
    <row r="1400" customFormat="false" ht="14.25" hidden="false" customHeight="false" outlineLevel="0" collapsed="false">
      <c r="A1400" s="1" t="n">
        <v>256</v>
      </c>
      <c r="B1400" s="1" t="s">
        <v>702</v>
      </c>
      <c r="C1400" s="1" t="s">
        <v>703</v>
      </c>
      <c r="D1400" s="1" t="n">
        <v>11197</v>
      </c>
      <c r="E1400" s="1" t="s">
        <v>53</v>
      </c>
      <c r="F1400" s="201" t="n">
        <v>200025888632</v>
      </c>
      <c r="G1400" s="198" t="s">
        <v>598</v>
      </c>
      <c r="H1400" s="163" t="s">
        <v>393</v>
      </c>
      <c r="I1400" s="161" t="n">
        <v>83</v>
      </c>
      <c r="J1400" s="156" t="s">
        <v>192</v>
      </c>
      <c r="K1400" s="200" t="n">
        <v>45453.5329282407</v>
      </c>
      <c r="L1400" s="1" t="n">
        <v>0</v>
      </c>
      <c r="M1400" s="156" t="s">
        <v>192</v>
      </c>
      <c r="N1400" s="1" t="n">
        <v>912</v>
      </c>
    </row>
    <row r="1401" customFormat="false" ht="14.25" hidden="false" customHeight="false" outlineLevel="0" collapsed="false">
      <c r="A1401" s="1" t="n">
        <v>257</v>
      </c>
      <c r="B1401" s="1" t="s">
        <v>702</v>
      </c>
      <c r="C1401" s="1" t="s">
        <v>703</v>
      </c>
      <c r="D1401" s="1" t="n">
        <v>11197</v>
      </c>
      <c r="E1401" s="1" t="s">
        <v>53</v>
      </c>
      <c r="F1401" s="201" t="n">
        <v>200025888632</v>
      </c>
      <c r="G1401" s="198" t="s">
        <v>598</v>
      </c>
      <c r="H1401" s="163" t="s">
        <v>393</v>
      </c>
      <c r="I1401" s="161" t="n">
        <v>83</v>
      </c>
      <c r="J1401" s="156" t="s">
        <v>192</v>
      </c>
      <c r="K1401" s="200" t="n">
        <v>45453.533125</v>
      </c>
      <c r="L1401" s="1" t="n">
        <v>2</v>
      </c>
      <c r="M1401" s="156" t="s">
        <v>192</v>
      </c>
      <c r="N1401" s="1" t="n">
        <v>913</v>
      </c>
    </row>
    <row r="1402" customFormat="false" ht="14.25" hidden="false" customHeight="false" outlineLevel="0" collapsed="false">
      <c r="A1402" s="1" t="n">
        <v>258</v>
      </c>
      <c r="B1402" s="1" t="s">
        <v>702</v>
      </c>
      <c r="C1402" s="1" t="s">
        <v>703</v>
      </c>
      <c r="D1402" s="1" t="n">
        <v>11197</v>
      </c>
      <c r="E1402" s="1" t="s">
        <v>53</v>
      </c>
      <c r="F1402" s="201" t="n">
        <v>200025888632</v>
      </c>
      <c r="G1402" s="198" t="s">
        <v>598</v>
      </c>
      <c r="H1402" s="163" t="s">
        <v>393</v>
      </c>
      <c r="I1402" s="161" t="n">
        <v>83</v>
      </c>
      <c r="J1402" s="156" t="s">
        <v>192</v>
      </c>
      <c r="K1402" s="200" t="n">
        <v>45453.5343634259</v>
      </c>
      <c r="L1402" s="1" t="n">
        <v>1</v>
      </c>
      <c r="M1402" s="156" t="s">
        <v>192</v>
      </c>
      <c r="N1402" s="1" t="n">
        <v>914</v>
      </c>
    </row>
    <row r="1403" customFormat="false" ht="14.25" hidden="false" customHeight="false" outlineLevel="0" collapsed="false">
      <c r="A1403" s="1" t="n">
        <v>259</v>
      </c>
      <c r="B1403" s="1" t="s">
        <v>702</v>
      </c>
      <c r="C1403" s="1" t="s">
        <v>703</v>
      </c>
      <c r="D1403" s="1" t="n">
        <v>11197</v>
      </c>
      <c r="E1403" s="1" t="s">
        <v>53</v>
      </c>
      <c r="F1403" s="201" t="n">
        <v>200025888632</v>
      </c>
      <c r="G1403" s="198" t="s">
        <v>598</v>
      </c>
      <c r="H1403" s="163" t="s">
        <v>393</v>
      </c>
      <c r="I1403" s="161" t="n">
        <v>83</v>
      </c>
      <c r="J1403" s="156" t="s">
        <v>192</v>
      </c>
      <c r="K1403" s="200" t="n">
        <v>45453.535</v>
      </c>
      <c r="L1403" s="1" t="n">
        <v>1</v>
      </c>
      <c r="M1403" s="156" t="s">
        <v>192</v>
      </c>
      <c r="N1403" s="1" t="n">
        <v>915</v>
      </c>
    </row>
    <row r="1404" customFormat="false" ht="14.25" hidden="false" customHeight="false" outlineLevel="0" collapsed="false">
      <c r="A1404" s="1" t="n">
        <v>260</v>
      </c>
      <c r="B1404" s="1" t="s">
        <v>702</v>
      </c>
      <c r="C1404" s="1" t="s">
        <v>703</v>
      </c>
      <c r="D1404" s="1" t="n">
        <v>11197</v>
      </c>
      <c r="E1404" s="1" t="s">
        <v>53</v>
      </c>
      <c r="F1404" s="201" t="n">
        <v>200025888632</v>
      </c>
      <c r="G1404" s="198" t="s">
        <v>598</v>
      </c>
      <c r="H1404" s="163" t="s">
        <v>393</v>
      </c>
      <c r="I1404" s="161" t="n">
        <v>83</v>
      </c>
      <c r="J1404" s="156" t="s">
        <v>192</v>
      </c>
      <c r="K1404" s="200" t="n">
        <v>45453.5352893519</v>
      </c>
      <c r="L1404" s="1" t="n">
        <v>2</v>
      </c>
      <c r="M1404" s="156" t="s">
        <v>192</v>
      </c>
      <c r="N1404" s="1" t="n">
        <v>916</v>
      </c>
    </row>
    <row r="1405" customFormat="false" ht="14.25" hidden="false" customHeight="false" outlineLevel="0" collapsed="false">
      <c r="A1405" s="1" t="n">
        <v>261</v>
      </c>
      <c r="B1405" s="1" t="s">
        <v>702</v>
      </c>
      <c r="C1405" s="1" t="s">
        <v>703</v>
      </c>
      <c r="D1405" s="1" t="n">
        <v>11197</v>
      </c>
      <c r="E1405" s="1" t="s">
        <v>53</v>
      </c>
      <c r="F1405" s="201" t="n">
        <v>200025888632</v>
      </c>
      <c r="G1405" s="198" t="s">
        <v>598</v>
      </c>
      <c r="H1405" s="163" t="s">
        <v>393</v>
      </c>
      <c r="I1405" s="161" t="n">
        <v>83</v>
      </c>
      <c r="J1405" s="156" t="s">
        <v>192</v>
      </c>
      <c r="K1405" s="200" t="n">
        <v>45453.5355092593</v>
      </c>
      <c r="L1405" s="1" t="n">
        <v>1</v>
      </c>
      <c r="M1405" s="156" t="s">
        <v>192</v>
      </c>
      <c r="N1405" s="1" t="n">
        <v>917</v>
      </c>
    </row>
    <row r="1406" customFormat="false" ht="14.25" hidden="false" customHeight="false" outlineLevel="0" collapsed="false">
      <c r="A1406" s="1" t="n">
        <v>269</v>
      </c>
      <c r="B1406" s="1" t="s">
        <v>565</v>
      </c>
      <c r="C1406" s="1" t="s">
        <v>566</v>
      </c>
      <c r="D1406" s="1" t="n">
        <v>11171</v>
      </c>
      <c r="E1406" s="1" t="s">
        <v>55</v>
      </c>
      <c r="F1406" s="198" t="n">
        <v>200025888839</v>
      </c>
      <c r="G1406" s="198" t="s">
        <v>690</v>
      </c>
      <c r="H1406" s="163" t="s">
        <v>297</v>
      </c>
      <c r="I1406" s="161" t="n">
        <v>14</v>
      </c>
      <c r="J1406" s="156" t="s">
        <v>192</v>
      </c>
      <c r="K1406" s="199" t="n">
        <v>45453.5355671296</v>
      </c>
      <c r="L1406" s="1" t="n">
        <v>1</v>
      </c>
      <c r="M1406" s="156" t="s">
        <v>192</v>
      </c>
      <c r="N1406" s="1" t="n">
        <v>918</v>
      </c>
    </row>
    <row r="1407" customFormat="false" ht="14.25" hidden="false" customHeight="false" outlineLevel="0" collapsed="false">
      <c r="A1407" s="1" t="n">
        <v>262</v>
      </c>
      <c r="B1407" s="1" t="s">
        <v>702</v>
      </c>
      <c r="C1407" s="1" t="s">
        <v>703</v>
      </c>
      <c r="D1407" s="1" t="n">
        <v>11197</v>
      </c>
      <c r="E1407" s="1" t="s">
        <v>53</v>
      </c>
      <c r="F1407" s="201" t="n">
        <v>200025888632</v>
      </c>
      <c r="G1407" s="198" t="s">
        <v>598</v>
      </c>
      <c r="H1407" s="163" t="s">
        <v>393</v>
      </c>
      <c r="I1407" s="161" t="n">
        <v>83</v>
      </c>
      <c r="J1407" s="156" t="s">
        <v>192</v>
      </c>
      <c r="K1407" s="200" t="n">
        <v>45453.5358796296</v>
      </c>
      <c r="L1407" s="1" t="n">
        <v>1</v>
      </c>
      <c r="M1407" s="156" t="s">
        <v>192</v>
      </c>
      <c r="N1407" s="1" t="n">
        <v>919</v>
      </c>
    </row>
    <row r="1408" customFormat="false" ht="14.25" hidden="false" customHeight="false" outlineLevel="0" collapsed="false">
      <c r="A1408" s="1" t="n">
        <v>263</v>
      </c>
      <c r="B1408" s="1" t="s">
        <v>702</v>
      </c>
      <c r="C1408" s="1" t="s">
        <v>703</v>
      </c>
      <c r="D1408" s="1" t="n">
        <v>11197</v>
      </c>
      <c r="E1408" s="1" t="s">
        <v>53</v>
      </c>
      <c r="F1408" s="201" t="n">
        <v>200025888632</v>
      </c>
      <c r="G1408" s="198" t="s">
        <v>598</v>
      </c>
      <c r="H1408" s="163" t="s">
        <v>393</v>
      </c>
      <c r="I1408" s="161" t="n">
        <v>83</v>
      </c>
      <c r="J1408" s="156" t="s">
        <v>192</v>
      </c>
      <c r="K1408" s="200" t="n">
        <v>45453.5364467593</v>
      </c>
      <c r="L1408" s="1" t="n">
        <v>4</v>
      </c>
      <c r="M1408" s="156" t="s">
        <v>192</v>
      </c>
      <c r="N1408" s="1" t="n">
        <v>920</v>
      </c>
    </row>
    <row r="1409" customFormat="false" ht="14.25" hidden="false" customHeight="false" outlineLevel="0" collapsed="false">
      <c r="A1409" s="1" t="n">
        <v>264</v>
      </c>
      <c r="B1409" s="1" t="s">
        <v>702</v>
      </c>
      <c r="C1409" s="1" t="s">
        <v>703</v>
      </c>
      <c r="D1409" s="1" t="n">
        <v>11197</v>
      </c>
      <c r="E1409" s="1" t="s">
        <v>53</v>
      </c>
      <c r="F1409" s="201" t="n">
        <v>200025888632</v>
      </c>
      <c r="G1409" s="198" t="s">
        <v>598</v>
      </c>
      <c r="H1409" s="163" t="s">
        <v>393</v>
      </c>
      <c r="I1409" s="161" t="n">
        <v>83</v>
      </c>
      <c r="J1409" s="156" t="s">
        <v>192</v>
      </c>
      <c r="K1409" s="200" t="n">
        <v>45453.537662037</v>
      </c>
      <c r="L1409" s="1" t="n">
        <v>1</v>
      </c>
      <c r="M1409" s="156" t="s">
        <v>192</v>
      </c>
      <c r="N1409" s="1" t="n">
        <v>921</v>
      </c>
    </row>
    <row r="1410" customFormat="false" ht="14.25" hidden="false" customHeight="false" outlineLevel="0" collapsed="false">
      <c r="A1410" s="1" t="n">
        <v>265</v>
      </c>
      <c r="B1410" s="1" t="s">
        <v>702</v>
      </c>
      <c r="C1410" s="1" t="s">
        <v>703</v>
      </c>
      <c r="D1410" s="1" t="n">
        <v>11197</v>
      </c>
      <c r="E1410" s="1" t="s">
        <v>53</v>
      </c>
      <c r="F1410" s="201" t="n">
        <v>200025888632</v>
      </c>
      <c r="G1410" s="198" t="s">
        <v>598</v>
      </c>
      <c r="H1410" s="163" t="s">
        <v>393</v>
      </c>
      <c r="I1410" s="161" t="n">
        <v>83</v>
      </c>
      <c r="J1410" s="156" t="s">
        <v>192</v>
      </c>
      <c r="K1410" s="200" t="n">
        <v>45453.5376736111</v>
      </c>
      <c r="L1410" s="1" t="n">
        <v>1</v>
      </c>
      <c r="M1410" s="156" t="s">
        <v>192</v>
      </c>
      <c r="N1410" s="1" t="n">
        <v>922</v>
      </c>
    </row>
    <row r="1411" customFormat="false" ht="14.25" hidden="false" customHeight="false" outlineLevel="0" collapsed="false">
      <c r="A1411" s="1" t="n">
        <v>266</v>
      </c>
      <c r="B1411" s="1" t="s">
        <v>702</v>
      </c>
      <c r="C1411" s="1" t="s">
        <v>703</v>
      </c>
      <c r="D1411" s="1" t="n">
        <v>11197</v>
      </c>
      <c r="E1411" s="1" t="s">
        <v>53</v>
      </c>
      <c r="F1411" s="201" t="n">
        <v>200025888632</v>
      </c>
      <c r="G1411" s="198" t="s">
        <v>598</v>
      </c>
      <c r="H1411" s="163" t="s">
        <v>393</v>
      </c>
      <c r="I1411" s="161" t="n">
        <v>83</v>
      </c>
      <c r="J1411" s="156" t="s">
        <v>192</v>
      </c>
      <c r="K1411" s="200" t="n">
        <v>45453.5376967593</v>
      </c>
      <c r="L1411" s="1" t="n">
        <v>1</v>
      </c>
      <c r="M1411" s="156" t="s">
        <v>192</v>
      </c>
      <c r="N1411" s="1" t="n">
        <v>923</v>
      </c>
    </row>
    <row r="1412" customFormat="false" ht="14.25" hidden="false" customHeight="false" outlineLevel="0" collapsed="false">
      <c r="A1412" s="1" t="n">
        <v>267</v>
      </c>
      <c r="B1412" s="1" t="s">
        <v>702</v>
      </c>
      <c r="C1412" s="1" t="s">
        <v>703</v>
      </c>
      <c r="D1412" s="1" t="n">
        <v>11197</v>
      </c>
      <c r="E1412" s="1" t="s">
        <v>53</v>
      </c>
      <c r="F1412" s="201" t="n">
        <v>200025888632</v>
      </c>
      <c r="G1412" s="198" t="s">
        <v>598</v>
      </c>
      <c r="H1412" s="163" t="s">
        <v>393</v>
      </c>
      <c r="I1412" s="161" t="n">
        <v>83</v>
      </c>
      <c r="J1412" s="156" t="s">
        <v>192</v>
      </c>
      <c r="K1412" s="200" t="n">
        <v>45453.5377083333</v>
      </c>
      <c r="L1412" s="1" t="n">
        <v>0</v>
      </c>
      <c r="M1412" s="156" t="s">
        <v>192</v>
      </c>
      <c r="N1412" s="1" t="n">
        <v>924</v>
      </c>
    </row>
    <row r="1413" customFormat="false" ht="14.25" hidden="false" customHeight="false" outlineLevel="0" collapsed="false">
      <c r="A1413" s="1" t="n">
        <v>268</v>
      </c>
      <c r="B1413" s="1" t="s">
        <v>702</v>
      </c>
      <c r="C1413" s="1" t="s">
        <v>703</v>
      </c>
      <c r="D1413" s="1" t="n">
        <v>11197</v>
      </c>
      <c r="E1413" s="1" t="s">
        <v>53</v>
      </c>
      <c r="F1413" s="201" t="n">
        <v>200025888632</v>
      </c>
      <c r="G1413" s="198" t="s">
        <v>598</v>
      </c>
      <c r="H1413" s="163" t="s">
        <v>393</v>
      </c>
      <c r="I1413" s="161" t="n">
        <v>83</v>
      </c>
      <c r="J1413" s="156" t="s">
        <v>192</v>
      </c>
      <c r="K1413" s="200" t="n">
        <v>45453.5377083333</v>
      </c>
      <c r="L1413" s="1" t="n">
        <v>1</v>
      </c>
      <c r="M1413" s="156" t="s">
        <v>192</v>
      </c>
      <c r="N1413" s="1" t="n">
        <v>925</v>
      </c>
    </row>
    <row r="1414" customFormat="false" ht="14.25" hidden="false" customHeight="false" outlineLevel="0" collapsed="false">
      <c r="A1414" s="1" t="n">
        <v>270</v>
      </c>
      <c r="B1414" s="1" t="s">
        <v>565</v>
      </c>
      <c r="C1414" s="1" t="s">
        <v>566</v>
      </c>
      <c r="D1414" s="1" t="n">
        <v>11171</v>
      </c>
      <c r="E1414" s="1" t="s">
        <v>55</v>
      </c>
      <c r="F1414" s="198" t="n">
        <v>200025888632</v>
      </c>
      <c r="G1414" s="198" t="s">
        <v>598</v>
      </c>
      <c r="H1414" s="163" t="s">
        <v>393</v>
      </c>
      <c r="I1414" s="161" t="n">
        <v>83</v>
      </c>
      <c r="J1414" s="156" t="s">
        <v>192</v>
      </c>
      <c r="K1414" s="199" t="n">
        <v>45453.5480208333</v>
      </c>
      <c r="L1414" s="1" t="n">
        <v>2</v>
      </c>
      <c r="M1414" s="156" t="s">
        <v>192</v>
      </c>
      <c r="N1414" s="1" t="n">
        <v>926</v>
      </c>
    </row>
    <row r="1415" customFormat="false" ht="14.25" hidden="false" customHeight="false" outlineLevel="0" collapsed="false">
      <c r="A1415" s="1" t="n">
        <v>271</v>
      </c>
      <c r="B1415" s="1" t="s">
        <v>565</v>
      </c>
      <c r="C1415" s="1" t="s">
        <v>566</v>
      </c>
      <c r="D1415" s="1" t="n">
        <v>11171</v>
      </c>
      <c r="E1415" s="1" t="s">
        <v>55</v>
      </c>
      <c r="F1415" s="198" t="n">
        <v>200025888839</v>
      </c>
      <c r="G1415" s="198" t="s">
        <v>690</v>
      </c>
      <c r="H1415" s="163" t="s">
        <v>297</v>
      </c>
      <c r="I1415" s="161" t="n">
        <v>14</v>
      </c>
      <c r="J1415" s="156" t="s">
        <v>192</v>
      </c>
      <c r="K1415" s="199" t="n">
        <v>45453.5492708333</v>
      </c>
      <c r="L1415" s="1" t="n">
        <v>0</v>
      </c>
      <c r="M1415" s="156" t="s">
        <v>192</v>
      </c>
      <c r="N1415" s="1" t="n">
        <v>927</v>
      </c>
    </row>
    <row r="1416" customFormat="false" ht="14.25" hidden="false" customHeight="false" outlineLevel="0" collapsed="false">
      <c r="A1416" s="1" t="n">
        <v>272</v>
      </c>
      <c r="B1416" s="1" t="s">
        <v>565</v>
      </c>
      <c r="C1416" s="1" t="s">
        <v>566</v>
      </c>
      <c r="D1416" s="1" t="n">
        <v>11171</v>
      </c>
      <c r="E1416" s="1" t="s">
        <v>55</v>
      </c>
      <c r="F1416" s="198" t="n">
        <v>200025888839</v>
      </c>
      <c r="G1416" s="198" t="s">
        <v>690</v>
      </c>
      <c r="H1416" s="163" t="s">
        <v>297</v>
      </c>
      <c r="I1416" s="161" t="n">
        <v>14</v>
      </c>
      <c r="J1416" s="156" t="s">
        <v>192</v>
      </c>
      <c r="K1416" s="199" t="n">
        <v>45453.5492939815</v>
      </c>
      <c r="L1416" s="1" t="n">
        <v>0</v>
      </c>
      <c r="M1416" s="156" t="s">
        <v>192</v>
      </c>
      <c r="N1416" s="1" t="n">
        <v>928</v>
      </c>
    </row>
    <row r="1417" customFormat="false" ht="14.25" hidden="false" customHeight="false" outlineLevel="0" collapsed="false">
      <c r="A1417" s="1" t="n">
        <v>273</v>
      </c>
      <c r="B1417" s="1" t="s">
        <v>565</v>
      </c>
      <c r="C1417" s="1" t="s">
        <v>566</v>
      </c>
      <c r="D1417" s="1" t="n">
        <v>11171</v>
      </c>
      <c r="E1417" s="1" t="s">
        <v>55</v>
      </c>
      <c r="F1417" s="198" t="n">
        <v>200025888839</v>
      </c>
      <c r="G1417" s="198" t="s">
        <v>690</v>
      </c>
      <c r="H1417" s="163" t="s">
        <v>297</v>
      </c>
      <c r="I1417" s="161" t="n">
        <v>14</v>
      </c>
      <c r="J1417" s="156" t="s">
        <v>192</v>
      </c>
      <c r="K1417" s="199" t="n">
        <v>45453.5506828704</v>
      </c>
      <c r="L1417" s="1" t="n">
        <v>1</v>
      </c>
      <c r="M1417" s="156" t="s">
        <v>192</v>
      </c>
      <c r="N1417" s="1" t="n">
        <v>929</v>
      </c>
    </row>
    <row r="1418" customFormat="false" ht="14.25" hidden="false" customHeight="false" outlineLevel="0" collapsed="false">
      <c r="A1418" s="1" t="n">
        <v>274</v>
      </c>
      <c r="B1418" s="1" t="s">
        <v>565</v>
      </c>
      <c r="C1418" s="1" t="s">
        <v>566</v>
      </c>
      <c r="D1418" s="1" t="n">
        <v>11171</v>
      </c>
      <c r="E1418" s="1" t="s">
        <v>55</v>
      </c>
      <c r="F1418" s="198" t="n">
        <v>200025888839</v>
      </c>
      <c r="G1418" s="198" t="s">
        <v>690</v>
      </c>
      <c r="H1418" s="163" t="s">
        <v>297</v>
      </c>
      <c r="I1418" s="161" t="n">
        <v>14</v>
      </c>
      <c r="J1418" s="156" t="s">
        <v>192</v>
      </c>
      <c r="K1418" s="199" t="n">
        <v>45453.5507060185</v>
      </c>
      <c r="L1418" s="10" t="n">
        <v>675</v>
      </c>
      <c r="M1418" s="156" t="s">
        <v>192</v>
      </c>
      <c r="N1418" s="1" t="n">
        <v>930</v>
      </c>
    </row>
    <row r="1419" customFormat="false" ht="14.25" hidden="false" customHeight="false" outlineLevel="0" collapsed="false">
      <c r="A1419" s="1" t="n">
        <v>269</v>
      </c>
      <c r="B1419" s="1" t="s">
        <v>702</v>
      </c>
      <c r="C1419" s="1" t="s">
        <v>703</v>
      </c>
      <c r="D1419" s="1" t="n">
        <v>11197</v>
      </c>
      <c r="E1419" s="1" t="s">
        <v>53</v>
      </c>
      <c r="F1419" s="201" t="n">
        <v>200025888839</v>
      </c>
      <c r="G1419" s="198" t="s">
        <v>690</v>
      </c>
      <c r="H1419" s="163" t="s">
        <v>297</v>
      </c>
      <c r="I1419" s="161" t="n">
        <v>14</v>
      </c>
      <c r="J1419" s="156" t="s">
        <v>192</v>
      </c>
      <c r="K1419" s="200" t="n">
        <v>45453.5555324074</v>
      </c>
      <c r="L1419" s="1" t="n">
        <v>2</v>
      </c>
      <c r="M1419" s="156" t="s">
        <v>192</v>
      </c>
      <c r="N1419" s="1" t="n">
        <v>931</v>
      </c>
    </row>
    <row r="1420" customFormat="false" ht="14.25" hidden="false" customHeight="false" outlineLevel="0" collapsed="false">
      <c r="A1420" s="1" t="n">
        <v>270</v>
      </c>
      <c r="B1420" s="1" t="s">
        <v>702</v>
      </c>
      <c r="C1420" s="1" t="s">
        <v>703</v>
      </c>
      <c r="D1420" s="1" t="n">
        <v>11197</v>
      </c>
      <c r="E1420" s="1" t="s">
        <v>53</v>
      </c>
      <c r="F1420" s="201" t="n">
        <v>200025888839</v>
      </c>
      <c r="G1420" s="198" t="s">
        <v>690</v>
      </c>
      <c r="H1420" s="163" t="s">
        <v>297</v>
      </c>
      <c r="I1420" s="161" t="n">
        <v>14</v>
      </c>
      <c r="J1420" s="156" t="s">
        <v>192</v>
      </c>
      <c r="K1420" s="200" t="n">
        <v>45453.5559259259</v>
      </c>
      <c r="L1420" s="1" t="n">
        <v>2</v>
      </c>
      <c r="M1420" s="156" t="s">
        <v>192</v>
      </c>
      <c r="N1420" s="1" t="n">
        <v>932</v>
      </c>
    </row>
    <row r="1421" customFormat="false" ht="14.25" hidden="false" customHeight="false" outlineLevel="0" collapsed="false">
      <c r="A1421" s="1" t="n">
        <v>275</v>
      </c>
      <c r="B1421" s="1" t="s">
        <v>565</v>
      </c>
      <c r="C1421" s="1" t="s">
        <v>566</v>
      </c>
      <c r="D1421" s="1" t="n">
        <v>11171</v>
      </c>
      <c r="E1421" s="1" t="s">
        <v>55</v>
      </c>
      <c r="F1421" s="198" t="n">
        <v>200025888632</v>
      </c>
      <c r="G1421" s="198" t="s">
        <v>598</v>
      </c>
      <c r="H1421" s="163" t="s">
        <v>393</v>
      </c>
      <c r="I1421" s="161" t="n">
        <v>83</v>
      </c>
      <c r="J1421" s="156" t="s">
        <v>192</v>
      </c>
      <c r="K1421" s="199" t="n">
        <v>45453.5585300926</v>
      </c>
      <c r="L1421" s="1" t="n">
        <v>0</v>
      </c>
      <c r="M1421" s="156" t="s">
        <v>192</v>
      </c>
      <c r="N1421" s="1" t="n">
        <v>933</v>
      </c>
    </row>
    <row r="1422" customFormat="false" ht="14.25" hidden="false" customHeight="false" outlineLevel="0" collapsed="false">
      <c r="A1422" s="1" t="n">
        <v>276</v>
      </c>
      <c r="B1422" s="1" t="s">
        <v>565</v>
      </c>
      <c r="C1422" s="1" t="s">
        <v>566</v>
      </c>
      <c r="D1422" s="1" t="n">
        <v>11171</v>
      </c>
      <c r="E1422" s="1" t="s">
        <v>55</v>
      </c>
      <c r="F1422" s="198" t="n">
        <v>200025888632</v>
      </c>
      <c r="G1422" s="198" t="s">
        <v>598</v>
      </c>
      <c r="H1422" s="163" t="s">
        <v>393</v>
      </c>
      <c r="I1422" s="161" t="n">
        <v>83</v>
      </c>
      <c r="J1422" s="156" t="s">
        <v>192</v>
      </c>
      <c r="K1422" s="199" t="n">
        <v>45453.5586342593</v>
      </c>
      <c r="L1422" s="1" t="n">
        <v>0</v>
      </c>
      <c r="M1422" s="156" t="s">
        <v>192</v>
      </c>
      <c r="N1422" s="1" t="n">
        <v>934</v>
      </c>
    </row>
    <row r="1423" customFormat="false" ht="14.25" hidden="false" customHeight="false" outlineLevel="0" collapsed="false">
      <c r="A1423" s="1" t="n">
        <v>277</v>
      </c>
      <c r="B1423" s="1" t="s">
        <v>565</v>
      </c>
      <c r="C1423" s="1" t="s">
        <v>566</v>
      </c>
      <c r="D1423" s="1" t="n">
        <v>11171</v>
      </c>
      <c r="E1423" s="1" t="s">
        <v>55</v>
      </c>
      <c r="F1423" s="198" t="n">
        <v>200025888632</v>
      </c>
      <c r="G1423" s="198" t="s">
        <v>598</v>
      </c>
      <c r="H1423" s="163" t="s">
        <v>393</v>
      </c>
      <c r="I1423" s="161" t="n">
        <v>83</v>
      </c>
      <c r="J1423" s="156" t="s">
        <v>192</v>
      </c>
      <c r="K1423" s="199" t="n">
        <v>45453.5590509259</v>
      </c>
      <c r="L1423" s="10" t="n">
        <v>55</v>
      </c>
      <c r="M1423" s="156" t="s">
        <v>192</v>
      </c>
      <c r="N1423" s="1" t="n">
        <v>935</v>
      </c>
    </row>
    <row r="1424" customFormat="false" ht="14.25" hidden="false" customHeight="false" outlineLevel="0" collapsed="false">
      <c r="A1424" s="1" t="n">
        <v>278</v>
      </c>
      <c r="B1424" s="1" t="s">
        <v>565</v>
      </c>
      <c r="C1424" s="1" t="s">
        <v>566</v>
      </c>
      <c r="D1424" s="1" t="n">
        <v>11171</v>
      </c>
      <c r="E1424" s="1" t="s">
        <v>55</v>
      </c>
      <c r="F1424" s="198" t="n">
        <v>200025888632</v>
      </c>
      <c r="G1424" s="198" t="s">
        <v>598</v>
      </c>
      <c r="H1424" s="163" t="s">
        <v>393</v>
      </c>
      <c r="I1424" s="161" t="n">
        <v>83</v>
      </c>
      <c r="J1424" s="156" t="s">
        <v>192</v>
      </c>
      <c r="K1424" s="199" t="n">
        <v>45453.5599537037</v>
      </c>
      <c r="L1424" s="1" t="n">
        <v>3</v>
      </c>
      <c r="M1424" s="156" t="s">
        <v>192</v>
      </c>
      <c r="N1424" s="1" t="n">
        <v>936</v>
      </c>
    </row>
    <row r="1425" customFormat="false" ht="14.25" hidden="false" customHeight="false" outlineLevel="0" collapsed="false">
      <c r="A1425" s="1" t="n">
        <v>279</v>
      </c>
      <c r="B1425" s="1" t="s">
        <v>565</v>
      </c>
      <c r="C1425" s="1" t="s">
        <v>566</v>
      </c>
      <c r="D1425" s="1" t="n">
        <v>11171</v>
      </c>
      <c r="E1425" s="1" t="s">
        <v>55</v>
      </c>
      <c r="F1425" s="198" t="n">
        <v>200025888632</v>
      </c>
      <c r="G1425" s="198" t="s">
        <v>598</v>
      </c>
      <c r="H1425" s="163" t="s">
        <v>393</v>
      </c>
      <c r="I1425" s="161" t="n">
        <v>83</v>
      </c>
      <c r="J1425" s="156" t="s">
        <v>192</v>
      </c>
      <c r="K1425" s="199" t="n">
        <v>45453.5600810185</v>
      </c>
      <c r="L1425" s="1" t="n">
        <v>1</v>
      </c>
      <c r="M1425" s="156" t="s">
        <v>192</v>
      </c>
      <c r="N1425" s="1" t="n">
        <v>937</v>
      </c>
    </row>
    <row r="1426" customFormat="false" ht="14.25" hidden="false" customHeight="false" outlineLevel="0" collapsed="false">
      <c r="A1426" s="1" t="n">
        <v>271</v>
      </c>
      <c r="B1426" s="1" t="s">
        <v>702</v>
      </c>
      <c r="C1426" s="1" t="s">
        <v>703</v>
      </c>
      <c r="D1426" s="1" t="n">
        <v>11197</v>
      </c>
      <c r="E1426" s="1" t="s">
        <v>53</v>
      </c>
      <c r="F1426" s="201" t="n">
        <v>200025888632</v>
      </c>
      <c r="G1426" s="198" t="s">
        <v>598</v>
      </c>
      <c r="H1426" s="163" t="s">
        <v>393</v>
      </c>
      <c r="I1426" s="161" t="n">
        <v>83</v>
      </c>
      <c r="J1426" s="156" t="s">
        <v>192</v>
      </c>
      <c r="K1426" s="200" t="n">
        <v>45453.6287268519</v>
      </c>
      <c r="L1426" s="1" t="n">
        <v>2</v>
      </c>
      <c r="M1426" s="156" t="s">
        <v>192</v>
      </c>
      <c r="N1426" s="1" t="n">
        <v>938</v>
      </c>
    </row>
    <row r="1427" customFormat="false" ht="14.25" hidden="false" customHeight="false" outlineLevel="0" collapsed="false">
      <c r="A1427" s="1" t="n">
        <v>22</v>
      </c>
      <c r="B1427" s="1" t="s">
        <v>684</v>
      </c>
      <c r="C1427" s="1" t="s">
        <v>685</v>
      </c>
      <c r="D1427" s="1" t="n">
        <v>21296</v>
      </c>
      <c r="E1427" s="1" t="s">
        <v>57</v>
      </c>
      <c r="F1427" s="201" t="n">
        <v>200025889791</v>
      </c>
      <c r="G1427" s="198" t="s">
        <v>688</v>
      </c>
      <c r="H1427" s="163" t="s">
        <v>510</v>
      </c>
      <c r="I1427" s="161" t="n">
        <v>80</v>
      </c>
      <c r="J1427" s="156" t="s">
        <v>192</v>
      </c>
      <c r="K1427" s="200" t="n">
        <v>45453.6422453704</v>
      </c>
      <c r="L1427" s="1" t="n">
        <v>0</v>
      </c>
      <c r="M1427" s="156" t="s">
        <v>192</v>
      </c>
      <c r="N1427" s="1" t="n">
        <v>939</v>
      </c>
    </row>
    <row r="1428" customFormat="false" ht="14.25" hidden="false" customHeight="false" outlineLevel="0" collapsed="false">
      <c r="A1428" s="1" t="n">
        <v>23</v>
      </c>
      <c r="B1428" s="1" t="s">
        <v>684</v>
      </c>
      <c r="C1428" s="1" t="s">
        <v>685</v>
      </c>
      <c r="D1428" s="1" t="n">
        <v>21296</v>
      </c>
      <c r="E1428" s="1" t="s">
        <v>57</v>
      </c>
      <c r="F1428" s="201" t="n">
        <v>200025889791</v>
      </c>
      <c r="G1428" s="198" t="s">
        <v>688</v>
      </c>
      <c r="H1428" s="163" t="s">
        <v>510</v>
      </c>
      <c r="I1428" s="161" t="n">
        <v>80</v>
      </c>
      <c r="J1428" s="156" t="s">
        <v>192</v>
      </c>
      <c r="K1428" s="200" t="n">
        <v>45453.6422453704</v>
      </c>
      <c r="L1428" s="1" t="n">
        <v>5</v>
      </c>
      <c r="M1428" s="156" t="s">
        <v>192</v>
      </c>
      <c r="N1428" s="1" t="n">
        <v>940</v>
      </c>
    </row>
    <row r="1429" customFormat="false" ht="14.25" hidden="false" customHeight="false" outlineLevel="0" collapsed="false">
      <c r="A1429" s="1" t="n">
        <v>24</v>
      </c>
      <c r="B1429" s="1" t="s">
        <v>684</v>
      </c>
      <c r="C1429" s="1" t="s">
        <v>685</v>
      </c>
      <c r="D1429" s="1" t="n">
        <v>21296</v>
      </c>
      <c r="E1429" s="1" t="s">
        <v>57</v>
      </c>
      <c r="F1429" s="201" t="n">
        <v>200025889791</v>
      </c>
      <c r="G1429" s="198" t="s">
        <v>688</v>
      </c>
      <c r="H1429" s="163" t="s">
        <v>510</v>
      </c>
      <c r="I1429" s="161" t="n">
        <v>80</v>
      </c>
      <c r="J1429" s="156" t="s">
        <v>192</v>
      </c>
      <c r="K1429" s="200" t="n">
        <v>45453.6427893519</v>
      </c>
      <c r="L1429" s="1" t="n">
        <v>1</v>
      </c>
      <c r="M1429" s="156" t="s">
        <v>192</v>
      </c>
      <c r="N1429" s="1" t="n">
        <v>941</v>
      </c>
    </row>
    <row r="1430" customFormat="false" ht="14.25" hidden="false" customHeight="false" outlineLevel="0" collapsed="false">
      <c r="A1430" s="1" t="n">
        <v>25</v>
      </c>
      <c r="B1430" s="1" t="s">
        <v>684</v>
      </c>
      <c r="C1430" s="1" t="s">
        <v>685</v>
      </c>
      <c r="D1430" s="1" t="n">
        <v>21296</v>
      </c>
      <c r="E1430" s="1" t="s">
        <v>57</v>
      </c>
      <c r="F1430" s="201" t="n">
        <v>200025888632</v>
      </c>
      <c r="G1430" s="198" t="s">
        <v>598</v>
      </c>
      <c r="H1430" s="163" t="s">
        <v>393</v>
      </c>
      <c r="I1430" s="161" t="n">
        <v>83</v>
      </c>
      <c r="J1430" s="156" t="s">
        <v>192</v>
      </c>
      <c r="K1430" s="200" t="n">
        <v>45453.6519675926</v>
      </c>
      <c r="L1430" s="10" t="n">
        <v>100</v>
      </c>
      <c r="M1430" s="156" t="s">
        <v>192</v>
      </c>
      <c r="N1430" s="1" t="n">
        <v>942</v>
      </c>
    </row>
    <row r="1431" customFormat="false" ht="14.25" hidden="false" customHeight="false" outlineLevel="0" collapsed="false">
      <c r="A1431" s="1" t="n">
        <v>26</v>
      </c>
      <c r="B1431" s="1" t="s">
        <v>684</v>
      </c>
      <c r="C1431" s="1" t="s">
        <v>685</v>
      </c>
      <c r="D1431" s="1" t="n">
        <v>21296</v>
      </c>
      <c r="E1431" s="1" t="s">
        <v>57</v>
      </c>
      <c r="F1431" s="201" t="n">
        <v>200025889791</v>
      </c>
      <c r="G1431" s="198" t="s">
        <v>688</v>
      </c>
      <c r="H1431" s="163" t="s">
        <v>510</v>
      </c>
      <c r="I1431" s="161" t="n">
        <v>80</v>
      </c>
      <c r="J1431" s="156" t="s">
        <v>192</v>
      </c>
      <c r="K1431" s="200" t="n">
        <v>45453.6572106482</v>
      </c>
      <c r="L1431" s="1" t="n">
        <v>1</v>
      </c>
      <c r="M1431" s="156" t="s">
        <v>192</v>
      </c>
      <c r="N1431" s="1" t="n">
        <v>943</v>
      </c>
    </row>
    <row r="1432" customFormat="false" ht="14.25" hidden="false" customHeight="false" outlineLevel="0" collapsed="false">
      <c r="A1432" s="1" t="n">
        <v>27</v>
      </c>
      <c r="B1432" s="1" t="s">
        <v>684</v>
      </c>
      <c r="C1432" s="1" t="s">
        <v>685</v>
      </c>
      <c r="D1432" s="1" t="n">
        <v>21296</v>
      </c>
      <c r="E1432" s="1" t="s">
        <v>57</v>
      </c>
      <c r="F1432" s="201" t="n">
        <v>200025889791</v>
      </c>
      <c r="G1432" s="198" t="s">
        <v>688</v>
      </c>
      <c r="H1432" s="163" t="s">
        <v>510</v>
      </c>
      <c r="I1432" s="161" t="n">
        <v>80</v>
      </c>
      <c r="J1432" s="156" t="s">
        <v>192</v>
      </c>
      <c r="K1432" s="200" t="n">
        <v>45453.6572337963</v>
      </c>
      <c r="L1432" s="1" t="n">
        <v>0</v>
      </c>
      <c r="M1432" s="156" t="s">
        <v>192</v>
      </c>
      <c r="N1432" s="1" t="n">
        <v>944</v>
      </c>
    </row>
    <row r="1433" customFormat="false" ht="14.25" hidden="false" customHeight="false" outlineLevel="0" collapsed="false">
      <c r="A1433" s="1" t="n">
        <v>28</v>
      </c>
      <c r="B1433" s="1" t="s">
        <v>684</v>
      </c>
      <c r="C1433" s="1" t="s">
        <v>685</v>
      </c>
      <c r="D1433" s="1" t="n">
        <v>21296</v>
      </c>
      <c r="E1433" s="1" t="s">
        <v>57</v>
      </c>
      <c r="F1433" s="201" t="n">
        <v>200025889791</v>
      </c>
      <c r="G1433" s="198" t="s">
        <v>688</v>
      </c>
      <c r="H1433" s="163" t="s">
        <v>510</v>
      </c>
      <c r="I1433" s="161" t="n">
        <v>80</v>
      </c>
      <c r="J1433" s="156" t="s">
        <v>192</v>
      </c>
      <c r="K1433" s="200" t="n">
        <v>45453.6582291667</v>
      </c>
      <c r="L1433" s="1" t="n">
        <v>1</v>
      </c>
      <c r="M1433" s="156" t="s">
        <v>192</v>
      </c>
      <c r="N1433" s="1" t="n">
        <v>945</v>
      </c>
    </row>
    <row r="1434" customFormat="false" ht="14.25" hidden="false" customHeight="false" outlineLevel="0" collapsed="false">
      <c r="A1434" s="1" t="n">
        <v>283</v>
      </c>
      <c r="B1434" s="1" t="s">
        <v>702</v>
      </c>
      <c r="C1434" s="1" t="s">
        <v>703</v>
      </c>
      <c r="D1434" s="1" t="n">
        <v>11197</v>
      </c>
      <c r="E1434" s="1" t="s">
        <v>53</v>
      </c>
      <c r="F1434" s="201" t="n">
        <v>200025888910</v>
      </c>
      <c r="G1434" s="198" t="s">
        <v>688</v>
      </c>
      <c r="H1434" s="163" t="s">
        <v>510</v>
      </c>
      <c r="I1434" s="161" t="n">
        <v>80</v>
      </c>
      <c r="J1434" s="156" t="s">
        <v>192</v>
      </c>
      <c r="K1434" s="200" t="n">
        <v>45453.6582638889</v>
      </c>
      <c r="L1434" s="1" t="n">
        <v>1</v>
      </c>
      <c r="M1434" s="156" t="s">
        <v>192</v>
      </c>
      <c r="N1434" s="1" t="n">
        <v>946</v>
      </c>
    </row>
    <row r="1435" customFormat="false" ht="14.25" hidden="false" customHeight="false" outlineLevel="0" collapsed="false">
      <c r="A1435" s="1" t="n">
        <v>30</v>
      </c>
      <c r="B1435" s="1" t="s">
        <v>684</v>
      </c>
      <c r="C1435" s="1" t="s">
        <v>685</v>
      </c>
      <c r="D1435" s="1" t="n">
        <v>21296</v>
      </c>
      <c r="E1435" s="1" t="s">
        <v>57</v>
      </c>
      <c r="F1435" s="201" t="n">
        <v>200025889791</v>
      </c>
      <c r="G1435" s="198" t="s">
        <v>688</v>
      </c>
      <c r="H1435" s="163" t="s">
        <v>510</v>
      </c>
      <c r="I1435" s="161" t="n">
        <v>80</v>
      </c>
      <c r="J1435" s="156" t="s">
        <v>192</v>
      </c>
      <c r="K1435" s="200" t="n">
        <v>45453.6587384259</v>
      </c>
      <c r="L1435" s="1" t="n">
        <v>2</v>
      </c>
      <c r="M1435" s="156" t="s">
        <v>192</v>
      </c>
      <c r="N1435" s="1" t="n">
        <v>947</v>
      </c>
    </row>
    <row r="1436" customFormat="false" ht="14.25" hidden="false" customHeight="false" outlineLevel="0" collapsed="false">
      <c r="A1436" s="1" t="n">
        <v>31</v>
      </c>
      <c r="B1436" s="1" t="s">
        <v>684</v>
      </c>
      <c r="C1436" s="1" t="s">
        <v>685</v>
      </c>
      <c r="D1436" s="1" t="n">
        <v>21296</v>
      </c>
      <c r="E1436" s="1" t="s">
        <v>57</v>
      </c>
      <c r="F1436" s="201" t="n">
        <v>200025888632</v>
      </c>
      <c r="G1436" s="198" t="s">
        <v>598</v>
      </c>
      <c r="H1436" s="163" t="s">
        <v>393</v>
      </c>
      <c r="I1436" s="161" t="n">
        <v>83</v>
      </c>
      <c r="J1436" s="156" t="s">
        <v>192</v>
      </c>
      <c r="K1436" s="200" t="n">
        <v>45453.685474537</v>
      </c>
      <c r="L1436" s="1" t="n">
        <v>3</v>
      </c>
      <c r="M1436" s="156" t="s">
        <v>192</v>
      </c>
      <c r="N1436" s="1" t="n">
        <v>948</v>
      </c>
    </row>
    <row r="1437" customFormat="false" ht="14.25" hidden="false" customHeight="false" outlineLevel="0" collapsed="false">
      <c r="A1437" s="1" t="n">
        <v>32</v>
      </c>
      <c r="B1437" s="1" t="s">
        <v>684</v>
      </c>
      <c r="C1437" s="1" t="s">
        <v>685</v>
      </c>
      <c r="D1437" s="1" t="n">
        <v>21296</v>
      </c>
      <c r="E1437" s="1" t="s">
        <v>57</v>
      </c>
      <c r="F1437" s="201" t="n">
        <v>200025888632</v>
      </c>
      <c r="G1437" s="198" t="s">
        <v>598</v>
      </c>
      <c r="H1437" s="163" t="s">
        <v>393</v>
      </c>
      <c r="I1437" s="161" t="n">
        <v>83</v>
      </c>
      <c r="J1437" s="156" t="s">
        <v>192</v>
      </c>
      <c r="K1437" s="200" t="n">
        <v>45453.6967592593</v>
      </c>
      <c r="L1437" s="1" t="n">
        <v>2</v>
      </c>
      <c r="M1437" s="156" t="s">
        <v>192</v>
      </c>
      <c r="N1437" s="1" t="n">
        <v>949</v>
      </c>
    </row>
    <row r="1438" customFormat="false" ht="14.25" hidden="false" customHeight="false" outlineLevel="0" collapsed="false">
      <c r="A1438" s="1" t="n">
        <v>33</v>
      </c>
      <c r="B1438" s="1" t="s">
        <v>684</v>
      </c>
      <c r="C1438" s="1" t="s">
        <v>685</v>
      </c>
      <c r="D1438" s="1" t="n">
        <v>21296</v>
      </c>
      <c r="E1438" s="1" t="s">
        <v>57</v>
      </c>
      <c r="F1438" s="201" t="n">
        <v>200025888632</v>
      </c>
      <c r="G1438" s="198" t="s">
        <v>598</v>
      </c>
      <c r="H1438" s="163" t="s">
        <v>393</v>
      </c>
      <c r="I1438" s="161" t="n">
        <v>83</v>
      </c>
      <c r="J1438" s="156" t="s">
        <v>192</v>
      </c>
      <c r="K1438" s="200" t="n">
        <v>45453.6970833333</v>
      </c>
      <c r="L1438" s="1" t="n">
        <v>2</v>
      </c>
      <c r="M1438" s="156" t="s">
        <v>192</v>
      </c>
      <c r="N1438" s="1" t="n">
        <v>950</v>
      </c>
    </row>
    <row r="1439" customFormat="false" ht="14.25" hidden="false" customHeight="false" outlineLevel="0" collapsed="false">
      <c r="A1439" s="1" t="n">
        <v>34</v>
      </c>
      <c r="B1439" s="1" t="s">
        <v>684</v>
      </c>
      <c r="C1439" s="1" t="s">
        <v>685</v>
      </c>
      <c r="D1439" s="1" t="n">
        <v>21296</v>
      </c>
      <c r="E1439" s="1" t="s">
        <v>57</v>
      </c>
      <c r="F1439" s="201" t="n">
        <v>200025888632</v>
      </c>
      <c r="G1439" s="198" t="s">
        <v>598</v>
      </c>
      <c r="H1439" s="163" t="s">
        <v>393</v>
      </c>
      <c r="I1439" s="161" t="n">
        <v>83</v>
      </c>
      <c r="J1439" s="156" t="s">
        <v>192</v>
      </c>
      <c r="K1439" s="200" t="n">
        <v>45453.6977430556</v>
      </c>
      <c r="L1439" s="1" t="n">
        <v>2</v>
      </c>
      <c r="M1439" s="156" t="s">
        <v>192</v>
      </c>
      <c r="N1439" s="1" t="n">
        <v>951</v>
      </c>
    </row>
    <row r="1440" customFormat="false" ht="14.25" hidden="false" customHeight="false" outlineLevel="0" collapsed="false">
      <c r="A1440" s="1" t="n">
        <v>35</v>
      </c>
      <c r="B1440" s="1" t="s">
        <v>684</v>
      </c>
      <c r="C1440" s="1" t="s">
        <v>685</v>
      </c>
      <c r="D1440" s="1" t="n">
        <v>21296</v>
      </c>
      <c r="E1440" s="1" t="s">
        <v>57</v>
      </c>
      <c r="F1440" s="201" t="n">
        <v>200025888632</v>
      </c>
      <c r="G1440" s="198" t="s">
        <v>598</v>
      </c>
      <c r="H1440" s="163" t="s">
        <v>393</v>
      </c>
      <c r="I1440" s="161" t="n">
        <v>83</v>
      </c>
      <c r="J1440" s="156" t="s">
        <v>192</v>
      </c>
      <c r="K1440" s="200" t="n">
        <v>45453.6979050926</v>
      </c>
      <c r="L1440" s="1" t="n">
        <v>0</v>
      </c>
      <c r="M1440" s="156" t="s">
        <v>192</v>
      </c>
      <c r="N1440" s="1" t="n">
        <v>952</v>
      </c>
    </row>
    <row r="1441" customFormat="false" ht="14.25" hidden="false" customHeight="false" outlineLevel="0" collapsed="false">
      <c r="A1441" s="1" t="n">
        <v>36</v>
      </c>
      <c r="B1441" s="1" t="s">
        <v>684</v>
      </c>
      <c r="C1441" s="1" t="s">
        <v>685</v>
      </c>
      <c r="D1441" s="1" t="n">
        <v>21296</v>
      </c>
      <c r="E1441" s="1" t="s">
        <v>57</v>
      </c>
      <c r="F1441" s="201" t="n">
        <v>200025888632</v>
      </c>
      <c r="G1441" s="198" t="s">
        <v>598</v>
      </c>
      <c r="H1441" s="163" t="s">
        <v>393</v>
      </c>
      <c r="I1441" s="161" t="n">
        <v>83</v>
      </c>
      <c r="J1441" s="156" t="s">
        <v>192</v>
      </c>
      <c r="K1441" s="200" t="n">
        <v>45453.6981597222</v>
      </c>
      <c r="L1441" s="1" t="n">
        <v>1</v>
      </c>
      <c r="M1441" s="156" t="s">
        <v>192</v>
      </c>
      <c r="N1441" s="1" t="n">
        <v>953</v>
      </c>
    </row>
    <row r="1442" customFormat="false" ht="14.25" hidden="false" customHeight="false" outlineLevel="0" collapsed="false">
      <c r="A1442" s="1" t="n">
        <v>37</v>
      </c>
      <c r="B1442" s="1" t="s">
        <v>684</v>
      </c>
      <c r="C1442" s="1" t="s">
        <v>685</v>
      </c>
      <c r="D1442" s="1" t="n">
        <v>21296</v>
      </c>
      <c r="E1442" s="1" t="s">
        <v>57</v>
      </c>
      <c r="F1442" s="201" t="n">
        <v>200025888632</v>
      </c>
      <c r="G1442" s="198" t="s">
        <v>598</v>
      </c>
      <c r="H1442" s="163" t="s">
        <v>393</v>
      </c>
      <c r="I1442" s="161" t="n">
        <v>83</v>
      </c>
      <c r="J1442" s="156" t="s">
        <v>192</v>
      </c>
      <c r="K1442" s="200" t="n">
        <v>45453.7567708333</v>
      </c>
      <c r="L1442" s="1" t="n">
        <v>1</v>
      </c>
      <c r="M1442" s="156" t="s">
        <v>192</v>
      </c>
      <c r="N1442" s="1" t="n">
        <v>954</v>
      </c>
    </row>
    <row r="1443" customFormat="false" ht="14.25" hidden="false" customHeight="false" outlineLevel="0" collapsed="false">
      <c r="A1443" s="1" t="n">
        <v>38</v>
      </c>
      <c r="B1443" s="1" t="s">
        <v>684</v>
      </c>
      <c r="C1443" s="1" t="s">
        <v>685</v>
      </c>
      <c r="D1443" s="1" t="n">
        <v>21296</v>
      </c>
      <c r="E1443" s="1" t="s">
        <v>57</v>
      </c>
      <c r="F1443" s="201" t="n">
        <v>200025888632</v>
      </c>
      <c r="G1443" s="198" t="s">
        <v>598</v>
      </c>
      <c r="H1443" s="163" t="s">
        <v>393</v>
      </c>
      <c r="I1443" s="161" t="n">
        <v>83</v>
      </c>
      <c r="J1443" s="156" t="s">
        <v>192</v>
      </c>
      <c r="K1443" s="200" t="n">
        <v>45453.7572337963</v>
      </c>
      <c r="L1443" s="10" t="n">
        <v>210</v>
      </c>
      <c r="M1443" s="156" t="s">
        <v>192</v>
      </c>
      <c r="N1443" s="1" t="n">
        <v>955</v>
      </c>
    </row>
    <row r="1444" customFormat="false" ht="14.25" hidden="false" customHeight="false" outlineLevel="0" collapsed="false">
      <c r="A1444" s="1" t="n">
        <v>39</v>
      </c>
      <c r="B1444" s="1" t="s">
        <v>684</v>
      </c>
      <c r="C1444" s="1" t="s">
        <v>685</v>
      </c>
      <c r="D1444" s="1" t="n">
        <v>21296</v>
      </c>
      <c r="E1444" s="1" t="s">
        <v>57</v>
      </c>
      <c r="F1444" s="201" t="n">
        <v>200025888839</v>
      </c>
      <c r="G1444" s="198" t="s">
        <v>690</v>
      </c>
      <c r="H1444" s="163" t="s">
        <v>297</v>
      </c>
      <c r="I1444" s="161" t="n">
        <v>14</v>
      </c>
      <c r="J1444" s="156" t="s">
        <v>192</v>
      </c>
      <c r="K1444" s="200" t="n">
        <v>45453.8043981481</v>
      </c>
      <c r="L1444" s="10" t="n">
        <v>924</v>
      </c>
      <c r="M1444" s="156" t="s">
        <v>192</v>
      </c>
      <c r="N1444" s="1" t="n">
        <v>956</v>
      </c>
    </row>
    <row r="1445" customFormat="false" ht="14.25" hidden="false" customHeight="false" outlineLevel="0" collapsed="false">
      <c r="A1445" s="1" t="n">
        <v>40</v>
      </c>
      <c r="B1445" s="1" t="s">
        <v>684</v>
      </c>
      <c r="C1445" s="1" t="s">
        <v>685</v>
      </c>
      <c r="D1445" s="1" t="n">
        <v>21296</v>
      </c>
      <c r="E1445" s="1" t="s">
        <v>57</v>
      </c>
      <c r="F1445" s="201" t="n">
        <v>200025888632</v>
      </c>
      <c r="G1445" s="198" t="s">
        <v>598</v>
      </c>
      <c r="H1445" s="163" t="s">
        <v>393</v>
      </c>
      <c r="I1445" s="161" t="n">
        <v>83</v>
      </c>
      <c r="J1445" s="156" t="s">
        <v>192</v>
      </c>
      <c r="K1445" s="200" t="n">
        <v>45453.8353935185</v>
      </c>
      <c r="L1445" s="1" t="n">
        <v>1</v>
      </c>
      <c r="M1445" s="156" t="s">
        <v>192</v>
      </c>
      <c r="N1445" s="1" t="n">
        <v>957</v>
      </c>
    </row>
    <row r="1446" customFormat="false" ht="14.25" hidden="false" customHeight="false" outlineLevel="0" collapsed="false">
      <c r="A1446" s="1" t="n">
        <v>41</v>
      </c>
      <c r="B1446" s="1" t="s">
        <v>684</v>
      </c>
      <c r="C1446" s="1" t="s">
        <v>685</v>
      </c>
      <c r="D1446" s="1" t="n">
        <v>21296</v>
      </c>
      <c r="E1446" s="1" t="s">
        <v>57</v>
      </c>
      <c r="F1446" s="201" t="n">
        <v>200025888839</v>
      </c>
      <c r="G1446" s="198" t="s">
        <v>690</v>
      </c>
      <c r="H1446" s="163" t="s">
        <v>297</v>
      </c>
      <c r="I1446" s="161" t="n">
        <v>14</v>
      </c>
      <c r="J1446" s="156" t="s">
        <v>192</v>
      </c>
      <c r="K1446" s="200" t="n">
        <v>45453.8680902778</v>
      </c>
      <c r="L1446" s="1" t="n">
        <v>0</v>
      </c>
      <c r="M1446" s="156" t="s">
        <v>192</v>
      </c>
      <c r="N1446" s="1" t="n">
        <v>958</v>
      </c>
    </row>
    <row r="1447" customFormat="false" ht="14.25" hidden="false" customHeight="false" outlineLevel="0" collapsed="false">
      <c r="A1447" s="1" t="n">
        <v>42</v>
      </c>
      <c r="B1447" s="1" t="s">
        <v>684</v>
      </c>
      <c r="C1447" s="1" t="s">
        <v>685</v>
      </c>
      <c r="D1447" s="1" t="n">
        <v>21296</v>
      </c>
      <c r="E1447" s="1" t="s">
        <v>57</v>
      </c>
      <c r="F1447" s="201" t="n">
        <v>200025888839</v>
      </c>
      <c r="G1447" s="198" t="s">
        <v>690</v>
      </c>
      <c r="H1447" s="163" t="s">
        <v>297</v>
      </c>
      <c r="I1447" s="161" t="n">
        <v>14</v>
      </c>
      <c r="J1447" s="156" t="s">
        <v>192</v>
      </c>
      <c r="K1447" s="200" t="n">
        <v>45453.8690277778</v>
      </c>
      <c r="L1447" s="1" t="n">
        <v>0</v>
      </c>
      <c r="M1447" s="156" t="s">
        <v>192</v>
      </c>
      <c r="N1447" s="1" t="n">
        <v>959</v>
      </c>
    </row>
    <row r="1448" customFormat="false" ht="14.25" hidden="false" customHeight="false" outlineLevel="0" collapsed="false">
      <c r="A1448" s="1" t="n">
        <v>43</v>
      </c>
      <c r="B1448" s="1" t="s">
        <v>684</v>
      </c>
      <c r="C1448" s="1" t="s">
        <v>685</v>
      </c>
      <c r="D1448" s="1" t="n">
        <v>21296</v>
      </c>
      <c r="E1448" s="1" t="s">
        <v>57</v>
      </c>
      <c r="F1448" s="201" t="n">
        <v>200025888839</v>
      </c>
      <c r="G1448" s="198" t="s">
        <v>690</v>
      </c>
      <c r="H1448" s="163" t="s">
        <v>297</v>
      </c>
      <c r="I1448" s="161" t="n">
        <v>14</v>
      </c>
      <c r="J1448" s="156" t="s">
        <v>192</v>
      </c>
      <c r="K1448" s="200" t="n">
        <v>45453.8699305556</v>
      </c>
      <c r="L1448" s="1" t="n">
        <v>1</v>
      </c>
      <c r="M1448" s="156" t="s">
        <v>192</v>
      </c>
      <c r="N1448" s="1" t="n">
        <v>960</v>
      </c>
    </row>
    <row r="1449" customFormat="false" ht="14.25" hidden="false" customHeight="false" outlineLevel="0" collapsed="false">
      <c r="A1449" s="1" t="n">
        <v>44</v>
      </c>
      <c r="B1449" s="1" t="s">
        <v>684</v>
      </c>
      <c r="C1449" s="1" t="s">
        <v>685</v>
      </c>
      <c r="D1449" s="1" t="n">
        <v>21296</v>
      </c>
      <c r="E1449" s="1" t="s">
        <v>57</v>
      </c>
      <c r="F1449" s="201" t="n">
        <v>200025888839</v>
      </c>
      <c r="G1449" s="198" t="s">
        <v>690</v>
      </c>
      <c r="H1449" s="163" t="s">
        <v>297</v>
      </c>
      <c r="I1449" s="161" t="n">
        <v>14</v>
      </c>
      <c r="J1449" s="156" t="s">
        <v>192</v>
      </c>
      <c r="K1449" s="200" t="n">
        <v>45453.8699537037</v>
      </c>
      <c r="L1449" s="1" t="n">
        <v>0</v>
      </c>
      <c r="M1449" s="156" t="s">
        <v>192</v>
      </c>
      <c r="N1449" s="1" t="n">
        <v>961</v>
      </c>
    </row>
    <row r="1450" customFormat="false" ht="14.25" hidden="false" customHeight="false" outlineLevel="0" collapsed="false">
      <c r="A1450" s="1" t="n">
        <v>45</v>
      </c>
      <c r="B1450" s="1" t="s">
        <v>684</v>
      </c>
      <c r="C1450" s="1" t="s">
        <v>685</v>
      </c>
      <c r="D1450" s="1" t="n">
        <v>21296</v>
      </c>
      <c r="E1450" s="1" t="s">
        <v>57</v>
      </c>
      <c r="F1450" s="201" t="n">
        <v>200025888632</v>
      </c>
      <c r="G1450" s="198" t="s">
        <v>598</v>
      </c>
      <c r="H1450" s="163" t="s">
        <v>393</v>
      </c>
      <c r="I1450" s="161" t="n">
        <v>83</v>
      </c>
      <c r="J1450" s="156" t="s">
        <v>192</v>
      </c>
      <c r="K1450" s="200" t="n">
        <v>45453.9012037037</v>
      </c>
      <c r="L1450" s="10" t="n">
        <v>71</v>
      </c>
      <c r="M1450" s="156" t="s">
        <v>192</v>
      </c>
      <c r="N1450" s="1" t="n">
        <v>962</v>
      </c>
    </row>
    <row r="1451" customFormat="false" ht="14.25" hidden="false" customHeight="false" outlineLevel="0" collapsed="false">
      <c r="A1451" s="1" t="n">
        <v>46</v>
      </c>
      <c r="B1451" s="1" t="s">
        <v>684</v>
      </c>
      <c r="C1451" s="1" t="s">
        <v>685</v>
      </c>
      <c r="D1451" s="1" t="n">
        <v>21296</v>
      </c>
      <c r="E1451" s="1" t="s">
        <v>57</v>
      </c>
      <c r="F1451" s="201" t="n">
        <v>200025888632</v>
      </c>
      <c r="G1451" s="198" t="s">
        <v>598</v>
      </c>
      <c r="H1451" s="163" t="s">
        <v>393</v>
      </c>
      <c r="I1451" s="161" t="n">
        <v>83</v>
      </c>
      <c r="J1451" s="156" t="s">
        <v>192</v>
      </c>
      <c r="K1451" s="200" t="n">
        <v>45453.902037037</v>
      </c>
      <c r="L1451" s="1" t="n">
        <v>1</v>
      </c>
      <c r="M1451" s="156" t="s">
        <v>192</v>
      </c>
      <c r="N1451" s="1" t="n">
        <v>963</v>
      </c>
    </row>
    <row r="1452" customFormat="false" ht="14.25" hidden="false" customHeight="false" outlineLevel="0" collapsed="false">
      <c r="A1452" s="1" t="n">
        <v>47</v>
      </c>
      <c r="B1452" s="1" t="s">
        <v>684</v>
      </c>
      <c r="C1452" s="1" t="s">
        <v>685</v>
      </c>
      <c r="D1452" s="1" t="n">
        <v>21296</v>
      </c>
      <c r="E1452" s="1" t="s">
        <v>57</v>
      </c>
      <c r="F1452" s="201" t="n">
        <v>200025889226</v>
      </c>
      <c r="G1452" s="198" t="s">
        <v>610</v>
      </c>
      <c r="H1452" s="163" t="s">
        <v>486</v>
      </c>
      <c r="I1452" s="161" t="n">
        <v>69</v>
      </c>
      <c r="J1452" s="156" t="s">
        <v>192</v>
      </c>
      <c r="K1452" s="200" t="n">
        <v>45453.9086111111</v>
      </c>
      <c r="L1452" s="1" t="n">
        <v>0</v>
      </c>
      <c r="M1452" s="156" t="s">
        <v>192</v>
      </c>
      <c r="N1452" s="1" t="n">
        <v>964</v>
      </c>
    </row>
    <row r="1453" customFormat="false" ht="14.25" hidden="false" customHeight="false" outlineLevel="0" collapsed="false">
      <c r="A1453" s="1" t="n">
        <v>48</v>
      </c>
      <c r="B1453" s="1" t="s">
        <v>684</v>
      </c>
      <c r="C1453" s="1" t="s">
        <v>685</v>
      </c>
      <c r="D1453" s="1" t="n">
        <v>21296</v>
      </c>
      <c r="E1453" s="1" t="s">
        <v>57</v>
      </c>
      <c r="F1453" s="201" t="n">
        <v>200025889226</v>
      </c>
      <c r="G1453" s="198" t="s">
        <v>610</v>
      </c>
      <c r="H1453" s="163" t="s">
        <v>486</v>
      </c>
      <c r="I1453" s="161" t="n">
        <v>69</v>
      </c>
      <c r="J1453" s="156" t="s">
        <v>192</v>
      </c>
      <c r="K1453" s="200" t="n">
        <v>45453.9086226852</v>
      </c>
      <c r="L1453" s="1" t="n">
        <v>0</v>
      </c>
      <c r="M1453" s="156" t="s">
        <v>192</v>
      </c>
      <c r="N1453" s="1" t="n">
        <v>965</v>
      </c>
    </row>
    <row r="1454" customFormat="false" ht="14.25" hidden="false" customHeight="false" outlineLevel="0" collapsed="false">
      <c r="A1454" s="1" t="n">
        <v>49</v>
      </c>
      <c r="B1454" s="1" t="s">
        <v>684</v>
      </c>
      <c r="C1454" s="1" t="s">
        <v>685</v>
      </c>
      <c r="D1454" s="1" t="n">
        <v>21296</v>
      </c>
      <c r="E1454" s="1" t="s">
        <v>57</v>
      </c>
      <c r="F1454" s="201" t="n">
        <v>200025889226</v>
      </c>
      <c r="G1454" s="198" t="s">
        <v>610</v>
      </c>
      <c r="H1454" s="163" t="s">
        <v>486</v>
      </c>
      <c r="I1454" s="161" t="n">
        <v>69</v>
      </c>
      <c r="J1454" s="156" t="s">
        <v>192</v>
      </c>
      <c r="K1454" s="200" t="n">
        <v>45453.9086342593</v>
      </c>
      <c r="L1454" s="1" t="n">
        <v>0</v>
      </c>
      <c r="M1454" s="156" t="s">
        <v>192</v>
      </c>
      <c r="N1454" s="1" t="n">
        <v>966</v>
      </c>
    </row>
    <row r="1455" customFormat="false" ht="14.25" hidden="false" customHeight="false" outlineLevel="0" collapsed="false">
      <c r="A1455" s="1" t="n">
        <v>50</v>
      </c>
      <c r="B1455" s="1" t="s">
        <v>684</v>
      </c>
      <c r="C1455" s="1" t="s">
        <v>685</v>
      </c>
      <c r="D1455" s="1" t="n">
        <v>21296</v>
      </c>
      <c r="E1455" s="1" t="s">
        <v>57</v>
      </c>
      <c r="F1455" s="201" t="n">
        <v>200025888839</v>
      </c>
      <c r="G1455" s="198" t="s">
        <v>690</v>
      </c>
      <c r="H1455" s="163" t="s">
        <v>297</v>
      </c>
      <c r="I1455" s="161" t="n">
        <v>14</v>
      </c>
      <c r="J1455" s="156" t="s">
        <v>192</v>
      </c>
      <c r="K1455" s="200" t="n">
        <v>45453.9428935185</v>
      </c>
      <c r="L1455" s="1" t="n">
        <v>0</v>
      </c>
      <c r="M1455" s="156" t="s">
        <v>192</v>
      </c>
      <c r="N1455" s="1" t="n">
        <v>967</v>
      </c>
    </row>
    <row r="1456" customFormat="false" ht="14.25" hidden="false" customHeight="false" outlineLevel="0" collapsed="false">
      <c r="A1456" s="1" t="n">
        <v>51</v>
      </c>
      <c r="B1456" s="1" t="s">
        <v>684</v>
      </c>
      <c r="C1456" s="1" t="s">
        <v>685</v>
      </c>
      <c r="D1456" s="1" t="n">
        <v>21296</v>
      </c>
      <c r="E1456" s="1" t="s">
        <v>57</v>
      </c>
      <c r="F1456" s="201" t="n">
        <v>200025888839</v>
      </c>
      <c r="G1456" s="198" t="s">
        <v>690</v>
      </c>
      <c r="H1456" s="163" t="s">
        <v>297</v>
      </c>
      <c r="I1456" s="161" t="n">
        <v>14</v>
      </c>
      <c r="J1456" s="156" t="s">
        <v>192</v>
      </c>
      <c r="K1456" s="200" t="n">
        <v>45453.9429050926</v>
      </c>
      <c r="L1456" s="10" t="n">
        <v>3476</v>
      </c>
      <c r="M1456" s="156" t="s">
        <v>192</v>
      </c>
      <c r="N1456" s="1" t="n">
        <v>968</v>
      </c>
    </row>
    <row r="1457" customFormat="false" ht="14.25" hidden="false" customHeight="false" outlineLevel="0" collapsed="false">
      <c r="A1457" s="1" t="n">
        <v>52</v>
      </c>
      <c r="B1457" s="1" t="s">
        <v>684</v>
      </c>
      <c r="C1457" s="1" t="s">
        <v>685</v>
      </c>
      <c r="D1457" s="1" t="n">
        <v>21296</v>
      </c>
      <c r="E1457" s="1" t="s">
        <v>57</v>
      </c>
      <c r="F1457" s="201" t="n">
        <v>200025888837</v>
      </c>
      <c r="G1457" s="198" t="s">
        <v>714</v>
      </c>
      <c r="H1457" s="163" t="s">
        <v>468</v>
      </c>
      <c r="I1457" s="161" t="n">
        <v>79</v>
      </c>
      <c r="J1457" s="156" t="s">
        <v>192</v>
      </c>
      <c r="K1457" s="200" t="n">
        <v>45453.9971296296</v>
      </c>
      <c r="L1457" s="1" t="n">
        <v>0</v>
      </c>
      <c r="M1457" s="156" t="s">
        <v>192</v>
      </c>
      <c r="N1457" s="1" t="n">
        <v>969</v>
      </c>
    </row>
    <row r="1458" customFormat="false" ht="14.25" hidden="false" customHeight="false" outlineLevel="0" collapsed="false">
      <c r="A1458" s="1" t="n">
        <v>53</v>
      </c>
      <c r="B1458" s="1" t="s">
        <v>684</v>
      </c>
      <c r="C1458" s="1" t="s">
        <v>685</v>
      </c>
      <c r="D1458" s="1" t="n">
        <v>21296</v>
      </c>
      <c r="E1458" s="1" t="s">
        <v>57</v>
      </c>
      <c r="F1458" s="201" t="n">
        <v>200025888837</v>
      </c>
      <c r="G1458" s="198" t="s">
        <v>714</v>
      </c>
      <c r="H1458" s="163" t="s">
        <v>468</v>
      </c>
      <c r="I1458" s="161" t="n">
        <v>79</v>
      </c>
      <c r="J1458" s="156" t="s">
        <v>192</v>
      </c>
      <c r="K1458" s="200" t="n">
        <v>45454.0500694444</v>
      </c>
      <c r="L1458" s="1" t="n">
        <v>1</v>
      </c>
      <c r="M1458" s="156" t="s">
        <v>192</v>
      </c>
      <c r="N1458" s="1" t="n">
        <v>970</v>
      </c>
    </row>
    <row r="1459" customFormat="false" ht="14.25" hidden="false" customHeight="false" outlineLevel="0" collapsed="false">
      <c r="A1459" s="1" t="n">
        <v>54</v>
      </c>
      <c r="B1459" s="1" t="s">
        <v>684</v>
      </c>
      <c r="C1459" s="1" t="s">
        <v>685</v>
      </c>
      <c r="D1459" s="1" t="n">
        <v>21296</v>
      </c>
      <c r="E1459" s="1" t="s">
        <v>57</v>
      </c>
      <c r="F1459" s="201" t="n">
        <v>200025888837</v>
      </c>
      <c r="G1459" s="198" t="s">
        <v>714</v>
      </c>
      <c r="H1459" s="163" t="s">
        <v>468</v>
      </c>
      <c r="I1459" s="161" t="n">
        <v>79</v>
      </c>
      <c r="J1459" s="156" t="s">
        <v>192</v>
      </c>
      <c r="K1459" s="200" t="n">
        <v>45454.0508449074</v>
      </c>
      <c r="L1459" s="10" t="n">
        <v>246</v>
      </c>
      <c r="M1459" s="156" t="s">
        <v>192</v>
      </c>
      <c r="N1459" s="1" t="n">
        <v>971</v>
      </c>
    </row>
    <row r="1460" customFormat="false" ht="14.25" hidden="false" customHeight="false" outlineLevel="0" collapsed="false">
      <c r="A1460" s="1" t="n">
        <v>55</v>
      </c>
      <c r="B1460" s="1" t="s">
        <v>684</v>
      </c>
      <c r="C1460" s="1" t="s">
        <v>685</v>
      </c>
      <c r="D1460" s="1" t="n">
        <v>21296</v>
      </c>
      <c r="E1460" s="1" t="s">
        <v>57</v>
      </c>
      <c r="F1460" s="201" t="n">
        <v>200025888839</v>
      </c>
      <c r="G1460" s="198" t="s">
        <v>690</v>
      </c>
      <c r="H1460" s="163" t="s">
        <v>297</v>
      </c>
      <c r="I1460" s="161" t="n">
        <v>14</v>
      </c>
      <c r="J1460" s="156" t="s">
        <v>192</v>
      </c>
      <c r="K1460" s="200" t="n">
        <v>45454.0633333333</v>
      </c>
      <c r="L1460" s="1" t="n">
        <v>1</v>
      </c>
      <c r="M1460" s="156" t="s">
        <v>192</v>
      </c>
      <c r="N1460" s="1" t="n">
        <v>972</v>
      </c>
    </row>
    <row r="1461" customFormat="false" ht="14.25" hidden="false" customHeight="false" outlineLevel="0" collapsed="false">
      <c r="A1461" s="1" t="n">
        <v>56</v>
      </c>
      <c r="B1461" s="1" t="s">
        <v>684</v>
      </c>
      <c r="C1461" s="1" t="s">
        <v>685</v>
      </c>
      <c r="D1461" s="1" t="n">
        <v>21296</v>
      </c>
      <c r="E1461" s="1" t="s">
        <v>57</v>
      </c>
      <c r="F1461" s="201" t="n">
        <v>200025888228</v>
      </c>
      <c r="G1461" s="198" t="s">
        <v>680</v>
      </c>
      <c r="H1461" s="163" t="s">
        <v>282</v>
      </c>
      <c r="I1461" s="161" t="n">
        <v>106</v>
      </c>
      <c r="J1461" s="156" t="s">
        <v>192</v>
      </c>
      <c r="K1461" s="200" t="n">
        <v>45454.1398842593</v>
      </c>
      <c r="L1461" s="1" t="n">
        <v>0</v>
      </c>
      <c r="M1461" s="156" t="s">
        <v>192</v>
      </c>
      <c r="N1461" s="1" t="n">
        <v>973</v>
      </c>
    </row>
    <row r="1462" customFormat="false" ht="14.25" hidden="false" customHeight="false" outlineLevel="0" collapsed="false">
      <c r="A1462" s="1" t="n">
        <v>57</v>
      </c>
      <c r="B1462" s="1" t="s">
        <v>684</v>
      </c>
      <c r="C1462" s="1" t="s">
        <v>685</v>
      </c>
      <c r="D1462" s="1" t="n">
        <v>21296</v>
      </c>
      <c r="E1462" s="1" t="s">
        <v>57</v>
      </c>
      <c r="F1462" s="201" t="n">
        <v>200025888228</v>
      </c>
      <c r="G1462" s="198" t="s">
        <v>680</v>
      </c>
      <c r="H1462" s="163" t="s">
        <v>282</v>
      </c>
      <c r="I1462" s="161" t="n">
        <v>106</v>
      </c>
      <c r="J1462" s="156" t="s">
        <v>192</v>
      </c>
      <c r="K1462" s="200" t="n">
        <v>45454.1418634259</v>
      </c>
      <c r="L1462" s="1" t="n">
        <v>1</v>
      </c>
      <c r="M1462" s="156" t="s">
        <v>192</v>
      </c>
      <c r="N1462" s="1" t="n">
        <v>974</v>
      </c>
    </row>
    <row r="1463" customFormat="false" ht="14.25" hidden="false" customHeight="false" outlineLevel="0" collapsed="false">
      <c r="A1463" s="1" t="n">
        <v>58</v>
      </c>
      <c r="B1463" s="1" t="s">
        <v>684</v>
      </c>
      <c r="C1463" s="1" t="s">
        <v>685</v>
      </c>
      <c r="D1463" s="1" t="n">
        <v>21296</v>
      </c>
      <c r="E1463" s="1" t="s">
        <v>57</v>
      </c>
      <c r="F1463" s="201" t="n">
        <v>200025888839</v>
      </c>
      <c r="G1463" s="198" t="s">
        <v>690</v>
      </c>
      <c r="H1463" s="163" t="s">
        <v>297</v>
      </c>
      <c r="I1463" s="161" t="n">
        <v>14</v>
      </c>
      <c r="J1463" s="156" t="s">
        <v>192</v>
      </c>
      <c r="K1463" s="200" t="n">
        <v>45454.2122685185</v>
      </c>
      <c r="L1463" s="10" t="n">
        <v>3962</v>
      </c>
      <c r="M1463" s="156" t="s">
        <v>192</v>
      </c>
      <c r="N1463" s="1" t="n">
        <v>975</v>
      </c>
    </row>
    <row r="1464" customFormat="false" ht="14.25" hidden="false" customHeight="false" outlineLevel="0" collapsed="false">
      <c r="A1464" s="1" t="n">
        <v>59</v>
      </c>
      <c r="B1464" s="1" t="s">
        <v>684</v>
      </c>
      <c r="C1464" s="1" t="s">
        <v>685</v>
      </c>
      <c r="D1464" s="1" t="n">
        <v>21296</v>
      </c>
      <c r="E1464" s="1" t="s">
        <v>57</v>
      </c>
      <c r="F1464" s="201" t="n">
        <v>200025888837</v>
      </c>
      <c r="G1464" s="198" t="s">
        <v>714</v>
      </c>
      <c r="H1464" s="163" t="s">
        <v>468</v>
      </c>
      <c r="I1464" s="161" t="n">
        <v>79</v>
      </c>
      <c r="J1464" s="156" t="s">
        <v>192</v>
      </c>
      <c r="K1464" s="200" t="n">
        <v>45454.2581365741</v>
      </c>
      <c r="L1464" s="10" t="n">
        <v>68</v>
      </c>
      <c r="M1464" s="156" t="s">
        <v>192</v>
      </c>
      <c r="N1464" s="1" t="n">
        <v>976</v>
      </c>
    </row>
    <row r="1465" customFormat="false" ht="14.25" hidden="false" customHeight="false" outlineLevel="0" collapsed="false">
      <c r="A1465" s="1" t="n">
        <v>60</v>
      </c>
      <c r="B1465" s="1" t="s">
        <v>684</v>
      </c>
      <c r="C1465" s="1" t="s">
        <v>685</v>
      </c>
      <c r="D1465" s="1" t="n">
        <v>21296</v>
      </c>
      <c r="E1465" s="1" t="s">
        <v>57</v>
      </c>
      <c r="F1465" s="201" t="n">
        <v>200025888837</v>
      </c>
      <c r="G1465" s="198" t="s">
        <v>714</v>
      </c>
      <c r="H1465" s="163" t="s">
        <v>468</v>
      </c>
      <c r="I1465" s="161" t="n">
        <v>79</v>
      </c>
      <c r="J1465" s="156" t="s">
        <v>192</v>
      </c>
      <c r="K1465" s="200" t="n">
        <v>45454.2593171296</v>
      </c>
      <c r="L1465" s="1" t="n">
        <v>1</v>
      </c>
      <c r="M1465" s="156" t="s">
        <v>192</v>
      </c>
      <c r="N1465" s="1" t="n">
        <v>977</v>
      </c>
    </row>
    <row r="1466" customFormat="false" ht="14.25" hidden="false" customHeight="false" outlineLevel="0" collapsed="false">
      <c r="A1466" s="1" t="n">
        <v>61</v>
      </c>
      <c r="B1466" s="1" t="s">
        <v>684</v>
      </c>
      <c r="C1466" s="1" t="s">
        <v>685</v>
      </c>
      <c r="D1466" s="1" t="n">
        <v>21296</v>
      </c>
      <c r="E1466" s="1" t="s">
        <v>57</v>
      </c>
      <c r="F1466" s="201" t="n">
        <v>200025888837</v>
      </c>
      <c r="G1466" s="198" t="s">
        <v>714</v>
      </c>
      <c r="H1466" s="163" t="s">
        <v>468</v>
      </c>
      <c r="I1466" s="161" t="n">
        <v>79</v>
      </c>
      <c r="J1466" s="156" t="s">
        <v>192</v>
      </c>
      <c r="K1466" s="200" t="n">
        <v>45454.2593287037</v>
      </c>
      <c r="L1466" s="1" t="n">
        <v>0</v>
      </c>
      <c r="M1466" s="156" t="s">
        <v>192</v>
      </c>
      <c r="N1466" s="1" t="n">
        <v>978</v>
      </c>
    </row>
    <row r="1467" customFormat="false" ht="14.25" hidden="false" customHeight="false" outlineLevel="0" collapsed="false">
      <c r="A1467" s="1" t="n">
        <v>62</v>
      </c>
      <c r="B1467" s="1" t="s">
        <v>684</v>
      </c>
      <c r="C1467" s="1" t="s">
        <v>685</v>
      </c>
      <c r="D1467" s="1" t="n">
        <v>21296</v>
      </c>
      <c r="E1467" s="1" t="s">
        <v>57</v>
      </c>
      <c r="F1467" s="201" t="n">
        <v>200025888837</v>
      </c>
      <c r="G1467" s="198" t="s">
        <v>714</v>
      </c>
      <c r="H1467" s="163" t="s">
        <v>468</v>
      </c>
      <c r="I1467" s="161" t="n">
        <v>79</v>
      </c>
      <c r="J1467" s="156" t="s">
        <v>192</v>
      </c>
      <c r="K1467" s="200" t="n">
        <v>45454.2593402778</v>
      </c>
      <c r="L1467" s="1" t="n">
        <v>1</v>
      </c>
      <c r="M1467" s="156" t="s">
        <v>192</v>
      </c>
      <c r="N1467" s="1" t="n">
        <v>979</v>
      </c>
    </row>
    <row r="1468" customFormat="false" ht="14.25" hidden="false" customHeight="false" outlineLevel="0" collapsed="false">
      <c r="A1468" s="1" t="n">
        <v>63</v>
      </c>
      <c r="B1468" s="1" t="s">
        <v>684</v>
      </c>
      <c r="C1468" s="1" t="s">
        <v>685</v>
      </c>
      <c r="D1468" s="1" t="n">
        <v>21296</v>
      </c>
      <c r="E1468" s="1" t="s">
        <v>57</v>
      </c>
      <c r="F1468" s="201" t="n">
        <v>200025888837</v>
      </c>
      <c r="G1468" s="198" t="s">
        <v>714</v>
      </c>
      <c r="H1468" s="163" t="s">
        <v>468</v>
      </c>
      <c r="I1468" s="161" t="n">
        <v>79</v>
      </c>
      <c r="J1468" s="156" t="s">
        <v>192</v>
      </c>
      <c r="K1468" s="200" t="n">
        <v>45454.2595023148</v>
      </c>
      <c r="L1468" s="1" t="n">
        <v>0</v>
      </c>
      <c r="M1468" s="156" t="s">
        <v>192</v>
      </c>
      <c r="N1468" s="1" t="n">
        <v>980</v>
      </c>
    </row>
    <row r="1469" customFormat="false" ht="14.25" hidden="false" customHeight="false" outlineLevel="0" collapsed="false">
      <c r="A1469" s="1" t="n">
        <v>64</v>
      </c>
      <c r="B1469" s="1" t="s">
        <v>684</v>
      </c>
      <c r="C1469" s="1" t="s">
        <v>685</v>
      </c>
      <c r="D1469" s="1" t="n">
        <v>21296</v>
      </c>
      <c r="E1469" s="1" t="s">
        <v>57</v>
      </c>
      <c r="F1469" s="201" t="n">
        <v>200025888837</v>
      </c>
      <c r="G1469" s="198" t="s">
        <v>714</v>
      </c>
      <c r="H1469" s="163" t="s">
        <v>468</v>
      </c>
      <c r="I1469" s="161" t="n">
        <v>79</v>
      </c>
      <c r="J1469" s="156" t="s">
        <v>192</v>
      </c>
      <c r="K1469" s="200" t="n">
        <v>45454.2595138889</v>
      </c>
      <c r="L1469" s="1" t="n">
        <v>19</v>
      </c>
      <c r="M1469" s="156" t="s">
        <v>192</v>
      </c>
      <c r="N1469" s="1" t="n">
        <v>981</v>
      </c>
    </row>
    <row r="1470" customFormat="false" ht="14.25" hidden="false" customHeight="false" outlineLevel="0" collapsed="false">
      <c r="A1470" s="1" t="n">
        <v>65</v>
      </c>
      <c r="B1470" s="1" t="s">
        <v>684</v>
      </c>
      <c r="C1470" s="1" t="s">
        <v>685</v>
      </c>
      <c r="D1470" s="1" t="n">
        <v>21296</v>
      </c>
      <c r="E1470" s="1" t="s">
        <v>57</v>
      </c>
      <c r="F1470" s="201" t="n">
        <v>200025888837</v>
      </c>
      <c r="G1470" s="198" t="s">
        <v>714</v>
      </c>
      <c r="H1470" s="163" t="s">
        <v>468</v>
      </c>
      <c r="I1470" s="161" t="n">
        <v>79</v>
      </c>
      <c r="J1470" s="156" t="s">
        <v>192</v>
      </c>
      <c r="K1470" s="200" t="n">
        <v>45454.2597569445</v>
      </c>
      <c r="L1470" s="1" t="n">
        <v>17</v>
      </c>
      <c r="M1470" s="156" t="s">
        <v>192</v>
      </c>
      <c r="N1470" s="1" t="n">
        <v>982</v>
      </c>
    </row>
    <row r="1471" customFormat="false" ht="14.25" hidden="false" customHeight="false" outlineLevel="0" collapsed="false">
      <c r="A1471" s="1" t="n">
        <v>66</v>
      </c>
      <c r="B1471" s="1" t="s">
        <v>684</v>
      </c>
      <c r="C1471" s="1" t="s">
        <v>685</v>
      </c>
      <c r="D1471" s="1" t="n">
        <v>21296</v>
      </c>
      <c r="E1471" s="1" t="s">
        <v>57</v>
      </c>
      <c r="F1471" s="201" t="n">
        <v>200025888837</v>
      </c>
      <c r="G1471" s="198" t="s">
        <v>714</v>
      </c>
      <c r="H1471" s="163" t="s">
        <v>468</v>
      </c>
      <c r="I1471" s="161" t="n">
        <v>79</v>
      </c>
      <c r="J1471" s="156" t="s">
        <v>192</v>
      </c>
      <c r="K1471" s="200" t="n">
        <v>45454.2599537037</v>
      </c>
      <c r="L1471" s="1" t="n">
        <v>0</v>
      </c>
      <c r="M1471" s="156" t="s">
        <v>192</v>
      </c>
      <c r="N1471" s="1" t="n">
        <v>983</v>
      </c>
    </row>
    <row r="1472" customFormat="false" ht="14.25" hidden="false" customHeight="false" outlineLevel="0" collapsed="false">
      <c r="A1472" s="1" t="n">
        <v>67</v>
      </c>
      <c r="B1472" s="1" t="s">
        <v>684</v>
      </c>
      <c r="C1472" s="1" t="s">
        <v>685</v>
      </c>
      <c r="D1472" s="1" t="n">
        <v>21296</v>
      </c>
      <c r="E1472" s="1" t="s">
        <v>57</v>
      </c>
      <c r="F1472" s="201" t="n">
        <v>200025888837</v>
      </c>
      <c r="G1472" s="198" t="s">
        <v>714</v>
      </c>
      <c r="H1472" s="163" t="s">
        <v>468</v>
      </c>
      <c r="I1472" s="161" t="n">
        <v>79</v>
      </c>
      <c r="J1472" s="156" t="s">
        <v>192</v>
      </c>
      <c r="K1472" s="200" t="n">
        <v>45454.2599652778</v>
      </c>
      <c r="L1472" s="1" t="n">
        <v>0</v>
      </c>
      <c r="M1472" s="156" t="s">
        <v>192</v>
      </c>
      <c r="N1472" s="1" t="n">
        <v>984</v>
      </c>
    </row>
    <row r="1473" customFormat="false" ht="14.25" hidden="false" customHeight="false" outlineLevel="0" collapsed="false">
      <c r="A1473" s="1" t="n">
        <v>68</v>
      </c>
      <c r="B1473" s="1" t="s">
        <v>684</v>
      </c>
      <c r="C1473" s="1" t="s">
        <v>685</v>
      </c>
      <c r="D1473" s="1" t="n">
        <v>21296</v>
      </c>
      <c r="E1473" s="1" t="s">
        <v>57</v>
      </c>
      <c r="F1473" s="201" t="n">
        <v>200025888837</v>
      </c>
      <c r="G1473" s="198" t="s">
        <v>714</v>
      </c>
      <c r="H1473" s="163" t="s">
        <v>468</v>
      </c>
      <c r="I1473" s="161" t="n">
        <v>79</v>
      </c>
      <c r="J1473" s="156" t="s">
        <v>192</v>
      </c>
      <c r="K1473" s="200" t="n">
        <v>45454.2599768519</v>
      </c>
      <c r="L1473" s="1" t="n">
        <v>1</v>
      </c>
      <c r="M1473" s="156" t="s">
        <v>192</v>
      </c>
      <c r="N1473" s="1" t="n">
        <v>985</v>
      </c>
    </row>
    <row r="1474" customFormat="false" ht="14.25" hidden="false" customHeight="false" outlineLevel="0" collapsed="false">
      <c r="A1474" s="1" t="n">
        <v>69</v>
      </c>
      <c r="B1474" s="1" t="s">
        <v>684</v>
      </c>
      <c r="C1474" s="1" t="s">
        <v>685</v>
      </c>
      <c r="D1474" s="1" t="n">
        <v>21296</v>
      </c>
      <c r="E1474" s="1" t="s">
        <v>57</v>
      </c>
      <c r="F1474" s="201" t="n">
        <v>200025888837</v>
      </c>
      <c r="G1474" s="198" t="s">
        <v>714</v>
      </c>
      <c r="H1474" s="163" t="s">
        <v>468</v>
      </c>
      <c r="I1474" s="161" t="n">
        <v>79</v>
      </c>
      <c r="J1474" s="156" t="s">
        <v>192</v>
      </c>
      <c r="K1474" s="200" t="n">
        <v>45454.2606944444</v>
      </c>
      <c r="L1474" s="1" t="n">
        <v>0</v>
      </c>
      <c r="M1474" s="156" t="s">
        <v>192</v>
      </c>
      <c r="N1474" s="1" t="n">
        <v>986</v>
      </c>
    </row>
    <row r="1475" customFormat="false" ht="14.25" hidden="false" customHeight="false" outlineLevel="0" collapsed="false">
      <c r="A1475" s="1" t="n">
        <v>70</v>
      </c>
      <c r="B1475" s="1" t="s">
        <v>684</v>
      </c>
      <c r="C1475" s="1" t="s">
        <v>685</v>
      </c>
      <c r="D1475" s="1" t="n">
        <v>21296</v>
      </c>
      <c r="E1475" s="1" t="s">
        <v>57</v>
      </c>
      <c r="F1475" s="201" t="n">
        <v>200025888228</v>
      </c>
      <c r="G1475" s="198" t="s">
        <v>680</v>
      </c>
      <c r="H1475" s="163" t="s">
        <v>282</v>
      </c>
      <c r="I1475" s="161" t="n">
        <v>106</v>
      </c>
      <c r="J1475" s="156" t="s">
        <v>192</v>
      </c>
      <c r="K1475" s="200" t="n">
        <v>45454.2735300926</v>
      </c>
      <c r="L1475" s="1" t="n">
        <v>1</v>
      </c>
      <c r="M1475" s="156" t="s">
        <v>192</v>
      </c>
      <c r="N1475" s="1" t="n">
        <v>987</v>
      </c>
    </row>
    <row r="1476" customFormat="false" ht="14.25" hidden="false" customHeight="false" outlineLevel="0" collapsed="false">
      <c r="A1476" s="1" t="n">
        <v>71</v>
      </c>
      <c r="B1476" s="1" t="s">
        <v>684</v>
      </c>
      <c r="C1476" s="1" t="s">
        <v>685</v>
      </c>
      <c r="D1476" s="1" t="n">
        <v>21296</v>
      </c>
      <c r="E1476" s="1" t="s">
        <v>57</v>
      </c>
      <c r="F1476" s="201" t="n">
        <v>200025888228</v>
      </c>
      <c r="G1476" s="198" t="s">
        <v>680</v>
      </c>
      <c r="H1476" s="163" t="s">
        <v>282</v>
      </c>
      <c r="I1476" s="161" t="n">
        <v>106</v>
      </c>
      <c r="J1476" s="156" t="s">
        <v>192</v>
      </c>
      <c r="K1476" s="200" t="n">
        <v>45454.2753935185</v>
      </c>
      <c r="L1476" s="1" t="n">
        <v>0</v>
      </c>
      <c r="M1476" s="156" t="s">
        <v>192</v>
      </c>
      <c r="N1476" s="1" t="n">
        <v>988</v>
      </c>
    </row>
    <row r="1477" customFormat="false" ht="14.25" hidden="false" customHeight="false" outlineLevel="0" collapsed="false">
      <c r="A1477" s="1" t="n">
        <v>72</v>
      </c>
      <c r="B1477" s="1" t="s">
        <v>684</v>
      </c>
      <c r="C1477" s="1" t="s">
        <v>685</v>
      </c>
      <c r="D1477" s="1" t="n">
        <v>21296</v>
      </c>
      <c r="E1477" s="1" t="s">
        <v>57</v>
      </c>
      <c r="F1477" s="201" t="n">
        <v>200025889226</v>
      </c>
      <c r="G1477" s="198" t="s">
        <v>610</v>
      </c>
      <c r="H1477" s="163" t="s">
        <v>486</v>
      </c>
      <c r="I1477" s="161" t="n">
        <v>69</v>
      </c>
      <c r="J1477" s="156" t="s">
        <v>192</v>
      </c>
      <c r="K1477" s="200" t="n">
        <v>45454.3158333333</v>
      </c>
      <c r="L1477" s="1" t="n">
        <v>1</v>
      </c>
      <c r="M1477" s="156" t="s">
        <v>192</v>
      </c>
      <c r="N1477" s="1" t="n">
        <v>989</v>
      </c>
    </row>
    <row r="1478" customFormat="false" ht="14.25" hidden="false" customHeight="false" outlineLevel="0" collapsed="false">
      <c r="A1478" s="1" t="n">
        <v>73</v>
      </c>
      <c r="B1478" s="1" t="s">
        <v>684</v>
      </c>
      <c r="C1478" s="1" t="s">
        <v>685</v>
      </c>
      <c r="D1478" s="1" t="n">
        <v>21296</v>
      </c>
      <c r="E1478" s="1" t="s">
        <v>57</v>
      </c>
      <c r="F1478" s="201" t="n">
        <v>200025889226</v>
      </c>
      <c r="G1478" s="198" t="s">
        <v>610</v>
      </c>
      <c r="H1478" s="163" t="s">
        <v>486</v>
      </c>
      <c r="I1478" s="161" t="n">
        <v>69</v>
      </c>
      <c r="J1478" s="156" t="s">
        <v>192</v>
      </c>
      <c r="K1478" s="200" t="n">
        <v>45454.3456365741</v>
      </c>
      <c r="L1478" s="1" t="n">
        <v>0</v>
      </c>
      <c r="M1478" s="156" t="s">
        <v>192</v>
      </c>
      <c r="N1478" s="1" t="n">
        <v>990</v>
      </c>
    </row>
    <row r="1479" customFormat="false" ht="14.25" hidden="false" customHeight="false" outlineLevel="0" collapsed="false">
      <c r="A1479" s="1" t="n">
        <v>74</v>
      </c>
      <c r="B1479" s="1" t="s">
        <v>684</v>
      </c>
      <c r="C1479" s="1" t="s">
        <v>685</v>
      </c>
      <c r="D1479" s="1" t="n">
        <v>21296</v>
      </c>
      <c r="E1479" s="1" t="s">
        <v>57</v>
      </c>
      <c r="F1479" s="201" t="n">
        <v>200025889226</v>
      </c>
      <c r="G1479" s="198" t="s">
        <v>610</v>
      </c>
      <c r="H1479" s="163" t="s">
        <v>486</v>
      </c>
      <c r="I1479" s="161" t="n">
        <v>69</v>
      </c>
      <c r="J1479" s="156" t="s">
        <v>192</v>
      </c>
      <c r="K1479" s="200" t="n">
        <v>45454.3456481482</v>
      </c>
      <c r="L1479" s="1" t="n">
        <v>1</v>
      </c>
      <c r="M1479" s="156" t="s">
        <v>192</v>
      </c>
      <c r="N1479" s="1" t="n">
        <v>991</v>
      </c>
    </row>
    <row r="1480" customFormat="false" ht="14.25" hidden="false" customHeight="false" outlineLevel="0" collapsed="false">
      <c r="A1480" s="1" t="n">
        <v>75</v>
      </c>
      <c r="B1480" s="1" t="s">
        <v>684</v>
      </c>
      <c r="C1480" s="1" t="s">
        <v>685</v>
      </c>
      <c r="D1480" s="1" t="n">
        <v>21296</v>
      </c>
      <c r="E1480" s="1" t="s">
        <v>57</v>
      </c>
      <c r="F1480" s="201" t="n">
        <v>200025888837</v>
      </c>
      <c r="G1480" s="198" t="s">
        <v>714</v>
      </c>
      <c r="H1480" s="163" t="s">
        <v>468</v>
      </c>
      <c r="I1480" s="161" t="n">
        <v>79</v>
      </c>
      <c r="J1480" s="156" t="s">
        <v>192</v>
      </c>
      <c r="K1480" s="200" t="n">
        <v>45454.421087963</v>
      </c>
      <c r="L1480" s="1" t="n">
        <v>1</v>
      </c>
      <c r="M1480" s="156" t="s">
        <v>192</v>
      </c>
      <c r="N1480" s="1" t="n">
        <v>992</v>
      </c>
    </row>
    <row r="1481" customFormat="false" ht="14.25" hidden="false" customHeight="false" outlineLevel="0" collapsed="false">
      <c r="A1481" s="1" t="n">
        <v>76</v>
      </c>
      <c r="B1481" s="1" t="s">
        <v>684</v>
      </c>
      <c r="C1481" s="1" t="s">
        <v>685</v>
      </c>
      <c r="D1481" s="1" t="n">
        <v>21296</v>
      </c>
      <c r="E1481" s="1" t="s">
        <v>57</v>
      </c>
      <c r="F1481" s="201" t="n">
        <v>200025888837</v>
      </c>
      <c r="G1481" s="198" t="s">
        <v>714</v>
      </c>
      <c r="H1481" s="163" t="s">
        <v>468</v>
      </c>
      <c r="I1481" s="161" t="n">
        <v>79</v>
      </c>
      <c r="J1481" s="156" t="s">
        <v>192</v>
      </c>
      <c r="K1481" s="200" t="n">
        <v>45454.4211111111</v>
      </c>
      <c r="L1481" s="1" t="n">
        <v>33</v>
      </c>
      <c r="M1481" s="156" t="s">
        <v>192</v>
      </c>
      <c r="N1481" s="1" t="n">
        <v>993</v>
      </c>
    </row>
    <row r="1482" customFormat="false" ht="14.25" hidden="false" customHeight="false" outlineLevel="0" collapsed="false">
      <c r="A1482" s="1" t="n">
        <v>77</v>
      </c>
      <c r="B1482" s="1" t="s">
        <v>684</v>
      </c>
      <c r="C1482" s="1" t="s">
        <v>685</v>
      </c>
      <c r="D1482" s="1" t="n">
        <v>21296</v>
      </c>
      <c r="E1482" s="1" t="s">
        <v>57</v>
      </c>
      <c r="F1482" s="201" t="n">
        <v>200025888228</v>
      </c>
      <c r="G1482" s="198" t="s">
        <v>680</v>
      </c>
      <c r="H1482" s="163" t="s">
        <v>282</v>
      </c>
      <c r="I1482" s="161" t="n">
        <v>106</v>
      </c>
      <c r="J1482" s="156" t="s">
        <v>192</v>
      </c>
      <c r="K1482" s="200" t="n">
        <v>45454.4263541667</v>
      </c>
      <c r="L1482" s="1" t="n">
        <v>1</v>
      </c>
      <c r="M1482" s="156" t="s">
        <v>192</v>
      </c>
      <c r="N1482" s="1" t="n">
        <v>994</v>
      </c>
    </row>
    <row r="1483" customFormat="false" ht="14.25" hidden="false" customHeight="false" outlineLevel="0" collapsed="false">
      <c r="A1483" s="1" t="n">
        <v>78</v>
      </c>
      <c r="B1483" s="1" t="s">
        <v>684</v>
      </c>
      <c r="C1483" s="1" t="s">
        <v>685</v>
      </c>
      <c r="D1483" s="1" t="n">
        <v>21296</v>
      </c>
      <c r="E1483" s="1" t="s">
        <v>57</v>
      </c>
      <c r="F1483" s="201" t="n">
        <v>200025888228</v>
      </c>
      <c r="G1483" s="198" t="s">
        <v>680</v>
      </c>
      <c r="H1483" s="163" t="s">
        <v>282</v>
      </c>
      <c r="I1483" s="161" t="n">
        <v>106</v>
      </c>
      <c r="J1483" s="156" t="s">
        <v>192</v>
      </c>
      <c r="K1483" s="200" t="n">
        <v>45454.4263773148</v>
      </c>
      <c r="L1483" s="1" t="n">
        <v>0</v>
      </c>
      <c r="M1483" s="156" t="s">
        <v>192</v>
      </c>
      <c r="N1483" s="1" t="n">
        <v>995</v>
      </c>
    </row>
    <row r="1484" customFormat="false" ht="14.25" hidden="false" customHeight="false" outlineLevel="0" collapsed="false">
      <c r="A1484" s="1" t="n">
        <v>79</v>
      </c>
      <c r="B1484" s="1" t="s">
        <v>684</v>
      </c>
      <c r="C1484" s="1" t="s">
        <v>685</v>
      </c>
      <c r="D1484" s="1" t="n">
        <v>21296</v>
      </c>
      <c r="E1484" s="1" t="s">
        <v>57</v>
      </c>
      <c r="F1484" s="201" t="n">
        <v>200025888790</v>
      </c>
      <c r="G1484" s="198" t="s">
        <v>588</v>
      </c>
      <c r="H1484" s="163" t="s">
        <v>442</v>
      </c>
      <c r="I1484" s="161" t="n">
        <v>117</v>
      </c>
      <c r="J1484" s="156" t="s">
        <v>192</v>
      </c>
      <c r="K1484" s="200" t="n">
        <v>45454.5052777778</v>
      </c>
      <c r="L1484" s="1" t="n">
        <v>1</v>
      </c>
      <c r="M1484" s="156" t="s">
        <v>192</v>
      </c>
      <c r="N1484" s="1" t="n">
        <v>996</v>
      </c>
    </row>
    <row r="1485" customFormat="false" ht="14.25" hidden="false" customHeight="false" outlineLevel="0" collapsed="false">
      <c r="A1485" s="1" t="n">
        <v>80</v>
      </c>
      <c r="B1485" s="1" t="s">
        <v>684</v>
      </c>
      <c r="C1485" s="1" t="s">
        <v>685</v>
      </c>
      <c r="D1485" s="1" t="n">
        <v>21296</v>
      </c>
      <c r="E1485" s="1" t="s">
        <v>57</v>
      </c>
      <c r="F1485" s="201" t="n">
        <v>200025888790</v>
      </c>
      <c r="G1485" s="198" t="s">
        <v>588</v>
      </c>
      <c r="H1485" s="163" t="s">
        <v>442</v>
      </c>
      <c r="I1485" s="161" t="n">
        <v>117</v>
      </c>
      <c r="J1485" s="156" t="s">
        <v>192</v>
      </c>
      <c r="K1485" s="200" t="n">
        <v>45454.5052893519</v>
      </c>
      <c r="L1485" s="1" t="n">
        <v>2</v>
      </c>
      <c r="M1485" s="156" t="s">
        <v>192</v>
      </c>
      <c r="N1485" s="1" t="n">
        <v>997</v>
      </c>
    </row>
    <row r="1486" customFormat="false" ht="14.25" hidden="false" customHeight="false" outlineLevel="0" collapsed="false">
      <c r="A1486" s="1" t="n">
        <v>81</v>
      </c>
      <c r="B1486" s="1" t="s">
        <v>684</v>
      </c>
      <c r="C1486" s="1" t="s">
        <v>685</v>
      </c>
      <c r="D1486" s="1" t="n">
        <v>21296</v>
      </c>
      <c r="E1486" s="1" t="s">
        <v>57</v>
      </c>
      <c r="F1486" s="201" t="n">
        <v>200025888790</v>
      </c>
      <c r="G1486" s="198" t="s">
        <v>588</v>
      </c>
      <c r="H1486" s="163" t="s">
        <v>442</v>
      </c>
      <c r="I1486" s="161" t="n">
        <v>117</v>
      </c>
      <c r="J1486" s="156" t="s">
        <v>192</v>
      </c>
      <c r="K1486" s="200" t="n">
        <v>45454.5848263889</v>
      </c>
      <c r="L1486" s="1" t="n">
        <v>2</v>
      </c>
      <c r="M1486" s="156" t="s">
        <v>192</v>
      </c>
      <c r="N1486" s="1" t="n">
        <v>998</v>
      </c>
    </row>
    <row r="1487" customFormat="false" ht="14.25" hidden="false" customHeight="false" outlineLevel="0" collapsed="false">
      <c r="A1487" s="1" t="n">
        <v>82</v>
      </c>
      <c r="B1487" s="1" t="s">
        <v>684</v>
      </c>
      <c r="C1487" s="1" t="s">
        <v>685</v>
      </c>
      <c r="D1487" s="1" t="n">
        <v>21296</v>
      </c>
      <c r="E1487" s="1" t="s">
        <v>57</v>
      </c>
      <c r="F1487" s="201" t="n">
        <v>200025888790</v>
      </c>
      <c r="G1487" s="198" t="s">
        <v>588</v>
      </c>
      <c r="H1487" s="163" t="s">
        <v>442</v>
      </c>
      <c r="I1487" s="161" t="n">
        <v>117</v>
      </c>
      <c r="J1487" s="156" t="s">
        <v>192</v>
      </c>
      <c r="K1487" s="200" t="n">
        <v>45454.584849537</v>
      </c>
      <c r="L1487" s="1" t="n">
        <v>1</v>
      </c>
      <c r="M1487" s="156" t="s">
        <v>192</v>
      </c>
      <c r="N1487" s="1" t="n">
        <v>999</v>
      </c>
    </row>
    <row r="1488" customFormat="false" ht="14.25" hidden="false" customHeight="false" outlineLevel="0" collapsed="false">
      <c r="A1488" s="1" t="n">
        <v>83</v>
      </c>
      <c r="B1488" s="1" t="s">
        <v>684</v>
      </c>
      <c r="C1488" s="1" t="s">
        <v>685</v>
      </c>
      <c r="D1488" s="1" t="n">
        <v>21296</v>
      </c>
      <c r="E1488" s="1" t="s">
        <v>57</v>
      </c>
      <c r="F1488" s="201" t="n">
        <v>200025888790</v>
      </c>
      <c r="G1488" s="198" t="s">
        <v>588</v>
      </c>
      <c r="H1488" s="163" t="s">
        <v>442</v>
      </c>
      <c r="I1488" s="161" t="n">
        <v>117</v>
      </c>
      <c r="J1488" s="156" t="s">
        <v>192</v>
      </c>
      <c r="K1488" s="200" t="n">
        <v>45454.5848611111</v>
      </c>
      <c r="L1488" s="1" t="n">
        <v>1</v>
      </c>
      <c r="M1488" s="156" t="s">
        <v>192</v>
      </c>
      <c r="N1488" s="1" t="n">
        <v>1000</v>
      </c>
    </row>
    <row r="1489" customFormat="false" ht="14.25" hidden="false" customHeight="false" outlineLevel="0" collapsed="false">
      <c r="A1489" s="1" t="n">
        <v>84</v>
      </c>
      <c r="B1489" s="1" t="s">
        <v>684</v>
      </c>
      <c r="C1489" s="1" t="s">
        <v>685</v>
      </c>
      <c r="D1489" s="1" t="n">
        <v>21296</v>
      </c>
      <c r="E1489" s="1" t="s">
        <v>57</v>
      </c>
      <c r="F1489" s="201" t="n">
        <v>200025889127</v>
      </c>
      <c r="G1489" s="198" t="s">
        <v>692</v>
      </c>
      <c r="H1489" s="163" t="s">
        <v>507</v>
      </c>
      <c r="I1489" s="161" t="n">
        <v>86</v>
      </c>
      <c r="J1489" s="156" t="s">
        <v>192</v>
      </c>
      <c r="K1489" s="200" t="n">
        <v>45454.6131828704</v>
      </c>
      <c r="L1489" s="1" t="n">
        <v>1</v>
      </c>
      <c r="M1489" s="156" t="s">
        <v>192</v>
      </c>
      <c r="N1489" s="1" t="n">
        <v>1001</v>
      </c>
    </row>
    <row r="1490" customFormat="false" ht="14.25" hidden="false" customHeight="false" outlineLevel="0" collapsed="false">
      <c r="A1490" s="1" t="n">
        <v>85</v>
      </c>
      <c r="B1490" s="1" t="s">
        <v>684</v>
      </c>
      <c r="C1490" s="1" t="s">
        <v>685</v>
      </c>
      <c r="D1490" s="1" t="n">
        <v>21296</v>
      </c>
      <c r="E1490" s="1" t="s">
        <v>57</v>
      </c>
      <c r="F1490" s="201" t="n">
        <v>200025889154</v>
      </c>
      <c r="G1490" s="198" t="s">
        <v>641</v>
      </c>
      <c r="H1490" s="172" t="n">
        <v>91178</v>
      </c>
      <c r="I1490" s="170" t="n">
        <v>34</v>
      </c>
      <c r="J1490" s="169" t="s">
        <v>192</v>
      </c>
      <c r="K1490" s="200" t="n">
        <v>45454.6458564815</v>
      </c>
      <c r="L1490" s="1" t="n">
        <v>1</v>
      </c>
      <c r="M1490" s="169" t="s">
        <v>192</v>
      </c>
      <c r="N1490" s="1" t="n">
        <v>1002</v>
      </c>
    </row>
    <row r="1491" customFormat="false" ht="14.25" hidden="false" customHeight="false" outlineLevel="0" collapsed="false">
      <c r="A1491" s="1" t="n">
        <v>86</v>
      </c>
      <c r="B1491" s="1" t="s">
        <v>684</v>
      </c>
      <c r="C1491" s="1" t="s">
        <v>685</v>
      </c>
      <c r="D1491" s="1" t="n">
        <v>21296</v>
      </c>
      <c r="E1491" s="1" t="s">
        <v>57</v>
      </c>
      <c r="F1491" s="201" t="n">
        <v>200025889154</v>
      </c>
      <c r="G1491" s="198" t="s">
        <v>641</v>
      </c>
      <c r="H1491" s="172" t="n">
        <v>91178</v>
      </c>
      <c r="I1491" s="170" t="n">
        <v>34</v>
      </c>
      <c r="J1491" s="169" t="s">
        <v>192</v>
      </c>
      <c r="K1491" s="200" t="n">
        <v>45454.6458796296</v>
      </c>
      <c r="L1491" s="1" t="n">
        <v>3</v>
      </c>
      <c r="M1491" s="169" t="s">
        <v>192</v>
      </c>
      <c r="N1491" s="1" t="n">
        <v>1003</v>
      </c>
    </row>
    <row r="1492" customFormat="false" ht="14.25" hidden="false" customHeight="false" outlineLevel="0" collapsed="false">
      <c r="A1492" s="1" t="n">
        <v>87</v>
      </c>
      <c r="B1492" s="1" t="s">
        <v>684</v>
      </c>
      <c r="C1492" s="1" t="s">
        <v>685</v>
      </c>
      <c r="D1492" s="1" t="n">
        <v>21296</v>
      </c>
      <c r="E1492" s="1" t="s">
        <v>57</v>
      </c>
      <c r="F1492" s="201" t="n">
        <v>200025889154</v>
      </c>
      <c r="G1492" s="198" t="s">
        <v>641</v>
      </c>
      <c r="H1492" s="172" t="n">
        <v>91178</v>
      </c>
      <c r="I1492" s="170" t="n">
        <v>34</v>
      </c>
      <c r="J1492" s="169" t="s">
        <v>192</v>
      </c>
      <c r="K1492" s="200" t="n">
        <v>45454.6473958333</v>
      </c>
      <c r="L1492" s="1" t="n">
        <v>1</v>
      </c>
      <c r="M1492" s="169" t="s">
        <v>192</v>
      </c>
      <c r="N1492" s="1" t="n">
        <v>1004</v>
      </c>
    </row>
    <row r="1493" customFormat="false" ht="14.25" hidden="false" customHeight="false" outlineLevel="0" collapsed="false">
      <c r="A1493" s="1" t="n">
        <v>88</v>
      </c>
      <c r="B1493" s="1" t="s">
        <v>684</v>
      </c>
      <c r="C1493" s="1" t="s">
        <v>685</v>
      </c>
      <c r="D1493" s="1" t="n">
        <v>21296</v>
      </c>
      <c r="E1493" s="1" t="s">
        <v>57</v>
      </c>
      <c r="F1493" s="201" t="n">
        <v>200025889154</v>
      </c>
      <c r="G1493" s="198" t="s">
        <v>641</v>
      </c>
      <c r="H1493" s="172" t="n">
        <v>91178</v>
      </c>
      <c r="I1493" s="170" t="n">
        <v>34</v>
      </c>
      <c r="J1493" s="169" t="s">
        <v>192</v>
      </c>
      <c r="K1493" s="200" t="n">
        <v>45454.6474074074</v>
      </c>
      <c r="L1493" s="1" t="n">
        <v>1</v>
      </c>
      <c r="M1493" s="169" t="s">
        <v>192</v>
      </c>
      <c r="N1493" s="1" t="n">
        <v>1005</v>
      </c>
    </row>
    <row r="1494" customFormat="false" ht="14.25" hidden="false" customHeight="false" outlineLevel="0" collapsed="false">
      <c r="A1494" s="1" t="n">
        <v>89</v>
      </c>
      <c r="B1494" s="1" t="s">
        <v>684</v>
      </c>
      <c r="C1494" s="1" t="s">
        <v>685</v>
      </c>
      <c r="D1494" s="1" t="n">
        <v>21296</v>
      </c>
      <c r="E1494" s="1" t="s">
        <v>57</v>
      </c>
      <c r="F1494" s="201" t="n">
        <v>200025889154</v>
      </c>
      <c r="G1494" s="198" t="s">
        <v>641</v>
      </c>
      <c r="H1494" s="172" t="n">
        <v>91178</v>
      </c>
      <c r="I1494" s="170" t="n">
        <v>34</v>
      </c>
      <c r="J1494" s="169" t="s">
        <v>192</v>
      </c>
      <c r="K1494" s="200" t="n">
        <v>45454.6474189815</v>
      </c>
      <c r="L1494" s="1" t="n">
        <v>1</v>
      </c>
      <c r="M1494" s="169" t="s">
        <v>192</v>
      </c>
      <c r="N1494" s="1" t="n">
        <v>1006</v>
      </c>
    </row>
    <row r="1495" customFormat="false" ht="14.25" hidden="false" customHeight="false" outlineLevel="0" collapsed="false">
      <c r="A1495" s="1" t="n">
        <v>90</v>
      </c>
      <c r="B1495" s="1" t="s">
        <v>684</v>
      </c>
      <c r="C1495" s="1" t="s">
        <v>685</v>
      </c>
      <c r="D1495" s="1" t="n">
        <v>21296</v>
      </c>
      <c r="E1495" s="1" t="s">
        <v>57</v>
      </c>
      <c r="F1495" s="201" t="n">
        <v>200025889154</v>
      </c>
      <c r="G1495" s="198" t="s">
        <v>641</v>
      </c>
      <c r="H1495" s="172" t="n">
        <v>91178</v>
      </c>
      <c r="I1495" s="170" t="n">
        <v>34</v>
      </c>
      <c r="J1495" s="169" t="s">
        <v>192</v>
      </c>
      <c r="K1495" s="200" t="n">
        <v>45454.6478472222</v>
      </c>
      <c r="L1495" s="1" t="n">
        <v>1</v>
      </c>
      <c r="M1495" s="169" t="s">
        <v>192</v>
      </c>
      <c r="N1495" s="1" t="n">
        <v>1007</v>
      </c>
    </row>
    <row r="1496" customFormat="false" ht="14.25" hidden="false" customHeight="false" outlineLevel="0" collapsed="false">
      <c r="A1496" s="1" t="n">
        <v>91</v>
      </c>
      <c r="B1496" s="1" t="s">
        <v>684</v>
      </c>
      <c r="C1496" s="1" t="s">
        <v>685</v>
      </c>
      <c r="D1496" s="1" t="n">
        <v>21296</v>
      </c>
      <c r="E1496" s="1" t="s">
        <v>57</v>
      </c>
      <c r="F1496" s="201" t="n">
        <v>200025889154</v>
      </c>
      <c r="G1496" s="198" t="s">
        <v>641</v>
      </c>
      <c r="H1496" s="172" t="n">
        <v>91178</v>
      </c>
      <c r="I1496" s="170" t="n">
        <v>34</v>
      </c>
      <c r="J1496" s="169" t="s">
        <v>192</v>
      </c>
      <c r="K1496" s="200" t="n">
        <v>45454.6478703704</v>
      </c>
      <c r="L1496" s="1" t="n">
        <v>0</v>
      </c>
      <c r="M1496" s="169" t="s">
        <v>192</v>
      </c>
      <c r="N1496" s="1" t="n">
        <v>1008</v>
      </c>
    </row>
    <row r="1497" customFormat="false" ht="14.25" hidden="false" customHeight="false" outlineLevel="0" collapsed="false">
      <c r="A1497" s="1" t="n">
        <v>92</v>
      </c>
      <c r="B1497" s="1" t="s">
        <v>684</v>
      </c>
      <c r="C1497" s="1" t="s">
        <v>685</v>
      </c>
      <c r="D1497" s="1" t="n">
        <v>21296</v>
      </c>
      <c r="E1497" s="1" t="s">
        <v>57</v>
      </c>
      <c r="F1497" s="201" t="n">
        <v>200025889154</v>
      </c>
      <c r="G1497" s="198" t="s">
        <v>641</v>
      </c>
      <c r="H1497" s="172" t="n">
        <v>91178</v>
      </c>
      <c r="I1497" s="170" t="n">
        <v>34</v>
      </c>
      <c r="J1497" s="169" t="s">
        <v>192</v>
      </c>
      <c r="K1497" s="200" t="n">
        <v>45454.6478819444</v>
      </c>
      <c r="L1497" s="1" t="n">
        <v>2</v>
      </c>
      <c r="M1497" s="169" t="s">
        <v>192</v>
      </c>
      <c r="N1497" s="1" t="n">
        <v>1009</v>
      </c>
    </row>
    <row r="1498" customFormat="false" ht="14.25" hidden="false" customHeight="false" outlineLevel="0" collapsed="false">
      <c r="A1498" s="1" t="n">
        <v>93</v>
      </c>
      <c r="B1498" s="1" t="s">
        <v>684</v>
      </c>
      <c r="C1498" s="1" t="s">
        <v>685</v>
      </c>
      <c r="D1498" s="1" t="n">
        <v>21296</v>
      </c>
      <c r="E1498" s="1" t="s">
        <v>57</v>
      </c>
      <c r="F1498" s="201" t="n">
        <v>200025889154</v>
      </c>
      <c r="G1498" s="198" t="s">
        <v>641</v>
      </c>
      <c r="H1498" s="172" t="n">
        <v>91178</v>
      </c>
      <c r="I1498" s="170" t="n">
        <v>34</v>
      </c>
      <c r="J1498" s="169" t="s">
        <v>192</v>
      </c>
      <c r="K1498" s="200" t="n">
        <v>45454.6484375</v>
      </c>
      <c r="L1498" s="10" t="n">
        <v>356</v>
      </c>
      <c r="M1498" s="169" t="s">
        <v>192</v>
      </c>
      <c r="N1498" s="1" t="n">
        <v>1010</v>
      </c>
    </row>
    <row r="1499" customFormat="false" ht="14.25" hidden="false" customHeight="false" outlineLevel="0" collapsed="false">
      <c r="A1499" s="1" t="n">
        <v>94</v>
      </c>
      <c r="B1499" s="1" t="s">
        <v>684</v>
      </c>
      <c r="C1499" s="1" t="s">
        <v>685</v>
      </c>
      <c r="D1499" s="1" t="n">
        <v>21296</v>
      </c>
      <c r="E1499" s="1" t="s">
        <v>57</v>
      </c>
      <c r="F1499" s="201" t="n">
        <v>200025889154</v>
      </c>
      <c r="G1499" s="198" t="s">
        <v>641</v>
      </c>
      <c r="H1499" s="172" t="n">
        <v>91178</v>
      </c>
      <c r="I1499" s="170" t="n">
        <v>34</v>
      </c>
      <c r="J1499" s="169" t="s">
        <v>192</v>
      </c>
      <c r="K1499" s="200" t="n">
        <v>45454.7037268519</v>
      </c>
      <c r="L1499" s="1" t="n">
        <v>2</v>
      </c>
      <c r="M1499" s="169" t="s">
        <v>192</v>
      </c>
      <c r="N1499" s="1" t="n">
        <v>1011</v>
      </c>
    </row>
    <row r="1500" customFormat="false" ht="14.25" hidden="false" customHeight="false" outlineLevel="0" collapsed="false">
      <c r="A1500" s="1" t="n">
        <v>95</v>
      </c>
      <c r="B1500" s="1" t="s">
        <v>684</v>
      </c>
      <c r="C1500" s="1" t="s">
        <v>685</v>
      </c>
      <c r="D1500" s="1" t="n">
        <v>21296</v>
      </c>
      <c r="E1500" s="1" t="s">
        <v>57</v>
      </c>
      <c r="F1500" s="201" t="n">
        <v>200025889154</v>
      </c>
      <c r="G1500" s="198" t="s">
        <v>641</v>
      </c>
      <c r="H1500" s="172" t="n">
        <v>91178</v>
      </c>
      <c r="I1500" s="170" t="n">
        <v>34</v>
      </c>
      <c r="J1500" s="169" t="s">
        <v>192</v>
      </c>
      <c r="K1500" s="200" t="n">
        <v>45454.70375</v>
      </c>
      <c r="L1500" s="1" t="n">
        <v>0</v>
      </c>
      <c r="M1500" s="169" t="s">
        <v>192</v>
      </c>
      <c r="N1500" s="1" t="n">
        <v>1012</v>
      </c>
    </row>
    <row r="1501" customFormat="false" ht="14.25" hidden="false" customHeight="false" outlineLevel="0" collapsed="false">
      <c r="A1501" s="1" t="n">
        <v>96</v>
      </c>
      <c r="B1501" s="1" t="s">
        <v>684</v>
      </c>
      <c r="C1501" s="1" t="s">
        <v>685</v>
      </c>
      <c r="D1501" s="1" t="n">
        <v>21296</v>
      </c>
      <c r="E1501" s="1" t="s">
        <v>57</v>
      </c>
      <c r="F1501" s="201" t="n">
        <v>200025889154</v>
      </c>
      <c r="G1501" s="198" t="s">
        <v>641</v>
      </c>
      <c r="H1501" s="172" t="n">
        <v>91178</v>
      </c>
      <c r="I1501" s="170" t="n">
        <v>34</v>
      </c>
      <c r="J1501" s="169" t="s">
        <v>192</v>
      </c>
      <c r="K1501" s="200" t="n">
        <v>45454.7037615741</v>
      </c>
      <c r="L1501" s="1" t="n">
        <v>0</v>
      </c>
      <c r="M1501" s="169" t="s">
        <v>192</v>
      </c>
      <c r="N1501" s="1" t="n">
        <v>1013</v>
      </c>
    </row>
    <row r="1502" customFormat="false" ht="14.25" hidden="false" customHeight="false" outlineLevel="0" collapsed="false">
      <c r="A1502" s="1" t="n">
        <v>97</v>
      </c>
      <c r="B1502" s="1" t="s">
        <v>684</v>
      </c>
      <c r="C1502" s="1" t="s">
        <v>685</v>
      </c>
      <c r="D1502" s="1" t="n">
        <v>21296</v>
      </c>
      <c r="E1502" s="1" t="s">
        <v>57</v>
      </c>
      <c r="F1502" s="201" t="n">
        <v>200025889154</v>
      </c>
      <c r="G1502" s="198" t="s">
        <v>641</v>
      </c>
      <c r="H1502" s="172" t="n">
        <v>91178</v>
      </c>
      <c r="I1502" s="170" t="n">
        <v>34</v>
      </c>
      <c r="J1502" s="169" t="s">
        <v>192</v>
      </c>
      <c r="K1502" s="200" t="n">
        <v>45454.7037731482</v>
      </c>
      <c r="L1502" s="1" t="n">
        <v>0</v>
      </c>
      <c r="M1502" s="169" t="s">
        <v>192</v>
      </c>
      <c r="N1502" s="1" t="n">
        <v>1014</v>
      </c>
    </row>
    <row r="1503" customFormat="false" ht="14.25" hidden="false" customHeight="false" outlineLevel="0" collapsed="false">
      <c r="A1503" s="1" t="n">
        <v>98</v>
      </c>
      <c r="B1503" s="1" t="s">
        <v>684</v>
      </c>
      <c r="C1503" s="1" t="s">
        <v>685</v>
      </c>
      <c r="D1503" s="1" t="n">
        <v>21296</v>
      </c>
      <c r="E1503" s="1" t="s">
        <v>57</v>
      </c>
      <c r="F1503" s="201" t="n">
        <v>200025889154</v>
      </c>
      <c r="G1503" s="198" t="s">
        <v>641</v>
      </c>
      <c r="H1503" s="172" t="n">
        <v>91178</v>
      </c>
      <c r="I1503" s="170" t="n">
        <v>34</v>
      </c>
      <c r="J1503" s="169" t="s">
        <v>192</v>
      </c>
      <c r="K1503" s="200" t="n">
        <v>45454.704375</v>
      </c>
      <c r="L1503" s="1" t="n">
        <v>1</v>
      </c>
      <c r="M1503" s="169" t="s">
        <v>192</v>
      </c>
      <c r="N1503" s="1" t="n">
        <v>1015</v>
      </c>
    </row>
    <row r="1504" customFormat="false" ht="14.25" hidden="false" customHeight="false" outlineLevel="0" collapsed="false">
      <c r="A1504" s="1" t="n">
        <v>99</v>
      </c>
      <c r="B1504" s="1" t="s">
        <v>684</v>
      </c>
      <c r="C1504" s="1" t="s">
        <v>685</v>
      </c>
      <c r="D1504" s="1" t="n">
        <v>21296</v>
      </c>
      <c r="E1504" s="1" t="s">
        <v>57</v>
      </c>
      <c r="F1504" s="201" t="n">
        <v>200025889154</v>
      </c>
      <c r="G1504" s="198" t="s">
        <v>641</v>
      </c>
      <c r="H1504" s="172" t="n">
        <v>91178</v>
      </c>
      <c r="I1504" s="170" t="n">
        <v>34</v>
      </c>
      <c r="J1504" s="169" t="s">
        <v>192</v>
      </c>
      <c r="K1504" s="200" t="n">
        <v>45454.7043981482</v>
      </c>
      <c r="L1504" s="1" t="n">
        <v>1</v>
      </c>
      <c r="M1504" s="169" t="s">
        <v>192</v>
      </c>
      <c r="N1504" s="1" t="n">
        <v>1016</v>
      </c>
    </row>
    <row r="1505" customFormat="false" ht="14.25" hidden="false" customHeight="false" outlineLevel="0" collapsed="false">
      <c r="A1505" s="1" t="n">
        <v>100</v>
      </c>
      <c r="B1505" s="1" t="s">
        <v>684</v>
      </c>
      <c r="C1505" s="1" t="s">
        <v>685</v>
      </c>
      <c r="D1505" s="1" t="n">
        <v>21296</v>
      </c>
      <c r="E1505" s="1" t="s">
        <v>57</v>
      </c>
      <c r="F1505" s="201" t="n">
        <v>200025889154</v>
      </c>
      <c r="G1505" s="198" t="s">
        <v>641</v>
      </c>
      <c r="H1505" s="172" t="n">
        <v>91178</v>
      </c>
      <c r="I1505" s="170" t="n">
        <v>34</v>
      </c>
      <c r="J1505" s="169" t="s">
        <v>192</v>
      </c>
      <c r="K1505" s="200" t="n">
        <v>45454.7049652778</v>
      </c>
      <c r="L1505" s="1" t="n">
        <v>3</v>
      </c>
      <c r="M1505" s="169" t="s">
        <v>192</v>
      </c>
      <c r="N1505" s="1" t="n">
        <v>1017</v>
      </c>
    </row>
    <row r="1506" customFormat="false" ht="14.25" hidden="false" customHeight="false" outlineLevel="0" collapsed="false">
      <c r="A1506" s="1" t="n">
        <v>101</v>
      </c>
      <c r="B1506" s="1" t="s">
        <v>684</v>
      </c>
      <c r="C1506" s="1" t="s">
        <v>685</v>
      </c>
      <c r="D1506" s="1" t="n">
        <v>21296</v>
      </c>
      <c r="E1506" s="1" t="s">
        <v>57</v>
      </c>
      <c r="F1506" s="201" t="n">
        <v>200025889154</v>
      </c>
      <c r="G1506" s="198" t="s">
        <v>641</v>
      </c>
      <c r="H1506" s="172" t="n">
        <v>91178</v>
      </c>
      <c r="I1506" s="170" t="n">
        <v>34</v>
      </c>
      <c r="J1506" s="169" t="s">
        <v>192</v>
      </c>
      <c r="K1506" s="200" t="n">
        <v>45454.7070023148</v>
      </c>
      <c r="L1506" s="1" t="n">
        <v>0</v>
      </c>
      <c r="M1506" s="169" t="s">
        <v>192</v>
      </c>
      <c r="N1506" s="1" t="n">
        <v>1018</v>
      </c>
    </row>
    <row r="1507" customFormat="false" ht="14.25" hidden="false" customHeight="false" outlineLevel="0" collapsed="false">
      <c r="A1507" s="1" t="n">
        <v>102</v>
      </c>
      <c r="B1507" s="1" t="s">
        <v>684</v>
      </c>
      <c r="C1507" s="1" t="s">
        <v>685</v>
      </c>
      <c r="D1507" s="1" t="n">
        <v>21296</v>
      </c>
      <c r="E1507" s="1" t="s">
        <v>57</v>
      </c>
      <c r="F1507" s="201" t="n">
        <v>200025889154</v>
      </c>
      <c r="G1507" s="198" t="s">
        <v>641</v>
      </c>
      <c r="H1507" s="172" t="n">
        <v>91178</v>
      </c>
      <c r="I1507" s="170" t="n">
        <v>34</v>
      </c>
      <c r="J1507" s="169" t="s">
        <v>192</v>
      </c>
      <c r="K1507" s="200" t="n">
        <v>45454.7072453704</v>
      </c>
      <c r="L1507" s="1" t="n">
        <v>0</v>
      </c>
      <c r="M1507" s="169" t="s">
        <v>192</v>
      </c>
      <c r="N1507" s="1" t="n">
        <v>1019</v>
      </c>
    </row>
    <row r="1508" customFormat="false" ht="14.25" hidden="false" customHeight="false" outlineLevel="0" collapsed="false">
      <c r="A1508" s="1" t="n">
        <v>103</v>
      </c>
      <c r="B1508" s="1" t="s">
        <v>684</v>
      </c>
      <c r="C1508" s="1" t="s">
        <v>685</v>
      </c>
      <c r="D1508" s="1" t="n">
        <v>21296</v>
      </c>
      <c r="E1508" s="1" t="s">
        <v>57</v>
      </c>
      <c r="F1508" s="201" t="n">
        <v>200025889154</v>
      </c>
      <c r="G1508" s="198" t="s">
        <v>641</v>
      </c>
      <c r="H1508" s="172" t="n">
        <v>91178</v>
      </c>
      <c r="I1508" s="170" t="n">
        <v>34</v>
      </c>
      <c r="J1508" s="169" t="s">
        <v>192</v>
      </c>
      <c r="K1508" s="200" t="n">
        <v>45454.7072453704</v>
      </c>
      <c r="L1508" s="1" t="n">
        <v>1</v>
      </c>
      <c r="M1508" s="169" t="s">
        <v>192</v>
      </c>
      <c r="N1508" s="1" t="n">
        <v>1020</v>
      </c>
    </row>
    <row r="1509" customFormat="false" ht="14.25" hidden="false" customHeight="false" outlineLevel="0" collapsed="false">
      <c r="A1509" s="1" t="n">
        <v>104</v>
      </c>
      <c r="B1509" s="1" t="s">
        <v>684</v>
      </c>
      <c r="C1509" s="1" t="s">
        <v>685</v>
      </c>
      <c r="D1509" s="1" t="n">
        <v>21296</v>
      </c>
      <c r="E1509" s="1" t="s">
        <v>57</v>
      </c>
      <c r="F1509" s="201" t="n">
        <v>200025889154</v>
      </c>
      <c r="G1509" s="198" t="s">
        <v>641</v>
      </c>
      <c r="H1509" s="172" t="n">
        <v>91178</v>
      </c>
      <c r="I1509" s="170" t="n">
        <v>34</v>
      </c>
      <c r="J1509" s="169" t="s">
        <v>192</v>
      </c>
      <c r="K1509" s="200" t="n">
        <v>45454.7082060185</v>
      </c>
      <c r="L1509" s="1" t="n">
        <v>0</v>
      </c>
      <c r="M1509" s="169" t="s">
        <v>192</v>
      </c>
      <c r="N1509" s="1" t="n">
        <v>1021</v>
      </c>
    </row>
    <row r="1510" customFormat="false" ht="14.25" hidden="false" customHeight="false" outlineLevel="0" collapsed="false">
      <c r="A1510" s="1" t="n">
        <v>105</v>
      </c>
      <c r="B1510" s="1" t="s">
        <v>684</v>
      </c>
      <c r="C1510" s="1" t="s">
        <v>685</v>
      </c>
      <c r="D1510" s="1" t="n">
        <v>21296</v>
      </c>
      <c r="E1510" s="1" t="s">
        <v>57</v>
      </c>
      <c r="F1510" s="201" t="n">
        <v>200025889154</v>
      </c>
      <c r="G1510" s="198" t="s">
        <v>641</v>
      </c>
      <c r="H1510" s="172" t="n">
        <v>91178</v>
      </c>
      <c r="I1510" s="170" t="n">
        <v>34</v>
      </c>
      <c r="J1510" s="169" t="s">
        <v>192</v>
      </c>
      <c r="K1510" s="200" t="n">
        <v>45454.7082175926</v>
      </c>
      <c r="L1510" s="1" t="n">
        <v>1</v>
      </c>
      <c r="M1510" s="169" t="s">
        <v>192</v>
      </c>
      <c r="N1510" s="1" t="n">
        <v>1022</v>
      </c>
    </row>
    <row r="1511" customFormat="false" ht="14.25" hidden="false" customHeight="false" outlineLevel="0" collapsed="false">
      <c r="A1511" s="1" t="n">
        <v>106</v>
      </c>
      <c r="B1511" s="1" t="s">
        <v>684</v>
      </c>
      <c r="C1511" s="1" t="s">
        <v>685</v>
      </c>
      <c r="D1511" s="1" t="n">
        <v>21296</v>
      </c>
      <c r="E1511" s="1" t="s">
        <v>57</v>
      </c>
      <c r="F1511" s="201" t="n">
        <v>200025889127</v>
      </c>
      <c r="G1511" s="198" t="s">
        <v>692</v>
      </c>
      <c r="H1511" s="163" t="s">
        <v>507</v>
      </c>
      <c r="I1511" s="161" t="n">
        <v>86</v>
      </c>
      <c r="J1511" s="156" t="s">
        <v>192</v>
      </c>
      <c r="K1511" s="200" t="n">
        <v>45454.8006481482</v>
      </c>
      <c r="L1511" s="1" t="n">
        <v>1</v>
      </c>
      <c r="M1511" s="156" t="s">
        <v>192</v>
      </c>
      <c r="N1511" s="1" t="n">
        <v>1023</v>
      </c>
    </row>
    <row r="1512" customFormat="false" ht="14.25" hidden="false" customHeight="false" outlineLevel="0" collapsed="false">
      <c r="A1512" s="1" t="n">
        <v>107</v>
      </c>
      <c r="B1512" s="1" t="s">
        <v>684</v>
      </c>
      <c r="C1512" s="1" t="s">
        <v>685</v>
      </c>
      <c r="D1512" s="1" t="n">
        <v>21296</v>
      </c>
      <c r="E1512" s="1" t="s">
        <v>57</v>
      </c>
      <c r="F1512" s="201" t="n">
        <v>200025889127</v>
      </c>
      <c r="G1512" s="198" t="s">
        <v>692</v>
      </c>
      <c r="H1512" s="163" t="s">
        <v>507</v>
      </c>
      <c r="I1512" s="161" t="n">
        <v>86</v>
      </c>
      <c r="J1512" s="156" t="s">
        <v>192</v>
      </c>
      <c r="K1512" s="200" t="n">
        <v>45454.8006712963</v>
      </c>
      <c r="L1512" s="1" t="n">
        <v>0</v>
      </c>
      <c r="M1512" s="156" t="s">
        <v>192</v>
      </c>
      <c r="N1512" s="1" t="n">
        <v>1024</v>
      </c>
    </row>
    <row r="1513" customFormat="false" ht="14.25" hidden="false" customHeight="false" outlineLevel="0" collapsed="false">
      <c r="A1513" s="1" t="n">
        <v>108</v>
      </c>
      <c r="B1513" s="1" t="s">
        <v>684</v>
      </c>
      <c r="C1513" s="1" t="s">
        <v>685</v>
      </c>
      <c r="D1513" s="1" t="n">
        <v>21296</v>
      </c>
      <c r="E1513" s="1" t="s">
        <v>57</v>
      </c>
      <c r="F1513" s="201" t="n">
        <v>200025889127</v>
      </c>
      <c r="G1513" s="198" t="s">
        <v>692</v>
      </c>
      <c r="H1513" s="163" t="s">
        <v>507</v>
      </c>
      <c r="I1513" s="161" t="n">
        <v>86</v>
      </c>
      <c r="J1513" s="156" t="s">
        <v>192</v>
      </c>
      <c r="K1513" s="200" t="n">
        <v>45454.8006712963</v>
      </c>
      <c r="L1513" s="1" t="n">
        <v>1</v>
      </c>
      <c r="M1513" s="156" t="s">
        <v>192</v>
      </c>
      <c r="N1513" s="1" t="n">
        <v>1025</v>
      </c>
    </row>
    <row r="1514" customFormat="false" ht="14.25" hidden="false" customHeight="false" outlineLevel="0" collapsed="false">
      <c r="A1514" s="1" t="n">
        <v>109</v>
      </c>
      <c r="B1514" s="1" t="s">
        <v>684</v>
      </c>
      <c r="C1514" s="1" t="s">
        <v>685</v>
      </c>
      <c r="D1514" s="1" t="n">
        <v>21296</v>
      </c>
      <c r="E1514" s="1" t="s">
        <v>57</v>
      </c>
      <c r="F1514" s="201" t="n">
        <v>200025889127</v>
      </c>
      <c r="G1514" s="198" t="s">
        <v>692</v>
      </c>
      <c r="H1514" s="163" t="s">
        <v>507</v>
      </c>
      <c r="I1514" s="161" t="n">
        <v>86</v>
      </c>
      <c r="J1514" s="156" t="s">
        <v>192</v>
      </c>
      <c r="K1514" s="200" t="n">
        <v>45454.8006828704</v>
      </c>
      <c r="L1514" s="1" t="n">
        <v>1</v>
      </c>
      <c r="M1514" s="156" t="s">
        <v>192</v>
      </c>
      <c r="N1514" s="1" t="n">
        <v>1026</v>
      </c>
    </row>
    <row r="1515" customFormat="false" ht="14.25" hidden="false" customHeight="false" outlineLevel="0" collapsed="false">
      <c r="A1515" s="1" t="n">
        <v>110</v>
      </c>
      <c r="B1515" s="1" t="s">
        <v>684</v>
      </c>
      <c r="C1515" s="1" t="s">
        <v>685</v>
      </c>
      <c r="D1515" s="1" t="n">
        <v>21296</v>
      </c>
      <c r="E1515" s="1" t="s">
        <v>57</v>
      </c>
      <c r="F1515" s="201" t="n">
        <v>200025889127</v>
      </c>
      <c r="G1515" s="198" t="s">
        <v>692</v>
      </c>
      <c r="H1515" s="163" t="s">
        <v>507</v>
      </c>
      <c r="I1515" s="161" t="n">
        <v>86</v>
      </c>
      <c r="J1515" s="156" t="s">
        <v>192</v>
      </c>
      <c r="K1515" s="200" t="n">
        <v>45454.801087963</v>
      </c>
      <c r="L1515" s="1" t="n">
        <v>3</v>
      </c>
      <c r="M1515" s="156" t="s">
        <v>192</v>
      </c>
      <c r="N1515" s="1" t="n">
        <v>1027</v>
      </c>
    </row>
    <row r="1516" customFormat="false" ht="14.25" hidden="false" customHeight="false" outlineLevel="0" collapsed="false">
      <c r="A1516" s="1" t="n">
        <v>111</v>
      </c>
      <c r="B1516" s="1" t="s">
        <v>684</v>
      </c>
      <c r="C1516" s="1" t="s">
        <v>685</v>
      </c>
      <c r="D1516" s="1" t="n">
        <v>21296</v>
      </c>
      <c r="E1516" s="1" t="s">
        <v>57</v>
      </c>
      <c r="F1516" s="201" t="n">
        <v>200025889127</v>
      </c>
      <c r="G1516" s="198" t="s">
        <v>692</v>
      </c>
      <c r="H1516" s="163" t="s">
        <v>507</v>
      </c>
      <c r="I1516" s="161" t="n">
        <v>86</v>
      </c>
      <c r="J1516" s="156" t="s">
        <v>192</v>
      </c>
      <c r="K1516" s="200" t="n">
        <v>45454.8014236111</v>
      </c>
      <c r="L1516" s="1" t="n">
        <v>0</v>
      </c>
      <c r="M1516" s="156" t="s">
        <v>192</v>
      </c>
      <c r="N1516" s="1" t="n">
        <v>1028</v>
      </c>
    </row>
    <row r="1517" customFormat="false" ht="14.25" hidden="false" customHeight="false" outlineLevel="0" collapsed="false">
      <c r="A1517" s="1" t="n">
        <v>112</v>
      </c>
      <c r="B1517" s="1" t="s">
        <v>684</v>
      </c>
      <c r="C1517" s="1" t="s">
        <v>685</v>
      </c>
      <c r="D1517" s="1" t="n">
        <v>21296</v>
      </c>
      <c r="E1517" s="1" t="s">
        <v>57</v>
      </c>
      <c r="F1517" s="201" t="n">
        <v>200025889127</v>
      </c>
      <c r="G1517" s="198" t="s">
        <v>692</v>
      </c>
      <c r="H1517" s="163" t="s">
        <v>507</v>
      </c>
      <c r="I1517" s="161" t="n">
        <v>86</v>
      </c>
      <c r="J1517" s="156" t="s">
        <v>192</v>
      </c>
      <c r="K1517" s="200" t="n">
        <v>45454.8014467593</v>
      </c>
      <c r="L1517" s="1" t="n">
        <v>0</v>
      </c>
      <c r="M1517" s="156" t="s">
        <v>192</v>
      </c>
      <c r="N1517" s="1" t="n">
        <v>1029</v>
      </c>
    </row>
    <row r="1518" customFormat="false" ht="14.25" hidden="false" customHeight="false" outlineLevel="0" collapsed="false">
      <c r="A1518" s="1" t="n">
        <v>113</v>
      </c>
      <c r="B1518" s="1" t="s">
        <v>684</v>
      </c>
      <c r="C1518" s="1" t="s">
        <v>685</v>
      </c>
      <c r="D1518" s="1" t="n">
        <v>21296</v>
      </c>
      <c r="E1518" s="1" t="s">
        <v>57</v>
      </c>
      <c r="F1518" s="201" t="n">
        <v>200025889154</v>
      </c>
      <c r="G1518" s="198" t="s">
        <v>641</v>
      </c>
      <c r="H1518" s="172" t="n">
        <v>91178</v>
      </c>
      <c r="I1518" s="170" t="n">
        <v>34</v>
      </c>
      <c r="J1518" s="169" t="s">
        <v>192</v>
      </c>
      <c r="K1518" s="200" t="n">
        <v>45454.8396180556</v>
      </c>
      <c r="L1518" s="1" t="n">
        <v>1</v>
      </c>
      <c r="M1518" s="169" t="s">
        <v>192</v>
      </c>
      <c r="N1518" s="1" t="n">
        <v>1030</v>
      </c>
    </row>
    <row r="1519" customFormat="false" ht="14.25" hidden="false" customHeight="false" outlineLevel="0" collapsed="false">
      <c r="A1519" s="1" t="n">
        <v>114</v>
      </c>
      <c r="B1519" s="1" t="s">
        <v>684</v>
      </c>
      <c r="C1519" s="1" t="s">
        <v>685</v>
      </c>
      <c r="D1519" s="1" t="n">
        <v>21296</v>
      </c>
      <c r="E1519" s="1" t="s">
        <v>57</v>
      </c>
      <c r="F1519" s="201" t="n">
        <v>200025889154</v>
      </c>
      <c r="G1519" s="198" t="s">
        <v>641</v>
      </c>
      <c r="H1519" s="172" t="n">
        <v>91178</v>
      </c>
      <c r="I1519" s="170" t="n">
        <v>34</v>
      </c>
      <c r="J1519" s="169" t="s">
        <v>192</v>
      </c>
      <c r="K1519" s="200" t="n">
        <v>45454.8396296296</v>
      </c>
      <c r="L1519" s="1" t="n">
        <v>3</v>
      </c>
      <c r="M1519" s="169" t="s">
        <v>192</v>
      </c>
      <c r="N1519" s="1" t="n">
        <v>1031</v>
      </c>
    </row>
    <row r="1520" customFormat="false" ht="14.25" hidden="false" customHeight="false" outlineLevel="0" collapsed="false">
      <c r="A1520" s="1" t="n">
        <v>115</v>
      </c>
      <c r="B1520" s="1" t="s">
        <v>684</v>
      </c>
      <c r="C1520" s="1" t="s">
        <v>685</v>
      </c>
      <c r="D1520" s="1" t="n">
        <v>21296</v>
      </c>
      <c r="E1520" s="1" t="s">
        <v>57</v>
      </c>
      <c r="F1520" s="201" t="n">
        <v>200025889154</v>
      </c>
      <c r="G1520" s="198" t="s">
        <v>641</v>
      </c>
      <c r="H1520" s="172" t="n">
        <v>91178</v>
      </c>
      <c r="I1520" s="170" t="n">
        <v>34</v>
      </c>
      <c r="J1520" s="169" t="s">
        <v>192</v>
      </c>
      <c r="K1520" s="200" t="n">
        <v>45454.8400925926</v>
      </c>
      <c r="L1520" s="1" t="n">
        <v>0</v>
      </c>
      <c r="M1520" s="169" t="s">
        <v>192</v>
      </c>
      <c r="N1520" s="1" t="n">
        <v>1032</v>
      </c>
    </row>
    <row r="1521" customFormat="false" ht="14.25" hidden="false" customHeight="false" outlineLevel="0" collapsed="false">
      <c r="A1521" s="1" t="n">
        <v>116</v>
      </c>
      <c r="B1521" s="1" t="s">
        <v>684</v>
      </c>
      <c r="C1521" s="1" t="s">
        <v>685</v>
      </c>
      <c r="D1521" s="1" t="n">
        <v>21296</v>
      </c>
      <c r="E1521" s="1" t="s">
        <v>57</v>
      </c>
      <c r="F1521" s="201" t="n">
        <v>200025889154</v>
      </c>
      <c r="G1521" s="198" t="s">
        <v>641</v>
      </c>
      <c r="H1521" s="172" t="n">
        <v>91178</v>
      </c>
      <c r="I1521" s="170" t="n">
        <v>34</v>
      </c>
      <c r="J1521" s="169" t="s">
        <v>192</v>
      </c>
      <c r="K1521" s="200" t="n">
        <v>45454.8401041667</v>
      </c>
      <c r="L1521" s="1" t="n">
        <v>0</v>
      </c>
      <c r="M1521" s="169" t="s">
        <v>192</v>
      </c>
      <c r="N1521" s="1" t="n">
        <v>1033</v>
      </c>
    </row>
    <row r="1522" customFormat="false" ht="14.25" hidden="false" customHeight="false" outlineLevel="0" collapsed="false">
      <c r="A1522" s="1" t="n">
        <v>117</v>
      </c>
      <c r="B1522" s="1" t="s">
        <v>684</v>
      </c>
      <c r="C1522" s="1" t="s">
        <v>685</v>
      </c>
      <c r="D1522" s="1" t="n">
        <v>21296</v>
      </c>
      <c r="E1522" s="1" t="s">
        <v>57</v>
      </c>
      <c r="F1522" s="201" t="n">
        <v>200025889154</v>
      </c>
      <c r="G1522" s="198" t="s">
        <v>641</v>
      </c>
      <c r="H1522" s="172" t="n">
        <v>91178</v>
      </c>
      <c r="I1522" s="170" t="n">
        <v>34</v>
      </c>
      <c r="J1522" s="169" t="s">
        <v>192</v>
      </c>
      <c r="K1522" s="200" t="n">
        <v>45454.8402662037</v>
      </c>
      <c r="L1522" s="1" t="n">
        <v>1</v>
      </c>
      <c r="M1522" s="169" t="s">
        <v>192</v>
      </c>
      <c r="N1522" s="1" t="n">
        <v>1034</v>
      </c>
    </row>
    <row r="1523" customFormat="false" ht="14.25" hidden="false" customHeight="false" outlineLevel="0" collapsed="false">
      <c r="A1523" s="1" t="n">
        <v>118</v>
      </c>
      <c r="B1523" s="1" t="s">
        <v>684</v>
      </c>
      <c r="C1523" s="1" t="s">
        <v>685</v>
      </c>
      <c r="D1523" s="1" t="n">
        <v>21296</v>
      </c>
      <c r="E1523" s="1" t="s">
        <v>57</v>
      </c>
      <c r="F1523" s="201" t="n">
        <v>200025889154</v>
      </c>
      <c r="G1523" s="198" t="s">
        <v>641</v>
      </c>
      <c r="H1523" s="172" t="n">
        <v>91178</v>
      </c>
      <c r="I1523" s="170" t="n">
        <v>34</v>
      </c>
      <c r="J1523" s="169" t="s">
        <v>192</v>
      </c>
      <c r="K1523" s="200" t="n">
        <v>45454.8402893519</v>
      </c>
      <c r="L1523" s="1" t="n">
        <v>1</v>
      </c>
      <c r="M1523" s="169" t="s">
        <v>192</v>
      </c>
      <c r="N1523" s="1" t="n">
        <v>1035</v>
      </c>
    </row>
    <row r="1524" customFormat="false" ht="14.25" hidden="false" customHeight="false" outlineLevel="0" collapsed="false">
      <c r="A1524" s="1" t="n">
        <v>119</v>
      </c>
      <c r="B1524" s="1" t="s">
        <v>684</v>
      </c>
      <c r="C1524" s="1" t="s">
        <v>685</v>
      </c>
      <c r="D1524" s="1" t="n">
        <v>21296</v>
      </c>
      <c r="E1524" s="1" t="s">
        <v>57</v>
      </c>
      <c r="F1524" s="201" t="n">
        <v>200025889154</v>
      </c>
      <c r="G1524" s="198" t="s">
        <v>641</v>
      </c>
      <c r="H1524" s="172" t="n">
        <v>91178</v>
      </c>
      <c r="I1524" s="170" t="n">
        <v>34</v>
      </c>
      <c r="J1524" s="169" t="s">
        <v>192</v>
      </c>
      <c r="K1524" s="200" t="n">
        <v>45454.8403009259</v>
      </c>
      <c r="L1524" s="1" t="n">
        <v>0</v>
      </c>
      <c r="M1524" s="169" t="s">
        <v>192</v>
      </c>
      <c r="N1524" s="1" t="n">
        <v>1036</v>
      </c>
    </row>
    <row r="1525" customFormat="false" ht="14.25" hidden="false" customHeight="false" outlineLevel="0" collapsed="false">
      <c r="A1525" s="1" t="n">
        <v>120</v>
      </c>
      <c r="B1525" s="1" t="s">
        <v>684</v>
      </c>
      <c r="C1525" s="1" t="s">
        <v>685</v>
      </c>
      <c r="D1525" s="1" t="n">
        <v>21296</v>
      </c>
      <c r="E1525" s="1" t="s">
        <v>57</v>
      </c>
      <c r="F1525" s="201" t="n">
        <v>200025889154</v>
      </c>
      <c r="G1525" s="198" t="s">
        <v>641</v>
      </c>
      <c r="H1525" s="172" t="n">
        <v>91178</v>
      </c>
      <c r="I1525" s="170" t="n">
        <v>34</v>
      </c>
      <c r="J1525" s="169" t="s">
        <v>192</v>
      </c>
      <c r="K1525" s="200" t="n">
        <v>45454.9048263889</v>
      </c>
      <c r="L1525" s="1" t="n">
        <v>0</v>
      </c>
      <c r="M1525" s="169" t="s">
        <v>192</v>
      </c>
      <c r="N1525" s="1" t="n">
        <v>1037</v>
      </c>
    </row>
    <row r="1526" customFormat="false" ht="14.25" hidden="false" customHeight="false" outlineLevel="0" collapsed="false">
      <c r="A1526" s="1" t="n">
        <v>121</v>
      </c>
      <c r="B1526" s="1" t="s">
        <v>684</v>
      </c>
      <c r="C1526" s="1" t="s">
        <v>685</v>
      </c>
      <c r="D1526" s="1" t="n">
        <v>21296</v>
      </c>
      <c r="E1526" s="1" t="s">
        <v>57</v>
      </c>
      <c r="F1526" s="201" t="n">
        <v>200025889127</v>
      </c>
      <c r="G1526" s="198" t="s">
        <v>692</v>
      </c>
      <c r="H1526" s="163" t="s">
        <v>507</v>
      </c>
      <c r="I1526" s="161" t="n">
        <v>86</v>
      </c>
      <c r="J1526" s="156" t="s">
        <v>192</v>
      </c>
      <c r="K1526" s="200" t="n">
        <v>45454.9293634259</v>
      </c>
      <c r="L1526" s="1" t="n">
        <v>0</v>
      </c>
      <c r="M1526" s="156" t="s">
        <v>192</v>
      </c>
      <c r="N1526" s="1" t="n">
        <v>1038</v>
      </c>
    </row>
    <row r="1527" customFormat="false" ht="14.25" hidden="false" customHeight="false" outlineLevel="0" collapsed="false">
      <c r="A1527" s="1" t="n">
        <v>122</v>
      </c>
      <c r="B1527" s="1" t="s">
        <v>684</v>
      </c>
      <c r="C1527" s="1" t="s">
        <v>685</v>
      </c>
      <c r="D1527" s="1" t="n">
        <v>21296</v>
      </c>
      <c r="E1527" s="1" t="s">
        <v>57</v>
      </c>
      <c r="F1527" s="201" t="n">
        <v>200025888790</v>
      </c>
      <c r="G1527" s="198" t="s">
        <v>588</v>
      </c>
      <c r="H1527" s="163" t="s">
        <v>442</v>
      </c>
      <c r="I1527" s="161" t="n">
        <v>117</v>
      </c>
      <c r="J1527" s="156" t="s">
        <v>192</v>
      </c>
      <c r="K1527" s="200" t="n">
        <v>45454.932650463</v>
      </c>
      <c r="L1527" s="1" t="n">
        <v>2</v>
      </c>
      <c r="M1527" s="156" t="s">
        <v>192</v>
      </c>
      <c r="N1527" s="1" t="n">
        <v>1039</v>
      </c>
    </row>
    <row r="1528" customFormat="false" ht="14.25" hidden="false" customHeight="false" outlineLevel="0" collapsed="false">
      <c r="A1528" s="1" t="n">
        <v>123</v>
      </c>
      <c r="B1528" s="1" t="s">
        <v>684</v>
      </c>
      <c r="C1528" s="1" t="s">
        <v>685</v>
      </c>
      <c r="D1528" s="1" t="n">
        <v>21296</v>
      </c>
      <c r="E1528" s="1" t="s">
        <v>57</v>
      </c>
      <c r="F1528" s="201" t="n">
        <v>200025888790</v>
      </c>
      <c r="G1528" s="198" t="s">
        <v>588</v>
      </c>
      <c r="H1528" s="163" t="s">
        <v>442</v>
      </c>
      <c r="I1528" s="161" t="n">
        <v>117</v>
      </c>
      <c r="J1528" s="156" t="s">
        <v>192</v>
      </c>
      <c r="K1528" s="200" t="n">
        <v>45454.9326736111</v>
      </c>
      <c r="L1528" s="1" t="n">
        <v>0</v>
      </c>
      <c r="M1528" s="156" t="s">
        <v>192</v>
      </c>
      <c r="N1528" s="1" t="n">
        <v>1040</v>
      </c>
    </row>
    <row r="1529" customFormat="false" ht="14.25" hidden="false" customHeight="false" outlineLevel="0" collapsed="false">
      <c r="A1529" s="1" t="n">
        <v>124</v>
      </c>
      <c r="B1529" s="1" t="s">
        <v>684</v>
      </c>
      <c r="C1529" s="1" t="s">
        <v>685</v>
      </c>
      <c r="D1529" s="1" t="n">
        <v>21296</v>
      </c>
      <c r="E1529" s="1" t="s">
        <v>57</v>
      </c>
      <c r="F1529" s="201" t="n">
        <v>200025888790</v>
      </c>
      <c r="G1529" s="198" t="s">
        <v>588</v>
      </c>
      <c r="H1529" s="163" t="s">
        <v>442</v>
      </c>
      <c r="I1529" s="161" t="n">
        <v>117</v>
      </c>
      <c r="J1529" s="156" t="s">
        <v>192</v>
      </c>
      <c r="K1529" s="200" t="n">
        <v>45454.9326967593</v>
      </c>
      <c r="L1529" s="1" t="n">
        <v>0</v>
      </c>
      <c r="M1529" s="156" t="s">
        <v>192</v>
      </c>
      <c r="N1529" s="1" t="n">
        <v>1041</v>
      </c>
    </row>
    <row r="1530" customFormat="false" ht="14.25" hidden="false" customHeight="false" outlineLevel="0" collapsed="false">
      <c r="A1530" s="1" t="n">
        <v>125</v>
      </c>
      <c r="B1530" s="1" t="s">
        <v>684</v>
      </c>
      <c r="C1530" s="1" t="s">
        <v>685</v>
      </c>
      <c r="D1530" s="1" t="n">
        <v>21296</v>
      </c>
      <c r="E1530" s="1" t="s">
        <v>57</v>
      </c>
      <c r="F1530" s="201" t="n">
        <v>200025889127</v>
      </c>
      <c r="G1530" s="198" t="s">
        <v>692</v>
      </c>
      <c r="H1530" s="163" t="s">
        <v>507</v>
      </c>
      <c r="I1530" s="161" t="n">
        <v>86</v>
      </c>
      <c r="J1530" s="156" t="s">
        <v>192</v>
      </c>
      <c r="K1530" s="200" t="n">
        <v>45455.0438541667</v>
      </c>
      <c r="L1530" s="1" t="n">
        <v>0</v>
      </c>
      <c r="M1530" s="156" t="s">
        <v>192</v>
      </c>
      <c r="N1530" s="1" t="n">
        <v>1042</v>
      </c>
    </row>
    <row r="1531" customFormat="false" ht="14.25" hidden="false" customHeight="false" outlineLevel="0" collapsed="false">
      <c r="A1531" s="1" t="n">
        <v>126</v>
      </c>
      <c r="B1531" s="1" t="s">
        <v>684</v>
      </c>
      <c r="C1531" s="1" t="s">
        <v>685</v>
      </c>
      <c r="D1531" s="1" t="n">
        <v>21296</v>
      </c>
      <c r="E1531" s="1" t="s">
        <v>57</v>
      </c>
      <c r="F1531" s="201" t="n">
        <v>200025889127</v>
      </c>
      <c r="G1531" s="198" t="s">
        <v>692</v>
      </c>
      <c r="H1531" s="163" t="s">
        <v>507</v>
      </c>
      <c r="I1531" s="161" t="n">
        <v>86</v>
      </c>
      <c r="J1531" s="156" t="s">
        <v>192</v>
      </c>
      <c r="K1531" s="200" t="n">
        <v>45455.0446064815</v>
      </c>
      <c r="L1531" s="1" t="n">
        <v>0</v>
      </c>
      <c r="M1531" s="156" t="s">
        <v>192</v>
      </c>
      <c r="N1531" s="1" t="n">
        <v>1043</v>
      </c>
    </row>
    <row r="1532" customFormat="false" ht="14.25" hidden="false" customHeight="false" outlineLevel="0" collapsed="false">
      <c r="A1532" s="1" t="n">
        <v>127</v>
      </c>
      <c r="B1532" s="1" t="s">
        <v>684</v>
      </c>
      <c r="C1532" s="1" t="s">
        <v>685</v>
      </c>
      <c r="D1532" s="1" t="n">
        <v>21296</v>
      </c>
      <c r="E1532" s="1" t="s">
        <v>57</v>
      </c>
      <c r="F1532" s="201" t="n">
        <v>200025889127</v>
      </c>
      <c r="G1532" s="198" t="s">
        <v>692</v>
      </c>
      <c r="H1532" s="163" t="s">
        <v>507</v>
      </c>
      <c r="I1532" s="161" t="n">
        <v>86</v>
      </c>
      <c r="J1532" s="156" t="s">
        <v>192</v>
      </c>
      <c r="K1532" s="200" t="n">
        <v>45455.1373842593</v>
      </c>
      <c r="L1532" s="1" t="n">
        <v>1</v>
      </c>
      <c r="M1532" s="156" t="s">
        <v>192</v>
      </c>
      <c r="N1532" s="1" t="n">
        <v>1044</v>
      </c>
    </row>
    <row r="1533" customFormat="false" ht="14.25" hidden="false" customHeight="false" outlineLevel="0" collapsed="false">
      <c r="A1533" s="1" t="n">
        <v>128</v>
      </c>
      <c r="B1533" s="1" t="s">
        <v>684</v>
      </c>
      <c r="C1533" s="1" t="s">
        <v>685</v>
      </c>
      <c r="D1533" s="1" t="n">
        <v>21296</v>
      </c>
      <c r="E1533" s="1" t="s">
        <v>57</v>
      </c>
      <c r="F1533" s="201" t="n">
        <v>200025889127</v>
      </c>
      <c r="G1533" s="198" t="s">
        <v>692</v>
      </c>
      <c r="H1533" s="163" t="s">
        <v>507</v>
      </c>
      <c r="I1533" s="161" t="n">
        <v>86</v>
      </c>
      <c r="J1533" s="156" t="s">
        <v>192</v>
      </c>
      <c r="K1533" s="200" t="n">
        <v>45455.269837963</v>
      </c>
      <c r="L1533" s="1" t="n">
        <v>0</v>
      </c>
      <c r="M1533" s="156" t="s">
        <v>192</v>
      </c>
      <c r="N1533" s="1" t="n">
        <v>1045</v>
      </c>
    </row>
    <row r="1534" customFormat="false" ht="14.25" hidden="false" customHeight="false" outlineLevel="0" collapsed="false">
      <c r="A1534" s="1" t="n">
        <v>129</v>
      </c>
      <c r="B1534" s="1" t="s">
        <v>684</v>
      </c>
      <c r="C1534" s="1" t="s">
        <v>685</v>
      </c>
      <c r="D1534" s="1" t="n">
        <v>21296</v>
      </c>
      <c r="E1534" s="1" t="s">
        <v>57</v>
      </c>
      <c r="F1534" s="201" t="n">
        <v>200025889127</v>
      </c>
      <c r="G1534" s="198" t="s">
        <v>692</v>
      </c>
      <c r="H1534" s="163" t="s">
        <v>507</v>
      </c>
      <c r="I1534" s="161" t="n">
        <v>86</v>
      </c>
      <c r="J1534" s="156" t="s">
        <v>192</v>
      </c>
      <c r="K1534" s="200" t="n">
        <v>45455.2705555556</v>
      </c>
      <c r="L1534" s="1" t="n">
        <v>1</v>
      </c>
      <c r="M1534" s="156" t="s">
        <v>192</v>
      </c>
      <c r="N1534" s="1" t="n">
        <v>1046</v>
      </c>
    </row>
    <row r="1535" customFormat="false" ht="14.25" hidden="false" customHeight="false" outlineLevel="0" collapsed="false">
      <c r="A1535" s="1" t="n">
        <v>130</v>
      </c>
      <c r="B1535" s="1" t="s">
        <v>684</v>
      </c>
      <c r="C1535" s="1" t="s">
        <v>685</v>
      </c>
      <c r="D1535" s="1" t="n">
        <v>21296</v>
      </c>
      <c r="E1535" s="1" t="s">
        <v>57</v>
      </c>
      <c r="F1535" s="201" t="n">
        <v>200025889154</v>
      </c>
      <c r="G1535" s="198" t="s">
        <v>641</v>
      </c>
      <c r="H1535" s="172" t="n">
        <v>91178</v>
      </c>
      <c r="I1535" s="170" t="n">
        <v>34</v>
      </c>
      <c r="J1535" s="169" t="s">
        <v>192</v>
      </c>
      <c r="K1535" s="200" t="n">
        <v>45455.3333217593</v>
      </c>
      <c r="L1535" s="1" t="n">
        <v>1</v>
      </c>
      <c r="M1535" s="169" t="s">
        <v>192</v>
      </c>
      <c r="N1535" s="1" t="n">
        <v>1047</v>
      </c>
    </row>
    <row r="1536" customFormat="false" ht="14.25" hidden="false" customHeight="false" outlineLevel="0" collapsed="false">
      <c r="A1536" s="1" t="n">
        <v>280</v>
      </c>
      <c r="B1536" s="1" t="s">
        <v>565</v>
      </c>
      <c r="C1536" s="1" t="s">
        <v>566</v>
      </c>
      <c r="D1536" s="1" t="n">
        <v>11197</v>
      </c>
      <c r="E1536" s="1" t="s">
        <v>53</v>
      </c>
      <c r="F1536" s="198" t="n">
        <v>200025889154</v>
      </c>
      <c r="G1536" s="198" t="s">
        <v>641</v>
      </c>
      <c r="H1536" s="172" t="n">
        <v>91178</v>
      </c>
      <c r="I1536" s="170" t="n">
        <v>34</v>
      </c>
      <c r="J1536" s="169" t="s">
        <v>192</v>
      </c>
      <c r="K1536" s="199" t="n">
        <v>45455.4822106482</v>
      </c>
      <c r="L1536" s="1" t="n">
        <v>0</v>
      </c>
      <c r="M1536" s="169" t="s">
        <v>192</v>
      </c>
      <c r="N1536" s="1" t="n">
        <v>1048</v>
      </c>
    </row>
    <row r="1537" customFormat="false" ht="14.25" hidden="false" customHeight="false" outlineLevel="0" collapsed="false">
      <c r="A1537" s="1" t="n">
        <v>281</v>
      </c>
      <c r="B1537" s="1" t="s">
        <v>565</v>
      </c>
      <c r="C1537" s="1" t="s">
        <v>566</v>
      </c>
      <c r="D1537" s="1" t="n">
        <v>11197</v>
      </c>
      <c r="E1537" s="1" t="s">
        <v>53</v>
      </c>
      <c r="F1537" s="198" t="n">
        <v>200025889154</v>
      </c>
      <c r="G1537" s="198" t="s">
        <v>641</v>
      </c>
      <c r="H1537" s="172" t="n">
        <v>91178</v>
      </c>
      <c r="I1537" s="170" t="n">
        <v>34</v>
      </c>
      <c r="J1537" s="169" t="s">
        <v>192</v>
      </c>
      <c r="K1537" s="199" t="n">
        <v>45455.4822222222</v>
      </c>
      <c r="L1537" s="1" t="n">
        <v>0</v>
      </c>
      <c r="M1537" s="169" t="s">
        <v>192</v>
      </c>
      <c r="N1537" s="1" t="n">
        <v>1049</v>
      </c>
    </row>
    <row r="1538" customFormat="false" ht="14.25" hidden="false" customHeight="false" outlineLevel="0" collapsed="false">
      <c r="A1538" s="1" t="n">
        <v>282</v>
      </c>
      <c r="B1538" s="1" t="s">
        <v>565</v>
      </c>
      <c r="C1538" s="1" t="s">
        <v>566</v>
      </c>
      <c r="D1538" s="1" t="n">
        <v>11197</v>
      </c>
      <c r="E1538" s="1" t="s">
        <v>53</v>
      </c>
      <c r="F1538" s="198" t="n">
        <v>200025889154</v>
      </c>
      <c r="G1538" s="198" t="s">
        <v>641</v>
      </c>
      <c r="H1538" s="172" t="n">
        <v>91178</v>
      </c>
      <c r="I1538" s="170" t="n">
        <v>34</v>
      </c>
      <c r="J1538" s="169" t="s">
        <v>192</v>
      </c>
      <c r="K1538" s="199" t="n">
        <v>45455.4822222222</v>
      </c>
      <c r="L1538" s="1" t="n">
        <v>0</v>
      </c>
      <c r="M1538" s="169" t="s">
        <v>192</v>
      </c>
      <c r="N1538" s="1" t="n">
        <v>1050</v>
      </c>
    </row>
    <row r="1539" customFormat="false" ht="14.25" hidden="false" customHeight="false" outlineLevel="0" collapsed="false">
      <c r="A1539" s="1" t="n">
        <v>283</v>
      </c>
      <c r="B1539" s="1" t="s">
        <v>565</v>
      </c>
      <c r="C1539" s="1" t="s">
        <v>566</v>
      </c>
      <c r="D1539" s="1" t="n">
        <v>11197</v>
      </c>
      <c r="E1539" s="1" t="s">
        <v>53</v>
      </c>
      <c r="F1539" s="198" t="n">
        <v>200025889154</v>
      </c>
      <c r="G1539" s="198" t="s">
        <v>641</v>
      </c>
      <c r="H1539" s="172" t="n">
        <v>91178</v>
      </c>
      <c r="I1539" s="170" t="n">
        <v>34</v>
      </c>
      <c r="J1539" s="169" t="s">
        <v>192</v>
      </c>
      <c r="K1539" s="199" t="n">
        <v>45455.4822453704</v>
      </c>
      <c r="L1539" s="1" t="n">
        <v>1</v>
      </c>
      <c r="M1539" s="169" t="s">
        <v>192</v>
      </c>
      <c r="N1539" s="1" t="n">
        <v>1051</v>
      </c>
    </row>
    <row r="1540" customFormat="false" ht="14.25" hidden="false" customHeight="false" outlineLevel="0" collapsed="false">
      <c r="A1540" s="1" t="n">
        <v>284</v>
      </c>
      <c r="B1540" s="1" t="s">
        <v>565</v>
      </c>
      <c r="C1540" s="1" t="s">
        <v>566</v>
      </c>
      <c r="D1540" s="1" t="n">
        <v>11197</v>
      </c>
      <c r="E1540" s="1" t="s">
        <v>53</v>
      </c>
      <c r="F1540" s="198" t="n">
        <v>200025889154</v>
      </c>
      <c r="G1540" s="198" t="s">
        <v>641</v>
      </c>
      <c r="H1540" s="172" t="n">
        <v>91178</v>
      </c>
      <c r="I1540" s="170" t="n">
        <v>34</v>
      </c>
      <c r="J1540" s="169" t="s">
        <v>192</v>
      </c>
      <c r="K1540" s="199" t="n">
        <v>45455.4825810185</v>
      </c>
      <c r="L1540" s="1" t="n">
        <v>1</v>
      </c>
      <c r="M1540" s="169" t="s">
        <v>192</v>
      </c>
      <c r="N1540" s="1" t="n">
        <v>1052</v>
      </c>
    </row>
    <row r="1541" customFormat="false" ht="14.25" hidden="false" customHeight="false" outlineLevel="0" collapsed="false">
      <c r="A1541" s="1" t="n">
        <v>285</v>
      </c>
      <c r="B1541" s="1" t="s">
        <v>565</v>
      </c>
      <c r="C1541" s="1" t="s">
        <v>566</v>
      </c>
      <c r="D1541" s="1" t="n">
        <v>11197</v>
      </c>
      <c r="E1541" s="1" t="s">
        <v>53</v>
      </c>
      <c r="F1541" s="198" t="n">
        <v>200025889154</v>
      </c>
      <c r="G1541" s="198" t="s">
        <v>641</v>
      </c>
      <c r="H1541" s="172" t="n">
        <v>91178</v>
      </c>
      <c r="I1541" s="170" t="n">
        <v>34</v>
      </c>
      <c r="J1541" s="169" t="s">
        <v>192</v>
      </c>
      <c r="K1541" s="199" t="n">
        <v>45455.4955555556</v>
      </c>
      <c r="L1541" s="1" t="n">
        <v>1</v>
      </c>
      <c r="M1541" s="169" t="s">
        <v>192</v>
      </c>
      <c r="N1541" s="1" t="n">
        <v>1053</v>
      </c>
    </row>
    <row r="1542" customFormat="false" ht="14.25" hidden="false" customHeight="false" outlineLevel="0" collapsed="false">
      <c r="A1542" s="1" t="n">
        <v>59</v>
      </c>
      <c r="B1542" s="1" t="s">
        <v>637</v>
      </c>
      <c r="C1542" s="1" t="s">
        <v>638</v>
      </c>
      <c r="D1542" s="196" t="n">
        <v>2568</v>
      </c>
      <c r="E1542" s="196" t="s">
        <v>51</v>
      </c>
      <c r="F1542" s="198" t="n">
        <v>200025889159</v>
      </c>
      <c r="G1542" s="198" t="s">
        <v>639</v>
      </c>
      <c r="H1542" s="163" t="s">
        <v>513</v>
      </c>
      <c r="I1542" s="161" t="n">
        <v>111</v>
      </c>
      <c r="J1542" s="156" t="s">
        <v>192</v>
      </c>
      <c r="K1542" s="200" t="n">
        <v>45455.4956712963</v>
      </c>
      <c r="L1542" s="1" t="n">
        <v>1</v>
      </c>
      <c r="M1542" s="156" t="s">
        <v>192</v>
      </c>
      <c r="N1542" s="1" t="n">
        <v>1054</v>
      </c>
    </row>
    <row r="1543" customFormat="false" ht="14.25" hidden="false" customHeight="false" outlineLevel="0" collapsed="false">
      <c r="A1543" s="1" t="n">
        <v>60</v>
      </c>
      <c r="B1543" s="1" t="s">
        <v>637</v>
      </c>
      <c r="C1543" s="1" t="s">
        <v>638</v>
      </c>
      <c r="D1543" s="196" t="n">
        <v>2568</v>
      </c>
      <c r="E1543" s="196" t="s">
        <v>51</v>
      </c>
      <c r="F1543" s="198" t="n">
        <v>200025889159</v>
      </c>
      <c r="G1543" s="198" t="s">
        <v>639</v>
      </c>
      <c r="H1543" s="163" t="s">
        <v>513</v>
      </c>
      <c r="I1543" s="161" t="n">
        <v>111</v>
      </c>
      <c r="J1543" s="156" t="s">
        <v>192</v>
      </c>
      <c r="K1543" s="200" t="n">
        <v>45455.4956828704</v>
      </c>
      <c r="L1543" s="1" t="n">
        <v>0</v>
      </c>
      <c r="M1543" s="156" t="s">
        <v>192</v>
      </c>
      <c r="N1543" s="1" t="n">
        <v>1055</v>
      </c>
    </row>
    <row r="1544" customFormat="false" ht="14.25" hidden="false" customHeight="false" outlineLevel="0" collapsed="false">
      <c r="A1544" s="1" t="n">
        <v>286</v>
      </c>
      <c r="B1544" s="1" t="s">
        <v>565</v>
      </c>
      <c r="C1544" s="1" t="s">
        <v>566</v>
      </c>
      <c r="D1544" s="1" t="n">
        <v>11197</v>
      </c>
      <c r="E1544" s="1" t="s">
        <v>53</v>
      </c>
      <c r="F1544" s="198" t="n">
        <v>200025889154</v>
      </c>
      <c r="G1544" s="198" t="s">
        <v>641</v>
      </c>
      <c r="H1544" s="172" t="n">
        <v>91178</v>
      </c>
      <c r="I1544" s="170" t="n">
        <v>34</v>
      </c>
      <c r="J1544" s="169" t="s">
        <v>192</v>
      </c>
      <c r="K1544" s="199" t="n">
        <v>45455.4957407407</v>
      </c>
      <c r="L1544" s="1" t="n">
        <v>1</v>
      </c>
      <c r="M1544" s="169" t="s">
        <v>192</v>
      </c>
      <c r="N1544" s="1" t="n">
        <v>1056</v>
      </c>
    </row>
    <row r="1545" customFormat="false" ht="14.25" hidden="false" customHeight="false" outlineLevel="0" collapsed="false">
      <c r="A1545" s="1" t="n">
        <v>61</v>
      </c>
      <c r="B1545" s="1" t="s">
        <v>637</v>
      </c>
      <c r="C1545" s="1" t="s">
        <v>638</v>
      </c>
      <c r="D1545" s="196" t="n">
        <v>2568</v>
      </c>
      <c r="E1545" s="196" t="s">
        <v>51</v>
      </c>
      <c r="F1545" s="198" t="n">
        <v>200025888479</v>
      </c>
      <c r="G1545" s="198" t="s">
        <v>640</v>
      </c>
      <c r="H1545" s="163" t="s">
        <v>254</v>
      </c>
      <c r="I1545" s="161" t="n">
        <v>9</v>
      </c>
      <c r="J1545" s="156" t="s">
        <v>192</v>
      </c>
      <c r="K1545" s="200" t="n">
        <v>45455.547650463</v>
      </c>
      <c r="L1545" s="10" t="n">
        <v>2630</v>
      </c>
      <c r="M1545" s="156" t="s">
        <v>192</v>
      </c>
      <c r="N1545" s="1" t="n">
        <v>1057</v>
      </c>
    </row>
    <row r="1546" customFormat="false" ht="14.25" hidden="false" customHeight="false" outlineLevel="0" collapsed="false">
      <c r="A1546" s="1" t="n">
        <v>287</v>
      </c>
      <c r="B1546" s="1" t="s">
        <v>565</v>
      </c>
      <c r="C1546" s="1" t="s">
        <v>566</v>
      </c>
      <c r="D1546" s="1" t="n">
        <v>11197</v>
      </c>
      <c r="E1546" s="1" t="s">
        <v>53</v>
      </c>
      <c r="F1546" s="198" t="n">
        <v>200025889127</v>
      </c>
      <c r="G1546" s="198" t="s">
        <v>692</v>
      </c>
      <c r="H1546" s="163" t="s">
        <v>507</v>
      </c>
      <c r="I1546" s="161" t="n">
        <v>86</v>
      </c>
      <c r="J1546" s="156" t="s">
        <v>192</v>
      </c>
      <c r="K1546" s="199" t="n">
        <v>45455.5493634259</v>
      </c>
      <c r="L1546" s="1" t="n">
        <v>1</v>
      </c>
      <c r="M1546" s="156" t="s">
        <v>192</v>
      </c>
      <c r="N1546" s="1" t="n">
        <v>1058</v>
      </c>
    </row>
    <row r="1547" customFormat="false" ht="14.25" hidden="false" customHeight="false" outlineLevel="0" collapsed="false">
      <c r="A1547" s="1" t="n">
        <v>288</v>
      </c>
      <c r="B1547" s="1" t="s">
        <v>565</v>
      </c>
      <c r="C1547" s="1" t="s">
        <v>566</v>
      </c>
      <c r="D1547" s="1" t="n">
        <v>11197</v>
      </c>
      <c r="E1547" s="1" t="s">
        <v>53</v>
      </c>
      <c r="F1547" s="198" t="n">
        <v>200025889154</v>
      </c>
      <c r="G1547" s="198" t="s">
        <v>641</v>
      </c>
      <c r="H1547" s="172" t="n">
        <v>91178</v>
      </c>
      <c r="I1547" s="170" t="n">
        <v>34</v>
      </c>
      <c r="J1547" s="169" t="s">
        <v>192</v>
      </c>
      <c r="K1547" s="199" t="n">
        <v>45455.5987847222</v>
      </c>
      <c r="L1547" s="10" t="n">
        <v>92</v>
      </c>
      <c r="M1547" s="169" t="s">
        <v>192</v>
      </c>
      <c r="N1547" s="1" t="n">
        <v>1059</v>
      </c>
    </row>
    <row r="1548" customFormat="false" ht="14.25" hidden="false" customHeight="false" outlineLevel="0" collapsed="false">
      <c r="A1548" s="1" t="n">
        <v>289</v>
      </c>
      <c r="B1548" s="1" t="s">
        <v>565</v>
      </c>
      <c r="C1548" s="1" t="s">
        <v>566</v>
      </c>
      <c r="D1548" s="1" t="n">
        <v>11197</v>
      </c>
      <c r="E1548" s="1" t="s">
        <v>53</v>
      </c>
      <c r="F1548" s="198" t="n">
        <v>200025889154</v>
      </c>
      <c r="G1548" s="198" t="s">
        <v>641</v>
      </c>
      <c r="H1548" s="172" t="n">
        <v>91178</v>
      </c>
      <c r="I1548" s="170" t="n">
        <v>34</v>
      </c>
      <c r="J1548" s="169" t="s">
        <v>192</v>
      </c>
      <c r="K1548" s="199" t="n">
        <v>45455.599849537</v>
      </c>
      <c r="L1548" s="1" t="n">
        <v>0</v>
      </c>
      <c r="M1548" s="169" t="s">
        <v>192</v>
      </c>
      <c r="N1548" s="1" t="n">
        <v>1060</v>
      </c>
    </row>
    <row r="1549" customFormat="false" ht="14.25" hidden="false" customHeight="false" outlineLevel="0" collapsed="false">
      <c r="A1549" s="1" t="n">
        <v>290</v>
      </c>
      <c r="B1549" s="1" t="s">
        <v>565</v>
      </c>
      <c r="C1549" s="1" t="s">
        <v>566</v>
      </c>
      <c r="D1549" s="1" t="n">
        <v>11197</v>
      </c>
      <c r="E1549" s="1" t="s">
        <v>53</v>
      </c>
      <c r="F1549" s="198" t="n">
        <v>200025889154</v>
      </c>
      <c r="G1549" s="198" t="s">
        <v>641</v>
      </c>
      <c r="H1549" s="172" t="n">
        <v>91178</v>
      </c>
      <c r="I1549" s="170" t="n">
        <v>34</v>
      </c>
      <c r="J1549" s="169" t="s">
        <v>192</v>
      </c>
      <c r="K1549" s="199" t="n">
        <v>45455.5998611111</v>
      </c>
      <c r="L1549" s="1" t="n">
        <v>0</v>
      </c>
      <c r="M1549" s="169" t="s">
        <v>192</v>
      </c>
      <c r="N1549" s="1" t="n">
        <v>1061</v>
      </c>
    </row>
    <row r="1550" customFormat="false" ht="14.25" hidden="false" customHeight="false" outlineLevel="0" collapsed="false">
      <c r="A1550" s="1" t="n">
        <v>291</v>
      </c>
      <c r="B1550" s="1" t="s">
        <v>565</v>
      </c>
      <c r="C1550" s="1" t="s">
        <v>566</v>
      </c>
      <c r="D1550" s="1" t="n">
        <v>11197</v>
      </c>
      <c r="E1550" s="1" t="s">
        <v>53</v>
      </c>
      <c r="F1550" s="198" t="n">
        <v>200025889154</v>
      </c>
      <c r="G1550" s="198" t="s">
        <v>641</v>
      </c>
      <c r="H1550" s="172" t="n">
        <v>91178</v>
      </c>
      <c r="I1550" s="170" t="n">
        <v>34</v>
      </c>
      <c r="J1550" s="169" t="s">
        <v>192</v>
      </c>
      <c r="K1550" s="199" t="n">
        <v>45455.5998611111</v>
      </c>
      <c r="L1550" s="1" t="n">
        <v>3</v>
      </c>
      <c r="M1550" s="169" t="s">
        <v>192</v>
      </c>
      <c r="N1550" s="1" t="n">
        <v>1062</v>
      </c>
    </row>
    <row r="1551" customFormat="false" ht="14.25" hidden="false" customHeight="false" outlineLevel="0" collapsed="false">
      <c r="A1551" s="1" t="n">
        <v>292</v>
      </c>
      <c r="B1551" s="1" t="s">
        <v>565</v>
      </c>
      <c r="C1551" s="1" t="s">
        <v>566</v>
      </c>
      <c r="D1551" s="1" t="n">
        <v>11197</v>
      </c>
      <c r="E1551" s="1" t="s">
        <v>53</v>
      </c>
      <c r="F1551" s="198" t="n">
        <v>200025889154</v>
      </c>
      <c r="G1551" s="198" t="s">
        <v>641</v>
      </c>
      <c r="H1551" s="172" t="n">
        <v>91178</v>
      </c>
      <c r="I1551" s="170" t="n">
        <v>34</v>
      </c>
      <c r="J1551" s="169" t="s">
        <v>192</v>
      </c>
      <c r="K1551" s="199" t="n">
        <v>45455.6035069445</v>
      </c>
      <c r="L1551" s="1" t="n">
        <v>1</v>
      </c>
      <c r="M1551" s="169" t="s">
        <v>192</v>
      </c>
      <c r="N1551" s="1" t="n">
        <v>1063</v>
      </c>
    </row>
    <row r="1552" customFormat="false" ht="14.25" hidden="false" customHeight="false" outlineLevel="0" collapsed="false">
      <c r="A1552" s="1" t="n">
        <v>62</v>
      </c>
      <c r="B1552" s="1" t="s">
        <v>637</v>
      </c>
      <c r="C1552" s="1" t="s">
        <v>638</v>
      </c>
      <c r="D1552" s="196" t="n">
        <v>2568</v>
      </c>
      <c r="E1552" s="196" t="s">
        <v>51</v>
      </c>
      <c r="F1552" s="198" t="n">
        <v>200025889154</v>
      </c>
      <c r="G1552" s="198" t="s">
        <v>641</v>
      </c>
      <c r="H1552" s="172" t="n">
        <v>91178</v>
      </c>
      <c r="I1552" s="170" t="n">
        <v>34</v>
      </c>
      <c r="J1552" s="169" t="s">
        <v>192</v>
      </c>
      <c r="K1552" s="200" t="n">
        <v>45455.6119328704</v>
      </c>
      <c r="L1552" s="1" t="n">
        <v>0</v>
      </c>
      <c r="M1552" s="169" t="s">
        <v>192</v>
      </c>
      <c r="N1552" s="1" t="n">
        <v>1064</v>
      </c>
    </row>
    <row r="1553" customFormat="false" ht="14.25" hidden="false" customHeight="false" outlineLevel="0" collapsed="false">
      <c r="A1553" s="1" t="n">
        <v>63</v>
      </c>
      <c r="B1553" s="1" t="s">
        <v>637</v>
      </c>
      <c r="C1553" s="1" t="s">
        <v>638</v>
      </c>
      <c r="D1553" s="196" t="n">
        <v>2568</v>
      </c>
      <c r="E1553" s="196" t="s">
        <v>51</v>
      </c>
      <c r="F1553" s="198" t="n">
        <v>200025889154</v>
      </c>
      <c r="G1553" s="198" t="s">
        <v>641</v>
      </c>
      <c r="H1553" s="172" t="n">
        <v>91178</v>
      </c>
      <c r="I1553" s="170" t="n">
        <v>34</v>
      </c>
      <c r="J1553" s="169" t="s">
        <v>192</v>
      </c>
      <c r="K1553" s="200" t="n">
        <v>45455.6119444444</v>
      </c>
      <c r="L1553" s="1" t="n">
        <v>1</v>
      </c>
      <c r="M1553" s="169" t="s">
        <v>192</v>
      </c>
      <c r="N1553" s="1" t="n">
        <v>1065</v>
      </c>
    </row>
    <row r="1554" customFormat="false" ht="14.25" hidden="false" customHeight="false" outlineLevel="0" collapsed="false">
      <c r="A1554" s="1" t="n">
        <v>64</v>
      </c>
      <c r="B1554" s="1" t="s">
        <v>637</v>
      </c>
      <c r="C1554" s="1" t="s">
        <v>638</v>
      </c>
      <c r="D1554" s="196" t="n">
        <v>2568</v>
      </c>
      <c r="E1554" s="196" t="s">
        <v>51</v>
      </c>
      <c r="F1554" s="198" t="n">
        <v>200025889154</v>
      </c>
      <c r="G1554" s="198" t="s">
        <v>641</v>
      </c>
      <c r="H1554" s="172" t="n">
        <v>91178</v>
      </c>
      <c r="I1554" s="170" t="n">
        <v>34</v>
      </c>
      <c r="J1554" s="169" t="s">
        <v>192</v>
      </c>
      <c r="K1554" s="200" t="n">
        <v>45455.6121064815</v>
      </c>
      <c r="L1554" s="1" t="n">
        <v>2</v>
      </c>
      <c r="M1554" s="169" t="s">
        <v>192</v>
      </c>
      <c r="N1554" s="1" t="n">
        <v>1066</v>
      </c>
    </row>
    <row r="1555" customFormat="false" ht="14.25" hidden="false" customHeight="false" outlineLevel="0" collapsed="false">
      <c r="A1555" s="1" t="n">
        <v>65</v>
      </c>
      <c r="B1555" s="1" t="s">
        <v>637</v>
      </c>
      <c r="C1555" s="1" t="s">
        <v>638</v>
      </c>
      <c r="D1555" s="196" t="n">
        <v>2568</v>
      </c>
      <c r="E1555" s="196" t="s">
        <v>51</v>
      </c>
      <c r="F1555" s="198" t="n">
        <v>200025889154</v>
      </c>
      <c r="G1555" s="198" t="s">
        <v>641</v>
      </c>
      <c r="H1555" s="172" t="n">
        <v>91178</v>
      </c>
      <c r="I1555" s="170" t="n">
        <v>34</v>
      </c>
      <c r="J1555" s="169" t="s">
        <v>192</v>
      </c>
      <c r="K1555" s="200" t="n">
        <v>45455.6122685185</v>
      </c>
      <c r="L1555" s="1" t="n">
        <v>0</v>
      </c>
      <c r="M1555" s="169" t="s">
        <v>192</v>
      </c>
      <c r="N1555" s="1" t="n">
        <v>1067</v>
      </c>
    </row>
    <row r="1556" customFormat="false" ht="14.25" hidden="false" customHeight="false" outlineLevel="0" collapsed="false">
      <c r="A1556" s="1" t="n">
        <v>66</v>
      </c>
      <c r="B1556" s="1" t="s">
        <v>637</v>
      </c>
      <c r="C1556" s="1" t="s">
        <v>638</v>
      </c>
      <c r="D1556" s="196" t="n">
        <v>2568</v>
      </c>
      <c r="E1556" s="196" t="s">
        <v>51</v>
      </c>
      <c r="F1556" s="198" t="n">
        <v>200025889154</v>
      </c>
      <c r="G1556" s="198" t="s">
        <v>641</v>
      </c>
      <c r="H1556" s="172" t="n">
        <v>91178</v>
      </c>
      <c r="I1556" s="170" t="n">
        <v>34</v>
      </c>
      <c r="J1556" s="169" t="s">
        <v>192</v>
      </c>
      <c r="K1556" s="200" t="n">
        <v>45455.612349537</v>
      </c>
      <c r="L1556" s="1" t="n">
        <v>3</v>
      </c>
      <c r="M1556" s="169" t="s">
        <v>192</v>
      </c>
      <c r="N1556" s="1" t="n">
        <v>1068</v>
      </c>
    </row>
    <row r="1557" customFormat="false" ht="14.25" hidden="false" customHeight="false" outlineLevel="0" collapsed="false">
      <c r="A1557" s="1" t="n">
        <v>67</v>
      </c>
      <c r="B1557" s="1" t="s">
        <v>637</v>
      </c>
      <c r="C1557" s="1" t="s">
        <v>638</v>
      </c>
      <c r="D1557" s="196" t="n">
        <v>2568</v>
      </c>
      <c r="E1557" s="196" t="s">
        <v>51</v>
      </c>
      <c r="F1557" s="198" t="n">
        <v>200025889154</v>
      </c>
      <c r="G1557" s="198" t="s">
        <v>641</v>
      </c>
      <c r="H1557" s="172" t="n">
        <v>91178</v>
      </c>
      <c r="I1557" s="170" t="n">
        <v>34</v>
      </c>
      <c r="J1557" s="169" t="s">
        <v>192</v>
      </c>
      <c r="K1557" s="200" t="n">
        <v>45455.6124421296</v>
      </c>
      <c r="L1557" s="1" t="n">
        <v>1</v>
      </c>
      <c r="M1557" s="169" t="s">
        <v>192</v>
      </c>
      <c r="N1557" s="1" t="n">
        <v>1069</v>
      </c>
    </row>
    <row r="1558" customFormat="false" ht="14.25" hidden="false" customHeight="false" outlineLevel="0" collapsed="false">
      <c r="A1558" s="1" t="n">
        <v>68</v>
      </c>
      <c r="B1558" s="1" t="s">
        <v>637</v>
      </c>
      <c r="C1558" s="1" t="s">
        <v>638</v>
      </c>
      <c r="D1558" s="196" t="n">
        <v>2568</v>
      </c>
      <c r="E1558" s="196" t="s">
        <v>51</v>
      </c>
      <c r="F1558" s="198" t="n">
        <v>200025889154</v>
      </c>
      <c r="G1558" s="198" t="s">
        <v>641</v>
      </c>
      <c r="H1558" s="172" t="n">
        <v>91178</v>
      </c>
      <c r="I1558" s="170" t="n">
        <v>34</v>
      </c>
      <c r="J1558" s="169" t="s">
        <v>192</v>
      </c>
      <c r="K1558" s="200" t="n">
        <v>45455.6127199074</v>
      </c>
      <c r="L1558" s="1" t="n">
        <v>1</v>
      </c>
      <c r="M1558" s="169" t="s">
        <v>192</v>
      </c>
      <c r="N1558" s="1" t="n">
        <v>1070</v>
      </c>
    </row>
    <row r="1559" customFormat="false" ht="14.25" hidden="false" customHeight="false" outlineLevel="0" collapsed="false">
      <c r="A1559" s="1" t="n">
        <v>69</v>
      </c>
      <c r="B1559" s="1" t="s">
        <v>637</v>
      </c>
      <c r="C1559" s="1" t="s">
        <v>638</v>
      </c>
      <c r="D1559" s="196" t="n">
        <v>2568</v>
      </c>
      <c r="E1559" s="196" t="s">
        <v>51</v>
      </c>
      <c r="F1559" s="198" t="n">
        <v>200025889154</v>
      </c>
      <c r="G1559" s="198" t="s">
        <v>641</v>
      </c>
      <c r="H1559" s="172" t="n">
        <v>91178</v>
      </c>
      <c r="I1559" s="170" t="n">
        <v>34</v>
      </c>
      <c r="J1559" s="169" t="s">
        <v>192</v>
      </c>
      <c r="K1559" s="200" t="n">
        <v>45455.6233449074</v>
      </c>
      <c r="L1559" s="1" t="n">
        <v>1</v>
      </c>
      <c r="M1559" s="169" t="s">
        <v>192</v>
      </c>
      <c r="N1559" s="1" t="n">
        <v>1071</v>
      </c>
    </row>
    <row r="1560" customFormat="false" ht="14.25" hidden="false" customHeight="false" outlineLevel="0" collapsed="false">
      <c r="A1560" s="1" t="n">
        <v>70</v>
      </c>
      <c r="B1560" s="1" t="s">
        <v>637</v>
      </c>
      <c r="C1560" s="1" t="s">
        <v>638</v>
      </c>
      <c r="D1560" s="196" t="n">
        <v>2568</v>
      </c>
      <c r="E1560" s="196" t="s">
        <v>51</v>
      </c>
      <c r="F1560" s="201" t="n">
        <v>200025889154</v>
      </c>
      <c r="G1560" s="198" t="s">
        <v>641</v>
      </c>
      <c r="H1560" s="172" t="n">
        <v>91178</v>
      </c>
      <c r="I1560" s="170" t="n">
        <v>34</v>
      </c>
      <c r="J1560" s="169" t="s">
        <v>192</v>
      </c>
      <c r="K1560" s="200" t="n">
        <v>45455.6233680556</v>
      </c>
      <c r="L1560" s="1" t="n">
        <v>46</v>
      </c>
      <c r="M1560" s="169" t="s">
        <v>192</v>
      </c>
      <c r="N1560" s="1" t="n">
        <v>1072</v>
      </c>
    </row>
    <row r="1561" customFormat="false" ht="14.25" hidden="false" customHeight="false" outlineLevel="0" collapsed="false">
      <c r="A1561" s="1" t="n">
        <v>49</v>
      </c>
      <c r="B1561" s="1" t="s">
        <v>643</v>
      </c>
      <c r="C1561" s="1" t="s">
        <v>644</v>
      </c>
      <c r="D1561" s="1" t="n">
        <v>11171</v>
      </c>
      <c r="E1561" s="1" t="s">
        <v>55</v>
      </c>
      <c r="F1561" s="201" t="n">
        <v>200025889154</v>
      </c>
      <c r="G1561" s="198" t="s">
        <v>641</v>
      </c>
      <c r="H1561" s="172" t="n">
        <v>91178</v>
      </c>
      <c r="I1561" s="170" t="n">
        <v>34</v>
      </c>
      <c r="J1561" s="169" t="s">
        <v>192</v>
      </c>
      <c r="K1561" s="200" t="n">
        <v>45456.4455208333</v>
      </c>
      <c r="L1561" s="1" t="n">
        <v>0</v>
      </c>
      <c r="M1561" s="169" t="s">
        <v>192</v>
      </c>
      <c r="N1561" s="1" t="n">
        <v>1073</v>
      </c>
    </row>
    <row r="1562" customFormat="false" ht="14.25" hidden="false" customHeight="false" outlineLevel="0" collapsed="false">
      <c r="A1562" s="1" t="n">
        <v>50</v>
      </c>
      <c r="B1562" s="1" t="s">
        <v>643</v>
      </c>
      <c r="C1562" s="1" t="s">
        <v>644</v>
      </c>
      <c r="D1562" s="1" t="n">
        <v>11171</v>
      </c>
      <c r="E1562" s="1" t="s">
        <v>55</v>
      </c>
      <c r="F1562" s="201" t="n">
        <v>200025889154</v>
      </c>
      <c r="G1562" s="198" t="s">
        <v>641</v>
      </c>
      <c r="H1562" s="172" t="n">
        <v>91178</v>
      </c>
      <c r="I1562" s="170" t="n">
        <v>34</v>
      </c>
      <c r="J1562" s="169" t="s">
        <v>192</v>
      </c>
      <c r="K1562" s="200" t="n">
        <v>45456.4474305556</v>
      </c>
      <c r="L1562" s="1" t="n">
        <v>0</v>
      </c>
      <c r="M1562" s="169" t="s">
        <v>192</v>
      </c>
      <c r="N1562" s="1" t="n">
        <v>1074</v>
      </c>
    </row>
    <row r="1563" customFormat="false" ht="14.25" hidden="false" customHeight="false" outlineLevel="0" collapsed="false">
      <c r="A1563" s="1" t="n">
        <v>51</v>
      </c>
      <c r="B1563" s="1" t="s">
        <v>643</v>
      </c>
      <c r="C1563" s="1" t="s">
        <v>644</v>
      </c>
      <c r="D1563" s="1" t="n">
        <v>11171</v>
      </c>
      <c r="E1563" s="1" t="s">
        <v>55</v>
      </c>
      <c r="F1563" s="201" t="n">
        <v>200025888828</v>
      </c>
      <c r="G1563" s="198" t="s">
        <v>606</v>
      </c>
      <c r="H1563" s="163" t="s">
        <v>456</v>
      </c>
      <c r="I1563" s="161" t="n">
        <v>113</v>
      </c>
      <c r="J1563" s="156" t="s">
        <v>192</v>
      </c>
      <c r="K1563" s="200" t="n">
        <v>45456.4601041667</v>
      </c>
      <c r="L1563" s="1" t="n">
        <v>0</v>
      </c>
      <c r="M1563" s="156" t="s">
        <v>192</v>
      </c>
      <c r="N1563" s="1" t="n">
        <v>1075</v>
      </c>
    </row>
    <row r="1564" customFormat="false" ht="14.25" hidden="false" customHeight="false" outlineLevel="0" collapsed="false">
      <c r="A1564" s="1" t="n">
        <v>52</v>
      </c>
      <c r="B1564" s="1" t="s">
        <v>643</v>
      </c>
      <c r="C1564" s="1" t="s">
        <v>644</v>
      </c>
      <c r="D1564" s="1" t="n">
        <v>11171</v>
      </c>
      <c r="E1564" s="1" t="s">
        <v>55</v>
      </c>
      <c r="F1564" s="201" t="n">
        <v>200025889154</v>
      </c>
      <c r="G1564" s="198" t="s">
        <v>641</v>
      </c>
      <c r="H1564" s="172" t="n">
        <v>91178</v>
      </c>
      <c r="I1564" s="170" t="n">
        <v>34</v>
      </c>
      <c r="J1564" s="169" t="s">
        <v>192</v>
      </c>
      <c r="K1564" s="200" t="n">
        <v>45456.4608680556</v>
      </c>
      <c r="L1564" s="1" t="n">
        <v>0</v>
      </c>
      <c r="M1564" s="169" t="s">
        <v>192</v>
      </c>
      <c r="N1564" s="1" t="n">
        <v>1076</v>
      </c>
    </row>
    <row r="1565" customFormat="false" ht="14.25" hidden="false" customHeight="false" outlineLevel="0" collapsed="false">
      <c r="A1565" s="1" t="n">
        <v>53</v>
      </c>
      <c r="B1565" s="1" t="s">
        <v>643</v>
      </c>
      <c r="C1565" s="1" t="s">
        <v>644</v>
      </c>
      <c r="D1565" s="1" t="n">
        <v>11171</v>
      </c>
      <c r="E1565" s="1" t="s">
        <v>55</v>
      </c>
      <c r="F1565" s="201" t="n">
        <v>200025889248</v>
      </c>
      <c r="G1565" s="198" t="s">
        <v>691</v>
      </c>
      <c r="H1565" s="163" t="s">
        <v>531</v>
      </c>
      <c r="I1565" s="161" t="n">
        <v>95</v>
      </c>
      <c r="J1565" s="156" t="s">
        <v>192</v>
      </c>
      <c r="K1565" s="200" t="n">
        <v>45456.5360300926</v>
      </c>
      <c r="L1565" s="1" t="n">
        <v>0</v>
      </c>
      <c r="M1565" s="156" t="s">
        <v>192</v>
      </c>
      <c r="N1565" s="1" t="n">
        <v>1077</v>
      </c>
    </row>
    <row r="1566" customFormat="false" ht="14.25" hidden="false" customHeight="false" outlineLevel="0" collapsed="false">
      <c r="A1566" s="1" t="n">
        <v>54</v>
      </c>
      <c r="B1566" s="1" t="s">
        <v>643</v>
      </c>
      <c r="C1566" s="1" t="s">
        <v>644</v>
      </c>
      <c r="D1566" s="1" t="n">
        <v>11171</v>
      </c>
      <c r="E1566" s="1" t="s">
        <v>55</v>
      </c>
      <c r="F1566" s="201" t="n">
        <v>200025889127</v>
      </c>
      <c r="G1566" s="198" t="s">
        <v>692</v>
      </c>
      <c r="H1566" s="163" t="s">
        <v>507</v>
      </c>
      <c r="I1566" s="161" t="n">
        <v>86</v>
      </c>
      <c r="J1566" s="156" t="s">
        <v>192</v>
      </c>
      <c r="K1566" s="200" t="n">
        <v>45456.6231018519</v>
      </c>
      <c r="L1566" s="1" t="n">
        <v>1</v>
      </c>
      <c r="M1566" s="156" t="s">
        <v>192</v>
      </c>
      <c r="N1566" s="1" t="n">
        <v>1078</v>
      </c>
    </row>
    <row r="1567" customFormat="false" ht="14.25" hidden="false" customHeight="false" outlineLevel="0" collapsed="false">
      <c r="A1567" s="1" t="n">
        <v>71</v>
      </c>
      <c r="B1567" s="1" t="s">
        <v>637</v>
      </c>
      <c r="C1567" s="1" t="s">
        <v>638</v>
      </c>
      <c r="D1567" s="196" t="n">
        <v>2568</v>
      </c>
      <c r="E1567" s="196" t="s">
        <v>51</v>
      </c>
      <c r="F1567" s="201" t="n">
        <v>200025889770</v>
      </c>
      <c r="G1567" s="198" t="s">
        <v>642</v>
      </c>
      <c r="H1567" s="163" t="s">
        <v>501</v>
      </c>
      <c r="I1567" s="161" t="n">
        <v>77</v>
      </c>
      <c r="J1567" s="156" t="s">
        <v>192</v>
      </c>
      <c r="K1567" s="200" t="n">
        <v>45457.0119675926</v>
      </c>
      <c r="L1567" s="1" t="n">
        <v>2</v>
      </c>
      <c r="M1567" s="156" t="s">
        <v>192</v>
      </c>
      <c r="N1567" s="1" t="n">
        <v>1079</v>
      </c>
    </row>
    <row r="1568" customFormat="false" ht="14.25" hidden="false" customHeight="false" outlineLevel="0" collapsed="false">
      <c r="A1568" s="1" t="n">
        <v>72</v>
      </c>
      <c r="B1568" s="1" t="s">
        <v>637</v>
      </c>
      <c r="C1568" s="1" t="s">
        <v>638</v>
      </c>
      <c r="D1568" s="196" t="n">
        <v>2568</v>
      </c>
      <c r="E1568" s="196" t="s">
        <v>51</v>
      </c>
      <c r="F1568" s="201" t="n">
        <v>200025889770</v>
      </c>
      <c r="G1568" s="198" t="s">
        <v>642</v>
      </c>
      <c r="H1568" s="163" t="s">
        <v>501</v>
      </c>
      <c r="I1568" s="161" t="n">
        <v>77</v>
      </c>
      <c r="J1568" s="156" t="s">
        <v>192</v>
      </c>
      <c r="K1568" s="200" t="n">
        <v>45457.0119907407</v>
      </c>
      <c r="L1568" s="1" t="n">
        <v>1</v>
      </c>
      <c r="M1568" s="156" t="s">
        <v>192</v>
      </c>
      <c r="N1568" s="1" t="n">
        <v>1080</v>
      </c>
    </row>
    <row r="1569" customFormat="false" ht="14.25" hidden="false" customHeight="false" outlineLevel="0" collapsed="false">
      <c r="A1569" s="1" t="n">
        <v>73</v>
      </c>
      <c r="B1569" s="1" t="s">
        <v>637</v>
      </c>
      <c r="C1569" s="1" t="s">
        <v>638</v>
      </c>
      <c r="D1569" s="196" t="n">
        <v>2568</v>
      </c>
      <c r="E1569" s="196" t="s">
        <v>51</v>
      </c>
      <c r="F1569" s="201" t="n">
        <v>200025889770</v>
      </c>
      <c r="G1569" s="198" t="s">
        <v>642</v>
      </c>
      <c r="H1569" s="163" t="s">
        <v>501</v>
      </c>
      <c r="I1569" s="161" t="n">
        <v>77</v>
      </c>
      <c r="J1569" s="156" t="s">
        <v>192</v>
      </c>
      <c r="K1569" s="200" t="n">
        <v>45457.0201157407</v>
      </c>
      <c r="L1569" s="1" t="n">
        <v>2</v>
      </c>
      <c r="M1569" s="156" t="s">
        <v>192</v>
      </c>
      <c r="N1569" s="1" t="n">
        <v>1081</v>
      </c>
    </row>
    <row r="1570" customFormat="false" ht="14.25" hidden="false" customHeight="false" outlineLevel="0" collapsed="false">
      <c r="A1570" s="1" t="n">
        <v>74</v>
      </c>
      <c r="B1570" s="1" t="s">
        <v>637</v>
      </c>
      <c r="C1570" s="1" t="s">
        <v>638</v>
      </c>
      <c r="D1570" s="196" t="n">
        <v>2568</v>
      </c>
      <c r="E1570" s="196" t="s">
        <v>51</v>
      </c>
      <c r="F1570" s="201" t="n">
        <v>200025889770</v>
      </c>
      <c r="G1570" s="198" t="s">
        <v>642</v>
      </c>
      <c r="H1570" s="163" t="s">
        <v>501</v>
      </c>
      <c r="I1570" s="161" t="n">
        <v>77</v>
      </c>
      <c r="J1570" s="156" t="s">
        <v>192</v>
      </c>
      <c r="K1570" s="200" t="n">
        <v>45457.0443865741</v>
      </c>
      <c r="L1570" s="1" t="n">
        <v>2</v>
      </c>
      <c r="M1570" s="156" t="s">
        <v>192</v>
      </c>
      <c r="N1570" s="1" t="n">
        <v>1082</v>
      </c>
    </row>
    <row r="1571" customFormat="false" ht="14.25" hidden="false" customHeight="false" outlineLevel="0" collapsed="false">
      <c r="A1571" s="1" t="n">
        <v>75</v>
      </c>
      <c r="B1571" s="1" t="s">
        <v>637</v>
      </c>
      <c r="C1571" s="1" t="s">
        <v>638</v>
      </c>
      <c r="D1571" s="196" t="n">
        <v>2568</v>
      </c>
      <c r="E1571" s="196" t="s">
        <v>51</v>
      </c>
      <c r="F1571" s="201" t="n">
        <v>200025889770</v>
      </c>
      <c r="G1571" s="198" t="s">
        <v>642</v>
      </c>
      <c r="H1571" s="163" t="s">
        <v>501</v>
      </c>
      <c r="I1571" s="161" t="n">
        <v>77</v>
      </c>
      <c r="J1571" s="156" t="s">
        <v>192</v>
      </c>
      <c r="K1571" s="200" t="n">
        <v>45457.0446990741</v>
      </c>
      <c r="L1571" s="1" t="n">
        <v>3</v>
      </c>
      <c r="M1571" s="156" t="s">
        <v>192</v>
      </c>
      <c r="N1571" s="1" t="n">
        <v>1083</v>
      </c>
    </row>
    <row r="1572" customFormat="false" ht="14.25" hidden="false" customHeight="false" outlineLevel="0" collapsed="false">
      <c r="A1572" s="1" t="n">
        <v>76</v>
      </c>
      <c r="B1572" s="1" t="s">
        <v>637</v>
      </c>
      <c r="C1572" s="1" t="s">
        <v>638</v>
      </c>
      <c r="D1572" s="196" t="n">
        <v>2568</v>
      </c>
      <c r="E1572" s="196" t="s">
        <v>51</v>
      </c>
      <c r="F1572" s="201" t="n">
        <v>200025889770</v>
      </c>
      <c r="G1572" s="198" t="s">
        <v>642</v>
      </c>
      <c r="H1572" s="163" t="s">
        <v>501</v>
      </c>
      <c r="I1572" s="161" t="n">
        <v>77</v>
      </c>
      <c r="J1572" s="156" t="s">
        <v>192</v>
      </c>
      <c r="K1572" s="200" t="n">
        <v>45457.0582638889</v>
      </c>
      <c r="L1572" s="1" t="n">
        <v>1</v>
      </c>
      <c r="M1572" s="156" t="s">
        <v>192</v>
      </c>
      <c r="N1572" s="1" t="n">
        <v>1084</v>
      </c>
    </row>
    <row r="1573" customFormat="false" ht="14.25" hidden="false" customHeight="false" outlineLevel="0" collapsed="false">
      <c r="A1573" s="1" t="n">
        <v>77</v>
      </c>
      <c r="B1573" s="1" t="s">
        <v>637</v>
      </c>
      <c r="C1573" s="1" t="s">
        <v>638</v>
      </c>
      <c r="D1573" s="196" t="n">
        <v>2568</v>
      </c>
      <c r="E1573" s="196" t="s">
        <v>51</v>
      </c>
      <c r="F1573" s="201" t="n">
        <v>200025889770</v>
      </c>
      <c r="G1573" s="198" t="s">
        <v>642</v>
      </c>
      <c r="H1573" s="163" t="s">
        <v>501</v>
      </c>
      <c r="I1573" s="161" t="n">
        <v>77</v>
      </c>
      <c r="J1573" s="156" t="s">
        <v>192</v>
      </c>
      <c r="K1573" s="200" t="n">
        <v>45457.058275463</v>
      </c>
      <c r="L1573" s="1" t="n">
        <v>0</v>
      </c>
      <c r="M1573" s="156" t="s">
        <v>192</v>
      </c>
      <c r="N1573" s="1" t="n">
        <v>1085</v>
      </c>
    </row>
    <row r="1574" customFormat="false" ht="14.25" hidden="false" customHeight="false" outlineLevel="0" collapsed="false">
      <c r="A1574" s="1" t="n">
        <v>78</v>
      </c>
      <c r="B1574" s="1" t="s">
        <v>637</v>
      </c>
      <c r="C1574" s="1" t="s">
        <v>638</v>
      </c>
      <c r="D1574" s="196" t="n">
        <v>2568</v>
      </c>
      <c r="E1574" s="196" t="s">
        <v>51</v>
      </c>
      <c r="F1574" s="201" t="n">
        <v>200025889770</v>
      </c>
      <c r="G1574" s="198" t="s">
        <v>642</v>
      </c>
      <c r="H1574" s="163" t="s">
        <v>501</v>
      </c>
      <c r="I1574" s="161" t="n">
        <v>77</v>
      </c>
      <c r="J1574" s="156" t="s">
        <v>192</v>
      </c>
      <c r="K1574" s="200" t="n">
        <v>45457.058287037</v>
      </c>
      <c r="L1574" s="1" t="n">
        <v>0</v>
      </c>
      <c r="M1574" s="156" t="s">
        <v>192</v>
      </c>
      <c r="N1574" s="1" t="n">
        <v>1086</v>
      </c>
    </row>
    <row r="1575" customFormat="false" ht="14.25" hidden="false" customHeight="false" outlineLevel="0" collapsed="false">
      <c r="A1575" s="1" t="n">
        <v>79</v>
      </c>
      <c r="B1575" s="1" t="s">
        <v>637</v>
      </c>
      <c r="C1575" s="1" t="s">
        <v>638</v>
      </c>
      <c r="D1575" s="196" t="n">
        <v>2568</v>
      </c>
      <c r="E1575" s="196" t="s">
        <v>51</v>
      </c>
      <c r="F1575" s="201" t="n">
        <v>200025889770</v>
      </c>
      <c r="G1575" s="198" t="s">
        <v>642</v>
      </c>
      <c r="H1575" s="163" t="s">
        <v>501</v>
      </c>
      <c r="I1575" s="161" t="n">
        <v>77</v>
      </c>
      <c r="J1575" s="156" t="s">
        <v>192</v>
      </c>
      <c r="K1575" s="200" t="n">
        <v>45457.0907175926</v>
      </c>
      <c r="L1575" s="1" t="n">
        <v>1</v>
      </c>
      <c r="M1575" s="156" t="s">
        <v>192</v>
      </c>
      <c r="N1575" s="1" t="n">
        <v>1087</v>
      </c>
    </row>
    <row r="1576" customFormat="false" ht="14.25" hidden="false" customHeight="false" outlineLevel="0" collapsed="false">
      <c r="A1576" s="1" t="n">
        <v>80</v>
      </c>
      <c r="B1576" s="1" t="s">
        <v>637</v>
      </c>
      <c r="C1576" s="1" t="s">
        <v>638</v>
      </c>
      <c r="D1576" s="196" t="n">
        <v>2568</v>
      </c>
      <c r="E1576" s="196" t="s">
        <v>51</v>
      </c>
      <c r="F1576" s="201" t="n">
        <v>200025889770</v>
      </c>
      <c r="G1576" s="198" t="s">
        <v>642</v>
      </c>
      <c r="H1576" s="163" t="s">
        <v>501</v>
      </c>
      <c r="I1576" s="161" t="n">
        <v>77</v>
      </c>
      <c r="J1576" s="156" t="s">
        <v>192</v>
      </c>
      <c r="K1576" s="200" t="n">
        <v>45457.0912268519</v>
      </c>
      <c r="L1576" s="1" t="n">
        <v>2</v>
      </c>
      <c r="M1576" s="156" t="s">
        <v>192</v>
      </c>
      <c r="N1576" s="1" t="n">
        <v>1088</v>
      </c>
    </row>
    <row r="1577" customFormat="false" ht="14.25" hidden="false" customHeight="false" outlineLevel="0" collapsed="false">
      <c r="A1577" s="1" t="n">
        <v>81</v>
      </c>
      <c r="B1577" s="1" t="s">
        <v>637</v>
      </c>
      <c r="C1577" s="1" t="s">
        <v>638</v>
      </c>
      <c r="D1577" s="196" t="n">
        <v>2568</v>
      </c>
      <c r="E1577" s="196" t="s">
        <v>51</v>
      </c>
      <c r="F1577" s="201" t="n">
        <v>200025889770</v>
      </c>
      <c r="G1577" s="198" t="s">
        <v>642</v>
      </c>
      <c r="H1577" s="163" t="s">
        <v>501</v>
      </c>
      <c r="I1577" s="161" t="n">
        <v>77</v>
      </c>
      <c r="J1577" s="156" t="s">
        <v>192</v>
      </c>
      <c r="K1577" s="200" t="n">
        <v>45457.1193865741</v>
      </c>
      <c r="L1577" s="1" t="n">
        <v>1</v>
      </c>
      <c r="M1577" s="156" t="s">
        <v>192</v>
      </c>
      <c r="N1577" s="1" t="n">
        <v>1089</v>
      </c>
    </row>
    <row r="1578" customFormat="false" ht="14.25" hidden="false" customHeight="false" outlineLevel="0" collapsed="false">
      <c r="A1578" s="1" t="n">
        <v>82</v>
      </c>
      <c r="B1578" s="1" t="s">
        <v>637</v>
      </c>
      <c r="C1578" s="1" t="s">
        <v>638</v>
      </c>
      <c r="D1578" s="196" t="n">
        <v>2568</v>
      </c>
      <c r="E1578" s="196" t="s">
        <v>51</v>
      </c>
      <c r="F1578" s="201" t="n">
        <v>200025889770</v>
      </c>
      <c r="G1578" s="198" t="s">
        <v>642</v>
      </c>
      <c r="H1578" s="163" t="s">
        <v>501</v>
      </c>
      <c r="I1578" s="161" t="n">
        <v>77</v>
      </c>
      <c r="J1578" s="156" t="s">
        <v>192</v>
      </c>
      <c r="K1578" s="200" t="n">
        <v>45457.120162037</v>
      </c>
      <c r="L1578" s="1" t="n">
        <v>1</v>
      </c>
      <c r="M1578" s="156" t="s">
        <v>192</v>
      </c>
      <c r="N1578" s="1" t="n">
        <v>1090</v>
      </c>
    </row>
    <row r="1579" customFormat="false" ht="14.25" hidden="false" customHeight="false" outlineLevel="0" collapsed="false">
      <c r="A1579" s="1" t="n">
        <v>83</v>
      </c>
      <c r="B1579" s="1" t="s">
        <v>637</v>
      </c>
      <c r="C1579" s="1" t="s">
        <v>638</v>
      </c>
      <c r="D1579" s="196" t="n">
        <v>2568</v>
      </c>
      <c r="E1579" s="196" t="s">
        <v>51</v>
      </c>
      <c r="F1579" s="201" t="n">
        <v>200025889770</v>
      </c>
      <c r="G1579" s="198" t="s">
        <v>642</v>
      </c>
      <c r="H1579" s="163" t="s">
        <v>501</v>
      </c>
      <c r="I1579" s="161" t="n">
        <v>77</v>
      </c>
      <c r="J1579" s="156" t="s">
        <v>192</v>
      </c>
      <c r="K1579" s="200" t="n">
        <v>45457.1204976852</v>
      </c>
      <c r="L1579" s="1" t="n">
        <v>3</v>
      </c>
      <c r="M1579" s="156" t="s">
        <v>192</v>
      </c>
      <c r="N1579" s="1" t="n">
        <v>1091</v>
      </c>
    </row>
    <row r="1580" customFormat="false" ht="14.25" hidden="false" customHeight="false" outlineLevel="0" collapsed="false">
      <c r="A1580" s="1" t="n">
        <v>84</v>
      </c>
      <c r="B1580" s="1" t="s">
        <v>637</v>
      </c>
      <c r="C1580" s="1" t="s">
        <v>638</v>
      </c>
      <c r="D1580" s="196" t="n">
        <v>2568</v>
      </c>
      <c r="E1580" s="196" t="s">
        <v>51</v>
      </c>
      <c r="F1580" s="201" t="n">
        <v>200025889770</v>
      </c>
      <c r="G1580" s="198" t="s">
        <v>642</v>
      </c>
      <c r="H1580" s="163" t="s">
        <v>501</v>
      </c>
      <c r="I1580" s="161" t="n">
        <v>77</v>
      </c>
      <c r="J1580" s="156" t="s">
        <v>192</v>
      </c>
      <c r="K1580" s="200" t="n">
        <v>45457.1508796296</v>
      </c>
      <c r="L1580" s="1" t="n">
        <v>1</v>
      </c>
      <c r="M1580" s="156" t="s">
        <v>192</v>
      </c>
      <c r="N1580" s="1" t="n">
        <v>1092</v>
      </c>
    </row>
    <row r="1581" customFormat="false" ht="14.25" hidden="false" customHeight="false" outlineLevel="0" collapsed="false">
      <c r="A1581" s="1" t="n">
        <v>85</v>
      </c>
      <c r="B1581" s="1" t="s">
        <v>637</v>
      </c>
      <c r="C1581" s="1" t="s">
        <v>638</v>
      </c>
      <c r="D1581" s="196" t="n">
        <v>2568</v>
      </c>
      <c r="E1581" s="196" t="s">
        <v>51</v>
      </c>
      <c r="F1581" s="201" t="n">
        <v>200025889770</v>
      </c>
      <c r="G1581" s="198" t="s">
        <v>642</v>
      </c>
      <c r="H1581" s="163" t="s">
        <v>501</v>
      </c>
      <c r="I1581" s="161" t="n">
        <v>77</v>
      </c>
      <c r="J1581" s="156" t="s">
        <v>192</v>
      </c>
      <c r="K1581" s="200" t="n">
        <v>45457.1836342593</v>
      </c>
      <c r="L1581" s="1" t="n">
        <v>1</v>
      </c>
      <c r="M1581" s="156" t="s">
        <v>192</v>
      </c>
      <c r="N1581" s="1" t="n">
        <v>1093</v>
      </c>
    </row>
    <row r="1582" customFormat="false" ht="14.25" hidden="false" customHeight="false" outlineLevel="0" collapsed="false">
      <c r="A1582" s="1" t="n">
        <v>86</v>
      </c>
      <c r="B1582" s="1" t="s">
        <v>637</v>
      </c>
      <c r="C1582" s="1" t="s">
        <v>638</v>
      </c>
      <c r="D1582" s="196" t="n">
        <v>2568</v>
      </c>
      <c r="E1582" s="196" t="s">
        <v>51</v>
      </c>
      <c r="F1582" s="201" t="n">
        <v>200025889770</v>
      </c>
      <c r="G1582" s="198" t="s">
        <v>642</v>
      </c>
      <c r="H1582" s="163" t="s">
        <v>501</v>
      </c>
      <c r="I1582" s="161" t="n">
        <v>77</v>
      </c>
      <c r="J1582" s="156" t="s">
        <v>192</v>
      </c>
      <c r="K1582" s="200" t="n">
        <v>45457.1836574074</v>
      </c>
      <c r="L1582" s="1" t="n">
        <v>0</v>
      </c>
      <c r="M1582" s="156" t="s">
        <v>192</v>
      </c>
      <c r="N1582" s="1" t="n">
        <v>1094</v>
      </c>
    </row>
    <row r="1583" customFormat="false" ht="14.25" hidden="false" customHeight="false" outlineLevel="0" collapsed="false">
      <c r="A1583" s="1" t="n">
        <v>87</v>
      </c>
      <c r="B1583" s="1" t="s">
        <v>637</v>
      </c>
      <c r="C1583" s="1" t="s">
        <v>638</v>
      </c>
      <c r="D1583" s="196" t="n">
        <v>2568</v>
      </c>
      <c r="E1583" s="196" t="s">
        <v>51</v>
      </c>
      <c r="F1583" s="201" t="n">
        <v>200025889770</v>
      </c>
      <c r="G1583" s="198" t="s">
        <v>642</v>
      </c>
      <c r="H1583" s="163" t="s">
        <v>501</v>
      </c>
      <c r="I1583" s="161" t="n">
        <v>77</v>
      </c>
      <c r="J1583" s="156" t="s">
        <v>192</v>
      </c>
      <c r="K1583" s="200" t="n">
        <v>45457.2302314815</v>
      </c>
      <c r="L1583" s="1" t="n">
        <v>4</v>
      </c>
      <c r="M1583" s="156" t="s">
        <v>192</v>
      </c>
      <c r="N1583" s="1" t="n">
        <v>1095</v>
      </c>
    </row>
    <row r="1584" customFormat="false" ht="14.25" hidden="false" customHeight="false" outlineLevel="0" collapsed="false">
      <c r="A1584" s="1" t="n">
        <v>88</v>
      </c>
      <c r="B1584" s="1" t="s">
        <v>637</v>
      </c>
      <c r="C1584" s="1" t="s">
        <v>638</v>
      </c>
      <c r="D1584" s="196" t="n">
        <v>2568</v>
      </c>
      <c r="E1584" s="196" t="s">
        <v>51</v>
      </c>
      <c r="F1584" s="201" t="n">
        <v>200025889770</v>
      </c>
      <c r="G1584" s="198" t="s">
        <v>642</v>
      </c>
      <c r="H1584" s="163" t="s">
        <v>501</v>
      </c>
      <c r="I1584" s="161" t="n">
        <v>77</v>
      </c>
      <c r="J1584" s="156" t="s">
        <v>192</v>
      </c>
      <c r="K1584" s="200" t="n">
        <v>45457.2439236111</v>
      </c>
      <c r="L1584" s="1" t="n">
        <v>1</v>
      </c>
      <c r="M1584" s="156" t="s">
        <v>192</v>
      </c>
      <c r="N1584" s="1" t="n">
        <v>1096</v>
      </c>
    </row>
    <row r="1585" customFormat="false" ht="14.25" hidden="false" customHeight="false" outlineLevel="0" collapsed="false">
      <c r="A1585" s="1" t="n">
        <v>89</v>
      </c>
      <c r="B1585" s="1" t="s">
        <v>637</v>
      </c>
      <c r="C1585" s="1" t="s">
        <v>638</v>
      </c>
      <c r="D1585" s="196" t="n">
        <v>2568</v>
      </c>
      <c r="E1585" s="196" t="s">
        <v>51</v>
      </c>
      <c r="F1585" s="201" t="n">
        <v>200025889770</v>
      </c>
      <c r="G1585" s="198" t="s">
        <v>642</v>
      </c>
      <c r="H1585" s="163" t="s">
        <v>501</v>
      </c>
      <c r="I1585" s="161" t="n">
        <v>77</v>
      </c>
      <c r="J1585" s="156" t="s">
        <v>192</v>
      </c>
      <c r="K1585" s="200" t="n">
        <v>45457.2899537037</v>
      </c>
      <c r="L1585" s="1" t="n">
        <v>1</v>
      </c>
      <c r="M1585" s="156" t="s">
        <v>192</v>
      </c>
      <c r="N1585" s="1" t="n">
        <v>1097</v>
      </c>
    </row>
    <row r="1586" customFormat="false" ht="14.25" hidden="false" customHeight="false" outlineLevel="0" collapsed="false">
      <c r="A1586" s="1" t="n">
        <v>90</v>
      </c>
      <c r="B1586" s="1" t="s">
        <v>637</v>
      </c>
      <c r="C1586" s="1" t="s">
        <v>638</v>
      </c>
      <c r="D1586" s="196" t="n">
        <v>2568</v>
      </c>
      <c r="E1586" s="196" t="s">
        <v>51</v>
      </c>
      <c r="F1586" s="201" t="n">
        <v>200025889770</v>
      </c>
      <c r="G1586" s="198" t="s">
        <v>642</v>
      </c>
      <c r="H1586" s="163" t="s">
        <v>501</v>
      </c>
      <c r="I1586" s="161" t="n">
        <v>77</v>
      </c>
      <c r="J1586" s="156" t="s">
        <v>192</v>
      </c>
      <c r="K1586" s="200" t="n">
        <v>45457.2899652778</v>
      </c>
      <c r="L1586" s="1" t="n">
        <v>1</v>
      </c>
      <c r="M1586" s="156" t="s">
        <v>192</v>
      </c>
      <c r="N1586" s="1" t="n">
        <v>1098</v>
      </c>
    </row>
    <row r="1587" customFormat="false" ht="14.25" hidden="false" customHeight="false" outlineLevel="0" collapsed="false">
      <c r="A1587" s="1" t="n">
        <v>55</v>
      </c>
      <c r="B1587" s="1" t="s">
        <v>643</v>
      </c>
      <c r="C1587" s="1" t="s">
        <v>644</v>
      </c>
      <c r="D1587" s="1" t="n">
        <v>11171</v>
      </c>
      <c r="E1587" s="1" t="s">
        <v>55</v>
      </c>
      <c r="F1587" s="201" t="n">
        <v>200025889770</v>
      </c>
      <c r="G1587" s="198" t="s">
        <v>642</v>
      </c>
      <c r="H1587" s="163" t="s">
        <v>501</v>
      </c>
      <c r="I1587" s="161" t="n">
        <v>77</v>
      </c>
      <c r="J1587" s="156" t="s">
        <v>192</v>
      </c>
      <c r="K1587" s="200" t="n">
        <v>45457.4815625</v>
      </c>
      <c r="L1587" s="1" t="n">
        <v>2</v>
      </c>
      <c r="M1587" s="156" t="s">
        <v>192</v>
      </c>
      <c r="N1587" s="1" t="n">
        <v>1099</v>
      </c>
    </row>
    <row r="1588" customFormat="false" ht="14.25" hidden="false" customHeight="false" outlineLevel="0" collapsed="false">
      <c r="A1588" s="1" t="n">
        <v>56</v>
      </c>
      <c r="B1588" s="1" t="s">
        <v>643</v>
      </c>
      <c r="C1588" s="1" t="s">
        <v>644</v>
      </c>
      <c r="D1588" s="1" t="n">
        <v>11171</v>
      </c>
      <c r="E1588" s="1" t="s">
        <v>55</v>
      </c>
      <c r="F1588" s="201" t="n">
        <v>200025889770</v>
      </c>
      <c r="G1588" s="198" t="s">
        <v>642</v>
      </c>
      <c r="H1588" s="163" t="s">
        <v>501</v>
      </c>
      <c r="I1588" s="161" t="n">
        <v>77</v>
      </c>
      <c r="J1588" s="156" t="s">
        <v>192</v>
      </c>
      <c r="K1588" s="200" t="n">
        <v>45457.4816087963</v>
      </c>
      <c r="L1588" s="1" t="n">
        <v>0</v>
      </c>
      <c r="M1588" s="156" t="s">
        <v>192</v>
      </c>
      <c r="N1588" s="1" t="n">
        <v>1100</v>
      </c>
    </row>
    <row r="1589" customFormat="false" ht="14.25" hidden="false" customHeight="false" outlineLevel="0" collapsed="false">
      <c r="A1589" s="1" t="n">
        <v>57</v>
      </c>
      <c r="B1589" s="1" t="s">
        <v>643</v>
      </c>
      <c r="C1589" s="1" t="s">
        <v>644</v>
      </c>
      <c r="D1589" s="1" t="n">
        <v>11171</v>
      </c>
      <c r="E1589" s="1" t="s">
        <v>55</v>
      </c>
      <c r="F1589" s="201" t="n">
        <v>200025889770</v>
      </c>
      <c r="G1589" s="198" t="s">
        <v>642</v>
      </c>
      <c r="H1589" s="163" t="s">
        <v>501</v>
      </c>
      <c r="I1589" s="161" t="n">
        <v>77</v>
      </c>
      <c r="J1589" s="156" t="s">
        <v>192</v>
      </c>
      <c r="K1589" s="200" t="n">
        <v>45457.4843402778</v>
      </c>
      <c r="L1589" s="1" t="n">
        <v>3</v>
      </c>
      <c r="M1589" s="156" t="s">
        <v>192</v>
      </c>
      <c r="N1589" s="1" t="n">
        <v>1101</v>
      </c>
    </row>
    <row r="1590" customFormat="false" ht="14.25" hidden="false" customHeight="false" outlineLevel="0" collapsed="false">
      <c r="A1590" s="1" t="n">
        <v>58</v>
      </c>
      <c r="B1590" s="1" t="s">
        <v>643</v>
      </c>
      <c r="C1590" s="1" t="s">
        <v>644</v>
      </c>
      <c r="D1590" s="1" t="n">
        <v>11171</v>
      </c>
      <c r="E1590" s="1" t="s">
        <v>55</v>
      </c>
      <c r="F1590" s="201" t="n">
        <v>200025889770</v>
      </c>
      <c r="G1590" s="198" t="s">
        <v>642</v>
      </c>
      <c r="H1590" s="163" t="s">
        <v>501</v>
      </c>
      <c r="I1590" s="161" t="n">
        <v>77</v>
      </c>
      <c r="J1590" s="156" t="s">
        <v>192</v>
      </c>
      <c r="K1590" s="200" t="n">
        <v>45457.4861226852</v>
      </c>
      <c r="L1590" s="1" t="n">
        <v>1</v>
      </c>
      <c r="M1590" s="156" t="s">
        <v>192</v>
      </c>
      <c r="N1590" s="1" t="n">
        <v>1102</v>
      </c>
    </row>
    <row r="1591" customFormat="false" ht="14.25" hidden="false" customHeight="false" outlineLevel="0" collapsed="false">
      <c r="A1591" s="1" t="n">
        <v>59</v>
      </c>
      <c r="B1591" s="1" t="s">
        <v>643</v>
      </c>
      <c r="C1591" s="1" t="s">
        <v>644</v>
      </c>
      <c r="D1591" s="1" t="n">
        <v>11171</v>
      </c>
      <c r="E1591" s="1" t="s">
        <v>55</v>
      </c>
      <c r="F1591" s="201" t="n">
        <v>200025889770</v>
      </c>
      <c r="G1591" s="198" t="s">
        <v>642</v>
      </c>
      <c r="H1591" s="163" t="s">
        <v>501</v>
      </c>
      <c r="I1591" s="161" t="n">
        <v>77</v>
      </c>
      <c r="J1591" s="156" t="s">
        <v>192</v>
      </c>
      <c r="K1591" s="200" t="n">
        <v>45457.4950810185</v>
      </c>
      <c r="L1591" s="1" t="n">
        <v>1</v>
      </c>
      <c r="M1591" s="156" t="s">
        <v>192</v>
      </c>
      <c r="N1591" s="1" t="n">
        <v>1103</v>
      </c>
    </row>
    <row r="1592" customFormat="false" ht="14.25" hidden="false" customHeight="false" outlineLevel="0" collapsed="false">
      <c r="A1592" s="1" t="n">
        <v>60</v>
      </c>
      <c r="B1592" s="1" t="s">
        <v>643</v>
      </c>
      <c r="C1592" s="1" t="s">
        <v>644</v>
      </c>
      <c r="D1592" s="1" t="n">
        <v>11171</v>
      </c>
      <c r="E1592" s="1" t="s">
        <v>55</v>
      </c>
      <c r="F1592" s="201" t="n">
        <v>200025889770</v>
      </c>
      <c r="G1592" s="198" t="s">
        <v>642</v>
      </c>
      <c r="H1592" s="163" t="s">
        <v>501</v>
      </c>
      <c r="I1592" s="161" t="n">
        <v>77</v>
      </c>
      <c r="J1592" s="156" t="s">
        <v>192</v>
      </c>
      <c r="K1592" s="200" t="n">
        <v>45457.4950925926</v>
      </c>
      <c r="L1592" s="1" t="n">
        <v>0</v>
      </c>
      <c r="M1592" s="156" t="s">
        <v>192</v>
      </c>
      <c r="N1592" s="1" t="n">
        <v>1104</v>
      </c>
    </row>
    <row r="1593" customFormat="false" ht="14.25" hidden="false" customHeight="false" outlineLevel="0" collapsed="false">
      <c r="A1593" s="1" t="n">
        <v>61</v>
      </c>
      <c r="B1593" s="1" t="s">
        <v>643</v>
      </c>
      <c r="C1593" s="1" t="s">
        <v>644</v>
      </c>
      <c r="D1593" s="1" t="n">
        <v>11171</v>
      </c>
      <c r="E1593" s="1" t="s">
        <v>55</v>
      </c>
      <c r="F1593" s="201" t="n">
        <v>200025889770</v>
      </c>
      <c r="G1593" s="198" t="s">
        <v>642</v>
      </c>
      <c r="H1593" s="163" t="s">
        <v>501</v>
      </c>
      <c r="I1593" s="161" t="n">
        <v>77</v>
      </c>
      <c r="J1593" s="156" t="s">
        <v>192</v>
      </c>
      <c r="K1593" s="200" t="n">
        <v>45457.4951041667</v>
      </c>
      <c r="L1593" s="1" t="n">
        <v>0</v>
      </c>
      <c r="M1593" s="156" t="s">
        <v>192</v>
      </c>
      <c r="N1593" s="1" t="n">
        <v>1105</v>
      </c>
    </row>
    <row r="1594" customFormat="false" ht="14.25" hidden="false" customHeight="false" outlineLevel="0" collapsed="false">
      <c r="A1594" s="1" t="n">
        <v>62</v>
      </c>
      <c r="B1594" s="1" t="s">
        <v>643</v>
      </c>
      <c r="C1594" s="1" t="s">
        <v>644</v>
      </c>
      <c r="D1594" s="1" t="n">
        <v>11171</v>
      </c>
      <c r="E1594" s="1" t="s">
        <v>55</v>
      </c>
      <c r="F1594" s="201" t="n">
        <v>200025889770</v>
      </c>
      <c r="G1594" s="198" t="s">
        <v>642</v>
      </c>
      <c r="H1594" s="163" t="s">
        <v>501</v>
      </c>
      <c r="I1594" s="161" t="n">
        <v>77</v>
      </c>
      <c r="J1594" s="156" t="s">
        <v>192</v>
      </c>
      <c r="K1594" s="200" t="n">
        <v>45457.5044328704</v>
      </c>
      <c r="L1594" s="1" t="n">
        <v>1</v>
      </c>
      <c r="M1594" s="156" t="s">
        <v>192</v>
      </c>
      <c r="N1594" s="1" t="n">
        <v>1106</v>
      </c>
    </row>
    <row r="1595" customFormat="false" ht="14.25" hidden="false" customHeight="false" outlineLevel="0" collapsed="false">
      <c r="A1595" s="1" t="n">
        <v>63</v>
      </c>
      <c r="B1595" s="1" t="s">
        <v>643</v>
      </c>
      <c r="C1595" s="1" t="s">
        <v>644</v>
      </c>
      <c r="D1595" s="1" t="n">
        <v>11171</v>
      </c>
      <c r="E1595" s="1" t="s">
        <v>55</v>
      </c>
      <c r="F1595" s="201" t="n">
        <v>200025889770</v>
      </c>
      <c r="G1595" s="198" t="s">
        <v>642</v>
      </c>
      <c r="H1595" s="163" t="s">
        <v>501</v>
      </c>
      <c r="I1595" s="161" t="n">
        <v>77</v>
      </c>
      <c r="J1595" s="156" t="s">
        <v>192</v>
      </c>
      <c r="K1595" s="200" t="n">
        <v>45457.5167013889</v>
      </c>
      <c r="L1595" s="1" t="n">
        <v>2</v>
      </c>
      <c r="M1595" s="156" t="s">
        <v>192</v>
      </c>
      <c r="N1595" s="1" t="n">
        <v>1107</v>
      </c>
    </row>
    <row r="1596" customFormat="false" ht="14.25" hidden="false" customHeight="false" outlineLevel="0" collapsed="false">
      <c r="A1596" s="1" t="n">
        <v>64</v>
      </c>
      <c r="B1596" s="1" t="s">
        <v>643</v>
      </c>
      <c r="C1596" s="1" t="s">
        <v>644</v>
      </c>
      <c r="D1596" s="1" t="n">
        <v>11171</v>
      </c>
      <c r="E1596" s="1" t="s">
        <v>55</v>
      </c>
      <c r="F1596" s="201" t="n">
        <v>200025889770</v>
      </c>
      <c r="G1596" s="198" t="s">
        <v>642</v>
      </c>
      <c r="H1596" s="163" t="s">
        <v>501</v>
      </c>
      <c r="I1596" s="161" t="n">
        <v>77</v>
      </c>
      <c r="J1596" s="156" t="s">
        <v>192</v>
      </c>
      <c r="K1596" s="200" t="n">
        <v>45457.5170833333</v>
      </c>
      <c r="L1596" s="1" t="n">
        <v>2</v>
      </c>
      <c r="M1596" s="156" t="s">
        <v>192</v>
      </c>
      <c r="N1596" s="1" t="n">
        <v>1108</v>
      </c>
    </row>
    <row r="1597" customFormat="false" ht="14.25" hidden="false" customHeight="false" outlineLevel="0" collapsed="false">
      <c r="A1597" s="1" t="n">
        <v>65</v>
      </c>
      <c r="B1597" s="1" t="s">
        <v>643</v>
      </c>
      <c r="C1597" s="1" t="s">
        <v>644</v>
      </c>
      <c r="D1597" s="1" t="n">
        <v>11171</v>
      </c>
      <c r="E1597" s="1" t="s">
        <v>55</v>
      </c>
      <c r="F1597" s="201" t="n">
        <v>200025889770</v>
      </c>
      <c r="G1597" s="198" t="s">
        <v>642</v>
      </c>
      <c r="H1597" s="163" t="s">
        <v>501</v>
      </c>
      <c r="I1597" s="161" t="n">
        <v>77</v>
      </c>
      <c r="J1597" s="156" t="s">
        <v>192</v>
      </c>
      <c r="K1597" s="200" t="n">
        <v>45457.5175925926</v>
      </c>
      <c r="L1597" s="1" t="n">
        <v>1</v>
      </c>
      <c r="M1597" s="156" t="s">
        <v>192</v>
      </c>
      <c r="N1597" s="1" t="n">
        <v>1109</v>
      </c>
    </row>
    <row r="1598" customFormat="false" ht="14.25" hidden="false" customHeight="false" outlineLevel="0" collapsed="false">
      <c r="A1598" s="1" t="n">
        <v>66</v>
      </c>
      <c r="B1598" s="1" t="s">
        <v>643</v>
      </c>
      <c r="C1598" s="1" t="s">
        <v>644</v>
      </c>
      <c r="D1598" s="1" t="n">
        <v>11171</v>
      </c>
      <c r="E1598" s="1" t="s">
        <v>55</v>
      </c>
      <c r="F1598" s="201" t="n">
        <v>200025889770</v>
      </c>
      <c r="G1598" s="198" t="s">
        <v>642</v>
      </c>
      <c r="H1598" s="163" t="s">
        <v>501</v>
      </c>
      <c r="I1598" s="161" t="n">
        <v>77</v>
      </c>
      <c r="J1598" s="156" t="s">
        <v>192</v>
      </c>
      <c r="K1598" s="200" t="n">
        <v>45457.5405671296</v>
      </c>
      <c r="L1598" s="1" t="n">
        <v>2</v>
      </c>
      <c r="M1598" s="156" t="s">
        <v>192</v>
      </c>
      <c r="N1598" s="1" t="n">
        <v>1110</v>
      </c>
    </row>
    <row r="1599" customFormat="false" ht="14.25" hidden="false" customHeight="false" outlineLevel="0" collapsed="false">
      <c r="A1599" s="1" t="n">
        <v>67</v>
      </c>
      <c r="B1599" s="1" t="s">
        <v>643</v>
      </c>
      <c r="C1599" s="1" t="s">
        <v>644</v>
      </c>
      <c r="D1599" s="1" t="n">
        <v>11171</v>
      </c>
      <c r="E1599" s="1" t="s">
        <v>55</v>
      </c>
      <c r="F1599" s="201" t="n">
        <v>200025889770</v>
      </c>
      <c r="G1599" s="198" t="s">
        <v>642</v>
      </c>
      <c r="H1599" s="163" t="s">
        <v>501</v>
      </c>
      <c r="I1599" s="161" t="n">
        <v>77</v>
      </c>
      <c r="J1599" s="156" t="s">
        <v>192</v>
      </c>
      <c r="K1599" s="200" t="n">
        <v>45457.5411342593</v>
      </c>
      <c r="L1599" s="1" t="n">
        <v>3</v>
      </c>
      <c r="M1599" s="156" t="s">
        <v>192</v>
      </c>
      <c r="N1599" s="1" t="n">
        <v>1111</v>
      </c>
    </row>
    <row r="1600" customFormat="false" ht="14.25" hidden="false" customHeight="false" outlineLevel="0" collapsed="false">
      <c r="A1600" s="1" t="n">
        <v>68</v>
      </c>
      <c r="B1600" s="1" t="s">
        <v>643</v>
      </c>
      <c r="C1600" s="1" t="s">
        <v>644</v>
      </c>
      <c r="D1600" s="1" t="n">
        <v>11171</v>
      </c>
      <c r="E1600" s="1" t="s">
        <v>55</v>
      </c>
      <c r="F1600" s="201" t="n">
        <v>200025889770</v>
      </c>
      <c r="G1600" s="198" t="s">
        <v>642</v>
      </c>
      <c r="H1600" s="163" t="s">
        <v>501</v>
      </c>
      <c r="I1600" s="161" t="n">
        <v>77</v>
      </c>
      <c r="J1600" s="156" t="s">
        <v>192</v>
      </c>
      <c r="K1600" s="200" t="n">
        <v>45457.5679166667</v>
      </c>
      <c r="L1600" s="1" t="n">
        <v>2</v>
      </c>
      <c r="M1600" s="156" t="s">
        <v>192</v>
      </c>
      <c r="N1600" s="1" t="n">
        <v>1112</v>
      </c>
    </row>
    <row r="1601" customFormat="false" ht="14.25" hidden="false" customHeight="false" outlineLevel="0" collapsed="false">
      <c r="A1601" s="1" t="n">
        <v>69</v>
      </c>
      <c r="B1601" s="1" t="s">
        <v>643</v>
      </c>
      <c r="C1601" s="1" t="s">
        <v>644</v>
      </c>
      <c r="D1601" s="1" t="n">
        <v>11171</v>
      </c>
      <c r="E1601" s="1" t="s">
        <v>55</v>
      </c>
      <c r="F1601" s="201" t="n">
        <v>200025889770</v>
      </c>
      <c r="G1601" s="198" t="s">
        <v>642</v>
      </c>
      <c r="H1601" s="163" t="s">
        <v>501</v>
      </c>
      <c r="I1601" s="161" t="n">
        <v>77</v>
      </c>
      <c r="J1601" s="156" t="s">
        <v>192</v>
      </c>
      <c r="K1601" s="200" t="n">
        <v>45457.5695949074</v>
      </c>
      <c r="L1601" s="1" t="n">
        <v>2</v>
      </c>
      <c r="M1601" s="156" t="s">
        <v>192</v>
      </c>
      <c r="N1601" s="1" t="n">
        <v>1113</v>
      </c>
    </row>
    <row r="1602" customFormat="false" ht="14.25" hidden="false" customHeight="false" outlineLevel="0" collapsed="false">
      <c r="A1602" s="1" t="n">
        <v>70</v>
      </c>
      <c r="B1602" s="1" t="s">
        <v>643</v>
      </c>
      <c r="C1602" s="1" t="s">
        <v>644</v>
      </c>
      <c r="D1602" s="1" t="n">
        <v>11171</v>
      </c>
      <c r="E1602" s="1" t="s">
        <v>55</v>
      </c>
      <c r="F1602" s="201" t="n">
        <v>200025889770</v>
      </c>
      <c r="G1602" s="198" t="s">
        <v>642</v>
      </c>
      <c r="H1602" s="163" t="s">
        <v>501</v>
      </c>
      <c r="I1602" s="161" t="n">
        <v>77</v>
      </c>
      <c r="J1602" s="156" t="s">
        <v>192</v>
      </c>
      <c r="K1602" s="200" t="n">
        <v>45457.7680092593</v>
      </c>
      <c r="L1602" s="1" t="n">
        <v>3</v>
      </c>
      <c r="M1602" s="156" t="s">
        <v>192</v>
      </c>
      <c r="N1602" s="1" t="n">
        <v>1114</v>
      </c>
    </row>
    <row r="1603" customFormat="false" ht="14.25" hidden="false" customHeight="false" outlineLevel="0" collapsed="false">
      <c r="A1603" s="1" t="n">
        <v>71</v>
      </c>
      <c r="B1603" s="1" t="s">
        <v>643</v>
      </c>
      <c r="C1603" s="1" t="s">
        <v>644</v>
      </c>
      <c r="D1603" s="1" t="n">
        <v>11171</v>
      </c>
      <c r="E1603" s="1" t="s">
        <v>55</v>
      </c>
      <c r="F1603" s="201" t="n">
        <v>200025889770</v>
      </c>
      <c r="G1603" s="198" t="s">
        <v>642</v>
      </c>
      <c r="H1603" s="163" t="s">
        <v>501</v>
      </c>
      <c r="I1603" s="161" t="n">
        <v>77</v>
      </c>
      <c r="J1603" s="156" t="s">
        <v>192</v>
      </c>
      <c r="K1603" s="200" t="n">
        <v>45457.7682638889</v>
      </c>
      <c r="L1603" s="1" t="n">
        <v>2</v>
      </c>
      <c r="M1603" s="156" t="s">
        <v>192</v>
      </c>
      <c r="N1603" s="1" t="n">
        <v>1115</v>
      </c>
    </row>
    <row r="1604" customFormat="false" ht="14.25" hidden="false" customHeight="false" outlineLevel="0" collapsed="false">
      <c r="A1604" s="1" t="n">
        <v>72</v>
      </c>
      <c r="B1604" s="1" t="s">
        <v>643</v>
      </c>
      <c r="C1604" s="1" t="s">
        <v>644</v>
      </c>
      <c r="D1604" s="1" t="n">
        <v>11171</v>
      </c>
      <c r="E1604" s="1" t="s">
        <v>55</v>
      </c>
      <c r="F1604" s="201" t="n">
        <v>200025889770</v>
      </c>
      <c r="G1604" s="198" t="s">
        <v>642</v>
      </c>
      <c r="H1604" s="163" t="s">
        <v>501</v>
      </c>
      <c r="I1604" s="161" t="n">
        <v>77</v>
      </c>
      <c r="J1604" s="156" t="s">
        <v>192</v>
      </c>
      <c r="K1604" s="200" t="n">
        <v>45457.7813425926</v>
      </c>
      <c r="L1604" s="1" t="n">
        <v>2</v>
      </c>
      <c r="M1604" s="156" t="s">
        <v>192</v>
      </c>
      <c r="N1604" s="1" t="n">
        <v>1116</v>
      </c>
    </row>
    <row r="1605" customFormat="false" ht="14.25" hidden="false" customHeight="false" outlineLevel="0" collapsed="false">
      <c r="A1605" s="1" t="n">
        <v>73</v>
      </c>
      <c r="B1605" s="1" t="s">
        <v>643</v>
      </c>
      <c r="C1605" s="1" t="s">
        <v>644</v>
      </c>
      <c r="D1605" s="1" t="n">
        <v>11171</v>
      </c>
      <c r="E1605" s="1" t="s">
        <v>55</v>
      </c>
      <c r="F1605" s="201" t="n">
        <v>200025889770</v>
      </c>
      <c r="G1605" s="198" t="s">
        <v>642</v>
      </c>
      <c r="H1605" s="163" t="s">
        <v>501</v>
      </c>
      <c r="I1605" s="161" t="n">
        <v>77</v>
      </c>
      <c r="J1605" s="156" t="s">
        <v>192</v>
      </c>
      <c r="K1605" s="200" t="n">
        <v>45457.782337963</v>
      </c>
      <c r="L1605" s="1" t="n">
        <v>2</v>
      </c>
      <c r="M1605" s="156" t="s">
        <v>192</v>
      </c>
      <c r="N1605" s="1" t="n">
        <v>1117</v>
      </c>
    </row>
    <row r="1606" customFormat="false" ht="14.25" hidden="false" customHeight="false" outlineLevel="0" collapsed="false">
      <c r="A1606" s="1" t="n">
        <v>74</v>
      </c>
      <c r="B1606" s="1" t="s">
        <v>643</v>
      </c>
      <c r="C1606" s="1" t="s">
        <v>644</v>
      </c>
      <c r="D1606" s="1" t="n">
        <v>11171</v>
      </c>
      <c r="E1606" s="1" t="s">
        <v>55</v>
      </c>
      <c r="F1606" s="201" t="n">
        <v>200025889770</v>
      </c>
      <c r="G1606" s="198" t="s">
        <v>642</v>
      </c>
      <c r="H1606" s="163" t="s">
        <v>501</v>
      </c>
      <c r="I1606" s="161" t="n">
        <v>77</v>
      </c>
      <c r="J1606" s="156" t="s">
        <v>192</v>
      </c>
      <c r="K1606" s="200" t="n">
        <v>45457.7827314815</v>
      </c>
      <c r="L1606" s="1" t="n">
        <v>1</v>
      </c>
      <c r="M1606" s="156" t="s">
        <v>192</v>
      </c>
      <c r="N1606" s="1" t="n">
        <v>1118</v>
      </c>
    </row>
    <row r="1607" customFormat="false" ht="14.25" hidden="false" customHeight="false" outlineLevel="0" collapsed="false">
      <c r="A1607" s="1" t="n">
        <v>75</v>
      </c>
      <c r="B1607" s="1" t="s">
        <v>643</v>
      </c>
      <c r="C1607" s="1" t="s">
        <v>644</v>
      </c>
      <c r="D1607" s="1" t="n">
        <v>11171</v>
      </c>
      <c r="E1607" s="1" t="s">
        <v>55</v>
      </c>
      <c r="F1607" s="201" t="n">
        <v>200025889770</v>
      </c>
      <c r="G1607" s="198" t="s">
        <v>642</v>
      </c>
      <c r="H1607" s="163" t="s">
        <v>501</v>
      </c>
      <c r="I1607" s="161" t="n">
        <v>77</v>
      </c>
      <c r="J1607" s="156" t="s">
        <v>192</v>
      </c>
      <c r="K1607" s="200" t="n">
        <v>45457.7827546296</v>
      </c>
      <c r="L1607" s="1" t="n">
        <v>0</v>
      </c>
      <c r="M1607" s="156" t="s">
        <v>192</v>
      </c>
      <c r="N1607" s="1" t="n">
        <v>1119</v>
      </c>
    </row>
    <row r="1608" customFormat="false" ht="14.25" hidden="false" customHeight="false" outlineLevel="0" collapsed="false">
      <c r="A1608" s="1" t="n">
        <v>76</v>
      </c>
      <c r="B1608" s="1" t="s">
        <v>643</v>
      </c>
      <c r="C1608" s="1" t="s">
        <v>644</v>
      </c>
      <c r="D1608" s="1" t="n">
        <v>11171</v>
      </c>
      <c r="E1608" s="1" t="s">
        <v>55</v>
      </c>
      <c r="F1608" s="201" t="n">
        <v>200025889770</v>
      </c>
      <c r="G1608" s="198" t="s">
        <v>642</v>
      </c>
      <c r="H1608" s="163" t="s">
        <v>501</v>
      </c>
      <c r="I1608" s="161" t="n">
        <v>77</v>
      </c>
      <c r="J1608" s="156" t="s">
        <v>192</v>
      </c>
      <c r="K1608" s="200" t="n">
        <v>45457.7830555556</v>
      </c>
      <c r="L1608" s="1" t="n">
        <v>2</v>
      </c>
      <c r="M1608" s="156" t="s">
        <v>192</v>
      </c>
      <c r="N1608" s="1" t="n">
        <v>1120</v>
      </c>
    </row>
    <row r="1609" customFormat="false" ht="14.25" hidden="false" customHeight="false" outlineLevel="0" collapsed="false">
      <c r="A1609" s="1" t="n">
        <v>77</v>
      </c>
      <c r="B1609" s="1" t="s">
        <v>643</v>
      </c>
      <c r="C1609" s="1" t="s">
        <v>644</v>
      </c>
      <c r="D1609" s="1" t="n">
        <v>11171</v>
      </c>
      <c r="E1609" s="1" t="s">
        <v>55</v>
      </c>
      <c r="F1609" s="201" t="n">
        <v>200025889770</v>
      </c>
      <c r="G1609" s="198" t="s">
        <v>642</v>
      </c>
      <c r="H1609" s="163" t="s">
        <v>501</v>
      </c>
      <c r="I1609" s="161" t="n">
        <v>77</v>
      </c>
      <c r="J1609" s="156" t="s">
        <v>192</v>
      </c>
      <c r="K1609" s="200" t="n">
        <v>45457.7838541667</v>
      </c>
      <c r="L1609" s="1" t="n">
        <v>1</v>
      </c>
      <c r="M1609" s="156" t="s">
        <v>192</v>
      </c>
      <c r="N1609" s="1" t="n">
        <v>1121</v>
      </c>
    </row>
    <row r="1610" customFormat="false" ht="14.25" hidden="false" customHeight="false" outlineLevel="0" collapsed="false">
      <c r="A1610" s="1" t="n">
        <v>78</v>
      </c>
      <c r="B1610" s="1" t="s">
        <v>643</v>
      </c>
      <c r="C1610" s="1" t="s">
        <v>644</v>
      </c>
      <c r="D1610" s="1" t="n">
        <v>11171</v>
      </c>
      <c r="E1610" s="1" t="s">
        <v>55</v>
      </c>
      <c r="F1610" s="201" t="n">
        <v>200025889770</v>
      </c>
      <c r="G1610" s="198" t="s">
        <v>642</v>
      </c>
      <c r="H1610" s="163" t="s">
        <v>501</v>
      </c>
      <c r="I1610" s="161" t="n">
        <v>77</v>
      </c>
      <c r="J1610" s="156" t="s">
        <v>192</v>
      </c>
      <c r="K1610" s="200" t="n">
        <v>45457.7838773148</v>
      </c>
      <c r="L1610" s="1" t="n">
        <v>0</v>
      </c>
      <c r="M1610" s="156" t="s">
        <v>192</v>
      </c>
      <c r="N1610" s="1" t="n">
        <v>1122</v>
      </c>
    </row>
    <row r="1611" customFormat="false" ht="14.25" hidden="false" customHeight="false" outlineLevel="0" collapsed="false">
      <c r="A1611" s="1" t="n">
        <v>79</v>
      </c>
      <c r="B1611" s="1" t="s">
        <v>643</v>
      </c>
      <c r="C1611" s="1" t="s">
        <v>644</v>
      </c>
      <c r="D1611" s="1" t="n">
        <v>11171</v>
      </c>
      <c r="E1611" s="1" t="s">
        <v>55</v>
      </c>
      <c r="F1611" s="201" t="n">
        <v>200025889770</v>
      </c>
      <c r="G1611" s="198" t="s">
        <v>642</v>
      </c>
      <c r="H1611" s="163" t="s">
        <v>501</v>
      </c>
      <c r="I1611" s="161" t="n">
        <v>77</v>
      </c>
      <c r="J1611" s="156" t="s">
        <v>192</v>
      </c>
      <c r="K1611" s="200" t="n">
        <v>45457.784212963</v>
      </c>
      <c r="L1611" s="1" t="n">
        <v>2</v>
      </c>
      <c r="M1611" s="156" t="s">
        <v>192</v>
      </c>
      <c r="N1611" s="1" t="n">
        <v>1123</v>
      </c>
    </row>
    <row r="1612" customFormat="false" ht="14.25" hidden="false" customHeight="false" outlineLevel="0" collapsed="false">
      <c r="A1612" s="1" t="n">
        <v>80</v>
      </c>
      <c r="B1612" s="1" t="s">
        <v>643</v>
      </c>
      <c r="C1612" s="1" t="s">
        <v>644</v>
      </c>
      <c r="D1612" s="1" t="n">
        <v>11171</v>
      </c>
      <c r="E1612" s="1" t="s">
        <v>55</v>
      </c>
      <c r="F1612" s="201" t="n">
        <v>200025889770</v>
      </c>
      <c r="G1612" s="198" t="s">
        <v>642</v>
      </c>
      <c r="H1612" s="163" t="s">
        <v>501</v>
      </c>
      <c r="I1612" s="161" t="n">
        <v>77</v>
      </c>
      <c r="J1612" s="156" t="s">
        <v>192</v>
      </c>
      <c r="K1612" s="200" t="n">
        <v>45457.7846180556</v>
      </c>
      <c r="L1612" s="1" t="n">
        <v>1</v>
      </c>
      <c r="M1612" s="156" t="s">
        <v>192</v>
      </c>
      <c r="N1612" s="1" t="n">
        <v>1124</v>
      </c>
    </row>
    <row r="1613" customFormat="false" ht="14.25" hidden="false" customHeight="false" outlineLevel="0" collapsed="false">
      <c r="A1613" s="1" t="n">
        <v>81</v>
      </c>
      <c r="B1613" s="1" t="s">
        <v>643</v>
      </c>
      <c r="C1613" s="1" t="s">
        <v>644</v>
      </c>
      <c r="D1613" s="1" t="n">
        <v>11171</v>
      </c>
      <c r="E1613" s="1" t="s">
        <v>55</v>
      </c>
      <c r="F1613" s="201" t="n">
        <v>200025889770</v>
      </c>
      <c r="G1613" s="198" t="s">
        <v>642</v>
      </c>
      <c r="H1613" s="163" t="s">
        <v>501</v>
      </c>
      <c r="I1613" s="161" t="n">
        <v>77</v>
      </c>
      <c r="J1613" s="156" t="s">
        <v>192</v>
      </c>
      <c r="K1613" s="200" t="n">
        <v>45457.7846412037</v>
      </c>
      <c r="L1613" s="1" t="n">
        <v>0</v>
      </c>
      <c r="M1613" s="156" t="s">
        <v>192</v>
      </c>
      <c r="N1613" s="1" t="n">
        <v>1125</v>
      </c>
    </row>
    <row r="1614" customFormat="false" ht="14.25" hidden="false" customHeight="false" outlineLevel="0" collapsed="false">
      <c r="A1614" s="1" t="n">
        <v>82</v>
      </c>
      <c r="B1614" s="1" t="s">
        <v>643</v>
      </c>
      <c r="C1614" s="1" t="s">
        <v>644</v>
      </c>
      <c r="D1614" s="1" t="n">
        <v>11171</v>
      </c>
      <c r="E1614" s="1" t="s">
        <v>55</v>
      </c>
      <c r="F1614" s="201" t="n">
        <v>200025889770</v>
      </c>
      <c r="G1614" s="198" t="s">
        <v>642</v>
      </c>
      <c r="H1614" s="163" t="s">
        <v>501</v>
      </c>
      <c r="I1614" s="161" t="n">
        <v>77</v>
      </c>
      <c r="J1614" s="156" t="s">
        <v>192</v>
      </c>
      <c r="K1614" s="200" t="n">
        <v>45457.7855555556</v>
      </c>
      <c r="L1614" s="1" t="n">
        <v>1</v>
      </c>
      <c r="M1614" s="156" t="s">
        <v>192</v>
      </c>
      <c r="N1614" s="1" t="n">
        <v>1126</v>
      </c>
    </row>
    <row r="1615" customFormat="false" ht="14.25" hidden="false" customHeight="false" outlineLevel="0" collapsed="false">
      <c r="A1615" s="1" t="n">
        <v>83</v>
      </c>
      <c r="B1615" s="1" t="s">
        <v>643</v>
      </c>
      <c r="C1615" s="1" t="s">
        <v>644</v>
      </c>
      <c r="D1615" s="1" t="n">
        <v>11171</v>
      </c>
      <c r="E1615" s="1" t="s">
        <v>55</v>
      </c>
      <c r="F1615" s="201" t="n">
        <v>200025889770</v>
      </c>
      <c r="G1615" s="198" t="s">
        <v>642</v>
      </c>
      <c r="H1615" s="163" t="s">
        <v>501</v>
      </c>
      <c r="I1615" s="161" t="n">
        <v>77</v>
      </c>
      <c r="J1615" s="156" t="s">
        <v>192</v>
      </c>
      <c r="K1615" s="200" t="n">
        <v>45457.8309953704</v>
      </c>
      <c r="L1615" s="1" t="n">
        <v>1</v>
      </c>
      <c r="M1615" s="156" t="s">
        <v>192</v>
      </c>
      <c r="N1615" s="1" t="n">
        <v>1127</v>
      </c>
    </row>
    <row r="1616" customFormat="false" ht="14.25" hidden="false" customHeight="false" outlineLevel="0" collapsed="false">
      <c r="A1616" s="1" t="n">
        <v>84</v>
      </c>
      <c r="B1616" s="1" t="s">
        <v>643</v>
      </c>
      <c r="C1616" s="1" t="s">
        <v>644</v>
      </c>
      <c r="D1616" s="1" t="n">
        <v>11171</v>
      </c>
      <c r="E1616" s="1" t="s">
        <v>55</v>
      </c>
      <c r="F1616" s="201" t="n">
        <v>200025889770</v>
      </c>
      <c r="G1616" s="198" t="s">
        <v>642</v>
      </c>
      <c r="H1616" s="163" t="s">
        <v>501</v>
      </c>
      <c r="I1616" s="161" t="n">
        <v>77</v>
      </c>
      <c r="J1616" s="156" t="s">
        <v>192</v>
      </c>
      <c r="K1616" s="200" t="n">
        <v>45457.8314930556</v>
      </c>
      <c r="L1616" s="1" t="n">
        <v>1</v>
      </c>
      <c r="M1616" s="156" t="s">
        <v>192</v>
      </c>
      <c r="N1616" s="1" t="n">
        <v>1128</v>
      </c>
    </row>
    <row r="1617" customFormat="false" ht="14.25" hidden="false" customHeight="false" outlineLevel="0" collapsed="false">
      <c r="A1617" s="1" t="n">
        <v>85</v>
      </c>
      <c r="B1617" s="1" t="s">
        <v>643</v>
      </c>
      <c r="C1617" s="1" t="s">
        <v>644</v>
      </c>
      <c r="D1617" s="1" t="n">
        <v>11171</v>
      </c>
      <c r="E1617" s="1" t="s">
        <v>55</v>
      </c>
      <c r="F1617" s="201" t="n">
        <v>200025889770</v>
      </c>
      <c r="G1617" s="198" t="s">
        <v>642</v>
      </c>
      <c r="H1617" s="163" t="s">
        <v>501</v>
      </c>
      <c r="I1617" s="161" t="n">
        <v>77</v>
      </c>
      <c r="J1617" s="156" t="s">
        <v>192</v>
      </c>
      <c r="K1617" s="200" t="n">
        <v>45457.8319444444</v>
      </c>
      <c r="L1617" s="1" t="n">
        <v>2</v>
      </c>
      <c r="M1617" s="156" t="s">
        <v>192</v>
      </c>
      <c r="N1617" s="1" t="n">
        <v>1129</v>
      </c>
    </row>
    <row r="1618" customFormat="false" ht="14.25" hidden="false" customHeight="false" outlineLevel="0" collapsed="false">
      <c r="A1618" s="1" t="n">
        <v>86</v>
      </c>
      <c r="B1618" s="1" t="s">
        <v>643</v>
      </c>
      <c r="C1618" s="1" t="s">
        <v>644</v>
      </c>
      <c r="D1618" s="1" t="n">
        <v>11171</v>
      </c>
      <c r="E1618" s="1" t="s">
        <v>55</v>
      </c>
      <c r="F1618" s="201" t="n">
        <v>200025889246</v>
      </c>
      <c r="G1618" s="198" t="s">
        <v>693</v>
      </c>
      <c r="H1618" s="163" t="s">
        <v>227</v>
      </c>
      <c r="I1618" s="161" t="n">
        <v>6</v>
      </c>
      <c r="J1618" s="156" t="s">
        <v>192</v>
      </c>
      <c r="K1618" s="200" t="n">
        <v>45458.0731018519</v>
      </c>
      <c r="L1618" s="1" t="n">
        <v>2</v>
      </c>
      <c r="M1618" s="156" t="s">
        <v>192</v>
      </c>
      <c r="N1618" s="1" t="n">
        <v>1130</v>
      </c>
    </row>
    <row r="1619" customFormat="false" ht="14.25" hidden="false" customHeight="false" outlineLevel="0" collapsed="false">
      <c r="A1619" s="1" t="n">
        <v>296</v>
      </c>
      <c r="B1619" s="1" t="s">
        <v>565</v>
      </c>
      <c r="C1619" s="1" t="s">
        <v>566</v>
      </c>
      <c r="D1619" s="208" t="n">
        <v>11197</v>
      </c>
      <c r="E1619" s="1" t="s">
        <v>53</v>
      </c>
      <c r="F1619" s="198" t="n">
        <v>200025889246</v>
      </c>
      <c r="G1619" s="198" t="s">
        <v>693</v>
      </c>
      <c r="H1619" s="163" t="s">
        <v>227</v>
      </c>
      <c r="I1619" s="161" t="n">
        <v>6</v>
      </c>
      <c r="J1619" s="156" t="s">
        <v>192</v>
      </c>
      <c r="K1619" s="199" t="n">
        <v>45458.3689236111</v>
      </c>
      <c r="L1619" s="10" t="n">
        <v>6099</v>
      </c>
      <c r="M1619" s="156" t="s">
        <v>192</v>
      </c>
      <c r="N1619" s="1" t="n">
        <v>1131</v>
      </c>
    </row>
    <row r="1620" customFormat="false" ht="14.25" hidden="false" customHeight="false" outlineLevel="0" collapsed="false">
      <c r="A1620" s="1" t="n">
        <v>297</v>
      </c>
      <c r="B1620" s="1" t="s">
        <v>565</v>
      </c>
      <c r="C1620" s="1" t="s">
        <v>566</v>
      </c>
      <c r="D1620" s="208" t="n">
        <v>11197</v>
      </c>
      <c r="E1620" s="1" t="s">
        <v>53</v>
      </c>
      <c r="F1620" s="198" t="n">
        <v>200025889246</v>
      </c>
      <c r="G1620" s="198" t="s">
        <v>693</v>
      </c>
      <c r="H1620" s="163" t="s">
        <v>227</v>
      </c>
      <c r="I1620" s="161" t="n">
        <v>6</v>
      </c>
      <c r="J1620" s="156" t="s">
        <v>192</v>
      </c>
      <c r="K1620" s="199" t="n">
        <v>45458.439525463</v>
      </c>
      <c r="L1620" s="1" t="n">
        <v>0</v>
      </c>
      <c r="M1620" s="156" t="s">
        <v>192</v>
      </c>
      <c r="N1620" s="1" t="n">
        <v>1132</v>
      </c>
    </row>
    <row r="1621" customFormat="false" ht="14.25" hidden="false" customHeight="false" outlineLevel="0" collapsed="false">
      <c r="A1621" s="1" t="n">
        <v>298</v>
      </c>
      <c r="B1621" s="1" t="s">
        <v>565</v>
      </c>
      <c r="C1621" s="1" t="s">
        <v>566</v>
      </c>
      <c r="D1621" s="208" t="n">
        <v>11197</v>
      </c>
      <c r="E1621" s="1" t="s">
        <v>53</v>
      </c>
      <c r="F1621" s="198" t="n">
        <v>200025889212</v>
      </c>
      <c r="G1621" s="198" t="s">
        <v>683</v>
      </c>
      <c r="H1621" s="163" t="s">
        <v>519</v>
      </c>
      <c r="I1621" s="161" t="n">
        <v>112</v>
      </c>
      <c r="J1621" s="156" t="s">
        <v>192</v>
      </c>
      <c r="K1621" s="199" t="n">
        <v>45458.4418287037</v>
      </c>
      <c r="L1621" s="1" t="n">
        <v>0</v>
      </c>
      <c r="M1621" s="156" t="s">
        <v>192</v>
      </c>
      <c r="N1621" s="1" t="n">
        <v>1133</v>
      </c>
    </row>
    <row r="1622" customFormat="false" ht="14.25" hidden="false" customHeight="false" outlineLevel="0" collapsed="false">
      <c r="A1622" s="1" t="n">
        <v>299</v>
      </c>
      <c r="B1622" s="1" t="s">
        <v>565</v>
      </c>
      <c r="C1622" s="1" t="s">
        <v>566</v>
      </c>
      <c r="D1622" s="208" t="n">
        <v>11197</v>
      </c>
      <c r="E1622" s="1" t="s">
        <v>53</v>
      </c>
      <c r="F1622" s="198" t="n">
        <v>200025889212</v>
      </c>
      <c r="G1622" s="198" t="s">
        <v>683</v>
      </c>
      <c r="H1622" s="163" t="s">
        <v>519</v>
      </c>
      <c r="I1622" s="161" t="n">
        <v>112</v>
      </c>
      <c r="J1622" s="156" t="s">
        <v>192</v>
      </c>
      <c r="K1622" s="199" t="n">
        <v>45458.4418287037</v>
      </c>
      <c r="L1622" s="10" t="n">
        <v>8547</v>
      </c>
      <c r="M1622" s="156" t="s">
        <v>192</v>
      </c>
      <c r="N1622" s="1" t="n">
        <v>1134</v>
      </c>
    </row>
    <row r="1623" customFormat="false" ht="14.25" hidden="false" customHeight="false" outlineLevel="0" collapsed="false">
      <c r="A1623" s="1" t="n">
        <v>300</v>
      </c>
      <c r="B1623" s="1" t="s">
        <v>565</v>
      </c>
      <c r="C1623" s="1" t="s">
        <v>566</v>
      </c>
      <c r="D1623" s="208" t="n">
        <v>11197</v>
      </c>
      <c r="E1623" s="1" t="s">
        <v>53</v>
      </c>
      <c r="F1623" s="198" t="n">
        <v>200025889212</v>
      </c>
      <c r="G1623" s="198" t="s">
        <v>683</v>
      </c>
      <c r="H1623" s="163" t="s">
        <v>519</v>
      </c>
      <c r="I1623" s="161" t="n">
        <v>112</v>
      </c>
      <c r="J1623" s="156" t="s">
        <v>192</v>
      </c>
      <c r="K1623" s="199" t="n">
        <v>45459.4581828704</v>
      </c>
      <c r="L1623" s="10" t="n">
        <v>6117</v>
      </c>
      <c r="M1623" s="156" t="s">
        <v>192</v>
      </c>
      <c r="N1623" s="1" t="n">
        <v>1135</v>
      </c>
    </row>
    <row r="1624" customFormat="false" ht="14.25" hidden="false" customHeight="false" outlineLevel="0" collapsed="false">
      <c r="A1624" s="1" t="n">
        <v>301</v>
      </c>
      <c r="B1624" s="1" t="s">
        <v>565</v>
      </c>
      <c r="C1624" s="1" t="s">
        <v>566</v>
      </c>
      <c r="D1624" s="208" t="n">
        <v>11197</v>
      </c>
      <c r="E1624" s="1" t="s">
        <v>53</v>
      </c>
      <c r="F1624" s="198" t="n">
        <v>200025888606</v>
      </c>
      <c r="G1624" s="198" t="s">
        <v>576</v>
      </c>
      <c r="H1624" s="163" t="s">
        <v>366</v>
      </c>
      <c r="I1624" s="161" t="n">
        <v>28</v>
      </c>
      <c r="J1624" s="156" t="s">
        <v>192</v>
      </c>
      <c r="K1624" s="199" t="n">
        <v>45459.6105902778</v>
      </c>
      <c r="L1624" s="1" t="n">
        <v>1</v>
      </c>
      <c r="M1624" s="156" t="s">
        <v>192</v>
      </c>
      <c r="N1624" s="1" t="n">
        <v>1136</v>
      </c>
    </row>
    <row r="1625" customFormat="false" ht="14.25" hidden="false" customHeight="false" outlineLevel="0" collapsed="false">
      <c r="A1625" s="1" t="n">
        <v>302</v>
      </c>
      <c r="B1625" s="1" t="s">
        <v>565</v>
      </c>
      <c r="C1625" s="1" t="s">
        <v>566</v>
      </c>
      <c r="D1625" s="208" t="n">
        <v>11197</v>
      </c>
      <c r="E1625" s="1" t="s">
        <v>53</v>
      </c>
      <c r="F1625" s="198" t="n">
        <v>200025889407</v>
      </c>
      <c r="G1625" s="198" t="s">
        <v>580</v>
      </c>
      <c r="H1625" s="163" t="s">
        <v>465</v>
      </c>
      <c r="I1625" s="161" t="n">
        <v>54</v>
      </c>
      <c r="J1625" s="156" t="s">
        <v>192</v>
      </c>
      <c r="K1625" s="199" t="n">
        <v>45459.6765277778</v>
      </c>
      <c r="L1625" s="1" t="n">
        <v>1</v>
      </c>
      <c r="M1625" s="156" t="s">
        <v>192</v>
      </c>
      <c r="N1625" s="1" t="n">
        <v>1137</v>
      </c>
    </row>
    <row r="1626" customFormat="false" ht="14.25" hidden="false" customHeight="false" outlineLevel="0" collapsed="false">
      <c r="A1626" s="1" t="n">
        <v>356</v>
      </c>
      <c r="B1626" s="1" t="s">
        <v>702</v>
      </c>
      <c r="C1626" s="1" t="s">
        <v>703</v>
      </c>
      <c r="D1626" s="1" t="n">
        <v>11197</v>
      </c>
      <c r="E1626" s="1" t="s">
        <v>53</v>
      </c>
      <c r="F1626" s="201" t="n">
        <v>200025889372</v>
      </c>
      <c r="G1626" s="198" t="s">
        <v>697</v>
      </c>
      <c r="H1626" s="163" t="s">
        <v>272</v>
      </c>
      <c r="I1626" s="161" t="n">
        <v>81</v>
      </c>
      <c r="J1626" s="156" t="s">
        <v>192</v>
      </c>
      <c r="K1626" s="200" t="n">
        <v>45460.2661574074</v>
      </c>
      <c r="L1626" s="207" t="n">
        <v>55</v>
      </c>
      <c r="M1626" s="156" t="s">
        <v>192</v>
      </c>
      <c r="N1626" s="1" t="n">
        <v>1138</v>
      </c>
    </row>
    <row r="1627" customFormat="false" ht="14.25" hidden="false" customHeight="false" outlineLevel="0" collapsed="false">
      <c r="A1627" s="1" t="n">
        <v>357</v>
      </c>
      <c r="B1627" s="1" t="s">
        <v>702</v>
      </c>
      <c r="C1627" s="1" t="s">
        <v>703</v>
      </c>
      <c r="D1627" s="1" t="n">
        <v>11197</v>
      </c>
      <c r="E1627" s="1" t="s">
        <v>53</v>
      </c>
      <c r="F1627" s="201" t="n">
        <v>200025889372</v>
      </c>
      <c r="G1627" s="198" t="s">
        <v>697</v>
      </c>
      <c r="H1627" s="163" t="s">
        <v>272</v>
      </c>
      <c r="I1627" s="161" t="n">
        <v>81</v>
      </c>
      <c r="J1627" s="156" t="s">
        <v>192</v>
      </c>
      <c r="K1627" s="200" t="n">
        <v>45460.2668055556</v>
      </c>
      <c r="L1627" s="1" t="n">
        <v>5</v>
      </c>
      <c r="M1627" s="156" t="s">
        <v>192</v>
      </c>
      <c r="N1627" s="1" t="n">
        <v>1139</v>
      </c>
    </row>
    <row r="1628" customFormat="false" ht="14.25" hidden="false" customHeight="false" outlineLevel="0" collapsed="false">
      <c r="A1628" s="1" t="n">
        <v>358</v>
      </c>
      <c r="B1628" s="1" t="s">
        <v>702</v>
      </c>
      <c r="C1628" s="1" t="s">
        <v>703</v>
      </c>
      <c r="D1628" s="1" t="n">
        <v>11197</v>
      </c>
      <c r="E1628" s="1" t="s">
        <v>53</v>
      </c>
      <c r="F1628" s="201" t="n">
        <v>200025889372</v>
      </c>
      <c r="G1628" s="198" t="s">
        <v>697</v>
      </c>
      <c r="H1628" s="163" t="s">
        <v>272</v>
      </c>
      <c r="I1628" s="161" t="n">
        <v>81</v>
      </c>
      <c r="J1628" s="156" t="s">
        <v>192</v>
      </c>
      <c r="K1628" s="200" t="n">
        <v>45460.2670833333</v>
      </c>
      <c r="L1628" s="1" t="n">
        <v>15</v>
      </c>
      <c r="M1628" s="156" t="s">
        <v>192</v>
      </c>
      <c r="N1628" s="1" t="n">
        <v>1140</v>
      </c>
    </row>
    <row r="1629" customFormat="false" ht="14.25" hidden="false" customHeight="false" outlineLevel="0" collapsed="false">
      <c r="A1629" s="1" t="n">
        <v>359</v>
      </c>
      <c r="B1629" s="1" t="s">
        <v>702</v>
      </c>
      <c r="C1629" s="1" t="s">
        <v>703</v>
      </c>
      <c r="D1629" s="1" t="n">
        <v>11197</v>
      </c>
      <c r="E1629" s="1" t="s">
        <v>53</v>
      </c>
      <c r="F1629" s="201" t="n">
        <v>200025889372</v>
      </c>
      <c r="G1629" s="198" t="s">
        <v>697</v>
      </c>
      <c r="H1629" s="163" t="s">
        <v>272</v>
      </c>
      <c r="I1629" s="161" t="n">
        <v>81</v>
      </c>
      <c r="J1629" s="156" t="s">
        <v>192</v>
      </c>
      <c r="K1629" s="200" t="n">
        <v>45460.2672800926</v>
      </c>
      <c r="L1629" s="1" t="n">
        <v>49</v>
      </c>
      <c r="M1629" s="156" t="s">
        <v>192</v>
      </c>
      <c r="N1629" s="1" t="n">
        <v>1141</v>
      </c>
    </row>
    <row r="1630" customFormat="false" ht="14.25" hidden="false" customHeight="false" outlineLevel="0" collapsed="false">
      <c r="A1630" s="1" t="n">
        <v>360</v>
      </c>
      <c r="B1630" s="1" t="s">
        <v>702</v>
      </c>
      <c r="C1630" s="1" t="s">
        <v>703</v>
      </c>
      <c r="D1630" s="1" t="n">
        <v>11197</v>
      </c>
      <c r="E1630" s="1" t="s">
        <v>53</v>
      </c>
      <c r="F1630" s="201" t="n">
        <v>200025889372</v>
      </c>
      <c r="G1630" s="198" t="s">
        <v>697</v>
      </c>
      <c r="H1630" s="163" t="s">
        <v>272</v>
      </c>
      <c r="I1630" s="161" t="n">
        <v>81</v>
      </c>
      <c r="J1630" s="156" t="s">
        <v>192</v>
      </c>
      <c r="K1630" s="200" t="n">
        <v>45460.2678819444</v>
      </c>
      <c r="L1630" s="207" t="n">
        <v>147</v>
      </c>
      <c r="M1630" s="156" t="s">
        <v>192</v>
      </c>
      <c r="N1630" s="1" t="n">
        <v>1142</v>
      </c>
    </row>
    <row r="1631" customFormat="false" ht="14.25" hidden="false" customHeight="false" outlineLevel="0" collapsed="false">
      <c r="A1631" s="1" t="n">
        <v>361</v>
      </c>
      <c r="B1631" s="1" t="s">
        <v>702</v>
      </c>
      <c r="C1631" s="1" t="s">
        <v>703</v>
      </c>
      <c r="D1631" s="1" t="n">
        <v>11197</v>
      </c>
      <c r="E1631" s="1" t="s">
        <v>53</v>
      </c>
      <c r="F1631" s="201" t="n">
        <v>200025889372</v>
      </c>
      <c r="G1631" s="198" t="s">
        <v>697</v>
      </c>
      <c r="H1631" s="163" t="s">
        <v>272</v>
      </c>
      <c r="I1631" s="161" t="n">
        <v>81</v>
      </c>
      <c r="J1631" s="156" t="s">
        <v>192</v>
      </c>
      <c r="K1631" s="200" t="n">
        <v>45460.2696296296</v>
      </c>
      <c r="L1631" s="207" t="n">
        <v>216</v>
      </c>
      <c r="M1631" s="156" t="s">
        <v>192</v>
      </c>
      <c r="N1631" s="1" t="n">
        <v>1143</v>
      </c>
    </row>
    <row r="1632" customFormat="false" ht="14.25" hidden="false" customHeight="false" outlineLevel="0" collapsed="false">
      <c r="A1632" s="1" t="n">
        <v>362</v>
      </c>
      <c r="B1632" s="1" t="s">
        <v>702</v>
      </c>
      <c r="C1632" s="1" t="s">
        <v>703</v>
      </c>
      <c r="D1632" s="1" t="n">
        <v>11197</v>
      </c>
      <c r="E1632" s="1" t="s">
        <v>53</v>
      </c>
      <c r="F1632" s="201" t="n">
        <v>200025889372</v>
      </c>
      <c r="G1632" s="198" t="s">
        <v>697</v>
      </c>
      <c r="H1632" s="163" t="s">
        <v>272</v>
      </c>
      <c r="I1632" s="161" t="n">
        <v>81</v>
      </c>
      <c r="J1632" s="156" t="s">
        <v>192</v>
      </c>
      <c r="K1632" s="200" t="n">
        <v>45460.2721412037</v>
      </c>
      <c r="L1632" s="207" t="n">
        <v>293</v>
      </c>
      <c r="M1632" s="156" t="s">
        <v>192</v>
      </c>
      <c r="N1632" s="1" t="n">
        <v>1144</v>
      </c>
    </row>
    <row r="1633" customFormat="false" ht="14.25" hidden="false" customHeight="false" outlineLevel="0" collapsed="false">
      <c r="A1633" s="1" t="n">
        <v>363</v>
      </c>
      <c r="B1633" s="1" t="s">
        <v>702</v>
      </c>
      <c r="C1633" s="1" t="s">
        <v>703</v>
      </c>
      <c r="D1633" s="1" t="n">
        <v>11197</v>
      </c>
      <c r="E1633" s="1" t="s">
        <v>53</v>
      </c>
      <c r="F1633" s="201" t="n">
        <v>200025889372</v>
      </c>
      <c r="G1633" s="198" t="s">
        <v>697</v>
      </c>
      <c r="H1633" s="163" t="s">
        <v>272</v>
      </c>
      <c r="I1633" s="161" t="n">
        <v>81</v>
      </c>
      <c r="J1633" s="156" t="s">
        <v>192</v>
      </c>
      <c r="K1633" s="200" t="n">
        <v>45460.2755439815</v>
      </c>
      <c r="L1633" s="207" t="n">
        <v>201</v>
      </c>
      <c r="M1633" s="156" t="s">
        <v>192</v>
      </c>
      <c r="N1633" s="1" t="n">
        <v>1145</v>
      </c>
    </row>
    <row r="1634" customFormat="false" ht="14.25" hidden="false" customHeight="false" outlineLevel="0" collapsed="false">
      <c r="A1634" s="1" t="n">
        <v>364</v>
      </c>
      <c r="B1634" s="1" t="s">
        <v>702</v>
      </c>
      <c r="C1634" s="1" t="s">
        <v>703</v>
      </c>
      <c r="D1634" s="1" t="n">
        <v>11197</v>
      </c>
      <c r="E1634" s="1" t="s">
        <v>53</v>
      </c>
      <c r="F1634" s="201" t="n">
        <v>200025889372</v>
      </c>
      <c r="G1634" s="198" t="s">
        <v>697</v>
      </c>
      <c r="H1634" s="163" t="s">
        <v>272</v>
      </c>
      <c r="I1634" s="161" t="n">
        <v>81</v>
      </c>
      <c r="J1634" s="156" t="s">
        <v>192</v>
      </c>
      <c r="K1634" s="200" t="n">
        <v>45460.2778935185</v>
      </c>
      <c r="L1634" s="1" t="n">
        <v>6</v>
      </c>
      <c r="M1634" s="156" t="s">
        <v>192</v>
      </c>
      <c r="N1634" s="1" t="n">
        <v>1146</v>
      </c>
    </row>
    <row r="1635" customFormat="false" ht="14.25" hidden="false" customHeight="false" outlineLevel="0" collapsed="false">
      <c r="A1635" s="1" t="n">
        <v>365</v>
      </c>
      <c r="B1635" s="1" t="s">
        <v>702</v>
      </c>
      <c r="C1635" s="1" t="s">
        <v>703</v>
      </c>
      <c r="D1635" s="1" t="n">
        <v>11197</v>
      </c>
      <c r="E1635" s="1" t="s">
        <v>53</v>
      </c>
      <c r="F1635" s="201" t="n">
        <v>200025889372</v>
      </c>
      <c r="G1635" s="198" t="s">
        <v>697</v>
      </c>
      <c r="H1635" s="163" t="s">
        <v>272</v>
      </c>
      <c r="I1635" s="161" t="n">
        <v>81</v>
      </c>
      <c r="J1635" s="156" t="s">
        <v>192</v>
      </c>
      <c r="K1635" s="200" t="n">
        <v>45460.2780208333</v>
      </c>
      <c r="L1635" s="207" t="n">
        <v>371</v>
      </c>
      <c r="M1635" s="156" t="s">
        <v>192</v>
      </c>
      <c r="N1635" s="1" t="n">
        <v>1147</v>
      </c>
    </row>
    <row r="1636" customFormat="false" ht="14.25" hidden="false" customHeight="false" outlineLevel="0" collapsed="false">
      <c r="A1636" s="1" t="n">
        <v>366</v>
      </c>
      <c r="B1636" s="1" t="s">
        <v>702</v>
      </c>
      <c r="C1636" s="1" t="s">
        <v>703</v>
      </c>
      <c r="D1636" s="1" t="n">
        <v>11197</v>
      </c>
      <c r="E1636" s="1" t="s">
        <v>53</v>
      </c>
      <c r="F1636" s="201" t="n">
        <v>200025889372</v>
      </c>
      <c r="G1636" s="198" t="s">
        <v>697</v>
      </c>
      <c r="H1636" s="163" t="s">
        <v>272</v>
      </c>
      <c r="I1636" s="161" t="n">
        <v>81</v>
      </c>
      <c r="J1636" s="156" t="s">
        <v>192</v>
      </c>
      <c r="K1636" s="200" t="n">
        <v>45460.2823148148</v>
      </c>
      <c r="L1636" s="1" t="n">
        <v>48</v>
      </c>
      <c r="M1636" s="156" t="s">
        <v>192</v>
      </c>
      <c r="N1636" s="1" t="n">
        <v>1148</v>
      </c>
    </row>
    <row r="1637" customFormat="false" ht="14.25" hidden="false" customHeight="false" outlineLevel="0" collapsed="false">
      <c r="A1637" s="1" t="n">
        <v>367</v>
      </c>
      <c r="B1637" s="1" t="s">
        <v>702</v>
      </c>
      <c r="C1637" s="1" t="s">
        <v>703</v>
      </c>
      <c r="D1637" s="1" t="n">
        <v>11197</v>
      </c>
      <c r="E1637" s="1" t="s">
        <v>53</v>
      </c>
      <c r="F1637" s="201" t="n">
        <v>200025889372</v>
      </c>
      <c r="G1637" s="198" t="s">
        <v>697</v>
      </c>
      <c r="H1637" s="163" t="s">
        <v>272</v>
      </c>
      <c r="I1637" s="161" t="n">
        <v>81</v>
      </c>
      <c r="J1637" s="156" t="s">
        <v>192</v>
      </c>
      <c r="K1637" s="200" t="n">
        <v>45460.2829050926</v>
      </c>
      <c r="L1637" s="207" t="n">
        <v>80</v>
      </c>
      <c r="M1637" s="156" t="s">
        <v>192</v>
      </c>
      <c r="N1637" s="1" t="n">
        <v>1149</v>
      </c>
    </row>
    <row r="1638" customFormat="false" ht="14.25" hidden="false" customHeight="false" outlineLevel="0" collapsed="false">
      <c r="A1638" s="1" t="n">
        <v>368</v>
      </c>
      <c r="B1638" s="1" t="s">
        <v>702</v>
      </c>
      <c r="C1638" s="1" t="s">
        <v>703</v>
      </c>
      <c r="D1638" s="1" t="n">
        <v>11197</v>
      </c>
      <c r="E1638" s="1" t="s">
        <v>53</v>
      </c>
      <c r="F1638" s="201" t="n">
        <v>200025889372</v>
      </c>
      <c r="G1638" s="198" t="s">
        <v>697</v>
      </c>
      <c r="H1638" s="163" t="s">
        <v>272</v>
      </c>
      <c r="I1638" s="161" t="n">
        <v>81</v>
      </c>
      <c r="J1638" s="156" t="s">
        <v>192</v>
      </c>
      <c r="K1638" s="200" t="n">
        <v>45460.2838541667</v>
      </c>
      <c r="L1638" s="1" t="n">
        <v>2</v>
      </c>
      <c r="M1638" s="156" t="s">
        <v>192</v>
      </c>
      <c r="N1638" s="1" t="n">
        <v>1150</v>
      </c>
    </row>
    <row r="1639" customFormat="false" ht="14.25" hidden="false" customHeight="false" outlineLevel="0" collapsed="false">
      <c r="A1639" s="1" t="n">
        <v>369</v>
      </c>
      <c r="B1639" s="1" t="s">
        <v>702</v>
      </c>
      <c r="C1639" s="1" t="s">
        <v>703</v>
      </c>
      <c r="D1639" s="1" t="n">
        <v>11197</v>
      </c>
      <c r="E1639" s="1" t="s">
        <v>53</v>
      </c>
      <c r="F1639" s="201" t="n">
        <v>200025889372</v>
      </c>
      <c r="G1639" s="198" t="s">
        <v>697</v>
      </c>
      <c r="H1639" s="163" t="s">
        <v>272</v>
      </c>
      <c r="I1639" s="161" t="n">
        <v>81</v>
      </c>
      <c r="J1639" s="156" t="s">
        <v>192</v>
      </c>
      <c r="K1639" s="200" t="n">
        <v>45460.283900463</v>
      </c>
      <c r="L1639" s="207" t="n">
        <v>159</v>
      </c>
      <c r="M1639" s="156" t="s">
        <v>192</v>
      </c>
      <c r="N1639" s="1" t="n">
        <v>1151</v>
      </c>
    </row>
    <row r="1640" customFormat="false" ht="14.25" hidden="false" customHeight="false" outlineLevel="0" collapsed="false">
      <c r="A1640" s="1" t="n">
        <v>370</v>
      </c>
      <c r="B1640" s="1" t="s">
        <v>702</v>
      </c>
      <c r="C1640" s="1" t="s">
        <v>703</v>
      </c>
      <c r="D1640" s="1" t="n">
        <v>11197</v>
      </c>
      <c r="E1640" s="1" t="s">
        <v>53</v>
      </c>
      <c r="F1640" s="201" t="n">
        <v>200025889372</v>
      </c>
      <c r="G1640" s="198" t="s">
        <v>697</v>
      </c>
      <c r="H1640" s="163" t="s">
        <v>272</v>
      </c>
      <c r="I1640" s="161" t="n">
        <v>81</v>
      </c>
      <c r="J1640" s="156" t="s">
        <v>192</v>
      </c>
      <c r="K1640" s="200" t="n">
        <v>45460.285775463</v>
      </c>
      <c r="L1640" s="207" t="n">
        <v>144</v>
      </c>
      <c r="M1640" s="156" t="s">
        <v>192</v>
      </c>
      <c r="N1640" s="1" t="n">
        <v>1152</v>
      </c>
    </row>
    <row r="1641" customFormat="false" ht="14.25" hidden="false" customHeight="false" outlineLevel="0" collapsed="false">
      <c r="A1641" s="1" t="n">
        <v>371</v>
      </c>
      <c r="B1641" s="1" t="s">
        <v>702</v>
      </c>
      <c r="C1641" s="1" t="s">
        <v>703</v>
      </c>
      <c r="D1641" s="1" t="n">
        <v>11197</v>
      </c>
      <c r="E1641" s="1" t="s">
        <v>53</v>
      </c>
      <c r="F1641" s="201" t="n">
        <v>200025889372</v>
      </c>
      <c r="G1641" s="198" t="s">
        <v>697</v>
      </c>
      <c r="H1641" s="163" t="s">
        <v>272</v>
      </c>
      <c r="I1641" s="161" t="n">
        <v>81</v>
      </c>
      <c r="J1641" s="156" t="s">
        <v>192</v>
      </c>
      <c r="K1641" s="200" t="n">
        <v>45460.2874652778</v>
      </c>
      <c r="L1641" s="1" t="n">
        <v>4</v>
      </c>
      <c r="M1641" s="156" t="s">
        <v>192</v>
      </c>
      <c r="N1641" s="1" t="n">
        <v>1153</v>
      </c>
    </row>
    <row r="1642" customFormat="false" ht="14.25" hidden="false" customHeight="false" outlineLevel="0" collapsed="false">
      <c r="A1642" s="1" t="n">
        <v>372</v>
      </c>
      <c r="B1642" s="1" t="s">
        <v>702</v>
      </c>
      <c r="C1642" s="1" t="s">
        <v>703</v>
      </c>
      <c r="D1642" s="1" t="n">
        <v>11197</v>
      </c>
      <c r="E1642" s="1" t="s">
        <v>53</v>
      </c>
      <c r="F1642" s="201" t="n">
        <v>200025889372</v>
      </c>
      <c r="G1642" s="198" t="s">
        <v>697</v>
      </c>
      <c r="H1642" s="163" t="s">
        <v>272</v>
      </c>
      <c r="I1642" s="161" t="n">
        <v>81</v>
      </c>
      <c r="J1642" s="156" t="s">
        <v>192</v>
      </c>
      <c r="K1642" s="200" t="n">
        <v>45460.2875231481</v>
      </c>
      <c r="L1642" s="1" t="n">
        <v>10</v>
      </c>
      <c r="M1642" s="156" t="s">
        <v>192</v>
      </c>
      <c r="N1642" s="1" t="n">
        <v>1154</v>
      </c>
    </row>
    <row r="1643" customFormat="false" ht="14.25" hidden="false" customHeight="false" outlineLevel="0" collapsed="false">
      <c r="A1643" s="1" t="n">
        <v>303</v>
      </c>
      <c r="B1643" s="1" t="s">
        <v>565</v>
      </c>
      <c r="C1643" s="1" t="s">
        <v>566</v>
      </c>
      <c r="D1643" s="1" t="n">
        <v>11171</v>
      </c>
      <c r="E1643" s="1" t="s">
        <v>55</v>
      </c>
      <c r="F1643" s="198" t="n">
        <v>200025889267</v>
      </c>
      <c r="G1643" s="198" t="s">
        <v>694</v>
      </c>
      <c r="H1643" s="163" t="s">
        <v>263</v>
      </c>
      <c r="I1643" s="161" t="n">
        <v>10</v>
      </c>
      <c r="J1643" s="156" t="s">
        <v>192</v>
      </c>
      <c r="K1643" s="199" t="n">
        <v>45461.4472337963</v>
      </c>
      <c r="L1643" s="1" t="n">
        <v>3</v>
      </c>
      <c r="M1643" s="156" t="s">
        <v>192</v>
      </c>
      <c r="N1643" s="1" t="n">
        <v>1155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643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Q2" activeCellId="0" sqref="Q2"/>
    </sheetView>
  </sheetViews>
  <sheetFormatPr defaultColWidth="11.562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.56"/>
    <col collapsed="false" customWidth="true" hidden="false" outlineLevel="0" max="3" min="3" style="1" width="10.44"/>
    <col collapsed="false" customWidth="true" hidden="false" outlineLevel="0" max="4" min="4" style="1" width="8.56"/>
    <col collapsed="false" customWidth="true" hidden="false" outlineLevel="0" max="5" min="5" style="1" width="7.33"/>
    <col collapsed="false" customWidth="true" hidden="false" outlineLevel="0" max="6" min="6" style="1" width="15"/>
    <col collapsed="false" customWidth="true" hidden="false" outlineLevel="0" max="8" min="7" style="1" width="8.34"/>
    <col collapsed="false" customWidth="true" hidden="false" outlineLevel="0" max="9" min="9" style="1" width="6.33"/>
    <col collapsed="false" customWidth="true" hidden="false" outlineLevel="0" max="10" min="10" style="1" width="8.34"/>
    <col collapsed="false" customWidth="true" hidden="false" outlineLevel="0" max="11" min="11" style="1" width="20.33"/>
    <col collapsed="false" customWidth="true" hidden="false" outlineLevel="0" max="13" min="12" style="1" width="6.67"/>
    <col collapsed="false" customWidth="true" hidden="false" outlineLevel="0" max="14" min="14" style="1" width="8.67"/>
    <col collapsed="false" customWidth="true" hidden="false" outlineLevel="0" max="15" min="15" style="1" width="6.33"/>
  </cols>
  <sheetData>
    <row r="1" customFormat="false" ht="41.75" hidden="false" customHeight="false" outlineLevel="0" collapsed="false">
      <c r="A1" s="28" t="s">
        <v>552</v>
      </c>
      <c r="B1" s="28" t="s">
        <v>553</v>
      </c>
      <c r="C1" s="29" t="s">
        <v>554</v>
      </c>
      <c r="D1" s="29" t="s">
        <v>555</v>
      </c>
      <c r="E1" s="29" t="s">
        <v>556</v>
      </c>
      <c r="F1" s="28" t="s">
        <v>557</v>
      </c>
      <c r="G1" s="29" t="s">
        <v>558</v>
      </c>
      <c r="H1" s="194" t="s">
        <v>559</v>
      </c>
      <c r="I1" s="194" t="s">
        <v>560</v>
      </c>
      <c r="J1" s="194" t="s">
        <v>561</v>
      </c>
      <c r="K1" s="28" t="s">
        <v>562</v>
      </c>
      <c r="L1" s="194" t="s">
        <v>716</v>
      </c>
      <c r="M1" s="194" t="s">
        <v>716</v>
      </c>
      <c r="N1" s="194" t="s">
        <v>717</v>
      </c>
      <c r="O1" s="28" t="s">
        <v>563</v>
      </c>
      <c r="P1" s="195"/>
    </row>
    <row r="2" customFormat="false" ht="14.25" hidden="false" customHeight="false" outlineLevel="0" collapsed="false">
      <c r="A2" s="1" t="n">
        <v>18</v>
      </c>
      <c r="B2" s="1" t="s">
        <v>565</v>
      </c>
      <c r="C2" s="1" t="s">
        <v>566</v>
      </c>
      <c r="D2" s="196" t="n">
        <v>2644</v>
      </c>
      <c r="E2" s="196" t="s">
        <v>51</v>
      </c>
      <c r="F2" s="198" t="s">
        <v>647</v>
      </c>
      <c r="G2" s="198" t="s">
        <v>648</v>
      </c>
      <c r="H2" s="163" t="s">
        <v>294</v>
      </c>
      <c r="I2" s="161" t="n">
        <v>36</v>
      </c>
      <c r="J2" s="156" t="s">
        <v>185</v>
      </c>
      <c r="K2" s="199" t="n">
        <v>45434.2611111111</v>
      </c>
      <c r="L2" s="3" t="n">
        <v>1</v>
      </c>
      <c r="M2" s="3" t="n">
        <v>1</v>
      </c>
      <c r="N2" s="1" t="n">
        <v>1</v>
      </c>
      <c r="O2" s="1" t="n">
        <v>2</v>
      </c>
      <c r="P2" s="3"/>
    </row>
    <row r="3" customFormat="false" ht="14.25" hidden="false" customHeight="false" outlineLevel="0" collapsed="false">
      <c r="A3" s="1" t="n">
        <v>19</v>
      </c>
      <c r="B3" s="1" t="s">
        <v>565</v>
      </c>
      <c r="C3" s="1" t="s">
        <v>566</v>
      </c>
      <c r="D3" s="196" t="n">
        <v>2644</v>
      </c>
      <c r="E3" s="196" t="s">
        <v>51</v>
      </c>
      <c r="F3" s="198" t="s">
        <v>647</v>
      </c>
      <c r="G3" s="198" t="s">
        <v>648</v>
      </c>
      <c r="H3" s="163" t="s">
        <v>294</v>
      </c>
      <c r="I3" s="161" t="n">
        <v>36</v>
      </c>
      <c r="J3" s="156" t="s">
        <v>185</v>
      </c>
      <c r="K3" s="199" t="n">
        <v>45434.2613657407</v>
      </c>
      <c r="L3" s="3" t="n">
        <v>1</v>
      </c>
      <c r="M3" s="3" t="n">
        <v>1</v>
      </c>
      <c r="N3" s="1" t="n">
        <v>2</v>
      </c>
      <c r="O3" s="1" t="n">
        <v>1</v>
      </c>
      <c r="P3" s="3"/>
    </row>
    <row r="4" customFormat="false" ht="14.25" hidden="false" customHeight="false" outlineLevel="0" collapsed="false">
      <c r="A4" s="1" t="n">
        <v>20</v>
      </c>
      <c r="B4" s="1" t="s">
        <v>565</v>
      </c>
      <c r="C4" s="1" t="s">
        <v>566</v>
      </c>
      <c r="D4" s="196" t="n">
        <v>2644</v>
      </c>
      <c r="E4" s="196" t="s">
        <v>51</v>
      </c>
      <c r="F4" s="198" t="s">
        <v>647</v>
      </c>
      <c r="G4" s="198" t="s">
        <v>648</v>
      </c>
      <c r="H4" s="163" t="s">
        <v>294</v>
      </c>
      <c r="I4" s="161" t="n">
        <v>36</v>
      </c>
      <c r="J4" s="156" t="s">
        <v>185</v>
      </c>
      <c r="K4" s="199" t="n">
        <v>45434.2638657407</v>
      </c>
      <c r="L4" s="3" t="n">
        <v>1</v>
      </c>
      <c r="M4" s="3" t="n">
        <v>1</v>
      </c>
      <c r="N4" s="1" t="n">
        <v>3</v>
      </c>
      <c r="O4" s="1" t="n">
        <v>1</v>
      </c>
      <c r="P4" s="3"/>
    </row>
    <row r="5" customFormat="false" ht="14.25" hidden="false" customHeight="false" outlineLevel="0" collapsed="false">
      <c r="A5" s="1" t="n">
        <v>21</v>
      </c>
      <c r="B5" s="1" t="s">
        <v>565</v>
      </c>
      <c r="C5" s="1" t="s">
        <v>566</v>
      </c>
      <c r="D5" s="196" t="n">
        <v>2644</v>
      </c>
      <c r="E5" s="196" t="s">
        <v>51</v>
      </c>
      <c r="F5" s="198" t="s">
        <v>647</v>
      </c>
      <c r="G5" s="198" t="s">
        <v>648</v>
      </c>
      <c r="H5" s="163" t="s">
        <v>294</v>
      </c>
      <c r="I5" s="161" t="n">
        <v>36</v>
      </c>
      <c r="J5" s="156" t="s">
        <v>185</v>
      </c>
      <c r="K5" s="199" t="n">
        <v>45434.268599537</v>
      </c>
      <c r="L5" s="3" t="n">
        <v>1</v>
      </c>
      <c r="M5" s="3" t="n">
        <v>1</v>
      </c>
      <c r="N5" s="1" t="n">
        <v>4</v>
      </c>
      <c r="O5" s="1" t="n">
        <v>0</v>
      </c>
      <c r="P5" s="3"/>
    </row>
    <row r="6" customFormat="false" ht="14.25" hidden="false" customHeight="false" outlineLevel="0" collapsed="false">
      <c r="A6" s="1" t="n">
        <v>22</v>
      </c>
      <c r="B6" s="1" t="s">
        <v>565</v>
      </c>
      <c r="C6" s="1" t="s">
        <v>566</v>
      </c>
      <c r="D6" s="196" t="n">
        <v>2644</v>
      </c>
      <c r="E6" s="196" t="s">
        <v>51</v>
      </c>
      <c r="F6" s="198" t="s">
        <v>647</v>
      </c>
      <c r="G6" s="198" t="s">
        <v>648</v>
      </c>
      <c r="H6" s="163" t="s">
        <v>294</v>
      </c>
      <c r="I6" s="161" t="n">
        <v>36</v>
      </c>
      <c r="J6" s="156" t="s">
        <v>185</v>
      </c>
      <c r="K6" s="199" t="n">
        <v>45434.2686111111</v>
      </c>
      <c r="L6" s="3" t="n">
        <v>1</v>
      </c>
      <c r="M6" s="3" t="n">
        <v>1</v>
      </c>
      <c r="N6" s="1" t="n">
        <v>5</v>
      </c>
      <c r="O6" s="10" t="n">
        <v>91</v>
      </c>
      <c r="P6" s="3"/>
    </row>
    <row r="7" customFormat="false" ht="14.25" hidden="false" customHeight="false" outlineLevel="0" collapsed="false">
      <c r="A7" s="1" t="n">
        <v>23</v>
      </c>
      <c r="B7" s="1" t="s">
        <v>565</v>
      </c>
      <c r="C7" s="1" t="s">
        <v>566</v>
      </c>
      <c r="D7" s="196" t="n">
        <v>2644</v>
      </c>
      <c r="E7" s="196" t="s">
        <v>51</v>
      </c>
      <c r="F7" s="198" t="s">
        <v>649</v>
      </c>
      <c r="G7" s="198" t="s">
        <v>650</v>
      </c>
      <c r="H7" s="163" t="s">
        <v>212</v>
      </c>
      <c r="I7" s="161" t="n">
        <v>5</v>
      </c>
      <c r="J7" s="156" t="s">
        <v>185</v>
      </c>
      <c r="K7" s="199" t="n">
        <v>45434.3279282407</v>
      </c>
      <c r="L7" s="3" t="n">
        <v>2</v>
      </c>
      <c r="M7" s="3" t="n">
        <v>2</v>
      </c>
      <c r="N7" s="1" t="n">
        <v>1</v>
      </c>
      <c r="O7" s="1" t="n">
        <v>1</v>
      </c>
    </row>
    <row r="8" customFormat="false" ht="14.25" hidden="false" customHeight="false" outlineLevel="0" collapsed="false">
      <c r="A8" s="1" t="n">
        <v>24</v>
      </c>
      <c r="B8" s="1" t="s">
        <v>565</v>
      </c>
      <c r="C8" s="1" t="s">
        <v>566</v>
      </c>
      <c r="D8" s="196" t="n">
        <v>2644</v>
      </c>
      <c r="E8" s="196" t="s">
        <v>51</v>
      </c>
      <c r="F8" s="198" t="s">
        <v>649</v>
      </c>
      <c r="G8" s="198" t="s">
        <v>650</v>
      </c>
      <c r="H8" s="163" t="s">
        <v>212</v>
      </c>
      <c r="I8" s="161" t="n">
        <v>5</v>
      </c>
      <c r="J8" s="156" t="s">
        <v>185</v>
      </c>
      <c r="K8" s="199" t="n">
        <v>45434.3284375</v>
      </c>
      <c r="L8" s="3" t="n">
        <v>2</v>
      </c>
      <c r="M8" s="3" t="n">
        <v>2</v>
      </c>
      <c r="N8" s="1" t="n">
        <v>2</v>
      </c>
      <c r="O8" s="1" t="n">
        <v>1</v>
      </c>
    </row>
    <row r="9" customFormat="false" ht="14.25" hidden="false" customHeight="false" outlineLevel="0" collapsed="false">
      <c r="A9" s="1" t="n">
        <v>25</v>
      </c>
      <c r="B9" s="1" t="s">
        <v>565</v>
      </c>
      <c r="C9" s="1" t="s">
        <v>566</v>
      </c>
      <c r="D9" s="196" t="n">
        <v>2644</v>
      </c>
      <c r="E9" s="196" t="s">
        <v>51</v>
      </c>
      <c r="F9" s="198" t="s">
        <v>649</v>
      </c>
      <c r="G9" s="198" t="s">
        <v>650</v>
      </c>
      <c r="H9" s="163" t="s">
        <v>212</v>
      </c>
      <c r="I9" s="161" t="n">
        <v>5</v>
      </c>
      <c r="J9" s="156" t="s">
        <v>185</v>
      </c>
      <c r="K9" s="199" t="n">
        <v>45434.3295601852</v>
      </c>
      <c r="L9" s="3" t="n">
        <v>2</v>
      </c>
      <c r="M9" s="3" t="n">
        <v>2</v>
      </c>
      <c r="N9" s="1" t="n">
        <v>3</v>
      </c>
      <c r="O9" s="1" t="n">
        <v>1</v>
      </c>
    </row>
    <row r="10" customFormat="false" ht="14.25" hidden="false" customHeight="false" outlineLevel="0" collapsed="false">
      <c r="A10" s="1" t="n">
        <v>26</v>
      </c>
      <c r="B10" s="1" t="s">
        <v>565</v>
      </c>
      <c r="C10" s="1" t="s">
        <v>566</v>
      </c>
      <c r="D10" s="196" t="n">
        <v>2644</v>
      </c>
      <c r="E10" s="196" t="s">
        <v>51</v>
      </c>
      <c r="F10" s="198" t="s">
        <v>649</v>
      </c>
      <c r="G10" s="198" t="s">
        <v>650</v>
      </c>
      <c r="H10" s="163" t="s">
        <v>212</v>
      </c>
      <c r="I10" s="161" t="n">
        <v>5</v>
      </c>
      <c r="J10" s="156" t="s">
        <v>185</v>
      </c>
      <c r="K10" s="199" t="n">
        <v>45434.3295717593</v>
      </c>
      <c r="L10" s="3" t="n">
        <v>2</v>
      </c>
      <c r="M10" s="3" t="n">
        <v>2</v>
      </c>
      <c r="N10" s="1" t="n">
        <v>4</v>
      </c>
      <c r="O10" s="1" t="n">
        <v>1</v>
      </c>
    </row>
    <row r="11" customFormat="false" ht="14.25" hidden="false" customHeight="false" outlineLevel="0" collapsed="false">
      <c r="A11" s="1" t="n">
        <v>190</v>
      </c>
      <c r="B11" s="1" t="s">
        <v>621</v>
      </c>
      <c r="C11" s="1" t="s">
        <v>622</v>
      </c>
      <c r="D11" s="1" t="n">
        <v>11171</v>
      </c>
      <c r="E11" s="1" t="s">
        <v>55</v>
      </c>
      <c r="F11" s="201" t="n">
        <v>200025888264</v>
      </c>
      <c r="G11" s="198" t="s">
        <v>650</v>
      </c>
      <c r="H11" s="163" t="s">
        <v>212</v>
      </c>
      <c r="I11" s="161" t="n">
        <v>5</v>
      </c>
      <c r="J11" s="156" t="s">
        <v>185</v>
      </c>
      <c r="K11" s="200" t="n">
        <v>45435.4618518519</v>
      </c>
      <c r="L11" s="3" t="n">
        <v>2</v>
      </c>
      <c r="M11" s="3" t="n">
        <v>2</v>
      </c>
      <c r="N11" s="1" t="n">
        <v>5</v>
      </c>
      <c r="O11" s="1" t="n">
        <v>0</v>
      </c>
    </row>
    <row r="12" customFormat="false" ht="14.25" hidden="false" customHeight="false" outlineLevel="0" collapsed="false">
      <c r="A12" s="1" t="n">
        <v>191</v>
      </c>
      <c r="B12" s="1" t="s">
        <v>621</v>
      </c>
      <c r="C12" s="1" t="s">
        <v>622</v>
      </c>
      <c r="D12" s="1" t="n">
        <v>11171</v>
      </c>
      <c r="E12" s="1" t="s">
        <v>55</v>
      </c>
      <c r="F12" s="201" t="n">
        <v>200025888264</v>
      </c>
      <c r="G12" s="198" t="s">
        <v>650</v>
      </c>
      <c r="H12" s="163" t="s">
        <v>212</v>
      </c>
      <c r="I12" s="161" t="n">
        <v>5</v>
      </c>
      <c r="J12" s="156" t="s">
        <v>185</v>
      </c>
      <c r="K12" s="200" t="n">
        <v>45435.4618634259</v>
      </c>
      <c r="L12" s="3" t="n">
        <v>2</v>
      </c>
      <c r="M12" s="3" t="n">
        <v>2</v>
      </c>
      <c r="N12" s="1" t="n">
        <v>6</v>
      </c>
      <c r="O12" s="1" t="n">
        <v>2</v>
      </c>
    </row>
    <row r="13" customFormat="false" ht="14.25" hidden="false" customHeight="false" outlineLevel="0" collapsed="false">
      <c r="A13" s="1" t="n">
        <v>192</v>
      </c>
      <c r="B13" s="1" t="s">
        <v>621</v>
      </c>
      <c r="C13" s="1" t="s">
        <v>622</v>
      </c>
      <c r="D13" s="1" t="n">
        <v>11171</v>
      </c>
      <c r="E13" s="1" t="s">
        <v>55</v>
      </c>
      <c r="F13" s="201" t="n">
        <v>200025888264</v>
      </c>
      <c r="G13" s="198" t="s">
        <v>650</v>
      </c>
      <c r="H13" s="163" t="s">
        <v>212</v>
      </c>
      <c r="I13" s="161" t="n">
        <v>5</v>
      </c>
      <c r="J13" s="156" t="s">
        <v>185</v>
      </c>
      <c r="K13" s="200" t="n">
        <v>45435.4629398148</v>
      </c>
      <c r="L13" s="3" t="n">
        <v>2</v>
      </c>
      <c r="M13" s="3" t="n">
        <v>2</v>
      </c>
      <c r="N13" s="1" t="n">
        <v>7</v>
      </c>
      <c r="O13" s="1" t="n">
        <v>2</v>
      </c>
    </row>
    <row r="14" customFormat="false" ht="14.25" hidden="false" customHeight="false" outlineLevel="0" collapsed="false">
      <c r="A14" s="1" t="n">
        <v>193</v>
      </c>
      <c r="B14" s="1" t="s">
        <v>621</v>
      </c>
      <c r="C14" s="1" t="s">
        <v>622</v>
      </c>
      <c r="D14" s="1" t="n">
        <v>11171</v>
      </c>
      <c r="E14" s="1" t="s">
        <v>55</v>
      </c>
      <c r="F14" s="201" t="n">
        <v>200025888264</v>
      </c>
      <c r="G14" s="198" t="s">
        <v>650</v>
      </c>
      <c r="H14" s="163" t="s">
        <v>212</v>
      </c>
      <c r="I14" s="161" t="n">
        <v>5</v>
      </c>
      <c r="J14" s="156" t="s">
        <v>185</v>
      </c>
      <c r="K14" s="200" t="n">
        <v>45435.4630902778</v>
      </c>
      <c r="L14" s="3" t="n">
        <v>2</v>
      </c>
      <c r="M14" s="3" t="n">
        <v>2</v>
      </c>
      <c r="N14" s="1" t="n">
        <v>8</v>
      </c>
      <c r="O14" s="1" t="n">
        <v>1</v>
      </c>
    </row>
    <row r="15" customFormat="false" ht="14.25" hidden="false" customHeight="false" outlineLevel="0" collapsed="false">
      <c r="A15" s="1" t="n">
        <v>112</v>
      </c>
      <c r="B15" s="1" t="s">
        <v>621</v>
      </c>
      <c r="C15" s="1" t="s">
        <v>622</v>
      </c>
      <c r="D15" s="1" t="n">
        <v>11171</v>
      </c>
      <c r="E15" s="1" t="s">
        <v>55</v>
      </c>
      <c r="F15" s="201" t="n">
        <v>200025888221</v>
      </c>
      <c r="G15" s="198" t="s">
        <v>663</v>
      </c>
      <c r="H15" s="163" t="s">
        <v>266</v>
      </c>
      <c r="I15" s="161" t="n">
        <v>42</v>
      </c>
      <c r="J15" s="156" t="s">
        <v>185</v>
      </c>
      <c r="K15" s="200" t="n">
        <v>45434.5105324074</v>
      </c>
      <c r="L15" s="3" t="n">
        <v>3</v>
      </c>
      <c r="M15" s="3" t="n">
        <v>3</v>
      </c>
      <c r="N15" s="1" t="n">
        <v>1</v>
      </c>
      <c r="O15" s="1" t="n">
        <v>3</v>
      </c>
    </row>
    <row r="16" customFormat="false" ht="14.25" hidden="false" customHeight="false" outlineLevel="0" collapsed="false">
      <c r="A16" s="1" t="n">
        <v>113</v>
      </c>
      <c r="B16" s="1" t="s">
        <v>621</v>
      </c>
      <c r="C16" s="1" t="s">
        <v>622</v>
      </c>
      <c r="D16" s="1" t="n">
        <v>11171</v>
      </c>
      <c r="E16" s="1" t="s">
        <v>55</v>
      </c>
      <c r="F16" s="201" t="n">
        <v>200025888221</v>
      </c>
      <c r="G16" s="198" t="s">
        <v>663</v>
      </c>
      <c r="H16" s="163" t="s">
        <v>266</v>
      </c>
      <c r="I16" s="161" t="n">
        <v>42</v>
      </c>
      <c r="J16" s="156" t="s">
        <v>185</v>
      </c>
      <c r="K16" s="200" t="n">
        <v>45434.5951041667</v>
      </c>
      <c r="L16" s="3" t="n">
        <v>3</v>
      </c>
      <c r="M16" s="3" t="n">
        <v>3</v>
      </c>
      <c r="N16" s="1" t="n">
        <v>2</v>
      </c>
      <c r="O16" s="1" t="n">
        <v>2</v>
      </c>
    </row>
    <row r="17" customFormat="false" ht="14.25" hidden="false" customHeight="false" outlineLevel="0" collapsed="false">
      <c r="A17" s="1" t="n">
        <v>132</v>
      </c>
      <c r="B17" s="1" t="s">
        <v>621</v>
      </c>
      <c r="C17" s="1" t="s">
        <v>622</v>
      </c>
      <c r="D17" s="1" t="n">
        <v>11171</v>
      </c>
      <c r="E17" s="1" t="s">
        <v>55</v>
      </c>
      <c r="F17" s="201" t="n">
        <v>200025888221</v>
      </c>
      <c r="G17" s="198" t="s">
        <v>663</v>
      </c>
      <c r="H17" s="163" t="s">
        <v>266</v>
      </c>
      <c r="I17" s="161" t="n">
        <v>42</v>
      </c>
      <c r="J17" s="156" t="s">
        <v>185</v>
      </c>
      <c r="K17" s="200" t="n">
        <v>45434.9783680556</v>
      </c>
      <c r="L17" s="3" t="n">
        <v>3</v>
      </c>
      <c r="M17" s="3" t="n">
        <v>3</v>
      </c>
      <c r="N17" s="1" t="n">
        <v>3</v>
      </c>
      <c r="O17" s="1" t="n">
        <v>3</v>
      </c>
    </row>
    <row r="18" customFormat="false" ht="14.25" hidden="false" customHeight="false" outlineLevel="0" collapsed="false">
      <c r="A18" s="1" t="n">
        <v>215</v>
      </c>
      <c r="B18" s="1" t="s">
        <v>621</v>
      </c>
      <c r="C18" s="1" t="s">
        <v>622</v>
      </c>
      <c r="D18" s="1" t="n">
        <v>11171</v>
      </c>
      <c r="E18" s="1" t="s">
        <v>55</v>
      </c>
      <c r="F18" s="201" t="n">
        <v>200025888221</v>
      </c>
      <c r="G18" s="198" t="s">
        <v>663</v>
      </c>
      <c r="H18" s="163" t="s">
        <v>266</v>
      </c>
      <c r="I18" s="161" t="n">
        <v>42</v>
      </c>
      <c r="J18" s="156" t="s">
        <v>185</v>
      </c>
      <c r="K18" s="200" t="n">
        <v>45435.6828472222</v>
      </c>
      <c r="L18" s="3" t="n">
        <v>3</v>
      </c>
      <c r="M18" s="3" t="n">
        <v>3</v>
      </c>
      <c r="N18" s="1" t="n">
        <v>4</v>
      </c>
      <c r="O18" s="1" t="n">
        <v>1</v>
      </c>
    </row>
    <row r="19" customFormat="false" ht="14.25" hidden="false" customHeight="false" outlineLevel="0" collapsed="false">
      <c r="A19" s="1" t="n">
        <v>114</v>
      </c>
      <c r="B19" s="1" t="s">
        <v>621</v>
      </c>
      <c r="C19" s="1" t="s">
        <v>622</v>
      </c>
      <c r="D19" s="1" t="n">
        <v>11171</v>
      </c>
      <c r="E19" s="1" t="s">
        <v>55</v>
      </c>
      <c r="F19" s="201" t="n">
        <v>200025888469</v>
      </c>
      <c r="G19" s="198" t="s">
        <v>664</v>
      </c>
      <c r="H19" s="163" t="s">
        <v>318</v>
      </c>
      <c r="I19" s="161" t="n">
        <v>114</v>
      </c>
      <c r="J19" s="156" t="s">
        <v>185</v>
      </c>
      <c r="K19" s="200" t="n">
        <v>45434.5965277778</v>
      </c>
      <c r="L19" s="3" t="n">
        <v>4</v>
      </c>
      <c r="M19" s="3" t="n">
        <v>4</v>
      </c>
      <c r="N19" s="1" t="n">
        <v>1</v>
      </c>
      <c r="O19" s="1" t="n">
        <v>0</v>
      </c>
    </row>
    <row r="20" customFormat="false" ht="14.25" hidden="false" customHeight="false" outlineLevel="0" collapsed="false">
      <c r="A20" s="1" t="n">
        <v>115</v>
      </c>
      <c r="B20" s="1" t="s">
        <v>621</v>
      </c>
      <c r="C20" s="1" t="s">
        <v>622</v>
      </c>
      <c r="D20" s="1" t="n">
        <v>11171</v>
      </c>
      <c r="E20" s="1" t="s">
        <v>55</v>
      </c>
      <c r="F20" s="201" t="n">
        <v>200025888469</v>
      </c>
      <c r="G20" s="198" t="s">
        <v>664</v>
      </c>
      <c r="H20" s="163" t="s">
        <v>318</v>
      </c>
      <c r="I20" s="161" t="n">
        <v>114</v>
      </c>
      <c r="J20" s="156" t="s">
        <v>185</v>
      </c>
      <c r="K20" s="200" t="n">
        <v>45434.5968634259</v>
      </c>
      <c r="L20" s="3" t="n">
        <v>4</v>
      </c>
      <c r="M20" s="3" t="n">
        <v>4</v>
      </c>
      <c r="N20" s="1" t="n">
        <v>2</v>
      </c>
      <c r="O20" s="1" t="n">
        <v>1</v>
      </c>
    </row>
    <row r="21" customFormat="false" ht="14.25" hidden="false" customHeight="false" outlineLevel="0" collapsed="false">
      <c r="A21" s="1" t="n">
        <v>169</v>
      </c>
      <c r="B21" s="1" t="s">
        <v>624</v>
      </c>
      <c r="C21" s="1" t="s">
        <v>625</v>
      </c>
      <c r="D21" s="1" t="n">
        <v>21261</v>
      </c>
      <c r="E21" s="1" t="s">
        <v>57</v>
      </c>
      <c r="F21" s="201" t="n">
        <v>200025888469</v>
      </c>
      <c r="G21" s="198" t="s">
        <v>664</v>
      </c>
      <c r="H21" s="163" t="s">
        <v>318</v>
      </c>
      <c r="I21" s="161" t="n">
        <v>114</v>
      </c>
      <c r="J21" s="156" t="s">
        <v>185</v>
      </c>
      <c r="K21" s="200" t="n">
        <v>45435.9283680556</v>
      </c>
      <c r="L21" s="3" t="n">
        <v>4</v>
      </c>
      <c r="M21" s="3" t="n">
        <v>4</v>
      </c>
      <c r="N21" s="1" t="n">
        <v>3</v>
      </c>
      <c r="O21" s="1" t="n">
        <v>0</v>
      </c>
    </row>
    <row r="22" customFormat="false" ht="14.25" hidden="false" customHeight="false" outlineLevel="0" collapsed="false">
      <c r="A22" s="1" t="n">
        <v>116</v>
      </c>
      <c r="B22" s="1" t="s">
        <v>621</v>
      </c>
      <c r="C22" s="1" t="s">
        <v>622</v>
      </c>
      <c r="D22" s="1" t="n">
        <v>11171</v>
      </c>
      <c r="E22" s="1" t="s">
        <v>55</v>
      </c>
      <c r="F22" s="201" t="n">
        <v>200025888527</v>
      </c>
      <c r="G22" s="198" t="s">
        <v>665</v>
      </c>
      <c r="H22" s="163" t="s">
        <v>339</v>
      </c>
      <c r="I22" s="161" t="n">
        <v>92</v>
      </c>
      <c r="J22" s="156" t="s">
        <v>185</v>
      </c>
      <c r="K22" s="200" t="n">
        <v>45434.6269212963</v>
      </c>
      <c r="L22" s="3" t="n">
        <v>5</v>
      </c>
      <c r="M22" s="3" t="n">
        <v>5</v>
      </c>
      <c r="N22" s="1" t="n">
        <v>1</v>
      </c>
      <c r="O22" s="1" t="n">
        <v>0</v>
      </c>
    </row>
    <row r="23" customFormat="false" ht="14.25" hidden="false" customHeight="false" outlineLevel="0" collapsed="false">
      <c r="A23" s="1" t="n">
        <v>117</v>
      </c>
      <c r="B23" s="1" t="s">
        <v>621</v>
      </c>
      <c r="C23" s="1" t="s">
        <v>622</v>
      </c>
      <c r="D23" s="1" t="n">
        <v>11171</v>
      </c>
      <c r="E23" s="1" t="s">
        <v>55</v>
      </c>
      <c r="F23" s="201" t="n">
        <v>200025888527</v>
      </c>
      <c r="G23" s="198" t="s">
        <v>665</v>
      </c>
      <c r="H23" s="163" t="s">
        <v>339</v>
      </c>
      <c r="I23" s="161" t="n">
        <v>92</v>
      </c>
      <c r="J23" s="156" t="s">
        <v>185</v>
      </c>
      <c r="K23" s="200" t="n">
        <v>45434.6563425926</v>
      </c>
      <c r="L23" s="3" t="n">
        <v>5</v>
      </c>
      <c r="M23" s="3" t="n">
        <v>5</v>
      </c>
      <c r="N23" s="1" t="n">
        <v>2</v>
      </c>
      <c r="O23" s="1" t="n">
        <v>1</v>
      </c>
    </row>
    <row r="24" customFormat="false" ht="14.25" hidden="false" customHeight="false" outlineLevel="0" collapsed="false">
      <c r="A24" s="1" t="n">
        <v>118</v>
      </c>
      <c r="B24" s="1" t="s">
        <v>621</v>
      </c>
      <c r="C24" s="1" t="s">
        <v>622</v>
      </c>
      <c r="D24" s="1" t="n">
        <v>11171</v>
      </c>
      <c r="E24" s="1" t="s">
        <v>55</v>
      </c>
      <c r="F24" s="201" t="n">
        <v>200025888527</v>
      </c>
      <c r="G24" s="198" t="s">
        <v>665</v>
      </c>
      <c r="H24" s="163" t="s">
        <v>339</v>
      </c>
      <c r="I24" s="161" t="n">
        <v>92</v>
      </c>
      <c r="J24" s="156" t="s">
        <v>185</v>
      </c>
      <c r="K24" s="200" t="n">
        <v>45434.6563541667</v>
      </c>
      <c r="L24" s="3" t="n">
        <v>5</v>
      </c>
      <c r="M24" s="3" t="n">
        <v>5</v>
      </c>
      <c r="N24" s="1" t="n">
        <v>3</v>
      </c>
      <c r="O24" s="1" t="n">
        <v>2</v>
      </c>
    </row>
    <row r="25" customFormat="false" ht="14.25" hidden="false" customHeight="false" outlineLevel="0" collapsed="false">
      <c r="A25" s="1" t="n">
        <v>119</v>
      </c>
      <c r="B25" s="1" t="s">
        <v>621</v>
      </c>
      <c r="C25" s="1" t="s">
        <v>622</v>
      </c>
      <c r="D25" s="1" t="n">
        <v>11171</v>
      </c>
      <c r="E25" s="1" t="s">
        <v>55</v>
      </c>
      <c r="F25" s="201" t="n">
        <v>200025888527</v>
      </c>
      <c r="G25" s="198" t="s">
        <v>665</v>
      </c>
      <c r="H25" s="163" t="s">
        <v>339</v>
      </c>
      <c r="I25" s="161" t="n">
        <v>92</v>
      </c>
      <c r="J25" s="156" t="s">
        <v>185</v>
      </c>
      <c r="K25" s="200" t="n">
        <v>45434.6581481482</v>
      </c>
      <c r="L25" s="3" t="n">
        <v>5</v>
      </c>
      <c r="M25" s="3" t="n">
        <v>5</v>
      </c>
      <c r="N25" s="1" t="n">
        <v>4</v>
      </c>
      <c r="O25" s="1" t="n">
        <v>3</v>
      </c>
    </row>
    <row r="26" customFormat="false" ht="14.25" hidden="false" customHeight="false" outlineLevel="0" collapsed="false">
      <c r="A26" s="1" t="n">
        <v>120</v>
      </c>
      <c r="B26" s="1" t="s">
        <v>621</v>
      </c>
      <c r="C26" s="1" t="s">
        <v>622</v>
      </c>
      <c r="D26" s="1" t="n">
        <v>11171</v>
      </c>
      <c r="E26" s="1" t="s">
        <v>55</v>
      </c>
      <c r="F26" s="201" t="n">
        <v>200025888527</v>
      </c>
      <c r="G26" s="198" t="s">
        <v>665</v>
      </c>
      <c r="H26" s="163" t="s">
        <v>339</v>
      </c>
      <c r="I26" s="161" t="n">
        <v>92</v>
      </c>
      <c r="J26" s="156" t="s">
        <v>185</v>
      </c>
      <c r="K26" s="200" t="n">
        <v>45434.6599884259</v>
      </c>
      <c r="L26" s="3" t="n">
        <v>5</v>
      </c>
      <c r="M26" s="3" t="n">
        <v>5</v>
      </c>
      <c r="N26" s="1" t="n">
        <v>5</v>
      </c>
      <c r="O26" s="1" t="n">
        <v>2</v>
      </c>
    </row>
    <row r="27" customFormat="false" ht="14.25" hidden="false" customHeight="false" outlineLevel="0" collapsed="false">
      <c r="A27" s="1" t="n">
        <v>121</v>
      </c>
      <c r="B27" s="1" t="s">
        <v>621</v>
      </c>
      <c r="C27" s="1" t="s">
        <v>622</v>
      </c>
      <c r="D27" s="1" t="n">
        <v>11171</v>
      </c>
      <c r="E27" s="1" t="s">
        <v>55</v>
      </c>
      <c r="F27" s="201" t="n">
        <v>200025888527</v>
      </c>
      <c r="G27" s="198" t="s">
        <v>665</v>
      </c>
      <c r="H27" s="163" t="s">
        <v>339</v>
      </c>
      <c r="I27" s="161" t="n">
        <v>92</v>
      </c>
      <c r="J27" s="156" t="s">
        <v>185</v>
      </c>
      <c r="K27" s="200" t="n">
        <v>45434.6711458333</v>
      </c>
      <c r="L27" s="3" t="n">
        <v>5</v>
      </c>
      <c r="M27" s="3" t="n">
        <v>5</v>
      </c>
      <c r="N27" s="1" t="n">
        <v>6</v>
      </c>
      <c r="O27" s="1" t="n">
        <v>1</v>
      </c>
    </row>
    <row r="28" customFormat="false" ht="14.25" hidden="false" customHeight="false" outlineLevel="0" collapsed="false">
      <c r="A28" s="1" t="n">
        <v>122</v>
      </c>
      <c r="B28" s="1" t="s">
        <v>621</v>
      </c>
      <c r="C28" s="1" t="s">
        <v>622</v>
      </c>
      <c r="D28" s="1" t="n">
        <v>11171</v>
      </c>
      <c r="E28" s="1" t="s">
        <v>55</v>
      </c>
      <c r="F28" s="201" t="n">
        <v>200025888527</v>
      </c>
      <c r="G28" s="198" t="s">
        <v>665</v>
      </c>
      <c r="H28" s="163" t="s">
        <v>339</v>
      </c>
      <c r="I28" s="161" t="n">
        <v>92</v>
      </c>
      <c r="J28" s="156" t="s">
        <v>185</v>
      </c>
      <c r="K28" s="200" t="n">
        <v>45434.7257175926</v>
      </c>
      <c r="L28" s="3" t="n">
        <v>5</v>
      </c>
      <c r="M28" s="3" t="n">
        <v>5</v>
      </c>
      <c r="N28" s="1" t="n">
        <v>7</v>
      </c>
      <c r="O28" s="1" t="n">
        <v>3</v>
      </c>
    </row>
    <row r="29" customFormat="false" ht="14.25" hidden="false" customHeight="false" outlineLevel="0" collapsed="false">
      <c r="A29" s="1" t="n">
        <v>152</v>
      </c>
      <c r="B29" s="1" t="s">
        <v>621</v>
      </c>
      <c r="C29" s="1" t="s">
        <v>622</v>
      </c>
      <c r="D29" s="1" t="n">
        <v>11171</v>
      </c>
      <c r="E29" s="1" t="s">
        <v>55</v>
      </c>
      <c r="F29" s="201" t="n">
        <v>200025888527</v>
      </c>
      <c r="G29" s="198" t="s">
        <v>665</v>
      </c>
      <c r="H29" s="163" t="s">
        <v>339</v>
      </c>
      <c r="I29" s="161" t="n">
        <v>92</v>
      </c>
      <c r="J29" s="156" t="s">
        <v>185</v>
      </c>
      <c r="K29" s="200" t="n">
        <v>45435.1961111111</v>
      </c>
      <c r="L29" s="3" t="n">
        <v>5</v>
      </c>
      <c r="M29" s="3" t="n">
        <v>5</v>
      </c>
      <c r="N29" s="1" t="n">
        <v>8</v>
      </c>
      <c r="O29" s="1" t="n">
        <v>3</v>
      </c>
    </row>
    <row r="30" customFormat="false" ht="14.25" hidden="false" customHeight="false" outlineLevel="0" collapsed="false">
      <c r="A30" s="1" t="n">
        <v>355</v>
      </c>
      <c r="B30" s="1" t="s">
        <v>702</v>
      </c>
      <c r="C30" s="1" t="s">
        <v>703</v>
      </c>
      <c r="D30" s="1" t="n">
        <v>11197</v>
      </c>
      <c r="E30" s="1" t="s">
        <v>53</v>
      </c>
      <c r="F30" s="201" t="n">
        <v>200025888527</v>
      </c>
      <c r="G30" s="198" t="s">
        <v>665</v>
      </c>
      <c r="H30" s="163" t="s">
        <v>339</v>
      </c>
      <c r="I30" s="161" t="n">
        <v>92</v>
      </c>
      <c r="J30" s="156" t="s">
        <v>185</v>
      </c>
      <c r="K30" s="200" t="n">
        <v>45457.486875</v>
      </c>
      <c r="L30" s="3" t="n">
        <v>5</v>
      </c>
      <c r="M30" s="3" t="n">
        <v>5</v>
      </c>
      <c r="N30" s="1" t="n">
        <v>9</v>
      </c>
      <c r="O30" s="1" t="n">
        <v>0</v>
      </c>
    </row>
    <row r="31" customFormat="false" ht="14.25" hidden="false" customHeight="false" outlineLevel="0" collapsed="false">
      <c r="A31" s="1" t="n">
        <v>123</v>
      </c>
      <c r="B31" s="1" t="s">
        <v>621</v>
      </c>
      <c r="C31" s="1" t="s">
        <v>622</v>
      </c>
      <c r="D31" s="1" t="n">
        <v>11171</v>
      </c>
      <c r="E31" s="1" t="s">
        <v>55</v>
      </c>
      <c r="F31" s="201" t="n">
        <v>200025888916</v>
      </c>
      <c r="G31" s="198" t="s">
        <v>666</v>
      </c>
      <c r="H31" s="163" t="s">
        <v>360</v>
      </c>
      <c r="I31" s="161" t="n">
        <v>73</v>
      </c>
      <c r="J31" s="156" t="s">
        <v>185</v>
      </c>
      <c r="K31" s="200" t="n">
        <v>45434.7562152778</v>
      </c>
      <c r="L31" s="3" t="n">
        <v>6</v>
      </c>
      <c r="M31" s="3" t="n">
        <v>6</v>
      </c>
      <c r="N31" s="1" t="n">
        <v>1</v>
      </c>
      <c r="O31" s="1" t="n">
        <v>3</v>
      </c>
    </row>
    <row r="32" customFormat="false" ht="14.25" hidden="false" customHeight="false" outlineLevel="0" collapsed="false">
      <c r="A32" s="1" t="n">
        <v>124</v>
      </c>
      <c r="B32" s="1" t="s">
        <v>621</v>
      </c>
      <c r="C32" s="1" t="s">
        <v>622</v>
      </c>
      <c r="D32" s="1" t="n">
        <v>11171</v>
      </c>
      <c r="E32" s="1" t="s">
        <v>55</v>
      </c>
      <c r="F32" s="201" t="n">
        <v>200025888916</v>
      </c>
      <c r="G32" s="198" t="s">
        <v>666</v>
      </c>
      <c r="H32" s="163" t="s">
        <v>360</v>
      </c>
      <c r="I32" s="161" t="n">
        <v>73</v>
      </c>
      <c r="J32" s="156" t="s">
        <v>185</v>
      </c>
      <c r="K32" s="200" t="n">
        <v>45434.7570949074</v>
      </c>
      <c r="L32" s="3" t="n">
        <v>6</v>
      </c>
      <c r="M32" s="3" t="n">
        <v>6</v>
      </c>
      <c r="N32" s="1" t="n">
        <v>2</v>
      </c>
      <c r="O32" s="1" t="n">
        <v>3</v>
      </c>
    </row>
    <row r="33" customFormat="false" ht="14.25" hidden="false" customHeight="false" outlineLevel="0" collapsed="false">
      <c r="A33" s="1" t="n">
        <v>125</v>
      </c>
      <c r="B33" s="1" t="s">
        <v>621</v>
      </c>
      <c r="C33" s="1" t="s">
        <v>622</v>
      </c>
      <c r="D33" s="1" t="n">
        <v>11171</v>
      </c>
      <c r="E33" s="1" t="s">
        <v>55</v>
      </c>
      <c r="F33" s="201" t="n">
        <v>200025888916</v>
      </c>
      <c r="G33" s="198" t="s">
        <v>666</v>
      </c>
      <c r="H33" s="163" t="s">
        <v>360</v>
      </c>
      <c r="I33" s="161" t="n">
        <v>73</v>
      </c>
      <c r="J33" s="156" t="s">
        <v>185</v>
      </c>
      <c r="K33" s="200" t="n">
        <v>45434.7578935185</v>
      </c>
      <c r="L33" s="3" t="n">
        <v>6</v>
      </c>
      <c r="M33" s="3" t="n">
        <v>6</v>
      </c>
      <c r="N33" s="1" t="n">
        <v>3</v>
      </c>
      <c r="O33" s="1" t="n">
        <v>1</v>
      </c>
    </row>
    <row r="34" customFormat="false" ht="14.25" hidden="false" customHeight="false" outlineLevel="0" collapsed="false">
      <c r="A34" s="1" t="n">
        <v>126</v>
      </c>
      <c r="B34" s="1" t="s">
        <v>621</v>
      </c>
      <c r="C34" s="1" t="s">
        <v>622</v>
      </c>
      <c r="D34" s="1" t="n">
        <v>11171</v>
      </c>
      <c r="E34" s="1" t="s">
        <v>55</v>
      </c>
      <c r="F34" s="201" t="n">
        <v>200025888916</v>
      </c>
      <c r="G34" s="198" t="s">
        <v>666</v>
      </c>
      <c r="H34" s="163" t="s">
        <v>360</v>
      </c>
      <c r="I34" s="161" t="n">
        <v>73</v>
      </c>
      <c r="J34" s="156" t="s">
        <v>185</v>
      </c>
      <c r="K34" s="200" t="n">
        <v>45434.8180439815</v>
      </c>
      <c r="L34" s="3" t="n">
        <v>6</v>
      </c>
      <c r="M34" s="3" t="n">
        <v>6</v>
      </c>
      <c r="N34" s="1" t="n">
        <v>4</v>
      </c>
      <c r="O34" s="1" t="n">
        <v>0</v>
      </c>
      <c r="Q34" s="3" t="s">
        <v>718</v>
      </c>
      <c r="Y34" s="12"/>
    </row>
    <row r="35" customFormat="false" ht="14.25" hidden="false" customHeight="false" outlineLevel="0" collapsed="false">
      <c r="A35" s="1" t="n">
        <v>127</v>
      </c>
      <c r="B35" s="1" t="s">
        <v>621</v>
      </c>
      <c r="C35" s="1" t="s">
        <v>622</v>
      </c>
      <c r="D35" s="1" t="n">
        <v>11171</v>
      </c>
      <c r="E35" s="1" t="s">
        <v>55</v>
      </c>
      <c r="F35" s="201" t="n">
        <v>200025888916</v>
      </c>
      <c r="G35" s="198" t="s">
        <v>666</v>
      </c>
      <c r="H35" s="163" t="s">
        <v>360</v>
      </c>
      <c r="I35" s="161" t="n">
        <v>73</v>
      </c>
      <c r="J35" s="156" t="s">
        <v>185</v>
      </c>
      <c r="K35" s="200" t="n">
        <v>45434.8322453704</v>
      </c>
      <c r="L35" s="3" t="n">
        <v>6</v>
      </c>
      <c r="M35" s="3" t="n">
        <v>6</v>
      </c>
      <c r="N35" s="1" t="n">
        <v>5</v>
      </c>
      <c r="O35" s="1" t="n">
        <v>2</v>
      </c>
      <c r="Q35" s="3" t="s">
        <v>719</v>
      </c>
      <c r="Y35" s="12"/>
    </row>
    <row r="36" customFormat="false" ht="14.25" hidden="false" customHeight="false" outlineLevel="0" collapsed="false">
      <c r="A36" s="1" t="n">
        <v>128</v>
      </c>
      <c r="B36" s="1" t="s">
        <v>621</v>
      </c>
      <c r="C36" s="1" t="s">
        <v>622</v>
      </c>
      <c r="D36" s="1" t="n">
        <v>11171</v>
      </c>
      <c r="E36" s="1" t="s">
        <v>55</v>
      </c>
      <c r="F36" s="201" t="n">
        <v>200025888916</v>
      </c>
      <c r="G36" s="198" t="s">
        <v>666</v>
      </c>
      <c r="H36" s="163" t="s">
        <v>360</v>
      </c>
      <c r="I36" s="161" t="n">
        <v>73</v>
      </c>
      <c r="J36" s="156" t="s">
        <v>185</v>
      </c>
      <c r="K36" s="200" t="n">
        <v>45434.9561342593</v>
      </c>
      <c r="L36" s="3" t="n">
        <v>6</v>
      </c>
      <c r="M36" s="3" t="n">
        <v>6</v>
      </c>
      <c r="N36" s="1" t="n">
        <v>6</v>
      </c>
      <c r="O36" s="1" t="n">
        <v>1</v>
      </c>
      <c r="Q36" s="3" t="s">
        <v>720</v>
      </c>
    </row>
    <row r="37" customFormat="false" ht="14.25" hidden="false" customHeight="false" outlineLevel="0" collapsed="false">
      <c r="A37" s="1" t="n">
        <v>129</v>
      </c>
      <c r="B37" s="1" t="s">
        <v>621</v>
      </c>
      <c r="C37" s="1" t="s">
        <v>622</v>
      </c>
      <c r="D37" s="1" t="n">
        <v>11171</v>
      </c>
      <c r="E37" s="1" t="s">
        <v>55</v>
      </c>
      <c r="F37" s="201" t="n">
        <v>200025888916</v>
      </c>
      <c r="G37" s="198" t="s">
        <v>666</v>
      </c>
      <c r="H37" s="163" t="s">
        <v>360</v>
      </c>
      <c r="I37" s="161" t="n">
        <v>73</v>
      </c>
      <c r="J37" s="156" t="s">
        <v>185</v>
      </c>
      <c r="K37" s="200" t="n">
        <v>45434.9561458333</v>
      </c>
      <c r="L37" s="3" t="n">
        <v>6</v>
      </c>
      <c r="M37" s="3" t="n">
        <v>6</v>
      </c>
      <c r="N37" s="1" t="n">
        <v>7</v>
      </c>
      <c r="O37" s="1" t="n">
        <v>1</v>
      </c>
    </row>
    <row r="38" customFormat="false" ht="14.25" hidden="false" customHeight="false" outlineLevel="0" collapsed="false">
      <c r="A38" s="1" t="n">
        <v>130</v>
      </c>
      <c r="B38" s="1" t="s">
        <v>621</v>
      </c>
      <c r="C38" s="1" t="s">
        <v>622</v>
      </c>
      <c r="D38" s="1" t="n">
        <v>11171</v>
      </c>
      <c r="E38" s="1" t="s">
        <v>55</v>
      </c>
      <c r="F38" s="201" t="n">
        <v>200025888916</v>
      </c>
      <c r="G38" s="198" t="s">
        <v>666</v>
      </c>
      <c r="H38" s="163" t="s">
        <v>360</v>
      </c>
      <c r="I38" s="161" t="n">
        <v>73</v>
      </c>
      <c r="J38" s="156" t="s">
        <v>185</v>
      </c>
      <c r="K38" s="200" t="n">
        <v>45434.9561574074</v>
      </c>
      <c r="L38" s="3" t="n">
        <v>6</v>
      </c>
      <c r="M38" s="3" t="n">
        <v>6</v>
      </c>
      <c r="N38" s="1" t="n">
        <v>8</v>
      </c>
      <c r="O38" s="1" t="n">
        <v>4</v>
      </c>
    </row>
    <row r="39" customFormat="false" ht="14.25" hidden="false" customHeight="false" outlineLevel="0" collapsed="false">
      <c r="A39" s="1" t="n">
        <v>133</v>
      </c>
      <c r="B39" s="1" t="s">
        <v>621</v>
      </c>
      <c r="C39" s="1" t="s">
        <v>622</v>
      </c>
      <c r="D39" s="1" t="n">
        <v>11171</v>
      </c>
      <c r="E39" s="1" t="s">
        <v>55</v>
      </c>
      <c r="F39" s="201" t="n">
        <v>200025888916</v>
      </c>
      <c r="G39" s="198" t="s">
        <v>666</v>
      </c>
      <c r="H39" s="163" t="s">
        <v>360</v>
      </c>
      <c r="I39" s="161" t="n">
        <v>73</v>
      </c>
      <c r="J39" s="156" t="s">
        <v>185</v>
      </c>
      <c r="K39" s="200" t="n">
        <v>45435.034212963</v>
      </c>
      <c r="L39" s="3" t="n">
        <v>6</v>
      </c>
      <c r="M39" s="3" t="n">
        <v>6</v>
      </c>
      <c r="N39" s="1" t="n">
        <v>9</v>
      </c>
      <c r="O39" s="1" t="n">
        <v>11</v>
      </c>
    </row>
    <row r="40" customFormat="false" ht="14.25" hidden="false" customHeight="false" outlineLevel="0" collapsed="false">
      <c r="A40" s="1" t="n">
        <v>134</v>
      </c>
      <c r="B40" s="1" t="s">
        <v>621</v>
      </c>
      <c r="C40" s="1" t="s">
        <v>622</v>
      </c>
      <c r="D40" s="1" t="n">
        <v>11171</v>
      </c>
      <c r="E40" s="1" t="s">
        <v>55</v>
      </c>
      <c r="F40" s="201" t="n">
        <v>200025888916</v>
      </c>
      <c r="G40" s="198" t="s">
        <v>666</v>
      </c>
      <c r="H40" s="163" t="s">
        <v>360</v>
      </c>
      <c r="I40" s="161" t="n">
        <v>73</v>
      </c>
      <c r="J40" s="156" t="s">
        <v>185</v>
      </c>
      <c r="K40" s="200" t="n">
        <v>45435.0740046296</v>
      </c>
      <c r="L40" s="3" t="n">
        <v>6</v>
      </c>
      <c r="M40" s="3" t="n">
        <v>6</v>
      </c>
      <c r="N40" s="1" t="n">
        <v>10</v>
      </c>
      <c r="O40" s="1" t="n">
        <v>3</v>
      </c>
    </row>
    <row r="41" customFormat="false" ht="14.25" hidden="false" customHeight="false" outlineLevel="0" collapsed="false">
      <c r="A41" s="1" t="n">
        <v>139</v>
      </c>
      <c r="B41" s="1" t="s">
        <v>621</v>
      </c>
      <c r="C41" s="1" t="s">
        <v>622</v>
      </c>
      <c r="D41" s="1" t="n">
        <v>11171</v>
      </c>
      <c r="E41" s="1" t="s">
        <v>55</v>
      </c>
      <c r="F41" s="201" t="n">
        <v>200025888916</v>
      </c>
      <c r="G41" s="198" t="s">
        <v>666</v>
      </c>
      <c r="H41" s="163" t="s">
        <v>360</v>
      </c>
      <c r="I41" s="161" t="n">
        <v>73</v>
      </c>
      <c r="J41" s="156" t="s">
        <v>185</v>
      </c>
      <c r="K41" s="200" t="n">
        <v>45435.0811574074</v>
      </c>
      <c r="L41" s="3" t="n">
        <v>6</v>
      </c>
      <c r="M41" s="3" t="n">
        <v>6</v>
      </c>
      <c r="N41" s="1" t="n">
        <v>11</v>
      </c>
      <c r="O41" s="1" t="n">
        <v>3</v>
      </c>
    </row>
    <row r="42" customFormat="false" ht="14.25" hidden="false" customHeight="false" outlineLevel="0" collapsed="false">
      <c r="A42" s="1" t="n">
        <v>140</v>
      </c>
      <c r="B42" s="1" t="s">
        <v>621</v>
      </c>
      <c r="C42" s="1" t="s">
        <v>622</v>
      </c>
      <c r="D42" s="1" t="n">
        <v>11171</v>
      </c>
      <c r="E42" s="1" t="s">
        <v>55</v>
      </c>
      <c r="F42" s="201" t="n">
        <v>200025888916</v>
      </c>
      <c r="G42" s="198" t="s">
        <v>666</v>
      </c>
      <c r="H42" s="163" t="s">
        <v>360</v>
      </c>
      <c r="I42" s="161" t="n">
        <v>73</v>
      </c>
      <c r="J42" s="156" t="s">
        <v>185</v>
      </c>
      <c r="K42" s="200" t="n">
        <v>45435.0856828704</v>
      </c>
      <c r="L42" s="3" t="n">
        <v>6</v>
      </c>
      <c r="M42" s="3" t="n">
        <v>6</v>
      </c>
      <c r="N42" s="1" t="n">
        <v>12</v>
      </c>
      <c r="O42" s="1" t="n">
        <v>7</v>
      </c>
    </row>
    <row r="43" customFormat="false" ht="14.25" hidden="false" customHeight="false" outlineLevel="0" collapsed="false">
      <c r="A43" s="1" t="n">
        <v>29</v>
      </c>
      <c r="B43" s="1" t="s">
        <v>681</v>
      </c>
      <c r="C43" s="1" t="s">
        <v>682</v>
      </c>
      <c r="D43" s="1" t="n">
        <v>11197</v>
      </c>
      <c r="E43" s="1" t="s">
        <v>53</v>
      </c>
      <c r="F43" s="201" t="n">
        <v>200025888916</v>
      </c>
      <c r="G43" s="198" t="s">
        <v>666</v>
      </c>
      <c r="H43" s="163" t="s">
        <v>360</v>
      </c>
      <c r="I43" s="161" t="n">
        <v>73</v>
      </c>
      <c r="J43" s="156" t="s">
        <v>185</v>
      </c>
      <c r="K43" s="199" t="n">
        <v>45435.0965625</v>
      </c>
      <c r="L43" s="3" t="n">
        <v>6</v>
      </c>
      <c r="M43" s="3" t="n">
        <v>6</v>
      </c>
      <c r="N43" s="1" t="n">
        <v>13</v>
      </c>
      <c r="O43" s="1" t="n">
        <v>2</v>
      </c>
    </row>
    <row r="44" customFormat="false" ht="14.25" hidden="false" customHeight="false" outlineLevel="0" collapsed="false">
      <c r="A44" s="1" t="n">
        <v>30</v>
      </c>
      <c r="B44" s="1" t="s">
        <v>681</v>
      </c>
      <c r="C44" s="1" t="s">
        <v>682</v>
      </c>
      <c r="D44" s="1" t="n">
        <v>11197</v>
      </c>
      <c r="E44" s="1" t="s">
        <v>53</v>
      </c>
      <c r="F44" s="201" t="n">
        <v>200025888916</v>
      </c>
      <c r="G44" s="198" t="s">
        <v>666</v>
      </c>
      <c r="H44" s="163" t="s">
        <v>360</v>
      </c>
      <c r="I44" s="161" t="n">
        <v>73</v>
      </c>
      <c r="J44" s="156" t="s">
        <v>185</v>
      </c>
      <c r="K44" s="199" t="n">
        <v>45435.0967592593</v>
      </c>
      <c r="L44" s="3" t="n">
        <v>6</v>
      </c>
      <c r="M44" s="3" t="n">
        <v>6</v>
      </c>
      <c r="N44" s="1" t="n">
        <v>14</v>
      </c>
      <c r="O44" s="1" t="n">
        <v>2</v>
      </c>
    </row>
    <row r="45" customFormat="false" ht="14.25" hidden="false" customHeight="false" outlineLevel="0" collapsed="false">
      <c r="A45" s="1" t="n">
        <v>31</v>
      </c>
      <c r="B45" s="1" t="s">
        <v>681</v>
      </c>
      <c r="C45" s="1" t="s">
        <v>682</v>
      </c>
      <c r="D45" s="1" t="n">
        <v>11197</v>
      </c>
      <c r="E45" s="1" t="s">
        <v>53</v>
      </c>
      <c r="F45" s="201" t="n">
        <v>200025888916</v>
      </c>
      <c r="G45" s="198" t="s">
        <v>666</v>
      </c>
      <c r="H45" s="163" t="s">
        <v>360</v>
      </c>
      <c r="I45" s="161" t="n">
        <v>73</v>
      </c>
      <c r="J45" s="156" t="s">
        <v>185</v>
      </c>
      <c r="K45" s="199" t="n">
        <v>45435.0972106482</v>
      </c>
      <c r="L45" s="3" t="n">
        <v>6</v>
      </c>
      <c r="M45" s="3" t="n">
        <v>6</v>
      </c>
      <c r="N45" s="1" t="n">
        <v>15</v>
      </c>
      <c r="O45" s="1" t="n">
        <v>0</v>
      </c>
    </row>
    <row r="46" customFormat="false" ht="14.25" hidden="false" customHeight="false" outlineLevel="0" collapsed="false">
      <c r="A46" s="1" t="n">
        <v>32</v>
      </c>
      <c r="B46" s="1" t="s">
        <v>681</v>
      </c>
      <c r="C46" s="1" t="s">
        <v>682</v>
      </c>
      <c r="D46" s="1" t="n">
        <v>11197</v>
      </c>
      <c r="E46" s="1" t="s">
        <v>53</v>
      </c>
      <c r="F46" s="201" t="n">
        <v>200025888916</v>
      </c>
      <c r="G46" s="198" t="s">
        <v>666</v>
      </c>
      <c r="H46" s="163" t="s">
        <v>360</v>
      </c>
      <c r="I46" s="161" t="n">
        <v>73</v>
      </c>
      <c r="J46" s="156" t="s">
        <v>185</v>
      </c>
      <c r="K46" s="199" t="n">
        <v>45435.098275463</v>
      </c>
      <c r="L46" s="3" t="n">
        <v>6</v>
      </c>
      <c r="M46" s="3" t="n">
        <v>6</v>
      </c>
      <c r="N46" s="1" t="n">
        <v>16</v>
      </c>
      <c r="O46" s="1" t="n">
        <v>3</v>
      </c>
    </row>
    <row r="47" customFormat="false" ht="14.25" hidden="false" customHeight="false" outlineLevel="0" collapsed="false">
      <c r="A47" s="1" t="n">
        <v>33</v>
      </c>
      <c r="B47" s="1" t="s">
        <v>681</v>
      </c>
      <c r="C47" s="1" t="s">
        <v>682</v>
      </c>
      <c r="D47" s="1" t="n">
        <v>11197</v>
      </c>
      <c r="E47" s="1" t="s">
        <v>53</v>
      </c>
      <c r="F47" s="201" t="n">
        <v>200025888916</v>
      </c>
      <c r="G47" s="198" t="s">
        <v>666</v>
      </c>
      <c r="H47" s="163" t="s">
        <v>360</v>
      </c>
      <c r="I47" s="161" t="n">
        <v>73</v>
      </c>
      <c r="J47" s="156" t="s">
        <v>185</v>
      </c>
      <c r="K47" s="199" t="n">
        <v>45435.1098263889</v>
      </c>
      <c r="L47" s="3" t="n">
        <v>6</v>
      </c>
      <c r="M47" s="3" t="n">
        <v>6</v>
      </c>
      <c r="N47" s="1" t="n">
        <v>17</v>
      </c>
      <c r="O47" s="1" t="n">
        <v>1</v>
      </c>
    </row>
    <row r="48" customFormat="false" ht="14.25" hidden="false" customHeight="false" outlineLevel="0" collapsed="false">
      <c r="A48" s="1" t="n">
        <v>34</v>
      </c>
      <c r="B48" s="1" t="s">
        <v>681</v>
      </c>
      <c r="C48" s="1" t="s">
        <v>682</v>
      </c>
      <c r="D48" s="1" t="n">
        <v>11197</v>
      </c>
      <c r="E48" s="1" t="s">
        <v>53</v>
      </c>
      <c r="F48" s="201" t="n">
        <v>200025888916</v>
      </c>
      <c r="G48" s="198" t="s">
        <v>666</v>
      </c>
      <c r="H48" s="163" t="s">
        <v>360</v>
      </c>
      <c r="I48" s="161" t="n">
        <v>73</v>
      </c>
      <c r="J48" s="156" t="s">
        <v>185</v>
      </c>
      <c r="K48" s="199" t="n">
        <v>45435.11</v>
      </c>
      <c r="L48" s="3" t="n">
        <v>6</v>
      </c>
      <c r="M48" s="3" t="n">
        <v>6</v>
      </c>
      <c r="N48" s="1" t="n">
        <v>18</v>
      </c>
      <c r="O48" s="1" t="n">
        <v>1</v>
      </c>
    </row>
    <row r="49" customFormat="false" ht="14.25" hidden="false" customHeight="false" outlineLevel="0" collapsed="false">
      <c r="A49" s="1" t="n">
        <v>35</v>
      </c>
      <c r="B49" s="1" t="s">
        <v>681</v>
      </c>
      <c r="C49" s="1" t="s">
        <v>682</v>
      </c>
      <c r="D49" s="1" t="n">
        <v>11197</v>
      </c>
      <c r="E49" s="1" t="s">
        <v>53</v>
      </c>
      <c r="F49" s="201" t="n">
        <v>200025888916</v>
      </c>
      <c r="G49" s="198" t="s">
        <v>666</v>
      </c>
      <c r="H49" s="163" t="s">
        <v>360</v>
      </c>
      <c r="I49" s="161" t="n">
        <v>73</v>
      </c>
      <c r="J49" s="156" t="s">
        <v>185</v>
      </c>
      <c r="K49" s="199" t="n">
        <v>45435.1109027778</v>
      </c>
      <c r="L49" s="3" t="n">
        <v>6</v>
      </c>
      <c r="M49" s="3" t="n">
        <v>6</v>
      </c>
      <c r="N49" s="1" t="n">
        <v>19</v>
      </c>
      <c r="O49" s="1" t="n">
        <v>1</v>
      </c>
    </row>
    <row r="50" customFormat="false" ht="14.25" hidden="false" customHeight="false" outlineLevel="0" collapsed="false">
      <c r="A50" s="1" t="n">
        <v>142</v>
      </c>
      <c r="B50" s="1" t="s">
        <v>621</v>
      </c>
      <c r="C50" s="1" t="s">
        <v>622</v>
      </c>
      <c r="D50" s="1" t="n">
        <v>11171</v>
      </c>
      <c r="E50" s="1" t="s">
        <v>55</v>
      </c>
      <c r="F50" s="201" t="n">
        <v>200025888916</v>
      </c>
      <c r="G50" s="198" t="s">
        <v>666</v>
      </c>
      <c r="H50" s="163" t="s">
        <v>360</v>
      </c>
      <c r="I50" s="161" t="n">
        <v>73</v>
      </c>
      <c r="J50" s="156" t="s">
        <v>185</v>
      </c>
      <c r="K50" s="200" t="n">
        <v>45435.1402430556</v>
      </c>
      <c r="L50" s="3" t="n">
        <v>6</v>
      </c>
      <c r="M50" s="3" t="n">
        <v>6</v>
      </c>
      <c r="N50" s="1" t="n">
        <v>20</v>
      </c>
      <c r="O50" s="1" t="n">
        <v>9</v>
      </c>
      <c r="R50" s="1"/>
      <c r="S50" s="1"/>
      <c r="T50" s="1"/>
      <c r="U50" s="1"/>
      <c r="V50" s="1"/>
      <c r="W50" s="1"/>
      <c r="X50" s="1"/>
    </row>
    <row r="51" customFormat="false" ht="14.25" hidden="false" customHeight="false" outlineLevel="0" collapsed="false">
      <c r="A51" s="1" t="n">
        <v>143</v>
      </c>
      <c r="B51" s="1" t="s">
        <v>621</v>
      </c>
      <c r="C51" s="1" t="s">
        <v>622</v>
      </c>
      <c r="D51" s="1" t="n">
        <v>11171</v>
      </c>
      <c r="E51" s="1" t="s">
        <v>55</v>
      </c>
      <c r="F51" s="201" t="n">
        <v>200025888916</v>
      </c>
      <c r="G51" s="198" t="s">
        <v>666</v>
      </c>
      <c r="H51" s="163" t="s">
        <v>360</v>
      </c>
      <c r="I51" s="161" t="n">
        <v>73</v>
      </c>
      <c r="J51" s="156" t="s">
        <v>185</v>
      </c>
      <c r="K51" s="200" t="n">
        <v>45435.1699421296</v>
      </c>
      <c r="L51" s="3" t="n">
        <v>6</v>
      </c>
      <c r="M51" s="3" t="n">
        <v>6</v>
      </c>
      <c r="N51" s="1" t="n">
        <v>21</v>
      </c>
      <c r="O51" s="1" t="n">
        <v>3</v>
      </c>
      <c r="R51" s="1"/>
      <c r="S51" s="1"/>
      <c r="T51" s="1"/>
      <c r="U51" s="1"/>
      <c r="V51" s="1"/>
      <c r="W51" s="1"/>
      <c r="X51" s="1"/>
    </row>
    <row r="52" customFormat="false" ht="14.25" hidden="false" customHeight="false" outlineLevel="0" collapsed="false">
      <c r="A52" s="1" t="n">
        <v>158</v>
      </c>
      <c r="B52" s="1" t="s">
        <v>621</v>
      </c>
      <c r="C52" s="1" t="s">
        <v>622</v>
      </c>
      <c r="D52" s="1" t="n">
        <v>11171</v>
      </c>
      <c r="E52" s="1" t="s">
        <v>55</v>
      </c>
      <c r="F52" s="201" t="n">
        <v>200025888916</v>
      </c>
      <c r="G52" s="198" t="s">
        <v>666</v>
      </c>
      <c r="H52" s="163" t="s">
        <v>360</v>
      </c>
      <c r="I52" s="161" t="n">
        <v>73</v>
      </c>
      <c r="J52" s="156" t="s">
        <v>185</v>
      </c>
      <c r="K52" s="200" t="n">
        <v>45435.2085532407</v>
      </c>
      <c r="L52" s="3" t="n">
        <v>6</v>
      </c>
      <c r="M52" s="3" t="n">
        <v>6</v>
      </c>
      <c r="N52" s="1" t="n">
        <v>22</v>
      </c>
      <c r="O52" s="1" t="n">
        <v>2</v>
      </c>
      <c r="R52" s="1"/>
      <c r="S52" s="1"/>
      <c r="T52" s="1"/>
      <c r="U52" s="1"/>
      <c r="V52" s="1"/>
      <c r="W52" s="1"/>
      <c r="X52" s="1"/>
    </row>
    <row r="53" customFormat="false" ht="14.25" hidden="false" customHeight="false" outlineLevel="0" collapsed="false">
      <c r="A53" s="1" t="n">
        <v>176</v>
      </c>
      <c r="B53" s="1" t="s">
        <v>621</v>
      </c>
      <c r="C53" s="1" t="s">
        <v>622</v>
      </c>
      <c r="D53" s="1" t="n">
        <v>11171</v>
      </c>
      <c r="E53" s="1" t="s">
        <v>55</v>
      </c>
      <c r="F53" s="201" t="n">
        <v>200025888916</v>
      </c>
      <c r="G53" s="198" t="s">
        <v>666</v>
      </c>
      <c r="H53" s="163" t="s">
        <v>360</v>
      </c>
      <c r="I53" s="161" t="n">
        <v>73</v>
      </c>
      <c r="J53" s="156" t="s">
        <v>185</v>
      </c>
      <c r="K53" s="200" t="n">
        <v>45435.3179398148</v>
      </c>
      <c r="L53" s="3" t="n">
        <v>6</v>
      </c>
      <c r="M53" s="3" t="n">
        <v>6</v>
      </c>
      <c r="N53" s="1" t="n">
        <v>23</v>
      </c>
      <c r="O53" s="1" t="n">
        <v>2</v>
      </c>
    </row>
    <row r="54" customFormat="false" ht="14.25" hidden="false" customHeight="false" outlineLevel="0" collapsed="false">
      <c r="A54" s="1" t="n">
        <v>23</v>
      </c>
      <c r="B54" s="1" t="s">
        <v>681</v>
      </c>
      <c r="C54" s="1" t="s">
        <v>682</v>
      </c>
      <c r="D54" s="1" t="n">
        <v>11197</v>
      </c>
      <c r="E54" s="1" t="s">
        <v>53</v>
      </c>
      <c r="F54" s="201" t="n">
        <v>200025889051</v>
      </c>
      <c r="G54" s="198" t="s">
        <v>633</v>
      </c>
      <c r="H54" s="163" t="s">
        <v>269</v>
      </c>
      <c r="I54" s="161" t="n">
        <v>26</v>
      </c>
      <c r="J54" s="156" t="s">
        <v>185</v>
      </c>
      <c r="K54" s="199" t="n">
        <v>45434.8794097222</v>
      </c>
      <c r="L54" s="3" t="n">
        <v>7</v>
      </c>
      <c r="M54" s="3" t="n">
        <v>7</v>
      </c>
      <c r="N54" s="1" t="n">
        <v>1</v>
      </c>
      <c r="O54" s="1" t="n">
        <v>1</v>
      </c>
    </row>
    <row r="55" customFormat="false" ht="14.25" hidden="false" customHeight="false" outlineLevel="0" collapsed="false">
      <c r="A55" s="1" t="n">
        <v>27</v>
      </c>
      <c r="B55" s="1" t="s">
        <v>681</v>
      </c>
      <c r="C55" s="1" t="s">
        <v>682</v>
      </c>
      <c r="D55" s="1" t="n">
        <v>11197</v>
      </c>
      <c r="E55" s="1" t="s">
        <v>53</v>
      </c>
      <c r="F55" s="201" t="n">
        <v>200025889051</v>
      </c>
      <c r="G55" s="198" t="s">
        <v>633</v>
      </c>
      <c r="H55" s="163" t="s">
        <v>269</v>
      </c>
      <c r="I55" s="161" t="n">
        <v>26</v>
      </c>
      <c r="J55" s="156" t="s">
        <v>185</v>
      </c>
      <c r="K55" s="199" t="n">
        <v>45434.9459490741</v>
      </c>
      <c r="L55" s="3" t="n">
        <v>7</v>
      </c>
      <c r="M55" s="3" t="n">
        <v>7</v>
      </c>
      <c r="N55" s="1" t="n">
        <v>2</v>
      </c>
      <c r="O55" s="1" t="n">
        <v>1</v>
      </c>
    </row>
    <row r="56" customFormat="false" ht="14.25" hidden="false" customHeight="false" outlineLevel="0" collapsed="false">
      <c r="A56" s="1" t="n">
        <v>37</v>
      </c>
      <c r="B56" s="1" t="s">
        <v>681</v>
      </c>
      <c r="C56" s="1" t="s">
        <v>682</v>
      </c>
      <c r="D56" s="1" t="n">
        <v>11197</v>
      </c>
      <c r="E56" s="1" t="s">
        <v>53</v>
      </c>
      <c r="F56" s="201" t="n">
        <v>200025889051</v>
      </c>
      <c r="G56" s="198" t="s">
        <v>633</v>
      </c>
      <c r="H56" s="163" t="s">
        <v>269</v>
      </c>
      <c r="I56" s="161" t="n">
        <v>26</v>
      </c>
      <c r="J56" s="156" t="s">
        <v>185</v>
      </c>
      <c r="K56" s="199" t="n">
        <v>45435.1565046296</v>
      </c>
      <c r="L56" s="3" t="n">
        <v>7</v>
      </c>
      <c r="M56" s="3" t="n">
        <v>7</v>
      </c>
      <c r="N56" s="1" t="n">
        <v>3</v>
      </c>
      <c r="O56" s="1" t="n">
        <v>2</v>
      </c>
    </row>
    <row r="57" customFormat="false" ht="14.25" hidden="false" customHeight="false" outlineLevel="0" collapsed="false">
      <c r="A57" s="1" t="n">
        <v>38</v>
      </c>
      <c r="B57" s="1" t="s">
        <v>681</v>
      </c>
      <c r="C57" s="1" t="s">
        <v>682</v>
      </c>
      <c r="D57" s="1" t="n">
        <v>11197</v>
      </c>
      <c r="E57" s="1" t="s">
        <v>53</v>
      </c>
      <c r="F57" s="201" t="n">
        <v>200025889051</v>
      </c>
      <c r="G57" s="198" t="s">
        <v>633</v>
      </c>
      <c r="H57" s="163" t="s">
        <v>269</v>
      </c>
      <c r="I57" s="161" t="n">
        <v>26</v>
      </c>
      <c r="J57" s="156" t="s">
        <v>185</v>
      </c>
      <c r="K57" s="199" t="n">
        <v>45435.1565277778</v>
      </c>
      <c r="L57" s="3" t="n">
        <v>7</v>
      </c>
      <c r="M57" s="3" t="n">
        <v>7</v>
      </c>
      <c r="N57" s="1" t="n">
        <v>4</v>
      </c>
      <c r="O57" s="1" t="n">
        <v>0</v>
      </c>
    </row>
    <row r="58" customFormat="false" ht="14.25" hidden="false" customHeight="false" outlineLevel="0" collapsed="false">
      <c r="A58" s="1" t="n">
        <v>39</v>
      </c>
      <c r="B58" s="1" t="s">
        <v>681</v>
      </c>
      <c r="C58" s="1" t="s">
        <v>682</v>
      </c>
      <c r="D58" s="1" t="n">
        <v>11197</v>
      </c>
      <c r="E58" s="1" t="s">
        <v>53</v>
      </c>
      <c r="F58" s="201" t="n">
        <v>200025889051</v>
      </c>
      <c r="G58" s="198" t="s">
        <v>633</v>
      </c>
      <c r="H58" s="163" t="s">
        <v>269</v>
      </c>
      <c r="I58" s="161" t="n">
        <v>26</v>
      </c>
      <c r="J58" s="156" t="s">
        <v>185</v>
      </c>
      <c r="K58" s="199" t="n">
        <v>45435.1569675926</v>
      </c>
      <c r="L58" s="3" t="n">
        <v>7</v>
      </c>
      <c r="M58" s="3" t="n">
        <v>7</v>
      </c>
      <c r="N58" s="1" t="n">
        <v>5</v>
      </c>
      <c r="O58" s="1" t="n">
        <v>1</v>
      </c>
    </row>
    <row r="59" customFormat="false" ht="14.25" hidden="false" customHeight="false" outlineLevel="0" collapsed="false">
      <c r="A59" s="1" t="n">
        <v>40</v>
      </c>
      <c r="B59" s="1" t="s">
        <v>681</v>
      </c>
      <c r="C59" s="1" t="s">
        <v>682</v>
      </c>
      <c r="D59" s="1" t="n">
        <v>11197</v>
      </c>
      <c r="E59" s="1" t="s">
        <v>53</v>
      </c>
      <c r="F59" s="201" t="n">
        <v>200025889051</v>
      </c>
      <c r="G59" s="198" t="s">
        <v>633</v>
      </c>
      <c r="H59" s="163" t="s">
        <v>269</v>
      </c>
      <c r="I59" s="161" t="n">
        <v>26</v>
      </c>
      <c r="J59" s="156" t="s">
        <v>185</v>
      </c>
      <c r="K59" s="199" t="n">
        <v>45435.1569907407</v>
      </c>
      <c r="L59" s="3" t="n">
        <v>7</v>
      </c>
      <c r="M59" s="3" t="n">
        <v>7</v>
      </c>
      <c r="N59" s="1" t="n">
        <v>6</v>
      </c>
      <c r="O59" s="1" t="n">
        <v>0</v>
      </c>
    </row>
    <row r="60" customFormat="false" ht="14.25" hidden="false" customHeight="false" outlineLevel="0" collapsed="false">
      <c r="A60" s="1" t="n">
        <v>41</v>
      </c>
      <c r="B60" s="1" t="s">
        <v>681</v>
      </c>
      <c r="C60" s="1" t="s">
        <v>682</v>
      </c>
      <c r="D60" s="1" t="n">
        <v>11197</v>
      </c>
      <c r="E60" s="1" t="s">
        <v>53</v>
      </c>
      <c r="F60" s="201" t="n">
        <v>200025889051</v>
      </c>
      <c r="G60" s="198" t="s">
        <v>633</v>
      </c>
      <c r="H60" s="163" t="s">
        <v>269</v>
      </c>
      <c r="I60" s="161" t="n">
        <v>26</v>
      </c>
      <c r="J60" s="156" t="s">
        <v>185</v>
      </c>
      <c r="K60" s="199" t="n">
        <v>45435.1569907407</v>
      </c>
      <c r="L60" s="3" t="n">
        <v>7</v>
      </c>
      <c r="M60" s="3" t="n">
        <v>7</v>
      </c>
      <c r="N60" s="1" t="n">
        <v>7</v>
      </c>
      <c r="O60" s="1" t="n">
        <v>33</v>
      </c>
    </row>
    <row r="61" customFormat="false" ht="14.25" hidden="false" customHeight="false" outlineLevel="0" collapsed="false">
      <c r="A61" s="1" t="n">
        <v>42</v>
      </c>
      <c r="B61" s="1" t="s">
        <v>681</v>
      </c>
      <c r="C61" s="1" t="s">
        <v>682</v>
      </c>
      <c r="D61" s="1" t="n">
        <v>11197</v>
      </c>
      <c r="E61" s="1" t="s">
        <v>53</v>
      </c>
      <c r="F61" s="201" t="n">
        <v>200025889051</v>
      </c>
      <c r="G61" s="198" t="s">
        <v>633</v>
      </c>
      <c r="H61" s="163" t="s">
        <v>269</v>
      </c>
      <c r="I61" s="161" t="n">
        <v>26</v>
      </c>
      <c r="J61" s="156" t="s">
        <v>185</v>
      </c>
      <c r="K61" s="199" t="n">
        <v>45435.1573842593</v>
      </c>
      <c r="L61" s="3" t="n">
        <v>7</v>
      </c>
      <c r="M61" s="3" t="n">
        <v>7</v>
      </c>
      <c r="N61" s="1" t="n">
        <v>8</v>
      </c>
      <c r="O61" s="1" t="n">
        <v>0</v>
      </c>
    </row>
    <row r="62" customFormat="false" ht="14.25" hidden="false" customHeight="false" outlineLevel="0" collapsed="false">
      <c r="A62" s="1" t="n">
        <v>45</v>
      </c>
      <c r="B62" s="1" t="s">
        <v>681</v>
      </c>
      <c r="C62" s="1" t="s">
        <v>682</v>
      </c>
      <c r="D62" s="1" t="n">
        <v>11197</v>
      </c>
      <c r="E62" s="1" t="s">
        <v>53</v>
      </c>
      <c r="F62" s="201" t="n">
        <v>200025889051</v>
      </c>
      <c r="G62" s="198" t="s">
        <v>633</v>
      </c>
      <c r="H62" s="163" t="s">
        <v>269</v>
      </c>
      <c r="I62" s="161" t="n">
        <v>26</v>
      </c>
      <c r="J62" s="156" t="s">
        <v>185</v>
      </c>
      <c r="K62" s="199" t="n">
        <v>45435.1649421296</v>
      </c>
      <c r="L62" s="3" t="n">
        <v>7</v>
      </c>
      <c r="M62" s="3" t="n">
        <v>7</v>
      </c>
      <c r="N62" s="1" t="n">
        <v>9</v>
      </c>
      <c r="O62" s="1" t="n">
        <v>1</v>
      </c>
    </row>
    <row r="63" customFormat="false" ht="14.25" hidden="false" customHeight="false" outlineLevel="0" collapsed="false">
      <c r="A63" s="1" t="n">
        <v>46</v>
      </c>
      <c r="B63" s="1" t="s">
        <v>681</v>
      </c>
      <c r="C63" s="1" t="s">
        <v>682</v>
      </c>
      <c r="D63" s="1" t="n">
        <v>11197</v>
      </c>
      <c r="E63" s="1" t="s">
        <v>53</v>
      </c>
      <c r="F63" s="201" t="n">
        <v>200025889051</v>
      </c>
      <c r="G63" s="198" t="s">
        <v>633</v>
      </c>
      <c r="H63" s="163" t="s">
        <v>269</v>
      </c>
      <c r="I63" s="161" t="n">
        <v>26</v>
      </c>
      <c r="J63" s="156" t="s">
        <v>185</v>
      </c>
      <c r="K63" s="199" t="n">
        <v>45435.1649652778</v>
      </c>
      <c r="L63" s="3" t="n">
        <v>7</v>
      </c>
      <c r="M63" s="3" t="n">
        <v>7</v>
      </c>
      <c r="N63" s="1" t="n">
        <v>10</v>
      </c>
      <c r="O63" s="1" t="n">
        <v>1</v>
      </c>
    </row>
    <row r="64" customFormat="false" ht="14.25" hidden="false" customHeight="false" outlineLevel="0" collapsed="false">
      <c r="A64" s="1" t="n">
        <v>47</v>
      </c>
      <c r="B64" s="1" t="s">
        <v>681</v>
      </c>
      <c r="C64" s="1" t="s">
        <v>682</v>
      </c>
      <c r="D64" s="1" t="n">
        <v>11197</v>
      </c>
      <c r="E64" s="1" t="s">
        <v>53</v>
      </c>
      <c r="F64" s="201" t="n">
        <v>200025889051</v>
      </c>
      <c r="G64" s="198" t="s">
        <v>633</v>
      </c>
      <c r="H64" s="163" t="s">
        <v>269</v>
      </c>
      <c r="I64" s="161" t="n">
        <v>26</v>
      </c>
      <c r="J64" s="156" t="s">
        <v>185</v>
      </c>
      <c r="K64" s="199" t="n">
        <v>45435.174525463</v>
      </c>
      <c r="L64" s="3" t="n">
        <v>7</v>
      </c>
      <c r="M64" s="3" t="n">
        <v>7</v>
      </c>
      <c r="N64" s="1" t="n">
        <v>11</v>
      </c>
      <c r="O64" s="1" t="n">
        <v>0</v>
      </c>
    </row>
    <row r="65" customFormat="false" ht="14.25" hidden="false" customHeight="false" outlineLevel="0" collapsed="false">
      <c r="A65" s="1" t="n">
        <v>48</v>
      </c>
      <c r="B65" s="1" t="s">
        <v>681</v>
      </c>
      <c r="C65" s="1" t="s">
        <v>682</v>
      </c>
      <c r="D65" s="1" t="n">
        <v>11197</v>
      </c>
      <c r="E65" s="1" t="s">
        <v>53</v>
      </c>
      <c r="F65" s="201" t="n">
        <v>200025889051</v>
      </c>
      <c r="G65" s="198" t="s">
        <v>633</v>
      </c>
      <c r="H65" s="163" t="s">
        <v>269</v>
      </c>
      <c r="I65" s="161" t="n">
        <v>26</v>
      </c>
      <c r="J65" s="156" t="s">
        <v>185</v>
      </c>
      <c r="K65" s="199" t="n">
        <v>45435.1763425926</v>
      </c>
      <c r="L65" s="3" t="n">
        <v>7</v>
      </c>
      <c r="M65" s="3" t="n">
        <v>7</v>
      </c>
      <c r="N65" s="1" t="n">
        <v>12</v>
      </c>
      <c r="O65" s="1" t="n">
        <v>4</v>
      </c>
    </row>
    <row r="66" customFormat="false" ht="14.25" hidden="false" customHeight="false" outlineLevel="0" collapsed="false">
      <c r="A66" s="1" t="n">
        <v>49</v>
      </c>
      <c r="B66" s="1" t="s">
        <v>681</v>
      </c>
      <c r="C66" s="1" t="s">
        <v>682</v>
      </c>
      <c r="D66" s="1" t="n">
        <v>11197</v>
      </c>
      <c r="E66" s="1" t="s">
        <v>53</v>
      </c>
      <c r="F66" s="201" t="n">
        <v>200025889051</v>
      </c>
      <c r="G66" s="198" t="s">
        <v>633</v>
      </c>
      <c r="H66" s="163" t="s">
        <v>269</v>
      </c>
      <c r="I66" s="161" t="n">
        <v>26</v>
      </c>
      <c r="J66" s="156" t="s">
        <v>185</v>
      </c>
      <c r="K66" s="199" t="n">
        <v>45435.1769907407</v>
      </c>
      <c r="L66" s="3" t="n">
        <v>7</v>
      </c>
      <c r="M66" s="3" t="n">
        <v>7</v>
      </c>
      <c r="N66" s="1" t="n">
        <v>13</v>
      </c>
      <c r="O66" s="1" t="n">
        <v>1</v>
      </c>
    </row>
    <row r="67" customFormat="false" ht="14.25" hidden="false" customHeight="false" outlineLevel="0" collapsed="false">
      <c r="A67" s="1" t="n">
        <v>52</v>
      </c>
      <c r="B67" s="1" t="s">
        <v>681</v>
      </c>
      <c r="C67" s="1" t="s">
        <v>682</v>
      </c>
      <c r="D67" s="1" t="n">
        <v>11197</v>
      </c>
      <c r="E67" s="1" t="s">
        <v>53</v>
      </c>
      <c r="F67" s="201" t="n">
        <v>200025889051</v>
      </c>
      <c r="G67" s="198" t="s">
        <v>633</v>
      </c>
      <c r="H67" s="163" t="s">
        <v>269</v>
      </c>
      <c r="I67" s="161" t="n">
        <v>26</v>
      </c>
      <c r="J67" s="156" t="s">
        <v>185</v>
      </c>
      <c r="K67" s="199" t="n">
        <v>45435.1892013889</v>
      </c>
      <c r="L67" s="3" t="n">
        <v>7</v>
      </c>
      <c r="M67" s="3" t="n">
        <v>7</v>
      </c>
      <c r="N67" s="1" t="n">
        <v>14</v>
      </c>
      <c r="O67" s="1" t="n">
        <v>4</v>
      </c>
    </row>
    <row r="68" customFormat="false" ht="14.25" hidden="false" customHeight="false" outlineLevel="0" collapsed="false">
      <c r="A68" s="1" t="n">
        <v>53</v>
      </c>
      <c r="B68" s="1" t="s">
        <v>681</v>
      </c>
      <c r="C68" s="1" t="s">
        <v>682</v>
      </c>
      <c r="D68" s="1" t="n">
        <v>11197</v>
      </c>
      <c r="E68" s="1" t="s">
        <v>53</v>
      </c>
      <c r="F68" s="201" t="n">
        <v>200025889051</v>
      </c>
      <c r="G68" s="198" t="s">
        <v>633</v>
      </c>
      <c r="H68" s="163" t="s">
        <v>269</v>
      </c>
      <c r="I68" s="161" t="n">
        <v>26</v>
      </c>
      <c r="J68" s="156" t="s">
        <v>185</v>
      </c>
      <c r="K68" s="199" t="n">
        <v>45435.1910185185</v>
      </c>
      <c r="L68" s="3" t="n">
        <v>7</v>
      </c>
      <c r="M68" s="3" t="n">
        <v>7</v>
      </c>
      <c r="N68" s="1" t="n">
        <v>15</v>
      </c>
      <c r="O68" s="1" t="n">
        <v>3</v>
      </c>
    </row>
    <row r="69" customFormat="false" ht="14.25" hidden="false" customHeight="false" outlineLevel="0" collapsed="false">
      <c r="A69" s="1" t="n">
        <v>56</v>
      </c>
      <c r="B69" s="1" t="s">
        <v>681</v>
      </c>
      <c r="C69" s="1" t="s">
        <v>682</v>
      </c>
      <c r="D69" s="1" t="n">
        <v>11197</v>
      </c>
      <c r="E69" s="1" t="s">
        <v>53</v>
      </c>
      <c r="F69" s="201" t="n">
        <v>200025889051</v>
      </c>
      <c r="G69" s="198" t="s">
        <v>633</v>
      </c>
      <c r="H69" s="163" t="s">
        <v>269</v>
      </c>
      <c r="I69" s="161" t="n">
        <v>26</v>
      </c>
      <c r="J69" s="156" t="s">
        <v>185</v>
      </c>
      <c r="K69" s="199" t="n">
        <v>45435.2612847222</v>
      </c>
      <c r="L69" s="3" t="n">
        <v>7</v>
      </c>
      <c r="M69" s="3" t="n">
        <v>7</v>
      </c>
      <c r="N69" s="1" t="n">
        <v>16</v>
      </c>
      <c r="O69" s="1" t="n">
        <v>1</v>
      </c>
    </row>
    <row r="70" customFormat="false" ht="14.25" hidden="false" customHeight="false" outlineLevel="0" collapsed="false">
      <c r="A70" s="1" t="n">
        <v>57</v>
      </c>
      <c r="B70" s="1" t="s">
        <v>681</v>
      </c>
      <c r="C70" s="1" t="s">
        <v>682</v>
      </c>
      <c r="D70" s="1" t="n">
        <v>11197</v>
      </c>
      <c r="E70" s="1" t="s">
        <v>53</v>
      </c>
      <c r="F70" s="201" t="n">
        <v>200025889051</v>
      </c>
      <c r="G70" s="198" t="s">
        <v>633</v>
      </c>
      <c r="H70" s="163" t="s">
        <v>269</v>
      </c>
      <c r="I70" s="161" t="n">
        <v>26</v>
      </c>
      <c r="J70" s="156" t="s">
        <v>185</v>
      </c>
      <c r="K70" s="199" t="n">
        <v>45435.2612962963</v>
      </c>
      <c r="L70" s="3" t="n">
        <v>7</v>
      </c>
      <c r="M70" s="3" t="n">
        <v>7</v>
      </c>
      <c r="N70" s="1" t="n">
        <v>17</v>
      </c>
      <c r="O70" s="1" t="n">
        <v>1</v>
      </c>
    </row>
    <row r="71" customFormat="false" ht="14.25" hidden="false" customHeight="false" outlineLevel="0" collapsed="false">
      <c r="A71" s="1" t="n">
        <v>58</v>
      </c>
      <c r="B71" s="1" t="s">
        <v>681</v>
      </c>
      <c r="C71" s="1" t="s">
        <v>682</v>
      </c>
      <c r="D71" s="1" t="n">
        <v>11197</v>
      </c>
      <c r="E71" s="1" t="s">
        <v>53</v>
      </c>
      <c r="F71" s="201" t="n">
        <v>200025889051</v>
      </c>
      <c r="G71" s="198" t="s">
        <v>633</v>
      </c>
      <c r="H71" s="163" t="s">
        <v>269</v>
      </c>
      <c r="I71" s="161" t="n">
        <v>26</v>
      </c>
      <c r="J71" s="156" t="s">
        <v>185</v>
      </c>
      <c r="K71" s="199" t="n">
        <v>45435.2621643519</v>
      </c>
      <c r="L71" s="3" t="n">
        <v>7</v>
      </c>
      <c r="M71" s="3" t="n">
        <v>7</v>
      </c>
      <c r="N71" s="1" t="n">
        <v>18</v>
      </c>
      <c r="O71" s="1" t="n">
        <v>3</v>
      </c>
    </row>
    <row r="72" customFormat="false" ht="14.25" hidden="false" customHeight="false" outlineLevel="0" collapsed="false">
      <c r="A72" s="1" t="n">
        <v>59</v>
      </c>
      <c r="B72" s="1" t="s">
        <v>681</v>
      </c>
      <c r="C72" s="1" t="s">
        <v>682</v>
      </c>
      <c r="D72" s="1" t="n">
        <v>11197</v>
      </c>
      <c r="E72" s="1" t="s">
        <v>53</v>
      </c>
      <c r="F72" s="201" t="n">
        <v>200025889051</v>
      </c>
      <c r="G72" s="198" t="s">
        <v>633</v>
      </c>
      <c r="H72" s="163" t="s">
        <v>269</v>
      </c>
      <c r="I72" s="161" t="n">
        <v>26</v>
      </c>
      <c r="J72" s="156" t="s">
        <v>185</v>
      </c>
      <c r="K72" s="199" t="n">
        <v>45435.2625231482</v>
      </c>
      <c r="L72" s="3" t="n">
        <v>7</v>
      </c>
      <c r="M72" s="3" t="n">
        <v>7</v>
      </c>
      <c r="N72" s="1" t="n">
        <v>19</v>
      </c>
      <c r="O72" s="1" t="n">
        <v>1</v>
      </c>
    </row>
    <row r="73" customFormat="false" ht="14.25" hidden="false" customHeight="false" outlineLevel="0" collapsed="false">
      <c r="A73" s="1" t="n">
        <v>60</v>
      </c>
      <c r="B73" s="1" t="s">
        <v>681</v>
      </c>
      <c r="C73" s="1" t="s">
        <v>682</v>
      </c>
      <c r="D73" s="1" t="n">
        <v>11197</v>
      </c>
      <c r="E73" s="1" t="s">
        <v>53</v>
      </c>
      <c r="F73" s="201" t="n">
        <v>200025889051</v>
      </c>
      <c r="G73" s="198" t="s">
        <v>633</v>
      </c>
      <c r="H73" s="163" t="s">
        <v>269</v>
      </c>
      <c r="I73" s="161" t="n">
        <v>26</v>
      </c>
      <c r="J73" s="156" t="s">
        <v>185</v>
      </c>
      <c r="K73" s="199" t="n">
        <v>45435.2632638889</v>
      </c>
      <c r="L73" s="3" t="n">
        <v>7</v>
      </c>
      <c r="M73" s="3" t="n">
        <v>7</v>
      </c>
      <c r="N73" s="1" t="n">
        <v>20</v>
      </c>
      <c r="O73" s="1" t="n">
        <v>2</v>
      </c>
    </row>
    <row r="74" customFormat="false" ht="14.25" hidden="false" customHeight="false" outlineLevel="0" collapsed="false">
      <c r="A74" s="1" t="n">
        <v>207</v>
      </c>
      <c r="B74" s="1" t="s">
        <v>621</v>
      </c>
      <c r="C74" s="1" t="s">
        <v>622</v>
      </c>
      <c r="D74" s="1" t="n">
        <v>11171</v>
      </c>
      <c r="E74" s="1" t="s">
        <v>55</v>
      </c>
      <c r="F74" s="201" t="n">
        <v>200025889051</v>
      </c>
      <c r="G74" s="198" t="s">
        <v>633</v>
      </c>
      <c r="H74" s="163" t="s">
        <v>269</v>
      </c>
      <c r="I74" s="161" t="n">
        <v>26</v>
      </c>
      <c r="J74" s="156" t="s">
        <v>185</v>
      </c>
      <c r="K74" s="200" t="n">
        <v>45435.6218171296</v>
      </c>
      <c r="L74" s="3" t="n">
        <v>7</v>
      </c>
      <c r="M74" s="3" t="n">
        <v>7</v>
      </c>
      <c r="N74" s="1" t="n">
        <v>21</v>
      </c>
      <c r="O74" s="1" t="n">
        <v>2</v>
      </c>
    </row>
    <row r="75" customFormat="false" ht="14.25" hidden="false" customHeight="false" outlineLevel="0" collapsed="false">
      <c r="A75" s="1" t="n">
        <v>51</v>
      </c>
      <c r="B75" s="1" t="s">
        <v>565</v>
      </c>
      <c r="C75" s="1" t="s">
        <v>566</v>
      </c>
      <c r="D75" s="1" t="n">
        <v>11171</v>
      </c>
      <c r="E75" s="1" t="s">
        <v>55</v>
      </c>
      <c r="F75" s="198" t="n">
        <v>200025889051</v>
      </c>
      <c r="G75" s="198" t="s">
        <v>633</v>
      </c>
      <c r="H75" s="163" t="s">
        <v>269</v>
      </c>
      <c r="I75" s="161" t="n">
        <v>26</v>
      </c>
      <c r="J75" s="156" t="s">
        <v>185</v>
      </c>
      <c r="K75" s="199" t="n">
        <v>45452.3428819444</v>
      </c>
      <c r="L75" s="3" t="n">
        <v>7</v>
      </c>
      <c r="M75" s="3" t="n">
        <v>7</v>
      </c>
      <c r="N75" s="1" t="n">
        <v>22</v>
      </c>
      <c r="O75" s="1" t="n">
        <v>0</v>
      </c>
    </row>
    <row r="76" customFormat="false" ht="14.25" hidden="false" customHeight="false" outlineLevel="0" collapsed="false">
      <c r="A76" s="1" t="n">
        <v>52</v>
      </c>
      <c r="B76" s="1" t="s">
        <v>565</v>
      </c>
      <c r="C76" s="1" t="s">
        <v>566</v>
      </c>
      <c r="D76" s="1" t="n">
        <v>11171</v>
      </c>
      <c r="E76" s="1" t="s">
        <v>55</v>
      </c>
      <c r="F76" s="198" t="n">
        <v>200025889051</v>
      </c>
      <c r="G76" s="198" t="s">
        <v>633</v>
      </c>
      <c r="H76" s="163" t="s">
        <v>269</v>
      </c>
      <c r="I76" s="161" t="n">
        <v>26</v>
      </c>
      <c r="J76" s="156" t="s">
        <v>185</v>
      </c>
      <c r="K76" s="199" t="n">
        <v>45452.3428935185</v>
      </c>
      <c r="L76" s="3" t="n">
        <v>7</v>
      </c>
      <c r="M76" s="3" t="n">
        <v>7</v>
      </c>
      <c r="N76" s="1" t="n">
        <v>23</v>
      </c>
      <c r="O76" s="1" t="n">
        <v>0</v>
      </c>
    </row>
    <row r="77" customFormat="false" ht="14.25" hidden="false" customHeight="false" outlineLevel="0" collapsed="false">
      <c r="A77" s="1" t="n">
        <v>53</v>
      </c>
      <c r="B77" s="1" t="s">
        <v>565</v>
      </c>
      <c r="C77" s="1" t="s">
        <v>566</v>
      </c>
      <c r="D77" s="1" t="n">
        <v>11171</v>
      </c>
      <c r="E77" s="1" t="s">
        <v>55</v>
      </c>
      <c r="F77" s="198" t="n">
        <v>200025889051</v>
      </c>
      <c r="G77" s="198" t="s">
        <v>633</v>
      </c>
      <c r="H77" s="163" t="s">
        <v>269</v>
      </c>
      <c r="I77" s="161" t="n">
        <v>26</v>
      </c>
      <c r="J77" s="156" t="s">
        <v>185</v>
      </c>
      <c r="K77" s="199" t="n">
        <v>45452.3428935185</v>
      </c>
      <c r="L77" s="3" t="n">
        <v>7</v>
      </c>
      <c r="M77" s="3" t="n">
        <v>7</v>
      </c>
      <c r="N77" s="1" t="n">
        <v>24</v>
      </c>
      <c r="O77" s="1" t="n">
        <v>3</v>
      </c>
    </row>
    <row r="78" customFormat="false" ht="14.25" hidden="false" customHeight="false" outlineLevel="0" collapsed="false">
      <c r="A78" s="1" t="n">
        <v>54</v>
      </c>
      <c r="B78" s="1" t="s">
        <v>565</v>
      </c>
      <c r="C78" s="1" t="s">
        <v>566</v>
      </c>
      <c r="D78" s="1" t="n">
        <v>11171</v>
      </c>
      <c r="E78" s="1" t="s">
        <v>55</v>
      </c>
      <c r="F78" s="198" t="n">
        <v>200025889051</v>
      </c>
      <c r="G78" s="198" t="s">
        <v>633</v>
      </c>
      <c r="H78" s="163" t="s">
        <v>269</v>
      </c>
      <c r="I78" s="161" t="n">
        <v>26</v>
      </c>
      <c r="J78" s="156" t="s">
        <v>185</v>
      </c>
      <c r="K78" s="199" t="n">
        <v>45452.3435300926</v>
      </c>
      <c r="L78" s="3" t="n">
        <v>7</v>
      </c>
      <c r="M78" s="3" t="n">
        <v>7</v>
      </c>
      <c r="N78" s="1" t="n">
        <v>25</v>
      </c>
      <c r="O78" s="1" t="n">
        <v>2</v>
      </c>
    </row>
    <row r="79" customFormat="false" ht="14.25" hidden="false" customHeight="false" outlineLevel="0" collapsed="false">
      <c r="A79" s="1" t="n">
        <v>55</v>
      </c>
      <c r="B79" s="1" t="s">
        <v>565</v>
      </c>
      <c r="C79" s="1" t="s">
        <v>566</v>
      </c>
      <c r="D79" s="1" t="n">
        <v>11171</v>
      </c>
      <c r="E79" s="1" t="s">
        <v>55</v>
      </c>
      <c r="F79" s="198" t="n">
        <v>200025889051</v>
      </c>
      <c r="G79" s="198" t="s">
        <v>633</v>
      </c>
      <c r="H79" s="163" t="s">
        <v>269</v>
      </c>
      <c r="I79" s="161" t="n">
        <v>26</v>
      </c>
      <c r="J79" s="156" t="s">
        <v>185</v>
      </c>
      <c r="K79" s="199" t="n">
        <v>45452.3438078704</v>
      </c>
      <c r="L79" s="3" t="n">
        <v>7</v>
      </c>
      <c r="M79" s="3" t="n">
        <v>7</v>
      </c>
      <c r="N79" s="1" t="n">
        <v>26</v>
      </c>
      <c r="O79" s="1" t="n">
        <v>1</v>
      </c>
    </row>
    <row r="80" customFormat="false" ht="14.25" hidden="false" customHeight="false" outlineLevel="0" collapsed="false">
      <c r="A80" s="1" t="n">
        <v>56</v>
      </c>
      <c r="B80" s="1" t="s">
        <v>565</v>
      </c>
      <c r="C80" s="1" t="s">
        <v>566</v>
      </c>
      <c r="D80" s="1" t="n">
        <v>11171</v>
      </c>
      <c r="E80" s="1" t="s">
        <v>55</v>
      </c>
      <c r="F80" s="198" t="n">
        <v>200025889051</v>
      </c>
      <c r="G80" s="198" t="s">
        <v>633</v>
      </c>
      <c r="H80" s="163" t="s">
        <v>269</v>
      </c>
      <c r="I80" s="161" t="n">
        <v>26</v>
      </c>
      <c r="J80" s="156" t="s">
        <v>185</v>
      </c>
      <c r="K80" s="199" t="n">
        <v>45452.3439351852</v>
      </c>
      <c r="L80" s="3" t="n">
        <v>7</v>
      </c>
      <c r="M80" s="3" t="n">
        <v>7</v>
      </c>
      <c r="N80" s="1" t="n">
        <v>27</v>
      </c>
      <c r="O80" s="1" t="n">
        <v>4</v>
      </c>
    </row>
    <row r="81" customFormat="false" ht="14.25" hidden="false" customHeight="false" outlineLevel="0" collapsed="false">
      <c r="A81" s="1" t="n">
        <v>57</v>
      </c>
      <c r="B81" s="1" t="s">
        <v>565</v>
      </c>
      <c r="C81" s="1" t="s">
        <v>566</v>
      </c>
      <c r="D81" s="1" t="n">
        <v>11171</v>
      </c>
      <c r="E81" s="1" t="s">
        <v>55</v>
      </c>
      <c r="F81" s="198" t="n">
        <v>200025889051</v>
      </c>
      <c r="G81" s="198" t="s">
        <v>633</v>
      </c>
      <c r="H81" s="163" t="s">
        <v>269</v>
      </c>
      <c r="I81" s="161" t="n">
        <v>26</v>
      </c>
      <c r="J81" s="156" t="s">
        <v>185</v>
      </c>
      <c r="K81" s="199" t="n">
        <v>45452.3443287037</v>
      </c>
      <c r="L81" s="3" t="n">
        <v>7</v>
      </c>
      <c r="M81" s="3" t="n">
        <v>7</v>
      </c>
      <c r="N81" s="1" t="n">
        <v>28</v>
      </c>
      <c r="O81" s="1" t="n">
        <v>0</v>
      </c>
    </row>
    <row r="82" customFormat="false" ht="14.25" hidden="false" customHeight="false" outlineLevel="0" collapsed="false">
      <c r="A82" s="1" t="n">
        <v>58</v>
      </c>
      <c r="B82" s="1" t="s">
        <v>565</v>
      </c>
      <c r="C82" s="1" t="s">
        <v>566</v>
      </c>
      <c r="D82" s="1" t="n">
        <v>11171</v>
      </c>
      <c r="E82" s="1" t="s">
        <v>55</v>
      </c>
      <c r="F82" s="198" t="n">
        <v>200025889051</v>
      </c>
      <c r="G82" s="198" t="s">
        <v>633</v>
      </c>
      <c r="H82" s="163" t="s">
        <v>269</v>
      </c>
      <c r="I82" s="161" t="n">
        <v>26</v>
      </c>
      <c r="J82" s="156" t="s">
        <v>185</v>
      </c>
      <c r="K82" s="199" t="n">
        <v>45452.3443402778</v>
      </c>
      <c r="L82" s="3" t="n">
        <v>7</v>
      </c>
      <c r="M82" s="3" t="n">
        <v>7</v>
      </c>
      <c r="N82" s="1" t="n">
        <v>29</v>
      </c>
      <c r="O82" s="1" t="n">
        <v>1</v>
      </c>
    </row>
    <row r="83" customFormat="false" ht="14.25" hidden="false" customHeight="false" outlineLevel="0" collapsed="false">
      <c r="A83" s="1" t="n">
        <v>59</v>
      </c>
      <c r="B83" s="1" t="s">
        <v>565</v>
      </c>
      <c r="C83" s="1" t="s">
        <v>566</v>
      </c>
      <c r="D83" s="1" t="n">
        <v>11171</v>
      </c>
      <c r="E83" s="1" t="s">
        <v>55</v>
      </c>
      <c r="F83" s="198" t="n">
        <v>200025889051</v>
      </c>
      <c r="G83" s="198" t="s">
        <v>633</v>
      </c>
      <c r="H83" s="163" t="s">
        <v>269</v>
      </c>
      <c r="I83" s="161" t="n">
        <v>26</v>
      </c>
      <c r="J83" s="156" t="s">
        <v>185</v>
      </c>
      <c r="K83" s="199" t="n">
        <v>45452.345625</v>
      </c>
      <c r="L83" s="3" t="n">
        <v>7</v>
      </c>
      <c r="M83" s="3" t="n">
        <v>7</v>
      </c>
      <c r="N83" s="1" t="n">
        <v>30</v>
      </c>
      <c r="O83" s="1" t="n">
        <v>0</v>
      </c>
    </row>
    <row r="84" customFormat="false" ht="14.25" hidden="false" customHeight="false" outlineLevel="0" collapsed="false">
      <c r="A84" s="1" t="n">
        <v>60</v>
      </c>
      <c r="B84" s="1" t="s">
        <v>565</v>
      </c>
      <c r="C84" s="1" t="s">
        <v>566</v>
      </c>
      <c r="D84" s="1" t="n">
        <v>11171</v>
      </c>
      <c r="E84" s="1" t="s">
        <v>55</v>
      </c>
      <c r="F84" s="198" t="n">
        <v>200025889051</v>
      </c>
      <c r="G84" s="198" t="s">
        <v>633</v>
      </c>
      <c r="H84" s="163" t="s">
        <v>269</v>
      </c>
      <c r="I84" s="161" t="n">
        <v>26</v>
      </c>
      <c r="J84" s="156" t="s">
        <v>185</v>
      </c>
      <c r="K84" s="199" t="n">
        <v>45452.3456365741</v>
      </c>
      <c r="L84" s="3" t="n">
        <v>7</v>
      </c>
      <c r="M84" s="3" t="n">
        <v>7</v>
      </c>
      <c r="N84" s="1" t="n">
        <v>31</v>
      </c>
      <c r="O84" s="1" t="n">
        <v>0</v>
      </c>
    </row>
    <row r="85" customFormat="false" ht="14.25" hidden="false" customHeight="false" outlineLevel="0" collapsed="false">
      <c r="A85" s="1" t="n">
        <v>61</v>
      </c>
      <c r="B85" s="1" t="s">
        <v>565</v>
      </c>
      <c r="C85" s="1" t="s">
        <v>566</v>
      </c>
      <c r="D85" s="1" t="n">
        <v>11171</v>
      </c>
      <c r="E85" s="1" t="s">
        <v>55</v>
      </c>
      <c r="F85" s="198" t="n">
        <v>200025889051</v>
      </c>
      <c r="G85" s="198" t="s">
        <v>633</v>
      </c>
      <c r="H85" s="163" t="s">
        <v>269</v>
      </c>
      <c r="I85" s="161" t="n">
        <v>26</v>
      </c>
      <c r="J85" s="156" t="s">
        <v>185</v>
      </c>
      <c r="K85" s="199" t="n">
        <v>45452.3457291667</v>
      </c>
      <c r="L85" s="3" t="n">
        <v>7</v>
      </c>
      <c r="M85" s="3" t="n">
        <v>7</v>
      </c>
      <c r="N85" s="1" t="n">
        <v>32</v>
      </c>
      <c r="O85" s="1" t="n">
        <v>0</v>
      </c>
    </row>
    <row r="86" customFormat="false" ht="14.25" hidden="false" customHeight="false" outlineLevel="0" collapsed="false">
      <c r="A86" s="1" t="n">
        <v>62</v>
      </c>
      <c r="B86" s="1" t="s">
        <v>565</v>
      </c>
      <c r="C86" s="1" t="s">
        <v>566</v>
      </c>
      <c r="D86" s="1" t="n">
        <v>11171</v>
      </c>
      <c r="E86" s="1" t="s">
        <v>55</v>
      </c>
      <c r="F86" s="198" t="n">
        <v>200025889051</v>
      </c>
      <c r="G86" s="198" t="s">
        <v>633</v>
      </c>
      <c r="H86" s="163" t="s">
        <v>269</v>
      </c>
      <c r="I86" s="161" t="n">
        <v>26</v>
      </c>
      <c r="J86" s="156" t="s">
        <v>185</v>
      </c>
      <c r="K86" s="199" t="n">
        <v>45452.34625</v>
      </c>
      <c r="L86" s="3" t="n">
        <v>7</v>
      </c>
      <c r="M86" s="3" t="n">
        <v>7</v>
      </c>
      <c r="N86" s="1" t="n">
        <v>33</v>
      </c>
      <c r="O86" s="1" t="n">
        <v>3</v>
      </c>
    </row>
    <row r="87" customFormat="false" ht="14.25" hidden="false" customHeight="false" outlineLevel="0" collapsed="false">
      <c r="A87" s="1" t="n">
        <v>63</v>
      </c>
      <c r="B87" s="1" t="s">
        <v>565</v>
      </c>
      <c r="C87" s="1" t="s">
        <v>566</v>
      </c>
      <c r="D87" s="1" t="n">
        <v>11171</v>
      </c>
      <c r="E87" s="1" t="s">
        <v>55</v>
      </c>
      <c r="F87" s="198" t="n">
        <v>200025889051</v>
      </c>
      <c r="G87" s="198" t="s">
        <v>633</v>
      </c>
      <c r="H87" s="163" t="s">
        <v>269</v>
      </c>
      <c r="I87" s="161" t="n">
        <v>26</v>
      </c>
      <c r="J87" s="156" t="s">
        <v>185</v>
      </c>
      <c r="K87" s="199" t="n">
        <v>45452.347025463</v>
      </c>
      <c r="L87" s="3" t="n">
        <v>7</v>
      </c>
      <c r="M87" s="3" t="n">
        <v>7</v>
      </c>
      <c r="N87" s="1" t="n">
        <v>34</v>
      </c>
      <c r="O87" s="1" t="n">
        <v>9</v>
      </c>
    </row>
    <row r="88" customFormat="false" ht="14.25" hidden="false" customHeight="false" outlineLevel="0" collapsed="false">
      <c r="A88" s="1" t="n">
        <v>35</v>
      </c>
      <c r="B88" s="1" t="s">
        <v>637</v>
      </c>
      <c r="C88" s="1" t="s">
        <v>638</v>
      </c>
      <c r="D88" s="1" t="n">
        <v>21296</v>
      </c>
      <c r="E88" s="1" t="s">
        <v>57</v>
      </c>
      <c r="F88" s="198" t="n">
        <v>200025889051</v>
      </c>
      <c r="G88" s="198" t="s">
        <v>633</v>
      </c>
      <c r="H88" s="163" t="s">
        <v>269</v>
      </c>
      <c r="I88" s="161" t="n">
        <v>26</v>
      </c>
      <c r="J88" s="156" t="s">
        <v>185</v>
      </c>
      <c r="K88" s="200" t="n">
        <v>45452.4318518519</v>
      </c>
      <c r="L88" s="3" t="n">
        <v>7</v>
      </c>
      <c r="M88" s="3" t="n">
        <v>7</v>
      </c>
      <c r="N88" s="1" t="n">
        <v>35</v>
      </c>
      <c r="O88" s="1" t="n">
        <v>0</v>
      </c>
    </row>
    <row r="89" customFormat="false" ht="14.25" hidden="false" customHeight="false" outlineLevel="0" collapsed="false">
      <c r="A89" s="1" t="n">
        <v>62</v>
      </c>
      <c r="B89" s="1" t="s">
        <v>624</v>
      </c>
      <c r="C89" s="1" t="s">
        <v>625</v>
      </c>
      <c r="D89" s="196" t="n">
        <v>2568</v>
      </c>
      <c r="E89" s="196" t="s">
        <v>51</v>
      </c>
      <c r="F89" s="201" t="n">
        <v>200025889051</v>
      </c>
      <c r="G89" s="198" t="s">
        <v>633</v>
      </c>
      <c r="H89" s="163" t="s">
        <v>269</v>
      </c>
      <c r="I89" s="161" t="n">
        <v>26</v>
      </c>
      <c r="J89" s="156" t="s">
        <v>185</v>
      </c>
      <c r="K89" s="200" t="n">
        <v>45452.4431712963</v>
      </c>
      <c r="L89" s="3" t="n">
        <v>7</v>
      </c>
      <c r="M89" s="3" t="n">
        <v>7</v>
      </c>
      <c r="N89" s="1" t="n">
        <v>36</v>
      </c>
      <c r="O89" s="1" t="n">
        <v>0</v>
      </c>
    </row>
    <row r="90" customFormat="false" ht="14.25" hidden="false" customHeight="false" outlineLevel="0" collapsed="false">
      <c r="A90" s="1" t="n">
        <v>48</v>
      </c>
      <c r="B90" s="1" t="s">
        <v>637</v>
      </c>
      <c r="C90" s="1" t="s">
        <v>638</v>
      </c>
      <c r="D90" s="1" t="n">
        <v>21296</v>
      </c>
      <c r="E90" s="1" t="s">
        <v>57</v>
      </c>
      <c r="F90" s="198" t="n">
        <v>200025889051</v>
      </c>
      <c r="G90" s="198" t="s">
        <v>633</v>
      </c>
      <c r="H90" s="163" t="s">
        <v>269</v>
      </c>
      <c r="I90" s="161" t="n">
        <v>26</v>
      </c>
      <c r="J90" s="156" t="s">
        <v>185</v>
      </c>
      <c r="K90" s="200" t="n">
        <v>45453.1302083333</v>
      </c>
      <c r="L90" s="3" t="n">
        <v>7</v>
      </c>
      <c r="M90" s="3" t="n">
        <v>7</v>
      </c>
      <c r="N90" s="1" t="n">
        <v>37</v>
      </c>
      <c r="O90" s="1" t="n">
        <v>1</v>
      </c>
    </row>
    <row r="91" customFormat="false" ht="14.25" hidden="false" customHeight="false" outlineLevel="0" collapsed="false">
      <c r="A91" s="1" t="n">
        <v>49</v>
      </c>
      <c r="B91" s="1" t="s">
        <v>637</v>
      </c>
      <c r="C91" s="1" t="s">
        <v>638</v>
      </c>
      <c r="D91" s="1" t="n">
        <v>21296</v>
      </c>
      <c r="E91" s="1" t="s">
        <v>57</v>
      </c>
      <c r="F91" s="201" t="n">
        <v>200025889051</v>
      </c>
      <c r="G91" s="198" t="s">
        <v>633</v>
      </c>
      <c r="H91" s="163" t="s">
        <v>269</v>
      </c>
      <c r="I91" s="161" t="n">
        <v>26</v>
      </c>
      <c r="J91" s="156" t="s">
        <v>185</v>
      </c>
      <c r="K91" s="200" t="n">
        <v>45453.1305439815</v>
      </c>
      <c r="L91" s="3" t="n">
        <v>7</v>
      </c>
      <c r="M91" s="3" t="n">
        <v>7</v>
      </c>
      <c r="N91" s="1" t="n">
        <v>38</v>
      </c>
      <c r="O91" s="1" t="n">
        <v>0</v>
      </c>
    </row>
    <row r="92" customFormat="false" ht="14.25" hidden="false" customHeight="false" outlineLevel="0" collapsed="false">
      <c r="A92" s="1" t="n">
        <v>50</v>
      </c>
      <c r="B92" s="1" t="s">
        <v>637</v>
      </c>
      <c r="C92" s="1" t="s">
        <v>638</v>
      </c>
      <c r="D92" s="1" t="n">
        <v>21296</v>
      </c>
      <c r="E92" s="1" t="s">
        <v>57</v>
      </c>
      <c r="F92" s="201" t="n">
        <v>200025889051</v>
      </c>
      <c r="G92" s="198" t="s">
        <v>633</v>
      </c>
      <c r="H92" s="163" t="s">
        <v>269</v>
      </c>
      <c r="I92" s="161" t="n">
        <v>26</v>
      </c>
      <c r="J92" s="156" t="s">
        <v>185</v>
      </c>
      <c r="K92" s="200" t="n">
        <v>45453.1306712963</v>
      </c>
      <c r="L92" s="3" t="n">
        <v>7</v>
      </c>
      <c r="M92" s="3" t="n">
        <v>7</v>
      </c>
      <c r="N92" s="1" t="n">
        <v>39</v>
      </c>
      <c r="O92" s="1" t="n">
        <v>1</v>
      </c>
    </row>
    <row r="93" customFormat="false" ht="14.25" hidden="false" customHeight="false" outlineLevel="0" collapsed="false">
      <c r="A93" s="1" t="n">
        <v>51</v>
      </c>
      <c r="B93" s="1" t="s">
        <v>637</v>
      </c>
      <c r="C93" s="1" t="s">
        <v>638</v>
      </c>
      <c r="D93" s="1" t="n">
        <v>21296</v>
      </c>
      <c r="E93" s="1" t="s">
        <v>57</v>
      </c>
      <c r="F93" s="201" t="n">
        <v>200025889051</v>
      </c>
      <c r="G93" s="198" t="s">
        <v>633</v>
      </c>
      <c r="H93" s="163" t="s">
        <v>269</v>
      </c>
      <c r="I93" s="161" t="n">
        <v>26</v>
      </c>
      <c r="J93" s="156" t="s">
        <v>185</v>
      </c>
      <c r="K93" s="200" t="n">
        <v>45453.1313194444</v>
      </c>
      <c r="L93" s="3" t="n">
        <v>7</v>
      </c>
      <c r="M93" s="3" t="n">
        <v>7</v>
      </c>
      <c r="N93" s="1" t="n">
        <v>40</v>
      </c>
      <c r="O93" s="1" t="n">
        <v>0</v>
      </c>
    </row>
    <row r="94" customFormat="false" ht="14.25" hidden="false" customHeight="false" outlineLevel="0" collapsed="false">
      <c r="A94" s="1" t="n">
        <v>24</v>
      </c>
      <c r="B94" s="1" t="s">
        <v>681</v>
      </c>
      <c r="C94" s="1" t="s">
        <v>682</v>
      </c>
      <c r="D94" s="1" t="n">
        <v>11197</v>
      </c>
      <c r="E94" s="1" t="s">
        <v>53</v>
      </c>
      <c r="F94" s="201" t="n">
        <v>200025888729</v>
      </c>
      <c r="G94" s="198" t="s">
        <v>695</v>
      </c>
      <c r="H94" s="163" t="s">
        <v>321</v>
      </c>
      <c r="I94" s="161" t="n">
        <v>56</v>
      </c>
      <c r="J94" s="156" t="s">
        <v>185</v>
      </c>
      <c r="K94" s="199" t="n">
        <v>45434.9282060185</v>
      </c>
      <c r="L94" s="3" t="n">
        <v>8</v>
      </c>
      <c r="M94" s="3" t="n">
        <v>8</v>
      </c>
      <c r="N94" s="1" t="n">
        <v>1</v>
      </c>
      <c r="O94" s="1" t="n">
        <v>1</v>
      </c>
    </row>
    <row r="95" customFormat="false" ht="14.25" hidden="false" customHeight="false" outlineLevel="0" collapsed="false">
      <c r="A95" s="1" t="n">
        <v>43</v>
      </c>
      <c r="B95" s="1" t="s">
        <v>681</v>
      </c>
      <c r="C95" s="1" t="s">
        <v>682</v>
      </c>
      <c r="D95" s="1" t="n">
        <v>11197</v>
      </c>
      <c r="E95" s="1" t="s">
        <v>53</v>
      </c>
      <c r="F95" s="201" t="n">
        <v>200025888729</v>
      </c>
      <c r="G95" s="198" t="s">
        <v>695</v>
      </c>
      <c r="H95" s="163" t="s">
        <v>321</v>
      </c>
      <c r="I95" s="161" t="n">
        <v>56</v>
      </c>
      <c r="J95" s="156" t="s">
        <v>185</v>
      </c>
      <c r="K95" s="199" t="n">
        <v>45435.1610416667</v>
      </c>
      <c r="L95" s="3" t="n">
        <v>8</v>
      </c>
      <c r="M95" s="3" t="n">
        <v>8</v>
      </c>
      <c r="N95" s="1" t="n">
        <v>2</v>
      </c>
      <c r="O95" s="1" t="n">
        <v>0</v>
      </c>
    </row>
    <row r="96" customFormat="false" ht="14.25" hidden="false" customHeight="false" outlineLevel="0" collapsed="false">
      <c r="A96" s="1" t="n">
        <v>44</v>
      </c>
      <c r="B96" s="1" t="s">
        <v>681</v>
      </c>
      <c r="C96" s="1" t="s">
        <v>682</v>
      </c>
      <c r="D96" s="1" t="n">
        <v>11197</v>
      </c>
      <c r="E96" s="1" t="s">
        <v>53</v>
      </c>
      <c r="F96" s="201" t="n">
        <v>200025888729</v>
      </c>
      <c r="G96" s="198" t="s">
        <v>695</v>
      </c>
      <c r="H96" s="163" t="s">
        <v>321</v>
      </c>
      <c r="I96" s="161" t="n">
        <v>56</v>
      </c>
      <c r="J96" s="156" t="s">
        <v>185</v>
      </c>
      <c r="K96" s="199" t="n">
        <v>45435.1610532407</v>
      </c>
      <c r="L96" s="3" t="n">
        <v>8</v>
      </c>
      <c r="M96" s="3" t="n">
        <v>8</v>
      </c>
      <c r="N96" s="1" t="n">
        <v>3</v>
      </c>
      <c r="O96" s="1" t="n">
        <v>1</v>
      </c>
    </row>
    <row r="97" customFormat="false" ht="14.25" hidden="false" customHeight="false" outlineLevel="0" collapsed="false">
      <c r="A97" s="1" t="n">
        <v>65</v>
      </c>
      <c r="B97" s="1" t="s">
        <v>681</v>
      </c>
      <c r="C97" s="1" t="s">
        <v>682</v>
      </c>
      <c r="D97" s="1" t="n">
        <v>11197</v>
      </c>
      <c r="E97" s="1" t="s">
        <v>53</v>
      </c>
      <c r="F97" s="201" t="n">
        <v>200025888729</v>
      </c>
      <c r="G97" s="198" t="s">
        <v>695</v>
      </c>
      <c r="H97" s="163" t="s">
        <v>321</v>
      </c>
      <c r="I97" s="161" t="n">
        <v>56</v>
      </c>
      <c r="J97" s="156" t="s">
        <v>185</v>
      </c>
      <c r="K97" s="199" t="n">
        <v>45435.2713310185</v>
      </c>
      <c r="L97" s="3" t="n">
        <v>8</v>
      </c>
      <c r="M97" s="3" t="n">
        <v>8</v>
      </c>
      <c r="N97" s="1" t="n">
        <v>4</v>
      </c>
      <c r="O97" s="1" t="n">
        <v>1</v>
      </c>
    </row>
    <row r="98" customFormat="false" ht="14.25" hidden="false" customHeight="false" outlineLevel="0" collapsed="false">
      <c r="A98" s="1" t="n">
        <v>25</v>
      </c>
      <c r="B98" s="1" t="s">
        <v>681</v>
      </c>
      <c r="C98" s="1" t="s">
        <v>682</v>
      </c>
      <c r="D98" s="1" t="n">
        <v>11197</v>
      </c>
      <c r="E98" s="1" t="s">
        <v>53</v>
      </c>
      <c r="F98" s="201" t="n">
        <v>200025888665</v>
      </c>
      <c r="G98" s="198" t="s">
        <v>667</v>
      </c>
      <c r="H98" s="163" t="s">
        <v>218</v>
      </c>
      <c r="I98" s="161" t="n">
        <v>11</v>
      </c>
      <c r="J98" s="156" t="s">
        <v>185</v>
      </c>
      <c r="K98" s="199" t="n">
        <v>45434.9305902778</v>
      </c>
      <c r="L98" s="3" t="n">
        <v>9</v>
      </c>
      <c r="M98" s="3" t="n">
        <v>9</v>
      </c>
      <c r="N98" s="1" t="n">
        <v>1</v>
      </c>
      <c r="O98" s="1" t="n">
        <v>2</v>
      </c>
      <c r="P98" s="3"/>
    </row>
    <row r="99" customFormat="false" ht="14.25" hidden="false" customHeight="false" outlineLevel="0" collapsed="false">
      <c r="A99" s="1" t="n">
        <v>26</v>
      </c>
      <c r="B99" s="1" t="s">
        <v>681</v>
      </c>
      <c r="C99" s="1" t="s">
        <v>682</v>
      </c>
      <c r="D99" s="1" t="n">
        <v>11197</v>
      </c>
      <c r="E99" s="1" t="s">
        <v>53</v>
      </c>
      <c r="F99" s="201" t="n">
        <v>200025888665</v>
      </c>
      <c r="G99" s="198" t="s">
        <v>667</v>
      </c>
      <c r="H99" s="163" t="s">
        <v>218</v>
      </c>
      <c r="I99" s="161" t="n">
        <v>11</v>
      </c>
      <c r="J99" s="156" t="s">
        <v>185</v>
      </c>
      <c r="K99" s="199" t="n">
        <v>45434.930625</v>
      </c>
      <c r="L99" s="3" t="n">
        <v>9</v>
      </c>
      <c r="M99" s="3" t="n">
        <v>9</v>
      </c>
      <c r="N99" s="1" t="n">
        <v>2</v>
      </c>
      <c r="O99" s="10" t="n">
        <v>948</v>
      </c>
      <c r="P99" s="3"/>
    </row>
    <row r="100" customFormat="false" ht="14.25" hidden="false" customHeight="false" outlineLevel="0" collapsed="false">
      <c r="A100" s="1" t="n">
        <v>131</v>
      </c>
      <c r="B100" s="1" t="s">
        <v>621</v>
      </c>
      <c r="C100" s="1" t="s">
        <v>622</v>
      </c>
      <c r="D100" s="1" t="n">
        <v>11171</v>
      </c>
      <c r="E100" s="1" t="s">
        <v>55</v>
      </c>
      <c r="F100" s="201" t="n">
        <v>200025888665</v>
      </c>
      <c r="G100" s="198" t="s">
        <v>667</v>
      </c>
      <c r="H100" s="163" t="s">
        <v>218</v>
      </c>
      <c r="I100" s="161" t="n">
        <v>11</v>
      </c>
      <c r="J100" s="156" t="s">
        <v>185</v>
      </c>
      <c r="K100" s="200" t="n">
        <v>45434.9603935185</v>
      </c>
      <c r="L100" s="3" t="n">
        <v>9</v>
      </c>
      <c r="M100" s="3" t="n">
        <v>9</v>
      </c>
      <c r="N100" s="1" t="n">
        <v>3</v>
      </c>
      <c r="O100" s="1" t="n">
        <v>2</v>
      </c>
      <c r="P100" s="3"/>
    </row>
    <row r="101" customFormat="false" ht="14.25" hidden="false" customHeight="false" outlineLevel="0" collapsed="false">
      <c r="A101" s="1" t="n">
        <v>28</v>
      </c>
      <c r="B101" s="1" t="s">
        <v>681</v>
      </c>
      <c r="C101" s="1" t="s">
        <v>682</v>
      </c>
      <c r="D101" s="1" t="n">
        <v>11197</v>
      </c>
      <c r="E101" s="1" t="s">
        <v>53</v>
      </c>
      <c r="F101" s="201" t="n">
        <v>200025888665</v>
      </c>
      <c r="G101" s="198" t="s">
        <v>667</v>
      </c>
      <c r="H101" s="163" t="s">
        <v>218</v>
      </c>
      <c r="I101" s="161" t="n">
        <v>11</v>
      </c>
      <c r="J101" s="156" t="s">
        <v>185</v>
      </c>
      <c r="K101" s="199" t="n">
        <v>45434.9887384259</v>
      </c>
      <c r="L101" s="3" t="n">
        <v>9</v>
      </c>
      <c r="M101" s="3" t="n">
        <v>9</v>
      </c>
      <c r="N101" s="1" t="n">
        <v>4</v>
      </c>
      <c r="O101" s="1" t="n">
        <v>1</v>
      </c>
      <c r="P101" s="3"/>
    </row>
    <row r="102" customFormat="false" ht="14.25" hidden="false" customHeight="false" outlineLevel="0" collapsed="false">
      <c r="A102" s="1" t="n">
        <v>135</v>
      </c>
      <c r="B102" s="1" t="s">
        <v>621</v>
      </c>
      <c r="C102" s="1" t="s">
        <v>622</v>
      </c>
      <c r="D102" s="1" t="n">
        <v>11171</v>
      </c>
      <c r="E102" s="1" t="s">
        <v>55</v>
      </c>
      <c r="F102" s="201" t="n">
        <v>200025888665</v>
      </c>
      <c r="G102" s="198" t="s">
        <v>667</v>
      </c>
      <c r="H102" s="163" t="s">
        <v>218</v>
      </c>
      <c r="I102" s="161" t="n">
        <v>11</v>
      </c>
      <c r="J102" s="156" t="s">
        <v>185</v>
      </c>
      <c r="K102" s="200" t="n">
        <v>45435.0753240741</v>
      </c>
      <c r="L102" s="3" t="n">
        <v>9</v>
      </c>
      <c r="M102" s="3" t="n">
        <v>9</v>
      </c>
      <c r="N102" s="1" t="n">
        <v>5</v>
      </c>
      <c r="O102" s="1" t="n">
        <v>2</v>
      </c>
      <c r="P102" s="3"/>
    </row>
    <row r="103" customFormat="false" ht="14.25" hidden="false" customHeight="false" outlineLevel="0" collapsed="false">
      <c r="A103" s="1" t="n">
        <v>136</v>
      </c>
      <c r="B103" s="1" t="s">
        <v>621</v>
      </c>
      <c r="C103" s="1" t="s">
        <v>622</v>
      </c>
      <c r="D103" s="1" t="n">
        <v>11171</v>
      </c>
      <c r="E103" s="1" t="s">
        <v>55</v>
      </c>
      <c r="F103" s="201" t="n">
        <v>200025888665</v>
      </c>
      <c r="G103" s="198" t="s">
        <v>667</v>
      </c>
      <c r="H103" s="163" t="s">
        <v>218</v>
      </c>
      <c r="I103" s="161" t="n">
        <v>11</v>
      </c>
      <c r="J103" s="156" t="s">
        <v>185</v>
      </c>
      <c r="K103" s="200" t="n">
        <v>45435.0758796296</v>
      </c>
      <c r="L103" s="3" t="n">
        <v>9</v>
      </c>
      <c r="M103" s="3" t="n">
        <v>9</v>
      </c>
      <c r="N103" s="1" t="n">
        <v>6</v>
      </c>
      <c r="O103" s="1" t="n">
        <v>2</v>
      </c>
      <c r="P103" s="3"/>
    </row>
    <row r="104" customFormat="false" ht="14.25" hidden="false" customHeight="false" outlineLevel="0" collapsed="false">
      <c r="A104" s="1" t="n">
        <v>137</v>
      </c>
      <c r="B104" s="1" t="s">
        <v>621</v>
      </c>
      <c r="C104" s="1" t="s">
        <v>622</v>
      </c>
      <c r="D104" s="1" t="n">
        <v>11171</v>
      </c>
      <c r="E104" s="1" t="s">
        <v>55</v>
      </c>
      <c r="F104" s="201" t="n">
        <v>200025888665</v>
      </c>
      <c r="G104" s="198" t="s">
        <v>667</v>
      </c>
      <c r="H104" s="163" t="s">
        <v>218</v>
      </c>
      <c r="I104" s="161" t="n">
        <v>11</v>
      </c>
      <c r="J104" s="156" t="s">
        <v>185</v>
      </c>
      <c r="K104" s="200" t="n">
        <v>45435.0760648148</v>
      </c>
      <c r="L104" s="3" t="n">
        <v>9</v>
      </c>
      <c r="M104" s="3" t="n">
        <v>9</v>
      </c>
      <c r="N104" s="1" t="n">
        <v>7</v>
      </c>
      <c r="O104" s="1" t="n">
        <v>0</v>
      </c>
      <c r="P104" s="3"/>
    </row>
    <row r="105" customFormat="false" ht="14.25" hidden="false" customHeight="false" outlineLevel="0" collapsed="false">
      <c r="A105" s="1" t="n">
        <v>138</v>
      </c>
      <c r="B105" s="1" t="s">
        <v>621</v>
      </c>
      <c r="C105" s="1" t="s">
        <v>622</v>
      </c>
      <c r="D105" s="1" t="n">
        <v>11171</v>
      </c>
      <c r="E105" s="1" t="s">
        <v>55</v>
      </c>
      <c r="F105" s="201" t="n">
        <v>200025888665</v>
      </c>
      <c r="G105" s="198" t="s">
        <v>667</v>
      </c>
      <c r="H105" s="163" t="s">
        <v>218</v>
      </c>
      <c r="I105" s="161" t="n">
        <v>11</v>
      </c>
      <c r="J105" s="156" t="s">
        <v>185</v>
      </c>
      <c r="K105" s="200" t="n">
        <v>45435.0762962963</v>
      </c>
      <c r="L105" s="3" t="n">
        <v>9</v>
      </c>
      <c r="M105" s="3" t="n">
        <v>9</v>
      </c>
      <c r="N105" s="1" t="n">
        <v>8</v>
      </c>
      <c r="O105" s="1" t="n">
        <v>2</v>
      </c>
      <c r="P105" s="3"/>
    </row>
    <row r="106" customFormat="false" ht="14.25" hidden="false" customHeight="false" outlineLevel="0" collapsed="false">
      <c r="A106" s="1" t="n">
        <v>141</v>
      </c>
      <c r="B106" s="1" t="s">
        <v>621</v>
      </c>
      <c r="C106" s="1" t="s">
        <v>622</v>
      </c>
      <c r="D106" s="1" t="n">
        <v>11171</v>
      </c>
      <c r="E106" s="1" t="s">
        <v>55</v>
      </c>
      <c r="F106" s="201" t="n">
        <v>200025888665</v>
      </c>
      <c r="G106" s="198" t="s">
        <v>667</v>
      </c>
      <c r="H106" s="163" t="s">
        <v>218</v>
      </c>
      <c r="I106" s="161" t="n">
        <v>11</v>
      </c>
      <c r="J106" s="156" t="s">
        <v>185</v>
      </c>
      <c r="K106" s="200" t="n">
        <v>45435.0964583333</v>
      </c>
      <c r="L106" s="3" t="n">
        <v>9</v>
      </c>
      <c r="M106" s="3" t="n">
        <v>9</v>
      </c>
      <c r="N106" s="1" t="n">
        <v>9</v>
      </c>
      <c r="O106" s="1" t="n">
        <v>2</v>
      </c>
      <c r="P106" s="3"/>
    </row>
    <row r="107" customFormat="false" ht="14.25" hidden="false" customHeight="false" outlineLevel="0" collapsed="false">
      <c r="A107" s="1" t="n">
        <v>50</v>
      </c>
      <c r="B107" s="1" t="s">
        <v>681</v>
      </c>
      <c r="C107" s="1" t="s">
        <v>682</v>
      </c>
      <c r="D107" s="1" t="n">
        <v>11197</v>
      </c>
      <c r="E107" s="1" t="s">
        <v>53</v>
      </c>
      <c r="F107" s="201" t="n">
        <v>200025888665</v>
      </c>
      <c r="G107" s="198" t="s">
        <v>667</v>
      </c>
      <c r="H107" s="163" t="s">
        <v>218</v>
      </c>
      <c r="I107" s="161" t="n">
        <v>11</v>
      </c>
      <c r="J107" s="156" t="s">
        <v>185</v>
      </c>
      <c r="K107" s="199" t="n">
        <v>45435.1777314815</v>
      </c>
      <c r="L107" s="3" t="n">
        <v>9</v>
      </c>
      <c r="M107" s="3" t="n">
        <v>9</v>
      </c>
      <c r="N107" s="1" t="n">
        <v>10</v>
      </c>
      <c r="O107" s="1" t="n">
        <v>35</v>
      </c>
      <c r="P107" s="3"/>
    </row>
    <row r="108" customFormat="false" ht="14.25" hidden="false" customHeight="false" outlineLevel="0" collapsed="false">
      <c r="A108" s="1" t="n">
        <v>51</v>
      </c>
      <c r="B108" s="1" t="s">
        <v>681</v>
      </c>
      <c r="C108" s="1" t="s">
        <v>682</v>
      </c>
      <c r="D108" s="1" t="n">
        <v>11197</v>
      </c>
      <c r="E108" s="1" t="s">
        <v>53</v>
      </c>
      <c r="F108" s="201" t="n">
        <v>200025888665</v>
      </c>
      <c r="G108" s="198" t="s">
        <v>667</v>
      </c>
      <c r="H108" s="163" t="s">
        <v>218</v>
      </c>
      <c r="I108" s="161" t="n">
        <v>11</v>
      </c>
      <c r="J108" s="156" t="s">
        <v>185</v>
      </c>
      <c r="K108" s="199" t="n">
        <v>45435.1797685185</v>
      </c>
      <c r="L108" s="3" t="n">
        <v>9</v>
      </c>
      <c r="M108" s="3" t="n">
        <v>9</v>
      </c>
      <c r="N108" s="1" t="n">
        <v>11</v>
      </c>
      <c r="O108" s="1" t="n">
        <v>0</v>
      </c>
      <c r="P108" s="3"/>
    </row>
    <row r="109" customFormat="false" ht="14.25" hidden="false" customHeight="false" outlineLevel="0" collapsed="false">
      <c r="A109" s="1" t="n">
        <v>151</v>
      </c>
      <c r="B109" s="1" t="s">
        <v>621</v>
      </c>
      <c r="C109" s="1" t="s">
        <v>622</v>
      </c>
      <c r="D109" s="1" t="n">
        <v>11171</v>
      </c>
      <c r="E109" s="1" t="s">
        <v>55</v>
      </c>
      <c r="F109" s="201" t="n">
        <v>200025888665</v>
      </c>
      <c r="G109" s="198" t="s">
        <v>667</v>
      </c>
      <c r="H109" s="163" t="s">
        <v>218</v>
      </c>
      <c r="I109" s="161" t="n">
        <v>11</v>
      </c>
      <c r="J109" s="156" t="s">
        <v>185</v>
      </c>
      <c r="K109" s="200" t="n">
        <v>45435.1917592593</v>
      </c>
      <c r="L109" s="3" t="n">
        <v>9</v>
      </c>
      <c r="M109" s="3" t="n">
        <v>9</v>
      </c>
      <c r="N109" s="1" t="n">
        <v>12</v>
      </c>
      <c r="O109" s="1" t="n">
        <v>3</v>
      </c>
      <c r="P109" s="3"/>
    </row>
    <row r="110" customFormat="false" ht="14.25" hidden="false" customHeight="false" outlineLevel="0" collapsed="false">
      <c r="A110" s="1" t="n">
        <v>154</v>
      </c>
      <c r="B110" s="1" t="s">
        <v>621</v>
      </c>
      <c r="C110" s="1" t="s">
        <v>622</v>
      </c>
      <c r="D110" s="1" t="n">
        <v>11171</v>
      </c>
      <c r="E110" s="1" t="s">
        <v>55</v>
      </c>
      <c r="F110" s="201" t="n">
        <v>200025888665</v>
      </c>
      <c r="G110" s="198" t="s">
        <v>667</v>
      </c>
      <c r="H110" s="163" t="s">
        <v>218</v>
      </c>
      <c r="I110" s="161" t="n">
        <v>11</v>
      </c>
      <c r="J110" s="156" t="s">
        <v>185</v>
      </c>
      <c r="K110" s="200" t="n">
        <v>45435.2000115741</v>
      </c>
      <c r="L110" s="3" t="n">
        <v>9</v>
      </c>
      <c r="M110" s="3" t="n">
        <v>9</v>
      </c>
      <c r="N110" s="1" t="n">
        <v>13</v>
      </c>
      <c r="O110" s="1" t="n">
        <v>3</v>
      </c>
      <c r="P110" s="3"/>
    </row>
    <row r="111" customFormat="false" ht="14.25" hidden="false" customHeight="false" outlineLevel="0" collapsed="false">
      <c r="A111" s="1" t="n">
        <v>155</v>
      </c>
      <c r="B111" s="1" t="s">
        <v>621</v>
      </c>
      <c r="C111" s="1" t="s">
        <v>622</v>
      </c>
      <c r="D111" s="1" t="n">
        <v>11171</v>
      </c>
      <c r="E111" s="1" t="s">
        <v>55</v>
      </c>
      <c r="F111" s="201" t="n">
        <v>200025888665</v>
      </c>
      <c r="G111" s="198" t="s">
        <v>667</v>
      </c>
      <c r="H111" s="163" t="s">
        <v>218</v>
      </c>
      <c r="I111" s="161" t="n">
        <v>11</v>
      </c>
      <c r="J111" s="156" t="s">
        <v>185</v>
      </c>
      <c r="K111" s="200" t="n">
        <v>45435.2001736111</v>
      </c>
      <c r="L111" s="3" t="n">
        <v>9</v>
      </c>
      <c r="M111" s="3" t="n">
        <v>9</v>
      </c>
      <c r="N111" s="1" t="n">
        <v>14</v>
      </c>
      <c r="O111" s="1" t="n">
        <v>1</v>
      </c>
      <c r="P111" s="3"/>
    </row>
    <row r="112" customFormat="false" ht="14.25" hidden="false" customHeight="false" outlineLevel="0" collapsed="false">
      <c r="A112" s="1" t="n">
        <v>160</v>
      </c>
      <c r="B112" s="1" t="s">
        <v>621</v>
      </c>
      <c r="C112" s="1" t="s">
        <v>622</v>
      </c>
      <c r="D112" s="1" t="n">
        <v>11171</v>
      </c>
      <c r="E112" s="1" t="s">
        <v>55</v>
      </c>
      <c r="F112" s="201" t="n">
        <v>200025888665</v>
      </c>
      <c r="G112" s="198" t="s">
        <v>667</v>
      </c>
      <c r="H112" s="163" t="s">
        <v>218</v>
      </c>
      <c r="I112" s="161" t="n">
        <v>11</v>
      </c>
      <c r="J112" s="156" t="s">
        <v>185</v>
      </c>
      <c r="K112" s="200" t="n">
        <v>45435.307025463</v>
      </c>
      <c r="L112" s="3" t="n">
        <v>9</v>
      </c>
      <c r="M112" s="3" t="n">
        <v>9</v>
      </c>
      <c r="N112" s="1" t="n">
        <v>15</v>
      </c>
      <c r="O112" s="1" t="n">
        <v>1</v>
      </c>
      <c r="P112" s="3"/>
    </row>
    <row r="113" customFormat="false" ht="14.25" hidden="false" customHeight="false" outlineLevel="0" collapsed="false">
      <c r="A113" s="1" t="n">
        <v>161</v>
      </c>
      <c r="B113" s="1" t="s">
        <v>621</v>
      </c>
      <c r="C113" s="1" t="s">
        <v>622</v>
      </c>
      <c r="D113" s="1" t="n">
        <v>11171</v>
      </c>
      <c r="E113" s="1" t="s">
        <v>55</v>
      </c>
      <c r="F113" s="201" t="n">
        <v>200025888665</v>
      </c>
      <c r="G113" s="198" t="s">
        <v>667</v>
      </c>
      <c r="H113" s="163" t="s">
        <v>218</v>
      </c>
      <c r="I113" s="161" t="n">
        <v>11</v>
      </c>
      <c r="J113" s="156" t="s">
        <v>185</v>
      </c>
      <c r="K113" s="200" t="n">
        <v>45435.307037037</v>
      </c>
      <c r="L113" s="3" t="n">
        <v>9</v>
      </c>
      <c r="M113" s="3" t="n">
        <v>9</v>
      </c>
      <c r="N113" s="1" t="n">
        <v>16</v>
      </c>
      <c r="O113" s="1" t="n">
        <v>2</v>
      </c>
      <c r="P113" s="3"/>
    </row>
    <row r="114" customFormat="false" ht="14.25" hidden="false" customHeight="false" outlineLevel="0" collapsed="false">
      <c r="A114" s="1" t="n">
        <v>162</v>
      </c>
      <c r="B114" s="1" t="s">
        <v>621</v>
      </c>
      <c r="C114" s="1" t="s">
        <v>622</v>
      </c>
      <c r="D114" s="1" t="n">
        <v>11171</v>
      </c>
      <c r="E114" s="1" t="s">
        <v>55</v>
      </c>
      <c r="F114" s="201" t="n">
        <v>200025888665</v>
      </c>
      <c r="G114" s="198" t="s">
        <v>667</v>
      </c>
      <c r="H114" s="163" t="s">
        <v>218</v>
      </c>
      <c r="I114" s="161" t="n">
        <v>11</v>
      </c>
      <c r="J114" s="156" t="s">
        <v>185</v>
      </c>
      <c r="K114" s="200" t="n">
        <v>45435.3070601852</v>
      </c>
      <c r="L114" s="3" t="n">
        <v>9</v>
      </c>
      <c r="M114" s="3" t="n">
        <v>9</v>
      </c>
      <c r="N114" s="1" t="n">
        <v>17</v>
      </c>
      <c r="O114" s="1" t="n">
        <v>1</v>
      </c>
      <c r="P114" s="3"/>
    </row>
    <row r="115" customFormat="false" ht="14.25" hidden="false" customHeight="false" outlineLevel="0" collapsed="false">
      <c r="A115" s="1" t="n">
        <v>163</v>
      </c>
      <c r="B115" s="1" t="s">
        <v>621</v>
      </c>
      <c r="C115" s="1" t="s">
        <v>622</v>
      </c>
      <c r="D115" s="1" t="n">
        <v>11171</v>
      </c>
      <c r="E115" s="1" t="s">
        <v>55</v>
      </c>
      <c r="F115" s="201" t="n">
        <v>200025888665</v>
      </c>
      <c r="G115" s="198" t="s">
        <v>667</v>
      </c>
      <c r="H115" s="163" t="s">
        <v>218</v>
      </c>
      <c r="I115" s="161" t="n">
        <v>11</v>
      </c>
      <c r="J115" s="156" t="s">
        <v>185</v>
      </c>
      <c r="K115" s="200" t="n">
        <v>45435.3070717593</v>
      </c>
      <c r="L115" s="3" t="n">
        <v>9</v>
      </c>
      <c r="M115" s="3" t="n">
        <v>9</v>
      </c>
      <c r="N115" s="1" t="n">
        <v>18</v>
      </c>
      <c r="O115" s="1" t="n">
        <v>0</v>
      </c>
      <c r="P115" s="3"/>
    </row>
    <row r="116" customFormat="false" ht="14.25" hidden="false" customHeight="false" outlineLevel="0" collapsed="false">
      <c r="A116" s="1" t="n">
        <v>164</v>
      </c>
      <c r="B116" s="1" t="s">
        <v>621</v>
      </c>
      <c r="C116" s="1" t="s">
        <v>622</v>
      </c>
      <c r="D116" s="1" t="n">
        <v>11171</v>
      </c>
      <c r="E116" s="1" t="s">
        <v>55</v>
      </c>
      <c r="F116" s="201" t="n">
        <v>200025888665</v>
      </c>
      <c r="G116" s="198" t="s">
        <v>667</v>
      </c>
      <c r="H116" s="163" t="s">
        <v>218</v>
      </c>
      <c r="I116" s="161" t="n">
        <v>11</v>
      </c>
      <c r="J116" s="156" t="s">
        <v>185</v>
      </c>
      <c r="K116" s="200" t="n">
        <v>45435.3080439815</v>
      </c>
      <c r="L116" s="3" t="n">
        <v>9</v>
      </c>
      <c r="M116" s="3" t="n">
        <v>9</v>
      </c>
      <c r="N116" s="1" t="n">
        <v>19</v>
      </c>
      <c r="O116" s="1" t="n">
        <v>3</v>
      </c>
      <c r="P116" s="3"/>
    </row>
    <row r="117" customFormat="false" ht="14.25" hidden="false" customHeight="false" outlineLevel="0" collapsed="false">
      <c r="A117" s="1" t="n">
        <v>177</v>
      </c>
      <c r="B117" s="1" t="s">
        <v>621</v>
      </c>
      <c r="C117" s="1" t="s">
        <v>622</v>
      </c>
      <c r="D117" s="1" t="n">
        <v>11171</v>
      </c>
      <c r="E117" s="1" t="s">
        <v>55</v>
      </c>
      <c r="F117" s="201" t="n">
        <v>200025888665</v>
      </c>
      <c r="G117" s="198" t="s">
        <v>667</v>
      </c>
      <c r="H117" s="163" t="s">
        <v>218</v>
      </c>
      <c r="I117" s="161" t="n">
        <v>11</v>
      </c>
      <c r="J117" s="156" t="s">
        <v>185</v>
      </c>
      <c r="K117" s="200" t="n">
        <v>45435.320162037</v>
      </c>
      <c r="L117" s="3" t="n">
        <v>9</v>
      </c>
      <c r="M117" s="3" t="n">
        <v>9</v>
      </c>
      <c r="N117" s="1" t="n">
        <v>20</v>
      </c>
      <c r="O117" s="1" t="n">
        <v>3</v>
      </c>
      <c r="P117" s="3"/>
    </row>
    <row r="118" customFormat="false" ht="14.25" hidden="false" customHeight="false" outlineLevel="0" collapsed="false">
      <c r="A118" s="1" t="n">
        <v>36</v>
      </c>
      <c r="B118" s="1" t="s">
        <v>681</v>
      </c>
      <c r="C118" s="1" t="s">
        <v>682</v>
      </c>
      <c r="D118" s="1" t="n">
        <v>11197</v>
      </c>
      <c r="E118" s="1" t="s">
        <v>53</v>
      </c>
      <c r="F118" s="201" t="n">
        <v>200025888173</v>
      </c>
      <c r="G118" s="198" t="s">
        <v>670</v>
      </c>
      <c r="H118" s="163" t="s">
        <v>189</v>
      </c>
      <c r="I118" s="161" t="n">
        <v>63</v>
      </c>
      <c r="J118" s="156" t="s">
        <v>185</v>
      </c>
      <c r="K118" s="199" t="n">
        <v>45435.1121064815</v>
      </c>
      <c r="L118" s="3" t="n">
        <v>10</v>
      </c>
      <c r="M118" s="3" t="n">
        <v>10</v>
      </c>
      <c r="N118" s="1" t="n">
        <v>1</v>
      </c>
      <c r="O118" s="1" t="n">
        <v>0</v>
      </c>
    </row>
    <row r="119" customFormat="false" ht="14.25" hidden="false" customHeight="false" outlineLevel="0" collapsed="false">
      <c r="A119" s="1" t="n">
        <v>189</v>
      </c>
      <c r="B119" s="1" t="s">
        <v>621</v>
      </c>
      <c r="C119" s="1" t="s">
        <v>622</v>
      </c>
      <c r="D119" s="1" t="n">
        <v>11171</v>
      </c>
      <c r="E119" s="1" t="s">
        <v>55</v>
      </c>
      <c r="F119" s="201" t="n">
        <v>200025888173</v>
      </c>
      <c r="G119" s="198" t="s">
        <v>670</v>
      </c>
      <c r="H119" s="163" t="s">
        <v>189</v>
      </c>
      <c r="I119" s="161" t="n">
        <v>63</v>
      </c>
      <c r="J119" s="156" t="s">
        <v>185</v>
      </c>
      <c r="K119" s="200" t="n">
        <v>45435.4608796296</v>
      </c>
      <c r="L119" s="3" t="n">
        <v>10</v>
      </c>
      <c r="M119" s="3" t="n">
        <v>10</v>
      </c>
      <c r="N119" s="1" t="n">
        <v>2</v>
      </c>
      <c r="O119" s="1" t="n">
        <v>2</v>
      </c>
    </row>
    <row r="120" customFormat="false" ht="14.25" hidden="false" customHeight="false" outlineLevel="0" collapsed="false">
      <c r="A120" s="1" t="n">
        <v>144</v>
      </c>
      <c r="B120" s="1" t="s">
        <v>621</v>
      </c>
      <c r="C120" s="1" t="s">
        <v>622</v>
      </c>
      <c r="D120" s="1" t="n">
        <v>11171</v>
      </c>
      <c r="E120" s="1" t="s">
        <v>55</v>
      </c>
      <c r="F120" s="201" t="n">
        <v>200025888485</v>
      </c>
      <c r="G120" s="198" t="s">
        <v>634</v>
      </c>
      <c r="H120" s="163" t="s">
        <v>327</v>
      </c>
      <c r="I120" s="161" t="n">
        <v>93</v>
      </c>
      <c r="J120" s="156" t="s">
        <v>185</v>
      </c>
      <c r="K120" s="200" t="n">
        <v>45435.1764351852</v>
      </c>
      <c r="L120" s="3" t="n">
        <v>11</v>
      </c>
      <c r="M120" s="3" t="n">
        <v>11</v>
      </c>
      <c r="N120" s="1" t="n">
        <v>1</v>
      </c>
      <c r="O120" s="1" t="n">
        <v>2</v>
      </c>
    </row>
    <row r="121" customFormat="false" ht="14.25" hidden="false" customHeight="false" outlineLevel="0" collapsed="false">
      <c r="A121" s="1" t="n">
        <v>145</v>
      </c>
      <c r="B121" s="1" t="s">
        <v>621</v>
      </c>
      <c r="C121" s="1" t="s">
        <v>622</v>
      </c>
      <c r="D121" s="1" t="n">
        <v>11171</v>
      </c>
      <c r="E121" s="1" t="s">
        <v>55</v>
      </c>
      <c r="F121" s="201" t="n">
        <v>200025888485</v>
      </c>
      <c r="G121" s="198" t="s">
        <v>634</v>
      </c>
      <c r="H121" s="163" t="s">
        <v>327</v>
      </c>
      <c r="I121" s="161" t="n">
        <v>93</v>
      </c>
      <c r="J121" s="156" t="s">
        <v>185</v>
      </c>
      <c r="K121" s="200" t="n">
        <v>45435.1770833333</v>
      </c>
      <c r="L121" s="3" t="n">
        <v>11</v>
      </c>
      <c r="M121" s="3" t="n">
        <v>11</v>
      </c>
      <c r="N121" s="1" t="n">
        <v>2</v>
      </c>
      <c r="O121" s="1" t="n">
        <v>0</v>
      </c>
    </row>
    <row r="122" customFormat="false" ht="14.25" hidden="false" customHeight="false" outlineLevel="0" collapsed="false">
      <c r="A122" s="1" t="n">
        <v>146</v>
      </c>
      <c r="B122" s="1" t="s">
        <v>621</v>
      </c>
      <c r="C122" s="1" t="s">
        <v>622</v>
      </c>
      <c r="D122" s="1" t="n">
        <v>11171</v>
      </c>
      <c r="E122" s="1" t="s">
        <v>55</v>
      </c>
      <c r="F122" s="201" t="n">
        <v>200025888485</v>
      </c>
      <c r="G122" s="198" t="s">
        <v>634</v>
      </c>
      <c r="H122" s="163" t="s">
        <v>327</v>
      </c>
      <c r="I122" s="161" t="n">
        <v>93</v>
      </c>
      <c r="J122" s="156" t="s">
        <v>185</v>
      </c>
      <c r="K122" s="200" t="n">
        <v>45435.1770949074</v>
      </c>
      <c r="L122" s="3" t="n">
        <v>11</v>
      </c>
      <c r="M122" s="3" t="n">
        <v>11</v>
      </c>
      <c r="N122" s="1" t="n">
        <v>3</v>
      </c>
      <c r="O122" s="1" t="n">
        <v>1</v>
      </c>
    </row>
    <row r="123" customFormat="false" ht="14.25" hidden="false" customHeight="false" outlineLevel="0" collapsed="false">
      <c r="A123" s="1" t="n">
        <v>147</v>
      </c>
      <c r="B123" s="1" t="s">
        <v>621</v>
      </c>
      <c r="C123" s="1" t="s">
        <v>622</v>
      </c>
      <c r="D123" s="1" t="n">
        <v>11171</v>
      </c>
      <c r="E123" s="1" t="s">
        <v>55</v>
      </c>
      <c r="F123" s="201" t="n">
        <v>200025888485</v>
      </c>
      <c r="G123" s="198" t="s">
        <v>634</v>
      </c>
      <c r="H123" s="163" t="s">
        <v>327</v>
      </c>
      <c r="I123" s="161" t="n">
        <v>93</v>
      </c>
      <c r="J123" s="156" t="s">
        <v>185</v>
      </c>
      <c r="K123" s="200" t="n">
        <v>45435.1778240741</v>
      </c>
      <c r="L123" s="3" t="n">
        <v>11</v>
      </c>
      <c r="M123" s="3" t="n">
        <v>11</v>
      </c>
      <c r="N123" s="1" t="n">
        <v>4</v>
      </c>
      <c r="O123" s="1" t="n">
        <v>0</v>
      </c>
    </row>
    <row r="124" customFormat="false" ht="14.25" hidden="false" customHeight="false" outlineLevel="0" collapsed="false">
      <c r="A124" s="1" t="n">
        <v>148</v>
      </c>
      <c r="B124" s="1" t="s">
        <v>621</v>
      </c>
      <c r="C124" s="1" t="s">
        <v>622</v>
      </c>
      <c r="D124" s="1" t="n">
        <v>11171</v>
      </c>
      <c r="E124" s="1" t="s">
        <v>55</v>
      </c>
      <c r="F124" s="201" t="n">
        <v>200025888485</v>
      </c>
      <c r="G124" s="198" t="s">
        <v>634</v>
      </c>
      <c r="H124" s="163" t="s">
        <v>327</v>
      </c>
      <c r="I124" s="161" t="n">
        <v>93</v>
      </c>
      <c r="J124" s="156" t="s">
        <v>185</v>
      </c>
      <c r="K124" s="200" t="n">
        <v>45435.1778356481</v>
      </c>
      <c r="L124" s="3" t="n">
        <v>11</v>
      </c>
      <c r="M124" s="3" t="n">
        <v>11</v>
      </c>
      <c r="N124" s="1" t="n">
        <v>5</v>
      </c>
      <c r="O124" s="1" t="n">
        <v>0</v>
      </c>
    </row>
    <row r="125" customFormat="false" ht="14.25" hidden="false" customHeight="false" outlineLevel="0" collapsed="false">
      <c r="A125" s="1" t="n">
        <v>149</v>
      </c>
      <c r="B125" s="1" t="s">
        <v>621</v>
      </c>
      <c r="C125" s="1" t="s">
        <v>622</v>
      </c>
      <c r="D125" s="1" t="n">
        <v>11171</v>
      </c>
      <c r="E125" s="1" t="s">
        <v>55</v>
      </c>
      <c r="F125" s="201" t="n">
        <v>200025888485</v>
      </c>
      <c r="G125" s="198" t="s">
        <v>634</v>
      </c>
      <c r="H125" s="163" t="s">
        <v>327</v>
      </c>
      <c r="I125" s="161" t="n">
        <v>93</v>
      </c>
      <c r="J125" s="156" t="s">
        <v>185</v>
      </c>
      <c r="K125" s="200" t="n">
        <v>45435.1889236111</v>
      </c>
      <c r="L125" s="3" t="n">
        <v>11</v>
      </c>
      <c r="M125" s="3" t="n">
        <v>11</v>
      </c>
      <c r="N125" s="1" t="n">
        <v>6</v>
      </c>
      <c r="O125" s="1" t="n">
        <v>2</v>
      </c>
    </row>
    <row r="126" customFormat="false" ht="14.25" hidden="false" customHeight="false" outlineLevel="0" collapsed="false">
      <c r="A126" s="1" t="n">
        <v>150</v>
      </c>
      <c r="B126" s="1" t="s">
        <v>621</v>
      </c>
      <c r="C126" s="1" t="s">
        <v>622</v>
      </c>
      <c r="D126" s="1" t="n">
        <v>11171</v>
      </c>
      <c r="E126" s="1" t="s">
        <v>55</v>
      </c>
      <c r="F126" s="201" t="n">
        <v>200025888485</v>
      </c>
      <c r="G126" s="198" t="s">
        <v>634</v>
      </c>
      <c r="H126" s="163" t="s">
        <v>327</v>
      </c>
      <c r="I126" s="161" t="n">
        <v>93</v>
      </c>
      <c r="J126" s="156" t="s">
        <v>185</v>
      </c>
      <c r="K126" s="200" t="n">
        <v>45435.1908564815</v>
      </c>
      <c r="L126" s="3" t="n">
        <v>11</v>
      </c>
      <c r="M126" s="3" t="n">
        <v>11</v>
      </c>
      <c r="N126" s="1" t="n">
        <v>7</v>
      </c>
      <c r="O126" s="1" t="n">
        <v>3</v>
      </c>
    </row>
    <row r="127" customFormat="false" ht="14.25" hidden="false" customHeight="false" outlineLevel="0" collapsed="false">
      <c r="A127" s="1" t="n">
        <v>156</v>
      </c>
      <c r="B127" s="1" t="s">
        <v>621</v>
      </c>
      <c r="C127" s="1" t="s">
        <v>622</v>
      </c>
      <c r="D127" s="1" t="n">
        <v>11171</v>
      </c>
      <c r="E127" s="1" t="s">
        <v>55</v>
      </c>
      <c r="F127" s="201" t="n">
        <v>200025888485</v>
      </c>
      <c r="G127" s="198" t="s">
        <v>634</v>
      </c>
      <c r="H127" s="163" t="s">
        <v>327</v>
      </c>
      <c r="I127" s="161" t="n">
        <v>93</v>
      </c>
      <c r="J127" s="156" t="s">
        <v>185</v>
      </c>
      <c r="K127" s="200" t="n">
        <v>45435.2036226852</v>
      </c>
      <c r="L127" s="3" t="n">
        <v>11</v>
      </c>
      <c r="M127" s="3" t="n">
        <v>11</v>
      </c>
      <c r="N127" s="1" t="n">
        <v>8</v>
      </c>
      <c r="O127" s="1" t="n">
        <v>2</v>
      </c>
    </row>
    <row r="128" customFormat="false" ht="14.25" hidden="false" customHeight="false" outlineLevel="0" collapsed="false">
      <c r="A128" s="1" t="n">
        <v>157</v>
      </c>
      <c r="B128" s="1" t="s">
        <v>621</v>
      </c>
      <c r="C128" s="1" t="s">
        <v>622</v>
      </c>
      <c r="D128" s="1" t="n">
        <v>11171</v>
      </c>
      <c r="E128" s="1" t="s">
        <v>55</v>
      </c>
      <c r="F128" s="201" t="n">
        <v>200025888485</v>
      </c>
      <c r="G128" s="198" t="s">
        <v>634</v>
      </c>
      <c r="H128" s="163" t="s">
        <v>327</v>
      </c>
      <c r="I128" s="161" t="n">
        <v>93</v>
      </c>
      <c r="J128" s="156" t="s">
        <v>185</v>
      </c>
      <c r="K128" s="200" t="n">
        <v>45435.2062615741</v>
      </c>
      <c r="L128" s="3" t="n">
        <v>11</v>
      </c>
      <c r="M128" s="3" t="n">
        <v>11</v>
      </c>
      <c r="N128" s="1" t="n">
        <v>9</v>
      </c>
      <c r="O128" s="1" t="n">
        <v>3</v>
      </c>
    </row>
    <row r="129" customFormat="false" ht="14.25" hidden="false" customHeight="false" outlineLevel="0" collapsed="false">
      <c r="A129" s="1" t="n">
        <v>61</v>
      </c>
      <c r="B129" s="1" t="s">
        <v>681</v>
      </c>
      <c r="C129" s="1" t="s">
        <v>682</v>
      </c>
      <c r="D129" s="1" t="n">
        <v>11197</v>
      </c>
      <c r="E129" s="1" t="s">
        <v>53</v>
      </c>
      <c r="F129" s="201" t="n">
        <v>200025888485</v>
      </c>
      <c r="G129" s="198" t="s">
        <v>634</v>
      </c>
      <c r="H129" s="163" t="s">
        <v>327</v>
      </c>
      <c r="I129" s="161" t="n">
        <v>93</v>
      </c>
      <c r="J129" s="156" t="s">
        <v>185</v>
      </c>
      <c r="K129" s="199" t="n">
        <v>45435.2672337963</v>
      </c>
      <c r="L129" s="3" t="n">
        <v>11</v>
      </c>
      <c r="M129" s="3" t="n">
        <v>11</v>
      </c>
      <c r="N129" s="1" t="n">
        <v>10</v>
      </c>
      <c r="O129" s="1" t="n">
        <v>2</v>
      </c>
    </row>
    <row r="130" customFormat="false" ht="14.25" hidden="false" customHeight="false" outlineLevel="0" collapsed="false">
      <c r="A130" s="1" t="n">
        <v>62</v>
      </c>
      <c r="B130" s="1" t="s">
        <v>681</v>
      </c>
      <c r="C130" s="1" t="s">
        <v>682</v>
      </c>
      <c r="D130" s="1" t="n">
        <v>11197</v>
      </c>
      <c r="E130" s="1" t="s">
        <v>53</v>
      </c>
      <c r="F130" s="201" t="n">
        <v>200025888485</v>
      </c>
      <c r="G130" s="198" t="s">
        <v>634</v>
      </c>
      <c r="H130" s="163" t="s">
        <v>327</v>
      </c>
      <c r="I130" s="161" t="n">
        <v>93</v>
      </c>
      <c r="J130" s="156" t="s">
        <v>185</v>
      </c>
      <c r="K130" s="199" t="n">
        <v>45435.2679513889</v>
      </c>
      <c r="L130" s="3" t="n">
        <v>11</v>
      </c>
      <c r="M130" s="3" t="n">
        <v>11</v>
      </c>
      <c r="N130" s="1" t="n">
        <v>11</v>
      </c>
      <c r="O130" s="1" t="n">
        <v>0</v>
      </c>
    </row>
    <row r="131" customFormat="false" ht="14.25" hidden="false" customHeight="false" outlineLevel="0" collapsed="false">
      <c r="A131" s="1" t="n">
        <v>63</v>
      </c>
      <c r="B131" s="1" t="s">
        <v>681</v>
      </c>
      <c r="C131" s="1" t="s">
        <v>682</v>
      </c>
      <c r="D131" s="1" t="n">
        <v>11197</v>
      </c>
      <c r="E131" s="1" t="s">
        <v>53</v>
      </c>
      <c r="F131" s="201" t="n">
        <v>200025888485</v>
      </c>
      <c r="G131" s="198" t="s">
        <v>634</v>
      </c>
      <c r="H131" s="163" t="s">
        <v>327</v>
      </c>
      <c r="I131" s="161" t="n">
        <v>93</v>
      </c>
      <c r="J131" s="156" t="s">
        <v>185</v>
      </c>
      <c r="K131" s="199" t="n">
        <v>45435.2679513889</v>
      </c>
      <c r="L131" s="3" t="n">
        <v>11</v>
      </c>
      <c r="M131" s="3" t="n">
        <v>11</v>
      </c>
      <c r="N131" s="1" t="n">
        <v>12</v>
      </c>
      <c r="O131" s="1" t="n">
        <v>1</v>
      </c>
    </row>
    <row r="132" customFormat="false" ht="14.25" hidden="false" customHeight="false" outlineLevel="0" collapsed="false">
      <c r="A132" s="1" t="n">
        <v>64</v>
      </c>
      <c r="B132" s="1" t="s">
        <v>681</v>
      </c>
      <c r="C132" s="1" t="s">
        <v>682</v>
      </c>
      <c r="D132" s="1" t="n">
        <v>11197</v>
      </c>
      <c r="E132" s="1" t="s">
        <v>53</v>
      </c>
      <c r="F132" s="201" t="n">
        <v>200025888485</v>
      </c>
      <c r="G132" s="198" t="s">
        <v>634</v>
      </c>
      <c r="H132" s="163" t="s">
        <v>327</v>
      </c>
      <c r="I132" s="161" t="n">
        <v>93</v>
      </c>
      <c r="J132" s="156" t="s">
        <v>185</v>
      </c>
      <c r="K132" s="199" t="n">
        <v>45435.2697453704</v>
      </c>
      <c r="L132" s="3" t="n">
        <v>11</v>
      </c>
      <c r="M132" s="3" t="n">
        <v>11</v>
      </c>
      <c r="N132" s="1" t="n">
        <v>13</v>
      </c>
      <c r="O132" s="1" t="n">
        <v>0</v>
      </c>
    </row>
    <row r="133" customFormat="false" ht="14.25" hidden="false" customHeight="false" outlineLevel="0" collapsed="false">
      <c r="A133" s="1" t="n">
        <v>159</v>
      </c>
      <c r="B133" s="1" t="s">
        <v>621</v>
      </c>
      <c r="C133" s="1" t="s">
        <v>622</v>
      </c>
      <c r="D133" s="1" t="n">
        <v>11171</v>
      </c>
      <c r="E133" s="1" t="s">
        <v>55</v>
      </c>
      <c r="F133" s="201" t="n">
        <v>200025888485</v>
      </c>
      <c r="G133" s="198" t="s">
        <v>634</v>
      </c>
      <c r="H133" s="163" t="s">
        <v>327</v>
      </c>
      <c r="I133" s="161" t="n">
        <v>93</v>
      </c>
      <c r="J133" s="156" t="s">
        <v>185</v>
      </c>
      <c r="K133" s="200" t="n">
        <v>45435.280625</v>
      </c>
      <c r="L133" s="3" t="n">
        <v>11</v>
      </c>
      <c r="M133" s="3" t="n">
        <v>11</v>
      </c>
      <c r="N133" s="1" t="n">
        <v>14</v>
      </c>
      <c r="O133" s="1" t="n">
        <v>3</v>
      </c>
    </row>
    <row r="134" customFormat="false" ht="14.25" hidden="false" customHeight="false" outlineLevel="0" collapsed="false">
      <c r="A134" s="1" t="n">
        <v>166</v>
      </c>
      <c r="B134" s="1" t="s">
        <v>621</v>
      </c>
      <c r="C134" s="1" t="s">
        <v>622</v>
      </c>
      <c r="D134" s="1" t="n">
        <v>11171</v>
      </c>
      <c r="E134" s="1" t="s">
        <v>55</v>
      </c>
      <c r="F134" s="201" t="n">
        <v>200025888485</v>
      </c>
      <c r="G134" s="198" t="s">
        <v>634</v>
      </c>
      <c r="H134" s="163" t="s">
        <v>327</v>
      </c>
      <c r="I134" s="161" t="n">
        <v>93</v>
      </c>
      <c r="J134" s="156" t="s">
        <v>185</v>
      </c>
      <c r="K134" s="200" t="n">
        <v>45435.3110185185</v>
      </c>
      <c r="L134" s="3" t="n">
        <v>11</v>
      </c>
      <c r="M134" s="3" t="n">
        <v>11</v>
      </c>
      <c r="N134" s="1" t="n">
        <v>15</v>
      </c>
      <c r="O134" s="1" t="n">
        <v>2</v>
      </c>
    </row>
    <row r="135" customFormat="false" ht="14.25" hidden="false" customHeight="false" outlineLevel="0" collapsed="false">
      <c r="A135" s="1" t="n">
        <v>167</v>
      </c>
      <c r="B135" s="1" t="s">
        <v>621</v>
      </c>
      <c r="C135" s="1" t="s">
        <v>622</v>
      </c>
      <c r="D135" s="1" t="n">
        <v>11171</v>
      </c>
      <c r="E135" s="1" t="s">
        <v>55</v>
      </c>
      <c r="F135" s="201" t="n">
        <v>200025888485</v>
      </c>
      <c r="G135" s="198" t="s">
        <v>634</v>
      </c>
      <c r="H135" s="163" t="s">
        <v>327</v>
      </c>
      <c r="I135" s="161" t="n">
        <v>93</v>
      </c>
      <c r="J135" s="156" t="s">
        <v>185</v>
      </c>
      <c r="K135" s="200" t="n">
        <v>45435.3112384259</v>
      </c>
      <c r="L135" s="3" t="n">
        <v>11</v>
      </c>
      <c r="M135" s="3" t="n">
        <v>11</v>
      </c>
      <c r="N135" s="1" t="n">
        <v>16</v>
      </c>
      <c r="O135" s="1" t="n">
        <v>2</v>
      </c>
    </row>
    <row r="136" customFormat="false" ht="14.25" hidden="false" customHeight="false" outlineLevel="0" collapsed="false">
      <c r="A136" s="1" t="n">
        <v>168</v>
      </c>
      <c r="B136" s="1" t="s">
        <v>621</v>
      </c>
      <c r="C136" s="1" t="s">
        <v>622</v>
      </c>
      <c r="D136" s="1" t="n">
        <v>11171</v>
      </c>
      <c r="E136" s="1" t="s">
        <v>55</v>
      </c>
      <c r="F136" s="201" t="n">
        <v>200025888485</v>
      </c>
      <c r="G136" s="198" t="s">
        <v>634</v>
      </c>
      <c r="H136" s="163" t="s">
        <v>327</v>
      </c>
      <c r="I136" s="161" t="n">
        <v>93</v>
      </c>
      <c r="J136" s="156" t="s">
        <v>185</v>
      </c>
      <c r="K136" s="200" t="n">
        <v>45435.3119444444</v>
      </c>
      <c r="L136" s="3" t="n">
        <v>11</v>
      </c>
      <c r="M136" s="3" t="n">
        <v>11</v>
      </c>
      <c r="N136" s="1" t="n">
        <v>17</v>
      </c>
      <c r="O136" s="1" t="n">
        <v>1</v>
      </c>
    </row>
    <row r="137" customFormat="false" ht="14.25" hidden="false" customHeight="false" outlineLevel="0" collapsed="false">
      <c r="A137" s="1" t="n">
        <v>169</v>
      </c>
      <c r="B137" s="1" t="s">
        <v>621</v>
      </c>
      <c r="C137" s="1" t="s">
        <v>622</v>
      </c>
      <c r="D137" s="1" t="n">
        <v>11171</v>
      </c>
      <c r="E137" s="1" t="s">
        <v>55</v>
      </c>
      <c r="F137" s="201" t="n">
        <v>200025888485</v>
      </c>
      <c r="G137" s="198" t="s">
        <v>634</v>
      </c>
      <c r="H137" s="163" t="s">
        <v>327</v>
      </c>
      <c r="I137" s="161" t="n">
        <v>93</v>
      </c>
      <c r="J137" s="156" t="s">
        <v>185</v>
      </c>
      <c r="K137" s="200" t="n">
        <v>45435.3119560185</v>
      </c>
      <c r="L137" s="3" t="n">
        <v>11</v>
      </c>
      <c r="M137" s="3" t="n">
        <v>11</v>
      </c>
      <c r="N137" s="1" t="n">
        <v>18</v>
      </c>
      <c r="O137" s="1" t="n">
        <v>1</v>
      </c>
    </row>
    <row r="138" customFormat="false" ht="14.25" hidden="false" customHeight="false" outlineLevel="0" collapsed="false">
      <c r="A138" s="1" t="n">
        <v>170</v>
      </c>
      <c r="B138" s="1" t="s">
        <v>621</v>
      </c>
      <c r="C138" s="1" t="s">
        <v>622</v>
      </c>
      <c r="D138" s="1" t="n">
        <v>11171</v>
      </c>
      <c r="E138" s="1" t="s">
        <v>55</v>
      </c>
      <c r="F138" s="201" t="n">
        <v>200025888485</v>
      </c>
      <c r="G138" s="198" t="s">
        <v>634</v>
      </c>
      <c r="H138" s="163" t="s">
        <v>327</v>
      </c>
      <c r="I138" s="161" t="n">
        <v>93</v>
      </c>
      <c r="J138" s="156" t="s">
        <v>185</v>
      </c>
      <c r="K138" s="200" t="n">
        <v>45435.3131597222</v>
      </c>
      <c r="L138" s="3" t="n">
        <v>11</v>
      </c>
      <c r="M138" s="3" t="n">
        <v>11</v>
      </c>
      <c r="N138" s="1" t="n">
        <v>19</v>
      </c>
      <c r="O138" s="1" t="n">
        <v>1</v>
      </c>
    </row>
    <row r="139" customFormat="false" ht="14.25" hidden="false" customHeight="false" outlineLevel="0" collapsed="false">
      <c r="A139" s="1" t="n">
        <v>171</v>
      </c>
      <c r="B139" s="1" t="s">
        <v>621</v>
      </c>
      <c r="C139" s="1" t="s">
        <v>622</v>
      </c>
      <c r="D139" s="1" t="n">
        <v>11171</v>
      </c>
      <c r="E139" s="1" t="s">
        <v>55</v>
      </c>
      <c r="F139" s="201" t="n">
        <v>200025888485</v>
      </c>
      <c r="G139" s="198" t="s">
        <v>634</v>
      </c>
      <c r="H139" s="163" t="s">
        <v>327</v>
      </c>
      <c r="I139" s="161" t="n">
        <v>93</v>
      </c>
      <c r="J139" s="156" t="s">
        <v>185</v>
      </c>
      <c r="K139" s="200" t="n">
        <v>45435.3155324074</v>
      </c>
      <c r="L139" s="3" t="n">
        <v>11</v>
      </c>
      <c r="M139" s="3" t="n">
        <v>11</v>
      </c>
      <c r="N139" s="1" t="n">
        <v>20</v>
      </c>
      <c r="O139" s="1" t="n">
        <v>3</v>
      </c>
    </row>
    <row r="140" customFormat="false" ht="14.25" hidden="false" customHeight="false" outlineLevel="0" collapsed="false">
      <c r="A140" s="1" t="n">
        <v>172</v>
      </c>
      <c r="B140" s="1" t="s">
        <v>621</v>
      </c>
      <c r="C140" s="1" t="s">
        <v>622</v>
      </c>
      <c r="D140" s="1" t="n">
        <v>11171</v>
      </c>
      <c r="E140" s="1" t="s">
        <v>55</v>
      </c>
      <c r="F140" s="201" t="n">
        <v>200025888485</v>
      </c>
      <c r="G140" s="198" t="s">
        <v>634</v>
      </c>
      <c r="H140" s="163" t="s">
        <v>327</v>
      </c>
      <c r="I140" s="161" t="n">
        <v>93</v>
      </c>
      <c r="J140" s="156" t="s">
        <v>185</v>
      </c>
      <c r="K140" s="200" t="n">
        <v>45435.3161574074</v>
      </c>
      <c r="L140" s="3" t="n">
        <v>11</v>
      </c>
      <c r="M140" s="3" t="n">
        <v>11</v>
      </c>
      <c r="N140" s="1" t="n">
        <v>21</v>
      </c>
      <c r="O140" s="1" t="n">
        <v>1</v>
      </c>
    </row>
    <row r="141" customFormat="false" ht="14.25" hidden="false" customHeight="false" outlineLevel="0" collapsed="false">
      <c r="A141" s="1" t="n">
        <v>173</v>
      </c>
      <c r="B141" s="1" t="s">
        <v>621</v>
      </c>
      <c r="C141" s="1" t="s">
        <v>622</v>
      </c>
      <c r="D141" s="1" t="n">
        <v>11171</v>
      </c>
      <c r="E141" s="1" t="s">
        <v>55</v>
      </c>
      <c r="F141" s="201" t="n">
        <v>200025888485</v>
      </c>
      <c r="G141" s="198" t="s">
        <v>634</v>
      </c>
      <c r="H141" s="163" t="s">
        <v>327</v>
      </c>
      <c r="I141" s="161" t="n">
        <v>93</v>
      </c>
      <c r="J141" s="156" t="s">
        <v>185</v>
      </c>
      <c r="K141" s="200" t="n">
        <v>45435.3161689815</v>
      </c>
      <c r="L141" s="3" t="n">
        <v>11</v>
      </c>
      <c r="M141" s="3" t="n">
        <v>11</v>
      </c>
      <c r="N141" s="1" t="n">
        <v>22</v>
      </c>
      <c r="O141" s="1" t="n">
        <v>1</v>
      </c>
    </row>
    <row r="142" customFormat="false" ht="14.25" hidden="false" customHeight="false" outlineLevel="0" collapsed="false">
      <c r="A142" s="1" t="n">
        <v>174</v>
      </c>
      <c r="B142" s="1" t="s">
        <v>621</v>
      </c>
      <c r="C142" s="1" t="s">
        <v>622</v>
      </c>
      <c r="D142" s="1" t="n">
        <v>11171</v>
      </c>
      <c r="E142" s="1" t="s">
        <v>55</v>
      </c>
      <c r="F142" s="201" t="n">
        <v>200025888485</v>
      </c>
      <c r="G142" s="198" t="s">
        <v>634</v>
      </c>
      <c r="H142" s="163" t="s">
        <v>327</v>
      </c>
      <c r="I142" s="161" t="n">
        <v>93</v>
      </c>
      <c r="J142" s="156" t="s">
        <v>185</v>
      </c>
      <c r="K142" s="200" t="n">
        <v>45435.3162268519</v>
      </c>
      <c r="L142" s="3" t="n">
        <v>11</v>
      </c>
      <c r="M142" s="3" t="n">
        <v>11</v>
      </c>
      <c r="N142" s="1" t="n">
        <v>23</v>
      </c>
      <c r="O142" s="1" t="n">
        <v>1</v>
      </c>
    </row>
    <row r="143" customFormat="false" ht="14.25" hidden="false" customHeight="false" outlineLevel="0" collapsed="false">
      <c r="A143" s="1" t="n">
        <v>175</v>
      </c>
      <c r="B143" s="1" t="s">
        <v>621</v>
      </c>
      <c r="C143" s="1" t="s">
        <v>622</v>
      </c>
      <c r="D143" s="1" t="n">
        <v>11171</v>
      </c>
      <c r="E143" s="1" t="s">
        <v>55</v>
      </c>
      <c r="F143" s="201" t="n">
        <v>200025888485</v>
      </c>
      <c r="G143" s="198" t="s">
        <v>634</v>
      </c>
      <c r="H143" s="163" t="s">
        <v>327</v>
      </c>
      <c r="I143" s="161" t="n">
        <v>93</v>
      </c>
      <c r="J143" s="156" t="s">
        <v>185</v>
      </c>
      <c r="K143" s="200" t="n">
        <v>45435.3173842593</v>
      </c>
      <c r="L143" s="3" t="n">
        <v>11</v>
      </c>
      <c r="M143" s="3" t="n">
        <v>11</v>
      </c>
      <c r="N143" s="1" t="n">
        <v>24</v>
      </c>
      <c r="O143" s="1" t="n">
        <v>2</v>
      </c>
    </row>
    <row r="144" customFormat="false" ht="14.25" hidden="false" customHeight="false" outlineLevel="0" collapsed="false">
      <c r="A144" s="1" t="n">
        <v>179</v>
      </c>
      <c r="B144" s="1" t="s">
        <v>621</v>
      </c>
      <c r="C144" s="1" t="s">
        <v>622</v>
      </c>
      <c r="D144" s="1" t="n">
        <v>11171</v>
      </c>
      <c r="E144" s="1" t="s">
        <v>55</v>
      </c>
      <c r="F144" s="201" t="n">
        <v>200025888485</v>
      </c>
      <c r="G144" s="198" t="s">
        <v>634</v>
      </c>
      <c r="H144" s="163" t="s">
        <v>327</v>
      </c>
      <c r="I144" s="161" t="n">
        <v>93</v>
      </c>
      <c r="J144" s="156" t="s">
        <v>185</v>
      </c>
      <c r="K144" s="200" t="n">
        <v>45435.3401967593</v>
      </c>
      <c r="L144" s="3" t="n">
        <v>11</v>
      </c>
      <c r="M144" s="3" t="n">
        <v>11</v>
      </c>
      <c r="N144" s="1" t="n">
        <v>25</v>
      </c>
      <c r="O144" s="1" t="n">
        <v>3</v>
      </c>
    </row>
    <row r="145" customFormat="false" ht="14.25" hidden="false" customHeight="false" outlineLevel="0" collapsed="false">
      <c r="A145" s="1" t="n">
        <v>181</v>
      </c>
      <c r="B145" s="1" t="s">
        <v>621</v>
      </c>
      <c r="C145" s="1" t="s">
        <v>622</v>
      </c>
      <c r="D145" s="1" t="n">
        <v>11171</v>
      </c>
      <c r="E145" s="1" t="s">
        <v>55</v>
      </c>
      <c r="F145" s="201" t="n">
        <v>200025888485</v>
      </c>
      <c r="G145" s="198" t="s">
        <v>634</v>
      </c>
      <c r="H145" s="163" t="s">
        <v>327</v>
      </c>
      <c r="I145" s="161" t="n">
        <v>93</v>
      </c>
      <c r="J145" s="156" t="s">
        <v>185</v>
      </c>
      <c r="K145" s="200" t="n">
        <v>45435.4257060185</v>
      </c>
      <c r="L145" s="3" t="n">
        <v>11</v>
      </c>
      <c r="M145" s="3" t="n">
        <v>11</v>
      </c>
      <c r="N145" s="1" t="n">
        <v>26</v>
      </c>
      <c r="O145" s="1" t="n">
        <v>3</v>
      </c>
    </row>
    <row r="146" customFormat="false" ht="14.25" hidden="false" customHeight="false" outlineLevel="0" collapsed="false">
      <c r="A146" s="1" t="n">
        <v>187</v>
      </c>
      <c r="B146" s="1" t="s">
        <v>621</v>
      </c>
      <c r="C146" s="1" t="s">
        <v>622</v>
      </c>
      <c r="D146" s="1" t="n">
        <v>11171</v>
      </c>
      <c r="E146" s="1" t="s">
        <v>55</v>
      </c>
      <c r="F146" s="201" t="n">
        <v>200025888485</v>
      </c>
      <c r="G146" s="198" t="s">
        <v>634</v>
      </c>
      <c r="H146" s="163" t="s">
        <v>327</v>
      </c>
      <c r="I146" s="161" t="n">
        <v>93</v>
      </c>
      <c r="J146" s="156" t="s">
        <v>185</v>
      </c>
      <c r="K146" s="200" t="n">
        <v>45435.4573958333</v>
      </c>
      <c r="L146" s="3" t="n">
        <v>11</v>
      </c>
      <c r="M146" s="3" t="n">
        <v>11</v>
      </c>
      <c r="N146" s="1" t="n">
        <v>27</v>
      </c>
      <c r="O146" s="1" t="n">
        <v>2</v>
      </c>
    </row>
    <row r="147" customFormat="false" ht="14.25" hidden="false" customHeight="false" outlineLevel="0" collapsed="false">
      <c r="A147" s="1" t="n">
        <v>188</v>
      </c>
      <c r="B147" s="1" t="s">
        <v>621</v>
      </c>
      <c r="C147" s="1" t="s">
        <v>622</v>
      </c>
      <c r="D147" s="1" t="n">
        <v>11171</v>
      </c>
      <c r="E147" s="1" t="s">
        <v>55</v>
      </c>
      <c r="F147" s="201" t="n">
        <v>200025888485</v>
      </c>
      <c r="G147" s="198" t="s">
        <v>634</v>
      </c>
      <c r="H147" s="163" t="s">
        <v>327</v>
      </c>
      <c r="I147" s="161" t="n">
        <v>93</v>
      </c>
      <c r="J147" s="156" t="s">
        <v>185</v>
      </c>
      <c r="K147" s="200" t="n">
        <v>45435.4582291667</v>
      </c>
      <c r="L147" s="3" t="n">
        <v>11</v>
      </c>
      <c r="M147" s="3" t="n">
        <v>11</v>
      </c>
      <c r="N147" s="1" t="n">
        <v>28</v>
      </c>
      <c r="O147" s="1" t="n">
        <v>3</v>
      </c>
    </row>
    <row r="148" customFormat="false" ht="14.25" hidden="false" customHeight="false" outlineLevel="0" collapsed="false">
      <c r="A148" s="1" t="n">
        <v>203</v>
      </c>
      <c r="B148" s="1" t="s">
        <v>621</v>
      </c>
      <c r="C148" s="1" t="s">
        <v>622</v>
      </c>
      <c r="D148" s="1" t="n">
        <v>11171</v>
      </c>
      <c r="E148" s="1" t="s">
        <v>55</v>
      </c>
      <c r="F148" s="201" t="n">
        <v>200025888485</v>
      </c>
      <c r="G148" s="198" t="s">
        <v>634</v>
      </c>
      <c r="H148" s="163" t="s">
        <v>327</v>
      </c>
      <c r="I148" s="161" t="n">
        <v>93</v>
      </c>
      <c r="J148" s="156" t="s">
        <v>185</v>
      </c>
      <c r="K148" s="200" t="n">
        <v>45435.6160763889</v>
      </c>
      <c r="L148" s="3" t="n">
        <v>11</v>
      </c>
      <c r="M148" s="3" t="n">
        <v>11</v>
      </c>
      <c r="N148" s="1" t="n">
        <v>29</v>
      </c>
      <c r="O148" s="1" t="n">
        <v>2</v>
      </c>
    </row>
    <row r="149" customFormat="false" ht="14.25" hidden="false" customHeight="false" outlineLevel="0" collapsed="false">
      <c r="A149" s="1" t="n">
        <v>11</v>
      </c>
      <c r="B149" s="1" t="s">
        <v>565</v>
      </c>
      <c r="C149" s="1" t="s">
        <v>566</v>
      </c>
      <c r="D149" s="1" t="n">
        <v>11171</v>
      </c>
      <c r="E149" s="1" t="s">
        <v>55</v>
      </c>
      <c r="F149" s="198" t="n">
        <v>200025888485</v>
      </c>
      <c r="G149" s="198" t="s">
        <v>634</v>
      </c>
      <c r="H149" s="163" t="s">
        <v>327</v>
      </c>
      <c r="I149" s="161" t="n">
        <v>93</v>
      </c>
      <c r="J149" s="156" t="s">
        <v>185</v>
      </c>
      <c r="K149" s="199" t="n">
        <v>45451.603912037</v>
      </c>
      <c r="L149" s="3" t="n">
        <v>11</v>
      </c>
      <c r="M149" s="3" t="n">
        <v>11</v>
      </c>
      <c r="N149" s="1" t="n">
        <v>30</v>
      </c>
      <c r="O149" s="1" t="n">
        <v>2</v>
      </c>
    </row>
    <row r="150" customFormat="false" ht="14.25" hidden="false" customHeight="false" outlineLevel="0" collapsed="false">
      <c r="A150" s="1" t="n">
        <v>12</v>
      </c>
      <c r="B150" s="1" t="s">
        <v>565</v>
      </c>
      <c r="C150" s="1" t="s">
        <v>566</v>
      </c>
      <c r="D150" s="1" t="n">
        <v>11171</v>
      </c>
      <c r="E150" s="1" t="s">
        <v>55</v>
      </c>
      <c r="F150" s="198" t="n">
        <v>200025888485</v>
      </c>
      <c r="G150" s="198" t="s">
        <v>634</v>
      </c>
      <c r="H150" s="163" t="s">
        <v>327</v>
      </c>
      <c r="I150" s="161" t="n">
        <v>93</v>
      </c>
      <c r="J150" s="156" t="s">
        <v>185</v>
      </c>
      <c r="K150" s="199" t="n">
        <v>45451.6347337963</v>
      </c>
      <c r="L150" s="3" t="n">
        <v>11</v>
      </c>
      <c r="M150" s="3" t="n">
        <v>11</v>
      </c>
      <c r="N150" s="1" t="n">
        <v>31</v>
      </c>
      <c r="O150" s="1" t="n">
        <v>3</v>
      </c>
    </row>
    <row r="151" customFormat="false" ht="14.25" hidden="false" customHeight="false" outlineLevel="0" collapsed="false">
      <c r="A151" s="1" t="n">
        <v>63</v>
      </c>
      <c r="B151" s="1" t="s">
        <v>624</v>
      </c>
      <c r="C151" s="1" t="s">
        <v>625</v>
      </c>
      <c r="D151" s="196" t="n">
        <v>2568</v>
      </c>
      <c r="E151" s="196" t="s">
        <v>51</v>
      </c>
      <c r="F151" s="201" t="n">
        <v>200025888485</v>
      </c>
      <c r="G151" s="198" t="s">
        <v>634</v>
      </c>
      <c r="H151" s="163" t="s">
        <v>327</v>
      </c>
      <c r="I151" s="161" t="n">
        <v>93</v>
      </c>
      <c r="J151" s="156" t="s">
        <v>185</v>
      </c>
      <c r="K151" s="200" t="n">
        <v>45452.6128472222</v>
      </c>
      <c r="L151" s="3" t="n">
        <v>11</v>
      </c>
      <c r="M151" s="3" t="n">
        <v>11</v>
      </c>
      <c r="N151" s="1" t="n">
        <v>32</v>
      </c>
      <c r="O151" s="1" t="n">
        <v>0</v>
      </c>
    </row>
    <row r="152" customFormat="false" ht="14.25" hidden="false" customHeight="false" outlineLevel="0" collapsed="false">
      <c r="A152" s="1" t="n">
        <v>42</v>
      </c>
      <c r="B152" s="1" t="s">
        <v>637</v>
      </c>
      <c r="C152" s="1" t="s">
        <v>638</v>
      </c>
      <c r="D152" s="1" t="n">
        <v>21296</v>
      </c>
      <c r="E152" s="1" t="s">
        <v>57</v>
      </c>
      <c r="F152" s="198" t="n">
        <v>200025888485</v>
      </c>
      <c r="G152" s="198" t="s">
        <v>634</v>
      </c>
      <c r="H152" s="163" t="s">
        <v>327</v>
      </c>
      <c r="I152" s="161" t="n">
        <v>93</v>
      </c>
      <c r="J152" s="156" t="s">
        <v>185</v>
      </c>
      <c r="K152" s="200" t="n">
        <v>45452.8429513889</v>
      </c>
      <c r="L152" s="3" t="n">
        <v>11</v>
      </c>
      <c r="M152" s="3" t="n">
        <v>11</v>
      </c>
      <c r="N152" s="1" t="n">
        <v>33</v>
      </c>
      <c r="O152" s="10" t="n">
        <v>2436</v>
      </c>
    </row>
    <row r="153" customFormat="false" ht="14.25" hidden="false" customHeight="false" outlineLevel="0" collapsed="false">
      <c r="A153" s="1" t="n">
        <v>43</v>
      </c>
      <c r="B153" s="1" t="s">
        <v>637</v>
      </c>
      <c r="C153" s="1" t="s">
        <v>638</v>
      </c>
      <c r="D153" s="1" t="n">
        <v>21296</v>
      </c>
      <c r="E153" s="1" t="s">
        <v>57</v>
      </c>
      <c r="F153" s="198" t="n">
        <v>200025888485</v>
      </c>
      <c r="G153" s="198" t="s">
        <v>634</v>
      </c>
      <c r="H153" s="163" t="s">
        <v>327</v>
      </c>
      <c r="I153" s="161" t="n">
        <v>93</v>
      </c>
      <c r="J153" s="156" t="s">
        <v>185</v>
      </c>
      <c r="K153" s="200" t="n">
        <v>45452.9012962963</v>
      </c>
      <c r="L153" s="3" t="n">
        <v>11</v>
      </c>
      <c r="M153" s="3" t="n">
        <v>11</v>
      </c>
      <c r="N153" s="1" t="n">
        <v>34</v>
      </c>
      <c r="O153" s="1" t="n">
        <v>0</v>
      </c>
    </row>
    <row r="154" customFormat="false" ht="14.25" hidden="false" customHeight="false" outlineLevel="0" collapsed="false">
      <c r="A154" s="1" t="n">
        <v>44</v>
      </c>
      <c r="B154" s="1" t="s">
        <v>637</v>
      </c>
      <c r="C154" s="1" t="s">
        <v>638</v>
      </c>
      <c r="D154" s="1" t="n">
        <v>21296</v>
      </c>
      <c r="E154" s="1" t="s">
        <v>57</v>
      </c>
      <c r="F154" s="198" t="n">
        <v>200025888485</v>
      </c>
      <c r="G154" s="198" t="s">
        <v>634</v>
      </c>
      <c r="H154" s="163" t="s">
        <v>327</v>
      </c>
      <c r="I154" s="161" t="n">
        <v>93</v>
      </c>
      <c r="J154" s="156" t="s">
        <v>185</v>
      </c>
      <c r="K154" s="200" t="n">
        <v>45452.9081828704</v>
      </c>
      <c r="L154" s="3" t="n">
        <v>11</v>
      </c>
      <c r="M154" s="3" t="n">
        <v>11</v>
      </c>
      <c r="N154" s="1" t="n">
        <v>35</v>
      </c>
      <c r="O154" s="10" t="n">
        <v>4912</v>
      </c>
    </row>
    <row r="155" customFormat="false" ht="14.25" hidden="false" customHeight="false" outlineLevel="0" collapsed="false">
      <c r="A155" s="1" t="n">
        <v>45</v>
      </c>
      <c r="B155" s="1" t="s">
        <v>637</v>
      </c>
      <c r="C155" s="1" t="s">
        <v>638</v>
      </c>
      <c r="D155" s="1" t="n">
        <v>21296</v>
      </c>
      <c r="E155" s="1" t="s">
        <v>57</v>
      </c>
      <c r="F155" s="198" t="n">
        <v>200025888485</v>
      </c>
      <c r="G155" s="198" t="s">
        <v>634</v>
      </c>
      <c r="H155" s="163" t="s">
        <v>327</v>
      </c>
      <c r="I155" s="161" t="n">
        <v>93</v>
      </c>
      <c r="J155" s="156" t="s">
        <v>185</v>
      </c>
      <c r="K155" s="200" t="n">
        <v>45452.9650347222</v>
      </c>
      <c r="L155" s="3" t="n">
        <v>11</v>
      </c>
      <c r="M155" s="3" t="n">
        <v>11</v>
      </c>
      <c r="N155" s="1" t="n">
        <v>36</v>
      </c>
      <c r="O155" s="1" t="n">
        <v>1</v>
      </c>
    </row>
    <row r="156" customFormat="false" ht="14.25" hidden="false" customHeight="false" outlineLevel="0" collapsed="false">
      <c r="A156" s="1" t="n">
        <v>46</v>
      </c>
      <c r="B156" s="1" t="s">
        <v>637</v>
      </c>
      <c r="C156" s="1" t="s">
        <v>638</v>
      </c>
      <c r="D156" s="1" t="n">
        <v>21296</v>
      </c>
      <c r="E156" s="1" t="s">
        <v>57</v>
      </c>
      <c r="F156" s="198" t="n">
        <v>200025888485</v>
      </c>
      <c r="G156" s="198" t="s">
        <v>634</v>
      </c>
      <c r="H156" s="163" t="s">
        <v>327</v>
      </c>
      <c r="I156" s="161" t="n">
        <v>93</v>
      </c>
      <c r="J156" s="156" t="s">
        <v>185</v>
      </c>
      <c r="K156" s="200" t="n">
        <v>45453.0863541667</v>
      </c>
      <c r="L156" s="3" t="n">
        <v>11</v>
      </c>
      <c r="M156" s="3" t="n">
        <v>11</v>
      </c>
      <c r="N156" s="1" t="n">
        <v>37</v>
      </c>
      <c r="O156" s="1" t="n">
        <v>0</v>
      </c>
    </row>
    <row r="157" customFormat="false" ht="14.25" hidden="false" customHeight="false" outlineLevel="0" collapsed="false">
      <c r="A157" s="1" t="n">
        <v>47</v>
      </c>
      <c r="B157" s="1" t="s">
        <v>637</v>
      </c>
      <c r="C157" s="1" t="s">
        <v>638</v>
      </c>
      <c r="D157" s="1" t="n">
        <v>21296</v>
      </c>
      <c r="E157" s="1" t="s">
        <v>57</v>
      </c>
      <c r="F157" s="198" t="n">
        <v>200025888485</v>
      </c>
      <c r="G157" s="198" t="s">
        <v>634</v>
      </c>
      <c r="H157" s="163" t="s">
        <v>327</v>
      </c>
      <c r="I157" s="161" t="n">
        <v>93</v>
      </c>
      <c r="J157" s="156" t="s">
        <v>185</v>
      </c>
      <c r="K157" s="200" t="n">
        <v>45453.0863773148</v>
      </c>
      <c r="L157" s="3" t="n">
        <v>11</v>
      </c>
      <c r="M157" s="3" t="n">
        <v>11</v>
      </c>
      <c r="N157" s="1" t="n">
        <v>38</v>
      </c>
      <c r="O157" s="1" t="n">
        <v>1</v>
      </c>
    </row>
    <row r="158" customFormat="false" ht="14.25" hidden="false" customHeight="false" outlineLevel="0" collapsed="false">
      <c r="A158" s="1" t="n">
        <v>153</v>
      </c>
      <c r="B158" s="1" t="s">
        <v>621</v>
      </c>
      <c r="C158" s="1" t="s">
        <v>622</v>
      </c>
      <c r="D158" s="1" t="n">
        <v>11171</v>
      </c>
      <c r="E158" s="1" t="s">
        <v>55</v>
      </c>
      <c r="F158" s="201" t="n">
        <v>200025888256</v>
      </c>
      <c r="G158" s="198" t="s">
        <v>668</v>
      </c>
      <c r="H158" s="163" t="s">
        <v>291</v>
      </c>
      <c r="I158" s="161" t="n">
        <v>68</v>
      </c>
      <c r="J158" s="156" t="s">
        <v>185</v>
      </c>
      <c r="K158" s="200" t="n">
        <v>45435.1986689815</v>
      </c>
      <c r="L158" s="3" t="n">
        <v>12</v>
      </c>
      <c r="M158" s="3" t="n">
        <v>12</v>
      </c>
      <c r="N158" s="1" t="n">
        <v>1</v>
      </c>
      <c r="O158" s="1" t="n">
        <v>2</v>
      </c>
    </row>
    <row r="159" customFormat="false" ht="14.25" hidden="false" customHeight="false" outlineLevel="0" collapsed="false">
      <c r="A159" s="1" t="n">
        <v>165</v>
      </c>
      <c r="B159" s="1" t="s">
        <v>621</v>
      </c>
      <c r="C159" s="1" t="s">
        <v>622</v>
      </c>
      <c r="D159" s="1" t="n">
        <v>11171</v>
      </c>
      <c r="E159" s="1" t="s">
        <v>55</v>
      </c>
      <c r="F159" s="201" t="n">
        <v>200025888256</v>
      </c>
      <c r="G159" s="198" t="s">
        <v>668</v>
      </c>
      <c r="H159" s="163" t="s">
        <v>291</v>
      </c>
      <c r="I159" s="161" t="n">
        <v>68</v>
      </c>
      <c r="J159" s="156" t="s">
        <v>185</v>
      </c>
      <c r="K159" s="200" t="n">
        <v>45435.3095601852</v>
      </c>
      <c r="L159" s="3" t="n">
        <v>12</v>
      </c>
      <c r="M159" s="3" t="n">
        <v>12</v>
      </c>
      <c r="N159" s="1" t="n">
        <v>2</v>
      </c>
      <c r="O159" s="1" t="n">
        <v>4</v>
      </c>
    </row>
    <row r="160" customFormat="false" ht="14.25" hidden="false" customHeight="false" outlineLevel="0" collapsed="false">
      <c r="A160" s="1" t="n">
        <v>178</v>
      </c>
      <c r="B160" s="1" t="s">
        <v>621</v>
      </c>
      <c r="C160" s="1" t="s">
        <v>622</v>
      </c>
      <c r="D160" s="1" t="n">
        <v>11171</v>
      </c>
      <c r="E160" s="1" t="s">
        <v>55</v>
      </c>
      <c r="F160" s="201" t="n">
        <v>200025888256</v>
      </c>
      <c r="G160" s="198" t="s">
        <v>668</v>
      </c>
      <c r="H160" s="163" t="s">
        <v>291</v>
      </c>
      <c r="I160" s="161" t="n">
        <v>68</v>
      </c>
      <c r="J160" s="156" t="s">
        <v>185</v>
      </c>
      <c r="K160" s="200" t="n">
        <v>45435.322349537</v>
      </c>
      <c r="L160" s="3" t="n">
        <v>12</v>
      </c>
      <c r="M160" s="3" t="n">
        <v>12</v>
      </c>
      <c r="N160" s="1" t="n">
        <v>3</v>
      </c>
      <c r="O160" s="1" t="n">
        <v>2</v>
      </c>
    </row>
    <row r="161" customFormat="false" ht="14.25" hidden="false" customHeight="false" outlineLevel="0" collapsed="false">
      <c r="A161" s="1" t="n">
        <v>180</v>
      </c>
      <c r="B161" s="1" t="s">
        <v>621</v>
      </c>
      <c r="C161" s="1" t="s">
        <v>622</v>
      </c>
      <c r="D161" s="1" t="n">
        <v>11171</v>
      </c>
      <c r="E161" s="1" t="s">
        <v>55</v>
      </c>
      <c r="F161" s="201" t="n">
        <v>200025888256</v>
      </c>
      <c r="G161" s="198" t="s">
        <v>668</v>
      </c>
      <c r="H161" s="163" t="s">
        <v>291</v>
      </c>
      <c r="I161" s="161" t="n">
        <v>68</v>
      </c>
      <c r="J161" s="156" t="s">
        <v>185</v>
      </c>
      <c r="K161" s="200" t="n">
        <v>45435.42125</v>
      </c>
      <c r="L161" s="3" t="n">
        <v>12</v>
      </c>
      <c r="M161" s="3" t="n">
        <v>12</v>
      </c>
      <c r="N161" s="1" t="n">
        <v>4</v>
      </c>
      <c r="O161" s="1" t="n">
        <v>3</v>
      </c>
    </row>
    <row r="162" customFormat="false" ht="14.25" hidden="false" customHeight="false" outlineLevel="0" collapsed="false">
      <c r="A162" s="1" t="n">
        <v>182</v>
      </c>
      <c r="B162" s="1" t="s">
        <v>621</v>
      </c>
      <c r="C162" s="1" t="s">
        <v>622</v>
      </c>
      <c r="D162" s="1" t="n">
        <v>11171</v>
      </c>
      <c r="E162" s="1" t="s">
        <v>55</v>
      </c>
      <c r="F162" s="201" t="n">
        <v>200025888256</v>
      </c>
      <c r="G162" s="198" t="s">
        <v>668</v>
      </c>
      <c r="H162" s="163" t="s">
        <v>291</v>
      </c>
      <c r="I162" s="161" t="n">
        <v>68</v>
      </c>
      <c r="J162" s="156" t="s">
        <v>185</v>
      </c>
      <c r="K162" s="200" t="n">
        <v>45435.4442824074</v>
      </c>
      <c r="L162" s="3" t="n">
        <v>12</v>
      </c>
      <c r="M162" s="3" t="n">
        <v>12</v>
      </c>
      <c r="N162" s="1" t="n">
        <v>5</v>
      </c>
      <c r="O162" s="1" t="n">
        <v>3</v>
      </c>
    </row>
    <row r="163" customFormat="false" ht="14.25" hidden="false" customHeight="false" outlineLevel="0" collapsed="false">
      <c r="A163" s="1" t="n">
        <v>183</v>
      </c>
      <c r="B163" s="1" t="s">
        <v>621</v>
      </c>
      <c r="C163" s="1" t="s">
        <v>622</v>
      </c>
      <c r="D163" s="1" t="n">
        <v>11171</v>
      </c>
      <c r="E163" s="1" t="s">
        <v>55</v>
      </c>
      <c r="F163" s="201" t="n">
        <v>200025888256</v>
      </c>
      <c r="G163" s="198" t="s">
        <v>668</v>
      </c>
      <c r="H163" s="163" t="s">
        <v>291</v>
      </c>
      <c r="I163" s="161" t="n">
        <v>68</v>
      </c>
      <c r="J163" s="156" t="s">
        <v>185</v>
      </c>
      <c r="K163" s="200" t="n">
        <v>45435.4474768519</v>
      </c>
      <c r="L163" s="3" t="n">
        <v>12</v>
      </c>
      <c r="M163" s="3" t="n">
        <v>12</v>
      </c>
      <c r="N163" s="1" t="n">
        <v>6</v>
      </c>
      <c r="O163" s="1" t="n">
        <v>2</v>
      </c>
    </row>
    <row r="164" customFormat="false" ht="14.25" hidden="false" customHeight="false" outlineLevel="0" collapsed="false">
      <c r="A164" s="1" t="n">
        <v>196</v>
      </c>
      <c r="B164" s="1" t="s">
        <v>621</v>
      </c>
      <c r="C164" s="1" t="s">
        <v>622</v>
      </c>
      <c r="D164" s="1" t="n">
        <v>11171</v>
      </c>
      <c r="E164" s="1" t="s">
        <v>55</v>
      </c>
      <c r="F164" s="201" t="n">
        <v>200025888256</v>
      </c>
      <c r="G164" s="198" t="s">
        <v>668</v>
      </c>
      <c r="H164" s="163" t="s">
        <v>291</v>
      </c>
      <c r="I164" s="161" t="n">
        <v>68</v>
      </c>
      <c r="J164" s="156" t="s">
        <v>185</v>
      </c>
      <c r="K164" s="200" t="n">
        <v>45435.5750578704</v>
      </c>
      <c r="L164" s="3" t="n">
        <v>12</v>
      </c>
      <c r="M164" s="3" t="n">
        <v>12</v>
      </c>
      <c r="N164" s="1" t="n">
        <v>7</v>
      </c>
      <c r="O164" s="1" t="n">
        <v>3</v>
      </c>
    </row>
    <row r="165" customFormat="false" ht="14.25" hidden="false" customHeight="false" outlineLevel="0" collapsed="false">
      <c r="A165" s="1" t="n">
        <v>200</v>
      </c>
      <c r="B165" s="1" t="s">
        <v>621</v>
      </c>
      <c r="C165" s="1" t="s">
        <v>622</v>
      </c>
      <c r="D165" s="1" t="n">
        <v>11171</v>
      </c>
      <c r="E165" s="1" t="s">
        <v>55</v>
      </c>
      <c r="F165" s="201" t="n">
        <v>200025888256</v>
      </c>
      <c r="G165" s="198" t="s">
        <v>668</v>
      </c>
      <c r="H165" s="163" t="s">
        <v>291</v>
      </c>
      <c r="I165" s="161" t="n">
        <v>68</v>
      </c>
      <c r="J165" s="156" t="s">
        <v>185</v>
      </c>
      <c r="K165" s="200" t="n">
        <v>45435.6120717593</v>
      </c>
      <c r="L165" s="3" t="n">
        <v>12</v>
      </c>
      <c r="M165" s="3" t="n">
        <v>12</v>
      </c>
      <c r="N165" s="1" t="n">
        <v>8</v>
      </c>
      <c r="O165" s="1" t="n">
        <v>2</v>
      </c>
    </row>
    <row r="166" customFormat="false" ht="14.25" hidden="false" customHeight="false" outlineLevel="0" collapsed="false">
      <c r="A166" s="1" t="n">
        <v>208</v>
      </c>
      <c r="B166" s="1" t="s">
        <v>621</v>
      </c>
      <c r="C166" s="1" t="s">
        <v>622</v>
      </c>
      <c r="D166" s="1" t="n">
        <v>11171</v>
      </c>
      <c r="E166" s="1" t="s">
        <v>55</v>
      </c>
      <c r="F166" s="201" t="n">
        <v>200025888256</v>
      </c>
      <c r="G166" s="198" t="s">
        <v>668</v>
      </c>
      <c r="H166" s="163" t="s">
        <v>291</v>
      </c>
      <c r="I166" s="161" t="n">
        <v>68</v>
      </c>
      <c r="J166" s="156" t="s">
        <v>185</v>
      </c>
      <c r="K166" s="200" t="n">
        <v>45435.6718287037</v>
      </c>
      <c r="L166" s="3" t="n">
        <v>12</v>
      </c>
      <c r="M166" s="3" t="n">
        <v>12</v>
      </c>
      <c r="N166" s="1" t="n">
        <v>9</v>
      </c>
      <c r="O166" s="1" t="n">
        <v>0</v>
      </c>
    </row>
    <row r="167" customFormat="false" ht="14.25" hidden="false" customHeight="false" outlineLevel="0" collapsed="false">
      <c r="A167" s="1" t="n">
        <v>210</v>
      </c>
      <c r="B167" s="1" t="s">
        <v>621</v>
      </c>
      <c r="C167" s="1" t="s">
        <v>622</v>
      </c>
      <c r="D167" s="1" t="n">
        <v>11171</v>
      </c>
      <c r="E167" s="1" t="s">
        <v>55</v>
      </c>
      <c r="F167" s="201" t="n">
        <v>200025888256</v>
      </c>
      <c r="G167" s="198" t="s">
        <v>668</v>
      </c>
      <c r="H167" s="163" t="s">
        <v>291</v>
      </c>
      <c r="I167" s="161" t="n">
        <v>68</v>
      </c>
      <c r="J167" s="156" t="s">
        <v>185</v>
      </c>
      <c r="K167" s="200" t="n">
        <v>45435.6760185185</v>
      </c>
      <c r="L167" s="3" t="n">
        <v>12</v>
      </c>
      <c r="M167" s="3" t="n">
        <v>12</v>
      </c>
      <c r="N167" s="1" t="n">
        <v>10</v>
      </c>
      <c r="O167" s="1" t="n">
        <v>1</v>
      </c>
    </row>
    <row r="168" customFormat="false" ht="14.25" hidden="false" customHeight="false" outlineLevel="0" collapsed="false">
      <c r="A168" s="1" t="n">
        <v>211</v>
      </c>
      <c r="B168" s="1" t="s">
        <v>621</v>
      </c>
      <c r="C168" s="1" t="s">
        <v>622</v>
      </c>
      <c r="D168" s="1" t="n">
        <v>11171</v>
      </c>
      <c r="E168" s="1" t="s">
        <v>55</v>
      </c>
      <c r="F168" s="201" t="n">
        <v>200025888256</v>
      </c>
      <c r="G168" s="198" t="s">
        <v>668</v>
      </c>
      <c r="H168" s="163" t="s">
        <v>291</v>
      </c>
      <c r="I168" s="161" t="n">
        <v>68</v>
      </c>
      <c r="J168" s="156" t="s">
        <v>185</v>
      </c>
      <c r="K168" s="200" t="n">
        <v>45435.6760300926</v>
      </c>
      <c r="L168" s="3" t="n">
        <v>12</v>
      </c>
      <c r="M168" s="3" t="n">
        <v>12</v>
      </c>
      <c r="N168" s="1" t="n">
        <v>11</v>
      </c>
      <c r="O168" s="1" t="n">
        <v>1</v>
      </c>
    </row>
    <row r="169" customFormat="false" ht="14.25" hidden="false" customHeight="false" outlineLevel="0" collapsed="false">
      <c r="A169" s="1" t="n">
        <v>216</v>
      </c>
      <c r="B169" s="1" t="s">
        <v>621</v>
      </c>
      <c r="C169" s="1" t="s">
        <v>622</v>
      </c>
      <c r="D169" s="1" t="n">
        <v>11171</v>
      </c>
      <c r="E169" s="1" t="s">
        <v>55</v>
      </c>
      <c r="F169" s="201" t="n">
        <v>200025888256</v>
      </c>
      <c r="G169" s="198" t="s">
        <v>668</v>
      </c>
      <c r="H169" s="163" t="s">
        <v>291</v>
      </c>
      <c r="I169" s="161" t="n">
        <v>68</v>
      </c>
      <c r="J169" s="156" t="s">
        <v>185</v>
      </c>
      <c r="K169" s="200" t="n">
        <v>45435.6835532407</v>
      </c>
      <c r="L169" s="3" t="n">
        <v>12</v>
      </c>
      <c r="M169" s="3" t="n">
        <v>12</v>
      </c>
      <c r="N169" s="1" t="n">
        <v>12</v>
      </c>
      <c r="O169" s="1" t="n">
        <v>3</v>
      </c>
    </row>
    <row r="170" customFormat="false" ht="14.25" hidden="false" customHeight="false" outlineLevel="0" collapsed="false">
      <c r="A170" s="1" t="n">
        <v>218</v>
      </c>
      <c r="B170" s="1" t="s">
        <v>621</v>
      </c>
      <c r="C170" s="1" t="s">
        <v>622</v>
      </c>
      <c r="D170" s="1" t="n">
        <v>11171</v>
      </c>
      <c r="E170" s="1" t="s">
        <v>55</v>
      </c>
      <c r="F170" s="201" t="n">
        <v>200025888256</v>
      </c>
      <c r="G170" s="198" t="s">
        <v>668</v>
      </c>
      <c r="H170" s="163" t="s">
        <v>291</v>
      </c>
      <c r="I170" s="161" t="n">
        <v>68</v>
      </c>
      <c r="J170" s="156" t="s">
        <v>185</v>
      </c>
      <c r="K170" s="200" t="n">
        <v>45435.687037037</v>
      </c>
      <c r="L170" s="3" t="n">
        <v>12</v>
      </c>
      <c r="M170" s="3" t="n">
        <v>12</v>
      </c>
      <c r="N170" s="1" t="n">
        <v>13</v>
      </c>
      <c r="O170" s="1" t="n">
        <v>3</v>
      </c>
    </row>
    <row r="171" customFormat="false" ht="14.25" hidden="false" customHeight="false" outlineLevel="0" collapsed="false">
      <c r="A171" s="1" t="n">
        <v>219</v>
      </c>
      <c r="B171" s="1" t="s">
        <v>621</v>
      </c>
      <c r="C171" s="1" t="s">
        <v>622</v>
      </c>
      <c r="D171" s="1" t="n">
        <v>11171</v>
      </c>
      <c r="E171" s="1" t="s">
        <v>55</v>
      </c>
      <c r="F171" s="201" t="n">
        <v>200025888256</v>
      </c>
      <c r="G171" s="198" t="s">
        <v>668</v>
      </c>
      <c r="H171" s="163" t="s">
        <v>291</v>
      </c>
      <c r="I171" s="161" t="n">
        <v>68</v>
      </c>
      <c r="J171" s="156" t="s">
        <v>185</v>
      </c>
      <c r="K171" s="200" t="n">
        <v>45435.6878240741</v>
      </c>
      <c r="L171" s="3" t="n">
        <v>12</v>
      </c>
      <c r="M171" s="3" t="n">
        <v>12</v>
      </c>
      <c r="N171" s="1" t="n">
        <v>14</v>
      </c>
      <c r="O171" s="1" t="n">
        <v>2</v>
      </c>
    </row>
    <row r="172" customFormat="false" ht="14.25" hidden="false" customHeight="false" outlineLevel="0" collapsed="false">
      <c r="A172" s="1" t="n">
        <v>222</v>
      </c>
      <c r="B172" s="1" t="s">
        <v>621</v>
      </c>
      <c r="C172" s="1" t="s">
        <v>622</v>
      </c>
      <c r="D172" s="1" t="n">
        <v>11171</v>
      </c>
      <c r="E172" s="1" t="s">
        <v>55</v>
      </c>
      <c r="F172" s="201" t="n">
        <v>200025888256</v>
      </c>
      <c r="G172" s="198" t="s">
        <v>668</v>
      </c>
      <c r="H172" s="163" t="s">
        <v>291</v>
      </c>
      <c r="I172" s="161" t="n">
        <v>68</v>
      </c>
      <c r="J172" s="156" t="s">
        <v>185</v>
      </c>
      <c r="K172" s="200" t="n">
        <v>45435.7320023148</v>
      </c>
      <c r="L172" s="3" t="n">
        <v>12</v>
      </c>
      <c r="M172" s="3" t="n">
        <v>12</v>
      </c>
      <c r="N172" s="1" t="n">
        <v>15</v>
      </c>
      <c r="O172" s="1" t="n">
        <v>4</v>
      </c>
    </row>
    <row r="173" customFormat="false" ht="14.25" hidden="false" customHeight="false" outlineLevel="0" collapsed="false">
      <c r="A173" s="1" t="n">
        <v>170</v>
      </c>
      <c r="B173" s="1" t="s">
        <v>624</v>
      </c>
      <c r="C173" s="1" t="s">
        <v>625</v>
      </c>
      <c r="D173" s="1" t="n">
        <v>21261</v>
      </c>
      <c r="E173" s="1" t="s">
        <v>57</v>
      </c>
      <c r="F173" s="201" t="n">
        <v>200025888256</v>
      </c>
      <c r="G173" s="198" t="s">
        <v>668</v>
      </c>
      <c r="H173" s="163" t="s">
        <v>291</v>
      </c>
      <c r="I173" s="161" t="n">
        <v>68</v>
      </c>
      <c r="J173" s="156" t="s">
        <v>185</v>
      </c>
      <c r="K173" s="200" t="n">
        <v>45436.0140740741</v>
      </c>
      <c r="L173" s="3" t="n">
        <v>12</v>
      </c>
      <c r="M173" s="3" t="n">
        <v>12</v>
      </c>
      <c r="N173" s="1" t="n">
        <v>16</v>
      </c>
      <c r="O173" s="1" t="n">
        <v>0</v>
      </c>
    </row>
    <row r="174" customFormat="false" ht="14.25" hidden="false" customHeight="false" outlineLevel="0" collapsed="false">
      <c r="A174" s="1" t="n">
        <v>171</v>
      </c>
      <c r="B174" s="1" t="s">
        <v>624</v>
      </c>
      <c r="C174" s="1" t="s">
        <v>625</v>
      </c>
      <c r="D174" s="1" t="n">
        <v>21261</v>
      </c>
      <c r="E174" s="1" t="s">
        <v>57</v>
      </c>
      <c r="F174" s="201" t="n">
        <v>200025888256</v>
      </c>
      <c r="G174" s="198" t="s">
        <v>668</v>
      </c>
      <c r="H174" s="163" t="s">
        <v>291</v>
      </c>
      <c r="I174" s="161" t="n">
        <v>68</v>
      </c>
      <c r="J174" s="156" t="s">
        <v>185</v>
      </c>
      <c r="K174" s="200" t="n">
        <v>45436.0162037037</v>
      </c>
      <c r="L174" s="3" t="n">
        <v>12</v>
      </c>
      <c r="M174" s="3" t="n">
        <v>12</v>
      </c>
      <c r="N174" s="1" t="n">
        <v>17</v>
      </c>
      <c r="O174" s="1" t="n">
        <v>48</v>
      </c>
    </row>
    <row r="175" customFormat="false" ht="14.25" hidden="false" customHeight="false" outlineLevel="0" collapsed="false">
      <c r="A175" s="1" t="n">
        <v>54</v>
      </c>
      <c r="B175" s="1" t="s">
        <v>681</v>
      </c>
      <c r="C175" s="1" t="s">
        <v>682</v>
      </c>
      <c r="D175" s="1" t="n">
        <v>11197</v>
      </c>
      <c r="E175" s="1" t="s">
        <v>53</v>
      </c>
      <c r="F175" s="201" t="n">
        <v>200025888856</v>
      </c>
      <c r="G175" s="198" t="s">
        <v>696</v>
      </c>
      <c r="H175" s="163" t="s">
        <v>276</v>
      </c>
      <c r="I175" s="161" t="n">
        <v>31</v>
      </c>
      <c r="J175" s="156" t="s">
        <v>185</v>
      </c>
      <c r="K175" s="199" t="n">
        <v>45435.2559490741</v>
      </c>
      <c r="L175" s="3" t="n">
        <v>13</v>
      </c>
      <c r="M175" s="3" t="n">
        <v>13</v>
      </c>
      <c r="N175" s="1" t="n">
        <v>1</v>
      </c>
      <c r="O175" s="1" t="n">
        <v>4</v>
      </c>
    </row>
    <row r="176" customFormat="false" ht="14.25" hidden="false" customHeight="false" outlineLevel="0" collapsed="false">
      <c r="A176" s="1" t="n">
        <v>55</v>
      </c>
      <c r="B176" s="1" t="s">
        <v>681</v>
      </c>
      <c r="C176" s="1" t="s">
        <v>682</v>
      </c>
      <c r="D176" s="1" t="n">
        <v>11197</v>
      </c>
      <c r="E176" s="1" t="s">
        <v>53</v>
      </c>
      <c r="F176" s="201" t="n">
        <v>200025888860</v>
      </c>
      <c r="G176" s="198" t="s">
        <v>674</v>
      </c>
      <c r="H176" s="163" t="s">
        <v>197</v>
      </c>
      <c r="I176" s="161" t="n">
        <v>3</v>
      </c>
      <c r="J176" s="156" t="s">
        <v>185</v>
      </c>
      <c r="K176" s="199" t="n">
        <v>45435.2599768519</v>
      </c>
      <c r="L176" s="3" t="n">
        <v>14</v>
      </c>
      <c r="M176" s="3" t="n">
        <v>14</v>
      </c>
      <c r="N176" s="1" t="n">
        <v>1</v>
      </c>
      <c r="O176" s="1" t="n">
        <v>1</v>
      </c>
    </row>
    <row r="177" customFormat="false" ht="14.25" hidden="false" customHeight="false" outlineLevel="0" collapsed="false">
      <c r="A177" s="1" t="n">
        <v>206</v>
      </c>
      <c r="B177" s="1" t="s">
        <v>621</v>
      </c>
      <c r="C177" s="1" t="s">
        <v>622</v>
      </c>
      <c r="D177" s="1" t="n">
        <v>11171</v>
      </c>
      <c r="E177" s="1" t="s">
        <v>55</v>
      </c>
      <c r="F177" s="201" t="n">
        <v>200025888860</v>
      </c>
      <c r="G177" s="198" t="s">
        <v>674</v>
      </c>
      <c r="H177" s="163" t="s">
        <v>197</v>
      </c>
      <c r="I177" s="161" t="n">
        <v>3</v>
      </c>
      <c r="J177" s="156" t="s">
        <v>185</v>
      </c>
      <c r="K177" s="200" t="n">
        <v>45435.6208217593</v>
      </c>
      <c r="L177" s="3" t="n">
        <v>14</v>
      </c>
      <c r="M177" s="3" t="n">
        <v>14</v>
      </c>
      <c r="N177" s="1" t="n">
        <v>2</v>
      </c>
      <c r="O177" s="1" t="n">
        <v>2</v>
      </c>
    </row>
    <row r="178" customFormat="false" ht="14.25" hidden="false" customHeight="false" outlineLevel="0" collapsed="false">
      <c r="A178" s="1" t="n">
        <v>184</v>
      </c>
      <c r="B178" s="1" t="s">
        <v>621</v>
      </c>
      <c r="C178" s="1" t="s">
        <v>622</v>
      </c>
      <c r="D178" s="1" t="n">
        <v>11171</v>
      </c>
      <c r="E178" s="1" t="s">
        <v>55</v>
      </c>
      <c r="F178" s="201" t="n">
        <v>200025888637</v>
      </c>
      <c r="G178" s="198" t="s">
        <v>669</v>
      </c>
      <c r="H178" s="163" t="s">
        <v>206</v>
      </c>
      <c r="I178" s="161" t="n">
        <v>4</v>
      </c>
      <c r="J178" s="156" t="s">
        <v>185</v>
      </c>
      <c r="K178" s="200" t="n">
        <v>45435.4481597222</v>
      </c>
      <c r="L178" s="3" t="n">
        <v>15</v>
      </c>
      <c r="M178" s="3" t="n">
        <v>15</v>
      </c>
      <c r="N178" s="1" t="n">
        <v>1</v>
      </c>
      <c r="O178" s="1" t="n">
        <v>6</v>
      </c>
    </row>
    <row r="179" customFormat="false" ht="14.25" hidden="false" customHeight="false" outlineLevel="0" collapsed="false">
      <c r="A179" s="1" t="n">
        <v>201</v>
      </c>
      <c r="B179" s="1" t="s">
        <v>621</v>
      </c>
      <c r="C179" s="1" t="s">
        <v>622</v>
      </c>
      <c r="D179" s="1" t="n">
        <v>11171</v>
      </c>
      <c r="E179" s="1" t="s">
        <v>55</v>
      </c>
      <c r="F179" s="201" t="n">
        <v>200025888637</v>
      </c>
      <c r="G179" s="198" t="s">
        <v>669</v>
      </c>
      <c r="H179" s="163" t="s">
        <v>206</v>
      </c>
      <c r="I179" s="161" t="n">
        <v>4</v>
      </c>
      <c r="J179" s="156" t="s">
        <v>185</v>
      </c>
      <c r="K179" s="200" t="n">
        <v>45435.6144560185</v>
      </c>
      <c r="L179" s="3" t="n">
        <v>15</v>
      </c>
      <c r="M179" s="3" t="n">
        <v>15</v>
      </c>
      <c r="N179" s="1" t="n">
        <v>2</v>
      </c>
      <c r="O179" s="1" t="n">
        <v>3</v>
      </c>
    </row>
    <row r="180" customFormat="false" ht="14.25" hidden="false" customHeight="false" outlineLevel="0" collapsed="false">
      <c r="A180" s="1" t="n">
        <v>202</v>
      </c>
      <c r="B180" s="1" t="s">
        <v>621</v>
      </c>
      <c r="C180" s="1" t="s">
        <v>622</v>
      </c>
      <c r="D180" s="1" t="n">
        <v>11171</v>
      </c>
      <c r="E180" s="1" t="s">
        <v>55</v>
      </c>
      <c r="F180" s="201" t="n">
        <v>200025888637</v>
      </c>
      <c r="G180" s="198" t="s">
        <v>669</v>
      </c>
      <c r="H180" s="163" t="s">
        <v>206</v>
      </c>
      <c r="I180" s="161" t="n">
        <v>4</v>
      </c>
      <c r="J180" s="156" t="s">
        <v>185</v>
      </c>
      <c r="K180" s="200" t="n">
        <v>45435.6148148148</v>
      </c>
      <c r="L180" s="3" t="n">
        <v>15</v>
      </c>
      <c r="M180" s="3" t="n">
        <v>15</v>
      </c>
      <c r="N180" s="1" t="n">
        <v>3</v>
      </c>
      <c r="O180" s="1" t="n">
        <v>3</v>
      </c>
    </row>
    <row r="181" customFormat="false" ht="14.25" hidden="false" customHeight="false" outlineLevel="0" collapsed="false">
      <c r="A181" s="1" t="n">
        <v>260</v>
      </c>
      <c r="B181" s="1" t="s">
        <v>621</v>
      </c>
      <c r="C181" s="1" t="s">
        <v>622</v>
      </c>
      <c r="D181" s="1" t="n">
        <v>21261</v>
      </c>
      <c r="E181" s="1" t="s">
        <v>57</v>
      </c>
      <c r="F181" s="201" t="n">
        <v>200025888637</v>
      </c>
      <c r="G181" s="198" t="s">
        <v>669</v>
      </c>
      <c r="H181" s="163" t="s">
        <v>206</v>
      </c>
      <c r="I181" s="161" t="n">
        <v>4</v>
      </c>
      <c r="J181" s="156" t="s">
        <v>185</v>
      </c>
      <c r="K181" s="200" t="n">
        <v>45443.6448726852</v>
      </c>
      <c r="L181" s="3" t="n">
        <v>15</v>
      </c>
      <c r="M181" s="3" t="n">
        <v>15</v>
      </c>
      <c r="N181" s="1" t="n">
        <v>4</v>
      </c>
      <c r="O181" s="1" t="n">
        <v>1</v>
      </c>
    </row>
    <row r="182" customFormat="false" ht="14.25" hidden="false" customHeight="false" outlineLevel="0" collapsed="false">
      <c r="A182" s="1" t="n">
        <v>87</v>
      </c>
      <c r="B182" s="1" t="s">
        <v>643</v>
      </c>
      <c r="C182" s="1" t="s">
        <v>644</v>
      </c>
      <c r="D182" s="1" t="n">
        <v>11171</v>
      </c>
      <c r="E182" s="1" t="s">
        <v>55</v>
      </c>
      <c r="F182" s="201" t="n">
        <v>200025888637</v>
      </c>
      <c r="G182" s="198" t="s">
        <v>669</v>
      </c>
      <c r="H182" s="163" t="s">
        <v>206</v>
      </c>
      <c r="I182" s="161" t="n">
        <v>4</v>
      </c>
      <c r="J182" s="156" t="s">
        <v>185</v>
      </c>
      <c r="K182" s="200" t="n">
        <v>45458.4188657407</v>
      </c>
      <c r="L182" s="3" t="n">
        <v>15</v>
      </c>
      <c r="M182" s="3" t="n">
        <v>15</v>
      </c>
      <c r="N182" s="1" t="n">
        <v>5</v>
      </c>
      <c r="O182" s="1" t="n">
        <v>1</v>
      </c>
    </row>
    <row r="183" customFormat="false" ht="14.25" hidden="false" customHeight="false" outlineLevel="0" collapsed="false">
      <c r="A183" s="1" t="n">
        <v>185</v>
      </c>
      <c r="B183" s="1" t="s">
        <v>621</v>
      </c>
      <c r="C183" s="1" t="s">
        <v>622</v>
      </c>
      <c r="D183" s="1" t="n">
        <v>11171</v>
      </c>
      <c r="E183" s="1" t="s">
        <v>55</v>
      </c>
      <c r="F183" s="201" t="n">
        <v>200025888716</v>
      </c>
      <c r="G183" s="198" t="s">
        <v>646</v>
      </c>
      <c r="H183" s="163" t="s">
        <v>336</v>
      </c>
      <c r="I183" s="161" t="n">
        <v>64</v>
      </c>
      <c r="J183" s="156" t="s">
        <v>185</v>
      </c>
      <c r="K183" s="200" t="n">
        <v>45435.4538425926</v>
      </c>
      <c r="L183" s="3" t="n">
        <v>16</v>
      </c>
      <c r="M183" s="3" t="n">
        <v>16</v>
      </c>
      <c r="N183" s="1" t="n">
        <v>1</v>
      </c>
      <c r="O183" s="1" t="n">
        <v>3</v>
      </c>
    </row>
    <row r="184" customFormat="false" ht="14.25" hidden="false" customHeight="false" outlineLevel="0" collapsed="false">
      <c r="A184" s="1" t="n">
        <v>186</v>
      </c>
      <c r="B184" s="1" t="s">
        <v>621</v>
      </c>
      <c r="C184" s="1" t="s">
        <v>622</v>
      </c>
      <c r="D184" s="1" t="n">
        <v>11171</v>
      </c>
      <c r="E184" s="1" t="s">
        <v>55</v>
      </c>
      <c r="F184" s="201" t="n">
        <v>200025888716</v>
      </c>
      <c r="G184" s="198" t="s">
        <v>646</v>
      </c>
      <c r="H184" s="163" t="s">
        <v>336</v>
      </c>
      <c r="I184" s="161" t="n">
        <v>64</v>
      </c>
      <c r="J184" s="156" t="s">
        <v>185</v>
      </c>
      <c r="K184" s="200" t="n">
        <v>45435.4549305556</v>
      </c>
      <c r="L184" s="3" t="n">
        <v>16</v>
      </c>
      <c r="M184" s="3" t="n">
        <v>16</v>
      </c>
      <c r="N184" s="1" t="n">
        <v>2</v>
      </c>
      <c r="O184" s="1" t="n">
        <v>0</v>
      </c>
    </row>
    <row r="185" customFormat="false" ht="14.25" hidden="false" customHeight="false" outlineLevel="0" collapsed="false">
      <c r="A185" s="1" t="n">
        <v>195</v>
      </c>
      <c r="B185" s="1" t="s">
        <v>621</v>
      </c>
      <c r="C185" s="1" t="s">
        <v>622</v>
      </c>
      <c r="D185" s="1" t="n">
        <v>11171</v>
      </c>
      <c r="E185" s="1" t="s">
        <v>55</v>
      </c>
      <c r="F185" s="201" t="n">
        <v>200025888716</v>
      </c>
      <c r="G185" s="198" t="s">
        <v>646</v>
      </c>
      <c r="H185" s="163" t="s">
        <v>336</v>
      </c>
      <c r="I185" s="161" t="n">
        <v>64</v>
      </c>
      <c r="J185" s="156" t="s">
        <v>185</v>
      </c>
      <c r="K185" s="200" t="n">
        <v>45435.491400463</v>
      </c>
      <c r="L185" s="3" t="n">
        <v>16</v>
      </c>
      <c r="M185" s="3" t="n">
        <v>16</v>
      </c>
      <c r="N185" s="1" t="n">
        <v>3</v>
      </c>
      <c r="O185" s="1" t="n">
        <v>2</v>
      </c>
    </row>
    <row r="186" customFormat="false" ht="14.25" hidden="false" customHeight="false" outlineLevel="0" collapsed="false">
      <c r="A186" s="1" t="n">
        <v>204</v>
      </c>
      <c r="B186" s="1" t="s">
        <v>621</v>
      </c>
      <c r="C186" s="1" t="s">
        <v>622</v>
      </c>
      <c r="D186" s="1" t="n">
        <v>11171</v>
      </c>
      <c r="E186" s="1" t="s">
        <v>55</v>
      </c>
      <c r="F186" s="201" t="n">
        <v>200025888716</v>
      </c>
      <c r="G186" s="198" t="s">
        <v>646</v>
      </c>
      <c r="H186" s="163" t="s">
        <v>336</v>
      </c>
      <c r="I186" s="161" t="n">
        <v>64</v>
      </c>
      <c r="J186" s="156" t="s">
        <v>185</v>
      </c>
      <c r="K186" s="200" t="n">
        <v>45435.6170023148</v>
      </c>
      <c r="L186" s="3" t="n">
        <v>16</v>
      </c>
      <c r="M186" s="3" t="n">
        <v>16</v>
      </c>
      <c r="N186" s="1" t="n">
        <v>4</v>
      </c>
      <c r="O186" s="1" t="n">
        <v>2</v>
      </c>
    </row>
    <row r="187" customFormat="false" ht="14.25" hidden="false" customHeight="false" outlineLevel="0" collapsed="false">
      <c r="A187" s="1" t="n">
        <v>90</v>
      </c>
      <c r="B187" s="1" t="s">
        <v>643</v>
      </c>
      <c r="C187" s="1" t="s">
        <v>644</v>
      </c>
      <c r="D187" s="196" t="n">
        <v>2568</v>
      </c>
      <c r="E187" s="196" t="s">
        <v>51</v>
      </c>
      <c r="F187" s="201" t="n">
        <v>200025888716</v>
      </c>
      <c r="G187" s="198" t="s">
        <v>646</v>
      </c>
      <c r="H187" s="163" t="s">
        <v>336</v>
      </c>
      <c r="I187" s="161" t="n">
        <v>64</v>
      </c>
      <c r="J187" s="156" t="s">
        <v>185</v>
      </c>
      <c r="K187" s="200" t="n">
        <v>45461.7336342593</v>
      </c>
      <c r="L187" s="3" t="n">
        <v>16</v>
      </c>
      <c r="M187" s="3" t="n">
        <v>16</v>
      </c>
      <c r="N187" s="1" t="n">
        <v>5</v>
      </c>
      <c r="O187" s="1" t="n">
        <v>1</v>
      </c>
    </row>
    <row r="188" customFormat="false" ht="14.25" hidden="false" customHeight="false" outlineLevel="0" collapsed="false">
      <c r="A188" s="1" t="n">
        <v>162</v>
      </c>
      <c r="B188" s="1" t="s">
        <v>624</v>
      </c>
      <c r="C188" s="1" t="s">
        <v>625</v>
      </c>
      <c r="D188" s="1" t="n">
        <v>21261</v>
      </c>
      <c r="E188" s="1" t="s">
        <v>57</v>
      </c>
      <c r="F188" s="201" t="n">
        <v>200025889289</v>
      </c>
      <c r="G188" s="198" t="s">
        <v>673</v>
      </c>
      <c r="H188" s="163" t="s">
        <v>309</v>
      </c>
      <c r="I188" s="161" t="n">
        <v>47</v>
      </c>
      <c r="J188" s="156" t="s">
        <v>185</v>
      </c>
      <c r="K188" s="200" t="n">
        <v>45435.4617592593</v>
      </c>
      <c r="L188" s="3" t="n">
        <v>17</v>
      </c>
      <c r="M188" s="3" t="n">
        <v>17</v>
      </c>
      <c r="N188" s="1" t="n">
        <v>1</v>
      </c>
      <c r="O188" s="1" t="n">
        <v>0</v>
      </c>
    </row>
    <row r="189" customFormat="false" ht="14.25" hidden="false" customHeight="false" outlineLevel="0" collapsed="false">
      <c r="A189" s="1" t="n">
        <v>198</v>
      </c>
      <c r="B189" s="1" t="s">
        <v>621</v>
      </c>
      <c r="C189" s="1" t="s">
        <v>622</v>
      </c>
      <c r="D189" s="1" t="n">
        <v>11171</v>
      </c>
      <c r="E189" s="1" t="s">
        <v>55</v>
      </c>
      <c r="F189" s="201" t="n">
        <v>200025889289</v>
      </c>
      <c r="G189" s="198" t="s">
        <v>673</v>
      </c>
      <c r="H189" s="163" t="s">
        <v>309</v>
      </c>
      <c r="I189" s="161" t="n">
        <v>47</v>
      </c>
      <c r="J189" s="156" t="s">
        <v>185</v>
      </c>
      <c r="K189" s="200" t="n">
        <v>45435.6096990741</v>
      </c>
      <c r="L189" s="3" t="n">
        <v>17</v>
      </c>
      <c r="M189" s="3" t="n">
        <v>17</v>
      </c>
      <c r="N189" s="1" t="n">
        <v>2</v>
      </c>
      <c r="O189" s="1" t="n">
        <v>2</v>
      </c>
    </row>
    <row r="190" customFormat="false" ht="14.25" hidden="false" customHeight="false" outlineLevel="0" collapsed="false">
      <c r="A190" s="1" t="n">
        <v>194</v>
      </c>
      <c r="B190" s="1" t="s">
        <v>621</v>
      </c>
      <c r="C190" s="1" t="s">
        <v>622</v>
      </c>
      <c r="D190" s="1" t="n">
        <v>11171</v>
      </c>
      <c r="E190" s="1" t="s">
        <v>55</v>
      </c>
      <c r="F190" s="201" t="n">
        <v>200025888677</v>
      </c>
      <c r="G190" s="198" t="s">
        <v>671</v>
      </c>
      <c r="H190" s="163" t="s">
        <v>348</v>
      </c>
      <c r="I190" s="161" t="n">
        <v>70</v>
      </c>
      <c r="J190" s="156" t="s">
        <v>185</v>
      </c>
      <c r="K190" s="200" t="n">
        <v>45435.4655555556</v>
      </c>
      <c r="L190" s="3" t="n">
        <v>18</v>
      </c>
      <c r="M190" s="3" t="n">
        <v>18</v>
      </c>
      <c r="N190" s="1" t="n">
        <v>1</v>
      </c>
      <c r="O190" s="1" t="n">
        <v>0</v>
      </c>
    </row>
    <row r="191" customFormat="false" ht="14.25" hidden="false" customHeight="false" outlineLevel="0" collapsed="false">
      <c r="A191" s="1" t="n">
        <v>10</v>
      </c>
      <c r="B191" s="1" t="s">
        <v>565</v>
      </c>
      <c r="C191" s="1" t="s">
        <v>566</v>
      </c>
      <c r="D191" s="1" t="n">
        <v>11171</v>
      </c>
      <c r="E191" s="1" t="s">
        <v>55</v>
      </c>
      <c r="F191" s="198" t="n">
        <v>200025888677</v>
      </c>
      <c r="G191" s="198" t="s">
        <v>671</v>
      </c>
      <c r="H191" s="163" t="s">
        <v>348</v>
      </c>
      <c r="I191" s="161" t="n">
        <v>70</v>
      </c>
      <c r="J191" s="156" t="s">
        <v>185</v>
      </c>
      <c r="K191" s="199" t="n">
        <v>45451.2759259259</v>
      </c>
      <c r="L191" s="3" t="n">
        <v>18</v>
      </c>
      <c r="M191" s="3" t="n">
        <v>18</v>
      </c>
      <c r="N191" s="1" t="n">
        <v>2</v>
      </c>
      <c r="O191" s="1" t="n">
        <v>0</v>
      </c>
    </row>
    <row r="192" customFormat="false" ht="14.25" hidden="false" customHeight="false" outlineLevel="0" collapsed="false">
      <c r="A192" s="1" t="n">
        <v>197</v>
      </c>
      <c r="B192" s="1" t="s">
        <v>621</v>
      </c>
      <c r="C192" s="1" t="s">
        <v>622</v>
      </c>
      <c r="D192" s="1" t="n">
        <v>11171</v>
      </c>
      <c r="E192" s="1" t="s">
        <v>55</v>
      </c>
      <c r="F192" s="201" t="n">
        <v>200025888955</v>
      </c>
      <c r="G192" s="198" t="s">
        <v>672</v>
      </c>
      <c r="H192" s="163" t="s">
        <v>285</v>
      </c>
      <c r="I192" s="161" t="n">
        <v>32</v>
      </c>
      <c r="J192" s="156" t="s">
        <v>185</v>
      </c>
      <c r="K192" s="200" t="n">
        <v>45435.6068055556</v>
      </c>
      <c r="L192" s="3" t="n">
        <v>19</v>
      </c>
      <c r="M192" s="3" t="n">
        <v>19</v>
      </c>
      <c r="N192" s="1" t="n">
        <v>1</v>
      </c>
      <c r="O192" s="1" t="n">
        <v>2</v>
      </c>
    </row>
    <row r="193" customFormat="false" ht="14.25" hidden="false" customHeight="false" outlineLevel="0" collapsed="false">
      <c r="A193" s="1" t="n">
        <v>199</v>
      </c>
      <c r="B193" s="1" t="s">
        <v>621</v>
      </c>
      <c r="C193" s="1" t="s">
        <v>622</v>
      </c>
      <c r="D193" s="1" t="n">
        <v>11171</v>
      </c>
      <c r="E193" s="1" t="s">
        <v>55</v>
      </c>
      <c r="F193" s="201" t="n">
        <v>200025888955</v>
      </c>
      <c r="G193" s="198" t="s">
        <v>672</v>
      </c>
      <c r="H193" s="163" t="s">
        <v>285</v>
      </c>
      <c r="I193" s="161" t="n">
        <v>32</v>
      </c>
      <c r="J193" s="156" t="s">
        <v>185</v>
      </c>
      <c r="K193" s="200" t="n">
        <v>45435.6110532407</v>
      </c>
      <c r="L193" s="3" t="n">
        <v>19</v>
      </c>
      <c r="M193" s="3" t="n">
        <v>19</v>
      </c>
      <c r="N193" s="1" t="n">
        <v>2</v>
      </c>
      <c r="O193" s="1" t="n">
        <v>5</v>
      </c>
    </row>
    <row r="194" customFormat="false" ht="14.25" hidden="false" customHeight="false" outlineLevel="0" collapsed="false">
      <c r="A194" s="1" t="n">
        <v>205</v>
      </c>
      <c r="B194" s="1" t="s">
        <v>621</v>
      </c>
      <c r="C194" s="1" t="s">
        <v>622</v>
      </c>
      <c r="D194" s="1" t="n">
        <v>11171</v>
      </c>
      <c r="E194" s="1" t="s">
        <v>55</v>
      </c>
      <c r="F194" s="201" t="n">
        <v>200025888955</v>
      </c>
      <c r="G194" s="198" t="s">
        <v>672</v>
      </c>
      <c r="H194" s="163" t="s">
        <v>285</v>
      </c>
      <c r="I194" s="161" t="n">
        <v>32</v>
      </c>
      <c r="J194" s="156" t="s">
        <v>185</v>
      </c>
      <c r="K194" s="200" t="n">
        <v>45435.6180671296</v>
      </c>
      <c r="L194" s="3" t="n">
        <v>19</v>
      </c>
      <c r="M194" s="3" t="n">
        <v>19</v>
      </c>
      <c r="N194" s="1" t="n">
        <v>3</v>
      </c>
      <c r="O194" s="1" t="n">
        <v>2</v>
      </c>
    </row>
    <row r="195" customFormat="false" ht="14.25" hidden="false" customHeight="false" outlineLevel="0" collapsed="false">
      <c r="A195" s="1" t="n">
        <v>224</v>
      </c>
      <c r="B195" s="1" t="s">
        <v>621</v>
      </c>
      <c r="C195" s="1" t="s">
        <v>622</v>
      </c>
      <c r="D195" s="1" t="n">
        <v>11171</v>
      </c>
      <c r="E195" s="1" t="s">
        <v>55</v>
      </c>
      <c r="F195" s="201" t="n">
        <v>200025888955</v>
      </c>
      <c r="G195" s="198" t="s">
        <v>672</v>
      </c>
      <c r="H195" s="163" t="s">
        <v>285</v>
      </c>
      <c r="I195" s="161" t="n">
        <v>32</v>
      </c>
      <c r="J195" s="156" t="s">
        <v>185</v>
      </c>
      <c r="K195" s="200" t="n">
        <v>45435.7351041667</v>
      </c>
      <c r="L195" s="3" t="n">
        <v>19</v>
      </c>
      <c r="M195" s="3" t="n">
        <v>19</v>
      </c>
      <c r="N195" s="1" t="n">
        <v>4</v>
      </c>
      <c r="O195" s="1" t="n">
        <v>2</v>
      </c>
    </row>
    <row r="196" customFormat="false" ht="14.25" hidden="false" customHeight="false" outlineLevel="0" collapsed="false">
      <c r="A196" s="1" t="n">
        <v>209</v>
      </c>
      <c r="B196" s="1" t="s">
        <v>621</v>
      </c>
      <c r="C196" s="1" t="s">
        <v>622</v>
      </c>
      <c r="D196" s="1" t="n">
        <v>11171</v>
      </c>
      <c r="E196" s="1" t="s">
        <v>55</v>
      </c>
      <c r="F196" s="201" t="n">
        <v>200025889392</v>
      </c>
      <c r="G196" s="198" t="s">
        <v>675</v>
      </c>
      <c r="H196" s="163" t="s">
        <v>354</v>
      </c>
      <c r="I196" s="161" t="n">
        <v>72</v>
      </c>
      <c r="J196" s="156" t="s">
        <v>185</v>
      </c>
      <c r="K196" s="200" t="n">
        <v>45435.6723148148</v>
      </c>
      <c r="L196" s="3" t="n">
        <v>20</v>
      </c>
      <c r="M196" s="3" t="n">
        <v>20</v>
      </c>
      <c r="N196" s="1" t="n">
        <v>1</v>
      </c>
      <c r="O196" s="1" t="n">
        <v>2</v>
      </c>
    </row>
    <row r="197" customFormat="false" ht="14.25" hidden="false" customHeight="false" outlineLevel="0" collapsed="false">
      <c r="A197" s="1" t="n">
        <v>163</v>
      </c>
      <c r="B197" s="1" t="s">
        <v>624</v>
      </c>
      <c r="C197" s="1" t="s">
        <v>625</v>
      </c>
      <c r="D197" s="1" t="n">
        <v>21261</v>
      </c>
      <c r="E197" s="1" t="s">
        <v>57</v>
      </c>
      <c r="F197" s="201" t="n">
        <v>200025888174</v>
      </c>
      <c r="G197" s="198" t="s">
        <v>676</v>
      </c>
      <c r="H197" s="163" t="s">
        <v>203</v>
      </c>
      <c r="I197" s="161" t="n">
        <v>45</v>
      </c>
      <c r="J197" s="156" t="s">
        <v>185</v>
      </c>
      <c r="K197" s="200" t="n">
        <v>45435.6732523148</v>
      </c>
      <c r="L197" s="3" t="n">
        <v>21</v>
      </c>
      <c r="M197" s="3" t="n">
        <v>21</v>
      </c>
      <c r="N197" s="1" t="n">
        <v>1</v>
      </c>
      <c r="O197" s="1" t="n">
        <v>0</v>
      </c>
    </row>
    <row r="198" customFormat="false" ht="14.25" hidden="false" customHeight="false" outlineLevel="0" collapsed="false">
      <c r="A198" s="1" t="n">
        <v>212</v>
      </c>
      <c r="B198" s="1" t="s">
        <v>621</v>
      </c>
      <c r="C198" s="1" t="s">
        <v>622</v>
      </c>
      <c r="D198" s="1" t="n">
        <v>11171</v>
      </c>
      <c r="E198" s="1" t="s">
        <v>55</v>
      </c>
      <c r="F198" s="201" t="n">
        <v>200025888174</v>
      </c>
      <c r="G198" s="198" t="s">
        <v>676</v>
      </c>
      <c r="H198" s="163" t="s">
        <v>203</v>
      </c>
      <c r="I198" s="161" t="n">
        <v>45</v>
      </c>
      <c r="J198" s="156" t="s">
        <v>185</v>
      </c>
      <c r="K198" s="200" t="n">
        <v>45435.6792939815</v>
      </c>
      <c r="L198" s="3" t="n">
        <v>21</v>
      </c>
      <c r="M198" s="3" t="n">
        <v>21</v>
      </c>
      <c r="N198" s="1" t="n">
        <v>2</v>
      </c>
      <c r="O198" s="1" t="n">
        <v>2</v>
      </c>
    </row>
    <row r="199" customFormat="false" ht="14.25" hidden="false" customHeight="false" outlineLevel="0" collapsed="false">
      <c r="A199" s="1" t="n">
        <v>213</v>
      </c>
      <c r="B199" s="1" t="s">
        <v>621</v>
      </c>
      <c r="C199" s="1" t="s">
        <v>622</v>
      </c>
      <c r="D199" s="1" t="n">
        <v>11171</v>
      </c>
      <c r="E199" s="1" t="s">
        <v>55</v>
      </c>
      <c r="F199" s="201" t="n">
        <v>200025888174</v>
      </c>
      <c r="G199" s="198" t="s">
        <v>676</v>
      </c>
      <c r="H199" s="163" t="s">
        <v>203</v>
      </c>
      <c r="I199" s="161" t="n">
        <v>45</v>
      </c>
      <c r="J199" s="156" t="s">
        <v>185</v>
      </c>
      <c r="K199" s="200" t="n">
        <v>45435.6807638889</v>
      </c>
      <c r="L199" s="3" t="n">
        <v>21</v>
      </c>
      <c r="M199" s="3" t="n">
        <v>21</v>
      </c>
      <c r="N199" s="1" t="n">
        <v>3</v>
      </c>
      <c r="O199" s="1" t="n">
        <v>0</v>
      </c>
    </row>
    <row r="200" customFormat="false" ht="14.25" hidden="false" customHeight="false" outlineLevel="0" collapsed="false">
      <c r="A200" s="1" t="n">
        <v>214</v>
      </c>
      <c r="B200" s="1" t="s">
        <v>621</v>
      </c>
      <c r="C200" s="1" t="s">
        <v>622</v>
      </c>
      <c r="D200" s="1" t="n">
        <v>11171</v>
      </c>
      <c r="E200" s="1" t="s">
        <v>55</v>
      </c>
      <c r="F200" s="201" t="n">
        <v>200025888174</v>
      </c>
      <c r="G200" s="198" t="s">
        <v>676</v>
      </c>
      <c r="H200" s="163" t="s">
        <v>203</v>
      </c>
      <c r="I200" s="161" t="n">
        <v>45</v>
      </c>
      <c r="J200" s="156" t="s">
        <v>185</v>
      </c>
      <c r="K200" s="200" t="n">
        <v>45435.680775463</v>
      </c>
      <c r="L200" s="3" t="n">
        <v>21</v>
      </c>
      <c r="M200" s="3" t="n">
        <v>21</v>
      </c>
      <c r="N200" s="1" t="n">
        <v>4</v>
      </c>
      <c r="O200" s="1" t="n">
        <v>1</v>
      </c>
    </row>
    <row r="201" customFormat="false" ht="14.25" hidden="false" customHeight="false" outlineLevel="0" collapsed="false">
      <c r="A201" s="1" t="n">
        <v>221</v>
      </c>
      <c r="B201" s="1" t="s">
        <v>621</v>
      </c>
      <c r="C201" s="1" t="s">
        <v>622</v>
      </c>
      <c r="D201" s="1" t="n">
        <v>11171</v>
      </c>
      <c r="E201" s="1" t="s">
        <v>55</v>
      </c>
      <c r="F201" s="201" t="n">
        <v>200025888174</v>
      </c>
      <c r="G201" s="198" t="s">
        <v>676</v>
      </c>
      <c r="H201" s="163" t="s">
        <v>203</v>
      </c>
      <c r="I201" s="161" t="n">
        <v>45</v>
      </c>
      <c r="J201" s="156" t="s">
        <v>185</v>
      </c>
      <c r="K201" s="200" t="n">
        <v>45435.7268055556</v>
      </c>
      <c r="L201" s="3" t="n">
        <v>21</v>
      </c>
      <c r="M201" s="3" t="n">
        <v>21</v>
      </c>
      <c r="N201" s="1" t="n">
        <v>5</v>
      </c>
      <c r="O201" s="1" t="n">
        <v>5</v>
      </c>
    </row>
    <row r="202" customFormat="false" ht="14.25" hidden="false" customHeight="false" outlineLevel="0" collapsed="false">
      <c r="A202" s="1" t="n">
        <v>164</v>
      </c>
      <c r="B202" s="1" t="s">
        <v>624</v>
      </c>
      <c r="C202" s="1" t="s">
        <v>625</v>
      </c>
      <c r="D202" s="1" t="n">
        <v>21261</v>
      </c>
      <c r="E202" s="1" t="s">
        <v>57</v>
      </c>
      <c r="F202" s="201" t="n">
        <v>200025888174</v>
      </c>
      <c r="G202" s="198" t="s">
        <v>676</v>
      </c>
      <c r="H202" s="163" t="s">
        <v>203</v>
      </c>
      <c r="I202" s="161" t="n">
        <v>45</v>
      </c>
      <c r="J202" s="156" t="s">
        <v>185</v>
      </c>
      <c r="K202" s="200" t="n">
        <v>45435.8660532407</v>
      </c>
      <c r="L202" s="3" t="n">
        <v>21</v>
      </c>
      <c r="M202" s="3" t="n">
        <v>21</v>
      </c>
      <c r="N202" s="1" t="n">
        <v>6</v>
      </c>
      <c r="O202" s="1" t="n">
        <v>1</v>
      </c>
    </row>
    <row r="203" customFormat="false" ht="14.25" hidden="false" customHeight="false" outlineLevel="0" collapsed="false">
      <c r="A203" s="1" t="n">
        <v>165</v>
      </c>
      <c r="B203" s="1" t="s">
        <v>624</v>
      </c>
      <c r="C203" s="1" t="s">
        <v>625</v>
      </c>
      <c r="D203" s="1" t="n">
        <v>21261</v>
      </c>
      <c r="E203" s="1" t="s">
        <v>57</v>
      </c>
      <c r="F203" s="201" t="n">
        <v>200025888174</v>
      </c>
      <c r="G203" s="198" t="s">
        <v>676</v>
      </c>
      <c r="H203" s="163" t="s">
        <v>203</v>
      </c>
      <c r="I203" s="161" t="n">
        <v>45</v>
      </c>
      <c r="J203" s="156" t="s">
        <v>185</v>
      </c>
      <c r="K203" s="200" t="n">
        <v>45435.8660648148</v>
      </c>
      <c r="L203" s="3" t="n">
        <v>21</v>
      </c>
      <c r="M203" s="3" t="n">
        <v>21</v>
      </c>
      <c r="N203" s="1" t="n">
        <v>7</v>
      </c>
      <c r="O203" s="1" t="n">
        <v>0</v>
      </c>
    </row>
    <row r="204" customFormat="false" ht="14.25" hidden="false" customHeight="false" outlineLevel="0" collapsed="false">
      <c r="A204" s="1" t="n">
        <v>168</v>
      </c>
      <c r="B204" s="1" t="s">
        <v>624</v>
      </c>
      <c r="C204" s="1" t="s">
        <v>625</v>
      </c>
      <c r="D204" s="1" t="n">
        <v>21261</v>
      </c>
      <c r="E204" s="1" t="s">
        <v>57</v>
      </c>
      <c r="F204" s="201" t="n">
        <v>200025888174</v>
      </c>
      <c r="G204" s="198" t="s">
        <v>676</v>
      </c>
      <c r="H204" s="163" t="s">
        <v>203</v>
      </c>
      <c r="I204" s="161" t="n">
        <v>45</v>
      </c>
      <c r="J204" s="156" t="s">
        <v>185</v>
      </c>
      <c r="K204" s="200" t="n">
        <v>45435.8885069444</v>
      </c>
      <c r="L204" s="3" t="n">
        <v>21</v>
      </c>
      <c r="M204" s="3" t="n">
        <v>21</v>
      </c>
      <c r="N204" s="1" t="n">
        <v>8</v>
      </c>
      <c r="O204" s="1" t="n">
        <v>0</v>
      </c>
    </row>
    <row r="205" customFormat="false" ht="14.25" hidden="false" customHeight="false" outlineLevel="0" collapsed="false">
      <c r="A205" s="1" t="n">
        <v>12</v>
      </c>
      <c r="B205" s="1" t="s">
        <v>684</v>
      </c>
      <c r="C205" s="1" t="s">
        <v>685</v>
      </c>
      <c r="D205" s="1" t="n">
        <v>21296</v>
      </c>
      <c r="E205" s="1" t="s">
        <v>57</v>
      </c>
      <c r="F205" s="201" t="n">
        <v>200025888174</v>
      </c>
      <c r="G205" s="198" t="s">
        <v>676</v>
      </c>
      <c r="H205" s="163" t="s">
        <v>203</v>
      </c>
      <c r="I205" s="161" t="n">
        <v>45</v>
      </c>
      <c r="J205" s="156" t="s">
        <v>185</v>
      </c>
      <c r="K205" s="200" t="n">
        <v>45448.7446296296</v>
      </c>
      <c r="L205" s="3" t="n">
        <v>21</v>
      </c>
      <c r="M205" s="3" t="n">
        <v>21</v>
      </c>
      <c r="N205" s="1" t="n">
        <v>9</v>
      </c>
      <c r="O205" s="1" t="n">
        <v>1</v>
      </c>
    </row>
    <row r="206" customFormat="false" ht="14.25" hidden="false" customHeight="false" outlineLevel="0" collapsed="false">
      <c r="A206" s="1" t="n">
        <v>13</v>
      </c>
      <c r="B206" s="1" t="s">
        <v>684</v>
      </c>
      <c r="C206" s="1" t="s">
        <v>685</v>
      </c>
      <c r="D206" s="1" t="n">
        <v>21296</v>
      </c>
      <c r="E206" s="1" t="s">
        <v>57</v>
      </c>
      <c r="F206" s="201" t="n">
        <v>200025888174</v>
      </c>
      <c r="G206" s="198" t="s">
        <v>676</v>
      </c>
      <c r="H206" s="163" t="s">
        <v>203</v>
      </c>
      <c r="I206" s="161" t="n">
        <v>45</v>
      </c>
      <c r="J206" s="156" t="s">
        <v>185</v>
      </c>
      <c r="K206" s="200" t="n">
        <v>45448.7446412037</v>
      </c>
      <c r="L206" s="3" t="n">
        <v>21</v>
      </c>
      <c r="M206" s="3" t="n">
        <v>21</v>
      </c>
      <c r="N206" s="1" t="n">
        <v>10</v>
      </c>
      <c r="O206" s="10" t="n">
        <v>4054</v>
      </c>
    </row>
    <row r="207" customFormat="false" ht="14.25" hidden="false" customHeight="false" outlineLevel="0" collapsed="false">
      <c r="A207" s="1" t="n">
        <v>293</v>
      </c>
      <c r="B207" s="1" t="s">
        <v>565</v>
      </c>
      <c r="C207" s="1" t="s">
        <v>566</v>
      </c>
      <c r="D207" s="1" t="n">
        <v>11197</v>
      </c>
      <c r="E207" s="1" t="s">
        <v>53</v>
      </c>
      <c r="F207" s="198" t="n">
        <v>200025888174</v>
      </c>
      <c r="G207" s="198" t="s">
        <v>676</v>
      </c>
      <c r="H207" s="163" t="s">
        <v>203</v>
      </c>
      <c r="I207" s="161" t="n">
        <v>45</v>
      </c>
      <c r="J207" s="156" t="s">
        <v>185</v>
      </c>
      <c r="K207" s="199" t="n">
        <v>45456.4585532407</v>
      </c>
      <c r="L207" s="3" t="n">
        <v>21</v>
      </c>
      <c r="M207" s="3" t="n">
        <v>21</v>
      </c>
      <c r="N207" s="1" t="n">
        <v>11</v>
      </c>
      <c r="O207" s="1" t="n">
        <v>1</v>
      </c>
    </row>
    <row r="208" customFormat="false" ht="14.25" hidden="false" customHeight="false" outlineLevel="0" collapsed="false">
      <c r="A208" s="1" t="n">
        <v>294</v>
      </c>
      <c r="B208" s="1" t="s">
        <v>565</v>
      </c>
      <c r="C208" s="1" t="s">
        <v>566</v>
      </c>
      <c r="D208" s="1" t="n">
        <v>11197</v>
      </c>
      <c r="E208" s="1" t="s">
        <v>53</v>
      </c>
      <c r="F208" s="198" t="n">
        <v>200025888174</v>
      </c>
      <c r="G208" s="198" t="s">
        <v>676</v>
      </c>
      <c r="H208" s="163" t="s">
        <v>203</v>
      </c>
      <c r="I208" s="161" t="n">
        <v>45</v>
      </c>
      <c r="J208" s="156" t="s">
        <v>185</v>
      </c>
      <c r="K208" s="199" t="n">
        <v>45456.4585763889</v>
      </c>
      <c r="L208" s="3" t="n">
        <v>21</v>
      </c>
      <c r="M208" s="3" t="n">
        <v>21</v>
      </c>
      <c r="N208" s="1" t="n">
        <v>12</v>
      </c>
      <c r="O208" s="1" t="n">
        <v>0</v>
      </c>
    </row>
    <row r="209" customFormat="false" ht="14.25" hidden="false" customHeight="false" outlineLevel="0" collapsed="false">
      <c r="A209" s="1" t="n">
        <v>217</v>
      </c>
      <c r="B209" s="1" t="s">
        <v>621</v>
      </c>
      <c r="C209" s="1" t="s">
        <v>622</v>
      </c>
      <c r="D209" s="1" t="n">
        <v>11171</v>
      </c>
      <c r="E209" s="1" t="s">
        <v>55</v>
      </c>
      <c r="F209" s="201" t="n">
        <v>200025889262</v>
      </c>
      <c r="G209" s="198" t="s">
        <v>677</v>
      </c>
      <c r="H209" s="163" t="s">
        <v>375</v>
      </c>
      <c r="I209" s="161" t="n">
        <v>90</v>
      </c>
      <c r="J209" s="156" t="s">
        <v>185</v>
      </c>
      <c r="K209" s="200" t="n">
        <v>45435.6844560185</v>
      </c>
      <c r="L209" s="3" t="n">
        <v>22</v>
      </c>
      <c r="M209" s="3" t="n">
        <v>22</v>
      </c>
      <c r="N209" s="1" t="n">
        <v>1</v>
      </c>
      <c r="O209" s="1" t="n">
        <v>1</v>
      </c>
    </row>
    <row r="210" customFormat="false" ht="14.25" hidden="false" customHeight="false" outlineLevel="0" collapsed="false">
      <c r="A210" s="1" t="n">
        <v>220</v>
      </c>
      <c r="B210" s="1" t="s">
        <v>621</v>
      </c>
      <c r="C210" s="1" t="s">
        <v>622</v>
      </c>
      <c r="D210" s="1" t="n">
        <v>11171</v>
      </c>
      <c r="E210" s="1" t="s">
        <v>55</v>
      </c>
      <c r="F210" s="201" t="n">
        <v>200025889217</v>
      </c>
      <c r="G210" s="198" t="s">
        <v>678</v>
      </c>
      <c r="H210" s="163" t="s">
        <v>315</v>
      </c>
      <c r="I210" s="161" t="n">
        <v>49</v>
      </c>
      <c r="J210" s="156" t="s">
        <v>185</v>
      </c>
      <c r="K210" s="200" t="n">
        <v>45435.7118402778</v>
      </c>
      <c r="L210" s="3" t="n">
        <v>23</v>
      </c>
      <c r="M210" s="3" t="n">
        <v>23</v>
      </c>
      <c r="N210" s="1" t="n">
        <v>1</v>
      </c>
      <c r="O210" s="1" t="n">
        <v>1</v>
      </c>
    </row>
    <row r="211" customFormat="false" ht="14.25" hidden="false" customHeight="false" outlineLevel="0" collapsed="false">
      <c r="A211" s="1" t="n">
        <v>223</v>
      </c>
      <c r="B211" s="1" t="s">
        <v>621</v>
      </c>
      <c r="C211" s="1" t="s">
        <v>622</v>
      </c>
      <c r="D211" s="1" t="n">
        <v>11171</v>
      </c>
      <c r="E211" s="1" t="s">
        <v>55</v>
      </c>
      <c r="F211" s="201" t="n">
        <v>200025888910</v>
      </c>
      <c r="G211" s="198" t="s">
        <v>635</v>
      </c>
      <c r="H211" s="163" t="s">
        <v>418</v>
      </c>
      <c r="I211" s="161" t="n">
        <v>109</v>
      </c>
      <c r="J211" s="156" t="s">
        <v>185</v>
      </c>
      <c r="K211" s="200" t="n">
        <v>45435.7329166667</v>
      </c>
      <c r="L211" s="3" t="n">
        <v>24</v>
      </c>
      <c r="M211" s="3" t="n">
        <v>24</v>
      </c>
      <c r="N211" s="1" t="n">
        <v>1</v>
      </c>
      <c r="O211" s="1" t="n">
        <v>2</v>
      </c>
    </row>
    <row r="212" customFormat="false" ht="14.25" hidden="false" customHeight="false" outlineLevel="0" collapsed="false">
      <c r="A212" s="1" t="n">
        <v>166</v>
      </c>
      <c r="B212" s="1" t="s">
        <v>624</v>
      </c>
      <c r="C212" s="1" t="s">
        <v>625</v>
      </c>
      <c r="D212" s="1" t="n">
        <v>21261</v>
      </c>
      <c r="E212" s="1" t="s">
        <v>57</v>
      </c>
      <c r="F212" s="201" t="n">
        <v>200025888910</v>
      </c>
      <c r="G212" s="198" t="s">
        <v>635</v>
      </c>
      <c r="H212" s="163" t="s">
        <v>418</v>
      </c>
      <c r="I212" s="161" t="n">
        <v>109</v>
      </c>
      <c r="J212" s="156" t="s">
        <v>185</v>
      </c>
      <c r="K212" s="200" t="n">
        <v>45435.8751736111</v>
      </c>
      <c r="L212" s="3" t="n">
        <v>24</v>
      </c>
      <c r="M212" s="3" t="n">
        <v>24</v>
      </c>
      <c r="N212" s="1" t="n">
        <v>2</v>
      </c>
      <c r="O212" s="1" t="n">
        <v>1</v>
      </c>
    </row>
    <row r="213" customFormat="false" ht="14.25" hidden="false" customHeight="false" outlineLevel="0" collapsed="false">
      <c r="A213" s="1" t="n">
        <v>64</v>
      </c>
      <c r="B213" s="1" t="s">
        <v>624</v>
      </c>
      <c r="C213" s="1" t="s">
        <v>625</v>
      </c>
      <c r="D213" s="196" t="n">
        <v>2568</v>
      </c>
      <c r="E213" s="196" t="s">
        <v>51</v>
      </c>
      <c r="F213" s="201" t="n">
        <v>200025888910</v>
      </c>
      <c r="G213" s="198" t="s">
        <v>635</v>
      </c>
      <c r="H213" s="163" t="s">
        <v>418</v>
      </c>
      <c r="I213" s="161" t="n">
        <v>109</v>
      </c>
      <c r="J213" s="156" t="s">
        <v>185</v>
      </c>
      <c r="K213" s="200" t="n">
        <v>45453.1711574074</v>
      </c>
      <c r="L213" s="3" t="n">
        <v>24</v>
      </c>
      <c r="M213" s="3" t="n">
        <v>24</v>
      </c>
      <c r="N213" s="1" t="n">
        <v>3</v>
      </c>
      <c r="O213" s="1" t="n">
        <v>0</v>
      </c>
    </row>
    <row r="214" customFormat="false" ht="14.25" hidden="false" customHeight="false" outlineLevel="0" collapsed="false">
      <c r="A214" s="1" t="n">
        <v>52</v>
      </c>
      <c r="B214" s="1" t="s">
        <v>637</v>
      </c>
      <c r="C214" s="1" t="s">
        <v>638</v>
      </c>
      <c r="D214" s="1" t="n">
        <v>21296</v>
      </c>
      <c r="E214" s="1" t="s">
        <v>57</v>
      </c>
      <c r="F214" s="198" t="n">
        <v>200025888910</v>
      </c>
      <c r="G214" s="198" t="s">
        <v>635</v>
      </c>
      <c r="H214" s="163" t="s">
        <v>418</v>
      </c>
      <c r="I214" s="161" t="n">
        <v>109</v>
      </c>
      <c r="J214" s="156" t="s">
        <v>185</v>
      </c>
      <c r="K214" s="200" t="n">
        <v>45453.2733449074</v>
      </c>
      <c r="L214" s="3" t="n">
        <v>24</v>
      </c>
      <c r="M214" s="3" t="n">
        <v>24</v>
      </c>
      <c r="N214" s="1" t="n">
        <v>4</v>
      </c>
      <c r="O214" s="1" t="n">
        <v>0</v>
      </c>
    </row>
    <row r="215" customFormat="false" ht="14.25" hidden="false" customHeight="false" outlineLevel="0" collapsed="false">
      <c r="A215" s="1" t="n">
        <v>53</v>
      </c>
      <c r="B215" s="1" t="s">
        <v>637</v>
      </c>
      <c r="C215" s="1" t="s">
        <v>638</v>
      </c>
      <c r="D215" s="1" t="n">
        <v>21296</v>
      </c>
      <c r="E215" s="1" t="s">
        <v>57</v>
      </c>
      <c r="F215" s="198" t="n">
        <v>200025888910</v>
      </c>
      <c r="G215" s="198" t="s">
        <v>635</v>
      </c>
      <c r="H215" s="163" t="s">
        <v>418</v>
      </c>
      <c r="I215" s="161" t="n">
        <v>109</v>
      </c>
      <c r="J215" s="156" t="s">
        <v>185</v>
      </c>
      <c r="K215" s="200" t="n">
        <v>45453.2743518519</v>
      </c>
      <c r="L215" s="3" t="n">
        <v>24</v>
      </c>
      <c r="M215" s="3" t="n">
        <v>24</v>
      </c>
      <c r="N215" s="1" t="n">
        <v>5</v>
      </c>
      <c r="O215" s="1" t="n">
        <v>17</v>
      </c>
    </row>
    <row r="216" customFormat="false" ht="14.25" hidden="false" customHeight="false" outlineLevel="0" collapsed="false">
      <c r="A216" s="1" t="n">
        <v>54</v>
      </c>
      <c r="B216" s="1" t="s">
        <v>637</v>
      </c>
      <c r="C216" s="1" t="s">
        <v>638</v>
      </c>
      <c r="D216" s="1" t="n">
        <v>21296</v>
      </c>
      <c r="E216" s="1" t="s">
        <v>57</v>
      </c>
      <c r="F216" s="198" t="n">
        <v>200025888910</v>
      </c>
      <c r="G216" s="198" t="s">
        <v>635</v>
      </c>
      <c r="H216" s="163" t="s">
        <v>418</v>
      </c>
      <c r="I216" s="161" t="n">
        <v>109</v>
      </c>
      <c r="J216" s="156" t="s">
        <v>185</v>
      </c>
      <c r="K216" s="200" t="n">
        <v>45453.2745486111</v>
      </c>
      <c r="L216" s="3" t="n">
        <v>24</v>
      </c>
      <c r="M216" s="3" t="n">
        <v>24</v>
      </c>
      <c r="N216" s="1" t="n">
        <v>6</v>
      </c>
      <c r="O216" s="1" t="n">
        <v>0</v>
      </c>
    </row>
    <row r="217" customFormat="false" ht="14.25" hidden="false" customHeight="false" outlineLevel="0" collapsed="false">
      <c r="A217" s="1" t="n">
        <v>55</v>
      </c>
      <c r="B217" s="1" t="s">
        <v>637</v>
      </c>
      <c r="C217" s="1" t="s">
        <v>638</v>
      </c>
      <c r="D217" s="1" t="n">
        <v>21296</v>
      </c>
      <c r="E217" s="1" t="s">
        <v>57</v>
      </c>
      <c r="F217" s="198" t="n">
        <v>200025888910</v>
      </c>
      <c r="G217" s="198" t="s">
        <v>635</v>
      </c>
      <c r="H217" s="163" t="s">
        <v>418</v>
      </c>
      <c r="I217" s="161" t="n">
        <v>109</v>
      </c>
      <c r="J217" s="156" t="s">
        <v>185</v>
      </c>
      <c r="K217" s="200" t="n">
        <v>45453.3159606482</v>
      </c>
      <c r="L217" s="3" t="n">
        <v>24</v>
      </c>
      <c r="M217" s="3" t="n">
        <v>24</v>
      </c>
      <c r="N217" s="1" t="n">
        <v>7</v>
      </c>
      <c r="O217" s="1" t="n">
        <v>1</v>
      </c>
    </row>
    <row r="218" customFormat="false" ht="14.25" hidden="false" customHeight="false" outlineLevel="0" collapsed="false">
      <c r="A218" s="1" t="n">
        <v>56</v>
      </c>
      <c r="B218" s="1" t="s">
        <v>637</v>
      </c>
      <c r="C218" s="1" t="s">
        <v>638</v>
      </c>
      <c r="D218" s="1" t="n">
        <v>21296</v>
      </c>
      <c r="E218" s="1" t="s">
        <v>57</v>
      </c>
      <c r="F218" s="198" t="n">
        <v>200025888910</v>
      </c>
      <c r="G218" s="198" t="s">
        <v>635</v>
      </c>
      <c r="H218" s="163" t="s">
        <v>418</v>
      </c>
      <c r="I218" s="161" t="n">
        <v>109</v>
      </c>
      <c r="J218" s="156" t="s">
        <v>185</v>
      </c>
      <c r="K218" s="200" t="n">
        <v>45453.4523726852</v>
      </c>
      <c r="L218" s="3" t="n">
        <v>24</v>
      </c>
      <c r="M218" s="3" t="n">
        <v>24</v>
      </c>
      <c r="N218" s="1" t="n">
        <v>8</v>
      </c>
      <c r="O218" s="10" t="n">
        <v>77</v>
      </c>
    </row>
    <row r="219" customFormat="false" ht="14.25" hidden="false" customHeight="false" outlineLevel="0" collapsed="false">
      <c r="A219" s="1" t="n">
        <v>57</v>
      </c>
      <c r="B219" s="1" t="s">
        <v>637</v>
      </c>
      <c r="C219" s="1" t="s">
        <v>638</v>
      </c>
      <c r="D219" s="1" t="n">
        <v>21296</v>
      </c>
      <c r="E219" s="1" t="s">
        <v>57</v>
      </c>
      <c r="F219" s="198" t="n">
        <v>200025888910</v>
      </c>
      <c r="G219" s="198" t="s">
        <v>635</v>
      </c>
      <c r="H219" s="163" t="s">
        <v>418</v>
      </c>
      <c r="I219" s="161" t="n">
        <v>109</v>
      </c>
      <c r="J219" s="156" t="s">
        <v>185</v>
      </c>
      <c r="K219" s="200" t="n">
        <v>45453.4536226852</v>
      </c>
      <c r="L219" s="3" t="n">
        <v>24</v>
      </c>
      <c r="M219" s="3" t="n">
        <v>24</v>
      </c>
      <c r="N219" s="1" t="n">
        <v>9</v>
      </c>
      <c r="O219" s="10" t="n">
        <v>6702</v>
      </c>
    </row>
    <row r="220" customFormat="false" ht="14.25" hidden="false" customHeight="false" outlineLevel="0" collapsed="false">
      <c r="A220" s="1" t="n">
        <v>58</v>
      </c>
      <c r="B220" s="1" t="s">
        <v>637</v>
      </c>
      <c r="C220" s="1" t="s">
        <v>638</v>
      </c>
      <c r="D220" s="1" t="n">
        <v>21296</v>
      </c>
      <c r="E220" s="1" t="s">
        <v>57</v>
      </c>
      <c r="F220" s="198" t="n">
        <v>200025888910</v>
      </c>
      <c r="G220" s="198" t="s">
        <v>635</v>
      </c>
      <c r="H220" s="163" t="s">
        <v>418</v>
      </c>
      <c r="I220" s="161" t="n">
        <v>109</v>
      </c>
      <c r="J220" s="156" t="s">
        <v>185</v>
      </c>
      <c r="K220" s="200" t="n">
        <v>45453.602349537</v>
      </c>
      <c r="L220" s="3" t="n">
        <v>24</v>
      </c>
      <c r="M220" s="3" t="n">
        <v>24</v>
      </c>
      <c r="N220" s="1" t="n">
        <v>10</v>
      </c>
      <c r="O220" s="1" t="n">
        <v>1</v>
      </c>
    </row>
    <row r="221" customFormat="false" ht="14.25" hidden="false" customHeight="false" outlineLevel="0" collapsed="false">
      <c r="A221" s="1" t="n">
        <v>272</v>
      </c>
      <c r="B221" s="1" t="s">
        <v>702</v>
      </c>
      <c r="C221" s="1" t="s">
        <v>703</v>
      </c>
      <c r="D221" s="1" t="n">
        <v>11197</v>
      </c>
      <c r="E221" s="1" t="s">
        <v>53</v>
      </c>
      <c r="F221" s="201" t="n">
        <v>200025888910</v>
      </c>
      <c r="G221" s="198" t="s">
        <v>635</v>
      </c>
      <c r="H221" s="163" t="s">
        <v>418</v>
      </c>
      <c r="I221" s="161" t="n">
        <v>109</v>
      </c>
      <c r="J221" s="156" t="s">
        <v>185</v>
      </c>
      <c r="K221" s="200" t="n">
        <v>45453.6356481482</v>
      </c>
      <c r="L221" s="3" t="n">
        <v>24</v>
      </c>
      <c r="M221" s="3" t="n">
        <v>24</v>
      </c>
      <c r="N221" s="1" t="n">
        <v>11</v>
      </c>
      <c r="O221" s="1" t="n">
        <v>1</v>
      </c>
    </row>
    <row r="222" customFormat="false" ht="14.25" hidden="false" customHeight="false" outlineLevel="0" collapsed="false">
      <c r="A222" s="1" t="n">
        <v>273</v>
      </c>
      <c r="B222" s="1" t="s">
        <v>702</v>
      </c>
      <c r="C222" s="1" t="s">
        <v>703</v>
      </c>
      <c r="D222" s="1" t="n">
        <v>11197</v>
      </c>
      <c r="E222" s="1" t="s">
        <v>53</v>
      </c>
      <c r="F222" s="201" t="n">
        <v>200025888910</v>
      </c>
      <c r="G222" s="198" t="s">
        <v>635</v>
      </c>
      <c r="H222" s="163" t="s">
        <v>418</v>
      </c>
      <c r="I222" s="161" t="n">
        <v>109</v>
      </c>
      <c r="J222" s="156" t="s">
        <v>185</v>
      </c>
      <c r="K222" s="200" t="n">
        <v>45453.637037037</v>
      </c>
      <c r="L222" s="3" t="n">
        <v>24</v>
      </c>
      <c r="M222" s="3" t="n">
        <v>24</v>
      </c>
      <c r="N222" s="1" t="n">
        <v>12</v>
      </c>
      <c r="O222" s="1" t="n">
        <v>1</v>
      </c>
    </row>
    <row r="223" customFormat="false" ht="14.25" hidden="false" customHeight="false" outlineLevel="0" collapsed="false">
      <c r="A223" s="1" t="n">
        <v>274</v>
      </c>
      <c r="B223" s="1" t="s">
        <v>702</v>
      </c>
      <c r="C223" s="1" t="s">
        <v>703</v>
      </c>
      <c r="D223" s="1" t="n">
        <v>11197</v>
      </c>
      <c r="E223" s="1" t="s">
        <v>53</v>
      </c>
      <c r="F223" s="201" t="n">
        <v>200025888910</v>
      </c>
      <c r="G223" s="198" t="s">
        <v>635</v>
      </c>
      <c r="H223" s="163" t="s">
        <v>418</v>
      </c>
      <c r="I223" s="161" t="n">
        <v>109</v>
      </c>
      <c r="J223" s="156" t="s">
        <v>185</v>
      </c>
      <c r="K223" s="200" t="n">
        <v>45453.6373032407</v>
      </c>
      <c r="L223" s="3" t="n">
        <v>24</v>
      </c>
      <c r="M223" s="3" t="n">
        <v>24</v>
      </c>
      <c r="N223" s="1" t="n">
        <v>13</v>
      </c>
      <c r="O223" s="1" t="n">
        <v>1</v>
      </c>
    </row>
    <row r="224" customFormat="false" ht="14.25" hidden="false" customHeight="false" outlineLevel="0" collapsed="false">
      <c r="A224" s="1" t="n">
        <v>275</v>
      </c>
      <c r="B224" s="1" t="s">
        <v>702</v>
      </c>
      <c r="C224" s="1" t="s">
        <v>703</v>
      </c>
      <c r="D224" s="1" t="n">
        <v>11197</v>
      </c>
      <c r="E224" s="1" t="s">
        <v>53</v>
      </c>
      <c r="F224" s="201" t="n">
        <v>200025888910</v>
      </c>
      <c r="G224" s="198" t="s">
        <v>635</v>
      </c>
      <c r="H224" s="163" t="s">
        <v>418</v>
      </c>
      <c r="I224" s="161" t="n">
        <v>109</v>
      </c>
      <c r="J224" s="156" t="s">
        <v>185</v>
      </c>
      <c r="K224" s="200" t="n">
        <v>45453.6383217593</v>
      </c>
      <c r="L224" s="3" t="n">
        <v>24</v>
      </c>
      <c r="M224" s="3" t="n">
        <v>24</v>
      </c>
      <c r="N224" s="1" t="n">
        <v>14</v>
      </c>
      <c r="O224" s="1" t="n">
        <v>1</v>
      </c>
    </row>
    <row r="225" customFormat="false" ht="14.25" hidden="false" customHeight="false" outlineLevel="0" collapsed="false">
      <c r="A225" s="1" t="n">
        <v>276</v>
      </c>
      <c r="B225" s="1" t="s">
        <v>702</v>
      </c>
      <c r="C225" s="1" t="s">
        <v>703</v>
      </c>
      <c r="D225" s="1" t="n">
        <v>11197</v>
      </c>
      <c r="E225" s="1" t="s">
        <v>53</v>
      </c>
      <c r="F225" s="201" t="n">
        <v>200025888910</v>
      </c>
      <c r="G225" s="198" t="s">
        <v>635</v>
      </c>
      <c r="H225" s="163" t="s">
        <v>418</v>
      </c>
      <c r="I225" s="161" t="n">
        <v>109</v>
      </c>
      <c r="J225" s="156" t="s">
        <v>185</v>
      </c>
      <c r="K225" s="200" t="n">
        <v>45453.6383449074</v>
      </c>
      <c r="L225" s="3" t="n">
        <v>24</v>
      </c>
      <c r="M225" s="3" t="n">
        <v>24</v>
      </c>
      <c r="N225" s="1" t="n">
        <v>15</v>
      </c>
      <c r="O225" s="207" t="n">
        <v>54</v>
      </c>
    </row>
    <row r="226" customFormat="false" ht="14.25" hidden="false" customHeight="false" outlineLevel="0" collapsed="false">
      <c r="A226" s="1" t="n">
        <v>279</v>
      </c>
      <c r="B226" s="1" t="s">
        <v>702</v>
      </c>
      <c r="C226" s="1" t="s">
        <v>703</v>
      </c>
      <c r="D226" s="1" t="n">
        <v>11197</v>
      </c>
      <c r="E226" s="1" t="s">
        <v>53</v>
      </c>
      <c r="F226" s="201" t="n">
        <v>200025888910</v>
      </c>
      <c r="G226" s="198" t="s">
        <v>635</v>
      </c>
      <c r="H226" s="163" t="s">
        <v>418</v>
      </c>
      <c r="I226" s="161" t="n">
        <v>109</v>
      </c>
      <c r="J226" s="156" t="s">
        <v>185</v>
      </c>
      <c r="K226" s="200" t="n">
        <v>45453.6561342593</v>
      </c>
      <c r="L226" s="3" t="n">
        <v>24</v>
      </c>
      <c r="M226" s="3" t="n">
        <v>24</v>
      </c>
      <c r="N226" s="1" t="n">
        <v>16</v>
      </c>
      <c r="O226" s="1" t="n">
        <v>0</v>
      </c>
    </row>
    <row r="227" customFormat="false" ht="14.25" hidden="false" customHeight="false" outlineLevel="0" collapsed="false">
      <c r="A227" s="1" t="n">
        <v>280</v>
      </c>
      <c r="B227" s="1" t="s">
        <v>702</v>
      </c>
      <c r="C227" s="1" t="s">
        <v>703</v>
      </c>
      <c r="D227" s="1" t="n">
        <v>11197</v>
      </c>
      <c r="E227" s="1" t="s">
        <v>53</v>
      </c>
      <c r="F227" s="201" t="n">
        <v>200025888910</v>
      </c>
      <c r="G227" s="198" t="s">
        <v>635</v>
      </c>
      <c r="H227" s="163" t="s">
        <v>418</v>
      </c>
      <c r="I227" s="161" t="n">
        <v>109</v>
      </c>
      <c r="J227" s="156" t="s">
        <v>185</v>
      </c>
      <c r="K227" s="200" t="n">
        <v>45453.6572222222</v>
      </c>
      <c r="L227" s="3" t="n">
        <v>24</v>
      </c>
      <c r="M227" s="3" t="n">
        <v>24</v>
      </c>
      <c r="N227" s="1" t="n">
        <v>17</v>
      </c>
      <c r="O227" s="1" t="n">
        <v>2</v>
      </c>
    </row>
    <row r="228" customFormat="false" ht="14.25" hidden="false" customHeight="false" outlineLevel="0" collapsed="false">
      <c r="A228" s="1" t="n">
        <v>281</v>
      </c>
      <c r="B228" s="1" t="s">
        <v>702</v>
      </c>
      <c r="C228" s="1" t="s">
        <v>703</v>
      </c>
      <c r="D228" s="1" t="n">
        <v>11197</v>
      </c>
      <c r="E228" s="1" t="s">
        <v>53</v>
      </c>
      <c r="F228" s="201" t="n">
        <v>200025888910</v>
      </c>
      <c r="G228" s="198" t="s">
        <v>635</v>
      </c>
      <c r="H228" s="163" t="s">
        <v>418</v>
      </c>
      <c r="I228" s="161" t="n">
        <v>109</v>
      </c>
      <c r="J228" s="156" t="s">
        <v>185</v>
      </c>
      <c r="K228" s="200" t="n">
        <v>45453.6577430556</v>
      </c>
      <c r="L228" s="3" t="n">
        <v>24</v>
      </c>
      <c r="M228" s="3" t="n">
        <v>24</v>
      </c>
      <c r="N228" s="1" t="n">
        <v>18</v>
      </c>
      <c r="O228" s="1" t="n">
        <v>0</v>
      </c>
    </row>
    <row r="229" customFormat="false" ht="14.25" hidden="false" customHeight="false" outlineLevel="0" collapsed="false">
      <c r="A229" s="1" t="n">
        <v>282</v>
      </c>
      <c r="B229" s="1" t="s">
        <v>702</v>
      </c>
      <c r="C229" s="1" t="s">
        <v>703</v>
      </c>
      <c r="D229" s="1" t="n">
        <v>11197</v>
      </c>
      <c r="E229" s="1" t="s">
        <v>53</v>
      </c>
      <c r="F229" s="201" t="n">
        <v>200025888910</v>
      </c>
      <c r="G229" s="198" t="s">
        <v>635</v>
      </c>
      <c r="H229" s="163" t="s">
        <v>418</v>
      </c>
      <c r="I229" s="161" t="n">
        <v>109</v>
      </c>
      <c r="J229" s="156" t="s">
        <v>185</v>
      </c>
      <c r="K229" s="200" t="n">
        <v>45453.6577430556</v>
      </c>
      <c r="L229" s="3" t="n">
        <v>24</v>
      </c>
      <c r="M229" s="3" t="n">
        <v>24</v>
      </c>
      <c r="N229" s="1" t="n">
        <v>19</v>
      </c>
      <c r="O229" s="1" t="n">
        <v>1</v>
      </c>
    </row>
    <row r="230" customFormat="false" ht="14.25" hidden="false" customHeight="false" outlineLevel="0" collapsed="false">
      <c r="A230" s="1" t="n">
        <v>29</v>
      </c>
      <c r="B230" s="1" t="s">
        <v>684</v>
      </c>
      <c r="C230" s="1" t="s">
        <v>685</v>
      </c>
      <c r="D230" s="1" t="n">
        <v>21296</v>
      </c>
      <c r="E230" s="1" t="s">
        <v>57</v>
      </c>
      <c r="F230" s="201" t="n">
        <v>200025889791</v>
      </c>
      <c r="G230" s="198" t="s">
        <v>635</v>
      </c>
      <c r="H230" s="163" t="s">
        <v>418</v>
      </c>
      <c r="I230" s="161" t="n">
        <v>109</v>
      </c>
      <c r="J230" s="156" t="s">
        <v>185</v>
      </c>
      <c r="K230" s="200" t="n">
        <v>45453.6582638889</v>
      </c>
      <c r="L230" s="3" t="n">
        <v>24</v>
      </c>
      <c r="M230" s="3" t="n">
        <v>24</v>
      </c>
      <c r="N230" s="1" t="n">
        <v>20</v>
      </c>
      <c r="O230" s="1" t="n">
        <v>0</v>
      </c>
    </row>
    <row r="231" customFormat="false" ht="14.25" hidden="false" customHeight="false" outlineLevel="0" collapsed="false">
      <c r="A231" s="1" t="n">
        <v>284</v>
      </c>
      <c r="B231" s="1" t="s">
        <v>702</v>
      </c>
      <c r="C231" s="1" t="s">
        <v>703</v>
      </c>
      <c r="D231" s="1" t="n">
        <v>11197</v>
      </c>
      <c r="E231" s="1" t="s">
        <v>53</v>
      </c>
      <c r="F231" s="201" t="n">
        <v>200025888910</v>
      </c>
      <c r="G231" s="198" t="s">
        <v>635</v>
      </c>
      <c r="H231" s="163" t="s">
        <v>418</v>
      </c>
      <c r="I231" s="161" t="n">
        <v>109</v>
      </c>
      <c r="J231" s="156" t="s">
        <v>185</v>
      </c>
      <c r="K231" s="200" t="n">
        <v>45453.658275463</v>
      </c>
      <c r="L231" s="3" t="n">
        <v>24</v>
      </c>
      <c r="M231" s="3" t="n">
        <v>24</v>
      </c>
      <c r="N231" s="1" t="n">
        <v>21</v>
      </c>
      <c r="O231" s="1" t="n">
        <v>1</v>
      </c>
    </row>
    <row r="232" customFormat="false" ht="14.25" hidden="false" customHeight="false" outlineLevel="0" collapsed="false">
      <c r="A232" s="1" t="n">
        <v>285</v>
      </c>
      <c r="B232" s="1" t="s">
        <v>702</v>
      </c>
      <c r="C232" s="1" t="s">
        <v>703</v>
      </c>
      <c r="D232" s="1" t="n">
        <v>11197</v>
      </c>
      <c r="E232" s="1" t="s">
        <v>53</v>
      </c>
      <c r="F232" s="201" t="n">
        <v>200025888910</v>
      </c>
      <c r="G232" s="198" t="s">
        <v>635</v>
      </c>
      <c r="H232" s="163" t="s">
        <v>418</v>
      </c>
      <c r="I232" s="161" t="n">
        <v>109</v>
      </c>
      <c r="J232" s="156" t="s">
        <v>185</v>
      </c>
      <c r="K232" s="200" t="n">
        <v>45453.6586111111</v>
      </c>
      <c r="L232" s="3" t="n">
        <v>24</v>
      </c>
      <c r="M232" s="3" t="n">
        <v>24</v>
      </c>
      <c r="N232" s="1" t="n">
        <v>22</v>
      </c>
      <c r="O232" s="1" t="n">
        <v>0</v>
      </c>
    </row>
    <row r="233" customFormat="false" ht="14.25" hidden="false" customHeight="false" outlineLevel="0" collapsed="false">
      <c r="A233" s="1" t="n">
        <v>286</v>
      </c>
      <c r="B233" s="1" t="s">
        <v>702</v>
      </c>
      <c r="C233" s="1" t="s">
        <v>703</v>
      </c>
      <c r="D233" s="1" t="n">
        <v>11197</v>
      </c>
      <c r="E233" s="1" t="s">
        <v>53</v>
      </c>
      <c r="F233" s="201" t="n">
        <v>200025888910</v>
      </c>
      <c r="G233" s="198" t="s">
        <v>635</v>
      </c>
      <c r="H233" s="163" t="s">
        <v>418</v>
      </c>
      <c r="I233" s="161" t="n">
        <v>109</v>
      </c>
      <c r="J233" s="156" t="s">
        <v>185</v>
      </c>
      <c r="K233" s="200" t="n">
        <v>45453.6586226852</v>
      </c>
      <c r="L233" s="3" t="n">
        <v>24</v>
      </c>
      <c r="M233" s="3" t="n">
        <v>24</v>
      </c>
      <c r="N233" s="1" t="n">
        <v>23</v>
      </c>
      <c r="O233" s="1" t="n">
        <v>0</v>
      </c>
    </row>
    <row r="234" customFormat="false" ht="14.25" hidden="false" customHeight="false" outlineLevel="0" collapsed="false">
      <c r="A234" s="1" t="n">
        <v>287</v>
      </c>
      <c r="B234" s="1" t="s">
        <v>702</v>
      </c>
      <c r="C234" s="1" t="s">
        <v>703</v>
      </c>
      <c r="D234" s="1" t="n">
        <v>11197</v>
      </c>
      <c r="E234" s="1" t="s">
        <v>53</v>
      </c>
      <c r="F234" s="201" t="n">
        <v>200025888910</v>
      </c>
      <c r="G234" s="198" t="s">
        <v>635</v>
      </c>
      <c r="H234" s="163" t="s">
        <v>418</v>
      </c>
      <c r="I234" s="161" t="n">
        <v>109</v>
      </c>
      <c r="J234" s="156" t="s">
        <v>185</v>
      </c>
      <c r="K234" s="200" t="n">
        <v>45453.6597685185</v>
      </c>
      <c r="L234" s="3" t="n">
        <v>24</v>
      </c>
      <c r="M234" s="3" t="n">
        <v>24</v>
      </c>
      <c r="N234" s="1" t="n">
        <v>24</v>
      </c>
      <c r="O234" s="1" t="n">
        <v>0</v>
      </c>
    </row>
    <row r="235" customFormat="false" ht="14.25" hidden="false" customHeight="false" outlineLevel="0" collapsed="false">
      <c r="A235" s="1" t="n">
        <v>288</v>
      </c>
      <c r="B235" s="1" t="s">
        <v>702</v>
      </c>
      <c r="C235" s="1" t="s">
        <v>703</v>
      </c>
      <c r="D235" s="1" t="n">
        <v>11197</v>
      </c>
      <c r="E235" s="1" t="s">
        <v>53</v>
      </c>
      <c r="F235" s="201" t="n">
        <v>200025888910</v>
      </c>
      <c r="G235" s="198" t="s">
        <v>635</v>
      </c>
      <c r="H235" s="163" t="s">
        <v>418</v>
      </c>
      <c r="I235" s="161" t="n">
        <v>109</v>
      </c>
      <c r="J235" s="156" t="s">
        <v>185</v>
      </c>
      <c r="K235" s="200" t="n">
        <v>45453.660462963</v>
      </c>
      <c r="L235" s="3" t="n">
        <v>24</v>
      </c>
      <c r="M235" s="3" t="n">
        <v>24</v>
      </c>
      <c r="N235" s="1" t="n">
        <v>25</v>
      </c>
      <c r="O235" s="1" t="n">
        <v>2</v>
      </c>
    </row>
    <row r="236" customFormat="false" ht="14.25" hidden="false" customHeight="false" outlineLevel="0" collapsed="false">
      <c r="A236" s="1" t="n">
        <v>289</v>
      </c>
      <c r="B236" s="1" t="s">
        <v>702</v>
      </c>
      <c r="C236" s="1" t="s">
        <v>703</v>
      </c>
      <c r="D236" s="1" t="n">
        <v>11197</v>
      </c>
      <c r="E236" s="1" t="s">
        <v>53</v>
      </c>
      <c r="F236" s="201" t="n">
        <v>200025888910</v>
      </c>
      <c r="G236" s="198" t="s">
        <v>635</v>
      </c>
      <c r="H236" s="163" t="s">
        <v>418</v>
      </c>
      <c r="I236" s="161" t="n">
        <v>109</v>
      </c>
      <c r="J236" s="156" t="s">
        <v>185</v>
      </c>
      <c r="K236" s="200" t="n">
        <v>45453.6606944444</v>
      </c>
      <c r="L236" s="3" t="n">
        <v>24</v>
      </c>
      <c r="M236" s="3" t="n">
        <v>24</v>
      </c>
      <c r="N236" s="1" t="n">
        <v>26</v>
      </c>
      <c r="O236" s="1" t="n">
        <v>0</v>
      </c>
    </row>
    <row r="237" customFormat="false" ht="14.25" hidden="false" customHeight="false" outlineLevel="0" collapsed="false">
      <c r="A237" s="1" t="n">
        <v>290</v>
      </c>
      <c r="B237" s="1" t="s">
        <v>702</v>
      </c>
      <c r="C237" s="1" t="s">
        <v>703</v>
      </c>
      <c r="D237" s="1" t="n">
        <v>11197</v>
      </c>
      <c r="E237" s="1" t="s">
        <v>53</v>
      </c>
      <c r="F237" s="201" t="n">
        <v>200025888910</v>
      </c>
      <c r="G237" s="198" t="s">
        <v>635</v>
      </c>
      <c r="H237" s="163" t="s">
        <v>418</v>
      </c>
      <c r="I237" s="161" t="n">
        <v>109</v>
      </c>
      <c r="J237" s="156" t="s">
        <v>185</v>
      </c>
      <c r="K237" s="200" t="n">
        <v>45453.6607060185</v>
      </c>
      <c r="L237" s="3" t="n">
        <v>24</v>
      </c>
      <c r="M237" s="3" t="n">
        <v>24</v>
      </c>
      <c r="N237" s="1" t="n">
        <v>27</v>
      </c>
      <c r="O237" s="1" t="n">
        <v>0</v>
      </c>
    </row>
    <row r="238" customFormat="false" ht="14.25" hidden="false" customHeight="false" outlineLevel="0" collapsed="false">
      <c r="A238" s="1" t="n">
        <v>291</v>
      </c>
      <c r="B238" s="1" t="s">
        <v>702</v>
      </c>
      <c r="C238" s="1" t="s">
        <v>703</v>
      </c>
      <c r="D238" s="1" t="n">
        <v>11197</v>
      </c>
      <c r="E238" s="1" t="s">
        <v>53</v>
      </c>
      <c r="F238" s="201" t="n">
        <v>200025888910</v>
      </c>
      <c r="G238" s="198" t="s">
        <v>635</v>
      </c>
      <c r="H238" s="163" t="s">
        <v>418</v>
      </c>
      <c r="I238" s="161" t="n">
        <v>109</v>
      </c>
      <c r="J238" s="156" t="s">
        <v>185</v>
      </c>
      <c r="K238" s="200" t="n">
        <v>45453.6612962963</v>
      </c>
      <c r="L238" s="3" t="n">
        <v>24</v>
      </c>
      <c r="M238" s="3" t="n">
        <v>24</v>
      </c>
      <c r="N238" s="1" t="n">
        <v>28</v>
      </c>
      <c r="O238" s="1" t="n">
        <v>0</v>
      </c>
    </row>
    <row r="239" customFormat="false" ht="14.25" hidden="false" customHeight="false" outlineLevel="0" collapsed="false">
      <c r="A239" s="1" t="n">
        <v>292</v>
      </c>
      <c r="B239" s="1" t="s">
        <v>702</v>
      </c>
      <c r="C239" s="1" t="s">
        <v>703</v>
      </c>
      <c r="D239" s="1" t="n">
        <v>11197</v>
      </c>
      <c r="E239" s="1" t="s">
        <v>53</v>
      </c>
      <c r="F239" s="201" t="n">
        <v>200025888910</v>
      </c>
      <c r="G239" s="198" t="s">
        <v>635</v>
      </c>
      <c r="H239" s="163" t="s">
        <v>418</v>
      </c>
      <c r="I239" s="161" t="n">
        <v>109</v>
      </c>
      <c r="J239" s="156" t="s">
        <v>185</v>
      </c>
      <c r="K239" s="200" t="n">
        <v>45453.6612962963</v>
      </c>
      <c r="L239" s="3" t="n">
        <v>24</v>
      </c>
      <c r="M239" s="3" t="n">
        <v>24</v>
      </c>
      <c r="N239" s="1" t="n">
        <v>29</v>
      </c>
      <c r="O239" s="1" t="n">
        <v>1</v>
      </c>
    </row>
    <row r="240" customFormat="false" ht="14.25" hidden="false" customHeight="false" outlineLevel="0" collapsed="false">
      <c r="A240" s="1" t="n">
        <v>293</v>
      </c>
      <c r="B240" s="1" t="s">
        <v>702</v>
      </c>
      <c r="C240" s="1" t="s">
        <v>703</v>
      </c>
      <c r="D240" s="1" t="n">
        <v>11197</v>
      </c>
      <c r="E240" s="1" t="s">
        <v>53</v>
      </c>
      <c r="F240" s="201" t="n">
        <v>200025888910</v>
      </c>
      <c r="G240" s="198" t="s">
        <v>635</v>
      </c>
      <c r="H240" s="163" t="s">
        <v>418</v>
      </c>
      <c r="I240" s="161" t="n">
        <v>109</v>
      </c>
      <c r="J240" s="156" t="s">
        <v>185</v>
      </c>
      <c r="K240" s="200" t="n">
        <v>45453.6614814815</v>
      </c>
      <c r="L240" s="3" t="n">
        <v>24</v>
      </c>
      <c r="M240" s="3" t="n">
        <v>24</v>
      </c>
      <c r="N240" s="1" t="n">
        <v>30</v>
      </c>
      <c r="O240" s="1" t="n">
        <v>1</v>
      </c>
    </row>
    <row r="241" customFormat="false" ht="14.25" hidden="false" customHeight="false" outlineLevel="0" collapsed="false">
      <c r="A241" s="1" t="n">
        <v>294</v>
      </c>
      <c r="B241" s="1" t="s">
        <v>702</v>
      </c>
      <c r="C241" s="1" t="s">
        <v>703</v>
      </c>
      <c r="D241" s="1" t="n">
        <v>11197</v>
      </c>
      <c r="E241" s="1" t="s">
        <v>53</v>
      </c>
      <c r="F241" s="201" t="n">
        <v>200025888910</v>
      </c>
      <c r="G241" s="198" t="s">
        <v>635</v>
      </c>
      <c r="H241" s="163" t="s">
        <v>418</v>
      </c>
      <c r="I241" s="161" t="n">
        <v>109</v>
      </c>
      <c r="J241" s="156" t="s">
        <v>185</v>
      </c>
      <c r="K241" s="200" t="n">
        <v>45453.6614930556</v>
      </c>
      <c r="L241" s="3" t="n">
        <v>24</v>
      </c>
      <c r="M241" s="3" t="n">
        <v>24</v>
      </c>
      <c r="N241" s="1" t="n">
        <v>31</v>
      </c>
      <c r="O241" s="1" t="n">
        <v>0</v>
      </c>
    </row>
    <row r="242" customFormat="false" ht="14.25" hidden="false" customHeight="false" outlineLevel="0" collapsed="false">
      <c r="A242" s="1" t="n">
        <v>295</v>
      </c>
      <c r="B242" s="1" t="s">
        <v>702</v>
      </c>
      <c r="C242" s="1" t="s">
        <v>703</v>
      </c>
      <c r="D242" s="1" t="n">
        <v>11197</v>
      </c>
      <c r="E242" s="1" t="s">
        <v>53</v>
      </c>
      <c r="F242" s="201" t="n">
        <v>200025888910</v>
      </c>
      <c r="G242" s="198" t="s">
        <v>635</v>
      </c>
      <c r="H242" s="163" t="s">
        <v>418</v>
      </c>
      <c r="I242" s="161" t="n">
        <v>109</v>
      </c>
      <c r="J242" s="156" t="s">
        <v>185</v>
      </c>
      <c r="K242" s="200" t="n">
        <v>45453.6617361111</v>
      </c>
      <c r="L242" s="3" t="n">
        <v>24</v>
      </c>
      <c r="M242" s="3" t="n">
        <v>24</v>
      </c>
      <c r="N242" s="1" t="n">
        <v>32</v>
      </c>
      <c r="O242" s="1" t="n">
        <v>1</v>
      </c>
    </row>
    <row r="243" customFormat="false" ht="14.25" hidden="false" customHeight="false" outlineLevel="0" collapsed="false">
      <c r="A243" s="1" t="n">
        <v>296</v>
      </c>
      <c r="B243" s="1" t="s">
        <v>702</v>
      </c>
      <c r="C243" s="1" t="s">
        <v>703</v>
      </c>
      <c r="D243" s="1" t="n">
        <v>11197</v>
      </c>
      <c r="E243" s="1" t="s">
        <v>53</v>
      </c>
      <c r="F243" s="201" t="n">
        <v>200025888910</v>
      </c>
      <c r="G243" s="198" t="s">
        <v>635</v>
      </c>
      <c r="H243" s="163" t="s">
        <v>418</v>
      </c>
      <c r="I243" s="161" t="n">
        <v>109</v>
      </c>
      <c r="J243" s="156" t="s">
        <v>185</v>
      </c>
      <c r="K243" s="200" t="n">
        <v>45453.6617592593</v>
      </c>
      <c r="L243" s="3" t="n">
        <v>24</v>
      </c>
      <c r="M243" s="3" t="n">
        <v>24</v>
      </c>
      <c r="N243" s="1" t="n">
        <v>33</v>
      </c>
      <c r="O243" s="1" t="n">
        <v>0</v>
      </c>
    </row>
    <row r="244" customFormat="false" ht="14.25" hidden="false" customHeight="false" outlineLevel="0" collapsed="false">
      <c r="A244" s="1" t="n">
        <v>297</v>
      </c>
      <c r="B244" s="1" t="s">
        <v>702</v>
      </c>
      <c r="C244" s="1" t="s">
        <v>703</v>
      </c>
      <c r="D244" s="1" t="n">
        <v>11197</v>
      </c>
      <c r="E244" s="1" t="s">
        <v>53</v>
      </c>
      <c r="F244" s="201" t="n">
        <v>200025888910</v>
      </c>
      <c r="G244" s="198" t="s">
        <v>635</v>
      </c>
      <c r="H244" s="163" t="s">
        <v>418</v>
      </c>
      <c r="I244" s="161" t="n">
        <v>109</v>
      </c>
      <c r="J244" s="156" t="s">
        <v>185</v>
      </c>
      <c r="K244" s="200" t="n">
        <v>45453.6619675926</v>
      </c>
      <c r="L244" s="3" t="n">
        <v>24</v>
      </c>
      <c r="M244" s="3" t="n">
        <v>24</v>
      </c>
      <c r="N244" s="1" t="n">
        <v>34</v>
      </c>
      <c r="O244" s="1" t="n">
        <v>2</v>
      </c>
    </row>
    <row r="245" customFormat="false" ht="14.25" hidden="false" customHeight="false" outlineLevel="0" collapsed="false">
      <c r="A245" s="1" t="n">
        <v>298</v>
      </c>
      <c r="B245" s="1" t="s">
        <v>702</v>
      </c>
      <c r="C245" s="1" t="s">
        <v>703</v>
      </c>
      <c r="D245" s="1" t="n">
        <v>11197</v>
      </c>
      <c r="E245" s="1" t="s">
        <v>53</v>
      </c>
      <c r="F245" s="201" t="n">
        <v>200025888910</v>
      </c>
      <c r="G245" s="198" t="s">
        <v>635</v>
      </c>
      <c r="H245" s="163" t="s">
        <v>418</v>
      </c>
      <c r="I245" s="161" t="n">
        <v>109</v>
      </c>
      <c r="J245" s="156" t="s">
        <v>185</v>
      </c>
      <c r="K245" s="200" t="n">
        <v>45453.6627199074</v>
      </c>
      <c r="L245" s="3" t="n">
        <v>24</v>
      </c>
      <c r="M245" s="3" t="n">
        <v>24</v>
      </c>
      <c r="N245" s="1" t="n">
        <v>35</v>
      </c>
      <c r="O245" s="1" t="n">
        <v>25</v>
      </c>
    </row>
    <row r="246" customFormat="false" ht="14.25" hidden="false" customHeight="false" outlineLevel="0" collapsed="false">
      <c r="A246" s="1" t="n">
        <v>299</v>
      </c>
      <c r="B246" s="1" t="s">
        <v>702</v>
      </c>
      <c r="C246" s="1" t="s">
        <v>703</v>
      </c>
      <c r="D246" s="1" t="n">
        <v>11197</v>
      </c>
      <c r="E246" s="1" t="s">
        <v>53</v>
      </c>
      <c r="F246" s="201" t="n">
        <v>200025888910</v>
      </c>
      <c r="G246" s="198" t="s">
        <v>635</v>
      </c>
      <c r="H246" s="163" t="s">
        <v>418</v>
      </c>
      <c r="I246" s="161" t="n">
        <v>109</v>
      </c>
      <c r="J246" s="156" t="s">
        <v>185</v>
      </c>
      <c r="K246" s="200" t="n">
        <v>45453.6630208333</v>
      </c>
      <c r="L246" s="3" t="n">
        <v>24</v>
      </c>
      <c r="M246" s="3" t="n">
        <v>24</v>
      </c>
      <c r="N246" s="1" t="n">
        <v>36</v>
      </c>
      <c r="O246" s="1" t="n">
        <v>0</v>
      </c>
    </row>
    <row r="247" customFormat="false" ht="14.25" hidden="false" customHeight="false" outlineLevel="0" collapsed="false">
      <c r="A247" s="1" t="n">
        <v>300</v>
      </c>
      <c r="B247" s="1" t="s">
        <v>702</v>
      </c>
      <c r="C247" s="1" t="s">
        <v>703</v>
      </c>
      <c r="D247" s="1" t="n">
        <v>11197</v>
      </c>
      <c r="E247" s="1" t="s">
        <v>53</v>
      </c>
      <c r="F247" s="201" t="n">
        <v>200025888910</v>
      </c>
      <c r="G247" s="198" t="s">
        <v>635</v>
      </c>
      <c r="H247" s="163" t="s">
        <v>418</v>
      </c>
      <c r="I247" s="161" t="n">
        <v>109</v>
      </c>
      <c r="J247" s="156" t="s">
        <v>185</v>
      </c>
      <c r="K247" s="200" t="n">
        <v>45453.6632986111</v>
      </c>
      <c r="L247" s="3" t="n">
        <v>24</v>
      </c>
      <c r="M247" s="3" t="n">
        <v>24</v>
      </c>
      <c r="N247" s="1" t="n">
        <v>37</v>
      </c>
      <c r="O247" s="1" t="n">
        <v>0</v>
      </c>
    </row>
    <row r="248" customFormat="false" ht="14.25" hidden="false" customHeight="false" outlineLevel="0" collapsed="false">
      <c r="A248" s="1" t="n">
        <v>301</v>
      </c>
      <c r="B248" s="1" t="s">
        <v>702</v>
      </c>
      <c r="C248" s="1" t="s">
        <v>703</v>
      </c>
      <c r="D248" s="1" t="n">
        <v>11197</v>
      </c>
      <c r="E248" s="1" t="s">
        <v>53</v>
      </c>
      <c r="F248" s="201" t="n">
        <v>200025888910</v>
      </c>
      <c r="G248" s="198" t="s">
        <v>635</v>
      </c>
      <c r="H248" s="163" t="s">
        <v>418</v>
      </c>
      <c r="I248" s="161" t="n">
        <v>109</v>
      </c>
      <c r="J248" s="156" t="s">
        <v>185</v>
      </c>
      <c r="K248" s="200" t="n">
        <v>45453.6635648148</v>
      </c>
      <c r="L248" s="3" t="n">
        <v>24</v>
      </c>
      <c r="M248" s="3" t="n">
        <v>24</v>
      </c>
      <c r="N248" s="1" t="n">
        <v>38</v>
      </c>
      <c r="O248" s="1" t="n">
        <v>0</v>
      </c>
    </row>
    <row r="249" customFormat="false" ht="14.25" hidden="false" customHeight="false" outlineLevel="0" collapsed="false">
      <c r="A249" s="1" t="n">
        <v>302</v>
      </c>
      <c r="B249" s="1" t="s">
        <v>702</v>
      </c>
      <c r="C249" s="1" t="s">
        <v>703</v>
      </c>
      <c r="D249" s="1" t="n">
        <v>11197</v>
      </c>
      <c r="E249" s="1" t="s">
        <v>53</v>
      </c>
      <c r="F249" s="201" t="n">
        <v>200025888910</v>
      </c>
      <c r="G249" s="198" t="s">
        <v>635</v>
      </c>
      <c r="H249" s="163" t="s">
        <v>418</v>
      </c>
      <c r="I249" s="161" t="n">
        <v>109</v>
      </c>
      <c r="J249" s="156" t="s">
        <v>185</v>
      </c>
      <c r="K249" s="200" t="n">
        <v>45453.6644444445</v>
      </c>
      <c r="L249" s="3" t="n">
        <v>24</v>
      </c>
      <c r="M249" s="3" t="n">
        <v>24</v>
      </c>
      <c r="N249" s="1" t="n">
        <v>39</v>
      </c>
      <c r="O249" s="1" t="n">
        <v>0</v>
      </c>
    </row>
    <row r="250" customFormat="false" ht="14.25" hidden="false" customHeight="false" outlineLevel="0" collapsed="false">
      <c r="A250" s="1" t="n">
        <v>303</v>
      </c>
      <c r="B250" s="1" t="s">
        <v>702</v>
      </c>
      <c r="C250" s="1" t="s">
        <v>703</v>
      </c>
      <c r="D250" s="1" t="n">
        <v>11197</v>
      </c>
      <c r="E250" s="1" t="s">
        <v>53</v>
      </c>
      <c r="F250" s="201" t="n">
        <v>200025888910</v>
      </c>
      <c r="G250" s="198" t="s">
        <v>635</v>
      </c>
      <c r="H250" s="163" t="s">
        <v>418</v>
      </c>
      <c r="I250" s="161" t="n">
        <v>109</v>
      </c>
      <c r="J250" s="156" t="s">
        <v>185</v>
      </c>
      <c r="K250" s="200" t="n">
        <v>45453.6646759259</v>
      </c>
      <c r="L250" s="3" t="n">
        <v>24</v>
      </c>
      <c r="M250" s="3" t="n">
        <v>24</v>
      </c>
      <c r="N250" s="1" t="n">
        <v>40</v>
      </c>
      <c r="O250" s="1" t="n">
        <v>1</v>
      </c>
    </row>
    <row r="251" customFormat="false" ht="14.25" hidden="false" customHeight="false" outlineLevel="0" collapsed="false">
      <c r="A251" s="1" t="n">
        <v>304</v>
      </c>
      <c r="B251" s="1" t="s">
        <v>702</v>
      </c>
      <c r="C251" s="1" t="s">
        <v>703</v>
      </c>
      <c r="D251" s="1" t="n">
        <v>11197</v>
      </c>
      <c r="E251" s="1" t="s">
        <v>53</v>
      </c>
      <c r="F251" s="201" t="n">
        <v>200025888910</v>
      </c>
      <c r="G251" s="198" t="s">
        <v>635</v>
      </c>
      <c r="H251" s="163" t="s">
        <v>418</v>
      </c>
      <c r="I251" s="161" t="n">
        <v>109</v>
      </c>
      <c r="J251" s="156" t="s">
        <v>185</v>
      </c>
      <c r="K251" s="200" t="n">
        <v>45453.6650231482</v>
      </c>
      <c r="L251" s="3" t="n">
        <v>24</v>
      </c>
      <c r="M251" s="3" t="n">
        <v>24</v>
      </c>
      <c r="N251" s="1" t="n">
        <v>41</v>
      </c>
      <c r="O251" s="1" t="n">
        <v>1</v>
      </c>
    </row>
    <row r="252" customFormat="false" ht="14.25" hidden="false" customHeight="false" outlineLevel="0" collapsed="false">
      <c r="A252" s="1" t="n">
        <v>305</v>
      </c>
      <c r="B252" s="1" t="s">
        <v>702</v>
      </c>
      <c r="C252" s="1" t="s">
        <v>703</v>
      </c>
      <c r="D252" s="1" t="n">
        <v>11197</v>
      </c>
      <c r="E252" s="1" t="s">
        <v>53</v>
      </c>
      <c r="F252" s="201" t="n">
        <v>200025888910</v>
      </c>
      <c r="G252" s="198" t="s">
        <v>635</v>
      </c>
      <c r="H252" s="163" t="s">
        <v>418</v>
      </c>
      <c r="I252" s="161" t="n">
        <v>109</v>
      </c>
      <c r="J252" s="156" t="s">
        <v>185</v>
      </c>
      <c r="K252" s="200" t="n">
        <v>45453.6761805556</v>
      </c>
      <c r="L252" s="3" t="n">
        <v>24</v>
      </c>
      <c r="M252" s="3" t="n">
        <v>24</v>
      </c>
      <c r="N252" s="1" t="n">
        <v>42</v>
      </c>
      <c r="O252" s="1" t="n">
        <v>1</v>
      </c>
    </row>
    <row r="253" customFormat="false" ht="14.25" hidden="false" customHeight="false" outlineLevel="0" collapsed="false">
      <c r="A253" s="1" t="n">
        <v>306</v>
      </c>
      <c r="B253" s="1" t="s">
        <v>702</v>
      </c>
      <c r="C253" s="1" t="s">
        <v>703</v>
      </c>
      <c r="D253" s="1" t="n">
        <v>11197</v>
      </c>
      <c r="E253" s="1" t="s">
        <v>53</v>
      </c>
      <c r="F253" s="201" t="n">
        <v>200025888910</v>
      </c>
      <c r="G253" s="198" t="s">
        <v>635</v>
      </c>
      <c r="H253" s="163" t="s">
        <v>418</v>
      </c>
      <c r="I253" s="161" t="n">
        <v>109</v>
      </c>
      <c r="J253" s="156" t="s">
        <v>185</v>
      </c>
      <c r="K253" s="200" t="n">
        <v>45453.6761921296</v>
      </c>
      <c r="L253" s="3" t="n">
        <v>24</v>
      </c>
      <c r="M253" s="3" t="n">
        <v>24</v>
      </c>
      <c r="N253" s="1" t="n">
        <v>43</v>
      </c>
      <c r="O253" s="1" t="n">
        <v>0</v>
      </c>
    </row>
    <row r="254" customFormat="false" ht="14.25" hidden="false" customHeight="false" outlineLevel="0" collapsed="false">
      <c r="A254" s="1" t="n">
        <v>307</v>
      </c>
      <c r="B254" s="1" t="s">
        <v>702</v>
      </c>
      <c r="C254" s="1" t="s">
        <v>703</v>
      </c>
      <c r="D254" s="1" t="n">
        <v>11197</v>
      </c>
      <c r="E254" s="1" t="s">
        <v>53</v>
      </c>
      <c r="F254" s="201" t="n">
        <v>200025888910</v>
      </c>
      <c r="G254" s="198" t="s">
        <v>635</v>
      </c>
      <c r="H254" s="163" t="s">
        <v>418</v>
      </c>
      <c r="I254" s="161" t="n">
        <v>109</v>
      </c>
      <c r="J254" s="156" t="s">
        <v>185</v>
      </c>
      <c r="K254" s="200" t="n">
        <v>45453.6765625</v>
      </c>
      <c r="L254" s="3" t="n">
        <v>24</v>
      </c>
      <c r="M254" s="3" t="n">
        <v>24</v>
      </c>
      <c r="N254" s="1" t="n">
        <v>44</v>
      </c>
      <c r="O254" s="1" t="n">
        <v>3</v>
      </c>
    </row>
    <row r="255" customFormat="false" ht="14.25" hidden="false" customHeight="false" outlineLevel="0" collapsed="false">
      <c r="A255" s="1" t="n">
        <v>308</v>
      </c>
      <c r="B255" s="1" t="s">
        <v>702</v>
      </c>
      <c r="C255" s="1" t="s">
        <v>703</v>
      </c>
      <c r="D255" s="1" t="n">
        <v>11197</v>
      </c>
      <c r="E255" s="1" t="s">
        <v>53</v>
      </c>
      <c r="F255" s="201" t="n">
        <v>200025888910</v>
      </c>
      <c r="G255" s="198" t="s">
        <v>635</v>
      </c>
      <c r="H255" s="163" t="s">
        <v>418</v>
      </c>
      <c r="I255" s="161" t="n">
        <v>109</v>
      </c>
      <c r="J255" s="156" t="s">
        <v>185</v>
      </c>
      <c r="K255" s="200" t="n">
        <v>45453.6780324074</v>
      </c>
      <c r="L255" s="3" t="n">
        <v>24</v>
      </c>
      <c r="M255" s="3" t="n">
        <v>24</v>
      </c>
      <c r="N255" s="1" t="n">
        <v>45</v>
      </c>
      <c r="O255" s="1" t="n">
        <v>1</v>
      </c>
    </row>
    <row r="256" customFormat="false" ht="14.25" hidden="false" customHeight="false" outlineLevel="0" collapsed="false">
      <c r="A256" s="1" t="n">
        <v>313</v>
      </c>
      <c r="B256" s="1" t="s">
        <v>702</v>
      </c>
      <c r="C256" s="1" t="s">
        <v>703</v>
      </c>
      <c r="D256" s="1" t="n">
        <v>11197</v>
      </c>
      <c r="E256" s="1" t="s">
        <v>53</v>
      </c>
      <c r="F256" s="201" t="n">
        <v>200025888910</v>
      </c>
      <c r="G256" s="198" t="s">
        <v>635</v>
      </c>
      <c r="H256" s="163" t="s">
        <v>418</v>
      </c>
      <c r="I256" s="161" t="n">
        <v>109</v>
      </c>
      <c r="J256" s="156" t="s">
        <v>185</v>
      </c>
      <c r="K256" s="200" t="n">
        <v>45453.8476736111</v>
      </c>
      <c r="L256" s="3" t="n">
        <v>24</v>
      </c>
      <c r="M256" s="3" t="n">
        <v>24</v>
      </c>
      <c r="N256" s="1" t="n">
        <v>46</v>
      </c>
      <c r="O256" s="1" t="n">
        <v>1</v>
      </c>
    </row>
    <row r="257" customFormat="false" ht="14.25" hidden="false" customHeight="false" outlineLevel="0" collapsed="false">
      <c r="A257" s="1" t="n">
        <v>314</v>
      </c>
      <c r="B257" s="1" t="s">
        <v>702</v>
      </c>
      <c r="C257" s="1" t="s">
        <v>703</v>
      </c>
      <c r="D257" s="1" t="n">
        <v>11197</v>
      </c>
      <c r="E257" s="1" t="s">
        <v>53</v>
      </c>
      <c r="F257" s="201" t="n">
        <v>200025888910</v>
      </c>
      <c r="G257" s="198" t="s">
        <v>635</v>
      </c>
      <c r="H257" s="163" t="s">
        <v>418</v>
      </c>
      <c r="I257" s="161" t="n">
        <v>109</v>
      </c>
      <c r="J257" s="156" t="s">
        <v>185</v>
      </c>
      <c r="K257" s="200" t="n">
        <v>45453.8481481482</v>
      </c>
      <c r="L257" s="3" t="n">
        <v>24</v>
      </c>
      <c r="M257" s="3" t="n">
        <v>24</v>
      </c>
      <c r="N257" s="1" t="n">
        <v>47</v>
      </c>
      <c r="O257" s="1" t="n">
        <v>1</v>
      </c>
    </row>
    <row r="258" customFormat="false" ht="14.25" hidden="false" customHeight="false" outlineLevel="0" collapsed="false">
      <c r="A258" s="1" t="n">
        <v>315</v>
      </c>
      <c r="B258" s="1" t="s">
        <v>702</v>
      </c>
      <c r="C258" s="1" t="s">
        <v>703</v>
      </c>
      <c r="D258" s="1" t="n">
        <v>11197</v>
      </c>
      <c r="E258" s="1" t="s">
        <v>53</v>
      </c>
      <c r="F258" s="201" t="n">
        <v>200025888910</v>
      </c>
      <c r="G258" s="198" t="s">
        <v>635</v>
      </c>
      <c r="H258" s="163" t="s">
        <v>418</v>
      </c>
      <c r="I258" s="161" t="n">
        <v>109</v>
      </c>
      <c r="J258" s="156" t="s">
        <v>185</v>
      </c>
      <c r="K258" s="200" t="n">
        <v>45453.848900463</v>
      </c>
      <c r="L258" s="3" t="n">
        <v>24</v>
      </c>
      <c r="M258" s="3" t="n">
        <v>24</v>
      </c>
      <c r="N258" s="1" t="n">
        <v>48</v>
      </c>
      <c r="O258" s="1" t="n">
        <v>1</v>
      </c>
    </row>
    <row r="259" customFormat="false" ht="14.25" hidden="false" customHeight="false" outlineLevel="0" collapsed="false">
      <c r="A259" s="1" t="n">
        <v>316</v>
      </c>
      <c r="B259" s="1" t="s">
        <v>702</v>
      </c>
      <c r="C259" s="1" t="s">
        <v>703</v>
      </c>
      <c r="D259" s="1" t="n">
        <v>11197</v>
      </c>
      <c r="E259" s="1" t="s">
        <v>53</v>
      </c>
      <c r="F259" s="201" t="n">
        <v>200025888910</v>
      </c>
      <c r="G259" s="198" t="s">
        <v>635</v>
      </c>
      <c r="H259" s="163" t="s">
        <v>418</v>
      </c>
      <c r="I259" s="161" t="n">
        <v>109</v>
      </c>
      <c r="J259" s="156" t="s">
        <v>185</v>
      </c>
      <c r="K259" s="200" t="n">
        <v>45453.8491550926</v>
      </c>
      <c r="L259" s="3" t="n">
        <v>24</v>
      </c>
      <c r="M259" s="3" t="n">
        <v>24</v>
      </c>
      <c r="N259" s="1" t="n">
        <v>49</v>
      </c>
      <c r="O259" s="1" t="n">
        <v>0</v>
      </c>
    </row>
    <row r="260" customFormat="false" ht="14.25" hidden="false" customHeight="false" outlineLevel="0" collapsed="false">
      <c r="A260" s="1" t="n">
        <v>317</v>
      </c>
      <c r="B260" s="1" t="s">
        <v>702</v>
      </c>
      <c r="C260" s="1" t="s">
        <v>703</v>
      </c>
      <c r="D260" s="1" t="n">
        <v>11197</v>
      </c>
      <c r="E260" s="1" t="s">
        <v>53</v>
      </c>
      <c r="F260" s="201" t="n">
        <v>200025888910</v>
      </c>
      <c r="G260" s="198" t="s">
        <v>635</v>
      </c>
      <c r="H260" s="163" t="s">
        <v>418</v>
      </c>
      <c r="I260" s="161" t="n">
        <v>109</v>
      </c>
      <c r="J260" s="156" t="s">
        <v>185</v>
      </c>
      <c r="K260" s="200" t="n">
        <v>45453.8495023148</v>
      </c>
      <c r="L260" s="3" t="n">
        <v>24</v>
      </c>
      <c r="M260" s="3" t="n">
        <v>24</v>
      </c>
      <c r="N260" s="1" t="n">
        <v>50</v>
      </c>
      <c r="O260" s="1" t="n">
        <v>1</v>
      </c>
    </row>
    <row r="261" customFormat="false" ht="14.25" hidden="false" customHeight="false" outlineLevel="0" collapsed="false">
      <c r="A261" s="1" t="n">
        <v>318</v>
      </c>
      <c r="B261" s="1" t="s">
        <v>702</v>
      </c>
      <c r="C261" s="1" t="s">
        <v>703</v>
      </c>
      <c r="D261" s="1" t="n">
        <v>11197</v>
      </c>
      <c r="E261" s="1" t="s">
        <v>53</v>
      </c>
      <c r="F261" s="201" t="n">
        <v>200025888910</v>
      </c>
      <c r="G261" s="198" t="s">
        <v>635</v>
      </c>
      <c r="H261" s="163" t="s">
        <v>418</v>
      </c>
      <c r="I261" s="161" t="n">
        <v>109</v>
      </c>
      <c r="J261" s="156" t="s">
        <v>185</v>
      </c>
      <c r="K261" s="200" t="n">
        <v>45453.8606944445</v>
      </c>
      <c r="L261" s="3" t="n">
        <v>24</v>
      </c>
      <c r="M261" s="3" t="n">
        <v>24</v>
      </c>
      <c r="N261" s="1" t="n">
        <v>51</v>
      </c>
      <c r="O261" s="1" t="n">
        <v>0</v>
      </c>
    </row>
    <row r="262" customFormat="false" ht="14.25" hidden="false" customHeight="false" outlineLevel="0" collapsed="false">
      <c r="A262" s="1" t="n">
        <v>319</v>
      </c>
      <c r="B262" s="1" t="s">
        <v>702</v>
      </c>
      <c r="C262" s="1" t="s">
        <v>703</v>
      </c>
      <c r="D262" s="1" t="n">
        <v>11197</v>
      </c>
      <c r="E262" s="1" t="s">
        <v>53</v>
      </c>
      <c r="F262" s="201" t="n">
        <v>200025888910</v>
      </c>
      <c r="G262" s="198" t="s">
        <v>635</v>
      </c>
      <c r="H262" s="163" t="s">
        <v>418</v>
      </c>
      <c r="I262" s="161" t="n">
        <v>109</v>
      </c>
      <c r="J262" s="156" t="s">
        <v>185</v>
      </c>
      <c r="K262" s="200" t="n">
        <v>45453.8616319444</v>
      </c>
      <c r="L262" s="3" t="n">
        <v>24</v>
      </c>
      <c r="M262" s="3" t="n">
        <v>24</v>
      </c>
      <c r="N262" s="1" t="n">
        <v>52</v>
      </c>
      <c r="O262" s="1" t="n">
        <v>0</v>
      </c>
    </row>
    <row r="263" customFormat="false" ht="14.25" hidden="false" customHeight="false" outlineLevel="0" collapsed="false">
      <c r="A263" s="1" t="n">
        <v>320</v>
      </c>
      <c r="B263" s="1" t="s">
        <v>702</v>
      </c>
      <c r="C263" s="1" t="s">
        <v>703</v>
      </c>
      <c r="D263" s="1" t="n">
        <v>11197</v>
      </c>
      <c r="E263" s="1" t="s">
        <v>53</v>
      </c>
      <c r="F263" s="201" t="n">
        <v>200025888910</v>
      </c>
      <c r="G263" s="198" t="s">
        <v>635</v>
      </c>
      <c r="H263" s="163" t="s">
        <v>418</v>
      </c>
      <c r="I263" s="161" t="n">
        <v>109</v>
      </c>
      <c r="J263" s="156" t="s">
        <v>185</v>
      </c>
      <c r="K263" s="200" t="n">
        <v>45453.8620601852</v>
      </c>
      <c r="L263" s="3" t="n">
        <v>24</v>
      </c>
      <c r="M263" s="3" t="n">
        <v>24</v>
      </c>
      <c r="N263" s="1" t="n">
        <v>53</v>
      </c>
      <c r="O263" s="1" t="n">
        <v>0</v>
      </c>
    </row>
    <row r="264" customFormat="false" ht="14.25" hidden="false" customHeight="false" outlineLevel="0" collapsed="false">
      <c r="A264" s="1" t="n">
        <v>321</v>
      </c>
      <c r="B264" s="1" t="s">
        <v>702</v>
      </c>
      <c r="C264" s="1" t="s">
        <v>703</v>
      </c>
      <c r="D264" s="1" t="n">
        <v>11197</v>
      </c>
      <c r="E264" s="1" t="s">
        <v>53</v>
      </c>
      <c r="F264" s="201" t="n">
        <v>200025888910</v>
      </c>
      <c r="G264" s="198" t="s">
        <v>635</v>
      </c>
      <c r="H264" s="163" t="s">
        <v>418</v>
      </c>
      <c r="I264" s="161" t="n">
        <v>109</v>
      </c>
      <c r="J264" s="156" t="s">
        <v>185</v>
      </c>
      <c r="K264" s="200" t="n">
        <v>45453.8622569444</v>
      </c>
      <c r="L264" s="3" t="n">
        <v>24</v>
      </c>
      <c r="M264" s="3" t="n">
        <v>24</v>
      </c>
      <c r="N264" s="1" t="n">
        <v>54</v>
      </c>
      <c r="O264" s="1" t="n">
        <v>1</v>
      </c>
    </row>
    <row r="265" customFormat="false" ht="14.25" hidden="false" customHeight="false" outlineLevel="0" collapsed="false">
      <c r="A265" s="1" t="n">
        <v>322</v>
      </c>
      <c r="B265" s="1" t="s">
        <v>702</v>
      </c>
      <c r="C265" s="1" t="s">
        <v>703</v>
      </c>
      <c r="D265" s="1" t="n">
        <v>11197</v>
      </c>
      <c r="E265" s="1" t="s">
        <v>53</v>
      </c>
      <c r="F265" s="201" t="n">
        <v>200025888910</v>
      </c>
      <c r="G265" s="198" t="s">
        <v>635</v>
      </c>
      <c r="H265" s="163" t="s">
        <v>418</v>
      </c>
      <c r="I265" s="161" t="n">
        <v>109</v>
      </c>
      <c r="J265" s="156" t="s">
        <v>185</v>
      </c>
      <c r="K265" s="200" t="n">
        <v>45453.8624768519</v>
      </c>
      <c r="L265" s="3" t="n">
        <v>24</v>
      </c>
      <c r="M265" s="3" t="n">
        <v>24</v>
      </c>
      <c r="N265" s="1" t="n">
        <v>55</v>
      </c>
      <c r="O265" s="1" t="n">
        <v>1</v>
      </c>
    </row>
    <row r="266" customFormat="false" ht="14.25" hidden="false" customHeight="false" outlineLevel="0" collapsed="false">
      <c r="A266" s="1" t="n">
        <v>323</v>
      </c>
      <c r="B266" s="1" t="s">
        <v>702</v>
      </c>
      <c r="C266" s="1" t="s">
        <v>703</v>
      </c>
      <c r="D266" s="1" t="n">
        <v>11197</v>
      </c>
      <c r="E266" s="1" t="s">
        <v>53</v>
      </c>
      <c r="F266" s="201" t="n">
        <v>200025888910</v>
      </c>
      <c r="G266" s="198" t="s">
        <v>635</v>
      </c>
      <c r="H266" s="163" t="s">
        <v>418</v>
      </c>
      <c r="I266" s="161" t="n">
        <v>109</v>
      </c>
      <c r="J266" s="156" t="s">
        <v>185</v>
      </c>
      <c r="K266" s="200" t="n">
        <v>45453.8627314815</v>
      </c>
      <c r="L266" s="3" t="n">
        <v>24</v>
      </c>
      <c r="M266" s="3" t="n">
        <v>24</v>
      </c>
      <c r="N266" s="1" t="n">
        <v>56</v>
      </c>
      <c r="O266" s="1" t="n">
        <v>0</v>
      </c>
    </row>
    <row r="267" customFormat="false" ht="14.25" hidden="false" customHeight="false" outlineLevel="0" collapsed="false">
      <c r="A267" s="1" t="n">
        <v>324</v>
      </c>
      <c r="B267" s="1" t="s">
        <v>702</v>
      </c>
      <c r="C267" s="1" t="s">
        <v>703</v>
      </c>
      <c r="D267" s="1" t="n">
        <v>11197</v>
      </c>
      <c r="E267" s="1" t="s">
        <v>53</v>
      </c>
      <c r="F267" s="201" t="n">
        <v>200025888910</v>
      </c>
      <c r="G267" s="198" t="s">
        <v>635</v>
      </c>
      <c r="H267" s="163" t="s">
        <v>418</v>
      </c>
      <c r="I267" s="161" t="n">
        <v>109</v>
      </c>
      <c r="J267" s="156" t="s">
        <v>185</v>
      </c>
      <c r="K267" s="200" t="n">
        <v>45453.8635648148</v>
      </c>
      <c r="L267" s="3" t="n">
        <v>24</v>
      </c>
      <c r="M267" s="3" t="n">
        <v>24</v>
      </c>
      <c r="N267" s="1" t="n">
        <v>57</v>
      </c>
      <c r="O267" s="1" t="n">
        <v>1</v>
      </c>
    </row>
    <row r="268" customFormat="false" ht="14.25" hidden="false" customHeight="false" outlineLevel="0" collapsed="false">
      <c r="A268" s="1" t="n">
        <v>325</v>
      </c>
      <c r="B268" s="1" t="s">
        <v>702</v>
      </c>
      <c r="C268" s="1" t="s">
        <v>703</v>
      </c>
      <c r="D268" s="1" t="n">
        <v>11197</v>
      </c>
      <c r="E268" s="1" t="s">
        <v>53</v>
      </c>
      <c r="F268" s="201" t="n">
        <v>200025888910</v>
      </c>
      <c r="G268" s="198" t="s">
        <v>635</v>
      </c>
      <c r="H268" s="163" t="s">
        <v>418</v>
      </c>
      <c r="I268" s="161" t="n">
        <v>109</v>
      </c>
      <c r="J268" s="156" t="s">
        <v>185</v>
      </c>
      <c r="K268" s="200" t="n">
        <v>45453.8638773148</v>
      </c>
      <c r="L268" s="3" t="n">
        <v>24</v>
      </c>
      <c r="M268" s="3" t="n">
        <v>24</v>
      </c>
      <c r="N268" s="1" t="n">
        <v>58</v>
      </c>
      <c r="O268" s="1" t="n">
        <v>1</v>
      </c>
    </row>
    <row r="269" customFormat="false" ht="14.25" hidden="false" customHeight="false" outlineLevel="0" collapsed="false">
      <c r="A269" s="1" t="n">
        <v>326</v>
      </c>
      <c r="B269" s="1" t="s">
        <v>702</v>
      </c>
      <c r="C269" s="1" t="s">
        <v>703</v>
      </c>
      <c r="D269" s="1" t="n">
        <v>11197</v>
      </c>
      <c r="E269" s="1" t="s">
        <v>53</v>
      </c>
      <c r="F269" s="201" t="n">
        <v>200025888910</v>
      </c>
      <c r="G269" s="198" t="s">
        <v>635</v>
      </c>
      <c r="H269" s="163" t="s">
        <v>418</v>
      </c>
      <c r="I269" s="161" t="n">
        <v>109</v>
      </c>
      <c r="J269" s="156" t="s">
        <v>185</v>
      </c>
      <c r="K269" s="200" t="n">
        <v>45453.8646875</v>
      </c>
      <c r="L269" s="3" t="n">
        <v>24</v>
      </c>
      <c r="M269" s="3" t="n">
        <v>24</v>
      </c>
      <c r="N269" s="1" t="n">
        <v>59</v>
      </c>
      <c r="O269" s="1" t="n">
        <v>0</v>
      </c>
    </row>
    <row r="270" customFormat="false" ht="14.25" hidden="false" customHeight="false" outlineLevel="0" collapsed="false">
      <c r="A270" s="1" t="n">
        <v>327</v>
      </c>
      <c r="B270" s="1" t="s">
        <v>702</v>
      </c>
      <c r="C270" s="1" t="s">
        <v>703</v>
      </c>
      <c r="D270" s="1" t="n">
        <v>11197</v>
      </c>
      <c r="E270" s="1" t="s">
        <v>53</v>
      </c>
      <c r="F270" s="201" t="n">
        <v>200025888910</v>
      </c>
      <c r="G270" s="198" t="s">
        <v>635</v>
      </c>
      <c r="H270" s="163" t="s">
        <v>418</v>
      </c>
      <c r="I270" s="161" t="n">
        <v>109</v>
      </c>
      <c r="J270" s="156" t="s">
        <v>185</v>
      </c>
      <c r="K270" s="200" t="n">
        <v>45453.865150463</v>
      </c>
      <c r="L270" s="3" t="n">
        <v>24</v>
      </c>
      <c r="M270" s="3" t="n">
        <v>24</v>
      </c>
      <c r="N270" s="1" t="n">
        <v>60</v>
      </c>
      <c r="O270" s="1" t="n">
        <v>3</v>
      </c>
    </row>
    <row r="271" customFormat="false" ht="14.25" hidden="false" customHeight="false" outlineLevel="0" collapsed="false">
      <c r="A271" s="1" t="n">
        <v>225</v>
      </c>
      <c r="B271" s="1" t="s">
        <v>621</v>
      </c>
      <c r="C271" s="1" t="s">
        <v>622</v>
      </c>
      <c r="D271" s="1" t="n">
        <v>11171</v>
      </c>
      <c r="E271" s="1" t="s">
        <v>55</v>
      </c>
      <c r="F271" s="201" t="n">
        <v>200025888490</v>
      </c>
      <c r="G271" s="198" t="s">
        <v>679</v>
      </c>
      <c r="H271" s="172" t="n">
        <v>31334</v>
      </c>
      <c r="I271" s="170" t="n">
        <v>116</v>
      </c>
      <c r="J271" s="169" t="s">
        <v>185</v>
      </c>
      <c r="K271" s="200" t="n">
        <v>45435.7361111111</v>
      </c>
      <c r="L271" s="3" t="n">
        <v>25</v>
      </c>
      <c r="M271" s="3" t="n">
        <v>25</v>
      </c>
      <c r="N271" s="1" t="n">
        <v>1</v>
      </c>
      <c r="O271" s="1" t="n">
        <v>1</v>
      </c>
    </row>
    <row r="272" customFormat="false" ht="14.25" hidden="false" customHeight="false" outlineLevel="0" collapsed="false">
      <c r="A272" s="1" t="n">
        <v>354</v>
      </c>
      <c r="B272" s="1" t="s">
        <v>702</v>
      </c>
      <c r="C272" s="1" t="s">
        <v>703</v>
      </c>
      <c r="D272" s="1" t="n">
        <v>11197</v>
      </c>
      <c r="E272" s="1" t="s">
        <v>53</v>
      </c>
      <c r="F272" s="201" t="n">
        <v>200025888490</v>
      </c>
      <c r="G272" s="198" t="s">
        <v>679</v>
      </c>
      <c r="H272" s="172" t="n">
        <v>31334</v>
      </c>
      <c r="I272" s="170" t="n">
        <v>116</v>
      </c>
      <c r="J272" s="169" t="s">
        <v>185</v>
      </c>
      <c r="K272" s="200" t="n">
        <v>45454.4865162037</v>
      </c>
      <c r="L272" s="3" t="n">
        <v>25</v>
      </c>
      <c r="M272" s="3" t="n">
        <v>25</v>
      </c>
      <c r="N272" s="1" t="n">
        <v>2</v>
      </c>
      <c r="O272" s="1" t="n">
        <v>0</v>
      </c>
    </row>
    <row r="273" customFormat="false" ht="14.25" hidden="false" customHeight="false" outlineLevel="0" collapsed="false">
      <c r="A273" s="1" t="n">
        <v>167</v>
      </c>
      <c r="B273" s="1" t="s">
        <v>624</v>
      </c>
      <c r="C273" s="1" t="s">
        <v>625</v>
      </c>
      <c r="D273" s="1" t="n">
        <v>21261</v>
      </c>
      <c r="E273" s="1" t="s">
        <v>57</v>
      </c>
      <c r="F273" s="201" t="n">
        <v>200025889003</v>
      </c>
      <c r="G273" s="198" t="s">
        <v>706</v>
      </c>
      <c r="H273" s="163" t="s">
        <v>251</v>
      </c>
      <c r="I273" s="161" t="n">
        <v>22</v>
      </c>
      <c r="J273" s="156" t="s">
        <v>185</v>
      </c>
      <c r="K273" s="200" t="n">
        <v>45435.8878240741</v>
      </c>
      <c r="L273" s="3" t="n">
        <v>26</v>
      </c>
      <c r="M273" s="3" t="n">
        <v>26</v>
      </c>
      <c r="N273" s="1" t="n">
        <v>1</v>
      </c>
      <c r="O273" s="1" t="n">
        <v>1</v>
      </c>
    </row>
    <row r="274" customFormat="false" ht="14.25" hidden="false" customHeight="false" outlineLevel="0" collapsed="false">
      <c r="A274" s="1" t="n">
        <v>277</v>
      </c>
      <c r="B274" s="1" t="s">
        <v>702</v>
      </c>
      <c r="C274" s="1" t="s">
        <v>703</v>
      </c>
      <c r="D274" s="1" t="n">
        <v>11197</v>
      </c>
      <c r="E274" s="1" t="s">
        <v>53</v>
      </c>
      <c r="F274" s="201" t="n">
        <v>200025889003</v>
      </c>
      <c r="G274" s="198" t="s">
        <v>706</v>
      </c>
      <c r="H274" s="163" t="s">
        <v>251</v>
      </c>
      <c r="I274" s="161" t="n">
        <v>22</v>
      </c>
      <c r="J274" s="156" t="s">
        <v>185</v>
      </c>
      <c r="K274" s="200" t="n">
        <v>45453.6389699074</v>
      </c>
      <c r="L274" s="3" t="n">
        <v>26</v>
      </c>
      <c r="M274" s="3" t="n">
        <v>26</v>
      </c>
      <c r="N274" s="1" t="n">
        <v>2</v>
      </c>
      <c r="O274" s="1" t="n">
        <v>0</v>
      </c>
    </row>
    <row r="275" customFormat="false" ht="14.25" hidden="false" customHeight="false" outlineLevel="0" collapsed="false">
      <c r="A275" s="1" t="n">
        <v>278</v>
      </c>
      <c r="B275" s="1" t="s">
        <v>702</v>
      </c>
      <c r="C275" s="1" t="s">
        <v>703</v>
      </c>
      <c r="D275" s="1" t="n">
        <v>11197</v>
      </c>
      <c r="E275" s="1" t="s">
        <v>53</v>
      </c>
      <c r="F275" s="201" t="n">
        <v>200025889003</v>
      </c>
      <c r="G275" s="198" t="s">
        <v>706</v>
      </c>
      <c r="H275" s="163" t="s">
        <v>251</v>
      </c>
      <c r="I275" s="161" t="n">
        <v>22</v>
      </c>
      <c r="J275" s="156" t="s">
        <v>185</v>
      </c>
      <c r="K275" s="200" t="n">
        <v>45453.6389814815</v>
      </c>
      <c r="L275" s="3" t="n">
        <v>26</v>
      </c>
      <c r="M275" s="3" t="n">
        <v>26</v>
      </c>
      <c r="N275" s="1" t="n">
        <v>3</v>
      </c>
      <c r="O275" s="1" t="n">
        <v>5</v>
      </c>
    </row>
    <row r="276" customFormat="false" ht="14.25" hidden="false" customHeight="false" outlineLevel="0" collapsed="false">
      <c r="A276" s="1" t="n">
        <v>309</v>
      </c>
      <c r="B276" s="1" t="s">
        <v>702</v>
      </c>
      <c r="C276" s="1" t="s">
        <v>703</v>
      </c>
      <c r="D276" s="1" t="n">
        <v>11197</v>
      </c>
      <c r="E276" s="1" t="s">
        <v>53</v>
      </c>
      <c r="F276" s="201" t="n">
        <v>200025889003</v>
      </c>
      <c r="G276" s="198" t="s">
        <v>706</v>
      </c>
      <c r="H276" s="163" t="s">
        <v>251</v>
      </c>
      <c r="I276" s="161" t="n">
        <v>22</v>
      </c>
      <c r="J276" s="156" t="s">
        <v>185</v>
      </c>
      <c r="K276" s="200" t="n">
        <v>45453.7402777778</v>
      </c>
      <c r="L276" s="3" t="n">
        <v>26</v>
      </c>
      <c r="M276" s="3" t="n">
        <v>26</v>
      </c>
      <c r="N276" s="1" t="n">
        <v>4</v>
      </c>
      <c r="O276" s="1" t="n">
        <v>2</v>
      </c>
    </row>
    <row r="277" customFormat="false" ht="14.25" hidden="false" customHeight="false" outlineLevel="0" collapsed="false">
      <c r="A277" s="1" t="n">
        <v>310</v>
      </c>
      <c r="B277" s="1" t="s">
        <v>702</v>
      </c>
      <c r="C277" s="1" t="s">
        <v>703</v>
      </c>
      <c r="D277" s="1" t="n">
        <v>11197</v>
      </c>
      <c r="E277" s="1" t="s">
        <v>53</v>
      </c>
      <c r="F277" s="201" t="n">
        <v>200025889003</v>
      </c>
      <c r="G277" s="198" t="s">
        <v>706</v>
      </c>
      <c r="H277" s="163" t="s">
        <v>251</v>
      </c>
      <c r="I277" s="161" t="n">
        <v>22</v>
      </c>
      <c r="J277" s="156" t="s">
        <v>185</v>
      </c>
      <c r="K277" s="200" t="n">
        <v>45453.7458912037</v>
      </c>
      <c r="L277" s="3" t="n">
        <v>26</v>
      </c>
      <c r="M277" s="3" t="n">
        <v>26</v>
      </c>
      <c r="N277" s="1" t="n">
        <v>5</v>
      </c>
      <c r="O277" s="1" t="n">
        <v>1</v>
      </c>
    </row>
    <row r="278" customFormat="false" ht="14.25" hidden="false" customHeight="false" outlineLevel="0" collapsed="false">
      <c r="A278" s="1" t="n">
        <v>311</v>
      </c>
      <c r="B278" s="1" t="s">
        <v>702</v>
      </c>
      <c r="C278" s="1" t="s">
        <v>703</v>
      </c>
      <c r="D278" s="1" t="n">
        <v>11197</v>
      </c>
      <c r="E278" s="1" t="s">
        <v>53</v>
      </c>
      <c r="F278" s="201" t="n">
        <v>200025889003</v>
      </c>
      <c r="G278" s="198" t="s">
        <v>706</v>
      </c>
      <c r="H278" s="163" t="s">
        <v>251</v>
      </c>
      <c r="I278" s="161" t="n">
        <v>22</v>
      </c>
      <c r="J278" s="156" t="s">
        <v>185</v>
      </c>
      <c r="K278" s="200" t="n">
        <v>45453.7465625</v>
      </c>
      <c r="L278" s="3" t="n">
        <v>26</v>
      </c>
      <c r="M278" s="3" t="n">
        <v>26</v>
      </c>
      <c r="N278" s="1" t="n">
        <v>6</v>
      </c>
      <c r="O278" s="1" t="n">
        <v>0</v>
      </c>
    </row>
    <row r="279" customFormat="false" ht="14.25" hidden="false" customHeight="false" outlineLevel="0" collapsed="false">
      <c r="A279" s="1" t="n">
        <v>312</v>
      </c>
      <c r="B279" s="1" t="s">
        <v>702</v>
      </c>
      <c r="C279" s="1" t="s">
        <v>703</v>
      </c>
      <c r="D279" s="1" t="n">
        <v>11197</v>
      </c>
      <c r="E279" s="1" t="s">
        <v>53</v>
      </c>
      <c r="F279" s="201" t="n">
        <v>200025889003</v>
      </c>
      <c r="G279" s="198" t="s">
        <v>706</v>
      </c>
      <c r="H279" s="163" t="s">
        <v>251</v>
      </c>
      <c r="I279" s="161" t="n">
        <v>22</v>
      </c>
      <c r="J279" s="156" t="s">
        <v>185</v>
      </c>
      <c r="K279" s="200" t="n">
        <v>45453.7473842593</v>
      </c>
      <c r="L279" s="3" t="n">
        <v>26</v>
      </c>
      <c r="M279" s="3" t="n">
        <v>26</v>
      </c>
      <c r="N279" s="1" t="n">
        <v>7</v>
      </c>
      <c r="O279" s="1" t="n">
        <v>4</v>
      </c>
    </row>
    <row r="280" customFormat="false" ht="14.25" hidden="false" customHeight="false" outlineLevel="0" collapsed="false">
      <c r="A280" s="1" t="n">
        <v>328</v>
      </c>
      <c r="B280" s="1" t="s">
        <v>702</v>
      </c>
      <c r="C280" s="1" t="s">
        <v>703</v>
      </c>
      <c r="D280" s="1" t="n">
        <v>11197</v>
      </c>
      <c r="E280" s="1" t="s">
        <v>53</v>
      </c>
      <c r="F280" s="201" t="n">
        <v>200025889003</v>
      </c>
      <c r="G280" s="198" t="s">
        <v>706</v>
      </c>
      <c r="H280" s="163" t="s">
        <v>251</v>
      </c>
      <c r="I280" s="161" t="n">
        <v>22</v>
      </c>
      <c r="J280" s="156" t="s">
        <v>185</v>
      </c>
      <c r="K280" s="200" t="n">
        <v>45453.8673263889</v>
      </c>
      <c r="L280" s="3" t="n">
        <v>26</v>
      </c>
      <c r="M280" s="3" t="n">
        <v>26</v>
      </c>
      <c r="N280" s="1" t="n">
        <v>8</v>
      </c>
      <c r="O280" s="1" t="n">
        <v>4</v>
      </c>
    </row>
    <row r="281" customFormat="false" ht="14.25" hidden="false" customHeight="false" outlineLevel="0" collapsed="false">
      <c r="A281" s="1" t="n">
        <v>329</v>
      </c>
      <c r="B281" s="1" t="s">
        <v>702</v>
      </c>
      <c r="C281" s="1" t="s">
        <v>703</v>
      </c>
      <c r="D281" s="1" t="n">
        <v>11197</v>
      </c>
      <c r="E281" s="1" t="s">
        <v>53</v>
      </c>
      <c r="F281" s="201" t="n">
        <v>200025889003</v>
      </c>
      <c r="G281" s="198" t="s">
        <v>706</v>
      </c>
      <c r="H281" s="163" t="s">
        <v>251</v>
      </c>
      <c r="I281" s="161" t="n">
        <v>22</v>
      </c>
      <c r="J281" s="156" t="s">
        <v>185</v>
      </c>
      <c r="K281" s="200" t="n">
        <v>45453.9559722222</v>
      </c>
      <c r="L281" s="3" t="n">
        <v>26</v>
      </c>
      <c r="M281" s="3" t="n">
        <v>26</v>
      </c>
      <c r="N281" s="1" t="n">
        <v>9</v>
      </c>
      <c r="O281" s="1" t="n">
        <v>2</v>
      </c>
    </row>
    <row r="282" customFormat="false" ht="14.25" hidden="false" customHeight="false" outlineLevel="0" collapsed="false">
      <c r="A282" s="1" t="n">
        <v>330</v>
      </c>
      <c r="B282" s="1" t="s">
        <v>702</v>
      </c>
      <c r="C282" s="1" t="s">
        <v>703</v>
      </c>
      <c r="D282" s="1" t="n">
        <v>11197</v>
      </c>
      <c r="E282" s="1" t="s">
        <v>53</v>
      </c>
      <c r="F282" s="201" t="n">
        <v>200025889003</v>
      </c>
      <c r="G282" s="198" t="s">
        <v>706</v>
      </c>
      <c r="H282" s="163" t="s">
        <v>251</v>
      </c>
      <c r="I282" s="161" t="n">
        <v>22</v>
      </c>
      <c r="J282" s="156" t="s">
        <v>185</v>
      </c>
      <c r="K282" s="200" t="n">
        <v>45453.9574652778</v>
      </c>
      <c r="L282" s="3" t="n">
        <v>26</v>
      </c>
      <c r="M282" s="3" t="n">
        <v>26</v>
      </c>
      <c r="N282" s="1" t="n">
        <v>10</v>
      </c>
      <c r="O282" s="1" t="n">
        <v>0</v>
      </c>
    </row>
    <row r="283" customFormat="false" ht="14.25" hidden="false" customHeight="false" outlineLevel="0" collapsed="false">
      <c r="A283" s="1" t="n">
        <v>331</v>
      </c>
      <c r="B283" s="1" t="s">
        <v>702</v>
      </c>
      <c r="C283" s="1" t="s">
        <v>703</v>
      </c>
      <c r="D283" s="1" t="n">
        <v>11197</v>
      </c>
      <c r="E283" s="1" t="s">
        <v>53</v>
      </c>
      <c r="F283" s="201" t="n">
        <v>200025889003</v>
      </c>
      <c r="G283" s="198" t="s">
        <v>706</v>
      </c>
      <c r="H283" s="163" t="s">
        <v>251</v>
      </c>
      <c r="I283" s="161" t="n">
        <v>22</v>
      </c>
      <c r="J283" s="156" t="s">
        <v>185</v>
      </c>
      <c r="K283" s="200" t="n">
        <v>45453.9574768519</v>
      </c>
      <c r="L283" s="3" t="n">
        <v>26</v>
      </c>
      <c r="M283" s="3" t="n">
        <v>26</v>
      </c>
      <c r="N283" s="1" t="n">
        <v>11</v>
      </c>
      <c r="O283" s="1" t="n">
        <v>0</v>
      </c>
    </row>
    <row r="284" customFormat="false" ht="14.25" hidden="false" customHeight="false" outlineLevel="0" collapsed="false">
      <c r="A284" s="1" t="n">
        <v>332</v>
      </c>
      <c r="B284" s="1" t="s">
        <v>702</v>
      </c>
      <c r="C284" s="1" t="s">
        <v>703</v>
      </c>
      <c r="D284" s="1" t="n">
        <v>11197</v>
      </c>
      <c r="E284" s="1" t="s">
        <v>53</v>
      </c>
      <c r="F284" s="201" t="n">
        <v>200025889003</v>
      </c>
      <c r="G284" s="198" t="s">
        <v>706</v>
      </c>
      <c r="H284" s="163" t="s">
        <v>251</v>
      </c>
      <c r="I284" s="161" t="n">
        <v>22</v>
      </c>
      <c r="J284" s="156" t="s">
        <v>185</v>
      </c>
      <c r="K284" s="200" t="n">
        <v>45453.9574884259</v>
      </c>
      <c r="L284" s="3" t="n">
        <v>26</v>
      </c>
      <c r="M284" s="3" t="n">
        <v>26</v>
      </c>
      <c r="N284" s="1" t="n">
        <v>12</v>
      </c>
      <c r="O284" s="1" t="n">
        <v>0</v>
      </c>
    </row>
    <row r="285" customFormat="false" ht="14.25" hidden="false" customHeight="false" outlineLevel="0" collapsed="false">
      <c r="A285" s="1" t="n">
        <v>333</v>
      </c>
      <c r="B285" s="1" t="s">
        <v>702</v>
      </c>
      <c r="C285" s="1" t="s">
        <v>703</v>
      </c>
      <c r="D285" s="1" t="n">
        <v>11197</v>
      </c>
      <c r="E285" s="1" t="s">
        <v>53</v>
      </c>
      <c r="F285" s="201" t="n">
        <v>200025889003</v>
      </c>
      <c r="G285" s="198" t="s">
        <v>706</v>
      </c>
      <c r="H285" s="163" t="s">
        <v>251</v>
      </c>
      <c r="I285" s="161" t="n">
        <v>22</v>
      </c>
      <c r="J285" s="156" t="s">
        <v>185</v>
      </c>
      <c r="K285" s="200" t="n">
        <v>45453.9575115741</v>
      </c>
      <c r="L285" s="3" t="n">
        <v>26</v>
      </c>
      <c r="M285" s="3" t="n">
        <v>26</v>
      </c>
      <c r="N285" s="1" t="n">
        <v>13</v>
      </c>
      <c r="O285" s="1" t="n">
        <v>0</v>
      </c>
    </row>
    <row r="286" customFormat="false" ht="14.25" hidden="false" customHeight="false" outlineLevel="0" collapsed="false">
      <c r="A286" s="1" t="n">
        <v>334</v>
      </c>
      <c r="B286" s="1" t="s">
        <v>702</v>
      </c>
      <c r="C286" s="1" t="s">
        <v>703</v>
      </c>
      <c r="D286" s="1" t="n">
        <v>11197</v>
      </c>
      <c r="E286" s="1" t="s">
        <v>53</v>
      </c>
      <c r="F286" s="201" t="n">
        <v>200025889003</v>
      </c>
      <c r="G286" s="198" t="s">
        <v>706</v>
      </c>
      <c r="H286" s="163" t="s">
        <v>251</v>
      </c>
      <c r="I286" s="161" t="n">
        <v>22</v>
      </c>
      <c r="J286" s="156" t="s">
        <v>185</v>
      </c>
      <c r="K286" s="200" t="n">
        <v>45453.9575231482</v>
      </c>
      <c r="L286" s="3" t="n">
        <v>26</v>
      </c>
      <c r="M286" s="3" t="n">
        <v>26</v>
      </c>
      <c r="N286" s="1" t="n">
        <v>14</v>
      </c>
      <c r="O286" s="1" t="n">
        <v>1</v>
      </c>
    </row>
    <row r="287" customFormat="false" ht="14.25" hidden="false" customHeight="false" outlineLevel="0" collapsed="false">
      <c r="A287" s="1" t="n">
        <v>335</v>
      </c>
      <c r="B287" s="1" t="s">
        <v>702</v>
      </c>
      <c r="C287" s="1" t="s">
        <v>703</v>
      </c>
      <c r="D287" s="1" t="n">
        <v>11197</v>
      </c>
      <c r="E287" s="1" t="s">
        <v>53</v>
      </c>
      <c r="F287" s="201" t="n">
        <v>200025889003</v>
      </c>
      <c r="G287" s="198" t="s">
        <v>706</v>
      </c>
      <c r="H287" s="163" t="s">
        <v>251</v>
      </c>
      <c r="I287" s="161" t="n">
        <v>22</v>
      </c>
      <c r="J287" s="156" t="s">
        <v>185</v>
      </c>
      <c r="K287" s="200" t="n">
        <v>45454.0472569445</v>
      </c>
      <c r="L287" s="3" t="n">
        <v>26</v>
      </c>
      <c r="M287" s="3" t="n">
        <v>26</v>
      </c>
      <c r="N287" s="1" t="n">
        <v>15</v>
      </c>
      <c r="O287" s="1" t="n">
        <v>1</v>
      </c>
    </row>
    <row r="288" customFormat="false" ht="14.25" hidden="false" customHeight="false" outlineLevel="0" collapsed="false">
      <c r="A288" s="1" t="n">
        <v>336</v>
      </c>
      <c r="B288" s="1" t="s">
        <v>702</v>
      </c>
      <c r="C288" s="1" t="s">
        <v>703</v>
      </c>
      <c r="D288" s="1" t="n">
        <v>11197</v>
      </c>
      <c r="E288" s="1" t="s">
        <v>53</v>
      </c>
      <c r="F288" s="201" t="n">
        <v>200025889003</v>
      </c>
      <c r="G288" s="198" t="s">
        <v>706</v>
      </c>
      <c r="H288" s="163" t="s">
        <v>251</v>
      </c>
      <c r="I288" s="161" t="n">
        <v>22</v>
      </c>
      <c r="J288" s="156" t="s">
        <v>185</v>
      </c>
      <c r="K288" s="200" t="n">
        <v>45454.0494212963</v>
      </c>
      <c r="L288" s="3" t="n">
        <v>26</v>
      </c>
      <c r="M288" s="3" t="n">
        <v>26</v>
      </c>
      <c r="N288" s="1" t="n">
        <v>16</v>
      </c>
      <c r="O288" s="1" t="n">
        <v>1</v>
      </c>
    </row>
    <row r="289" customFormat="false" ht="14.25" hidden="false" customHeight="false" outlineLevel="0" collapsed="false">
      <c r="A289" s="1" t="n">
        <v>337</v>
      </c>
      <c r="B289" s="1" t="s">
        <v>702</v>
      </c>
      <c r="C289" s="1" t="s">
        <v>703</v>
      </c>
      <c r="D289" s="1" t="n">
        <v>11197</v>
      </c>
      <c r="E289" s="1" t="s">
        <v>53</v>
      </c>
      <c r="F289" s="201" t="n">
        <v>200025889003</v>
      </c>
      <c r="G289" s="198" t="s">
        <v>706</v>
      </c>
      <c r="H289" s="163" t="s">
        <v>251</v>
      </c>
      <c r="I289" s="161" t="n">
        <v>22</v>
      </c>
      <c r="J289" s="156" t="s">
        <v>185</v>
      </c>
      <c r="K289" s="200" t="n">
        <v>45454.0498611111</v>
      </c>
      <c r="L289" s="3" t="n">
        <v>26</v>
      </c>
      <c r="M289" s="3" t="n">
        <v>26</v>
      </c>
      <c r="N289" s="1" t="n">
        <v>17</v>
      </c>
      <c r="O289" s="1" t="n">
        <v>1</v>
      </c>
    </row>
    <row r="290" customFormat="false" ht="14.25" hidden="false" customHeight="false" outlineLevel="0" collapsed="false">
      <c r="A290" s="1" t="n">
        <v>338</v>
      </c>
      <c r="B290" s="1" t="s">
        <v>702</v>
      </c>
      <c r="C290" s="1" t="s">
        <v>703</v>
      </c>
      <c r="D290" s="1" t="n">
        <v>11197</v>
      </c>
      <c r="E290" s="1" t="s">
        <v>53</v>
      </c>
      <c r="F290" s="201" t="n">
        <v>200025889003</v>
      </c>
      <c r="G290" s="198" t="s">
        <v>706</v>
      </c>
      <c r="H290" s="163" t="s">
        <v>251</v>
      </c>
      <c r="I290" s="161" t="n">
        <v>22</v>
      </c>
      <c r="J290" s="156" t="s">
        <v>185</v>
      </c>
      <c r="K290" s="200" t="n">
        <v>45454.0541898148</v>
      </c>
      <c r="L290" s="3" t="n">
        <v>26</v>
      </c>
      <c r="M290" s="3" t="n">
        <v>26</v>
      </c>
      <c r="N290" s="1" t="n">
        <v>18</v>
      </c>
      <c r="O290" s="1" t="n">
        <v>1</v>
      </c>
    </row>
    <row r="291" customFormat="false" ht="14.25" hidden="false" customHeight="false" outlineLevel="0" collapsed="false">
      <c r="A291" s="1" t="n">
        <v>339</v>
      </c>
      <c r="B291" s="1" t="s">
        <v>702</v>
      </c>
      <c r="C291" s="1" t="s">
        <v>703</v>
      </c>
      <c r="D291" s="1" t="n">
        <v>11197</v>
      </c>
      <c r="E291" s="1" t="s">
        <v>53</v>
      </c>
      <c r="F291" s="201" t="n">
        <v>200025889003</v>
      </c>
      <c r="G291" s="198" t="s">
        <v>706</v>
      </c>
      <c r="H291" s="163" t="s">
        <v>251</v>
      </c>
      <c r="I291" s="161" t="n">
        <v>22</v>
      </c>
      <c r="J291" s="156" t="s">
        <v>185</v>
      </c>
      <c r="K291" s="200" t="n">
        <v>45454.0694212963</v>
      </c>
      <c r="L291" s="3" t="n">
        <v>26</v>
      </c>
      <c r="M291" s="3" t="n">
        <v>26</v>
      </c>
      <c r="N291" s="1" t="n">
        <v>19</v>
      </c>
      <c r="O291" s="1" t="n">
        <v>0</v>
      </c>
    </row>
    <row r="292" customFormat="false" ht="14.25" hidden="false" customHeight="false" outlineLevel="0" collapsed="false">
      <c r="A292" s="1" t="n">
        <v>340</v>
      </c>
      <c r="B292" s="1" t="s">
        <v>702</v>
      </c>
      <c r="C292" s="1" t="s">
        <v>703</v>
      </c>
      <c r="D292" s="1" t="n">
        <v>11197</v>
      </c>
      <c r="E292" s="1" t="s">
        <v>53</v>
      </c>
      <c r="F292" s="201" t="n">
        <v>200025889003</v>
      </c>
      <c r="G292" s="198" t="s">
        <v>706</v>
      </c>
      <c r="H292" s="163" t="s">
        <v>251</v>
      </c>
      <c r="I292" s="161" t="n">
        <v>22</v>
      </c>
      <c r="J292" s="156" t="s">
        <v>185</v>
      </c>
      <c r="K292" s="200" t="n">
        <v>45454.0860648148</v>
      </c>
      <c r="L292" s="3" t="n">
        <v>26</v>
      </c>
      <c r="M292" s="3" t="n">
        <v>26</v>
      </c>
      <c r="N292" s="1" t="n">
        <v>20</v>
      </c>
      <c r="O292" s="1" t="n">
        <v>1</v>
      </c>
    </row>
    <row r="293" customFormat="false" ht="14.25" hidden="false" customHeight="false" outlineLevel="0" collapsed="false">
      <c r="A293" s="1" t="n">
        <v>341</v>
      </c>
      <c r="B293" s="1" t="s">
        <v>702</v>
      </c>
      <c r="C293" s="1" t="s">
        <v>703</v>
      </c>
      <c r="D293" s="1" t="n">
        <v>11197</v>
      </c>
      <c r="E293" s="1" t="s">
        <v>53</v>
      </c>
      <c r="F293" s="201" t="n">
        <v>200025889003</v>
      </c>
      <c r="G293" s="198" t="s">
        <v>706</v>
      </c>
      <c r="H293" s="163" t="s">
        <v>251</v>
      </c>
      <c r="I293" s="161" t="n">
        <v>22</v>
      </c>
      <c r="J293" s="156" t="s">
        <v>185</v>
      </c>
      <c r="K293" s="200" t="n">
        <v>45454.1805902778</v>
      </c>
      <c r="L293" s="3" t="n">
        <v>26</v>
      </c>
      <c r="M293" s="3" t="n">
        <v>26</v>
      </c>
      <c r="N293" s="1" t="n">
        <v>21</v>
      </c>
      <c r="O293" s="1" t="n">
        <v>0</v>
      </c>
    </row>
    <row r="294" customFormat="false" ht="14.25" hidden="false" customHeight="false" outlineLevel="0" collapsed="false">
      <c r="A294" s="1" t="n">
        <v>342</v>
      </c>
      <c r="B294" s="1" t="s">
        <v>702</v>
      </c>
      <c r="C294" s="1" t="s">
        <v>703</v>
      </c>
      <c r="D294" s="1" t="n">
        <v>11197</v>
      </c>
      <c r="E294" s="1" t="s">
        <v>53</v>
      </c>
      <c r="F294" s="201" t="n">
        <v>200025889003</v>
      </c>
      <c r="G294" s="198" t="s">
        <v>706</v>
      </c>
      <c r="H294" s="163" t="s">
        <v>251</v>
      </c>
      <c r="I294" s="161" t="n">
        <v>22</v>
      </c>
      <c r="J294" s="156" t="s">
        <v>185</v>
      </c>
      <c r="K294" s="200" t="n">
        <v>45454.1814699074</v>
      </c>
      <c r="L294" s="3" t="n">
        <v>26</v>
      </c>
      <c r="M294" s="3" t="n">
        <v>26</v>
      </c>
      <c r="N294" s="1" t="n">
        <v>22</v>
      </c>
      <c r="O294" s="1" t="n">
        <v>2</v>
      </c>
    </row>
    <row r="295" customFormat="false" ht="14.25" hidden="false" customHeight="false" outlineLevel="0" collapsed="false">
      <c r="A295" s="1" t="n">
        <v>343</v>
      </c>
      <c r="B295" s="1" t="s">
        <v>702</v>
      </c>
      <c r="C295" s="1" t="s">
        <v>703</v>
      </c>
      <c r="D295" s="1" t="n">
        <v>11197</v>
      </c>
      <c r="E295" s="1" t="s">
        <v>53</v>
      </c>
      <c r="F295" s="201" t="n">
        <v>200025889003</v>
      </c>
      <c r="G295" s="198" t="s">
        <v>706</v>
      </c>
      <c r="H295" s="163" t="s">
        <v>251</v>
      </c>
      <c r="I295" s="161" t="n">
        <v>22</v>
      </c>
      <c r="J295" s="156" t="s">
        <v>185</v>
      </c>
      <c r="K295" s="200" t="n">
        <v>45454.1814930556</v>
      </c>
      <c r="L295" s="3" t="n">
        <v>26</v>
      </c>
      <c r="M295" s="3" t="n">
        <v>26</v>
      </c>
      <c r="N295" s="1" t="n">
        <v>23</v>
      </c>
      <c r="O295" s="1" t="n">
        <v>1</v>
      </c>
    </row>
    <row r="296" customFormat="false" ht="14.25" hidden="false" customHeight="false" outlineLevel="0" collapsed="false">
      <c r="A296" s="1" t="n">
        <v>344</v>
      </c>
      <c r="B296" s="1" t="s">
        <v>702</v>
      </c>
      <c r="C296" s="1" t="s">
        <v>703</v>
      </c>
      <c r="D296" s="1" t="n">
        <v>11197</v>
      </c>
      <c r="E296" s="1" t="s">
        <v>53</v>
      </c>
      <c r="F296" s="201" t="n">
        <v>200025889003</v>
      </c>
      <c r="G296" s="198" t="s">
        <v>706</v>
      </c>
      <c r="H296" s="163" t="s">
        <v>251</v>
      </c>
      <c r="I296" s="161" t="n">
        <v>22</v>
      </c>
      <c r="J296" s="156" t="s">
        <v>185</v>
      </c>
      <c r="K296" s="200" t="n">
        <v>45454.181712963</v>
      </c>
      <c r="L296" s="3" t="n">
        <v>26</v>
      </c>
      <c r="M296" s="3" t="n">
        <v>26</v>
      </c>
      <c r="N296" s="1" t="n">
        <v>24</v>
      </c>
      <c r="O296" s="1" t="n">
        <v>3</v>
      </c>
    </row>
    <row r="297" customFormat="false" ht="14.25" hidden="false" customHeight="false" outlineLevel="0" collapsed="false">
      <c r="A297" s="1" t="n">
        <v>345</v>
      </c>
      <c r="B297" s="1" t="s">
        <v>702</v>
      </c>
      <c r="C297" s="1" t="s">
        <v>703</v>
      </c>
      <c r="D297" s="1" t="n">
        <v>11197</v>
      </c>
      <c r="E297" s="1" t="s">
        <v>53</v>
      </c>
      <c r="F297" s="201" t="n">
        <v>200025889003</v>
      </c>
      <c r="G297" s="198" t="s">
        <v>706</v>
      </c>
      <c r="H297" s="163" t="s">
        <v>251</v>
      </c>
      <c r="I297" s="161" t="n">
        <v>22</v>
      </c>
      <c r="J297" s="156" t="s">
        <v>185</v>
      </c>
      <c r="K297" s="200" t="n">
        <v>45454.2709490741</v>
      </c>
      <c r="L297" s="3" t="n">
        <v>26</v>
      </c>
      <c r="M297" s="3" t="n">
        <v>26</v>
      </c>
      <c r="N297" s="1" t="n">
        <v>25</v>
      </c>
      <c r="O297" s="1" t="n">
        <v>0</v>
      </c>
    </row>
    <row r="298" customFormat="false" ht="14.25" hidden="false" customHeight="false" outlineLevel="0" collapsed="false">
      <c r="A298" s="1" t="n">
        <v>346</v>
      </c>
      <c r="B298" s="1" t="s">
        <v>702</v>
      </c>
      <c r="C298" s="1" t="s">
        <v>703</v>
      </c>
      <c r="D298" s="1" t="n">
        <v>11197</v>
      </c>
      <c r="E298" s="1" t="s">
        <v>53</v>
      </c>
      <c r="F298" s="201" t="n">
        <v>200025889003</v>
      </c>
      <c r="G298" s="198" t="s">
        <v>706</v>
      </c>
      <c r="H298" s="163" t="s">
        <v>251</v>
      </c>
      <c r="I298" s="161" t="n">
        <v>22</v>
      </c>
      <c r="J298" s="156" t="s">
        <v>185</v>
      </c>
      <c r="K298" s="200" t="n">
        <v>45454.2715740741</v>
      </c>
      <c r="L298" s="3" t="n">
        <v>26</v>
      </c>
      <c r="M298" s="3" t="n">
        <v>26</v>
      </c>
      <c r="N298" s="1" t="n">
        <v>26</v>
      </c>
      <c r="O298" s="1" t="n">
        <v>1</v>
      </c>
    </row>
    <row r="299" customFormat="false" ht="14.25" hidden="false" customHeight="false" outlineLevel="0" collapsed="false">
      <c r="A299" s="1" t="n">
        <v>347</v>
      </c>
      <c r="B299" s="1" t="s">
        <v>702</v>
      </c>
      <c r="C299" s="1" t="s">
        <v>703</v>
      </c>
      <c r="D299" s="1" t="n">
        <v>11197</v>
      </c>
      <c r="E299" s="1" t="s">
        <v>53</v>
      </c>
      <c r="F299" s="201" t="n">
        <v>200025889003</v>
      </c>
      <c r="G299" s="198" t="s">
        <v>706</v>
      </c>
      <c r="H299" s="163" t="s">
        <v>251</v>
      </c>
      <c r="I299" s="161" t="n">
        <v>22</v>
      </c>
      <c r="J299" s="156" t="s">
        <v>185</v>
      </c>
      <c r="K299" s="200" t="n">
        <v>45454.2715972222</v>
      </c>
      <c r="L299" s="3" t="n">
        <v>26</v>
      </c>
      <c r="M299" s="3" t="n">
        <v>26</v>
      </c>
      <c r="N299" s="1" t="n">
        <v>27</v>
      </c>
      <c r="O299" s="1" t="n">
        <v>1</v>
      </c>
    </row>
    <row r="300" customFormat="false" ht="14.25" hidden="false" customHeight="false" outlineLevel="0" collapsed="false">
      <c r="A300" s="1" t="n">
        <v>348</v>
      </c>
      <c r="B300" s="1" t="s">
        <v>702</v>
      </c>
      <c r="C300" s="1" t="s">
        <v>703</v>
      </c>
      <c r="D300" s="1" t="n">
        <v>11197</v>
      </c>
      <c r="E300" s="1" t="s">
        <v>53</v>
      </c>
      <c r="F300" s="201" t="n">
        <v>200025889003</v>
      </c>
      <c r="G300" s="198" t="s">
        <v>706</v>
      </c>
      <c r="H300" s="163" t="s">
        <v>251</v>
      </c>
      <c r="I300" s="161" t="n">
        <v>22</v>
      </c>
      <c r="J300" s="156" t="s">
        <v>185</v>
      </c>
      <c r="K300" s="200" t="n">
        <v>45454.2716087963</v>
      </c>
      <c r="L300" s="3" t="n">
        <v>26</v>
      </c>
      <c r="M300" s="3" t="n">
        <v>26</v>
      </c>
      <c r="N300" s="1" t="n">
        <v>28</v>
      </c>
      <c r="O300" s="1" t="n">
        <v>1</v>
      </c>
    </row>
    <row r="301" customFormat="false" ht="14.25" hidden="false" customHeight="false" outlineLevel="0" collapsed="false">
      <c r="A301" s="1" t="n">
        <v>349</v>
      </c>
      <c r="B301" s="1" t="s">
        <v>702</v>
      </c>
      <c r="C301" s="1" t="s">
        <v>703</v>
      </c>
      <c r="D301" s="1" t="n">
        <v>11197</v>
      </c>
      <c r="E301" s="1" t="s">
        <v>53</v>
      </c>
      <c r="F301" s="201" t="n">
        <v>200025889003</v>
      </c>
      <c r="G301" s="198" t="s">
        <v>706</v>
      </c>
      <c r="H301" s="163" t="s">
        <v>251</v>
      </c>
      <c r="I301" s="161" t="n">
        <v>22</v>
      </c>
      <c r="J301" s="156" t="s">
        <v>185</v>
      </c>
      <c r="K301" s="200" t="n">
        <v>45454.2716203704</v>
      </c>
      <c r="L301" s="3" t="n">
        <v>26</v>
      </c>
      <c r="M301" s="3" t="n">
        <v>26</v>
      </c>
      <c r="N301" s="1" t="n">
        <v>29</v>
      </c>
      <c r="O301" s="1" t="n">
        <v>2</v>
      </c>
    </row>
    <row r="302" customFormat="false" ht="14.25" hidden="false" customHeight="false" outlineLevel="0" collapsed="false">
      <c r="A302" s="1" t="n">
        <v>350</v>
      </c>
      <c r="B302" s="1" t="s">
        <v>702</v>
      </c>
      <c r="C302" s="1" t="s">
        <v>703</v>
      </c>
      <c r="D302" s="1" t="n">
        <v>11197</v>
      </c>
      <c r="E302" s="1" t="s">
        <v>53</v>
      </c>
      <c r="F302" s="201" t="n">
        <v>200025889003</v>
      </c>
      <c r="G302" s="198" t="s">
        <v>706</v>
      </c>
      <c r="H302" s="163" t="s">
        <v>251</v>
      </c>
      <c r="I302" s="161" t="n">
        <v>22</v>
      </c>
      <c r="J302" s="156" t="s">
        <v>185</v>
      </c>
      <c r="K302" s="200" t="n">
        <v>45454.2716435185</v>
      </c>
      <c r="L302" s="3" t="n">
        <v>26</v>
      </c>
      <c r="M302" s="3" t="n">
        <v>26</v>
      </c>
      <c r="N302" s="1" t="n">
        <v>30</v>
      </c>
      <c r="O302" s="207" t="n">
        <v>71</v>
      </c>
    </row>
    <row r="303" customFormat="false" ht="14.25" hidden="false" customHeight="false" outlineLevel="0" collapsed="false">
      <c r="A303" s="1" t="n">
        <v>351</v>
      </c>
      <c r="B303" s="1" t="s">
        <v>702</v>
      </c>
      <c r="C303" s="1" t="s">
        <v>703</v>
      </c>
      <c r="D303" s="1" t="n">
        <v>11197</v>
      </c>
      <c r="E303" s="1" t="s">
        <v>53</v>
      </c>
      <c r="F303" s="201" t="n">
        <v>200025889003</v>
      </c>
      <c r="G303" s="198" t="s">
        <v>706</v>
      </c>
      <c r="H303" s="163" t="s">
        <v>251</v>
      </c>
      <c r="I303" s="161" t="n">
        <v>22</v>
      </c>
      <c r="J303" s="156" t="s">
        <v>185</v>
      </c>
      <c r="K303" s="200" t="n">
        <v>45454.3176967593</v>
      </c>
      <c r="L303" s="3" t="n">
        <v>26</v>
      </c>
      <c r="M303" s="3" t="n">
        <v>26</v>
      </c>
      <c r="N303" s="1" t="n">
        <v>31</v>
      </c>
      <c r="O303" s="1" t="n">
        <v>0</v>
      </c>
    </row>
    <row r="304" customFormat="false" ht="14.25" hidden="false" customHeight="false" outlineLevel="0" collapsed="false">
      <c r="A304" s="1" t="n">
        <v>352</v>
      </c>
      <c r="B304" s="1" t="s">
        <v>702</v>
      </c>
      <c r="C304" s="1" t="s">
        <v>703</v>
      </c>
      <c r="D304" s="1" t="n">
        <v>11197</v>
      </c>
      <c r="E304" s="1" t="s">
        <v>53</v>
      </c>
      <c r="F304" s="201" t="n">
        <v>200025889003</v>
      </c>
      <c r="G304" s="198" t="s">
        <v>706</v>
      </c>
      <c r="H304" s="163" t="s">
        <v>251</v>
      </c>
      <c r="I304" s="161" t="n">
        <v>22</v>
      </c>
      <c r="J304" s="156" t="s">
        <v>185</v>
      </c>
      <c r="K304" s="200" t="n">
        <v>45454.3186574074</v>
      </c>
      <c r="L304" s="3" t="n">
        <v>26</v>
      </c>
      <c r="M304" s="3" t="n">
        <v>26</v>
      </c>
      <c r="N304" s="1" t="n">
        <v>32</v>
      </c>
      <c r="O304" s="1" t="n">
        <v>1</v>
      </c>
    </row>
    <row r="305" customFormat="false" ht="14.25" hidden="false" customHeight="false" outlineLevel="0" collapsed="false">
      <c r="A305" s="1" t="n">
        <v>353</v>
      </c>
      <c r="B305" s="1" t="s">
        <v>702</v>
      </c>
      <c r="C305" s="1" t="s">
        <v>703</v>
      </c>
      <c r="D305" s="1" t="n">
        <v>11197</v>
      </c>
      <c r="E305" s="1" t="s">
        <v>53</v>
      </c>
      <c r="F305" s="201" t="n">
        <v>200025889003</v>
      </c>
      <c r="G305" s="198" t="s">
        <v>706</v>
      </c>
      <c r="H305" s="163" t="s">
        <v>251</v>
      </c>
      <c r="I305" s="161" t="n">
        <v>22</v>
      </c>
      <c r="J305" s="156" t="s">
        <v>185</v>
      </c>
      <c r="K305" s="200" t="n">
        <v>45454.3194791667</v>
      </c>
      <c r="L305" s="3" t="n">
        <v>26</v>
      </c>
      <c r="M305" s="3" t="n">
        <v>26</v>
      </c>
      <c r="N305" s="1" t="n">
        <v>33</v>
      </c>
      <c r="O305" s="1" t="n">
        <v>2</v>
      </c>
    </row>
    <row r="306" customFormat="false" ht="14.25" hidden="false" customHeight="false" outlineLevel="0" collapsed="false">
      <c r="A306" s="1" t="n">
        <v>14</v>
      </c>
      <c r="B306" s="1" t="s">
        <v>615</v>
      </c>
      <c r="C306" s="1" t="s">
        <v>616</v>
      </c>
      <c r="D306" s="196" t="n">
        <v>2568</v>
      </c>
      <c r="E306" s="196" t="s">
        <v>51</v>
      </c>
      <c r="F306" s="198" t="s">
        <v>617</v>
      </c>
      <c r="G306" s="198" t="s">
        <v>618</v>
      </c>
      <c r="H306" s="163" t="s">
        <v>306</v>
      </c>
      <c r="I306" s="161" t="n">
        <v>96</v>
      </c>
      <c r="J306" s="156" t="s">
        <v>185</v>
      </c>
      <c r="K306" s="200" t="n">
        <v>45436.5506018519</v>
      </c>
      <c r="L306" s="3" t="n">
        <v>27</v>
      </c>
      <c r="M306" s="3" t="n">
        <v>27</v>
      </c>
      <c r="N306" s="1" t="n">
        <v>1</v>
      </c>
      <c r="O306" s="1" t="n">
        <v>1</v>
      </c>
    </row>
    <row r="307" customFormat="false" ht="14.25" hidden="false" customHeight="false" outlineLevel="0" collapsed="false">
      <c r="A307" s="1" t="n">
        <v>15</v>
      </c>
      <c r="B307" s="1" t="s">
        <v>615</v>
      </c>
      <c r="C307" s="1" t="s">
        <v>616</v>
      </c>
      <c r="D307" s="196" t="n">
        <v>2568</v>
      </c>
      <c r="E307" s="196" t="s">
        <v>51</v>
      </c>
      <c r="F307" s="198" t="s">
        <v>617</v>
      </c>
      <c r="G307" s="198" t="s">
        <v>618</v>
      </c>
      <c r="H307" s="163" t="s">
        <v>306</v>
      </c>
      <c r="I307" s="161" t="n">
        <v>96</v>
      </c>
      <c r="J307" s="156" t="s">
        <v>185</v>
      </c>
      <c r="K307" s="200" t="n">
        <v>45436.5506134259</v>
      </c>
      <c r="L307" s="3" t="n">
        <v>27</v>
      </c>
      <c r="M307" s="3" t="n">
        <v>27</v>
      </c>
      <c r="N307" s="1" t="n">
        <v>2</v>
      </c>
      <c r="O307" s="1" t="n">
        <v>1</v>
      </c>
    </row>
    <row r="308" customFormat="false" ht="14.25" hidden="false" customHeight="false" outlineLevel="0" collapsed="false">
      <c r="A308" s="1" t="n">
        <v>89</v>
      </c>
      <c r="B308" s="1" t="s">
        <v>643</v>
      </c>
      <c r="C308" s="1" t="s">
        <v>644</v>
      </c>
      <c r="D308" s="196" t="n">
        <v>2568</v>
      </c>
      <c r="E308" s="196" t="s">
        <v>51</v>
      </c>
      <c r="F308" s="201" t="n">
        <v>200025888293</v>
      </c>
      <c r="G308" s="198" t="s">
        <v>618</v>
      </c>
      <c r="H308" s="163" t="s">
        <v>306</v>
      </c>
      <c r="I308" s="161" t="n">
        <v>96</v>
      </c>
      <c r="J308" s="156" t="s">
        <v>185</v>
      </c>
      <c r="K308" s="200" t="n">
        <v>45461.7305787037</v>
      </c>
      <c r="L308" s="3" t="n">
        <v>27</v>
      </c>
      <c r="M308" s="3" t="n">
        <v>27</v>
      </c>
      <c r="N308" s="1" t="n">
        <v>3</v>
      </c>
      <c r="O308" s="1" t="n">
        <v>1</v>
      </c>
    </row>
    <row r="309" customFormat="false" ht="14.25" hidden="false" customHeight="false" outlineLevel="0" collapsed="false">
      <c r="A309" s="1" t="n">
        <v>16</v>
      </c>
      <c r="B309" s="1" t="s">
        <v>615</v>
      </c>
      <c r="C309" s="1" t="s">
        <v>616</v>
      </c>
      <c r="D309" s="196" t="n">
        <v>2568</v>
      </c>
      <c r="E309" s="196" t="s">
        <v>51</v>
      </c>
      <c r="F309" s="201" t="n">
        <v>200025889213</v>
      </c>
      <c r="G309" s="198" t="s">
        <v>619</v>
      </c>
      <c r="H309" s="178" t="s">
        <v>390</v>
      </c>
      <c r="I309" s="176" t="n">
        <v>94</v>
      </c>
      <c r="J309" s="175" t="s">
        <v>185</v>
      </c>
      <c r="K309" s="200" t="n">
        <v>45437.2937615741</v>
      </c>
      <c r="L309" s="3" t="n">
        <v>28</v>
      </c>
      <c r="M309" s="3" t="n">
        <v>28</v>
      </c>
      <c r="N309" s="1" t="n">
        <v>1</v>
      </c>
      <c r="O309" s="1" t="n">
        <v>1</v>
      </c>
    </row>
    <row r="310" customFormat="false" ht="14.25" hidden="false" customHeight="false" outlineLevel="0" collapsed="false">
      <c r="A310" s="1" t="n">
        <v>17</v>
      </c>
      <c r="B310" s="1" t="s">
        <v>615</v>
      </c>
      <c r="C310" s="1" t="s">
        <v>616</v>
      </c>
      <c r="D310" s="196" t="n">
        <v>2568</v>
      </c>
      <c r="E310" s="196" t="s">
        <v>51</v>
      </c>
      <c r="F310" s="201" t="n">
        <v>200025889213</v>
      </c>
      <c r="G310" s="198" t="s">
        <v>619</v>
      </c>
      <c r="H310" s="178" t="s">
        <v>390</v>
      </c>
      <c r="I310" s="176" t="n">
        <v>94</v>
      </c>
      <c r="J310" s="175" t="s">
        <v>185</v>
      </c>
      <c r="K310" s="200" t="n">
        <v>45437.2937731482</v>
      </c>
      <c r="L310" s="3" t="n">
        <v>28</v>
      </c>
      <c r="M310" s="3" t="n">
        <v>28</v>
      </c>
      <c r="N310" s="1" t="n">
        <v>2</v>
      </c>
      <c r="O310" s="1" t="n">
        <v>2</v>
      </c>
    </row>
    <row r="311" customFormat="false" ht="14.25" hidden="false" customHeight="false" outlineLevel="0" collapsed="false">
      <c r="A311" s="1" t="n">
        <v>18</v>
      </c>
      <c r="B311" s="1" t="s">
        <v>615</v>
      </c>
      <c r="C311" s="1" t="s">
        <v>616</v>
      </c>
      <c r="D311" s="196" t="n">
        <v>2568</v>
      </c>
      <c r="E311" s="196" t="s">
        <v>51</v>
      </c>
      <c r="F311" s="201" t="n">
        <v>200025889213</v>
      </c>
      <c r="G311" s="198" t="s">
        <v>619</v>
      </c>
      <c r="H311" s="178" t="s">
        <v>390</v>
      </c>
      <c r="I311" s="176" t="n">
        <v>94</v>
      </c>
      <c r="J311" s="175" t="s">
        <v>185</v>
      </c>
      <c r="K311" s="200" t="n">
        <v>45437.2945949074</v>
      </c>
      <c r="L311" s="3" t="n">
        <v>28</v>
      </c>
      <c r="M311" s="3" t="n">
        <v>28</v>
      </c>
      <c r="N311" s="1" t="n">
        <v>3</v>
      </c>
      <c r="O311" s="1" t="n">
        <v>0</v>
      </c>
    </row>
    <row r="312" customFormat="false" ht="14.25" hidden="false" customHeight="false" outlineLevel="0" collapsed="false">
      <c r="A312" s="1" t="n">
        <v>19</v>
      </c>
      <c r="B312" s="1" t="s">
        <v>615</v>
      </c>
      <c r="C312" s="1" t="s">
        <v>616</v>
      </c>
      <c r="D312" s="196" t="n">
        <v>2568</v>
      </c>
      <c r="E312" s="196" t="s">
        <v>51</v>
      </c>
      <c r="F312" s="201" t="n">
        <v>200025889213</v>
      </c>
      <c r="G312" s="198" t="s">
        <v>619</v>
      </c>
      <c r="H312" s="178" t="s">
        <v>390</v>
      </c>
      <c r="I312" s="176" t="n">
        <v>94</v>
      </c>
      <c r="J312" s="175" t="s">
        <v>185</v>
      </c>
      <c r="K312" s="200" t="n">
        <v>45437.2946064815</v>
      </c>
      <c r="L312" s="3" t="n">
        <v>28</v>
      </c>
      <c r="M312" s="3" t="n">
        <v>28</v>
      </c>
      <c r="N312" s="1" t="n">
        <v>4</v>
      </c>
      <c r="O312" s="1" t="n">
        <v>1</v>
      </c>
    </row>
    <row r="313" customFormat="false" ht="14.25" hidden="false" customHeight="false" outlineLevel="0" collapsed="false">
      <c r="A313" s="1" t="n">
        <v>20</v>
      </c>
      <c r="B313" s="1" t="s">
        <v>615</v>
      </c>
      <c r="C313" s="1" t="s">
        <v>616</v>
      </c>
      <c r="D313" s="196" t="n">
        <v>2568</v>
      </c>
      <c r="E313" s="196" t="s">
        <v>51</v>
      </c>
      <c r="F313" s="201" t="n">
        <v>200025889213</v>
      </c>
      <c r="G313" s="198" t="s">
        <v>619</v>
      </c>
      <c r="H313" s="178" t="s">
        <v>390</v>
      </c>
      <c r="I313" s="176" t="n">
        <v>94</v>
      </c>
      <c r="J313" s="175" t="s">
        <v>185</v>
      </c>
      <c r="K313" s="200" t="n">
        <v>45437.2951967593</v>
      </c>
      <c r="L313" s="3" t="n">
        <v>28</v>
      </c>
      <c r="M313" s="3" t="n">
        <v>28</v>
      </c>
      <c r="N313" s="1" t="n">
        <v>5</v>
      </c>
      <c r="O313" s="1" t="n">
        <v>0</v>
      </c>
    </row>
    <row r="314" customFormat="false" ht="14.25" hidden="false" customHeight="false" outlineLevel="0" collapsed="false">
      <c r="A314" s="1" t="n">
        <v>21</v>
      </c>
      <c r="B314" s="1" t="s">
        <v>615</v>
      </c>
      <c r="C314" s="1" t="s">
        <v>616</v>
      </c>
      <c r="D314" s="196" t="n">
        <v>2568</v>
      </c>
      <c r="E314" s="196" t="s">
        <v>51</v>
      </c>
      <c r="F314" s="201" t="n">
        <v>200025889213</v>
      </c>
      <c r="G314" s="198" t="s">
        <v>619</v>
      </c>
      <c r="H314" s="178" t="s">
        <v>390</v>
      </c>
      <c r="I314" s="176" t="n">
        <v>94</v>
      </c>
      <c r="J314" s="175" t="s">
        <v>185</v>
      </c>
      <c r="K314" s="200" t="n">
        <v>45437.295625</v>
      </c>
      <c r="L314" s="3" t="n">
        <v>28</v>
      </c>
      <c r="M314" s="3" t="n">
        <v>28</v>
      </c>
      <c r="N314" s="1" t="n">
        <v>6</v>
      </c>
      <c r="O314" s="1" t="n">
        <v>2</v>
      </c>
    </row>
    <row r="315" customFormat="false" ht="14.25" hidden="false" customHeight="false" outlineLevel="0" collapsed="false">
      <c r="A315" s="1" t="n">
        <v>22</v>
      </c>
      <c r="B315" s="1" t="s">
        <v>615</v>
      </c>
      <c r="C315" s="1" t="s">
        <v>616</v>
      </c>
      <c r="D315" s="196" t="n">
        <v>2568</v>
      </c>
      <c r="E315" s="196" t="s">
        <v>51</v>
      </c>
      <c r="F315" s="201" t="n">
        <v>200025889213</v>
      </c>
      <c r="G315" s="198" t="s">
        <v>619</v>
      </c>
      <c r="H315" s="178" t="s">
        <v>390</v>
      </c>
      <c r="I315" s="176" t="n">
        <v>94</v>
      </c>
      <c r="J315" s="175" t="s">
        <v>185</v>
      </c>
      <c r="K315" s="200" t="n">
        <v>45437.2962615741</v>
      </c>
      <c r="L315" s="3" t="n">
        <v>28</v>
      </c>
      <c r="M315" s="3" t="n">
        <v>28</v>
      </c>
      <c r="N315" s="1" t="n">
        <v>7</v>
      </c>
      <c r="O315" s="1" t="n">
        <v>30</v>
      </c>
    </row>
    <row r="316" customFormat="false" ht="14.25" hidden="false" customHeight="false" outlineLevel="0" collapsed="false">
      <c r="A316" s="1" t="n">
        <v>23</v>
      </c>
      <c r="B316" s="1" t="s">
        <v>615</v>
      </c>
      <c r="C316" s="1" t="s">
        <v>616</v>
      </c>
      <c r="D316" s="196" t="n">
        <v>2568</v>
      </c>
      <c r="E316" s="196" t="s">
        <v>51</v>
      </c>
      <c r="F316" s="201" t="n">
        <v>200025889213</v>
      </c>
      <c r="G316" s="198" t="s">
        <v>619</v>
      </c>
      <c r="H316" s="178" t="s">
        <v>390</v>
      </c>
      <c r="I316" s="176" t="n">
        <v>94</v>
      </c>
      <c r="J316" s="175" t="s">
        <v>185</v>
      </c>
      <c r="K316" s="200" t="n">
        <v>45437.2966203704</v>
      </c>
      <c r="L316" s="3" t="n">
        <v>28</v>
      </c>
      <c r="M316" s="3" t="n">
        <v>28</v>
      </c>
      <c r="N316" s="1" t="n">
        <v>8</v>
      </c>
      <c r="O316" s="1" t="n">
        <v>0</v>
      </c>
    </row>
    <row r="317" customFormat="false" ht="14.25" hidden="false" customHeight="false" outlineLevel="0" collapsed="false">
      <c r="A317" s="1" t="n">
        <v>24</v>
      </c>
      <c r="B317" s="1" t="s">
        <v>615</v>
      </c>
      <c r="C317" s="1" t="s">
        <v>616</v>
      </c>
      <c r="D317" s="196" t="n">
        <v>2568</v>
      </c>
      <c r="E317" s="196" t="s">
        <v>51</v>
      </c>
      <c r="F317" s="201" t="n">
        <v>200025889213</v>
      </c>
      <c r="G317" s="198" t="s">
        <v>619</v>
      </c>
      <c r="H317" s="178" t="s">
        <v>390</v>
      </c>
      <c r="I317" s="176" t="n">
        <v>94</v>
      </c>
      <c r="J317" s="175" t="s">
        <v>185</v>
      </c>
      <c r="K317" s="200" t="n">
        <v>45437.2972685185</v>
      </c>
      <c r="L317" s="3" t="n">
        <v>28</v>
      </c>
      <c r="M317" s="3" t="n">
        <v>28</v>
      </c>
      <c r="N317" s="1" t="n">
        <v>9</v>
      </c>
      <c r="O317" s="1" t="n">
        <v>2</v>
      </c>
    </row>
    <row r="318" customFormat="false" ht="14.25" hidden="false" customHeight="false" outlineLevel="0" collapsed="false">
      <c r="A318" s="1" t="n">
        <v>25</v>
      </c>
      <c r="B318" s="1" t="s">
        <v>615</v>
      </c>
      <c r="C318" s="1" t="s">
        <v>616</v>
      </c>
      <c r="D318" s="196" t="n">
        <v>2568</v>
      </c>
      <c r="E318" s="196" t="s">
        <v>51</v>
      </c>
      <c r="F318" s="201" t="n">
        <v>200025889213</v>
      </c>
      <c r="G318" s="198" t="s">
        <v>619</v>
      </c>
      <c r="H318" s="178" t="s">
        <v>390</v>
      </c>
      <c r="I318" s="176" t="n">
        <v>94</v>
      </c>
      <c r="J318" s="175" t="s">
        <v>185</v>
      </c>
      <c r="K318" s="200" t="n">
        <v>45437.2996990741</v>
      </c>
      <c r="L318" s="3" t="n">
        <v>28</v>
      </c>
      <c r="M318" s="3" t="n">
        <v>28</v>
      </c>
      <c r="N318" s="1" t="n">
        <v>10</v>
      </c>
      <c r="O318" s="1" t="n">
        <v>0</v>
      </c>
    </row>
    <row r="319" customFormat="false" ht="14.25" hidden="false" customHeight="false" outlineLevel="0" collapsed="false">
      <c r="A319" s="1" t="n">
        <v>26</v>
      </c>
      <c r="B319" s="1" t="s">
        <v>615</v>
      </c>
      <c r="C319" s="1" t="s">
        <v>616</v>
      </c>
      <c r="D319" s="196" t="n">
        <v>2568</v>
      </c>
      <c r="E319" s="196" t="s">
        <v>51</v>
      </c>
      <c r="F319" s="201" t="n">
        <v>200025889213</v>
      </c>
      <c r="G319" s="198" t="s">
        <v>619</v>
      </c>
      <c r="H319" s="178" t="s">
        <v>390</v>
      </c>
      <c r="I319" s="176" t="n">
        <v>94</v>
      </c>
      <c r="J319" s="175" t="s">
        <v>185</v>
      </c>
      <c r="K319" s="200" t="n">
        <v>45437.2997106482</v>
      </c>
      <c r="L319" s="3" t="n">
        <v>28</v>
      </c>
      <c r="M319" s="3" t="n">
        <v>28</v>
      </c>
      <c r="N319" s="1" t="n">
        <v>11</v>
      </c>
      <c r="O319" s="1" t="n">
        <v>0</v>
      </c>
    </row>
    <row r="320" customFormat="false" ht="14.25" hidden="false" customHeight="false" outlineLevel="0" collapsed="false">
      <c r="A320" s="1" t="n">
        <v>27</v>
      </c>
      <c r="B320" s="1" t="s">
        <v>615</v>
      </c>
      <c r="C320" s="1" t="s">
        <v>616</v>
      </c>
      <c r="D320" s="196" t="n">
        <v>2568</v>
      </c>
      <c r="E320" s="196" t="s">
        <v>51</v>
      </c>
      <c r="F320" s="201" t="n">
        <v>200025889213</v>
      </c>
      <c r="G320" s="198" t="s">
        <v>619</v>
      </c>
      <c r="H320" s="178" t="s">
        <v>390</v>
      </c>
      <c r="I320" s="176" t="n">
        <v>94</v>
      </c>
      <c r="J320" s="175" t="s">
        <v>185</v>
      </c>
      <c r="K320" s="200" t="n">
        <v>45437.299849537</v>
      </c>
      <c r="L320" s="3" t="n">
        <v>28</v>
      </c>
      <c r="M320" s="3" t="n">
        <v>28</v>
      </c>
      <c r="N320" s="1" t="n">
        <v>12</v>
      </c>
      <c r="O320" s="1" t="n">
        <v>1</v>
      </c>
    </row>
    <row r="321" customFormat="false" ht="14.25" hidden="false" customHeight="false" outlineLevel="0" collapsed="false">
      <c r="A321" s="1" t="n">
        <v>28</v>
      </c>
      <c r="B321" s="1" t="s">
        <v>615</v>
      </c>
      <c r="C321" s="1" t="s">
        <v>616</v>
      </c>
      <c r="D321" s="196" t="n">
        <v>2568</v>
      </c>
      <c r="E321" s="196" t="s">
        <v>51</v>
      </c>
      <c r="F321" s="201" t="n">
        <v>200025889213</v>
      </c>
      <c r="G321" s="198" t="s">
        <v>619</v>
      </c>
      <c r="H321" s="178" t="s">
        <v>390</v>
      </c>
      <c r="I321" s="176" t="n">
        <v>94</v>
      </c>
      <c r="J321" s="175" t="s">
        <v>185</v>
      </c>
      <c r="K321" s="200" t="n">
        <v>45437.3031944444</v>
      </c>
      <c r="L321" s="3" t="n">
        <v>28</v>
      </c>
      <c r="M321" s="3" t="n">
        <v>28</v>
      </c>
      <c r="N321" s="1" t="n">
        <v>13</v>
      </c>
      <c r="O321" s="1" t="n">
        <v>1</v>
      </c>
    </row>
    <row r="322" customFormat="false" ht="14.25" hidden="false" customHeight="false" outlineLevel="0" collapsed="false">
      <c r="A322" s="1" t="n">
        <v>29</v>
      </c>
      <c r="B322" s="1" t="s">
        <v>615</v>
      </c>
      <c r="C322" s="1" t="s">
        <v>616</v>
      </c>
      <c r="D322" s="196" t="n">
        <v>2568</v>
      </c>
      <c r="E322" s="196" t="s">
        <v>51</v>
      </c>
      <c r="F322" s="201" t="n">
        <v>200025889213</v>
      </c>
      <c r="G322" s="198" t="s">
        <v>619</v>
      </c>
      <c r="H322" s="178" t="s">
        <v>390</v>
      </c>
      <c r="I322" s="176" t="n">
        <v>94</v>
      </c>
      <c r="J322" s="175" t="s">
        <v>185</v>
      </c>
      <c r="K322" s="200" t="n">
        <v>45437.3063541667</v>
      </c>
      <c r="L322" s="3" t="n">
        <v>28</v>
      </c>
      <c r="M322" s="3" t="n">
        <v>28</v>
      </c>
      <c r="N322" s="1" t="n">
        <v>14</v>
      </c>
      <c r="O322" s="1" t="n">
        <v>1</v>
      </c>
    </row>
    <row r="323" customFormat="false" ht="14.25" hidden="false" customHeight="false" outlineLevel="0" collapsed="false">
      <c r="A323" s="1" t="n">
        <v>30</v>
      </c>
      <c r="B323" s="1" t="s">
        <v>615</v>
      </c>
      <c r="C323" s="1" t="s">
        <v>616</v>
      </c>
      <c r="D323" s="196" t="n">
        <v>2568</v>
      </c>
      <c r="E323" s="196" t="s">
        <v>51</v>
      </c>
      <c r="F323" s="201" t="n">
        <v>200025889213</v>
      </c>
      <c r="G323" s="198" t="s">
        <v>619</v>
      </c>
      <c r="H323" s="178" t="s">
        <v>390</v>
      </c>
      <c r="I323" s="176" t="n">
        <v>94</v>
      </c>
      <c r="J323" s="175" t="s">
        <v>185</v>
      </c>
      <c r="K323" s="200" t="n">
        <v>45437.3068981482</v>
      </c>
      <c r="L323" s="3" t="n">
        <v>28</v>
      </c>
      <c r="M323" s="3" t="n">
        <v>28</v>
      </c>
      <c r="N323" s="1" t="n">
        <v>15</v>
      </c>
      <c r="O323" s="1" t="n">
        <v>1</v>
      </c>
    </row>
    <row r="324" customFormat="false" ht="14.25" hidden="false" customHeight="false" outlineLevel="0" collapsed="false">
      <c r="A324" s="1" t="n">
        <v>31</v>
      </c>
      <c r="B324" s="1" t="s">
        <v>615</v>
      </c>
      <c r="C324" s="1" t="s">
        <v>616</v>
      </c>
      <c r="D324" s="196" t="n">
        <v>2568</v>
      </c>
      <c r="E324" s="196" t="s">
        <v>51</v>
      </c>
      <c r="F324" s="201" t="n">
        <v>200025889213</v>
      </c>
      <c r="G324" s="198" t="s">
        <v>619</v>
      </c>
      <c r="H324" s="178" t="s">
        <v>390</v>
      </c>
      <c r="I324" s="176" t="n">
        <v>94</v>
      </c>
      <c r="J324" s="175" t="s">
        <v>185</v>
      </c>
      <c r="K324" s="200" t="n">
        <v>45437.3075462963</v>
      </c>
      <c r="L324" s="3" t="n">
        <v>28</v>
      </c>
      <c r="M324" s="3" t="n">
        <v>28</v>
      </c>
      <c r="N324" s="1" t="n">
        <v>16</v>
      </c>
      <c r="O324" s="1" t="n">
        <v>1</v>
      </c>
    </row>
    <row r="325" customFormat="false" ht="14.25" hidden="false" customHeight="false" outlineLevel="0" collapsed="false">
      <c r="A325" s="1" t="n">
        <v>32</v>
      </c>
      <c r="B325" s="1" t="s">
        <v>615</v>
      </c>
      <c r="C325" s="1" t="s">
        <v>616</v>
      </c>
      <c r="D325" s="196" t="n">
        <v>2568</v>
      </c>
      <c r="E325" s="196" t="s">
        <v>51</v>
      </c>
      <c r="F325" s="201" t="n">
        <v>200025889213</v>
      </c>
      <c r="G325" s="198" t="s">
        <v>619</v>
      </c>
      <c r="H325" s="178" t="s">
        <v>390</v>
      </c>
      <c r="I325" s="176" t="n">
        <v>94</v>
      </c>
      <c r="J325" s="175" t="s">
        <v>185</v>
      </c>
      <c r="K325" s="200" t="n">
        <v>45437.3080324074</v>
      </c>
      <c r="L325" s="3" t="n">
        <v>28</v>
      </c>
      <c r="M325" s="3" t="n">
        <v>28</v>
      </c>
      <c r="N325" s="1" t="n">
        <v>17</v>
      </c>
      <c r="O325" s="10" t="n">
        <v>97</v>
      </c>
    </row>
    <row r="326" customFormat="false" ht="14.25" hidden="false" customHeight="false" outlineLevel="0" collapsed="false">
      <c r="A326" s="1" t="n">
        <v>33</v>
      </c>
      <c r="B326" s="1" t="s">
        <v>615</v>
      </c>
      <c r="C326" s="1" t="s">
        <v>616</v>
      </c>
      <c r="D326" s="196" t="n">
        <v>2568</v>
      </c>
      <c r="E326" s="196" t="s">
        <v>51</v>
      </c>
      <c r="F326" s="198" t="s">
        <v>620</v>
      </c>
      <c r="G326" s="198" t="s">
        <v>619</v>
      </c>
      <c r="H326" s="178" t="s">
        <v>390</v>
      </c>
      <c r="I326" s="176" t="n">
        <v>94</v>
      </c>
      <c r="J326" s="175" t="s">
        <v>185</v>
      </c>
      <c r="K326" s="200" t="n">
        <v>45437.7108912037</v>
      </c>
      <c r="L326" s="3" t="n">
        <v>28</v>
      </c>
      <c r="M326" s="3" t="n">
        <v>28</v>
      </c>
      <c r="N326" s="1" t="n">
        <v>18</v>
      </c>
      <c r="O326" s="1" t="n">
        <v>28</v>
      </c>
    </row>
    <row r="327" customFormat="false" ht="14.25" hidden="false" customHeight="false" outlineLevel="0" collapsed="false">
      <c r="A327" s="1" t="n">
        <v>34</v>
      </c>
      <c r="B327" s="1" t="s">
        <v>615</v>
      </c>
      <c r="C327" s="1" t="s">
        <v>616</v>
      </c>
      <c r="D327" s="196" t="n">
        <v>2568</v>
      </c>
      <c r="E327" s="196" t="s">
        <v>51</v>
      </c>
      <c r="F327" s="198" t="s">
        <v>620</v>
      </c>
      <c r="G327" s="198" t="s">
        <v>619</v>
      </c>
      <c r="H327" s="178" t="s">
        <v>390</v>
      </c>
      <c r="I327" s="176" t="n">
        <v>94</v>
      </c>
      <c r="J327" s="175" t="s">
        <v>185</v>
      </c>
      <c r="K327" s="200" t="n">
        <v>45437.7112152778</v>
      </c>
      <c r="L327" s="3" t="n">
        <v>28</v>
      </c>
      <c r="M327" s="3" t="n">
        <v>28</v>
      </c>
      <c r="N327" s="1" t="n">
        <v>19</v>
      </c>
      <c r="O327" s="1" t="n">
        <v>1</v>
      </c>
    </row>
    <row r="328" customFormat="false" ht="14.25" hidden="false" customHeight="false" outlineLevel="0" collapsed="false">
      <c r="A328" s="1" t="n">
        <v>35</v>
      </c>
      <c r="B328" s="1" t="s">
        <v>615</v>
      </c>
      <c r="C328" s="1" t="s">
        <v>616</v>
      </c>
      <c r="D328" s="196" t="n">
        <v>2568</v>
      </c>
      <c r="E328" s="196" t="s">
        <v>51</v>
      </c>
      <c r="F328" s="198" t="n">
        <v>200025889213</v>
      </c>
      <c r="G328" s="198" t="s">
        <v>619</v>
      </c>
      <c r="H328" s="178" t="s">
        <v>390</v>
      </c>
      <c r="I328" s="176" t="n">
        <v>94</v>
      </c>
      <c r="J328" s="175" t="s">
        <v>185</v>
      </c>
      <c r="K328" s="200" t="n">
        <v>45437.7377893519</v>
      </c>
      <c r="L328" s="3" t="n">
        <v>28</v>
      </c>
      <c r="M328" s="3" t="n">
        <v>28</v>
      </c>
      <c r="N328" s="1" t="n">
        <v>20</v>
      </c>
      <c r="O328" s="1" t="n">
        <v>1</v>
      </c>
    </row>
    <row r="329" customFormat="false" ht="14.25" hidden="false" customHeight="false" outlineLevel="0" collapsed="false">
      <c r="A329" s="1" t="n">
        <v>36</v>
      </c>
      <c r="B329" s="1" t="s">
        <v>615</v>
      </c>
      <c r="C329" s="1" t="s">
        <v>616</v>
      </c>
      <c r="D329" s="196" t="n">
        <v>2568</v>
      </c>
      <c r="E329" s="196" t="s">
        <v>51</v>
      </c>
      <c r="F329" s="198" t="n">
        <v>200025889213</v>
      </c>
      <c r="G329" s="198" t="s">
        <v>619</v>
      </c>
      <c r="H329" s="178" t="s">
        <v>390</v>
      </c>
      <c r="I329" s="176" t="n">
        <v>94</v>
      </c>
      <c r="J329" s="175" t="s">
        <v>185</v>
      </c>
      <c r="K329" s="200" t="n">
        <v>45437.7390162037</v>
      </c>
      <c r="L329" s="3" t="n">
        <v>28</v>
      </c>
      <c r="M329" s="3" t="n">
        <v>28</v>
      </c>
      <c r="N329" s="1" t="n">
        <v>21</v>
      </c>
      <c r="O329" s="1" t="n">
        <v>1</v>
      </c>
    </row>
    <row r="330" customFormat="false" ht="14.25" hidden="false" customHeight="false" outlineLevel="0" collapsed="false">
      <c r="A330" s="1" t="n">
        <v>37</v>
      </c>
      <c r="B330" s="1" t="s">
        <v>615</v>
      </c>
      <c r="C330" s="1" t="s">
        <v>616</v>
      </c>
      <c r="D330" s="196" t="n">
        <v>2568</v>
      </c>
      <c r="E330" s="196" t="s">
        <v>51</v>
      </c>
      <c r="F330" s="198" t="s">
        <v>620</v>
      </c>
      <c r="G330" s="198" t="s">
        <v>619</v>
      </c>
      <c r="H330" s="178" t="s">
        <v>390</v>
      </c>
      <c r="I330" s="176" t="n">
        <v>94</v>
      </c>
      <c r="J330" s="175" t="s">
        <v>185</v>
      </c>
      <c r="K330" s="200" t="n">
        <v>45437.7397800926</v>
      </c>
      <c r="L330" s="3" t="n">
        <v>28</v>
      </c>
      <c r="M330" s="3" t="n">
        <v>28</v>
      </c>
      <c r="N330" s="1" t="n">
        <v>22</v>
      </c>
      <c r="O330" s="1" t="n">
        <v>1</v>
      </c>
    </row>
    <row r="331" customFormat="false" ht="14.25" hidden="false" customHeight="false" outlineLevel="0" collapsed="false">
      <c r="A331" s="1" t="n">
        <v>38</v>
      </c>
      <c r="B331" s="1" t="s">
        <v>615</v>
      </c>
      <c r="C331" s="1" t="s">
        <v>616</v>
      </c>
      <c r="D331" s="196" t="n">
        <v>2568</v>
      </c>
      <c r="E331" s="196" t="s">
        <v>51</v>
      </c>
      <c r="F331" s="198" t="s">
        <v>620</v>
      </c>
      <c r="G331" s="198" t="s">
        <v>619</v>
      </c>
      <c r="H331" s="178" t="s">
        <v>390</v>
      </c>
      <c r="I331" s="176" t="n">
        <v>94</v>
      </c>
      <c r="J331" s="175" t="s">
        <v>185</v>
      </c>
      <c r="K331" s="200" t="n">
        <v>45437.7411574074</v>
      </c>
      <c r="L331" s="3" t="n">
        <v>28</v>
      </c>
      <c r="M331" s="3" t="n">
        <v>28</v>
      </c>
      <c r="N331" s="1" t="n">
        <v>23</v>
      </c>
      <c r="O331" s="1" t="n">
        <v>2</v>
      </c>
    </row>
    <row r="332" customFormat="false" ht="14.25" hidden="false" customHeight="false" outlineLevel="0" collapsed="false">
      <c r="A332" s="1" t="n">
        <v>39</v>
      </c>
      <c r="B332" s="1" t="s">
        <v>615</v>
      </c>
      <c r="C332" s="1" t="s">
        <v>616</v>
      </c>
      <c r="D332" s="196" t="n">
        <v>2568</v>
      </c>
      <c r="E332" s="196" t="s">
        <v>51</v>
      </c>
      <c r="F332" s="198" t="s">
        <v>620</v>
      </c>
      <c r="G332" s="198" t="s">
        <v>619</v>
      </c>
      <c r="H332" s="178" t="s">
        <v>390</v>
      </c>
      <c r="I332" s="176" t="n">
        <v>94</v>
      </c>
      <c r="J332" s="175" t="s">
        <v>185</v>
      </c>
      <c r="K332" s="200" t="n">
        <v>45437.7418865741</v>
      </c>
      <c r="L332" s="3" t="n">
        <v>28</v>
      </c>
      <c r="M332" s="3" t="n">
        <v>28</v>
      </c>
      <c r="N332" s="1" t="n">
        <v>24</v>
      </c>
      <c r="O332" s="1" t="n">
        <v>1</v>
      </c>
    </row>
    <row r="333" customFormat="false" ht="14.25" hidden="false" customHeight="false" outlineLevel="0" collapsed="false">
      <c r="A333" s="1" t="n">
        <v>40</v>
      </c>
      <c r="B333" s="1" t="s">
        <v>615</v>
      </c>
      <c r="C333" s="1" t="s">
        <v>616</v>
      </c>
      <c r="D333" s="196" t="n">
        <v>2568</v>
      </c>
      <c r="E333" s="196" t="s">
        <v>51</v>
      </c>
      <c r="F333" s="198" t="n">
        <v>200025889213</v>
      </c>
      <c r="G333" s="198" t="s">
        <v>619</v>
      </c>
      <c r="H333" s="178" t="s">
        <v>390</v>
      </c>
      <c r="I333" s="176" t="n">
        <v>94</v>
      </c>
      <c r="J333" s="175" t="s">
        <v>185</v>
      </c>
      <c r="K333" s="200" t="n">
        <v>45437.7427314815</v>
      </c>
      <c r="L333" s="3" t="n">
        <v>28</v>
      </c>
      <c r="M333" s="3" t="n">
        <v>28</v>
      </c>
      <c r="N333" s="1" t="n">
        <v>25</v>
      </c>
      <c r="O333" s="1" t="n">
        <v>1</v>
      </c>
    </row>
    <row r="334" customFormat="false" ht="14.25" hidden="false" customHeight="false" outlineLevel="0" collapsed="false">
      <c r="A334" s="1" t="n">
        <v>41</v>
      </c>
      <c r="B334" s="1" t="s">
        <v>615</v>
      </c>
      <c r="C334" s="1" t="s">
        <v>616</v>
      </c>
      <c r="D334" s="196" t="n">
        <v>2568</v>
      </c>
      <c r="E334" s="196" t="s">
        <v>51</v>
      </c>
      <c r="F334" s="198" t="s">
        <v>620</v>
      </c>
      <c r="G334" s="198" t="s">
        <v>619</v>
      </c>
      <c r="H334" s="178" t="s">
        <v>390</v>
      </c>
      <c r="I334" s="176" t="n">
        <v>94</v>
      </c>
      <c r="J334" s="175" t="s">
        <v>185</v>
      </c>
      <c r="K334" s="200" t="n">
        <v>45437.7427430556</v>
      </c>
      <c r="L334" s="3" t="n">
        <v>28</v>
      </c>
      <c r="M334" s="3" t="n">
        <v>28</v>
      </c>
      <c r="N334" s="1" t="n">
        <v>26</v>
      </c>
      <c r="O334" s="1" t="n">
        <v>0</v>
      </c>
    </row>
    <row r="335" customFormat="false" ht="14.25" hidden="false" customHeight="false" outlineLevel="0" collapsed="false">
      <c r="A335" s="1" t="n">
        <v>42</v>
      </c>
      <c r="B335" s="1" t="s">
        <v>615</v>
      </c>
      <c r="C335" s="1" t="s">
        <v>616</v>
      </c>
      <c r="D335" s="196" t="n">
        <v>2568</v>
      </c>
      <c r="E335" s="196" t="s">
        <v>51</v>
      </c>
      <c r="F335" s="198" t="n">
        <v>200025889213</v>
      </c>
      <c r="G335" s="198" t="s">
        <v>619</v>
      </c>
      <c r="H335" s="178" t="s">
        <v>390</v>
      </c>
      <c r="I335" s="176" t="n">
        <v>94</v>
      </c>
      <c r="J335" s="175" t="s">
        <v>185</v>
      </c>
      <c r="K335" s="200" t="n">
        <v>45437.9635416667</v>
      </c>
      <c r="L335" s="3" t="n">
        <v>28</v>
      </c>
      <c r="M335" s="3" t="n">
        <v>28</v>
      </c>
      <c r="N335" s="1" t="n">
        <v>27</v>
      </c>
      <c r="O335" s="1" t="n">
        <v>0</v>
      </c>
    </row>
    <row r="336" customFormat="false" ht="14.25" hidden="false" customHeight="false" outlineLevel="0" collapsed="false">
      <c r="A336" s="1" t="n">
        <v>43</v>
      </c>
      <c r="B336" s="1" t="s">
        <v>615</v>
      </c>
      <c r="C336" s="1" t="s">
        <v>616</v>
      </c>
      <c r="D336" s="196" t="n">
        <v>2568</v>
      </c>
      <c r="E336" s="196" t="s">
        <v>51</v>
      </c>
      <c r="F336" s="198" t="n">
        <v>200025889213</v>
      </c>
      <c r="G336" s="198" t="s">
        <v>619</v>
      </c>
      <c r="H336" s="178" t="s">
        <v>390</v>
      </c>
      <c r="I336" s="176" t="n">
        <v>94</v>
      </c>
      <c r="J336" s="175" t="s">
        <v>185</v>
      </c>
      <c r="K336" s="200" t="n">
        <v>45437.9638657407</v>
      </c>
      <c r="L336" s="3" t="n">
        <v>28</v>
      </c>
      <c r="M336" s="3" t="n">
        <v>28</v>
      </c>
      <c r="N336" s="1" t="n">
        <v>28</v>
      </c>
      <c r="O336" s="1" t="n">
        <v>2</v>
      </c>
    </row>
    <row r="337" customFormat="false" ht="14.25" hidden="false" customHeight="false" outlineLevel="0" collapsed="false">
      <c r="A337" s="1" t="n">
        <v>44</v>
      </c>
      <c r="B337" s="1" t="s">
        <v>615</v>
      </c>
      <c r="C337" s="1" t="s">
        <v>616</v>
      </c>
      <c r="D337" s="196" t="n">
        <v>2568</v>
      </c>
      <c r="E337" s="196" t="s">
        <v>51</v>
      </c>
      <c r="F337" s="198" t="s">
        <v>620</v>
      </c>
      <c r="G337" s="198" t="s">
        <v>619</v>
      </c>
      <c r="H337" s="178" t="s">
        <v>390</v>
      </c>
      <c r="I337" s="176" t="n">
        <v>94</v>
      </c>
      <c r="J337" s="175" t="s">
        <v>185</v>
      </c>
      <c r="K337" s="200" t="n">
        <v>45437.9654050926</v>
      </c>
      <c r="L337" s="3" t="n">
        <v>28</v>
      </c>
      <c r="M337" s="3" t="n">
        <v>28</v>
      </c>
      <c r="N337" s="1" t="n">
        <v>29</v>
      </c>
      <c r="O337" s="1" t="n">
        <v>2</v>
      </c>
    </row>
    <row r="338" customFormat="false" ht="14.25" hidden="false" customHeight="false" outlineLevel="0" collapsed="false">
      <c r="A338" s="1" t="n">
        <v>45</v>
      </c>
      <c r="B338" s="1" t="s">
        <v>615</v>
      </c>
      <c r="C338" s="1" t="s">
        <v>616</v>
      </c>
      <c r="D338" s="196" t="n">
        <v>2568</v>
      </c>
      <c r="E338" s="196" t="s">
        <v>51</v>
      </c>
      <c r="F338" s="198" t="s">
        <v>620</v>
      </c>
      <c r="G338" s="198" t="s">
        <v>619</v>
      </c>
      <c r="H338" s="178" t="s">
        <v>390</v>
      </c>
      <c r="I338" s="176" t="n">
        <v>94</v>
      </c>
      <c r="J338" s="175" t="s">
        <v>185</v>
      </c>
      <c r="K338" s="200" t="n">
        <v>45437.9670138889</v>
      </c>
      <c r="L338" s="3" t="n">
        <v>28</v>
      </c>
      <c r="M338" s="3" t="n">
        <v>28</v>
      </c>
      <c r="N338" s="1" t="n">
        <v>30</v>
      </c>
      <c r="O338" s="1" t="n">
        <v>1</v>
      </c>
    </row>
    <row r="339" customFormat="false" ht="14.25" hidden="false" customHeight="false" outlineLevel="0" collapsed="false">
      <c r="A339" s="1" t="n">
        <v>46</v>
      </c>
      <c r="B339" s="1" t="s">
        <v>615</v>
      </c>
      <c r="C339" s="1" t="s">
        <v>616</v>
      </c>
      <c r="D339" s="196" t="n">
        <v>2568</v>
      </c>
      <c r="E339" s="196" t="s">
        <v>51</v>
      </c>
      <c r="F339" s="198" t="s">
        <v>620</v>
      </c>
      <c r="G339" s="198" t="s">
        <v>619</v>
      </c>
      <c r="H339" s="178" t="s">
        <v>390</v>
      </c>
      <c r="I339" s="176" t="n">
        <v>94</v>
      </c>
      <c r="J339" s="175" t="s">
        <v>185</v>
      </c>
      <c r="K339" s="200" t="n">
        <v>45437.9711805556</v>
      </c>
      <c r="L339" s="3" t="n">
        <v>28</v>
      </c>
      <c r="M339" s="3" t="n">
        <v>28</v>
      </c>
      <c r="N339" s="1" t="n">
        <v>31</v>
      </c>
      <c r="O339" s="1" t="n">
        <v>4</v>
      </c>
    </row>
    <row r="340" customFormat="false" ht="14.25" hidden="false" customHeight="false" outlineLevel="0" collapsed="false">
      <c r="A340" s="1" t="n">
        <v>47</v>
      </c>
      <c r="B340" s="1" t="s">
        <v>615</v>
      </c>
      <c r="C340" s="1" t="s">
        <v>616</v>
      </c>
      <c r="D340" s="196" t="n">
        <v>2568</v>
      </c>
      <c r="E340" s="196" t="s">
        <v>51</v>
      </c>
      <c r="F340" s="198" t="n">
        <v>200025889213</v>
      </c>
      <c r="G340" s="198" t="s">
        <v>619</v>
      </c>
      <c r="H340" s="178" t="s">
        <v>390</v>
      </c>
      <c r="I340" s="176" t="n">
        <v>94</v>
      </c>
      <c r="J340" s="175" t="s">
        <v>185</v>
      </c>
      <c r="K340" s="200" t="n">
        <v>45437.9744675926</v>
      </c>
      <c r="L340" s="3" t="n">
        <v>28</v>
      </c>
      <c r="M340" s="3" t="n">
        <v>28</v>
      </c>
      <c r="N340" s="1" t="n">
        <v>32</v>
      </c>
      <c r="O340" s="1" t="n">
        <v>1</v>
      </c>
    </row>
    <row r="341" customFormat="false" ht="14.25" hidden="false" customHeight="false" outlineLevel="0" collapsed="false">
      <c r="A341" s="1" t="n">
        <v>120</v>
      </c>
      <c r="B341" s="1" t="s">
        <v>681</v>
      </c>
      <c r="C341" s="1" t="s">
        <v>682</v>
      </c>
      <c r="D341" s="1" t="n">
        <v>11171</v>
      </c>
      <c r="E341" s="1" t="s">
        <v>55</v>
      </c>
      <c r="F341" s="201" t="n">
        <v>200025889213</v>
      </c>
      <c r="G341" s="198" t="s">
        <v>619</v>
      </c>
      <c r="H341" s="178" t="s">
        <v>390</v>
      </c>
      <c r="I341" s="176" t="n">
        <v>94</v>
      </c>
      <c r="J341" s="175" t="s">
        <v>185</v>
      </c>
      <c r="K341" s="200" t="n">
        <v>45438.3819675926</v>
      </c>
      <c r="L341" s="3" t="n">
        <v>28</v>
      </c>
      <c r="M341" s="3" t="n">
        <v>28</v>
      </c>
      <c r="N341" s="1" t="n">
        <v>33</v>
      </c>
      <c r="O341" s="1" t="n">
        <v>0</v>
      </c>
    </row>
    <row r="342" customFormat="false" ht="14.25" hidden="false" customHeight="false" outlineLevel="0" collapsed="false">
      <c r="A342" s="1" t="n">
        <v>18</v>
      </c>
      <c r="B342" s="1" t="s">
        <v>643</v>
      </c>
      <c r="C342" s="1" t="s">
        <v>644</v>
      </c>
      <c r="D342" s="1" t="n">
        <v>11197</v>
      </c>
      <c r="E342" s="1" t="s">
        <v>53</v>
      </c>
      <c r="F342" s="201" t="n">
        <v>200025889446</v>
      </c>
      <c r="G342" s="198" t="s">
        <v>636</v>
      </c>
      <c r="H342" s="163" t="s">
        <v>233</v>
      </c>
      <c r="I342" s="161" t="n">
        <v>17</v>
      </c>
      <c r="J342" s="156" t="s">
        <v>185</v>
      </c>
      <c r="K342" s="200" t="n">
        <v>45446.490462963</v>
      </c>
      <c r="L342" s="3" t="n">
        <v>29</v>
      </c>
      <c r="M342" s="3" t="n">
        <v>29</v>
      </c>
      <c r="N342" s="1" t="n">
        <v>1</v>
      </c>
      <c r="O342" s="1" t="n">
        <v>0</v>
      </c>
    </row>
    <row r="343" customFormat="false" ht="14.25" hidden="false" customHeight="false" outlineLevel="0" collapsed="false">
      <c r="A343" s="1" t="n">
        <v>65</v>
      </c>
      <c r="B343" s="1" t="s">
        <v>624</v>
      </c>
      <c r="C343" s="1" t="s">
        <v>625</v>
      </c>
      <c r="D343" s="196" t="n">
        <v>2568</v>
      </c>
      <c r="E343" s="196" t="s">
        <v>51</v>
      </c>
      <c r="F343" s="201" t="n">
        <v>200025889446</v>
      </c>
      <c r="G343" s="198" t="s">
        <v>636</v>
      </c>
      <c r="H343" s="163" t="s">
        <v>233</v>
      </c>
      <c r="I343" s="161" t="n">
        <v>17</v>
      </c>
      <c r="J343" s="156" t="s">
        <v>185</v>
      </c>
      <c r="K343" s="200" t="n">
        <v>45453.6467824074</v>
      </c>
      <c r="L343" s="3" t="n">
        <v>29</v>
      </c>
      <c r="M343" s="3" t="n">
        <v>29</v>
      </c>
      <c r="N343" s="1" t="n">
        <v>2</v>
      </c>
      <c r="O343" s="1" t="n">
        <v>1</v>
      </c>
    </row>
    <row r="344" customFormat="false" ht="14.25" hidden="false" customHeight="false" outlineLevel="0" collapsed="false">
      <c r="A344" s="1" t="n">
        <v>15</v>
      </c>
      <c r="B344" s="1" t="s">
        <v>702</v>
      </c>
      <c r="C344" s="1" t="s">
        <v>703</v>
      </c>
      <c r="D344" s="1" t="n">
        <v>11197</v>
      </c>
      <c r="E344" s="1" t="s">
        <v>53</v>
      </c>
      <c r="F344" s="201" t="n">
        <v>200025889314</v>
      </c>
      <c r="G344" s="198" t="s">
        <v>632</v>
      </c>
      <c r="H344" s="163" t="s">
        <v>224</v>
      </c>
      <c r="I344" s="161" t="n">
        <v>15</v>
      </c>
      <c r="J344" s="156" t="s">
        <v>185</v>
      </c>
      <c r="K344" s="200" t="n">
        <v>45451.7577083333</v>
      </c>
      <c r="L344" s="3" t="n">
        <v>30</v>
      </c>
      <c r="M344" s="3" t="n">
        <v>30</v>
      </c>
      <c r="N344" s="1" t="n">
        <v>1</v>
      </c>
      <c r="O344" s="1" t="n">
        <v>1</v>
      </c>
    </row>
    <row r="345" customFormat="false" ht="14.25" hidden="false" customHeight="false" outlineLevel="0" collapsed="false">
      <c r="A345" s="1" t="n">
        <v>16</v>
      </c>
      <c r="B345" s="1" t="s">
        <v>702</v>
      </c>
      <c r="C345" s="1" t="s">
        <v>703</v>
      </c>
      <c r="D345" s="1" t="n">
        <v>11197</v>
      </c>
      <c r="E345" s="1" t="s">
        <v>53</v>
      </c>
      <c r="F345" s="201" t="n">
        <v>200025889314</v>
      </c>
      <c r="G345" s="198" t="s">
        <v>632</v>
      </c>
      <c r="H345" s="163" t="s">
        <v>224</v>
      </c>
      <c r="I345" s="161" t="n">
        <v>15</v>
      </c>
      <c r="J345" s="156" t="s">
        <v>185</v>
      </c>
      <c r="K345" s="200" t="n">
        <v>45451.7637962963</v>
      </c>
      <c r="L345" s="3" t="n">
        <v>30</v>
      </c>
      <c r="M345" s="3" t="n">
        <v>30</v>
      </c>
      <c r="N345" s="1" t="n">
        <v>2</v>
      </c>
      <c r="O345" s="1" t="n">
        <v>3</v>
      </c>
    </row>
    <row r="346" customFormat="false" ht="14.25" hidden="false" customHeight="false" outlineLevel="0" collapsed="false">
      <c r="A346" s="1" t="n">
        <v>17</v>
      </c>
      <c r="B346" s="1" t="s">
        <v>702</v>
      </c>
      <c r="C346" s="1" t="s">
        <v>703</v>
      </c>
      <c r="D346" s="1" t="n">
        <v>11197</v>
      </c>
      <c r="E346" s="1" t="s">
        <v>53</v>
      </c>
      <c r="F346" s="201" t="n">
        <v>200025889314</v>
      </c>
      <c r="G346" s="198" t="s">
        <v>632</v>
      </c>
      <c r="H346" s="163" t="s">
        <v>224</v>
      </c>
      <c r="I346" s="161" t="n">
        <v>15</v>
      </c>
      <c r="J346" s="156" t="s">
        <v>185</v>
      </c>
      <c r="K346" s="200" t="n">
        <v>45451.7693981482</v>
      </c>
      <c r="L346" s="3" t="n">
        <v>30</v>
      </c>
      <c r="M346" s="3" t="n">
        <v>30</v>
      </c>
      <c r="N346" s="1" t="n">
        <v>3</v>
      </c>
      <c r="O346" s="1" t="n">
        <v>1</v>
      </c>
    </row>
    <row r="347" customFormat="false" ht="14.25" hidden="false" customHeight="false" outlineLevel="0" collapsed="false">
      <c r="A347" s="1" t="n">
        <v>18</v>
      </c>
      <c r="B347" s="1" t="s">
        <v>702</v>
      </c>
      <c r="C347" s="1" t="s">
        <v>703</v>
      </c>
      <c r="D347" s="1" t="n">
        <v>11197</v>
      </c>
      <c r="E347" s="1" t="s">
        <v>53</v>
      </c>
      <c r="F347" s="201" t="n">
        <v>200025889314</v>
      </c>
      <c r="G347" s="198" t="s">
        <v>632</v>
      </c>
      <c r="H347" s="163" t="s">
        <v>224</v>
      </c>
      <c r="I347" s="161" t="n">
        <v>15</v>
      </c>
      <c r="J347" s="156" t="s">
        <v>185</v>
      </c>
      <c r="K347" s="200" t="n">
        <v>45451.7694212963</v>
      </c>
      <c r="L347" s="3" t="n">
        <v>30</v>
      </c>
      <c r="M347" s="3" t="n">
        <v>30</v>
      </c>
      <c r="N347" s="1" t="n">
        <v>4</v>
      </c>
      <c r="O347" s="1" t="n">
        <v>1</v>
      </c>
    </row>
    <row r="348" customFormat="false" ht="14.25" hidden="false" customHeight="false" outlineLevel="0" collapsed="false">
      <c r="A348" s="1" t="n">
        <v>19</v>
      </c>
      <c r="B348" s="1" t="s">
        <v>702</v>
      </c>
      <c r="C348" s="1" t="s">
        <v>703</v>
      </c>
      <c r="D348" s="1" t="n">
        <v>11197</v>
      </c>
      <c r="E348" s="1" t="s">
        <v>53</v>
      </c>
      <c r="F348" s="201" t="n">
        <v>200025889314</v>
      </c>
      <c r="G348" s="198" t="s">
        <v>632</v>
      </c>
      <c r="H348" s="163" t="s">
        <v>224</v>
      </c>
      <c r="I348" s="161" t="n">
        <v>15</v>
      </c>
      <c r="J348" s="156" t="s">
        <v>185</v>
      </c>
      <c r="K348" s="200" t="n">
        <v>45451.7763310185</v>
      </c>
      <c r="L348" s="3" t="n">
        <v>30</v>
      </c>
      <c r="M348" s="3" t="n">
        <v>30</v>
      </c>
      <c r="N348" s="1" t="n">
        <v>5</v>
      </c>
      <c r="O348" s="1" t="n">
        <v>0</v>
      </c>
    </row>
    <row r="349" customFormat="false" ht="14.25" hidden="false" customHeight="false" outlineLevel="0" collapsed="false">
      <c r="A349" s="1" t="n">
        <v>20</v>
      </c>
      <c r="B349" s="1" t="s">
        <v>702</v>
      </c>
      <c r="C349" s="1" t="s">
        <v>703</v>
      </c>
      <c r="D349" s="1" t="n">
        <v>11197</v>
      </c>
      <c r="E349" s="1" t="s">
        <v>53</v>
      </c>
      <c r="F349" s="201" t="n">
        <v>200025889314</v>
      </c>
      <c r="G349" s="198" t="s">
        <v>632</v>
      </c>
      <c r="H349" s="163" t="s">
        <v>224</v>
      </c>
      <c r="I349" s="161" t="n">
        <v>15</v>
      </c>
      <c r="J349" s="156" t="s">
        <v>185</v>
      </c>
      <c r="K349" s="200" t="n">
        <v>45451.7786226852</v>
      </c>
      <c r="L349" s="3" t="n">
        <v>30</v>
      </c>
      <c r="M349" s="3" t="n">
        <v>30</v>
      </c>
      <c r="N349" s="1" t="n">
        <v>6</v>
      </c>
      <c r="O349" s="1" t="n">
        <v>2</v>
      </c>
    </row>
    <row r="350" customFormat="false" ht="14.25" hidden="false" customHeight="false" outlineLevel="0" collapsed="false">
      <c r="A350" s="1" t="n">
        <v>21</v>
      </c>
      <c r="B350" s="1" t="s">
        <v>702</v>
      </c>
      <c r="C350" s="1" t="s">
        <v>703</v>
      </c>
      <c r="D350" s="1" t="n">
        <v>11197</v>
      </c>
      <c r="E350" s="1" t="s">
        <v>53</v>
      </c>
      <c r="F350" s="201" t="n">
        <v>200025889314</v>
      </c>
      <c r="G350" s="198" t="s">
        <v>632</v>
      </c>
      <c r="H350" s="163" t="s">
        <v>224</v>
      </c>
      <c r="I350" s="161" t="n">
        <v>15</v>
      </c>
      <c r="J350" s="156" t="s">
        <v>185</v>
      </c>
      <c r="K350" s="200" t="n">
        <v>45451.83125</v>
      </c>
      <c r="L350" s="3" t="n">
        <v>30</v>
      </c>
      <c r="M350" s="3" t="n">
        <v>30</v>
      </c>
      <c r="N350" s="1" t="n">
        <v>7</v>
      </c>
      <c r="O350" s="1" t="n">
        <v>2</v>
      </c>
    </row>
    <row r="351" customFormat="false" ht="14.25" hidden="false" customHeight="false" outlineLevel="0" collapsed="false">
      <c r="A351" s="1" t="n">
        <v>22</v>
      </c>
      <c r="B351" s="1" t="s">
        <v>702</v>
      </c>
      <c r="C351" s="1" t="s">
        <v>703</v>
      </c>
      <c r="D351" s="1" t="n">
        <v>11197</v>
      </c>
      <c r="E351" s="1" t="s">
        <v>53</v>
      </c>
      <c r="F351" s="201" t="n">
        <v>200025889314</v>
      </c>
      <c r="G351" s="198" t="s">
        <v>632</v>
      </c>
      <c r="H351" s="163" t="s">
        <v>224</v>
      </c>
      <c r="I351" s="161" t="n">
        <v>15</v>
      </c>
      <c r="J351" s="156" t="s">
        <v>185</v>
      </c>
      <c r="K351" s="200" t="n">
        <v>45451.8351273148</v>
      </c>
      <c r="L351" s="3" t="n">
        <v>30</v>
      </c>
      <c r="M351" s="3" t="n">
        <v>30</v>
      </c>
      <c r="N351" s="1" t="n">
        <v>8</v>
      </c>
      <c r="O351" s="1" t="n">
        <v>2</v>
      </c>
    </row>
    <row r="352" customFormat="false" ht="14.25" hidden="false" customHeight="false" outlineLevel="0" collapsed="false">
      <c r="A352" s="1" t="n">
        <v>23</v>
      </c>
      <c r="B352" s="1" t="s">
        <v>702</v>
      </c>
      <c r="C352" s="1" t="s">
        <v>703</v>
      </c>
      <c r="D352" s="1" t="n">
        <v>11197</v>
      </c>
      <c r="E352" s="1" t="s">
        <v>53</v>
      </c>
      <c r="F352" s="201" t="n">
        <v>200025889314</v>
      </c>
      <c r="G352" s="198" t="s">
        <v>632</v>
      </c>
      <c r="H352" s="163" t="s">
        <v>224</v>
      </c>
      <c r="I352" s="161" t="n">
        <v>15</v>
      </c>
      <c r="J352" s="156" t="s">
        <v>185</v>
      </c>
      <c r="K352" s="200" t="n">
        <v>45451.836099537</v>
      </c>
      <c r="L352" s="3" t="n">
        <v>30</v>
      </c>
      <c r="M352" s="3" t="n">
        <v>30</v>
      </c>
      <c r="N352" s="1" t="n">
        <v>9</v>
      </c>
      <c r="O352" s="207" t="n">
        <v>56</v>
      </c>
    </row>
    <row r="353" customFormat="false" ht="14.25" hidden="false" customHeight="false" outlineLevel="0" collapsed="false">
      <c r="A353" s="1" t="n">
        <v>24</v>
      </c>
      <c r="B353" s="1" t="s">
        <v>702</v>
      </c>
      <c r="C353" s="1" t="s">
        <v>703</v>
      </c>
      <c r="D353" s="1" t="n">
        <v>11197</v>
      </c>
      <c r="E353" s="1" t="s">
        <v>53</v>
      </c>
      <c r="F353" s="201" t="n">
        <v>200025889314</v>
      </c>
      <c r="G353" s="198" t="s">
        <v>632</v>
      </c>
      <c r="H353" s="163" t="s">
        <v>224</v>
      </c>
      <c r="I353" s="161" t="n">
        <v>15</v>
      </c>
      <c r="J353" s="156" t="s">
        <v>185</v>
      </c>
      <c r="K353" s="200" t="n">
        <v>45451.8367476852</v>
      </c>
      <c r="L353" s="3" t="n">
        <v>30</v>
      </c>
      <c r="M353" s="3" t="n">
        <v>30</v>
      </c>
      <c r="N353" s="1" t="n">
        <v>10</v>
      </c>
      <c r="O353" s="1" t="n">
        <v>1</v>
      </c>
    </row>
    <row r="354" customFormat="false" ht="14.25" hidden="false" customHeight="false" outlineLevel="0" collapsed="false">
      <c r="A354" s="1" t="n">
        <v>25</v>
      </c>
      <c r="B354" s="1" t="s">
        <v>702</v>
      </c>
      <c r="C354" s="1" t="s">
        <v>703</v>
      </c>
      <c r="D354" s="1" t="n">
        <v>11197</v>
      </c>
      <c r="E354" s="1" t="s">
        <v>53</v>
      </c>
      <c r="F354" s="201" t="n">
        <v>200025889314</v>
      </c>
      <c r="G354" s="198" t="s">
        <v>632</v>
      </c>
      <c r="H354" s="163" t="s">
        <v>224</v>
      </c>
      <c r="I354" s="161" t="n">
        <v>15</v>
      </c>
      <c r="J354" s="156" t="s">
        <v>185</v>
      </c>
      <c r="K354" s="200" t="n">
        <v>45451.8462037037</v>
      </c>
      <c r="L354" s="3" t="n">
        <v>30</v>
      </c>
      <c r="M354" s="3" t="n">
        <v>30</v>
      </c>
      <c r="N354" s="1" t="n">
        <v>11</v>
      </c>
      <c r="O354" s="1" t="n">
        <v>1</v>
      </c>
    </row>
    <row r="355" customFormat="false" ht="14.25" hidden="false" customHeight="false" outlineLevel="0" collapsed="false">
      <c r="A355" s="1" t="n">
        <v>26</v>
      </c>
      <c r="B355" s="1" t="s">
        <v>702</v>
      </c>
      <c r="C355" s="1" t="s">
        <v>703</v>
      </c>
      <c r="D355" s="1" t="n">
        <v>11197</v>
      </c>
      <c r="E355" s="1" t="s">
        <v>53</v>
      </c>
      <c r="F355" s="201" t="n">
        <v>200025889314</v>
      </c>
      <c r="G355" s="198" t="s">
        <v>632</v>
      </c>
      <c r="H355" s="163" t="s">
        <v>224</v>
      </c>
      <c r="I355" s="161" t="n">
        <v>15</v>
      </c>
      <c r="J355" s="156" t="s">
        <v>185</v>
      </c>
      <c r="K355" s="200" t="n">
        <v>45451.8468171296</v>
      </c>
      <c r="L355" s="3" t="n">
        <v>30</v>
      </c>
      <c r="M355" s="3" t="n">
        <v>30</v>
      </c>
      <c r="N355" s="1" t="n">
        <v>12</v>
      </c>
      <c r="O355" s="1" t="n">
        <v>1</v>
      </c>
    </row>
    <row r="356" customFormat="false" ht="14.25" hidden="false" customHeight="false" outlineLevel="0" collapsed="false">
      <c r="A356" s="1" t="n">
        <v>27</v>
      </c>
      <c r="B356" s="1" t="s">
        <v>702</v>
      </c>
      <c r="C356" s="1" t="s">
        <v>703</v>
      </c>
      <c r="D356" s="1" t="n">
        <v>11197</v>
      </c>
      <c r="E356" s="1" t="s">
        <v>53</v>
      </c>
      <c r="F356" s="201" t="n">
        <v>200025889314</v>
      </c>
      <c r="G356" s="198" t="s">
        <v>632</v>
      </c>
      <c r="H356" s="163" t="s">
        <v>224</v>
      </c>
      <c r="I356" s="161" t="n">
        <v>15</v>
      </c>
      <c r="J356" s="156" t="s">
        <v>185</v>
      </c>
      <c r="K356" s="200" t="n">
        <v>45451.8469097222</v>
      </c>
      <c r="L356" s="3" t="n">
        <v>30</v>
      </c>
      <c r="M356" s="3" t="n">
        <v>30</v>
      </c>
      <c r="N356" s="1" t="n">
        <v>13</v>
      </c>
      <c r="O356" s="1" t="n">
        <v>1</v>
      </c>
    </row>
    <row r="357" customFormat="false" ht="14.25" hidden="false" customHeight="false" outlineLevel="0" collapsed="false">
      <c r="A357" s="1" t="n">
        <v>28</v>
      </c>
      <c r="B357" s="1" t="s">
        <v>702</v>
      </c>
      <c r="C357" s="1" t="s">
        <v>703</v>
      </c>
      <c r="D357" s="1" t="n">
        <v>11197</v>
      </c>
      <c r="E357" s="1" t="s">
        <v>53</v>
      </c>
      <c r="F357" s="201" t="n">
        <v>200025889314</v>
      </c>
      <c r="G357" s="198" t="s">
        <v>632</v>
      </c>
      <c r="H357" s="163" t="s">
        <v>224</v>
      </c>
      <c r="I357" s="161" t="n">
        <v>15</v>
      </c>
      <c r="J357" s="156" t="s">
        <v>185</v>
      </c>
      <c r="K357" s="200" t="n">
        <v>45451.8528703704</v>
      </c>
      <c r="L357" s="3" t="n">
        <v>30</v>
      </c>
      <c r="M357" s="3" t="n">
        <v>30</v>
      </c>
      <c r="N357" s="1" t="n">
        <v>14</v>
      </c>
      <c r="O357" s="1" t="n">
        <v>3</v>
      </c>
    </row>
    <row r="358" customFormat="false" ht="14.25" hidden="false" customHeight="false" outlineLevel="0" collapsed="false">
      <c r="A358" s="1" t="n">
        <v>29</v>
      </c>
      <c r="B358" s="1" t="s">
        <v>702</v>
      </c>
      <c r="C358" s="1" t="s">
        <v>703</v>
      </c>
      <c r="D358" s="1" t="n">
        <v>11197</v>
      </c>
      <c r="E358" s="1" t="s">
        <v>53</v>
      </c>
      <c r="F358" s="201" t="n">
        <v>200025889314</v>
      </c>
      <c r="G358" s="198" t="s">
        <v>632</v>
      </c>
      <c r="H358" s="163" t="s">
        <v>224</v>
      </c>
      <c r="I358" s="161" t="n">
        <v>15</v>
      </c>
      <c r="J358" s="156" t="s">
        <v>185</v>
      </c>
      <c r="K358" s="200" t="n">
        <v>45451.8531944445</v>
      </c>
      <c r="L358" s="3" t="n">
        <v>30</v>
      </c>
      <c r="M358" s="3" t="n">
        <v>30</v>
      </c>
      <c r="N358" s="1" t="n">
        <v>15</v>
      </c>
      <c r="O358" s="1" t="n">
        <v>1</v>
      </c>
    </row>
    <row r="359" customFormat="false" ht="14.25" hidden="false" customHeight="false" outlineLevel="0" collapsed="false">
      <c r="A359" s="1" t="n">
        <v>30</v>
      </c>
      <c r="B359" s="1" t="s">
        <v>702</v>
      </c>
      <c r="C359" s="1" t="s">
        <v>703</v>
      </c>
      <c r="D359" s="1" t="n">
        <v>11197</v>
      </c>
      <c r="E359" s="1" t="s">
        <v>53</v>
      </c>
      <c r="F359" s="201" t="n">
        <v>200025889314</v>
      </c>
      <c r="G359" s="198" t="s">
        <v>632</v>
      </c>
      <c r="H359" s="163" t="s">
        <v>224</v>
      </c>
      <c r="I359" s="161" t="n">
        <v>15</v>
      </c>
      <c r="J359" s="156" t="s">
        <v>185</v>
      </c>
      <c r="K359" s="200" t="n">
        <v>45451.8534375</v>
      </c>
      <c r="L359" s="3" t="n">
        <v>30</v>
      </c>
      <c r="M359" s="3" t="n">
        <v>30</v>
      </c>
      <c r="N359" s="1" t="n">
        <v>16</v>
      </c>
      <c r="O359" s="1" t="n">
        <v>1</v>
      </c>
    </row>
    <row r="360" customFormat="false" ht="14.25" hidden="false" customHeight="false" outlineLevel="0" collapsed="false">
      <c r="A360" s="1" t="n">
        <v>31</v>
      </c>
      <c r="B360" s="1" t="s">
        <v>702</v>
      </c>
      <c r="C360" s="1" t="s">
        <v>703</v>
      </c>
      <c r="D360" s="1" t="n">
        <v>11197</v>
      </c>
      <c r="E360" s="1" t="s">
        <v>53</v>
      </c>
      <c r="F360" s="201" t="n">
        <v>200025889314</v>
      </c>
      <c r="G360" s="198" t="s">
        <v>632</v>
      </c>
      <c r="H360" s="163" t="s">
        <v>224</v>
      </c>
      <c r="I360" s="161" t="n">
        <v>15</v>
      </c>
      <c r="J360" s="156" t="s">
        <v>185</v>
      </c>
      <c r="K360" s="200" t="n">
        <v>45451.8543518519</v>
      </c>
      <c r="L360" s="3" t="n">
        <v>30</v>
      </c>
      <c r="M360" s="3" t="n">
        <v>30</v>
      </c>
      <c r="N360" s="1" t="n">
        <v>17</v>
      </c>
      <c r="O360" s="1" t="n">
        <v>0</v>
      </c>
    </row>
    <row r="361" customFormat="false" ht="14.25" hidden="false" customHeight="false" outlineLevel="0" collapsed="false">
      <c r="A361" s="1" t="n">
        <v>32</v>
      </c>
      <c r="B361" s="1" t="s">
        <v>702</v>
      </c>
      <c r="C361" s="1" t="s">
        <v>703</v>
      </c>
      <c r="D361" s="1" t="n">
        <v>11197</v>
      </c>
      <c r="E361" s="1" t="s">
        <v>53</v>
      </c>
      <c r="F361" s="201" t="n">
        <v>200025889314</v>
      </c>
      <c r="G361" s="198" t="s">
        <v>632</v>
      </c>
      <c r="H361" s="163" t="s">
        <v>224</v>
      </c>
      <c r="I361" s="161" t="n">
        <v>15</v>
      </c>
      <c r="J361" s="156" t="s">
        <v>185</v>
      </c>
      <c r="K361" s="200" t="n">
        <v>45451.854375</v>
      </c>
      <c r="L361" s="3" t="n">
        <v>30</v>
      </c>
      <c r="M361" s="3" t="n">
        <v>30</v>
      </c>
      <c r="N361" s="1" t="n">
        <v>18</v>
      </c>
      <c r="O361" s="1" t="n">
        <v>0</v>
      </c>
    </row>
    <row r="362" customFormat="false" ht="14.25" hidden="false" customHeight="false" outlineLevel="0" collapsed="false">
      <c r="A362" s="1" t="n">
        <v>33</v>
      </c>
      <c r="B362" s="1" t="s">
        <v>702</v>
      </c>
      <c r="C362" s="1" t="s">
        <v>703</v>
      </c>
      <c r="D362" s="1" t="n">
        <v>11197</v>
      </c>
      <c r="E362" s="1" t="s">
        <v>53</v>
      </c>
      <c r="F362" s="201" t="n">
        <v>200025889314</v>
      </c>
      <c r="G362" s="198" t="s">
        <v>632</v>
      </c>
      <c r="H362" s="163" t="s">
        <v>224</v>
      </c>
      <c r="I362" s="161" t="n">
        <v>15</v>
      </c>
      <c r="J362" s="156" t="s">
        <v>185</v>
      </c>
      <c r="K362" s="200" t="n">
        <v>45451.8546064815</v>
      </c>
      <c r="L362" s="3" t="n">
        <v>30</v>
      </c>
      <c r="M362" s="3" t="n">
        <v>30</v>
      </c>
      <c r="N362" s="1" t="n">
        <v>19</v>
      </c>
      <c r="O362" s="1" t="n">
        <v>1</v>
      </c>
    </row>
    <row r="363" customFormat="false" ht="14.25" hidden="false" customHeight="false" outlineLevel="0" collapsed="false">
      <c r="A363" s="1" t="n">
        <v>34</v>
      </c>
      <c r="B363" s="1" t="s">
        <v>702</v>
      </c>
      <c r="C363" s="1" t="s">
        <v>703</v>
      </c>
      <c r="D363" s="1" t="n">
        <v>11197</v>
      </c>
      <c r="E363" s="1" t="s">
        <v>53</v>
      </c>
      <c r="F363" s="201" t="n">
        <v>200025889314</v>
      </c>
      <c r="G363" s="198" t="s">
        <v>632</v>
      </c>
      <c r="H363" s="163" t="s">
        <v>224</v>
      </c>
      <c r="I363" s="161" t="n">
        <v>15</v>
      </c>
      <c r="J363" s="156" t="s">
        <v>185</v>
      </c>
      <c r="K363" s="200" t="n">
        <v>45451.8549074074</v>
      </c>
      <c r="L363" s="3" t="n">
        <v>30</v>
      </c>
      <c r="M363" s="3" t="n">
        <v>30</v>
      </c>
      <c r="N363" s="1" t="n">
        <v>20</v>
      </c>
      <c r="O363" s="1" t="n">
        <v>9</v>
      </c>
    </row>
    <row r="364" customFormat="false" ht="14.25" hidden="false" customHeight="false" outlineLevel="0" collapsed="false">
      <c r="A364" s="1" t="n">
        <v>35</v>
      </c>
      <c r="B364" s="1" t="s">
        <v>702</v>
      </c>
      <c r="C364" s="1" t="s">
        <v>703</v>
      </c>
      <c r="D364" s="1" t="n">
        <v>11197</v>
      </c>
      <c r="E364" s="1" t="s">
        <v>53</v>
      </c>
      <c r="F364" s="201" t="n">
        <v>200025889314</v>
      </c>
      <c r="G364" s="198" t="s">
        <v>632</v>
      </c>
      <c r="H364" s="163" t="s">
        <v>224</v>
      </c>
      <c r="I364" s="161" t="n">
        <v>15</v>
      </c>
      <c r="J364" s="156" t="s">
        <v>185</v>
      </c>
      <c r="K364" s="200" t="n">
        <v>45451.8550115741</v>
      </c>
      <c r="L364" s="3" t="n">
        <v>30</v>
      </c>
      <c r="M364" s="3" t="n">
        <v>30</v>
      </c>
      <c r="N364" s="1" t="n">
        <v>21</v>
      </c>
      <c r="O364" s="1" t="n">
        <v>0</v>
      </c>
    </row>
    <row r="365" customFormat="false" ht="14.25" hidden="false" customHeight="false" outlineLevel="0" collapsed="false">
      <c r="A365" s="1" t="n">
        <v>36</v>
      </c>
      <c r="B365" s="1" t="s">
        <v>702</v>
      </c>
      <c r="C365" s="1" t="s">
        <v>703</v>
      </c>
      <c r="D365" s="1" t="n">
        <v>11197</v>
      </c>
      <c r="E365" s="1" t="s">
        <v>53</v>
      </c>
      <c r="F365" s="201" t="n">
        <v>200025889314</v>
      </c>
      <c r="G365" s="198" t="s">
        <v>632</v>
      </c>
      <c r="H365" s="163" t="s">
        <v>224</v>
      </c>
      <c r="I365" s="161" t="n">
        <v>15</v>
      </c>
      <c r="J365" s="156" t="s">
        <v>185</v>
      </c>
      <c r="K365" s="200" t="n">
        <v>45451.8550231482</v>
      </c>
      <c r="L365" s="3" t="n">
        <v>30</v>
      </c>
      <c r="M365" s="3" t="n">
        <v>30</v>
      </c>
      <c r="N365" s="1" t="n">
        <v>22</v>
      </c>
      <c r="O365" s="1" t="n">
        <v>2</v>
      </c>
    </row>
    <row r="366" customFormat="false" ht="14.25" hidden="false" customHeight="false" outlineLevel="0" collapsed="false">
      <c r="A366" s="1" t="n">
        <v>37</v>
      </c>
      <c r="B366" s="1" t="s">
        <v>702</v>
      </c>
      <c r="C366" s="1" t="s">
        <v>703</v>
      </c>
      <c r="D366" s="1" t="n">
        <v>11197</v>
      </c>
      <c r="E366" s="1" t="s">
        <v>53</v>
      </c>
      <c r="F366" s="201" t="n">
        <v>200025889314</v>
      </c>
      <c r="G366" s="198" t="s">
        <v>632</v>
      </c>
      <c r="H366" s="163" t="s">
        <v>224</v>
      </c>
      <c r="I366" s="161" t="n">
        <v>15</v>
      </c>
      <c r="J366" s="156" t="s">
        <v>185</v>
      </c>
      <c r="K366" s="200" t="n">
        <v>45451.8553125</v>
      </c>
      <c r="L366" s="3" t="n">
        <v>30</v>
      </c>
      <c r="M366" s="3" t="n">
        <v>30</v>
      </c>
      <c r="N366" s="1" t="n">
        <v>23</v>
      </c>
      <c r="O366" s="1" t="n">
        <v>0</v>
      </c>
    </row>
    <row r="367" customFormat="false" ht="14.25" hidden="false" customHeight="false" outlineLevel="0" collapsed="false">
      <c r="A367" s="1" t="n">
        <v>38</v>
      </c>
      <c r="B367" s="1" t="s">
        <v>702</v>
      </c>
      <c r="C367" s="1" t="s">
        <v>703</v>
      </c>
      <c r="D367" s="1" t="n">
        <v>11197</v>
      </c>
      <c r="E367" s="1" t="s">
        <v>53</v>
      </c>
      <c r="F367" s="201" t="n">
        <v>200025889314</v>
      </c>
      <c r="G367" s="198" t="s">
        <v>632</v>
      </c>
      <c r="H367" s="163" t="s">
        <v>224</v>
      </c>
      <c r="I367" s="161" t="n">
        <v>15</v>
      </c>
      <c r="J367" s="156" t="s">
        <v>185</v>
      </c>
      <c r="K367" s="200" t="n">
        <v>45451.8557638889</v>
      </c>
      <c r="L367" s="3" t="n">
        <v>30</v>
      </c>
      <c r="M367" s="3" t="n">
        <v>30</v>
      </c>
      <c r="N367" s="1" t="n">
        <v>24</v>
      </c>
      <c r="O367" s="1" t="n">
        <v>4</v>
      </c>
    </row>
    <row r="368" customFormat="false" ht="14.25" hidden="false" customHeight="false" outlineLevel="0" collapsed="false">
      <c r="A368" s="1" t="n">
        <v>39</v>
      </c>
      <c r="B368" s="1" t="s">
        <v>702</v>
      </c>
      <c r="C368" s="1" t="s">
        <v>703</v>
      </c>
      <c r="D368" s="1" t="n">
        <v>11197</v>
      </c>
      <c r="E368" s="1" t="s">
        <v>53</v>
      </c>
      <c r="F368" s="201" t="n">
        <v>200025889314</v>
      </c>
      <c r="G368" s="198" t="s">
        <v>632</v>
      </c>
      <c r="H368" s="163" t="s">
        <v>224</v>
      </c>
      <c r="I368" s="161" t="n">
        <v>15</v>
      </c>
      <c r="J368" s="156" t="s">
        <v>185</v>
      </c>
      <c r="K368" s="200" t="n">
        <v>45451.8559143519</v>
      </c>
      <c r="L368" s="3" t="n">
        <v>30</v>
      </c>
      <c r="M368" s="3" t="n">
        <v>30</v>
      </c>
      <c r="N368" s="1" t="n">
        <v>25</v>
      </c>
      <c r="O368" s="1" t="n">
        <v>4</v>
      </c>
    </row>
    <row r="369" customFormat="false" ht="14.25" hidden="false" customHeight="false" outlineLevel="0" collapsed="false">
      <c r="A369" s="1" t="n">
        <v>40</v>
      </c>
      <c r="B369" s="1" t="s">
        <v>702</v>
      </c>
      <c r="C369" s="1" t="s">
        <v>703</v>
      </c>
      <c r="D369" s="1" t="n">
        <v>11197</v>
      </c>
      <c r="E369" s="1" t="s">
        <v>53</v>
      </c>
      <c r="F369" s="201" t="n">
        <v>200025889314</v>
      </c>
      <c r="G369" s="198" t="s">
        <v>632</v>
      </c>
      <c r="H369" s="163" t="s">
        <v>224</v>
      </c>
      <c r="I369" s="161" t="n">
        <v>15</v>
      </c>
      <c r="J369" s="156" t="s">
        <v>185</v>
      </c>
      <c r="K369" s="200" t="n">
        <v>45451.8562037037</v>
      </c>
      <c r="L369" s="3" t="n">
        <v>30</v>
      </c>
      <c r="M369" s="3" t="n">
        <v>30</v>
      </c>
      <c r="N369" s="1" t="n">
        <v>26</v>
      </c>
      <c r="O369" s="1" t="n">
        <v>0</v>
      </c>
    </row>
    <row r="370" customFormat="false" ht="14.25" hidden="false" customHeight="false" outlineLevel="0" collapsed="false">
      <c r="A370" s="1" t="n">
        <v>41</v>
      </c>
      <c r="B370" s="1" t="s">
        <v>702</v>
      </c>
      <c r="C370" s="1" t="s">
        <v>703</v>
      </c>
      <c r="D370" s="1" t="n">
        <v>11197</v>
      </c>
      <c r="E370" s="1" t="s">
        <v>53</v>
      </c>
      <c r="F370" s="201" t="n">
        <v>200025889314</v>
      </c>
      <c r="G370" s="198" t="s">
        <v>632</v>
      </c>
      <c r="H370" s="163" t="s">
        <v>224</v>
      </c>
      <c r="I370" s="161" t="n">
        <v>15</v>
      </c>
      <c r="J370" s="156" t="s">
        <v>185</v>
      </c>
      <c r="K370" s="200" t="n">
        <v>45451.8566435185</v>
      </c>
      <c r="L370" s="3" t="n">
        <v>30</v>
      </c>
      <c r="M370" s="3" t="n">
        <v>30</v>
      </c>
      <c r="N370" s="1" t="n">
        <v>27</v>
      </c>
      <c r="O370" s="1" t="n">
        <v>3</v>
      </c>
    </row>
    <row r="371" customFormat="false" ht="14.25" hidden="false" customHeight="false" outlineLevel="0" collapsed="false">
      <c r="A371" s="1" t="n">
        <v>42</v>
      </c>
      <c r="B371" s="1" t="s">
        <v>702</v>
      </c>
      <c r="C371" s="1" t="s">
        <v>703</v>
      </c>
      <c r="D371" s="1" t="n">
        <v>11197</v>
      </c>
      <c r="E371" s="1" t="s">
        <v>53</v>
      </c>
      <c r="F371" s="201" t="n">
        <v>200025889314</v>
      </c>
      <c r="G371" s="198" t="s">
        <v>632</v>
      </c>
      <c r="H371" s="163" t="s">
        <v>224</v>
      </c>
      <c r="I371" s="161" t="n">
        <v>15</v>
      </c>
      <c r="J371" s="156" t="s">
        <v>185</v>
      </c>
      <c r="K371" s="200" t="n">
        <v>45451.8568634259</v>
      </c>
      <c r="L371" s="3" t="n">
        <v>30</v>
      </c>
      <c r="M371" s="3" t="n">
        <v>30</v>
      </c>
      <c r="N371" s="1" t="n">
        <v>28</v>
      </c>
      <c r="O371" s="1" t="n">
        <v>2</v>
      </c>
    </row>
    <row r="372" customFormat="false" ht="14.25" hidden="false" customHeight="false" outlineLevel="0" collapsed="false">
      <c r="A372" s="1" t="n">
        <v>43</v>
      </c>
      <c r="B372" s="1" t="s">
        <v>702</v>
      </c>
      <c r="C372" s="1" t="s">
        <v>703</v>
      </c>
      <c r="D372" s="1" t="n">
        <v>11197</v>
      </c>
      <c r="E372" s="1" t="s">
        <v>53</v>
      </c>
      <c r="F372" s="201" t="n">
        <v>200025889314</v>
      </c>
      <c r="G372" s="198" t="s">
        <v>632</v>
      </c>
      <c r="H372" s="163" t="s">
        <v>224</v>
      </c>
      <c r="I372" s="161" t="n">
        <v>15</v>
      </c>
      <c r="J372" s="156" t="s">
        <v>185</v>
      </c>
      <c r="K372" s="200" t="n">
        <v>45451.8573842593</v>
      </c>
      <c r="L372" s="3" t="n">
        <v>30</v>
      </c>
      <c r="M372" s="3" t="n">
        <v>30</v>
      </c>
      <c r="N372" s="1" t="n">
        <v>29</v>
      </c>
      <c r="O372" s="1" t="n">
        <v>2</v>
      </c>
    </row>
    <row r="373" customFormat="false" ht="14.25" hidden="false" customHeight="false" outlineLevel="0" collapsed="false">
      <c r="A373" s="1" t="n">
        <v>44</v>
      </c>
      <c r="B373" s="1" t="s">
        <v>702</v>
      </c>
      <c r="C373" s="1" t="s">
        <v>703</v>
      </c>
      <c r="D373" s="1" t="n">
        <v>11197</v>
      </c>
      <c r="E373" s="1" t="s">
        <v>53</v>
      </c>
      <c r="F373" s="201" t="n">
        <v>200025889314</v>
      </c>
      <c r="G373" s="198" t="s">
        <v>632</v>
      </c>
      <c r="H373" s="163" t="s">
        <v>224</v>
      </c>
      <c r="I373" s="161" t="n">
        <v>15</v>
      </c>
      <c r="J373" s="156" t="s">
        <v>185</v>
      </c>
      <c r="K373" s="200" t="n">
        <v>45451.8576967593</v>
      </c>
      <c r="L373" s="3" t="n">
        <v>30</v>
      </c>
      <c r="M373" s="3" t="n">
        <v>30</v>
      </c>
      <c r="N373" s="1" t="n">
        <v>30</v>
      </c>
      <c r="O373" s="1" t="n">
        <v>3</v>
      </c>
    </row>
    <row r="374" customFormat="false" ht="14.25" hidden="false" customHeight="false" outlineLevel="0" collapsed="false">
      <c r="A374" s="1" t="n">
        <v>45</v>
      </c>
      <c r="B374" s="1" t="s">
        <v>702</v>
      </c>
      <c r="C374" s="1" t="s">
        <v>703</v>
      </c>
      <c r="D374" s="1" t="n">
        <v>11197</v>
      </c>
      <c r="E374" s="1" t="s">
        <v>53</v>
      </c>
      <c r="F374" s="201" t="n">
        <v>200025889314</v>
      </c>
      <c r="G374" s="198" t="s">
        <v>632</v>
      </c>
      <c r="H374" s="163" t="s">
        <v>224</v>
      </c>
      <c r="I374" s="161" t="n">
        <v>15</v>
      </c>
      <c r="J374" s="156" t="s">
        <v>185</v>
      </c>
      <c r="K374" s="200" t="n">
        <v>45451.8590162037</v>
      </c>
      <c r="L374" s="3" t="n">
        <v>30</v>
      </c>
      <c r="M374" s="3" t="n">
        <v>30</v>
      </c>
      <c r="N374" s="1" t="n">
        <v>31</v>
      </c>
      <c r="O374" s="1" t="n">
        <v>3</v>
      </c>
    </row>
    <row r="375" customFormat="false" ht="14.25" hidden="false" customHeight="false" outlineLevel="0" collapsed="false">
      <c r="A375" s="1" t="n">
        <v>46</v>
      </c>
      <c r="B375" s="1" t="s">
        <v>702</v>
      </c>
      <c r="C375" s="1" t="s">
        <v>703</v>
      </c>
      <c r="D375" s="1" t="n">
        <v>11197</v>
      </c>
      <c r="E375" s="1" t="s">
        <v>53</v>
      </c>
      <c r="F375" s="201" t="n">
        <v>200025889314</v>
      </c>
      <c r="G375" s="198" t="s">
        <v>632</v>
      </c>
      <c r="H375" s="163" t="s">
        <v>224</v>
      </c>
      <c r="I375" s="161" t="n">
        <v>15</v>
      </c>
      <c r="J375" s="156" t="s">
        <v>185</v>
      </c>
      <c r="K375" s="200" t="n">
        <v>45451.8594560185</v>
      </c>
      <c r="L375" s="3" t="n">
        <v>30</v>
      </c>
      <c r="M375" s="3" t="n">
        <v>30</v>
      </c>
      <c r="N375" s="1" t="n">
        <v>32</v>
      </c>
      <c r="O375" s="1" t="n">
        <v>3</v>
      </c>
    </row>
    <row r="376" customFormat="false" ht="14.25" hidden="false" customHeight="false" outlineLevel="0" collapsed="false">
      <c r="A376" s="1" t="n">
        <v>47</v>
      </c>
      <c r="B376" s="1" t="s">
        <v>702</v>
      </c>
      <c r="C376" s="1" t="s">
        <v>703</v>
      </c>
      <c r="D376" s="1" t="n">
        <v>11197</v>
      </c>
      <c r="E376" s="1" t="s">
        <v>53</v>
      </c>
      <c r="F376" s="201" t="n">
        <v>200025889314</v>
      </c>
      <c r="G376" s="198" t="s">
        <v>632</v>
      </c>
      <c r="H376" s="163" t="s">
        <v>224</v>
      </c>
      <c r="I376" s="161" t="n">
        <v>15</v>
      </c>
      <c r="J376" s="156" t="s">
        <v>185</v>
      </c>
      <c r="K376" s="200" t="n">
        <v>45451.8603819445</v>
      </c>
      <c r="L376" s="3" t="n">
        <v>30</v>
      </c>
      <c r="M376" s="3" t="n">
        <v>30</v>
      </c>
      <c r="N376" s="1" t="n">
        <v>33</v>
      </c>
      <c r="O376" s="1" t="n">
        <v>1</v>
      </c>
    </row>
    <row r="377" customFormat="false" ht="14.25" hidden="false" customHeight="false" outlineLevel="0" collapsed="false">
      <c r="A377" s="1" t="n">
        <v>48</v>
      </c>
      <c r="B377" s="1" t="s">
        <v>702</v>
      </c>
      <c r="C377" s="1" t="s">
        <v>703</v>
      </c>
      <c r="D377" s="1" t="n">
        <v>11197</v>
      </c>
      <c r="E377" s="1" t="s">
        <v>53</v>
      </c>
      <c r="F377" s="201" t="n">
        <v>200025889314</v>
      </c>
      <c r="G377" s="198" t="s">
        <v>632</v>
      </c>
      <c r="H377" s="163" t="s">
        <v>224</v>
      </c>
      <c r="I377" s="161" t="n">
        <v>15</v>
      </c>
      <c r="J377" s="156" t="s">
        <v>185</v>
      </c>
      <c r="K377" s="200" t="n">
        <v>45451.8610532407</v>
      </c>
      <c r="L377" s="3" t="n">
        <v>30</v>
      </c>
      <c r="M377" s="3" t="n">
        <v>30</v>
      </c>
      <c r="N377" s="1" t="n">
        <v>34</v>
      </c>
      <c r="O377" s="1" t="n">
        <v>1</v>
      </c>
    </row>
    <row r="378" customFormat="false" ht="14.25" hidden="false" customHeight="false" outlineLevel="0" collapsed="false">
      <c r="A378" s="1" t="n">
        <v>49</v>
      </c>
      <c r="B378" s="1" t="s">
        <v>702</v>
      </c>
      <c r="C378" s="1" t="s">
        <v>703</v>
      </c>
      <c r="D378" s="1" t="n">
        <v>11197</v>
      </c>
      <c r="E378" s="1" t="s">
        <v>53</v>
      </c>
      <c r="F378" s="201" t="n">
        <v>200025889314</v>
      </c>
      <c r="G378" s="198" t="s">
        <v>632</v>
      </c>
      <c r="H378" s="163" t="s">
        <v>224</v>
      </c>
      <c r="I378" s="161" t="n">
        <v>15</v>
      </c>
      <c r="J378" s="156" t="s">
        <v>185</v>
      </c>
      <c r="K378" s="200" t="n">
        <v>45451.8617361111</v>
      </c>
      <c r="L378" s="3" t="n">
        <v>30</v>
      </c>
      <c r="M378" s="3" t="n">
        <v>30</v>
      </c>
      <c r="N378" s="1" t="n">
        <v>35</v>
      </c>
      <c r="O378" s="1" t="n">
        <v>1</v>
      </c>
    </row>
    <row r="379" customFormat="false" ht="14.25" hidden="false" customHeight="false" outlineLevel="0" collapsed="false">
      <c r="A379" s="1" t="n">
        <v>50</v>
      </c>
      <c r="B379" s="1" t="s">
        <v>702</v>
      </c>
      <c r="C379" s="1" t="s">
        <v>703</v>
      </c>
      <c r="D379" s="1" t="n">
        <v>11197</v>
      </c>
      <c r="E379" s="1" t="s">
        <v>53</v>
      </c>
      <c r="F379" s="201" t="n">
        <v>200025889314</v>
      </c>
      <c r="G379" s="198" t="s">
        <v>632</v>
      </c>
      <c r="H379" s="163" t="s">
        <v>224</v>
      </c>
      <c r="I379" s="161" t="n">
        <v>15</v>
      </c>
      <c r="J379" s="156" t="s">
        <v>185</v>
      </c>
      <c r="K379" s="200" t="n">
        <v>45451.8617592593</v>
      </c>
      <c r="L379" s="3" t="n">
        <v>30</v>
      </c>
      <c r="M379" s="3" t="n">
        <v>30</v>
      </c>
      <c r="N379" s="1" t="n">
        <v>36</v>
      </c>
      <c r="O379" s="1" t="n">
        <v>0</v>
      </c>
    </row>
    <row r="380" customFormat="false" ht="14.25" hidden="false" customHeight="false" outlineLevel="0" collapsed="false">
      <c r="A380" s="1" t="n">
        <v>51</v>
      </c>
      <c r="B380" s="1" t="s">
        <v>702</v>
      </c>
      <c r="C380" s="1" t="s">
        <v>703</v>
      </c>
      <c r="D380" s="1" t="n">
        <v>11197</v>
      </c>
      <c r="E380" s="1" t="s">
        <v>53</v>
      </c>
      <c r="F380" s="201" t="n">
        <v>200025889314</v>
      </c>
      <c r="G380" s="198" t="s">
        <v>632</v>
      </c>
      <c r="H380" s="163" t="s">
        <v>224</v>
      </c>
      <c r="I380" s="161" t="n">
        <v>15</v>
      </c>
      <c r="J380" s="156" t="s">
        <v>185</v>
      </c>
      <c r="K380" s="200" t="n">
        <v>45451.8621875</v>
      </c>
      <c r="L380" s="3" t="n">
        <v>30</v>
      </c>
      <c r="M380" s="3" t="n">
        <v>30</v>
      </c>
      <c r="N380" s="1" t="n">
        <v>37</v>
      </c>
      <c r="O380" s="1" t="n">
        <v>2</v>
      </c>
    </row>
    <row r="381" customFormat="false" ht="14.25" hidden="false" customHeight="false" outlineLevel="0" collapsed="false">
      <c r="A381" s="1" t="n">
        <v>52</v>
      </c>
      <c r="B381" s="1" t="s">
        <v>702</v>
      </c>
      <c r="C381" s="1" t="s">
        <v>703</v>
      </c>
      <c r="D381" s="1" t="n">
        <v>11197</v>
      </c>
      <c r="E381" s="1" t="s">
        <v>53</v>
      </c>
      <c r="F381" s="201" t="n">
        <v>200025889314</v>
      </c>
      <c r="G381" s="198" t="s">
        <v>632</v>
      </c>
      <c r="H381" s="163" t="s">
        <v>224</v>
      </c>
      <c r="I381" s="161" t="n">
        <v>15</v>
      </c>
      <c r="J381" s="156" t="s">
        <v>185</v>
      </c>
      <c r="K381" s="200" t="n">
        <v>45451.863275463</v>
      </c>
      <c r="L381" s="3" t="n">
        <v>30</v>
      </c>
      <c r="M381" s="3" t="n">
        <v>30</v>
      </c>
      <c r="N381" s="1" t="n">
        <v>38</v>
      </c>
      <c r="O381" s="1" t="n">
        <v>2</v>
      </c>
    </row>
    <row r="382" customFormat="false" ht="14.25" hidden="false" customHeight="false" outlineLevel="0" collapsed="false">
      <c r="A382" s="1" t="n">
        <v>53</v>
      </c>
      <c r="B382" s="1" t="s">
        <v>702</v>
      </c>
      <c r="C382" s="1" t="s">
        <v>703</v>
      </c>
      <c r="D382" s="1" t="n">
        <v>11197</v>
      </c>
      <c r="E382" s="1" t="s">
        <v>53</v>
      </c>
      <c r="F382" s="201" t="n">
        <v>200025889314</v>
      </c>
      <c r="G382" s="198" t="s">
        <v>632</v>
      </c>
      <c r="H382" s="163" t="s">
        <v>224</v>
      </c>
      <c r="I382" s="161" t="n">
        <v>15</v>
      </c>
      <c r="J382" s="156" t="s">
        <v>185</v>
      </c>
      <c r="K382" s="200" t="n">
        <v>45451.864212963</v>
      </c>
      <c r="L382" s="3" t="n">
        <v>30</v>
      </c>
      <c r="M382" s="3" t="n">
        <v>30</v>
      </c>
      <c r="N382" s="1" t="n">
        <v>39</v>
      </c>
      <c r="O382" s="1" t="n">
        <v>26</v>
      </c>
    </row>
    <row r="383" customFormat="false" ht="14.25" hidden="false" customHeight="false" outlineLevel="0" collapsed="false">
      <c r="A383" s="1" t="n">
        <v>54</v>
      </c>
      <c r="B383" s="1" t="s">
        <v>702</v>
      </c>
      <c r="C383" s="1" t="s">
        <v>703</v>
      </c>
      <c r="D383" s="1" t="n">
        <v>11197</v>
      </c>
      <c r="E383" s="1" t="s">
        <v>53</v>
      </c>
      <c r="F383" s="201" t="n">
        <v>200025889314</v>
      </c>
      <c r="G383" s="198" t="s">
        <v>632</v>
      </c>
      <c r="H383" s="163" t="s">
        <v>224</v>
      </c>
      <c r="I383" s="161" t="n">
        <v>15</v>
      </c>
      <c r="J383" s="156" t="s">
        <v>185</v>
      </c>
      <c r="K383" s="200" t="n">
        <v>45451.8943055556</v>
      </c>
      <c r="L383" s="3" t="n">
        <v>30</v>
      </c>
      <c r="M383" s="3" t="n">
        <v>30</v>
      </c>
      <c r="N383" s="1" t="n">
        <v>40</v>
      </c>
      <c r="O383" s="1" t="n">
        <v>2</v>
      </c>
    </row>
    <row r="384" customFormat="false" ht="14.25" hidden="false" customHeight="false" outlineLevel="0" collapsed="false">
      <c r="A384" s="1" t="n">
        <v>55</v>
      </c>
      <c r="B384" s="1" t="s">
        <v>702</v>
      </c>
      <c r="C384" s="1" t="s">
        <v>703</v>
      </c>
      <c r="D384" s="1" t="n">
        <v>11197</v>
      </c>
      <c r="E384" s="1" t="s">
        <v>53</v>
      </c>
      <c r="F384" s="201" t="n">
        <v>200025889314</v>
      </c>
      <c r="G384" s="198" t="s">
        <v>632</v>
      </c>
      <c r="H384" s="163" t="s">
        <v>224</v>
      </c>
      <c r="I384" s="161" t="n">
        <v>15</v>
      </c>
      <c r="J384" s="156" t="s">
        <v>185</v>
      </c>
      <c r="K384" s="200" t="n">
        <v>45451.8978819444</v>
      </c>
      <c r="L384" s="3" t="n">
        <v>30</v>
      </c>
      <c r="M384" s="3" t="n">
        <v>30</v>
      </c>
      <c r="N384" s="1" t="n">
        <v>41</v>
      </c>
      <c r="O384" s="207" t="n">
        <v>68</v>
      </c>
    </row>
    <row r="385" customFormat="false" ht="14.25" hidden="false" customHeight="false" outlineLevel="0" collapsed="false">
      <c r="A385" s="1" t="n">
        <v>56</v>
      </c>
      <c r="B385" s="1" t="s">
        <v>702</v>
      </c>
      <c r="C385" s="1" t="s">
        <v>703</v>
      </c>
      <c r="D385" s="1" t="n">
        <v>11197</v>
      </c>
      <c r="E385" s="1" t="s">
        <v>53</v>
      </c>
      <c r="F385" s="201" t="n">
        <v>200025889314</v>
      </c>
      <c r="G385" s="198" t="s">
        <v>632</v>
      </c>
      <c r="H385" s="163" t="s">
        <v>224</v>
      </c>
      <c r="I385" s="161" t="n">
        <v>15</v>
      </c>
      <c r="J385" s="156" t="s">
        <v>185</v>
      </c>
      <c r="K385" s="200" t="n">
        <v>45451.8986689815</v>
      </c>
      <c r="L385" s="3" t="n">
        <v>30</v>
      </c>
      <c r="M385" s="3" t="n">
        <v>30</v>
      </c>
      <c r="N385" s="1" t="n">
        <v>42</v>
      </c>
      <c r="O385" s="1" t="n">
        <v>1</v>
      </c>
    </row>
    <row r="386" customFormat="false" ht="14.25" hidden="false" customHeight="false" outlineLevel="0" collapsed="false">
      <c r="A386" s="1" t="n">
        <v>57</v>
      </c>
      <c r="B386" s="1" t="s">
        <v>702</v>
      </c>
      <c r="C386" s="1" t="s">
        <v>703</v>
      </c>
      <c r="D386" s="1" t="n">
        <v>11197</v>
      </c>
      <c r="E386" s="1" t="s">
        <v>53</v>
      </c>
      <c r="F386" s="201" t="n">
        <v>200025889314</v>
      </c>
      <c r="G386" s="198" t="s">
        <v>632</v>
      </c>
      <c r="H386" s="163" t="s">
        <v>224</v>
      </c>
      <c r="I386" s="161" t="n">
        <v>15</v>
      </c>
      <c r="J386" s="156" t="s">
        <v>185</v>
      </c>
      <c r="K386" s="200" t="n">
        <v>45451.8991087963</v>
      </c>
      <c r="L386" s="3" t="n">
        <v>30</v>
      </c>
      <c r="M386" s="3" t="n">
        <v>30</v>
      </c>
      <c r="N386" s="1" t="n">
        <v>43</v>
      </c>
      <c r="O386" s="1" t="n">
        <v>0</v>
      </c>
    </row>
    <row r="387" customFormat="false" ht="14.25" hidden="false" customHeight="false" outlineLevel="0" collapsed="false">
      <c r="A387" s="1" t="n">
        <v>13</v>
      </c>
      <c r="B387" s="1" t="s">
        <v>565</v>
      </c>
      <c r="C387" s="1" t="s">
        <v>566</v>
      </c>
      <c r="D387" s="1" t="n">
        <v>11171</v>
      </c>
      <c r="E387" s="1" t="s">
        <v>55</v>
      </c>
      <c r="F387" s="198" t="n">
        <v>200025889314</v>
      </c>
      <c r="G387" s="198" t="s">
        <v>632</v>
      </c>
      <c r="H387" s="163" t="s">
        <v>224</v>
      </c>
      <c r="I387" s="161" t="n">
        <v>15</v>
      </c>
      <c r="J387" s="156" t="s">
        <v>185</v>
      </c>
      <c r="K387" s="199" t="n">
        <v>45451.9299537037</v>
      </c>
      <c r="L387" s="3" t="n">
        <v>30</v>
      </c>
      <c r="M387" s="3" t="n">
        <v>30</v>
      </c>
      <c r="N387" s="1" t="n">
        <v>44</v>
      </c>
      <c r="O387" s="1" t="n">
        <v>39</v>
      </c>
    </row>
    <row r="388" customFormat="false" ht="14.25" hidden="false" customHeight="false" outlineLevel="0" collapsed="false">
      <c r="A388" s="1" t="n">
        <v>14</v>
      </c>
      <c r="B388" s="1" t="s">
        <v>565</v>
      </c>
      <c r="C388" s="1" t="s">
        <v>566</v>
      </c>
      <c r="D388" s="1" t="n">
        <v>11171</v>
      </c>
      <c r="E388" s="1" t="s">
        <v>55</v>
      </c>
      <c r="F388" s="198" t="n">
        <v>200025889314</v>
      </c>
      <c r="G388" s="198" t="s">
        <v>632</v>
      </c>
      <c r="H388" s="163" t="s">
        <v>224</v>
      </c>
      <c r="I388" s="161" t="n">
        <v>15</v>
      </c>
      <c r="J388" s="156" t="s">
        <v>185</v>
      </c>
      <c r="K388" s="199" t="n">
        <v>45451.9305555556</v>
      </c>
      <c r="L388" s="3" t="n">
        <v>30</v>
      </c>
      <c r="M388" s="3" t="n">
        <v>30</v>
      </c>
      <c r="N388" s="1" t="n">
        <v>45</v>
      </c>
      <c r="O388" s="1" t="n">
        <v>1</v>
      </c>
    </row>
    <row r="389" customFormat="false" ht="14.25" hidden="false" customHeight="false" outlineLevel="0" collapsed="false">
      <c r="A389" s="1" t="n">
        <v>15</v>
      </c>
      <c r="B389" s="1" t="s">
        <v>565</v>
      </c>
      <c r="C389" s="1" t="s">
        <v>566</v>
      </c>
      <c r="D389" s="1" t="n">
        <v>11171</v>
      </c>
      <c r="E389" s="1" t="s">
        <v>55</v>
      </c>
      <c r="F389" s="198" t="n">
        <v>200025889314</v>
      </c>
      <c r="G389" s="198" t="s">
        <v>632</v>
      </c>
      <c r="H389" s="163" t="s">
        <v>224</v>
      </c>
      <c r="I389" s="161" t="n">
        <v>15</v>
      </c>
      <c r="J389" s="156" t="s">
        <v>185</v>
      </c>
      <c r="K389" s="199" t="n">
        <v>45451.9306712963</v>
      </c>
      <c r="L389" s="3" t="n">
        <v>30</v>
      </c>
      <c r="M389" s="3" t="n">
        <v>30</v>
      </c>
      <c r="N389" s="1" t="n">
        <v>46</v>
      </c>
      <c r="O389" s="1" t="n">
        <v>0</v>
      </c>
    </row>
    <row r="390" customFormat="false" ht="14.25" hidden="false" customHeight="false" outlineLevel="0" collapsed="false">
      <c r="A390" s="1" t="n">
        <v>16</v>
      </c>
      <c r="B390" s="1" t="s">
        <v>565</v>
      </c>
      <c r="C390" s="1" t="s">
        <v>566</v>
      </c>
      <c r="D390" s="1" t="n">
        <v>11171</v>
      </c>
      <c r="E390" s="1" t="s">
        <v>55</v>
      </c>
      <c r="F390" s="198" t="n">
        <v>200025889314</v>
      </c>
      <c r="G390" s="198" t="s">
        <v>632</v>
      </c>
      <c r="H390" s="163" t="s">
        <v>224</v>
      </c>
      <c r="I390" s="161" t="n">
        <v>15</v>
      </c>
      <c r="J390" s="156" t="s">
        <v>185</v>
      </c>
      <c r="K390" s="199" t="n">
        <v>45451.9308101852</v>
      </c>
      <c r="L390" s="3" t="n">
        <v>30</v>
      </c>
      <c r="M390" s="3" t="n">
        <v>30</v>
      </c>
      <c r="N390" s="1" t="n">
        <v>47</v>
      </c>
      <c r="O390" s="1" t="n">
        <v>0</v>
      </c>
    </row>
    <row r="391" customFormat="false" ht="14.25" hidden="false" customHeight="false" outlineLevel="0" collapsed="false">
      <c r="A391" s="1" t="n">
        <v>17</v>
      </c>
      <c r="B391" s="1" t="s">
        <v>565</v>
      </c>
      <c r="C391" s="1" t="s">
        <v>566</v>
      </c>
      <c r="D391" s="1" t="n">
        <v>11171</v>
      </c>
      <c r="E391" s="1" t="s">
        <v>55</v>
      </c>
      <c r="F391" s="198" t="n">
        <v>200025889314</v>
      </c>
      <c r="G391" s="198" t="s">
        <v>632</v>
      </c>
      <c r="H391" s="163" t="s">
        <v>224</v>
      </c>
      <c r="I391" s="161" t="n">
        <v>15</v>
      </c>
      <c r="J391" s="156" t="s">
        <v>185</v>
      </c>
      <c r="K391" s="199" t="n">
        <v>45451.9311111111</v>
      </c>
      <c r="L391" s="3" t="n">
        <v>30</v>
      </c>
      <c r="M391" s="3" t="n">
        <v>30</v>
      </c>
      <c r="N391" s="1" t="n">
        <v>48</v>
      </c>
      <c r="O391" s="1" t="n">
        <v>1</v>
      </c>
    </row>
    <row r="392" customFormat="false" ht="14.25" hidden="false" customHeight="false" outlineLevel="0" collapsed="false">
      <c r="A392" s="1" t="n">
        <v>18</v>
      </c>
      <c r="B392" s="1" t="s">
        <v>565</v>
      </c>
      <c r="C392" s="1" t="s">
        <v>566</v>
      </c>
      <c r="D392" s="1" t="n">
        <v>11171</v>
      </c>
      <c r="E392" s="1" t="s">
        <v>55</v>
      </c>
      <c r="F392" s="198" t="n">
        <v>200025889314</v>
      </c>
      <c r="G392" s="198" t="s">
        <v>632</v>
      </c>
      <c r="H392" s="163" t="s">
        <v>224</v>
      </c>
      <c r="I392" s="161" t="n">
        <v>15</v>
      </c>
      <c r="J392" s="156" t="s">
        <v>185</v>
      </c>
      <c r="K392" s="199" t="n">
        <v>45451.9323611111</v>
      </c>
      <c r="L392" s="3" t="n">
        <v>30</v>
      </c>
      <c r="M392" s="3" t="n">
        <v>30</v>
      </c>
      <c r="N392" s="1" t="n">
        <v>49</v>
      </c>
      <c r="O392" s="1" t="n">
        <v>0</v>
      </c>
    </row>
    <row r="393" customFormat="false" ht="14.25" hidden="false" customHeight="false" outlineLevel="0" collapsed="false">
      <c r="A393" s="1" t="n">
        <v>58</v>
      </c>
      <c r="B393" s="1" t="s">
        <v>702</v>
      </c>
      <c r="C393" s="1" t="s">
        <v>703</v>
      </c>
      <c r="D393" s="1" t="n">
        <v>11197</v>
      </c>
      <c r="E393" s="1" t="s">
        <v>53</v>
      </c>
      <c r="F393" s="201" t="n">
        <v>200025889314</v>
      </c>
      <c r="G393" s="198" t="s">
        <v>632</v>
      </c>
      <c r="H393" s="163" t="s">
        <v>224</v>
      </c>
      <c r="I393" s="161" t="n">
        <v>15</v>
      </c>
      <c r="J393" s="156" t="s">
        <v>185</v>
      </c>
      <c r="K393" s="200" t="n">
        <v>45451.9837268519</v>
      </c>
      <c r="L393" s="3" t="n">
        <v>30</v>
      </c>
      <c r="M393" s="3" t="n">
        <v>30</v>
      </c>
      <c r="N393" s="1" t="n">
        <v>50</v>
      </c>
      <c r="O393" s="1" t="n">
        <v>1</v>
      </c>
    </row>
    <row r="394" customFormat="false" ht="14.25" hidden="false" customHeight="false" outlineLevel="0" collapsed="false">
      <c r="A394" s="1" t="n">
        <v>59</v>
      </c>
      <c r="B394" s="1" t="s">
        <v>702</v>
      </c>
      <c r="C394" s="1" t="s">
        <v>703</v>
      </c>
      <c r="D394" s="1" t="n">
        <v>11197</v>
      </c>
      <c r="E394" s="1" t="s">
        <v>53</v>
      </c>
      <c r="F394" s="201" t="n">
        <v>200025889314</v>
      </c>
      <c r="G394" s="198" t="s">
        <v>632</v>
      </c>
      <c r="H394" s="163" t="s">
        <v>224</v>
      </c>
      <c r="I394" s="161" t="n">
        <v>15</v>
      </c>
      <c r="J394" s="156" t="s">
        <v>185</v>
      </c>
      <c r="K394" s="200" t="n">
        <v>45451.9839351852</v>
      </c>
      <c r="L394" s="3" t="n">
        <v>30</v>
      </c>
      <c r="M394" s="3" t="n">
        <v>30</v>
      </c>
      <c r="N394" s="1" t="n">
        <v>51</v>
      </c>
      <c r="O394" s="1" t="n">
        <v>1</v>
      </c>
    </row>
    <row r="395" customFormat="false" ht="14.25" hidden="false" customHeight="false" outlineLevel="0" collapsed="false">
      <c r="A395" s="1" t="n">
        <v>60</v>
      </c>
      <c r="B395" s="1" t="s">
        <v>702</v>
      </c>
      <c r="C395" s="1" t="s">
        <v>703</v>
      </c>
      <c r="D395" s="1" t="n">
        <v>11197</v>
      </c>
      <c r="E395" s="1" t="s">
        <v>53</v>
      </c>
      <c r="F395" s="201" t="n">
        <v>200025889314</v>
      </c>
      <c r="G395" s="198" t="s">
        <v>632</v>
      </c>
      <c r="H395" s="163" t="s">
        <v>224</v>
      </c>
      <c r="I395" s="161" t="n">
        <v>15</v>
      </c>
      <c r="J395" s="156" t="s">
        <v>185</v>
      </c>
      <c r="K395" s="200" t="n">
        <v>45451.9853587963</v>
      </c>
      <c r="L395" s="3" t="n">
        <v>30</v>
      </c>
      <c r="M395" s="3" t="n">
        <v>30</v>
      </c>
      <c r="N395" s="1" t="n">
        <v>52</v>
      </c>
      <c r="O395" s="1" t="n">
        <v>2</v>
      </c>
    </row>
    <row r="396" customFormat="false" ht="14.25" hidden="false" customHeight="false" outlineLevel="0" collapsed="false">
      <c r="A396" s="1" t="n">
        <v>61</v>
      </c>
      <c r="B396" s="1" t="s">
        <v>702</v>
      </c>
      <c r="C396" s="1" t="s">
        <v>703</v>
      </c>
      <c r="D396" s="1" t="n">
        <v>11197</v>
      </c>
      <c r="E396" s="1" t="s">
        <v>53</v>
      </c>
      <c r="F396" s="201" t="n">
        <v>200025889314</v>
      </c>
      <c r="G396" s="198" t="s">
        <v>632</v>
      </c>
      <c r="H396" s="163" t="s">
        <v>224</v>
      </c>
      <c r="I396" s="161" t="n">
        <v>15</v>
      </c>
      <c r="J396" s="156" t="s">
        <v>185</v>
      </c>
      <c r="K396" s="200" t="n">
        <v>45451.9858564815</v>
      </c>
      <c r="L396" s="3" t="n">
        <v>30</v>
      </c>
      <c r="M396" s="3" t="n">
        <v>30</v>
      </c>
      <c r="N396" s="1" t="n">
        <v>53</v>
      </c>
      <c r="O396" s="1" t="n">
        <v>2</v>
      </c>
    </row>
    <row r="397" customFormat="false" ht="14.25" hidden="false" customHeight="false" outlineLevel="0" collapsed="false">
      <c r="A397" s="1" t="n">
        <v>62</v>
      </c>
      <c r="B397" s="1" t="s">
        <v>702</v>
      </c>
      <c r="C397" s="1" t="s">
        <v>703</v>
      </c>
      <c r="D397" s="1" t="n">
        <v>11197</v>
      </c>
      <c r="E397" s="1" t="s">
        <v>53</v>
      </c>
      <c r="F397" s="201" t="n">
        <v>200025889314</v>
      </c>
      <c r="G397" s="198" t="s">
        <v>632</v>
      </c>
      <c r="H397" s="163" t="s">
        <v>224</v>
      </c>
      <c r="I397" s="161" t="n">
        <v>15</v>
      </c>
      <c r="J397" s="156" t="s">
        <v>185</v>
      </c>
      <c r="K397" s="200" t="n">
        <v>45451.9861111111</v>
      </c>
      <c r="L397" s="3" t="n">
        <v>30</v>
      </c>
      <c r="M397" s="3" t="n">
        <v>30</v>
      </c>
      <c r="N397" s="1" t="n">
        <v>54</v>
      </c>
      <c r="O397" s="1" t="n">
        <v>1</v>
      </c>
    </row>
    <row r="398" customFormat="false" ht="14.25" hidden="false" customHeight="false" outlineLevel="0" collapsed="false">
      <c r="A398" s="1" t="n">
        <v>63</v>
      </c>
      <c r="B398" s="1" t="s">
        <v>702</v>
      </c>
      <c r="C398" s="1" t="s">
        <v>703</v>
      </c>
      <c r="D398" s="1" t="n">
        <v>11197</v>
      </c>
      <c r="E398" s="1" t="s">
        <v>53</v>
      </c>
      <c r="F398" s="201" t="n">
        <v>200025889314</v>
      </c>
      <c r="G398" s="198" t="s">
        <v>632</v>
      </c>
      <c r="H398" s="163" t="s">
        <v>224</v>
      </c>
      <c r="I398" s="161" t="n">
        <v>15</v>
      </c>
      <c r="J398" s="156" t="s">
        <v>185</v>
      </c>
      <c r="K398" s="200" t="n">
        <v>45451.9861342593</v>
      </c>
      <c r="L398" s="3" t="n">
        <v>30</v>
      </c>
      <c r="M398" s="3" t="n">
        <v>30</v>
      </c>
      <c r="N398" s="1" t="n">
        <v>55</v>
      </c>
      <c r="O398" s="1" t="n">
        <v>0</v>
      </c>
    </row>
    <row r="399" customFormat="false" ht="14.25" hidden="false" customHeight="false" outlineLevel="0" collapsed="false">
      <c r="A399" s="1" t="n">
        <v>64</v>
      </c>
      <c r="B399" s="1" t="s">
        <v>702</v>
      </c>
      <c r="C399" s="1" t="s">
        <v>703</v>
      </c>
      <c r="D399" s="1" t="n">
        <v>11197</v>
      </c>
      <c r="E399" s="1" t="s">
        <v>53</v>
      </c>
      <c r="F399" s="201" t="n">
        <v>200025889314</v>
      </c>
      <c r="G399" s="198" t="s">
        <v>632</v>
      </c>
      <c r="H399" s="163" t="s">
        <v>224</v>
      </c>
      <c r="I399" s="161" t="n">
        <v>15</v>
      </c>
      <c r="J399" s="156" t="s">
        <v>185</v>
      </c>
      <c r="K399" s="200" t="n">
        <v>45451.9869328704</v>
      </c>
      <c r="L399" s="3" t="n">
        <v>30</v>
      </c>
      <c r="M399" s="3" t="n">
        <v>30</v>
      </c>
      <c r="N399" s="1" t="n">
        <v>56</v>
      </c>
      <c r="O399" s="1" t="n">
        <v>1</v>
      </c>
    </row>
    <row r="400" customFormat="false" ht="14.25" hidden="false" customHeight="false" outlineLevel="0" collapsed="false">
      <c r="A400" s="1" t="n">
        <v>65</v>
      </c>
      <c r="B400" s="1" t="s">
        <v>702</v>
      </c>
      <c r="C400" s="1" t="s">
        <v>703</v>
      </c>
      <c r="D400" s="1" t="n">
        <v>11197</v>
      </c>
      <c r="E400" s="1" t="s">
        <v>53</v>
      </c>
      <c r="F400" s="201" t="n">
        <v>200025889314</v>
      </c>
      <c r="G400" s="198" t="s">
        <v>632</v>
      </c>
      <c r="H400" s="163" t="s">
        <v>224</v>
      </c>
      <c r="I400" s="161" t="n">
        <v>15</v>
      </c>
      <c r="J400" s="156" t="s">
        <v>185</v>
      </c>
      <c r="K400" s="200" t="n">
        <v>45451.9896064815</v>
      </c>
      <c r="L400" s="3" t="n">
        <v>30</v>
      </c>
      <c r="M400" s="3" t="n">
        <v>30</v>
      </c>
      <c r="N400" s="1" t="n">
        <v>57</v>
      </c>
      <c r="O400" s="1" t="n">
        <v>1</v>
      </c>
    </row>
    <row r="401" customFormat="false" ht="14.25" hidden="false" customHeight="false" outlineLevel="0" collapsed="false">
      <c r="A401" s="1" t="n">
        <v>66</v>
      </c>
      <c r="B401" s="1" t="s">
        <v>702</v>
      </c>
      <c r="C401" s="1" t="s">
        <v>703</v>
      </c>
      <c r="D401" s="1" t="n">
        <v>11197</v>
      </c>
      <c r="E401" s="1" t="s">
        <v>53</v>
      </c>
      <c r="F401" s="201" t="n">
        <v>200025889314</v>
      </c>
      <c r="G401" s="198" t="s">
        <v>632</v>
      </c>
      <c r="H401" s="163" t="s">
        <v>224</v>
      </c>
      <c r="I401" s="161" t="n">
        <v>15</v>
      </c>
      <c r="J401" s="156" t="s">
        <v>185</v>
      </c>
      <c r="K401" s="200" t="n">
        <v>45451.990162037</v>
      </c>
      <c r="L401" s="3" t="n">
        <v>30</v>
      </c>
      <c r="M401" s="3" t="n">
        <v>30</v>
      </c>
      <c r="N401" s="1" t="n">
        <v>58</v>
      </c>
      <c r="O401" s="1" t="n">
        <v>3</v>
      </c>
    </row>
    <row r="402" customFormat="false" ht="14.25" hidden="false" customHeight="false" outlineLevel="0" collapsed="false">
      <c r="A402" s="1" t="n">
        <v>67</v>
      </c>
      <c r="B402" s="1" t="s">
        <v>702</v>
      </c>
      <c r="C402" s="1" t="s">
        <v>703</v>
      </c>
      <c r="D402" s="1" t="n">
        <v>11197</v>
      </c>
      <c r="E402" s="1" t="s">
        <v>53</v>
      </c>
      <c r="F402" s="201" t="n">
        <v>200025889314</v>
      </c>
      <c r="G402" s="198" t="s">
        <v>632</v>
      </c>
      <c r="H402" s="163" t="s">
        <v>224</v>
      </c>
      <c r="I402" s="161" t="n">
        <v>15</v>
      </c>
      <c r="J402" s="156" t="s">
        <v>185</v>
      </c>
      <c r="K402" s="200" t="n">
        <v>45451.9912384259</v>
      </c>
      <c r="L402" s="3" t="n">
        <v>30</v>
      </c>
      <c r="M402" s="3" t="n">
        <v>30</v>
      </c>
      <c r="N402" s="1" t="n">
        <v>59</v>
      </c>
      <c r="O402" s="1" t="n">
        <v>1</v>
      </c>
    </row>
    <row r="403" customFormat="false" ht="14.25" hidden="false" customHeight="false" outlineLevel="0" collapsed="false">
      <c r="A403" s="1" t="n">
        <v>68</v>
      </c>
      <c r="B403" s="1" t="s">
        <v>702</v>
      </c>
      <c r="C403" s="1" t="s">
        <v>703</v>
      </c>
      <c r="D403" s="1" t="n">
        <v>11197</v>
      </c>
      <c r="E403" s="1" t="s">
        <v>53</v>
      </c>
      <c r="F403" s="201" t="n">
        <v>200025889314</v>
      </c>
      <c r="G403" s="198" t="s">
        <v>632</v>
      </c>
      <c r="H403" s="163" t="s">
        <v>224</v>
      </c>
      <c r="I403" s="161" t="n">
        <v>15</v>
      </c>
      <c r="J403" s="156" t="s">
        <v>185</v>
      </c>
      <c r="K403" s="200" t="n">
        <v>45451.99125</v>
      </c>
      <c r="L403" s="3" t="n">
        <v>30</v>
      </c>
      <c r="M403" s="3" t="n">
        <v>30</v>
      </c>
      <c r="N403" s="1" t="n">
        <v>60</v>
      </c>
      <c r="O403" s="1" t="n">
        <v>18</v>
      </c>
    </row>
    <row r="404" customFormat="false" ht="14.25" hidden="false" customHeight="false" outlineLevel="0" collapsed="false">
      <c r="A404" s="1" t="n">
        <v>69</v>
      </c>
      <c r="B404" s="1" t="s">
        <v>702</v>
      </c>
      <c r="C404" s="1" t="s">
        <v>703</v>
      </c>
      <c r="D404" s="1" t="n">
        <v>11197</v>
      </c>
      <c r="E404" s="1" t="s">
        <v>53</v>
      </c>
      <c r="F404" s="201" t="n">
        <v>200025889314</v>
      </c>
      <c r="G404" s="198" t="s">
        <v>632</v>
      </c>
      <c r="H404" s="163" t="s">
        <v>224</v>
      </c>
      <c r="I404" s="161" t="n">
        <v>15</v>
      </c>
      <c r="J404" s="156" t="s">
        <v>185</v>
      </c>
      <c r="K404" s="200" t="n">
        <v>45451.9914583333</v>
      </c>
      <c r="L404" s="3" t="n">
        <v>30</v>
      </c>
      <c r="M404" s="3" t="n">
        <v>30</v>
      </c>
      <c r="N404" s="1" t="n">
        <v>61</v>
      </c>
      <c r="O404" s="1" t="n">
        <v>39</v>
      </c>
    </row>
    <row r="405" customFormat="false" ht="14.25" hidden="false" customHeight="false" outlineLevel="0" collapsed="false">
      <c r="A405" s="1" t="n">
        <v>70</v>
      </c>
      <c r="B405" s="1" t="s">
        <v>702</v>
      </c>
      <c r="C405" s="1" t="s">
        <v>703</v>
      </c>
      <c r="D405" s="1" t="n">
        <v>11197</v>
      </c>
      <c r="E405" s="1" t="s">
        <v>53</v>
      </c>
      <c r="F405" s="201" t="n">
        <v>200025889314</v>
      </c>
      <c r="G405" s="198" t="s">
        <v>632</v>
      </c>
      <c r="H405" s="163" t="s">
        <v>224</v>
      </c>
      <c r="I405" s="161" t="n">
        <v>15</v>
      </c>
      <c r="J405" s="156" t="s">
        <v>185</v>
      </c>
      <c r="K405" s="200" t="n">
        <v>45451.9919097222</v>
      </c>
      <c r="L405" s="3" t="n">
        <v>30</v>
      </c>
      <c r="M405" s="3" t="n">
        <v>30</v>
      </c>
      <c r="N405" s="1" t="n">
        <v>62</v>
      </c>
      <c r="O405" s="1" t="n">
        <v>0</v>
      </c>
    </row>
    <row r="406" customFormat="false" ht="14.25" hidden="false" customHeight="false" outlineLevel="0" collapsed="false">
      <c r="A406" s="1" t="n">
        <v>71</v>
      </c>
      <c r="B406" s="1" t="s">
        <v>702</v>
      </c>
      <c r="C406" s="1" t="s">
        <v>703</v>
      </c>
      <c r="D406" s="1" t="n">
        <v>11197</v>
      </c>
      <c r="E406" s="1" t="s">
        <v>53</v>
      </c>
      <c r="F406" s="201" t="n">
        <v>200025889314</v>
      </c>
      <c r="G406" s="198" t="s">
        <v>632</v>
      </c>
      <c r="H406" s="163" t="s">
        <v>224</v>
      </c>
      <c r="I406" s="161" t="n">
        <v>15</v>
      </c>
      <c r="J406" s="156" t="s">
        <v>185</v>
      </c>
      <c r="K406" s="200" t="n">
        <v>45451.9922685185</v>
      </c>
      <c r="L406" s="3" t="n">
        <v>30</v>
      </c>
      <c r="M406" s="3" t="n">
        <v>30</v>
      </c>
      <c r="N406" s="1" t="n">
        <v>63</v>
      </c>
      <c r="O406" s="1" t="n">
        <v>3</v>
      </c>
    </row>
    <row r="407" customFormat="false" ht="14.25" hidden="false" customHeight="false" outlineLevel="0" collapsed="false">
      <c r="A407" s="1" t="n">
        <v>72</v>
      </c>
      <c r="B407" s="1" t="s">
        <v>702</v>
      </c>
      <c r="C407" s="1" t="s">
        <v>703</v>
      </c>
      <c r="D407" s="1" t="n">
        <v>11197</v>
      </c>
      <c r="E407" s="1" t="s">
        <v>53</v>
      </c>
      <c r="F407" s="201" t="n">
        <v>200025889314</v>
      </c>
      <c r="G407" s="198" t="s">
        <v>632</v>
      </c>
      <c r="H407" s="163" t="s">
        <v>224</v>
      </c>
      <c r="I407" s="161" t="n">
        <v>15</v>
      </c>
      <c r="J407" s="156" t="s">
        <v>185</v>
      </c>
      <c r="K407" s="200" t="n">
        <v>45451.9936921296</v>
      </c>
      <c r="L407" s="3" t="n">
        <v>30</v>
      </c>
      <c r="M407" s="3" t="n">
        <v>30</v>
      </c>
      <c r="N407" s="1" t="n">
        <v>64</v>
      </c>
      <c r="O407" s="1" t="n">
        <v>48</v>
      </c>
    </row>
    <row r="408" customFormat="false" ht="14.25" hidden="false" customHeight="false" outlineLevel="0" collapsed="false">
      <c r="A408" s="1" t="n">
        <v>73</v>
      </c>
      <c r="B408" s="1" t="s">
        <v>702</v>
      </c>
      <c r="C408" s="1" t="s">
        <v>703</v>
      </c>
      <c r="D408" s="1" t="n">
        <v>11197</v>
      </c>
      <c r="E408" s="1" t="s">
        <v>53</v>
      </c>
      <c r="F408" s="201" t="n">
        <v>200025889314</v>
      </c>
      <c r="G408" s="198" t="s">
        <v>632</v>
      </c>
      <c r="H408" s="163" t="s">
        <v>224</v>
      </c>
      <c r="I408" s="161" t="n">
        <v>15</v>
      </c>
      <c r="J408" s="156" t="s">
        <v>185</v>
      </c>
      <c r="K408" s="200" t="n">
        <v>45451.9943634259</v>
      </c>
      <c r="L408" s="3" t="n">
        <v>30</v>
      </c>
      <c r="M408" s="3" t="n">
        <v>30</v>
      </c>
      <c r="N408" s="1" t="n">
        <v>65</v>
      </c>
      <c r="O408" s="1" t="n">
        <v>2</v>
      </c>
    </row>
    <row r="409" customFormat="false" ht="14.25" hidden="false" customHeight="false" outlineLevel="0" collapsed="false">
      <c r="A409" s="1" t="n">
        <v>74</v>
      </c>
      <c r="B409" s="1" t="s">
        <v>702</v>
      </c>
      <c r="C409" s="1" t="s">
        <v>703</v>
      </c>
      <c r="D409" s="1" t="n">
        <v>11197</v>
      </c>
      <c r="E409" s="1" t="s">
        <v>53</v>
      </c>
      <c r="F409" s="201" t="n">
        <v>200025889314</v>
      </c>
      <c r="G409" s="198" t="s">
        <v>632</v>
      </c>
      <c r="H409" s="163" t="s">
        <v>224</v>
      </c>
      <c r="I409" s="161" t="n">
        <v>15</v>
      </c>
      <c r="J409" s="156" t="s">
        <v>185</v>
      </c>
      <c r="K409" s="200" t="n">
        <v>45451.9945833333</v>
      </c>
      <c r="L409" s="3" t="n">
        <v>30</v>
      </c>
      <c r="M409" s="3" t="n">
        <v>30</v>
      </c>
      <c r="N409" s="1" t="n">
        <v>66</v>
      </c>
      <c r="O409" s="1" t="n">
        <v>1</v>
      </c>
    </row>
    <row r="410" customFormat="false" ht="14.25" hidden="false" customHeight="false" outlineLevel="0" collapsed="false">
      <c r="A410" s="1" t="n">
        <v>75</v>
      </c>
      <c r="B410" s="1" t="s">
        <v>702</v>
      </c>
      <c r="C410" s="1" t="s">
        <v>703</v>
      </c>
      <c r="D410" s="1" t="n">
        <v>11197</v>
      </c>
      <c r="E410" s="1" t="s">
        <v>53</v>
      </c>
      <c r="F410" s="201" t="n">
        <v>200025889314</v>
      </c>
      <c r="G410" s="198" t="s">
        <v>632</v>
      </c>
      <c r="H410" s="163" t="s">
        <v>224</v>
      </c>
      <c r="I410" s="161" t="n">
        <v>15</v>
      </c>
      <c r="J410" s="156" t="s">
        <v>185</v>
      </c>
      <c r="K410" s="200" t="n">
        <v>45451.9946064815</v>
      </c>
      <c r="L410" s="3" t="n">
        <v>30</v>
      </c>
      <c r="M410" s="3" t="n">
        <v>30</v>
      </c>
      <c r="N410" s="1" t="n">
        <v>67</v>
      </c>
      <c r="O410" s="1" t="n">
        <v>40</v>
      </c>
    </row>
    <row r="411" customFormat="false" ht="14.25" hidden="false" customHeight="false" outlineLevel="0" collapsed="false">
      <c r="A411" s="1" t="n">
        <v>76</v>
      </c>
      <c r="B411" s="1" t="s">
        <v>702</v>
      </c>
      <c r="C411" s="1" t="s">
        <v>703</v>
      </c>
      <c r="D411" s="1" t="n">
        <v>11197</v>
      </c>
      <c r="E411" s="1" t="s">
        <v>53</v>
      </c>
      <c r="F411" s="201" t="n">
        <v>200025889314</v>
      </c>
      <c r="G411" s="198" t="s">
        <v>632</v>
      </c>
      <c r="H411" s="163" t="s">
        <v>224</v>
      </c>
      <c r="I411" s="161" t="n">
        <v>15</v>
      </c>
      <c r="J411" s="156" t="s">
        <v>185</v>
      </c>
      <c r="K411" s="200" t="n">
        <v>45451.9956481482</v>
      </c>
      <c r="L411" s="3" t="n">
        <v>30</v>
      </c>
      <c r="M411" s="3" t="n">
        <v>30</v>
      </c>
      <c r="N411" s="1" t="n">
        <v>68</v>
      </c>
      <c r="O411" s="1" t="n">
        <v>1</v>
      </c>
    </row>
    <row r="412" customFormat="false" ht="14.25" hidden="false" customHeight="false" outlineLevel="0" collapsed="false">
      <c r="A412" s="1" t="n">
        <v>77</v>
      </c>
      <c r="B412" s="1" t="s">
        <v>702</v>
      </c>
      <c r="C412" s="1" t="s">
        <v>703</v>
      </c>
      <c r="D412" s="1" t="n">
        <v>11197</v>
      </c>
      <c r="E412" s="1" t="s">
        <v>53</v>
      </c>
      <c r="F412" s="201" t="n">
        <v>200025889314</v>
      </c>
      <c r="G412" s="198" t="s">
        <v>632</v>
      </c>
      <c r="H412" s="163" t="s">
        <v>224</v>
      </c>
      <c r="I412" s="161" t="n">
        <v>15</v>
      </c>
      <c r="J412" s="156" t="s">
        <v>185</v>
      </c>
      <c r="K412" s="200" t="n">
        <v>45451.9960185185</v>
      </c>
      <c r="L412" s="3" t="n">
        <v>30</v>
      </c>
      <c r="M412" s="3" t="n">
        <v>30</v>
      </c>
      <c r="N412" s="1" t="n">
        <v>69</v>
      </c>
      <c r="O412" s="1" t="n">
        <v>2</v>
      </c>
    </row>
    <row r="413" customFormat="false" ht="14.25" hidden="false" customHeight="false" outlineLevel="0" collapsed="false">
      <c r="A413" s="1" t="n">
        <v>78</v>
      </c>
      <c r="B413" s="1" t="s">
        <v>702</v>
      </c>
      <c r="C413" s="1" t="s">
        <v>703</v>
      </c>
      <c r="D413" s="1" t="n">
        <v>11197</v>
      </c>
      <c r="E413" s="1" t="s">
        <v>53</v>
      </c>
      <c r="F413" s="201" t="n">
        <v>200025889314</v>
      </c>
      <c r="G413" s="198" t="s">
        <v>632</v>
      </c>
      <c r="H413" s="163" t="s">
        <v>224</v>
      </c>
      <c r="I413" s="161" t="n">
        <v>15</v>
      </c>
      <c r="J413" s="156" t="s">
        <v>185</v>
      </c>
      <c r="K413" s="200" t="n">
        <v>45451.9963773148</v>
      </c>
      <c r="L413" s="3" t="n">
        <v>30</v>
      </c>
      <c r="M413" s="3" t="n">
        <v>30</v>
      </c>
      <c r="N413" s="1" t="n">
        <v>70</v>
      </c>
      <c r="O413" s="1" t="n">
        <v>0</v>
      </c>
    </row>
    <row r="414" customFormat="false" ht="14.25" hidden="false" customHeight="false" outlineLevel="0" collapsed="false">
      <c r="A414" s="1" t="n">
        <v>79</v>
      </c>
      <c r="B414" s="1" t="s">
        <v>702</v>
      </c>
      <c r="C414" s="1" t="s">
        <v>703</v>
      </c>
      <c r="D414" s="1" t="n">
        <v>11197</v>
      </c>
      <c r="E414" s="1" t="s">
        <v>53</v>
      </c>
      <c r="F414" s="201" t="n">
        <v>200025889314</v>
      </c>
      <c r="G414" s="198" t="s">
        <v>632</v>
      </c>
      <c r="H414" s="163" t="s">
        <v>224</v>
      </c>
      <c r="I414" s="161" t="n">
        <v>15</v>
      </c>
      <c r="J414" s="156" t="s">
        <v>185</v>
      </c>
      <c r="K414" s="200" t="n">
        <v>45451.9974305556</v>
      </c>
      <c r="L414" s="3" t="n">
        <v>30</v>
      </c>
      <c r="M414" s="3" t="n">
        <v>30</v>
      </c>
      <c r="N414" s="1" t="n">
        <v>71</v>
      </c>
      <c r="O414" s="1" t="n">
        <v>0</v>
      </c>
    </row>
    <row r="415" customFormat="false" ht="14.25" hidden="false" customHeight="false" outlineLevel="0" collapsed="false">
      <c r="A415" s="1" t="n">
        <v>80</v>
      </c>
      <c r="B415" s="1" t="s">
        <v>702</v>
      </c>
      <c r="C415" s="1" t="s">
        <v>703</v>
      </c>
      <c r="D415" s="1" t="n">
        <v>11197</v>
      </c>
      <c r="E415" s="1" t="s">
        <v>53</v>
      </c>
      <c r="F415" s="201" t="n">
        <v>200025889314</v>
      </c>
      <c r="G415" s="198" t="s">
        <v>632</v>
      </c>
      <c r="H415" s="163" t="s">
        <v>224</v>
      </c>
      <c r="I415" s="161" t="n">
        <v>15</v>
      </c>
      <c r="J415" s="156" t="s">
        <v>185</v>
      </c>
      <c r="K415" s="200" t="n">
        <v>45451.9981944444</v>
      </c>
      <c r="L415" s="3" t="n">
        <v>30</v>
      </c>
      <c r="M415" s="3" t="n">
        <v>30</v>
      </c>
      <c r="N415" s="1" t="n">
        <v>72</v>
      </c>
      <c r="O415" s="1" t="n">
        <v>1</v>
      </c>
    </row>
    <row r="416" customFormat="false" ht="14.25" hidden="false" customHeight="false" outlineLevel="0" collapsed="false">
      <c r="A416" s="1" t="n">
        <v>81</v>
      </c>
      <c r="B416" s="1" t="s">
        <v>702</v>
      </c>
      <c r="C416" s="1" t="s">
        <v>703</v>
      </c>
      <c r="D416" s="1" t="n">
        <v>11197</v>
      </c>
      <c r="E416" s="1" t="s">
        <v>53</v>
      </c>
      <c r="F416" s="201" t="n">
        <v>200025889314</v>
      </c>
      <c r="G416" s="198" t="s">
        <v>632</v>
      </c>
      <c r="H416" s="163" t="s">
        <v>224</v>
      </c>
      <c r="I416" s="161" t="n">
        <v>15</v>
      </c>
      <c r="J416" s="156" t="s">
        <v>185</v>
      </c>
      <c r="K416" s="200" t="n">
        <v>45451.9985069444</v>
      </c>
      <c r="L416" s="3" t="n">
        <v>30</v>
      </c>
      <c r="M416" s="3" t="n">
        <v>30</v>
      </c>
      <c r="N416" s="1" t="n">
        <v>73</v>
      </c>
      <c r="O416" s="1" t="n">
        <v>3</v>
      </c>
    </row>
    <row r="417" customFormat="false" ht="14.25" hidden="false" customHeight="false" outlineLevel="0" collapsed="false">
      <c r="A417" s="1" t="n">
        <v>82</v>
      </c>
      <c r="B417" s="1" t="s">
        <v>702</v>
      </c>
      <c r="C417" s="1" t="s">
        <v>703</v>
      </c>
      <c r="D417" s="1" t="n">
        <v>11197</v>
      </c>
      <c r="E417" s="1" t="s">
        <v>53</v>
      </c>
      <c r="F417" s="201" t="n">
        <v>200025889314</v>
      </c>
      <c r="G417" s="198" t="s">
        <v>632</v>
      </c>
      <c r="H417" s="163" t="s">
        <v>224</v>
      </c>
      <c r="I417" s="161" t="n">
        <v>15</v>
      </c>
      <c r="J417" s="156" t="s">
        <v>185</v>
      </c>
      <c r="K417" s="200" t="n">
        <v>45452.0011226852</v>
      </c>
      <c r="L417" s="3" t="n">
        <v>30</v>
      </c>
      <c r="M417" s="3" t="n">
        <v>30</v>
      </c>
      <c r="N417" s="1" t="n">
        <v>74</v>
      </c>
      <c r="O417" s="1" t="n">
        <v>35</v>
      </c>
    </row>
    <row r="418" customFormat="false" ht="14.25" hidden="false" customHeight="false" outlineLevel="0" collapsed="false">
      <c r="A418" s="1" t="n">
        <v>83</v>
      </c>
      <c r="B418" s="1" t="s">
        <v>702</v>
      </c>
      <c r="C418" s="1" t="s">
        <v>703</v>
      </c>
      <c r="D418" s="1" t="n">
        <v>11197</v>
      </c>
      <c r="E418" s="1" t="s">
        <v>53</v>
      </c>
      <c r="F418" s="201" t="n">
        <v>200025889314</v>
      </c>
      <c r="G418" s="198" t="s">
        <v>632</v>
      </c>
      <c r="H418" s="163" t="s">
        <v>224</v>
      </c>
      <c r="I418" s="161" t="n">
        <v>15</v>
      </c>
      <c r="J418" s="156" t="s">
        <v>185</v>
      </c>
      <c r="K418" s="200" t="n">
        <v>45452.0016898148</v>
      </c>
      <c r="L418" s="3" t="n">
        <v>30</v>
      </c>
      <c r="M418" s="3" t="n">
        <v>30</v>
      </c>
      <c r="N418" s="1" t="n">
        <v>75</v>
      </c>
      <c r="O418" s="1" t="n">
        <v>1</v>
      </c>
    </row>
    <row r="419" customFormat="false" ht="14.25" hidden="false" customHeight="false" outlineLevel="0" collapsed="false">
      <c r="A419" s="1" t="n">
        <v>84</v>
      </c>
      <c r="B419" s="1" t="s">
        <v>702</v>
      </c>
      <c r="C419" s="1" t="s">
        <v>703</v>
      </c>
      <c r="D419" s="1" t="n">
        <v>11197</v>
      </c>
      <c r="E419" s="1" t="s">
        <v>53</v>
      </c>
      <c r="F419" s="201" t="n">
        <v>200025889314</v>
      </c>
      <c r="G419" s="198" t="s">
        <v>632</v>
      </c>
      <c r="H419" s="163" t="s">
        <v>224</v>
      </c>
      <c r="I419" s="161" t="n">
        <v>15</v>
      </c>
      <c r="J419" s="156" t="s">
        <v>185</v>
      </c>
      <c r="K419" s="200" t="n">
        <v>45452.002037037</v>
      </c>
      <c r="L419" s="3" t="n">
        <v>30</v>
      </c>
      <c r="M419" s="3" t="n">
        <v>30</v>
      </c>
      <c r="N419" s="1" t="n">
        <v>76</v>
      </c>
      <c r="O419" s="1" t="n">
        <v>2</v>
      </c>
    </row>
    <row r="420" customFormat="false" ht="14.25" hidden="false" customHeight="false" outlineLevel="0" collapsed="false">
      <c r="A420" s="1" t="n">
        <v>85</v>
      </c>
      <c r="B420" s="1" t="s">
        <v>702</v>
      </c>
      <c r="C420" s="1" t="s">
        <v>703</v>
      </c>
      <c r="D420" s="1" t="n">
        <v>11197</v>
      </c>
      <c r="E420" s="1" t="s">
        <v>53</v>
      </c>
      <c r="F420" s="201" t="n">
        <v>200025889314</v>
      </c>
      <c r="G420" s="198" t="s">
        <v>632</v>
      </c>
      <c r="H420" s="163" t="s">
        <v>224</v>
      </c>
      <c r="I420" s="161" t="n">
        <v>15</v>
      </c>
      <c r="J420" s="156" t="s">
        <v>185</v>
      </c>
      <c r="K420" s="200" t="n">
        <v>45452.0111111111</v>
      </c>
      <c r="L420" s="3" t="n">
        <v>30</v>
      </c>
      <c r="M420" s="3" t="n">
        <v>30</v>
      </c>
      <c r="N420" s="1" t="n">
        <v>77</v>
      </c>
      <c r="O420" s="1" t="n">
        <v>1</v>
      </c>
    </row>
    <row r="421" customFormat="false" ht="14.25" hidden="false" customHeight="false" outlineLevel="0" collapsed="false">
      <c r="A421" s="1" t="n">
        <v>86</v>
      </c>
      <c r="B421" s="1" t="s">
        <v>702</v>
      </c>
      <c r="C421" s="1" t="s">
        <v>703</v>
      </c>
      <c r="D421" s="1" t="n">
        <v>11197</v>
      </c>
      <c r="E421" s="1" t="s">
        <v>53</v>
      </c>
      <c r="F421" s="201" t="n">
        <v>200025889314</v>
      </c>
      <c r="G421" s="198" t="s">
        <v>632</v>
      </c>
      <c r="H421" s="163" t="s">
        <v>224</v>
      </c>
      <c r="I421" s="161" t="n">
        <v>15</v>
      </c>
      <c r="J421" s="156" t="s">
        <v>185</v>
      </c>
      <c r="K421" s="200" t="n">
        <v>45452.0130902778</v>
      </c>
      <c r="L421" s="3" t="n">
        <v>30</v>
      </c>
      <c r="M421" s="3" t="n">
        <v>30</v>
      </c>
      <c r="N421" s="1" t="n">
        <v>78</v>
      </c>
      <c r="O421" s="207" t="n">
        <v>2558</v>
      </c>
    </row>
    <row r="422" customFormat="false" ht="14.25" hidden="false" customHeight="false" outlineLevel="0" collapsed="false">
      <c r="A422" s="1" t="n">
        <v>87</v>
      </c>
      <c r="B422" s="1" t="s">
        <v>702</v>
      </c>
      <c r="C422" s="1" t="s">
        <v>703</v>
      </c>
      <c r="D422" s="1" t="n">
        <v>11197</v>
      </c>
      <c r="E422" s="1" t="s">
        <v>53</v>
      </c>
      <c r="F422" s="201" t="n">
        <v>200025889314</v>
      </c>
      <c r="G422" s="198" t="s">
        <v>632</v>
      </c>
      <c r="H422" s="163" t="s">
        <v>224</v>
      </c>
      <c r="I422" s="161" t="n">
        <v>15</v>
      </c>
      <c r="J422" s="156" t="s">
        <v>185</v>
      </c>
      <c r="K422" s="200" t="n">
        <v>45452.0752893519</v>
      </c>
      <c r="L422" s="3" t="n">
        <v>30</v>
      </c>
      <c r="M422" s="3" t="n">
        <v>30</v>
      </c>
      <c r="N422" s="1" t="n">
        <v>79</v>
      </c>
      <c r="O422" s="1" t="n">
        <v>1</v>
      </c>
    </row>
    <row r="423" customFormat="false" ht="14.25" hidden="false" customHeight="false" outlineLevel="0" collapsed="false">
      <c r="A423" s="1" t="n">
        <v>88</v>
      </c>
      <c r="B423" s="1" t="s">
        <v>702</v>
      </c>
      <c r="C423" s="1" t="s">
        <v>703</v>
      </c>
      <c r="D423" s="1" t="n">
        <v>11197</v>
      </c>
      <c r="E423" s="1" t="s">
        <v>53</v>
      </c>
      <c r="F423" s="201" t="n">
        <v>200025889314</v>
      </c>
      <c r="G423" s="198" t="s">
        <v>632</v>
      </c>
      <c r="H423" s="163" t="s">
        <v>224</v>
      </c>
      <c r="I423" s="161" t="n">
        <v>15</v>
      </c>
      <c r="J423" s="156" t="s">
        <v>185</v>
      </c>
      <c r="K423" s="200" t="n">
        <v>45452.0753009259</v>
      </c>
      <c r="L423" s="3" t="n">
        <v>30</v>
      </c>
      <c r="M423" s="3" t="n">
        <v>30</v>
      </c>
      <c r="N423" s="1" t="n">
        <v>80</v>
      </c>
      <c r="O423" s="1" t="n">
        <v>0</v>
      </c>
    </row>
    <row r="424" customFormat="false" ht="14.25" hidden="false" customHeight="false" outlineLevel="0" collapsed="false">
      <c r="A424" s="1" t="n">
        <v>89</v>
      </c>
      <c r="B424" s="1" t="s">
        <v>702</v>
      </c>
      <c r="C424" s="1" t="s">
        <v>703</v>
      </c>
      <c r="D424" s="1" t="n">
        <v>11197</v>
      </c>
      <c r="E424" s="1" t="s">
        <v>53</v>
      </c>
      <c r="F424" s="201" t="n">
        <v>200025889314</v>
      </c>
      <c r="G424" s="198" t="s">
        <v>632</v>
      </c>
      <c r="H424" s="163" t="s">
        <v>224</v>
      </c>
      <c r="I424" s="161" t="n">
        <v>15</v>
      </c>
      <c r="J424" s="156" t="s">
        <v>185</v>
      </c>
      <c r="K424" s="200" t="n">
        <v>45452.0762731481</v>
      </c>
      <c r="L424" s="3" t="n">
        <v>30</v>
      </c>
      <c r="M424" s="3" t="n">
        <v>30</v>
      </c>
      <c r="N424" s="1" t="n">
        <v>81</v>
      </c>
      <c r="O424" s="1" t="n">
        <v>2</v>
      </c>
    </row>
    <row r="425" customFormat="false" ht="14.25" hidden="false" customHeight="false" outlineLevel="0" collapsed="false">
      <c r="A425" s="1" t="n">
        <v>90</v>
      </c>
      <c r="B425" s="1" t="s">
        <v>702</v>
      </c>
      <c r="C425" s="1" t="s">
        <v>703</v>
      </c>
      <c r="D425" s="1" t="n">
        <v>11197</v>
      </c>
      <c r="E425" s="1" t="s">
        <v>53</v>
      </c>
      <c r="F425" s="201" t="n">
        <v>200025889314</v>
      </c>
      <c r="G425" s="198" t="s">
        <v>632</v>
      </c>
      <c r="H425" s="163" t="s">
        <v>224</v>
      </c>
      <c r="I425" s="161" t="n">
        <v>15</v>
      </c>
      <c r="J425" s="156" t="s">
        <v>185</v>
      </c>
      <c r="K425" s="200" t="n">
        <v>45452.0766319444</v>
      </c>
      <c r="L425" s="3" t="n">
        <v>30</v>
      </c>
      <c r="M425" s="3" t="n">
        <v>30</v>
      </c>
      <c r="N425" s="1" t="n">
        <v>82</v>
      </c>
      <c r="O425" s="1" t="n">
        <v>0</v>
      </c>
    </row>
    <row r="426" customFormat="false" ht="14.25" hidden="false" customHeight="false" outlineLevel="0" collapsed="false">
      <c r="A426" s="1" t="n">
        <v>91</v>
      </c>
      <c r="B426" s="1" t="s">
        <v>702</v>
      </c>
      <c r="C426" s="1" t="s">
        <v>703</v>
      </c>
      <c r="D426" s="1" t="n">
        <v>11197</v>
      </c>
      <c r="E426" s="1" t="s">
        <v>53</v>
      </c>
      <c r="F426" s="201" t="n">
        <v>200025889314</v>
      </c>
      <c r="G426" s="198" t="s">
        <v>632</v>
      </c>
      <c r="H426" s="163" t="s">
        <v>224</v>
      </c>
      <c r="I426" s="161" t="n">
        <v>15</v>
      </c>
      <c r="J426" s="156" t="s">
        <v>185</v>
      </c>
      <c r="K426" s="200" t="n">
        <v>45452.0793171296</v>
      </c>
      <c r="L426" s="3" t="n">
        <v>30</v>
      </c>
      <c r="M426" s="3" t="n">
        <v>30</v>
      </c>
      <c r="N426" s="1" t="n">
        <v>83</v>
      </c>
      <c r="O426" s="1" t="n">
        <v>1</v>
      </c>
    </row>
    <row r="427" customFormat="false" ht="14.25" hidden="false" customHeight="false" outlineLevel="0" collapsed="false">
      <c r="A427" s="1" t="n">
        <v>92</v>
      </c>
      <c r="B427" s="1" t="s">
        <v>702</v>
      </c>
      <c r="C427" s="1" t="s">
        <v>703</v>
      </c>
      <c r="D427" s="1" t="n">
        <v>11197</v>
      </c>
      <c r="E427" s="1" t="s">
        <v>53</v>
      </c>
      <c r="F427" s="201" t="n">
        <v>200025889314</v>
      </c>
      <c r="G427" s="198" t="s">
        <v>632</v>
      </c>
      <c r="H427" s="163" t="s">
        <v>224</v>
      </c>
      <c r="I427" s="161" t="n">
        <v>15</v>
      </c>
      <c r="J427" s="156" t="s">
        <v>185</v>
      </c>
      <c r="K427" s="200" t="n">
        <v>45452.0795717593</v>
      </c>
      <c r="L427" s="3" t="n">
        <v>30</v>
      </c>
      <c r="M427" s="3" t="n">
        <v>30</v>
      </c>
      <c r="N427" s="1" t="n">
        <v>84</v>
      </c>
      <c r="O427" s="1" t="n">
        <v>2</v>
      </c>
    </row>
    <row r="428" customFormat="false" ht="14.25" hidden="false" customHeight="false" outlineLevel="0" collapsed="false">
      <c r="A428" s="1" t="n">
        <v>19</v>
      </c>
      <c r="B428" s="1" t="s">
        <v>565</v>
      </c>
      <c r="C428" s="1" t="s">
        <v>566</v>
      </c>
      <c r="D428" s="1" t="n">
        <v>11171</v>
      </c>
      <c r="E428" s="1" t="s">
        <v>55</v>
      </c>
      <c r="F428" s="198" t="n">
        <v>200025889314</v>
      </c>
      <c r="G428" s="198" t="s">
        <v>632</v>
      </c>
      <c r="H428" s="163" t="s">
        <v>224</v>
      </c>
      <c r="I428" s="161" t="n">
        <v>15</v>
      </c>
      <c r="J428" s="156" t="s">
        <v>185</v>
      </c>
      <c r="K428" s="199" t="n">
        <v>45452.0999305556</v>
      </c>
      <c r="L428" s="3" t="n">
        <v>30</v>
      </c>
      <c r="M428" s="3" t="n">
        <v>30</v>
      </c>
      <c r="N428" s="1" t="n">
        <v>85</v>
      </c>
      <c r="O428" s="1" t="n">
        <v>1</v>
      </c>
    </row>
    <row r="429" customFormat="false" ht="14.25" hidden="false" customHeight="false" outlineLevel="0" collapsed="false">
      <c r="A429" s="1" t="n">
        <v>20</v>
      </c>
      <c r="B429" s="1" t="s">
        <v>565</v>
      </c>
      <c r="C429" s="1" t="s">
        <v>566</v>
      </c>
      <c r="D429" s="1" t="n">
        <v>11171</v>
      </c>
      <c r="E429" s="1" t="s">
        <v>55</v>
      </c>
      <c r="F429" s="198" t="n">
        <v>200025889314</v>
      </c>
      <c r="G429" s="198" t="s">
        <v>632</v>
      </c>
      <c r="H429" s="163" t="s">
        <v>224</v>
      </c>
      <c r="I429" s="161" t="n">
        <v>15</v>
      </c>
      <c r="J429" s="156" t="s">
        <v>185</v>
      </c>
      <c r="K429" s="199" t="n">
        <v>45452.1390277778</v>
      </c>
      <c r="L429" s="3" t="n">
        <v>30</v>
      </c>
      <c r="M429" s="3" t="n">
        <v>30</v>
      </c>
      <c r="N429" s="1" t="n">
        <v>86</v>
      </c>
      <c r="O429" s="1" t="n">
        <v>1</v>
      </c>
    </row>
    <row r="430" customFormat="false" ht="14.25" hidden="false" customHeight="false" outlineLevel="0" collapsed="false">
      <c r="A430" s="1" t="n">
        <v>21</v>
      </c>
      <c r="B430" s="1" t="s">
        <v>565</v>
      </c>
      <c r="C430" s="1" t="s">
        <v>566</v>
      </c>
      <c r="D430" s="1" t="n">
        <v>11171</v>
      </c>
      <c r="E430" s="1" t="s">
        <v>55</v>
      </c>
      <c r="F430" s="198" t="n">
        <v>200025889314</v>
      </c>
      <c r="G430" s="198" t="s">
        <v>632</v>
      </c>
      <c r="H430" s="163" t="s">
        <v>224</v>
      </c>
      <c r="I430" s="161" t="n">
        <v>15</v>
      </c>
      <c r="J430" s="156" t="s">
        <v>185</v>
      </c>
      <c r="K430" s="199" t="n">
        <v>45452.1393865741</v>
      </c>
      <c r="L430" s="3" t="n">
        <v>30</v>
      </c>
      <c r="M430" s="3" t="n">
        <v>30</v>
      </c>
      <c r="N430" s="1" t="n">
        <v>87</v>
      </c>
      <c r="O430" s="1" t="n">
        <v>1</v>
      </c>
    </row>
    <row r="431" customFormat="false" ht="14.25" hidden="false" customHeight="false" outlineLevel="0" collapsed="false">
      <c r="A431" s="1" t="n">
        <v>22</v>
      </c>
      <c r="B431" s="1" t="s">
        <v>565</v>
      </c>
      <c r="C431" s="1" t="s">
        <v>566</v>
      </c>
      <c r="D431" s="1" t="n">
        <v>11171</v>
      </c>
      <c r="E431" s="1" t="s">
        <v>55</v>
      </c>
      <c r="F431" s="198" t="n">
        <v>200025889314</v>
      </c>
      <c r="G431" s="198" t="s">
        <v>632</v>
      </c>
      <c r="H431" s="163" t="s">
        <v>224</v>
      </c>
      <c r="I431" s="161" t="n">
        <v>15</v>
      </c>
      <c r="J431" s="156" t="s">
        <v>185</v>
      </c>
      <c r="K431" s="199" t="n">
        <v>45452.1395833333</v>
      </c>
      <c r="L431" s="3" t="n">
        <v>30</v>
      </c>
      <c r="M431" s="3" t="n">
        <v>30</v>
      </c>
      <c r="N431" s="1" t="n">
        <v>88</v>
      </c>
      <c r="O431" s="1" t="n">
        <v>2</v>
      </c>
    </row>
    <row r="432" customFormat="false" ht="14.25" hidden="false" customHeight="false" outlineLevel="0" collapsed="false">
      <c r="A432" s="1" t="n">
        <v>23</v>
      </c>
      <c r="B432" s="1" t="s">
        <v>565</v>
      </c>
      <c r="C432" s="1" t="s">
        <v>566</v>
      </c>
      <c r="D432" s="1" t="n">
        <v>11171</v>
      </c>
      <c r="E432" s="1" t="s">
        <v>55</v>
      </c>
      <c r="F432" s="198" t="n">
        <v>200025889314</v>
      </c>
      <c r="G432" s="198" t="s">
        <v>632</v>
      </c>
      <c r="H432" s="163" t="s">
        <v>224</v>
      </c>
      <c r="I432" s="161" t="n">
        <v>15</v>
      </c>
      <c r="J432" s="156" t="s">
        <v>185</v>
      </c>
      <c r="K432" s="199" t="n">
        <v>45452.1399768519</v>
      </c>
      <c r="L432" s="3" t="n">
        <v>30</v>
      </c>
      <c r="M432" s="3" t="n">
        <v>30</v>
      </c>
      <c r="N432" s="1" t="n">
        <v>89</v>
      </c>
      <c r="O432" s="1" t="n">
        <v>2</v>
      </c>
    </row>
    <row r="433" customFormat="false" ht="14.25" hidden="false" customHeight="false" outlineLevel="0" collapsed="false">
      <c r="A433" s="1" t="n">
        <v>24</v>
      </c>
      <c r="B433" s="1" t="s">
        <v>565</v>
      </c>
      <c r="C433" s="1" t="s">
        <v>566</v>
      </c>
      <c r="D433" s="1" t="n">
        <v>11171</v>
      </c>
      <c r="E433" s="1" t="s">
        <v>55</v>
      </c>
      <c r="F433" s="198" t="n">
        <v>200025889314</v>
      </c>
      <c r="G433" s="198" t="s">
        <v>632</v>
      </c>
      <c r="H433" s="163" t="s">
        <v>224</v>
      </c>
      <c r="I433" s="161" t="n">
        <v>15</v>
      </c>
      <c r="J433" s="156" t="s">
        <v>185</v>
      </c>
      <c r="K433" s="199" t="n">
        <v>45452.1402314815</v>
      </c>
      <c r="L433" s="3" t="n">
        <v>30</v>
      </c>
      <c r="M433" s="3" t="n">
        <v>30</v>
      </c>
      <c r="N433" s="1" t="n">
        <v>90</v>
      </c>
      <c r="O433" s="1" t="n">
        <v>1</v>
      </c>
    </row>
    <row r="434" customFormat="false" ht="14.25" hidden="false" customHeight="false" outlineLevel="0" collapsed="false">
      <c r="A434" s="1" t="n">
        <v>25</v>
      </c>
      <c r="B434" s="1" t="s">
        <v>565</v>
      </c>
      <c r="C434" s="1" t="s">
        <v>566</v>
      </c>
      <c r="D434" s="1" t="n">
        <v>11171</v>
      </c>
      <c r="E434" s="1" t="s">
        <v>55</v>
      </c>
      <c r="F434" s="198" t="n">
        <v>200025889314</v>
      </c>
      <c r="G434" s="198" t="s">
        <v>632</v>
      </c>
      <c r="H434" s="163" t="s">
        <v>224</v>
      </c>
      <c r="I434" s="161" t="n">
        <v>15</v>
      </c>
      <c r="J434" s="156" t="s">
        <v>185</v>
      </c>
      <c r="K434" s="199" t="n">
        <v>45452.1402546296</v>
      </c>
      <c r="L434" s="3" t="n">
        <v>30</v>
      </c>
      <c r="M434" s="3" t="n">
        <v>30</v>
      </c>
      <c r="N434" s="1" t="n">
        <v>91</v>
      </c>
      <c r="O434" s="1" t="n">
        <v>1</v>
      </c>
    </row>
    <row r="435" customFormat="false" ht="14.25" hidden="false" customHeight="false" outlineLevel="0" collapsed="false">
      <c r="A435" s="1" t="n">
        <v>26</v>
      </c>
      <c r="B435" s="1" t="s">
        <v>565</v>
      </c>
      <c r="C435" s="1" t="s">
        <v>566</v>
      </c>
      <c r="D435" s="1" t="n">
        <v>11171</v>
      </c>
      <c r="E435" s="1" t="s">
        <v>55</v>
      </c>
      <c r="F435" s="198" t="n">
        <v>200025889314</v>
      </c>
      <c r="G435" s="198" t="s">
        <v>632</v>
      </c>
      <c r="H435" s="163" t="s">
        <v>224</v>
      </c>
      <c r="I435" s="161" t="n">
        <v>15</v>
      </c>
      <c r="J435" s="156" t="s">
        <v>185</v>
      </c>
      <c r="K435" s="199" t="n">
        <v>45452.1402662037</v>
      </c>
      <c r="L435" s="3" t="n">
        <v>30</v>
      </c>
      <c r="M435" s="3" t="n">
        <v>30</v>
      </c>
      <c r="N435" s="1" t="n">
        <v>92</v>
      </c>
      <c r="O435" s="1" t="n">
        <v>0</v>
      </c>
    </row>
    <row r="436" customFormat="false" ht="14.25" hidden="false" customHeight="false" outlineLevel="0" collapsed="false">
      <c r="A436" s="1" t="n">
        <v>27</v>
      </c>
      <c r="B436" s="1" t="s">
        <v>565</v>
      </c>
      <c r="C436" s="1" t="s">
        <v>566</v>
      </c>
      <c r="D436" s="1" t="n">
        <v>11171</v>
      </c>
      <c r="E436" s="1" t="s">
        <v>55</v>
      </c>
      <c r="F436" s="198" t="n">
        <v>200025889314</v>
      </c>
      <c r="G436" s="198" t="s">
        <v>632</v>
      </c>
      <c r="H436" s="163" t="s">
        <v>224</v>
      </c>
      <c r="I436" s="161" t="n">
        <v>15</v>
      </c>
      <c r="J436" s="156" t="s">
        <v>185</v>
      </c>
      <c r="K436" s="199" t="n">
        <v>45452.1421064815</v>
      </c>
      <c r="L436" s="3" t="n">
        <v>30</v>
      </c>
      <c r="M436" s="3" t="n">
        <v>30</v>
      </c>
      <c r="N436" s="1" t="n">
        <v>93</v>
      </c>
      <c r="O436" s="1" t="n">
        <v>35</v>
      </c>
    </row>
    <row r="437" customFormat="false" ht="14.25" hidden="false" customHeight="false" outlineLevel="0" collapsed="false">
      <c r="A437" s="1" t="n">
        <v>28</v>
      </c>
      <c r="B437" s="1" t="s">
        <v>565</v>
      </c>
      <c r="C437" s="1" t="s">
        <v>566</v>
      </c>
      <c r="D437" s="1" t="n">
        <v>11171</v>
      </c>
      <c r="E437" s="1" t="s">
        <v>55</v>
      </c>
      <c r="F437" s="198" t="n">
        <v>200025889314</v>
      </c>
      <c r="G437" s="198" t="s">
        <v>632</v>
      </c>
      <c r="H437" s="163" t="s">
        <v>224</v>
      </c>
      <c r="I437" s="161" t="n">
        <v>15</v>
      </c>
      <c r="J437" s="156" t="s">
        <v>185</v>
      </c>
      <c r="K437" s="199" t="n">
        <v>45452.1425115741</v>
      </c>
      <c r="L437" s="3" t="n">
        <v>30</v>
      </c>
      <c r="M437" s="3" t="n">
        <v>30</v>
      </c>
      <c r="N437" s="1" t="n">
        <v>94</v>
      </c>
      <c r="O437" s="1" t="n">
        <v>1</v>
      </c>
    </row>
    <row r="438" customFormat="false" ht="14.25" hidden="false" customHeight="false" outlineLevel="0" collapsed="false">
      <c r="A438" s="1" t="n">
        <v>29</v>
      </c>
      <c r="B438" s="1" t="s">
        <v>565</v>
      </c>
      <c r="C438" s="1" t="s">
        <v>566</v>
      </c>
      <c r="D438" s="1" t="n">
        <v>11171</v>
      </c>
      <c r="E438" s="1" t="s">
        <v>55</v>
      </c>
      <c r="F438" s="198" t="n">
        <v>200025889314</v>
      </c>
      <c r="G438" s="198" t="s">
        <v>632</v>
      </c>
      <c r="H438" s="163" t="s">
        <v>224</v>
      </c>
      <c r="I438" s="161" t="n">
        <v>15</v>
      </c>
      <c r="J438" s="156" t="s">
        <v>185</v>
      </c>
      <c r="K438" s="199" t="n">
        <v>45452.1426388889</v>
      </c>
      <c r="L438" s="3" t="n">
        <v>30</v>
      </c>
      <c r="M438" s="3" t="n">
        <v>30</v>
      </c>
      <c r="N438" s="1" t="n">
        <v>95</v>
      </c>
      <c r="O438" s="1" t="n">
        <v>1</v>
      </c>
    </row>
    <row r="439" customFormat="false" ht="14.25" hidden="false" customHeight="false" outlineLevel="0" collapsed="false">
      <c r="A439" s="1" t="n">
        <v>30</v>
      </c>
      <c r="B439" s="1" t="s">
        <v>565</v>
      </c>
      <c r="C439" s="1" t="s">
        <v>566</v>
      </c>
      <c r="D439" s="1" t="n">
        <v>11171</v>
      </c>
      <c r="E439" s="1" t="s">
        <v>55</v>
      </c>
      <c r="F439" s="198" t="n">
        <v>200025889314</v>
      </c>
      <c r="G439" s="198" t="s">
        <v>632</v>
      </c>
      <c r="H439" s="163" t="s">
        <v>224</v>
      </c>
      <c r="I439" s="161" t="n">
        <v>15</v>
      </c>
      <c r="J439" s="156" t="s">
        <v>185</v>
      </c>
      <c r="K439" s="199" t="n">
        <v>45452.1434722222</v>
      </c>
      <c r="L439" s="3" t="n">
        <v>30</v>
      </c>
      <c r="M439" s="3" t="n">
        <v>30</v>
      </c>
      <c r="N439" s="1" t="n">
        <v>96</v>
      </c>
      <c r="O439" s="1" t="n">
        <v>0</v>
      </c>
    </row>
    <row r="440" customFormat="false" ht="14.25" hidden="false" customHeight="false" outlineLevel="0" collapsed="false">
      <c r="A440" s="1" t="n">
        <v>31</v>
      </c>
      <c r="B440" s="1" t="s">
        <v>565</v>
      </c>
      <c r="C440" s="1" t="s">
        <v>566</v>
      </c>
      <c r="D440" s="1" t="n">
        <v>11171</v>
      </c>
      <c r="E440" s="1" t="s">
        <v>55</v>
      </c>
      <c r="F440" s="198" t="n">
        <v>200025889314</v>
      </c>
      <c r="G440" s="198" t="s">
        <v>632</v>
      </c>
      <c r="H440" s="163" t="s">
        <v>224</v>
      </c>
      <c r="I440" s="161" t="n">
        <v>15</v>
      </c>
      <c r="J440" s="156" t="s">
        <v>185</v>
      </c>
      <c r="K440" s="199" t="n">
        <v>45452.144837963</v>
      </c>
      <c r="L440" s="3" t="n">
        <v>30</v>
      </c>
      <c r="M440" s="3" t="n">
        <v>30</v>
      </c>
      <c r="N440" s="1" t="n">
        <v>97</v>
      </c>
      <c r="O440" s="1" t="n">
        <v>0</v>
      </c>
    </row>
    <row r="441" customFormat="false" ht="14.25" hidden="false" customHeight="false" outlineLevel="0" collapsed="false">
      <c r="A441" s="1" t="n">
        <v>32</v>
      </c>
      <c r="B441" s="1" t="s">
        <v>565</v>
      </c>
      <c r="C441" s="1" t="s">
        <v>566</v>
      </c>
      <c r="D441" s="1" t="n">
        <v>11171</v>
      </c>
      <c r="E441" s="1" t="s">
        <v>55</v>
      </c>
      <c r="F441" s="198" t="n">
        <v>200025889314</v>
      </c>
      <c r="G441" s="198" t="s">
        <v>632</v>
      </c>
      <c r="H441" s="163" t="s">
        <v>224</v>
      </c>
      <c r="I441" s="161" t="n">
        <v>15</v>
      </c>
      <c r="J441" s="156" t="s">
        <v>185</v>
      </c>
      <c r="K441" s="199" t="n">
        <v>45452.1450694444</v>
      </c>
      <c r="L441" s="3" t="n">
        <v>30</v>
      </c>
      <c r="M441" s="3" t="n">
        <v>30</v>
      </c>
      <c r="N441" s="1" t="n">
        <v>98</v>
      </c>
      <c r="O441" s="1" t="n">
        <v>0</v>
      </c>
    </row>
    <row r="442" customFormat="false" ht="14.25" hidden="false" customHeight="false" outlineLevel="0" collapsed="false">
      <c r="A442" s="1" t="n">
        <v>33</v>
      </c>
      <c r="B442" s="1" t="s">
        <v>565</v>
      </c>
      <c r="C442" s="1" t="s">
        <v>566</v>
      </c>
      <c r="D442" s="1" t="n">
        <v>11171</v>
      </c>
      <c r="E442" s="1" t="s">
        <v>55</v>
      </c>
      <c r="F442" s="198" t="n">
        <v>200025889314</v>
      </c>
      <c r="G442" s="198" t="s">
        <v>632</v>
      </c>
      <c r="H442" s="163" t="s">
        <v>224</v>
      </c>
      <c r="I442" s="161" t="n">
        <v>15</v>
      </c>
      <c r="J442" s="156" t="s">
        <v>185</v>
      </c>
      <c r="K442" s="199" t="n">
        <v>45452.1470138889</v>
      </c>
      <c r="L442" s="3" t="n">
        <v>30</v>
      </c>
      <c r="M442" s="3" t="n">
        <v>30</v>
      </c>
      <c r="N442" s="1" t="n">
        <v>99</v>
      </c>
      <c r="O442" s="1" t="n">
        <v>2</v>
      </c>
    </row>
    <row r="443" customFormat="false" ht="14.25" hidden="false" customHeight="false" outlineLevel="0" collapsed="false">
      <c r="A443" s="1" t="n">
        <v>34</v>
      </c>
      <c r="B443" s="1" t="s">
        <v>565</v>
      </c>
      <c r="C443" s="1" t="s">
        <v>566</v>
      </c>
      <c r="D443" s="1" t="n">
        <v>11171</v>
      </c>
      <c r="E443" s="1" t="s">
        <v>55</v>
      </c>
      <c r="F443" s="198" t="n">
        <v>200025889314</v>
      </c>
      <c r="G443" s="198" t="s">
        <v>632</v>
      </c>
      <c r="H443" s="163" t="s">
        <v>224</v>
      </c>
      <c r="I443" s="161" t="n">
        <v>15</v>
      </c>
      <c r="J443" s="156" t="s">
        <v>185</v>
      </c>
      <c r="K443" s="199" t="n">
        <v>45452.1615509259</v>
      </c>
      <c r="L443" s="3" t="n">
        <v>30</v>
      </c>
      <c r="M443" s="3" t="n">
        <v>30</v>
      </c>
      <c r="N443" s="1" t="n">
        <v>100</v>
      </c>
      <c r="O443" s="1" t="n">
        <v>0</v>
      </c>
    </row>
    <row r="444" customFormat="false" ht="14.25" hidden="false" customHeight="false" outlineLevel="0" collapsed="false">
      <c r="A444" s="1" t="n">
        <v>35</v>
      </c>
      <c r="B444" s="1" t="s">
        <v>565</v>
      </c>
      <c r="C444" s="1" t="s">
        <v>566</v>
      </c>
      <c r="D444" s="1" t="n">
        <v>11171</v>
      </c>
      <c r="E444" s="1" t="s">
        <v>55</v>
      </c>
      <c r="F444" s="198" t="n">
        <v>200025889314</v>
      </c>
      <c r="G444" s="198" t="s">
        <v>632</v>
      </c>
      <c r="H444" s="163" t="s">
        <v>224</v>
      </c>
      <c r="I444" s="161" t="n">
        <v>15</v>
      </c>
      <c r="J444" s="156" t="s">
        <v>185</v>
      </c>
      <c r="K444" s="199" t="n">
        <v>45452.1615509259</v>
      </c>
      <c r="L444" s="3" t="n">
        <v>30</v>
      </c>
      <c r="M444" s="3" t="n">
        <v>30</v>
      </c>
      <c r="N444" s="1" t="n">
        <v>101</v>
      </c>
      <c r="O444" s="1" t="n">
        <v>2</v>
      </c>
    </row>
    <row r="445" customFormat="false" ht="14.25" hidden="false" customHeight="false" outlineLevel="0" collapsed="false">
      <c r="A445" s="1" t="n">
        <v>36</v>
      </c>
      <c r="B445" s="1" t="s">
        <v>565</v>
      </c>
      <c r="C445" s="1" t="s">
        <v>566</v>
      </c>
      <c r="D445" s="1" t="n">
        <v>11171</v>
      </c>
      <c r="E445" s="1" t="s">
        <v>55</v>
      </c>
      <c r="F445" s="198" t="n">
        <v>200025889314</v>
      </c>
      <c r="G445" s="198" t="s">
        <v>632</v>
      </c>
      <c r="H445" s="163" t="s">
        <v>224</v>
      </c>
      <c r="I445" s="161" t="n">
        <v>15</v>
      </c>
      <c r="J445" s="156" t="s">
        <v>185</v>
      </c>
      <c r="K445" s="199" t="n">
        <v>45452.1639467593</v>
      </c>
      <c r="L445" s="3" t="n">
        <v>30</v>
      </c>
      <c r="M445" s="3" t="n">
        <v>30</v>
      </c>
      <c r="N445" s="1" t="n">
        <v>102</v>
      </c>
      <c r="O445" s="1" t="n">
        <v>1</v>
      </c>
    </row>
    <row r="446" customFormat="false" ht="14.25" hidden="false" customHeight="false" outlineLevel="0" collapsed="false">
      <c r="A446" s="1" t="n">
        <v>37</v>
      </c>
      <c r="B446" s="1" t="s">
        <v>565</v>
      </c>
      <c r="C446" s="1" t="s">
        <v>566</v>
      </c>
      <c r="D446" s="1" t="n">
        <v>11171</v>
      </c>
      <c r="E446" s="1" t="s">
        <v>55</v>
      </c>
      <c r="F446" s="198" t="n">
        <v>200025889314</v>
      </c>
      <c r="G446" s="198" t="s">
        <v>632</v>
      </c>
      <c r="H446" s="163" t="s">
        <v>224</v>
      </c>
      <c r="I446" s="161" t="n">
        <v>15</v>
      </c>
      <c r="J446" s="156" t="s">
        <v>185</v>
      </c>
      <c r="K446" s="199" t="n">
        <v>45452.164837963</v>
      </c>
      <c r="L446" s="3" t="n">
        <v>30</v>
      </c>
      <c r="M446" s="3" t="n">
        <v>30</v>
      </c>
      <c r="N446" s="1" t="n">
        <v>103</v>
      </c>
      <c r="O446" s="1" t="n">
        <v>1</v>
      </c>
    </row>
    <row r="447" customFormat="false" ht="14.25" hidden="false" customHeight="false" outlineLevel="0" collapsed="false">
      <c r="A447" s="1" t="n">
        <v>38</v>
      </c>
      <c r="B447" s="1" t="s">
        <v>565</v>
      </c>
      <c r="C447" s="1" t="s">
        <v>566</v>
      </c>
      <c r="D447" s="1" t="n">
        <v>11171</v>
      </c>
      <c r="E447" s="1" t="s">
        <v>55</v>
      </c>
      <c r="F447" s="198" t="n">
        <v>200025889314</v>
      </c>
      <c r="G447" s="198" t="s">
        <v>632</v>
      </c>
      <c r="H447" s="163" t="s">
        <v>224</v>
      </c>
      <c r="I447" s="161" t="n">
        <v>15</v>
      </c>
      <c r="J447" s="156" t="s">
        <v>185</v>
      </c>
      <c r="K447" s="199" t="n">
        <v>45452.1668981482</v>
      </c>
      <c r="L447" s="3" t="n">
        <v>30</v>
      </c>
      <c r="M447" s="3" t="n">
        <v>30</v>
      </c>
      <c r="N447" s="1" t="n">
        <v>104</v>
      </c>
      <c r="O447" s="1" t="n">
        <v>2</v>
      </c>
    </row>
    <row r="448" customFormat="false" ht="14.25" hidden="false" customHeight="false" outlineLevel="0" collapsed="false">
      <c r="A448" s="1" t="n">
        <v>39</v>
      </c>
      <c r="B448" s="1" t="s">
        <v>565</v>
      </c>
      <c r="C448" s="1" t="s">
        <v>566</v>
      </c>
      <c r="D448" s="1" t="n">
        <v>11171</v>
      </c>
      <c r="E448" s="1" t="s">
        <v>55</v>
      </c>
      <c r="F448" s="198" t="n">
        <v>200025889314</v>
      </c>
      <c r="G448" s="198" t="s">
        <v>632</v>
      </c>
      <c r="H448" s="163" t="s">
        <v>224</v>
      </c>
      <c r="I448" s="161" t="n">
        <v>15</v>
      </c>
      <c r="J448" s="156" t="s">
        <v>185</v>
      </c>
      <c r="K448" s="199" t="n">
        <v>45452.167349537</v>
      </c>
      <c r="L448" s="3" t="n">
        <v>30</v>
      </c>
      <c r="M448" s="3" t="n">
        <v>30</v>
      </c>
      <c r="N448" s="1" t="n">
        <v>105</v>
      </c>
      <c r="O448" s="1" t="n">
        <v>0</v>
      </c>
    </row>
    <row r="449" customFormat="false" ht="14.25" hidden="false" customHeight="false" outlineLevel="0" collapsed="false">
      <c r="A449" s="1" t="n">
        <v>40</v>
      </c>
      <c r="B449" s="1" t="s">
        <v>565</v>
      </c>
      <c r="C449" s="1" t="s">
        <v>566</v>
      </c>
      <c r="D449" s="1" t="n">
        <v>11171</v>
      </c>
      <c r="E449" s="1" t="s">
        <v>55</v>
      </c>
      <c r="F449" s="198" t="n">
        <v>200025889314</v>
      </c>
      <c r="G449" s="198" t="s">
        <v>632</v>
      </c>
      <c r="H449" s="163" t="s">
        <v>224</v>
      </c>
      <c r="I449" s="161" t="n">
        <v>15</v>
      </c>
      <c r="J449" s="156" t="s">
        <v>185</v>
      </c>
      <c r="K449" s="199" t="n">
        <v>45452.1673611111</v>
      </c>
      <c r="L449" s="3" t="n">
        <v>30</v>
      </c>
      <c r="M449" s="3" t="n">
        <v>30</v>
      </c>
      <c r="N449" s="1" t="n">
        <v>106</v>
      </c>
      <c r="O449" s="1" t="n">
        <v>0</v>
      </c>
    </row>
    <row r="450" customFormat="false" ht="14.25" hidden="false" customHeight="false" outlineLevel="0" collapsed="false">
      <c r="A450" s="1" t="n">
        <v>41</v>
      </c>
      <c r="B450" s="1" t="s">
        <v>565</v>
      </c>
      <c r="C450" s="1" t="s">
        <v>566</v>
      </c>
      <c r="D450" s="1" t="n">
        <v>11171</v>
      </c>
      <c r="E450" s="1" t="s">
        <v>55</v>
      </c>
      <c r="F450" s="198" t="n">
        <v>200025889314</v>
      </c>
      <c r="G450" s="198" t="s">
        <v>632</v>
      </c>
      <c r="H450" s="163" t="s">
        <v>224</v>
      </c>
      <c r="I450" s="161" t="n">
        <v>15</v>
      </c>
      <c r="J450" s="156" t="s">
        <v>185</v>
      </c>
      <c r="K450" s="199" t="n">
        <v>45452.1682291667</v>
      </c>
      <c r="L450" s="3" t="n">
        <v>30</v>
      </c>
      <c r="M450" s="3" t="n">
        <v>30</v>
      </c>
      <c r="N450" s="1" t="n">
        <v>107</v>
      </c>
      <c r="O450" s="1" t="n">
        <v>0</v>
      </c>
    </row>
    <row r="451" customFormat="false" ht="14.25" hidden="false" customHeight="false" outlineLevel="0" collapsed="false">
      <c r="A451" s="1" t="n">
        <v>42</v>
      </c>
      <c r="B451" s="1" t="s">
        <v>565</v>
      </c>
      <c r="C451" s="1" t="s">
        <v>566</v>
      </c>
      <c r="D451" s="1" t="n">
        <v>11171</v>
      </c>
      <c r="E451" s="1" t="s">
        <v>55</v>
      </c>
      <c r="F451" s="198" t="n">
        <v>200025889314</v>
      </c>
      <c r="G451" s="198" t="s">
        <v>632</v>
      </c>
      <c r="H451" s="163" t="s">
        <v>224</v>
      </c>
      <c r="I451" s="161" t="n">
        <v>15</v>
      </c>
      <c r="J451" s="156" t="s">
        <v>185</v>
      </c>
      <c r="K451" s="199" t="n">
        <v>45452.1696180556</v>
      </c>
      <c r="L451" s="3" t="n">
        <v>30</v>
      </c>
      <c r="M451" s="3" t="n">
        <v>30</v>
      </c>
      <c r="N451" s="1" t="n">
        <v>108</v>
      </c>
      <c r="O451" s="1" t="n">
        <v>1</v>
      </c>
    </row>
    <row r="452" customFormat="false" ht="14.25" hidden="false" customHeight="false" outlineLevel="0" collapsed="false">
      <c r="A452" s="1" t="n">
        <v>43</v>
      </c>
      <c r="B452" s="1" t="s">
        <v>565</v>
      </c>
      <c r="C452" s="1" t="s">
        <v>566</v>
      </c>
      <c r="D452" s="1" t="n">
        <v>11171</v>
      </c>
      <c r="E452" s="1" t="s">
        <v>55</v>
      </c>
      <c r="F452" s="198" t="n">
        <v>200025889314</v>
      </c>
      <c r="G452" s="198" t="s">
        <v>632</v>
      </c>
      <c r="H452" s="163" t="s">
        <v>224</v>
      </c>
      <c r="I452" s="161" t="n">
        <v>15</v>
      </c>
      <c r="J452" s="156" t="s">
        <v>185</v>
      </c>
      <c r="K452" s="199" t="n">
        <v>45452.1696527778</v>
      </c>
      <c r="L452" s="3" t="n">
        <v>30</v>
      </c>
      <c r="M452" s="3" t="n">
        <v>30</v>
      </c>
      <c r="N452" s="1" t="n">
        <v>109</v>
      </c>
      <c r="O452" s="1" t="n">
        <v>40</v>
      </c>
    </row>
    <row r="453" customFormat="false" ht="14.25" hidden="false" customHeight="false" outlineLevel="0" collapsed="false">
      <c r="A453" s="1" t="n">
        <v>44</v>
      </c>
      <c r="B453" s="1" t="s">
        <v>565</v>
      </c>
      <c r="C453" s="1" t="s">
        <v>566</v>
      </c>
      <c r="D453" s="1" t="n">
        <v>11171</v>
      </c>
      <c r="E453" s="1" t="s">
        <v>55</v>
      </c>
      <c r="F453" s="198" t="n">
        <v>200025889314</v>
      </c>
      <c r="G453" s="198" t="s">
        <v>632</v>
      </c>
      <c r="H453" s="163" t="s">
        <v>224</v>
      </c>
      <c r="I453" s="161" t="n">
        <v>15</v>
      </c>
      <c r="J453" s="156" t="s">
        <v>185</v>
      </c>
      <c r="K453" s="199" t="n">
        <v>45452.1707638889</v>
      </c>
      <c r="L453" s="3" t="n">
        <v>30</v>
      </c>
      <c r="M453" s="3" t="n">
        <v>30</v>
      </c>
      <c r="N453" s="1" t="n">
        <v>110</v>
      </c>
      <c r="O453" s="1" t="n">
        <v>1</v>
      </c>
    </row>
    <row r="454" customFormat="false" ht="14.25" hidden="false" customHeight="false" outlineLevel="0" collapsed="false">
      <c r="A454" s="1" t="n">
        <v>45</v>
      </c>
      <c r="B454" s="1" t="s">
        <v>565</v>
      </c>
      <c r="C454" s="1" t="s">
        <v>566</v>
      </c>
      <c r="D454" s="1" t="n">
        <v>11171</v>
      </c>
      <c r="E454" s="1" t="s">
        <v>55</v>
      </c>
      <c r="F454" s="198" t="n">
        <v>200025889314</v>
      </c>
      <c r="G454" s="198" t="s">
        <v>632</v>
      </c>
      <c r="H454" s="163" t="s">
        <v>224</v>
      </c>
      <c r="I454" s="161" t="n">
        <v>15</v>
      </c>
      <c r="J454" s="156" t="s">
        <v>185</v>
      </c>
      <c r="K454" s="199" t="n">
        <v>45452.1711458333</v>
      </c>
      <c r="L454" s="3" t="n">
        <v>30</v>
      </c>
      <c r="M454" s="3" t="n">
        <v>30</v>
      </c>
      <c r="N454" s="1" t="n">
        <v>111</v>
      </c>
      <c r="O454" s="1" t="n">
        <v>2</v>
      </c>
    </row>
    <row r="455" customFormat="false" ht="14.25" hidden="false" customHeight="false" outlineLevel="0" collapsed="false">
      <c r="A455" s="1" t="n">
        <v>46</v>
      </c>
      <c r="B455" s="1" t="s">
        <v>565</v>
      </c>
      <c r="C455" s="1" t="s">
        <v>566</v>
      </c>
      <c r="D455" s="1" t="n">
        <v>11171</v>
      </c>
      <c r="E455" s="1" t="s">
        <v>55</v>
      </c>
      <c r="F455" s="198" t="n">
        <v>200025889314</v>
      </c>
      <c r="G455" s="198" t="s">
        <v>632</v>
      </c>
      <c r="H455" s="163" t="s">
        <v>224</v>
      </c>
      <c r="I455" s="161" t="n">
        <v>15</v>
      </c>
      <c r="J455" s="156" t="s">
        <v>185</v>
      </c>
      <c r="K455" s="199" t="n">
        <v>45452.1714814815</v>
      </c>
      <c r="L455" s="3" t="n">
        <v>30</v>
      </c>
      <c r="M455" s="3" t="n">
        <v>30</v>
      </c>
      <c r="N455" s="1" t="n">
        <v>112</v>
      </c>
      <c r="O455" s="1" t="n">
        <v>1</v>
      </c>
    </row>
    <row r="456" customFormat="false" ht="14.25" hidden="false" customHeight="false" outlineLevel="0" collapsed="false">
      <c r="A456" s="1" t="n">
        <v>47</v>
      </c>
      <c r="B456" s="1" t="s">
        <v>565</v>
      </c>
      <c r="C456" s="1" t="s">
        <v>566</v>
      </c>
      <c r="D456" s="1" t="n">
        <v>11171</v>
      </c>
      <c r="E456" s="1" t="s">
        <v>55</v>
      </c>
      <c r="F456" s="198" t="n">
        <v>200025889314</v>
      </c>
      <c r="G456" s="198" t="s">
        <v>632</v>
      </c>
      <c r="H456" s="163" t="s">
        <v>224</v>
      </c>
      <c r="I456" s="161" t="n">
        <v>15</v>
      </c>
      <c r="J456" s="156" t="s">
        <v>185</v>
      </c>
      <c r="K456" s="199" t="n">
        <v>45452.1724768519</v>
      </c>
      <c r="L456" s="3" t="n">
        <v>30</v>
      </c>
      <c r="M456" s="3" t="n">
        <v>30</v>
      </c>
      <c r="N456" s="1" t="n">
        <v>113</v>
      </c>
      <c r="O456" s="1" t="n">
        <v>2</v>
      </c>
    </row>
    <row r="457" customFormat="false" ht="14.25" hidden="false" customHeight="false" outlineLevel="0" collapsed="false">
      <c r="A457" s="1" t="n">
        <v>48</v>
      </c>
      <c r="B457" s="1" t="s">
        <v>565</v>
      </c>
      <c r="C457" s="1" t="s">
        <v>566</v>
      </c>
      <c r="D457" s="1" t="n">
        <v>11171</v>
      </c>
      <c r="E457" s="1" t="s">
        <v>55</v>
      </c>
      <c r="F457" s="198" t="n">
        <v>200025889314</v>
      </c>
      <c r="G457" s="198" t="s">
        <v>632</v>
      </c>
      <c r="H457" s="163" t="s">
        <v>224</v>
      </c>
      <c r="I457" s="161" t="n">
        <v>15</v>
      </c>
      <c r="J457" s="156" t="s">
        <v>185</v>
      </c>
      <c r="K457" s="199" t="n">
        <v>45452.1739351852</v>
      </c>
      <c r="L457" s="3" t="n">
        <v>30</v>
      </c>
      <c r="M457" s="3" t="n">
        <v>30</v>
      </c>
      <c r="N457" s="1" t="n">
        <v>114</v>
      </c>
      <c r="O457" s="1" t="n">
        <v>0</v>
      </c>
    </row>
    <row r="458" customFormat="false" ht="14.25" hidden="false" customHeight="false" outlineLevel="0" collapsed="false">
      <c r="A458" s="1" t="n">
        <v>49</v>
      </c>
      <c r="B458" s="1" t="s">
        <v>565</v>
      </c>
      <c r="C458" s="1" t="s">
        <v>566</v>
      </c>
      <c r="D458" s="1" t="n">
        <v>11171</v>
      </c>
      <c r="E458" s="1" t="s">
        <v>55</v>
      </c>
      <c r="F458" s="198" t="n">
        <v>200025889314</v>
      </c>
      <c r="G458" s="198" t="s">
        <v>632</v>
      </c>
      <c r="H458" s="163" t="s">
        <v>224</v>
      </c>
      <c r="I458" s="161" t="n">
        <v>15</v>
      </c>
      <c r="J458" s="156" t="s">
        <v>185</v>
      </c>
      <c r="K458" s="199" t="n">
        <v>45452.1739467593</v>
      </c>
      <c r="L458" s="3" t="n">
        <v>30</v>
      </c>
      <c r="M458" s="3" t="n">
        <v>30</v>
      </c>
      <c r="N458" s="1" t="n">
        <v>115</v>
      </c>
      <c r="O458" s="1" t="n">
        <v>1</v>
      </c>
    </row>
    <row r="459" customFormat="false" ht="14.25" hidden="false" customHeight="false" outlineLevel="0" collapsed="false">
      <c r="A459" s="1" t="n">
        <v>50</v>
      </c>
      <c r="B459" s="1" t="s">
        <v>565</v>
      </c>
      <c r="C459" s="1" t="s">
        <v>566</v>
      </c>
      <c r="D459" s="1" t="n">
        <v>11171</v>
      </c>
      <c r="E459" s="1" t="s">
        <v>55</v>
      </c>
      <c r="F459" s="198" t="n">
        <v>200025889314</v>
      </c>
      <c r="G459" s="198" t="s">
        <v>632</v>
      </c>
      <c r="H459" s="163" t="s">
        <v>224</v>
      </c>
      <c r="I459" s="161" t="n">
        <v>15</v>
      </c>
      <c r="J459" s="156" t="s">
        <v>185</v>
      </c>
      <c r="K459" s="199" t="n">
        <v>45452.174849537</v>
      </c>
      <c r="L459" s="3" t="n">
        <v>30</v>
      </c>
      <c r="M459" s="3" t="n">
        <v>30</v>
      </c>
      <c r="N459" s="1" t="n">
        <v>116</v>
      </c>
      <c r="O459" s="1" t="n">
        <v>1</v>
      </c>
    </row>
    <row r="460" customFormat="false" ht="14.25" hidden="false" customHeight="false" outlineLevel="0" collapsed="false">
      <c r="A460" s="1" t="n">
        <v>52</v>
      </c>
      <c r="B460" s="1" t="s">
        <v>624</v>
      </c>
      <c r="C460" s="1" t="s">
        <v>625</v>
      </c>
      <c r="D460" s="196" t="n">
        <v>2568</v>
      </c>
      <c r="E460" s="196" t="s">
        <v>51</v>
      </c>
      <c r="F460" s="201" t="n">
        <v>200025889314</v>
      </c>
      <c r="G460" s="198" t="s">
        <v>632</v>
      </c>
      <c r="H460" s="163" t="s">
        <v>224</v>
      </c>
      <c r="I460" s="161" t="n">
        <v>15</v>
      </c>
      <c r="J460" s="156" t="s">
        <v>185</v>
      </c>
      <c r="K460" s="200" t="n">
        <v>45452.3796875</v>
      </c>
      <c r="L460" s="3" t="n">
        <v>30</v>
      </c>
      <c r="M460" s="3" t="n">
        <v>30</v>
      </c>
      <c r="N460" s="1" t="n">
        <v>117</v>
      </c>
      <c r="O460" s="1" t="n">
        <v>0</v>
      </c>
    </row>
    <row r="461" customFormat="false" ht="14.25" hidden="false" customHeight="false" outlineLevel="0" collapsed="false">
      <c r="A461" s="1" t="n">
        <v>53</v>
      </c>
      <c r="B461" s="1" t="s">
        <v>624</v>
      </c>
      <c r="C461" s="1" t="s">
        <v>625</v>
      </c>
      <c r="D461" s="196" t="n">
        <v>2568</v>
      </c>
      <c r="E461" s="196" t="s">
        <v>51</v>
      </c>
      <c r="F461" s="201" t="n">
        <v>200025889314</v>
      </c>
      <c r="G461" s="198" t="s">
        <v>632</v>
      </c>
      <c r="H461" s="163" t="s">
        <v>224</v>
      </c>
      <c r="I461" s="161" t="n">
        <v>15</v>
      </c>
      <c r="J461" s="156" t="s">
        <v>185</v>
      </c>
      <c r="K461" s="200" t="n">
        <v>45452.3796990741</v>
      </c>
      <c r="L461" s="3" t="n">
        <v>30</v>
      </c>
      <c r="M461" s="3" t="n">
        <v>30</v>
      </c>
      <c r="N461" s="1" t="n">
        <v>118</v>
      </c>
      <c r="O461" s="1" t="n">
        <v>0</v>
      </c>
    </row>
    <row r="462" customFormat="false" ht="14.25" hidden="false" customHeight="false" outlineLevel="0" collapsed="false">
      <c r="A462" s="1" t="n">
        <v>54</v>
      </c>
      <c r="B462" s="1" t="s">
        <v>624</v>
      </c>
      <c r="C462" s="1" t="s">
        <v>625</v>
      </c>
      <c r="D462" s="196" t="n">
        <v>2568</v>
      </c>
      <c r="E462" s="196" t="s">
        <v>51</v>
      </c>
      <c r="F462" s="201" t="n">
        <v>200025889314</v>
      </c>
      <c r="G462" s="198" t="s">
        <v>632</v>
      </c>
      <c r="H462" s="163" t="s">
        <v>224</v>
      </c>
      <c r="I462" s="161" t="n">
        <v>15</v>
      </c>
      <c r="J462" s="156" t="s">
        <v>185</v>
      </c>
      <c r="K462" s="200" t="n">
        <v>45452.3797106482</v>
      </c>
      <c r="L462" s="3" t="n">
        <v>30</v>
      </c>
      <c r="M462" s="3" t="n">
        <v>30</v>
      </c>
      <c r="N462" s="1" t="n">
        <v>119</v>
      </c>
      <c r="O462" s="1" t="n">
        <v>0</v>
      </c>
    </row>
    <row r="463" customFormat="false" ht="14.25" hidden="false" customHeight="false" outlineLevel="0" collapsed="false">
      <c r="A463" s="1" t="n">
        <v>55</v>
      </c>
      <c r="B463" s="1" t="s">
        <v>624</v>
      </c>
      <c r="C463" s="1" t="s">
        <v>625</v>
      </c>
      <c r="D463" s="196" t="n">
        <v>2568</v>
      </c>
      <c r="E463" s="196" t="s">
        <v>51</v>
      </c>
      <c r="F463" s="201" t="n">
        <v>200025889314</v>
      </c>
      <c r="G463" s="198" t="s">
        <v>632</v>
      </c>
      <c r="H463" s="163" t="s">
        <v>224</v>
      </c>
      <c r="I463" s="161" t="n">
        <v>15</v>
      </c>
      <c r="J463" s="156" t="s">
        <v>185</v>
      </c>
      <c r="K463" s="200" t="n">
        <v>45452.3860763889</v>
      </c>
      <c r="L463" s="3" t="n">
        <v>30</v>
      </c>
      <c r="M463" s="3" t="n">
        <v>30</v>
      </c>
      <c r="N463" s="1" t="n">
        <v>120</v>
      </c>
      <c r="O463" s="1" t="n">
        <v>1</v>
      </c>
    </row>
    <row r="464" customFormat="false" ht="14.25" hidden="false" customHeight="false" outlineLevel="0" collapsed="false">
      <c r="A464" s="1" t="n">
        <v>56</v>
      </c>
      <c r="B464" s="1" t="s">
        <v>624</v>
      </c>
      <c r="C464" s="1" t="s">
        <v>625</v>
      </c>
      <c r="D464" s="196" t="n">
        <v>2568</v>
      </c>
      <c r="E464" s="196" t="s">
        <v>51</v>
      </c>
      <c r="F464" s="201" t="n">
        <v>200025889314</v>
      </c>
      <c r="G464" s="198" t="s">
        <v>632</v>
      </c>
      <c r="H464" s="163" t="s">
        <v>224</v>
      </c>
      <c r="I464" s="161" t="n">
        <v>15</v>
      </c>
      <c r="J464" s="156" t="s">
        <v>185</v>
      </c>
      <c r="K464" s="200" t="n">
        <v>45452.386087963</v>
      </c>
      <c r="L464" s="3" t="n">
        <v>30</v>
      </c>
      <c r="M464" s="3" t="n">
        <v>30</v>
      </c>
      <c r="N464" s="1" t="n">
        <v>121</v>
      </c>
      <c r="O464" s="1" t="n">
        <v>1</v>
      </c>
    </row>
    <row r="465" customFormat="false" ht="14.25" hidden="false" customHeight="false" outlineLevel="0" collapsed="false">
      <c r="A465" s="1" t="n">
        <v>57</v>
      </c>
      <c r="B465" s="1" t="s">
        <v>624</v>
      </c>
      <c r="C465" s="1" t="s">
        <v>625</v>
      </c>
      <c r="D465" s="196" t="n">
        <v>2568</v>
      </c>
      <c r="E465" s="196" t="s">
        <v>51</v>
      </c>
      <c r="F465" s="201" t="n">
        <v>200025889314</v>
      </c>
      <c r="G465" s="198" t="s">
        <v>632</v>
      </c>
      <c r="H465" s="163" t="s">
        <v>224</v>
      </c>
      <c r="I465" s="161" t="n">
        <v>15</v>
      </c>
      <c r="J465" s="156" t="s">
        <v>185</v>
      </c>
      <c r="K465" s="200" t="n">
        <v>45452.3917013889</v>
      </c>
      <c r="L465" s="3" t="n">
        <v>30</v>
      </c>
      <c r="M465" s="3" t="n">
        <v>30</v>
      </c>
      <c r="N465" s="1" t="n">
        <v>122</v>
      </c>
      <c r="O465" s="1" t="n">
        <v>2</v>
      </c>
    </row>
    <row r="466" customFormat="false" ht="14.25" hidden="false" customHeight="false" outlineLevel="0" collapsed="false">
      <c r="A466" s="1" t="n">
        <v>58</v>
      </c>
      <c r="B466" s="1" t="s">
        <v>624</v>
      </c>
      <c r="C466" s="1" t="s">
        <v>625</v>
      </c>
      <c r="D466" s="196" t="n">
        <v>2568</v>
      </c>
      <c r="E466" s="196" t="s">
        <v>51</v>
      </c>
      <c r="F466" s="201" t="n">
        <v>200025889314</v>
      </c>
      <c r="G466" s="198" t="s">
        <v>632</v>
      </c>
      <c r="H466" s="163" t="s">
        <v>224</v>
      </c>
      <c r="I466" s="161" t="n">
        <v>15</v>
      </c>
      <c r="J466" s="156" t="s">
        <v>185</v>
      </c>
      <c r="K466" s="200" t="n">
        <v>45452.3919444445</v>
      </c>
      <c r="L466" s="3" t="n">
        <v>30</v>
      </c>
      <c r="M466" s="3" t="n">
        <v>30</v>
      </c>
      <c r="N466" s="1" t="n">
        <v>123</v>
      </c>
      <c r="O466" s="1" t="n">
        <v>0</v>
      </c>
    </row>
    <row r="467" customFormat="false" ht="14.25" hidden="false" customHeight="false" outlineLevel="0" collapsed="false">
      <c r="A467" s="1" t="n">
        <v>59</v>
      </c>
      <c r="B467" s="1" t="s">
        <v>624</v>
      </c>
      <c r="C467" s="1" t="s">
        <v>625</v>
      </c>
      <c r="D467" s="196" t="n">
        <v>2568</v>
      </c>
      <c r="E467" s="196" t="s">
        <v>51</v>
      </c>
      <c r="F467" s="201" t="n">
        <v>200025889314</v>
      </c>
      <c r="G467" s="198" t="s">
        <v>632</v>
      </c>
      <c r="H467" s="163" t="s">
        <v>224</v>
      </c>
      <c r="I467" s="161" t="n">
        <v>15</v>
      </c>
      <c r="J467" s="156" t="s">
        <v>185</v>
      </c>
      <c r="K467" s="200" t="n">
        <v>45452.3919675926</v>
      </c>
      <c r="L467" s="3" t="n">
        <v>30</v>
      </c>
      <c r="M467" s="3" t="n">
        <v>30</v>
      </c>
      <c r="N467" s="1" t="n">
        <v>124</v>
      </c>
      <c r="O467" s="10" t="n">
        <v>112</v>
      </c>
    </row>
    <row r="468" customFormat="false" ht="14.25" hidden="false" customHeight="false" outlineLevel="0" collapsed="false">
      <c r="A468" s="1" t="n">
        <v>60</v>
      </c>
      <c r="B468" s="1" t="s">
        <v>624</v>
      </c>
      <c r="C468" s="1" t="s">
        <v>625</v>
      </c>
      <c r="D468" s="196" t="n">
        <v>2568</v>
      </c>
      <c r="E468" s="196" t="s">
        <v>51</v>
      </c>
      <c r="F468" s="201" t="n">
        <v>200025889314</v>
      </c>
      <c r="G468" s="198" t="s">
        <v>632</v>
      </c>
      <c r="H468" s="163" t="s">
        <v>224</v>
      </c>
      <c r="I468" s="161" t="n">
        <v>15</v>
      </c>
      <c r="J468" s="156" t="s">
        <v>185</v>
      </c>
      <c r="K468" s="200" t="n">
        <v>45452.395150463</v>
      </c>
      <c r="L468" s="3" t="n">
        <v>30</v>
      </c>
      <c r="M468" s="3" t="n">
        <v>30</v>
      </c>
      <c r="N468" s="1" t="n">
        <v>125</v>
      </c>
      <c r="O468" s="1" t="n">
        <v>0</v>
      </c>
    </row>
    <row r="469" customFormat="false" ht="14.25" hidden="false" customHeight="false" outlineLevel="0" collapsed="false">
      <c r="A469" s="1" t="n">
        <v>61</v>
      </c>
      <c r="B469" s="1" t="s">
        <v>624</v>
      </c>
      <c r="C469" s="1" t="s">
        <v>625</v>
      </c>
      <c r="D469" s="196" t="n">
        <v>2568</v>
      </c>
      <c r="E469" s="196" t="s">
        <v>51</v>
      </c>
      <c r="F469" s="201" t="n">
        <v>200025889314</v>
      </c>
      <c r="G469" s="198" t="s">
        <v>632</v>
      </c>
      <c r="H469" s="163" t="s">
        <v>224</v>
      </c>
      <c r="I469" s="161" t="n">
        <v>15</v>
      </c>
      <c r="J469" s="156" t="s">
        <v>185</v>
      </c>
      <c r="K469" s="200" t="n">
        <v>45452.397025463</v>
      </c>
      <c r="L469" s="3" t="n">
        <v>30</v>
      </c>
      <c r="M469" s="3" t="n">
        <v>30</v>
      </c>
      <c r="N469" s="1" t="n">
        <v>126</v>
      </c>
      <c r="O469" s="10" t="n">
        <v>1141</v>
      </c>
    </row>
    <row r="470" customFormat="false" ht="14.25" hidden="false" customHeight="false" outlineLevel="0" collapsed="false">
      <c r="A470" s="1" t="n">
        <v>93</v>
      </c>
      <c r="B470" s="1" t="s">
        <v>702</v>
      </c>
      <c r="C470" s="1" t="s">
        <v>703</v>
      </c>
      <c r="D470" s="1" t="n">
        <v>11197</v>
      </c>
      <c r="E470" s="1" t="s">
        <v>53</v>
      </c>
      <c r="F470" s="201" t="n">
        <v>200025888529</v>
      </c>
      <c r="G470" s="198" t="s">
        <v>704</v>
      </c>
      <c r="H470" s="163" t="s">
        <v>345</v>
      </c>
      <c r="I470" s="161" t="n">
        <v>118</v>
      </c>
      <c r="J470" s="156" t="s">
        <v>185</v>
      </c>
      <c r="K470" s="200" t="n">
        <v>45452.1350810185</v>
      </c>
      <c r="L470" s="3" t="n">
        <v>31</v>
      </c>
      <c r="M470" s="3" t="n">
        <v>31</v>
      </c>
      <c r="N470" s="1" t="n">
        <v>1</v>
      </c>
      <c r="O470" s="1" t="n">
        <v>1</v>
      </c>
    </row>
    <row r="471" customFormat="false" ht="14.25" hidden="false" customHeight="false" outlineLevel="0" collapsed="false">
      <c r="A471" s="1" t="n">
        <v>94</v>
      </c>
      <c r="B471" s="1" t="s">
        <v>702</v>
      </c>
      <c r="C471" s="1" t="s">
        <v>703</v>
      </c>
      <c r="D471" s="1" t="n">
        <v>11197</v>
      </c>
      <c r="E471" s="1" t="s">
        <v>53</v>
      </c>
      <c r="F471" s="201" t="n">
        <v>200025888529</v>
      </c>
      <c r="G471" s="198" t="s">
        <v>704</v>
      </c>
      <c r="H471" s="163" t="s">
        <v>345</v>
      </c>
      <c r="I471" s="161" t="n">
        <v>118</v>
      </c>
      <c r="J471" s="156" t="s">
        <v>185</v>
      </c>
      <c r="K471" s="200" t="n">
        <v>45452.1351041667</v>
      </c>
      <c r="L471" s="3" t="n">
        <v>31</v>
      </c>
      <c r="M471" s="3" t="n">
        <v>31</v>
      </c>
      <c r="N471" s="1" t="n">
        <v>2</v>
      </c>
      <c r="O471" s="207" t="n">
        <v>206</v>
      </c>
    </row>
    <row r="472" customFormat="false" ht="14.25" hidden="false" customHeight="false" outlineLevel="0" collapsed="false">
      <c r="A472" s="1" t="n">
        <v>95</v>
      </c>
      <c r="B472" s="1" t="s">
        <v>702</v>
      </c>
      <c r="C472" s="1" t="s">
        <v>703</v>
      </c>
      <c r="D472" s="1" t="n">
        <v>11197</v>
      </c>
      <c r="E472" s="1" t="s">
        <v>53</v>
      </c>
      <c r="F472" s="201" t="n">
        <v>200025888529</v>
      </c>
      <c r="G472" s="198" t="s">
        <v>704</v>
      </c>
      <c r="H472" s="163" t="s">
        <v>345</v>
      </c>
      <c r="I472" s="161" t="n">
        <v>118</v>
      </c>
      <c r="J472" s="156" t="s">
        <v>185</v>
      </c>
      <c r="K472" s="200" t="n">
        <v>45452.1383796296</v>
      </c>
      <c r="L472" s="3" t="n">
        <v>31</v>
      </c>
      <c r="M472" s="3" t="n">
        <v>31</v>
      </c>
      <c r="N472" s="1" t="n">
        <v>3</v>
      </c>
      <c r="O472" s="1" t="n">
        <v>1</v>
      </c>
    </row>
    <row r="473" customFormat="false" ht="14.25" hidden="false" customHeight="false" outlineLevel="0" collapsed="false">
      <c r="A473" s="1" t="n">
        <v>36</v>
      </c>
      <c r="B473" s="1" t="s">
        <v>637</v>
      </c>
      <c r="C473" s="1" t="s">
        <v>638</v>
      </c>
      <c r="D473" s="1" t="n">
        <v>21296</v>
      </c>
      <c r="E473" s="1" t="s">
        <v>57</v>
      </c>
      <c r="F473" s="198" t="n">
        <v>200025888529</v>
      </c>
      <c r="G473" s="198" t="s">
        <v>704</v>
      </c>
      <c r="H473" s="163" t="s">
        <v>345</v>
      </c>
      <c r="I473" s="161" t="n">
        <v>118</v>
      </c>
      <c r="J473" s="156" t="s">
        <v>185</v>
      </c>
      <c r="K473" s="200" t="n">
        <v>45452.4697800926</v>
      </c>
      <c r="L473" s="3" t="n">
        <v>31</v>
      </c>
      <c r="M473" s="3" t="n">
        <v>31</v>
      </c>
      <c r="N473" s="1" t="n">
        <v>4</v>
      </c>
      <c r="O473" s="1" t="n">
        <v>1</v>
      </c>
    </row>
    <row r="474" customFormat="false" ht="14.25" hidden="false" customHeight="false" outlineLevel="0" collapsed="false">
      <c r="A474" s="1" t="n">
        <v>96</v>
      </c>
      <c r="B474" s="1" t="s">
        <v>702</v>
      </c>
      <c r="C474" s="1" t="s">
        <v>703</v>
      </c>
      <c r="D474" s="1" t="n">
        <v>11197</v>
      </c>
      <c r="E474" s="1" t="s">
        <v>53</v>
      </c>
      <c r="F474" s="201" t="n">
        <v>200025888808</v>
      </c>
      <c r="G474" s="198" t="s">
        <v>705</v>
      </c>
      <c r="H474" s="163" t="s">
        <v>402</v>
      </c>
      <c r="I474" s="161" t="n">
        <v>103</v>
      </c>
      <c r="J474" s="156" t="s">
        <v>185</v>
      </c>
      <c r="K474" s="200" t="n">
        <v>45452.2559837963</v>
      </c>
      <c r="L474" s="3" t="n">
        <v>32</v>
      </c>
      <c r="M474" s="3" t="n">
        <v>32</v>
      </c>
      <c r="N474" s="1" t="n">
        <v>1</v>
      </c>
      <c r="O474" s="1" t="n">
        <v>0</v>
      </c>
    </row>
    <row r="475" customFormat="false" ht="14.25" hidden="false" customHeight="false" outlineLevel="0" collapsed="false">
      <c r="A475" s="1" t="n">
        <v>97</v>
      </c>
      <c r="B475" s="1" t="s">
        <v>702</v>
      </c>
      <c r="C475" s="1" t="s">
        <v>703</v>
      </c>
      <c r="D475" s="1" t="n">
        <v>11197</v>
      </c>
      <c r="E475" s="1" t="s">
        <v>53</v>
      </c>
      <c r="F475" s="201" t="n">
        <v>200025888808</v>
      </c>
      <c r="G475" s="198" t="s">
        <v>705</v>
      </c>
      <c r="H475" s="163" t="s">
        <v>402</v>
      </c>
      <c r="I475" s="161" t="n">
        <v>103</v>
      </c>
      <c r="J475" s="156" t="s">
        <v>185</v>
      </c>
      <c r="K475" s="200" t="n">
        <v>45452.2563657407</v>
      </c>
      <c r="L475" s="3" t="n">
        <v>32</v>
      </c>
      <c r="M475" s="3" t="n">
        <v>32</v>
      </c>
      <c r="N475" s="1" t="n">
        <v>2</v>
      </c>
      <c r="O475" s="1" t="n">
        <v>3</v>
      </c>
    </row>
    <row r="476" customFormat="false" ht="14.25" hidden="false" customHeight="false" outlineLevel="0" collapsed="false">
      <c r="A476" s="1" t="n">
        <v>98</v>
      </c>
      <c r="B476" s="1" t="s">
        <v>702</v>
      </c>
      <c r="C476" s="1" t="s">
        <v>703</v>
      </c>
      <c r="D476" s="1" t="n">
        <v>11197</v>
      </c>
      <c r="E476" s="1" t="s">
        <v>53</v>
      </c>
      <c r="F476" s="201" t="n">
        <v>200025888808</v>
      </c>
      <c r="G476" s="198" t="s">
        <v>705</v>
      </c>
      <c r="H476" s="163" t="s">
        <v>402</v>
      </c>
      <c r="I476" s="161" t="n">
        <v>103</v>
      </c>
      <c r="J476" s="156" t="s">
        <v>185</v>
      </c>
      <c r="K476" s="200" t="n">
        <v>45452.2767476852</v>
      </c>
      <c r="L476" s="3" t="n">
        <v>32</v>
      </c>
      <c r="M476" s="3" t="n">
        <v>32</v>
      </c>
      <c r="N476" s="1" t="n">
        <v>3</v>
      </c>
      <c r="O476" s="207" t="n">
        <v>1573</v>
      </c>
    </row>
    <row r="477" customFormat="false" ht="14.25" hidden="false" customHeight="false" outlineLevel="0" collapsed="false">
      <c r="A477" s="1" t="n">
        <v>99</v>
      </c>
      <c r="B477" s="1" t="s">
        <v>702</v>
      </c>
      <c r="C477" s="1" t="s">
        <v>703</v>
      </c>
      <c r="D477" s="1" t="n">
        <v>11197</v>
      </c>
      <c r="E477" s="1" t="s">
        <v>53</v>
      </c>
      <c r="F477" s="201" t="n">
        <v>200025888808</v>
      </c>
      <c r="G477" s="198" t="s">
        <v>705</v>
      </c>
      <c r="H477" s="163" t="s">
        <v>402</v>
      </c>
      <c r="I477" s="161" t="n">
        <v>103</v>
      </c>
      <c r="J477" s="156" t="s">
        <v>185</v>
      </c>
      <c r="K477" s="200" t="n">
        <v>45452.313275463</v>
      </c>
      <c r="L477" s="3" t="n">
        <v>32</v>
      </c>
      <c r="M477" s="3" t="n">
        <v>32</v>
      </c>
      <c r="N477" s="1" t="n">
        <v>4</v>
      </c>
      <c r="O477" s="1" t="n">
        <v>1</v>
      </c>
    </row>
    <row r="478" customFormat="false" ht="14.25" hidden="false" customHeight="false" outlineLevel="0" collapsed="false">
      <c r="A478" s="1" t="n">
        <v>100</v>
      </c>
      <c r="B478" s="1" t="s">
        <v>702</v>
      </c>
      <c r="C478" s="1" t="s">
        <v>703</v>
      </c>
      <c r="D478" s="1" t="n">
        <v>11197</v>
      </c>
      <c r="E478" s="1" t="s">
        <v>53</v>
      </c>
      <c r="F478" s="201" t="n">
        <v>200025888808</v>
      </c>
      <c r="G478" s="198" t="s">
        <v>705</v>
      </c>
      <c r="H478" s="163" t="s">
        <v>402</v>
      </c>
      <c r="I478" s="161" t="n">
        <v>103</v>
      </c>
      <c r="J478" s="156" t="s">
        <v>185</v>
      </c>
      <c r="K478" s="200" t="n">
        <v>45452.3138310185</v>
      </c>
      <c r="L478" s="3" t="n">
        <v>32</v>
      </c>
      <c r="M478" s="3" t="n">
        <v>32</v>
      </c>
      <c r="N478" s="1" t="n">
        <v>5</v>
      </c>
      <c r="O478" s="1" t="n">
        <v>1</v>
      </c>
    </row>
    <row r="479" customFormat="false" ht="14.25" hidden="false" customHeight="false" outlineLevel="0" collapsed="false">
      <c r="A479" s="1" t="n">
        <v>101</v>
      </c>
      <c r="B479" s="1" t="s">
        <v>702</v>
      </c>
      <c r="C479" s="1" t="s">
        <v>703</v>
      </c>
      <c r="D479" s="1" t="n">
        <v>11197</v>
      </c>
      <c r="E479" s="1" t="s">
        <v>53</v>
      </c>
      <c r="F479" s="201" t="n">
        <v>200025888808</v>
      </c>
      <c r="G479" s="198" t="s">
        <v>705</v>
      </c>
      <c r="H479" s="163" t="s">
        <v>402</v>
      </c>
      <c r="I479" s="161" t="n">
        <v>103</v>
      </c>
      <c r="J479" s="156" t="s">
        <v>185</v>
      </c>
      <c r="K479" s="200" t="n">
        <v>45452.3153240741</v>
      </c>
      <c r="L479" s="3" t="n">
        <v>32</v>
      </c>
      <c r="M479" s="3" t="n">
        <v>32</v>
      </c>
      <c r="N479" s="1" t="n">
        <v>6</v>
      </c>
      <c r="O479" s="1" t="n">
        <v>0</v>
      </c>
    </row>
    <row r="480" customFormat="false" ht="14.25" hidden="false" customHeight="false" outlineLevel="0" collapsed="false">
      <c r="A480" s="1" t="n">
        <v>102</v>
      </c>
      <c r="B480" s="1" t="s">
        <v>702</v>
      </c>
      <c r="C480" s="1" t="s">
        <v>703</v>
      </c>
      <c r="D480" s="1" t="n">
        <v>11197</v>
      </c>
      <c r="E480" s="1" t="s">
        <v>53</v>
      </c>
      <c r="F480" s="201" t="n">
        <v>200025888808</v>
      </c>
      <c r="G480" s="198" t="s">
        <v>705</v>
      </c>
      <c r="H480" s="163" t="s">
        <v>402</v>
      </c>
      <c r="I480" s="161" t="n">
        <v>103</v>
      </c>
      <c r="J480" s="156" t="s">
        <v>185</v>
      </c>
      <c r="K480" s="200" t="n">
        <v>45452.3163310185</v>
      </c>
      <c r="L480" s="3" t="n">
        <v>32</v>
      </c>
      <c r="M480" s="3" t="n">
        <v>32</v>
      </c>
      <c r="N480" s="1" t="n">
        <v>7</v>
      </c>
      <c r="O480" s="1" t="n">
        <v>1</v>
      </c>
    </row>
    <row r="481" customFormat="false" ht="14.25" hidden="false" customHeight="false" outlineLevel="0" collapsed="false">
      <c r="A481" s="1" t="n">
        <v>103</v>
      </c>
      <c r="B481" s="1" t="s">
        <v>702</v>
      </c>
      <c r="C481" s="1" t="s">
        <v>703</v>
      </c>
      <c r="D481" s="1" t="n">
        <v>11197</v>
      </c>
      <c r="E481" s="1" t="s">
        <v>53</v>
      </c>
      <c r="F481" s="201" t="n">
        <v>200025888808</v>
      </c>
      <c r="G481" s="198" t="s">
        <v>705</v>
      </c>
      <c r="H481" s="163" t="s">
        <v>402</v>
      </c>
      <c r="I481" s="161" t="n">
        <v>103</v>
      </c>
      <c r="J481" s="156" t="s">
        <v>185</v>
      </c>
      <c r="K481" s="200" t="n">
        <v>45452.3163425926</v>
      </c>
      <c r="L481" s="3" t="n">
        <v>32</v>
      </c>
      <c r="M481" s="3" t="n">
        <v>32</v>
      </c>
      <c r="N481" s="1" t="n">
        <v>8</v>
      </c>
      <c r="O481" s="1" t="n">
        <v>2</v>
      </c>
    </row>
    <row r="482" customFormat="false" ht="14.25" hidden="false" customHeight="false" outlineLevel="0" collapsed="false">
      <c r="A482" s="1" t="n">
        <v>104</v>
      </c>
      <c r="B482" s="1" t="s">
        <v>702</v>
      </c>
      <c r="C482" s="1" t="s">
        <v>703</v>
      </c>
      <c r="D482" s="1" t="n">
        <v>11197</v>
      </c>
      <c r="E482" s="1" t="s">
        <v>53</v>
      </c>
      <c r="F482" s="201" t="n">
        <v>200025888808</v>
      </c>
      <c r="G482" s="198" t="s">
        <v>705</v>
      </c>
      <c r="H482" s="163" t="s">
        <v>402</v>
      </c>
      <c r="I482" s="161" t="n">
        <v>103</v>
      </c>
      <c r="J482" s="156" t="s">
        <v>185</v>
      </c>
      <c r="K482" s="200" t="n">
        <v>45452.3168634259</v>
      </c>
      <c r="L482" s="3" t="n">
        <v>32</v>
      </c>
      <c r="M482" s="3" t="n">
        <v>32</v>
      </c>
      <c r="N482" s="1" t="n">
        <v>9</v>
      </c>
      <c r="O482" s="1" t="n">
        <v>3</v>
      </c>
    </row>
    <row r="483" customFormat="false" ht="14.25" hidden="false" customHeight="false" outlineLevel="0" collapsed="false">
      <c r="A483" s="1" t="n">
        <v>37</v>
      </c>
      <c r="B483" s="1" t="s">
        <v>637</v>
      </c>
      <c r="C483" s="1" t="s">
        <v>638</v>
      </c>
      <c r="D483" s="1" t="n">
        <v>21296</v>
      </c>
      <c r="E483" s="1" t="s">
        <v>57</v>
      </c>
      <c r="F483" s="198" t="n">
        <v>200025888808</v>
      </c>
      <c r="G483" s="198" t="s">
        <v>705</v>
      </c>
      <c r="H483" s="163" t="s">
        <v>402</v>
      </c>
      <c r="I483" s="161" t="n">
        <v>103</v>
      </c>
      <c r="J483" s="156" t="s">
        <v>185</v>
      </c>
      <c r="K483" s="200" t="n">
        <v>45452.4999652778</v>
      </c>
      <c r="L483" s="3" t="n">
        <v>32</v>
      </c>
      <c r="M483" s="3" t="n">
        <v>32</v>
      </c>
      <c r="N483" s="1" t="n">
        <v>10</v>
      </c>
      <c r="O483" s="1" t="n">
        <v>4</v>
      </c>
    </row>
    <row r="484" customFormat="false" ht="14.25" hidden="false" customHeight="false" outlineLevel="0" collapsed="false">
      <c r="A484" s="1" t="n">
        <v>38</v>
      </c>
      <c r="B484" s="1" t="s">
        <v>637</v>
      </c>
      <c r="C484" s="1" t="s">
        <v>638</v>
      </c>
      <c r="D484" s="1" t="n">
        <v>21296</v>
      </c>
      <c r="E484" s="1" t="s">
        <v>57</v>
      </c>
      <c r="F484" s="198" t="n">
        <v>200025888808</v>
      </c>
      <c r="G484" s="198" t="s">
        <v>705</v>
      </c>
      <c r="H484" s="163" t="s">
        <v>402</v>
      </c>
      <c r="I484" s="161" t="n">
        <v>103</v>
      </c>
      <c r="J484" s="156" t="s">
        <v>185</v>
      </c>
      <c r="K484" s="200" t="n">
        <v>45452.6125810185</v>
      </c>
      <c r="L484" s="3" t="n">
        <v>32</v>
      </c>
      <c r="M484" s="3" t="n">
        <v>32</v>
      </c>
      <c r="N484" s="1" t="n">
        <v>11</v>
      </c>
      <c r="O484" s="1" t="n">
        <v>1</v>
      </c>
    </row>
    <row r="485" customFormat="false" ht="14.25" hidden="false" customHeight="false" outlineLevel="0" collapsed="false">
      <c r="A485" s="1" t="n">
        <v>39</v>
      </c>
      <c r="B485" s="1" t="s">
        <v>637</v>
      </c>
      <c r="C485" s="1" t="s">
        <v>638</v>
      </c>
      <c r="D485" s="1" t="n">
        <v>21296</v>
      </c>
      <c r="E485" s="1" t="s">
        <v>57</v>
      </c>
      <c r="F485" s="198" t="n">
        <v>200025888808</v>
      </c>
      <c r="G485" s="198" t="s">
        <v>705</v>
      </c>
      <c r="H485" s="163" t="s">
        <v>402</v>
      </c>
      <c r="I485" s="161" t="n">
        <v>103</v>
      </c>
      <c r="J485" s="156" t="s">
        <v>185</v>
      </c>
      <c r="K485" s="200" t="n">
        <v>45452.6126157407</v>
      </c>
      <c r="L485" s="3" t="n">
        <v>32</v>
      </c>
      <c r="M485" s="3" t="n">
        <v>32</v>
      </c>
      <c r="N485" s="1" t="n">
        <v>12</v>
      </c>
      <c r="O485" s="1" t="n">
        <v>0</v>
      </c>
    </row>
    <row r="486" customFormat="false" ht="14.25" hidden="false" customHeight="false" outlineLevel="0" collapsed="false">
      <c r="A486" s="1" t="n">
        <v>40</v>
      </c>
      <c r="B486" s="1" t="s">
        <v>637</v>
      </c>
      <c r="C486" s="1" t="s">
        <v>638</v>
      </c>
      <c r="D486" s="1" t="n">
        <v>21296</v>
      </c>
      <c r="E486" s="1" t="s">
        <v>57</v>
      </c>
      <c r="F486" s="198" t="n">
        <v>200025888808</v>
      </c>
      <c r="G486" s="198" t="s">
        <v>705</v>
      </c>
      <c r="H486" s="163" t="s">
        <v>402</v>
      </c>
      <c r="I486" s="161" t="n">
        <v>103</v>
      </c>
      <c r="J486" s="156" t="s">
        <v>185</v>
      </c>
      <c r="K486" s="200" t="n">
        <v>45452.7136805556</v>
      </c>
      <c r="L486" s="3" t="n">
        <v>32</v>
      </c>
      <c r="M486" s="3" t="n">
        <v>32</v>
      </c>
      <c r="N486" s="1" t="n">
        <v>13</v>
      </c>
      <c r="O486" s="1" t="n">
        <v>0</v>
      </c>
    </row>
    <row r="487" customFormat="false" ht="14.25" hidden="false" customHeight="false" outlineLevel="0" collapsed="false">
      <c r="A487" s="1" t="n">
        <v>41</v>
      </c>
      <c r="B487" s="1" t="s">
        <v>637</v>
      </c>
      <c r="C487" s="1" t="s">
        <v>638</v>
      </c>
      <c r="D487" s="1" t="n">
        <v>21296</v>
      </c>
      <c r="E487" s="1" t="s">
        <v>57</v>
      </c>
      <c r="F487" s="198" t="n">
        <v>200025888808</v>
      </c>
      <c r="G487" s="198" t="s">
        <v>705</v>
      </c>
      <c r="H487" s="163" t="s">
        <v>402</v>
      </c>
      <c r="I487" s="161" t="n">
        <v>103</v>
      </c>
      <c r="J487" s="156" t="s">
        <v>185</v>
      </c>
      <c r="K487" s="200" t="n">
        <v>45452.7137037037</v>
      </c>
      <c r="L487" s="3" t="n">
        <v>32</v>
      </c>
      <c r="M487" s="3" t="n">
        <v>32</v>
      </c>
      <c r="N487" s="1" t="n">
        <v>14</v>
      </c>
      <c r="O487" s="1" t="n">
        <v>1</v>
      </c>
    </row>
    <row r="488" customFormat="false" ht="14.25" hidden="false" customHeight="false" outlineLevel="0" collapsed="false">
      <c r="A488" s="1" t="n">
        <v>88</v>
      </c>
      <c r="B488" s="1" t="s">
        <v>643</v>
      </c>
      <c r="C488" s="1" t="s">
        <v>644</v>
      </c>
      <c r="D488" s="196" t="n">
        <v>2568</v>
      </c>
      <c r="E488" s="196" t="s">
        <v>51</v>
      </c>
      <c r="F488" s="201" t="n">
        <v>200025888809</v>
      </c>
      <c r="G488" s="198" t="s">
        <v>645</v>
      </c>
      <c r="H488" s="163" t="s">
        <v>186</v>
      </c>
      <c r="I488" s="161" t="n">
        <v>1</v>
      </c>
      <c r="J488" s="156" t="s">
        <v>185</v>
      </c>
      <c r="K488" s="200" t="n">
        <v>45461.4838078704</v>
      </c>
      <c r="L488" s="3" t="n">
        <v>33</v>
      </c>
      <c r="M488" s="3" t="n">
        <v>33</v>
      </c>
      <c r="N488" s="1" t="n">
        <v>1</v>
      </c>
      <c r="O488" s="1" t="n">
        <v>1</v>
      </c>
    </row>
    <row r="489" customFormat="false" ht="14.25" hidden="false" customHeight="false" outlineLevel="0" collapsed="false">
      <c r="A489" s="1" t="n">
        <v>22</v>
      </c>
      <c r="B489" s="1" t="s">
        <v>621</v>
      </c>
      <c r="C489" s="1" t="s">
        <v>622</v>
      </c>
      <c r="D489" s="1" t="n">
        <v>11171</v>
      </c>
      <c r="E489" s="1" t="s">
        <v>55</v>
      </c>
      <c r="F489" s="201" t="n">
        <v>200025889333</v>
      </c>
      <c r="G489" s="198" t="s">
        <v>652</v>
      </c>
      <c r="H489" s="163" t="s">
        <v>445</v>
      </c>
      <c r="I489" s="161" t="n">
        <v>50</v>
      </c>
      <c r="J489" s="156" t="s">
        <v>192</v>
      </c>
      <c r="K489" s="200" t="n">
        <v>45433.474212963</v>
      </c>
      <c r="L489" s="3" t="n">
        <v>34</v>
      </c>
      <c r="M489" s="3" t="n">
        <v>34</v>
      </c>
      <c r="N489" s="1" t="n">
        <v>1</v>
      </c>
      <c r="O489" s="1" t="n">
        <v>0</v>
      </c>
    </row>
    <row r="490" customFormat="false" ht="14.25" hidden="false" customHeight="false" outlineLevel="0" collapsed="false">
      <c r="A490" s="1" t="n">
        <v>23</v>
      </c>
      <c r="B490" s="1" t="s">
        <v>621</v>
      </c>
      <c r="C490" s="1" t="s">
        <v>622</v>
      </c>
      <c r="D490" s="1" t="n">
        <v>11171</v>
      </c>
      <c r="E490" s="1" t="s">
        <v>55</v>
      </c>
      <c r="F490" s="201" t="n">
        <v>200025889333</v>
      </c>
      <c r="G490" s="198" t="s">
        <v>652</v>
      </c>
      <c r="H490" s="163" t="s">
        <v>445</v>
      </c>
      <c r="I490" s="161" t="n">
        <v>50</v>
      </c>
      <c r="J490" s="156" t="s">
        <v>192</v>
      </c>
      <c r="K490" s="200" t="n">
        <v>45433.474224537</v>
      </c>
      <c r="L490" s="3" t="n">
        <v>34</v>
      </c>
      <c r="M490" s="3" t="n">
        <v>34</v>
      </c>
      <c r="N490" s="1" t="n">
        <v>2</v>
      </c>
      <c r="O490" s="1" t="n">
        <v>1</v>
      </c>
    </row>
    <row r="491" customFormat="false" ht="14.25" hidden="false" customHeight="false" outlineLevel="0" collapsed="false">
      <c r="A491" s="1" t="n">
        <v>24</v>
      </c>
      <c r="B491" s="1" t="s">
        <v>621</v>
      </c>
      <c r="C491" s="1" t="s">
        <v>622</v>
      </c>
      <c r="D491" s="1" t="n">
        <v>11171</v>
      </c>
      <c r="E491" s="1" t="s">
        <v>55</v>
      </c>
      <c r="F491" s="201" t="n">
        <v>200025889333</v>
      </c>
      <c r="G491" s="198" t="s">
        <v>652</v>
      </c>
      <c r="H491" s="163" t="s">
        <v>445</v>
      </c>
      <c r="I491" s="161" t="n">
        <v>50</v>
      </c>
      <c r="J491" s="156" t="s">
        <v>192</v>
      </c>
      <c r="K491" s="200" t="n">
        <v>45433.474375</v>
      </c>
      <c r="L491" s="3" t="n">
        <v>34</v>
      </c>
      <c r="M491" s="3" t="n">
        <v>34</v>
      </c>
      <c r="N491" s="1" t="n">
        <v>3</v>
      </c>
      <c r="O491" s="1" t="n">
        <v>3</v>
      </c>
    </row>
    <row r="492" customFormat="false" ht="14.25" hidden="false" customHeight="false" outlineLevel="0" collapsed="false">
      <c r="A492" s="1" t="n">
        <v>18</v>
      </c>
      <c r="B492" s="1" t="s">
        <v>624</v>
      </c>
      <c r="C492" s="1" t="s">
        <v>625</v>
      </c>
      <c r="D492" s="1" t="n">
        <v>21261</v>
      </c>
      <c r="E492" s="1" t="s">
        <v>57</v>
      </c>
      <c r="F492" s="201" t="n">
        <v>200025889333</v>
      </c>
      <c r="G492" s="198" t="s">
        <v>652</v>
      </c>
      <c r="H492" s="163" t="s">
        <v>445</v>
      </c>
      <c r="I492" s="161" t="n">
        <v>50</v>
      </c>
      <c r="J492" s="156" t="s">
        <v>192</v>
      </c>
      <c r="K492" s="200" t="n">
        <v>45433.5341782407</v>
      </c>
      <c r="L492" s="3" t="n">
        <v>34</v>
      </c>
      <c r="M492" s="3" t="n">
        <v>34</v>
      </c>
      <c r="N492" s="1" t="n">
        <v>4</v>
      </c>
      <c r="O492" s="1" t="n">
        <v>2</v>
      </c>
    </row>
    <row r="493" customFormat="false" ht="14.25" hidden="false" customHeight="false" outlineLevel="0" collapsed="false">
      <c r="A493" s="1" t="n">
        <v>25</v>
      </c>
      <c r="B493" s="1" t="s">
        <v>621</v>
      </c>
      <c r="C493" s="1" t="s">
        <v>622</v>
      </c>
      <c r="D493" s="1" t="n">
        <v>11171</v>
      </c>
      <c r="E493" s="1" t="s">
        <v>55</v>
      </c>
      <c r="F493" s="201" t="n">
        <v>200025889333</v>
      </c>
      <c r="G493" s="198" t="s">
        <v>652</v>
      </c>
      <c r="H493" s="163" t="s">
        <v>445</v>
      </c>
      <c r="I493" s="161" t="n">
        <v>50</v>
      </c>
      <c r="J493" s="156" t="s">
        <v>192</v>
      </c>
      <c r="K493" s="200" t="n">
        <v>45433.6406944444</v>
      </c>
      <c r="L493" s="3" t="n">
        <v>34</v>
      </c>
      <c r="M493" s="3" t="n">
        <v>34</v>
      </c>
      <c r="N493" s="1" t="n">
        <v>5</v>
      </c>
      <c r="O493" s="1" t="n">
        <v>0</v>
      </c>
    </row>
    <row r="494" customFormat="false" ht="14.25" hidden="false" customHeight="false" outlineLevel="0" collapsed="false">
      <c r="A494" s="1" t="n">
        <v>26</v>
      </c>
      <c r="B494" s="1" t="s">
        <v>621</v>
      </c>
      <c r="C494" s="1" t="s">
        <v>622</v>
      </c>
      <c r="D494" s="1" t="n">
        <v>11171</v>
      </c>
      <c r="E494" s="1" t="s">
        <v>55</v>
      </c>
      <c r="F494" s="201" t="n">
        <v>200025889333</v>
      </c>
      <c r="G494" s="198" t="s">
        <v>652</v>
      </c>
      <c r="H494" s="163" t="s">
        <v>445</v>
      </c>
      <c r="I494" s="161" t="n">
        <v>50</v>
      </c>
      <c r="J494" s="156" t="s">
        <v>192</v>
      </c>
      <c r="K494" s="200" t="n">
        <v>45433.6407060185</v>
      </c>
      <c r="L494" s="3" t="n">
        <v>34</v>
      </c>
      <c r="M494" s="3" t="n">
        <v>34</v>
      </c>
      <c r="N494" s="1" t="n">
        <v>6</v>
      </c>
      <c r="O494" s="1" t="n">
        <v>0</v>
      </c>
    </row>
    <row r="495" customFormat="false" ht="14.25" hidden="false" customHeight="false" outlineLevel="0" collapsed="false">
      <c r="A495" s="1" t="n">
        <v>19</v>
      </c>
      <c r="B495" s="1" t="s">
        <v>624</v>
      </c>
      <c r="C495" s="1" t="s">
        <v>625</v>
      </c>
      <c r="D495" s="1" t="n">
        <v>21261</v>
      </c>
      <c r="E495" s="1" t="s">
        <v>57</v>
      </c>
      <c r="F495" s="201" t="n">
        <v>200025889333</v>
      </c>
      <c r="G495" s="198" t="s">
        <v>652</v>
      </c>
      <c r="H495" s="163" t="s">
        <v>445</v>
      </c>
      <c r="I495" s="161" t="n">
        <v>50</v>
      </c>
      <c r="J495" s="156" t="s">
        <v>192</v>
      </c>
      <c r="K495" s="200" t="n">
        <v>45433.6460300926</v>
      </c>
      <c r="L495" s="3" t="n">
        <v>34</v>
      </c>
      <c r="M495" s="3" t="n">
        <v>34</v>
      </c>
      <c r="N495" s="1" t="n">
        <v>7</v>
      </c>
      <c r="O495" s="1" t="n">
        <v>1</v>
      </c>
    </row>
    <row r="496" customFormat="false" ht="14.25" hidden="false" customHeight="false" outlineLevel="0" collapsed="false">
      <c r="A496" s="1" t="n">
        <v>20</v>
      </c>
      <c r="B496" s="1" t="s">
        <v>624</v>
      </c>
      <c r="C496" s="1" t="s">
        <v>625</v>
      </c>
      <c r="D496" s="1" t="n">
        <v>21261</v>
      </c>
      <c r="E496" s="1" t="s">
        <v>57</v>
      </c>
      <c r="F496" s="201" t="n">
        <v>200025889333</v>
      </c>
      <c r="G496" s="198" t="s">
        <v>652</v>
      </c>
      <c r="H496" s="163" t="s">
        <v>445</v>
      </c>
      <c r="I496" s="161" t="n">
        <v>50</v>
      </c>
      <c r="J496" s="156" t="s">
        <v>192</v>
      </c>
      <c r="K496" s="200" t="n">
        <v>45433.6780671296</v>
      </c>
      <c r="L496" s="3" t="n">
        <v>34</v>
      </c>
      <c r="M496" s="3" t="n">
        <v>34</v>
      </c>
      <c r="N496" s="1" t="n">
        <v>8</v>
      </c>
      <c r="O496" s="1" t="n">
        <v>1</v>
      </c>
    </row>
    <row r="497" customFormat="false" ht="14.25" hidden="false" customHeight="false" outlineLevel="0" collapsed="false">
      <c r="A497" s="1" t="n">
        <v>31</v>
      </c>
      <c r="B497" s="1" t="s">
        <v>624</v>
      </c>
      <c r="C497" s="1" t="s">
        <v>625</v>
      </c>
      <c r="D497" s="1" t="n">
        <v>21261</v>
      </c>
      <c r="E497" s="1" t="s">
        <v>57</v>
      </c>
      <c r="F497" s="201" t="n">
        <v>200025889333</v>
      </c>
      <c r="G497" s="198" t="s">
        <v>652</v>
      </c>
      <c r="H497" s="163" t="s">
        <v>445</v>
      </c>
      <c r="I497" s="161" t="n">
        <v>50</v>
      </c>
      <c r="J497" s="156" t="s">
        <v>192</v>
      </c>
      <c r="K497" s="200" t="n">
        <v>45433.7660300926</v>
      </c>
      <c r="L497" s="3" t="n">
        <v>34</v>
      </c>
      <c r="M497" s="3" t="n">
        <v>34</v>
      </c>
      <c r="N497" s="1" t="n">
        <v>9</v>
      </c>
      <c r="O497" s="1" t="n">
        <v>1</v>
      </c>
    </row>
    <row r="498" customFormat="false" ht="14.25" hidden="false" customHeight="false" outlineLevel="0" collapsed="false">
      <c r="A498" s="1" t="n">
        <v>58</v>
      </c>
      <c r="B498" s="1" t="s">
        <v>621</v>
      </c>
      <c r="C498" s="1" t="s">
        <v>622</v>
      </c>
      <c r="D498" s="1" t="n">
        <v>11171</v>
      </c>
      <c r="E498" s="1" t="s">
        <v>55</v>
      </c>
      <c r="F498" s="201" t="n">
        <v>200025889333</v>
      </c>
      <c r="G498" s="198" t="s">
        <v>652</v>
      </c>
      <c r="H498" s="163" t="s">
        <v>445</v>
      </c>
      <c r="I498" s="161" t="n">
        <v>50</v>
      </c>
      <c r="J498" s="156" t="s">
        <v>192</v>
      </c>
      <c r="K498" s="200" t="n">
        <v>45433.7995717593</v>
      </c>
      <c r="L498" s="3" t="n">
        <v>34</v>
      </c>
      <c r="M498" s="3" t="n">
        <v>34</v>
      </c>
      <c r="N498" s="1" t="n">
        <v>10</v>
      </c>
      <c r="O498" s="1" t="n">
        <v>2</v>
      </c>
    </row>
    <row r="499" customFormat="false" ht="14.25" hidden="false" customHeight="false" outlineLevel="0" collapsed="false">
      <c r="A499" s="1" t="n">
        <v>59</v>
      </c>
      <c r="B499" s="1" t="s">
        <v>621</v>
      </c>
      <c r="C499" s="1" t="s">
        <v>622</v>
      </c>
      <c r="D499" s="1" t="n">
        <v>11171</v>
      </c>
      <c r="E499" s="1" t="s">
        <v>55</v>
      </c>
      <c r="F499" s="201" t="n">
        <v>200025889333</v>
      </c>
      <c r="G499" s="198" t="s">
        <v>652</v>
      </c>
      <c r="H499" s="163" t="s">
        <v>445</v>
      </c>
      <c r="I499" s="161" t="n">
        <v>50</v>
      </c>
      <c r="J499" s="156" t="s">
        <v>192</v>
      </c>
      <c r="K499" s="200" t="n">
        <v>45433.7997222222</v>
      </c>
      <c r="L499" s="3" t="n">
        <v>34</v>
      </c>
      <c r="M499" s="3" t="n">
        <v>34</v>
      </c>
      <c r="N499" s="1" t="n">
        <v>11</v>
      </c>
      <c r="O499" s="1" t="n">
        <v>2</v>
      </c>
    </row>
    <row r="500" customFormat="false" ht="14.25" hidden="false" customHeight="false" outlineLevel="0" collapsed="false">
      <c r="A500" s="1" t="n">
        <v>60</v>
      </c>
      <c r="B500" s="1" t="s">
        <v>621</v>
      </c>
      <c r="C500" s="1" t="s">
        <v>622</v>
      </c>
      <c r="D500" s="1" t="n">
        <v>11171</v>
      </c>
      <c r="E500" s="1" t="s">
        <v>55</v>
      </c>
      <c r="F500" s="201" t="n">
        <v>200025889333</v>
      </c>
      <c r="G500" s="198" t="s">
        <v>652</v>
      </c>
      <c r="H500" s="163" t="s">
        <v>445</v>
      </c>
      <c r="I500" s="161" t="n">
        <v>50</v>
      </c>
      <c r="J500" s="156" t="s">
        <v>192</v>
      </c>
      <c r="K500" s="200" t="n">
        <v>45433.8000347222</v>
      </c>
      <c r="L500" s="3" t="n">
        <v>34</v>
      </c>
      <c r="M500" s="3" t="n">
        <v>34</v>
      </c>
      <c r="N500" s="1" t="n">
        <v>12</v>
      </c>
      <c r="O500" s="1" t="n">
        <v>3</v>
      </c>
    </row>
    <row r="501" customFormat="false" ht="14.25" hidden="false" customHeight="false" outlineLevel="0" collapsed="false">
      <c r="A501" s="1" t="n">
        <v>61</v>
      </c>
      <c r="B501" s="1" t="s">
        <v>621</v>
      </c>
      <c r="C501" s="1" t="s">
        <v>622</v>
      </c>
      <c r="D501" s="1" t="n">
        <v>11171</v>
      </c>
      <c r="E501" s="1" t="s">
        <v>55</v>
      </c>
      <c r="F501" s="201" t="n">
        <v>200025889333</v>
      </c>
      <c r="G501" s="198" t="s">
        <v>652</v>
      </c>
      <c r="H501" s="163" t="s">
        <v>445</v>
      </c>
      <c r="I501" s="161" t="n">
        <v>50</v>
      </c>
      <c r="J501" s="156" t="s">
        <v>192</v>
      </c>
      <c r="K501" s="200" t="n">
        <v>45433.8001967593</v>
      </c>
      <c r="L501" s="3" t="n">
        <v>34</v>
      </c>
      <c r="M501" s="3" t="n">
        <v>34</v>
      </c>
      <c r="N501" s="1" t="n">
        <v>13</v>
      </c>
      <c r="O501" s="1" t="n">
        <v>3</v>
      </c>
    </row>
    <row r="502" customFormat="false" ht="14.25" hidden="false" customHeight="false" outlineLevel="0" collapsed="false">
      <c r="A502" s="1" t="n">
        <v>32</v>
      </c>
      <c r="B502" s="1" t="s">
        <v>624</v>
      </c>
      <c r="C502" s="1" t="s">
        <v>625</v>
      </c>
      <c r="D502" s="1" t="n">
        <v>21261</v>
      </c>
      <c r="E502" s="1" t="s">
        <v>57</v>
      </c>
      <c r="F502" s="201" t="n">
        <v>200025889333</v>
      </c>
      <c r="G502" s="198" t="s">
        <v>652</v>
      </c>
      <c r="H502" s="163" t="s">
        <v>445</v>
      </c>
      <c r="I502" s="161" t="n">
        <v>50</v>
      </c>
      <c r="J502" s="156" t="s">
        <v>192</v>
      </c>
      <c r="K502" s="200" t="n">
        <v>45433.8191203704</v>
      </c>
      <c r="L502" s="3" t="n">
        <v>34</v>
      </c>
      <c r="M502" s="3" t="n">
        <v>34</v>
      </c>
      <c r="N502" s="1" t="n">
        <v>14</v>
      </c>
      <c r="O502" s="1" t="n">
        <v>1</v>
      </c>
    </row>
    <row r="503" customFormat="false" ht="14.25" hidden="false" customHeight="false" outlineLevel="0" collapsed="false">
      <c r="A503" s="1" t="n">
        <v>33</v>
      </c>
      <c r="B503" s="1" t="s">
        <v>624</v>
      </c>
      <c r="C503" s="1" t="s">
        <v>625</v>
      </c>
      <c r="D503" s="1" t="n">
        <v>21261</v>
      </c>
      <c r="E503" s="1" t="s">
        <v>57</v>
      </c>
      <c r="F503" s="201" t="n">
        <v>200025889333</v>
      </c>
      <c r="G503" s="198" t="s">
        <v>652</v>
      </c>
      <c r="H503" s="163" t="s">
        <v>445</v>
      </c>
      <c r="I503" s="161" t="n">
        <v>50</v>
      </c>
      <c r="J503" s="156" t="s">
        <v>192</v>
      </c>
      <c r="K503" s="200" t="n">
        <v>45433.819224537</v>
      </c>
      <c r="L503" s="3" t="n">
        <v>34</v>
      </c>
      <c r="M503" s="3" t="n">
        <v>34</v>
      </c>
      <c r="N503" s="1" t="n">
        <v>15</v>
      </c>
      <c r="O503" s="1" t="n">
        <v>0</v>
      </c>
    </row>
    <row r="504" customFormat="false" ht="14.25" hidden="false" customHeight="false" outlineLevel="0" collapsed="false">
      <c r="A504" s="1" t="n">
        <v>34</v>
      </c>
      <c r="B504" s="1" t="s">
        <v>624</v>
      </c>
      <c r="C504" s="1" t="s">
        <v>625</v>
      </c>
      <c r="D504" s="1" t="n">
        <v>21261</v>
      </c>
      <c r="E504" s="1" t="s">
        <v>57</v>
      </c>
      <c r="F504" s="201" t="n">
        <v>200025889333</v>
      </c>
      <c r="G504" s="198" t="s">
        <v>652</v>
      </c>
      <c r="H504" s="163" t="s">
        <v>445</v>
      </c>
      <c r="I504" s="161" t="n">
        <v>50</v>
      </c>
      <c r="J504" s="156" t="s">
        <v>192</v>
      </c>
      <c r="K504" s="200" t="n">
        <v>45433.8193634259</v>
      </c>
      <c r="L504" s="3" t="n">
        <v>34</v>
      </c>
      <c r="M504" s="3" t="n">
        <v>34</v>
      </c>
      <c r="N504" s="1" t="n">
        <v>16</v>
      </c>
      <c r="O504" s="1" t="n">
        <v>1</v>
      </c>
    </row>
    <row r="505" customFormat="false" ht="14.25" hidden="false" customHeight="false" outlineLevel="0" collapsed="false">
      <c r="A505" s="1" t="n">
        <v>35</v>
      </c>
      <c r="B505" s="1" t="s">
        <v>624</v>
      </c>
      <c r="C505" s="1" t="s">
        <v>625</v>
      </c>
      <c r="D505" s="1" t="n">
        <v>21261</v>
      </c>
      <c r="E505" s="1" t="s">
        <v>57</v>
      </c>
      <c r="F505" s="201" t="n">
        <v>200025889333</v>
      </c>
      <c r="G505" s="198" t="s">
        <v>652</v>
      </c>
      <c r="H505" s="163" t="s">
        <v>445</v>
      </c>
      <c r="I505" s="161" t="n">
        <v>50</v>
      </c>
      <c r="J505" s="156" t="s">
        <v>192</v>
      </c>
      <c r="K505" s="200" t="n">
        <v>45433.8199189815</v>
      </c>
      <c r="L505" s="3" t="n">
        <v>34</v>
      </c>
      <c r="M505" s="3" t="n">
        <v>34</v>
      </c>
      <c r="N505" s="1" t="n">
        <v>17</v>
      </c>
      <c r="O505" s="1" t="n">
        <v>1</v>
      </c>
    </row>
    <row r="506" customFormat="false" ht="14.25" hidden="false" customHeight="false" outlineLevel="0" collapsed="false">
      <c r="A506" s="1" t="n">
        <v>36</v>
      </c>
      <c r="B506" s="1" t="s">
        <v>624</v>
      </c>
      <c r="C506" s="1" t="s">
        <v>625</v>
      </c>
      <c r="D506" s="1" t="n">
        <v>21261</v>
      </c>
      <c r="E506" s="1" t="s">
        <v>57</v>
      </c>
      <c r="F506" s="201" t="n">
        <v>200025889333</v>
      </c>
      <c r="G506" s="198" t="s">
        <v>652</v>
      </c>
      <c r="H506" s="163" t="s">
        <v>445</v>
      </c>
      <c r="I506" s="161" t="n">
        <v>50</v>
      </c>
      <c r="J506" s="156" t="s">
        <v>192</v>
      </c>
      <c r="K506" s="200" t="n">
        <v>45433.8201273148</v>
      </c>
      <c r="L506" s="3" t="n">
        <v>34</v>
      </c>
      <c r="M506" s="3" t="n">
        <v>34</v>
      </c>
      <c r="N506" s="1" t="n">
        <v>18</v>
      </c>
      <c r="O506" s="1" t="n">
        <v>1</v>
      </c>
    </row>
    <row r="507" customFormat="false" ht="14.25" hidden="false" customHeight="false" outlineLevel="0" collapsed="false">
      <c r="A507" s="1" t="n">
        <v>37</v>
      </c>
      <c r="B507" s="1" t="s">
        <v>624</v>
      </c>
      <c r="C507" s="1" t="s">
        <v>625</v>
      </c>
      <c r="D507" s="1" t="n">
        <v>21261</v>
      </c>
      <c r="E507" s="1" t="s">
        <v>57</v>
      </c>
      <c r="F507" s="201" t="n">
        <v>200025889333</v>
      </c>
      <c r="G507" s="198" t="s">
        <v>652</v>
      </c>
      <c r="H507" s="163" t="s">
        <v>445</v>
      </c>
      <c r="I507" s="161" t="n">
        <v>50</v>
      </c>
      <c r="J507" s="156" t="s">
        <v>192</v>
      </c>
      <c r="K507" s="200" t="n">
        <v>45433.8203472222</v>
      </c>
      <c r="L507" s="3" t="n">
        <v>34</v>
      </c>
      <c r="M507" s="3" t="n">
        <v>34</v>
      </c>
      <c r="N507" s="1" t="n">
        <v>19</v>
      </c>
      <c r="O507" s="1" t="n">
        <v>0</v>
      </c>
    </row>
    <row r="508" customFormat="false" ht="14.25" hidden="false" customHeight="false" outlineLevel="0" collapsed="false">
      <c r="A508" s="1" t="n">
        <v>38</v>
      </c>
      <c r="B508" s="1" t="s">
        <v>624</v>
      </c>
      <c r="C508" s="1" t="s">
        <v>625</v>
      </c>
      <c r="D508" s="1" t="n">
        <v>21261</v>
      </c>
      <c r="E508" s="1" t="s">
        <v>57</v>
      </c>
      <c r="F508" s="201" t="n">
        <v>200025889333</v>
      </c>
      <c r="G508" s="198" t="s">
        <v>652</v>
      </c>
      <c r="H508" s="163" t="s">
        <v>445</v>
      </c>
      <c r="I508" s="161" t="n">
        <v>50</v>
      </c>
      <c r="J508" s="156" t="s">
        <v>192</v>
      </c>
      <c r="K508" s="200" t="n">
        <v>45433.8214583333</v>
      </c>
      <c r="L508" s="3" t="n">
        <v>34</v>
      </c>
      <c r="M508" s="3" t="n">
        <v>34</v>
      </c>
      <c r="N508" s="1" t="n">
        <v>20</v>
      </c>
      <c r="O508" s="1" t="n">
        <v>0</v>
      </c>
    </row>
    <row r="509" customFormat="false" ht="14.25" hidden="false" customHeight="false" outlineLevel="0" collapsed="false">
      <c r="A509" s="1" t="n">
        <v>39</v>
      </c>
      <c r="B509" s="1" t="s">
        <v>624</v>
      </c>
      <c r="C509" s="1" t="s">
        <v>625</v>
      </c>
      <c r="D509" s="1" t="n">
        <v>21261</v>
      </c>
      <c r="E509" s="1" t="s">
        <v>57</v>
      </c>
      <c r="F509" s="201" t="n">
        <v>200025889333</v>
      </c>
      <c r="G509" s="198" t="s">
        <v>652</v>
      </c>
      <c r="H509" s="163" t="s">
        <v>445</v>
      </c>
      <c r="I509" s="161" t="n">
        <v>50</v>
      </c>
      <c r="J509" s="156" t="s">
        <v>192</v>
      </c>
      <c r="K509" s="200" t="n">
        <v>45433.8219444445</v>
      </c>
      <c r="L509" s="3" t="n">
        <v>34</v>
      </c>
      <c r="M509" s="3" t="n">
        <v>34</v>
      </c>
      <c r="N509" s="1" t="n">
        <v>21</v>
      </c>
      <c r="O509" s="1" t="n">
        <v>0</v>
      </c>
    </row>
    <row r="510" customFormat="false" ht="14.25" hidden="false" customHeight="false" outlineLevel="0" collapsed="false">
      <c r="A510" s="1" t="n">
        <v>40</v>
      </c>
      <c r="B510" s="1" t="s">
        <v>624</v>
      </c>
      <c r="C510" s="1" t="s">
        <v>625</v>
      </c>
      <c r="D510" s="1" t="n">
        <v>21261</v>
      </c>
      <c r="E510" s="1" t="s">
        <v>57</v>
      </c>
      <c r="F510" s="201" t="n">
        <v>200025889333</v>
      </c>
      <c r="G510" s="198" t="s">
        <v>652</v>
      </c>
      <c r="H510" s="163" t="s">
        <v>445</v>
      </c>
      <c r="I510" s="161" t="n">
        <v>50</v>
      </c>
      <c r="J510" s="156" t="s">
        <v>192</v>
      </c>
      <c r="K510" s="200" t="n">
        <v>45433.8222222222</v>
      </c>
      <c r="L510" s="3" t="n">
        <v>34</v>
      </c>
      <c r="M510" s="3" t="n">
        <v>34</v>
      </c>
      <c r="N510" s="1" t="n">
        <v>22</v>
      </c>
      <c r="O510" s="1" t="n">
        <v>2</v>
      </c>
    </row>
    <row r="511" customFormat="false" ht="14.25" hidden="false" customHeight="false" outlineLevel="0" collapsed="false">
      <c r="A511" s="1" t="n">
        <v>41</v>
      </c>
      <c r="B511" s="1" t="s">
        <v>624</v>
      </c>
      <c r="C511" s="1" t="s">
        <v>625</v>
      </c>
      <c r="D511" s="1" t="n">
        <v>21261</v>
      </c>
      <c r="E511" s="1" t="s">
        <v>57</v>
      </c>
      <c r="F511" s="201" t="n">
        <v>200025889333</v>
      </c>
      <c r="G511" s="198" t="s">
        <v>652</v>
      </c>
      <c r="H511" s="163" t="s">
        <v>445</v>
      </c>
      <c r="I511" s="161" t="n">
        <v>50</v>
      </c>
      <c r="J511" s="156" t="s">
        <v>192</v>
      </c>
      <c r="K511" s="200" t="n">
        <v>45433.8726388889</v>
      </c>
      <c r="L511" s="3" t="n">
        <v>34</v>
      </c>
      <c r="M511" s="3" t="n">
        <v>34</v>
      </c>
      <c r="N511" s="1" t="n">
        <v>23</v>
      </c>
      <c r="O511" s="1" t="n">
        <v>1</v>
      </c>
    </row>
    <row r="512" customFormat="false" ht="14.25" hidden="false" customHeight="false" outlineLevel="0" collapsed="false">
      <c r="A512" s="1" t="n">
        <v>42</v>
      </c>
      <c r="B512" s="1" t="s">
        <v>624</v>
      </c>
      <c r="C512" s="1" t="s">
        <v>625</v>
      </c>
      <c r="D512" s="1" t="n">
        <v>21261</v>
      </c>
      <c r="E512" s="1" t="s">
        <v>57</v>
      </c>
      <c r="F512" s="201" t="n">
        <v>200025889333</v>
      </c>
      <c r="G512" s="198" t="s">
        <v>652</v>
      </c>
      <c r="H512" s="163" t="s">
        <v>445</v>
      </c>
      <c r="I512" s="161" t="n">
        <v>50</v>
      </c>
      <c r="J512" s="156" t="s">
        <v>192</v>
      </c>
      <c r="K512" s="200" t="n">
        <v>45433.9523032407</v>
      </c>
      <c r="L512" s="3" t="n">
        <v>34</v>
      </c>
      <c r="M512" s="3" t="n">
        <v>34</v>
      </c>
      <c r="N512" s="1" t="n">
        <v>24</v>
      </c>
      <c r="O512" s="1" t="n">
        <v>1</v>
      </c>
    </row>
    <row r="513" customFormat="false" ht="14.25" hidden="false" customHeight="false" outlineLevel="0" collapsed="false">
      <c r="A513" s="1" t="n">
        <v>43</v>
      </c>
      <c r="B513" s="1" t="s">
        <v>624</v>
      </c>
      <c r="C513" s="1" t="s">
        <v>625</v>
      </c>
      <c r="D513" s="1" t="n">
        <v>21261</v>
      </c>
      <c r="E513" s="1" t="s">
        <v>57</v>
      </c>
      <c r="F513" s="201" t="n">
        <v>200025889333</v>
      </c>
      <c r="G513" s="198" t="s">
        <v>652</v>
      </c>
      <c r="H513" s="163" t="s">
        <v>445</v>
      </c>
      <c r="I513" s="161" t="n">
        <v>50</v>
      </c>
      <c r="J513" s="156" t="s">
        <v>192</v>
      </c>
      <c r="K513" s="200" t="n">
        <v>45433.9548263889</v>
      </c>
      <c r="L513" s="3" t="n">
        <v>34</v>
      </c>
      <c r="M513" s="3" t="n">
        <v>34</v>
      </c>
      <c r="N513" s="1" t="n">
        <v>25</v>
      </c>
      <c r="O513" s="1" t="n">
        <v>0</v>
      </c>
    </row>
    <row r="514" customFormat="false" ht="14.25" hidden="false" customHeight="false" outlineLevel="0" collapsed="false">
      <c r="A514" s="1" t="n">
        <v>44</v>
      </c>
      <c r="B514" s="1" t="s">
        <v>624</v>
      </c>
      <c r="C514" s="1" t="s">
        <v>625</v>
      </c>
      <c r="D514" s="1" t="n">
        <v>21261</v>
      </c>
      <c r="E514" s="1" t="s">
        <v>57</v>
      </c>
      <c r="F514" s="201" t="n">
        <v>200025889333</v>
      </c>
      <c r="G514" s="198" t="s">
        <v>652</v>
      </c>
      <c r="H514" s="163" t="s">
        <v>445</v>
      </c>
      <c r="I514" s="161" t="n">
        <v>50</v>
      </c>
      <c r="J514" s="156" t="s">
        <v>192</v>
      </c>
      <c r="K514" s="200" t="n">
        <v>45433.955787037</v>
      </c>
      <c r="L514" s="3" t="n">
        <v>34</v>
      </c>
      <c r="M514" s="3" t="n">
        <v>34</v>
      </c>
      <c r="N514" s="1" t="n">
        <v>26</v>
      </c>
      <c r="O514" s="1" t="n">
        <v>0</v>
      </c>
    </row>
    <row r="515" customFormat="false" ht="14.25" hidden="false" customHeight="false" outlineLevel="0" collapsed="false">
      <c r="A515" s="1" t="n">
        <v>69</v>
      </c>
      <c r="B515" s="1" t="s">
        <v>621</v>
      </c>
      <c r="C515" s="1" t="s">
        <v>622</v>
      </c>
      <c r="D515" s="1" t="n">
        <v>11171</v>
      </c>
      <c r="E515" s="1" t="s">
        <v>55</v>
      </c>
      <c r="F515" s="201" t="n">
        <v>200025889333</v>
      </c>
      <c r="G515" s="198" t="s">
        <v>652</v>
      </c>
      <c r="H515" s="163" t="s">
        <v>445</v>
      </c>
      <c r="I515" s="161" t="n">
        <v>50</v>
      </c>
      <c r="J515" s="156" t="s">
        <v>192</v>
      </c>
      <c r="K515" s="200" t="n">
        <v>45434.0159375</v>
      </c>
      <c r="L515" s="3" t="n">
        <v>34</v>
      </c>
      <c r="M515" s="3" t="n">
        <v>34</v>
      </c>
      <c r="N515" s="1" t="n">
        <v>27</v>
      </c>
      <c r="O515" s="1" t="n">
        <v>0</v>
      </c>
    </row>
    <row r="516" customFormat="false" ht="14.25" hidden="false" customHeight="false" outlineLevel="0" collapsed="false">
      <c r="A516" s="1" t="n">
        <v>70</v>
      </c>
      <c r="B516" s="1" t="s">
        <v>621</v>
      </c>
      <c r="C516" s="1" t="s">
        <v>622</v>
      </c>
      <c r="D516" s="1" t="n">
        <v>11171</v>
      </c>
      <c r="E516" s="1" t="s">
        <v>55</v>
      </c>
      <c r="F516" s="201" t="n">
        <v>200025889333</v>
      </c>
      <c r="G516" s="198" t="s">
        <v>652</v>
      </c>
      <c r="H516" s="163" t="s">
        <v>445</v>
      </c>
      <c r="I516" s="161" t="n">
        <v>50</v>
      </c>
      <c r="J516" s="156" t="s">
        <v>192</v>
      </c>
      <c r="K516" s="200" t="n">
        <v>45434.0170601852</v>
      </c>
      <c r="L516" s="3" t="n">
        <v>34</v>
      </c>
      <c r="M516" s="3" t="n">
        <v>34</v>
      </c>
      <c r="N516" s="1" t="n">
        <v>28</v>
      </c>
      <c r="O516" s="1" t="n">
        <v>2</v>
      </c>
    </row>
    <row r="517" customFormat="false" ht="14.25" hidden="false" customHeight="false" outlineLevel="0" collapsed="false">
      <c r="A517" s="1" t="n">
        <v>71</v>
      </c>
      <c r="B517" s="1" t="s">
        <v>621</v>
      </c>
      <c r="C517" s="1" t="s">
        <v>622</v>
      </c>
      <c r="D517" s="1" t="n">
        <v>11171</v>
      </c>
      <c r="E517" s="1" t="s">
        <v>55</v>
      </c>
      <c r="F517" s="201" t="n">
        <v>200025889333</v>
      </c>
      <c r="G517" s="198" t="s">
        <v>652</v>
      </c>
      <c r="H517" s="163" t="s">
        <v>445</v>
      </c>
      <c r="I517" s="161" t="n">
        <v>50</v>
      </c>
      <c r="J517" s="156" t="s">
        <v>192</v>
      </c>
      <c r="K517" s="200" t="n">
        <v>45434.0206597222</v>
      </c>
      <c r="L517" s="3" t="n">
        <v>34</v>
      </c>
      <c r="M517" s="3" t="n">
        <v>34</v>
      </c>
      <c r="N517" s="1" t="n">
        <v>29</v>
      </c>
      <c r="O517" s="1" t="n">
        <v>2</v>
      </c>
    </row>
    <row r="518" customFormat="false" ht="14.25" hidden="false" customHeight="false" outlineLevel="0" collapsed="false">
      <c r="A518" s="1" t="n">
        <v>72</v>
      </c>
      <c r="B518" s="1" t="s">
        <v>621</v>
      </c>
      <c r="C518" s="1" t="s">
        <v>622</v>
      </c>
      <c r="D518" s="1" t="n">
        <v>11171</v>
      </c>
      <c r="E518" s="1" t="s">
        <v>55</v>
      </c>
      <c r="F518" s="201" t="n">
        <v>200025889333</v>
      </c>
      <c r="G518" s="198" t="s">
        <v>652</v>
      </c>
      <c r="H518" s="163" t="s">
        <v>445</v>
      </c>
      <c r="I518" s="161" t="n">
        <v>50</v>
      </c>
      <c r="J518" s="156" t="s">
        <v>192</v>
      </c>
      <c r="K518" s="200" t="n">
        <v>45434.0206944444</v>
      </c>
      <c r="L518" s="3" t="n">
        <v>34</v>
      </c>
      <c r="M518" s="3" t="n">
        <v>34</v>
      </c>
      <c r="N518" s="1" t="n">
        <v>30</v>
      </c>
      <c r="O518" s="1" t="n">
        <v>0</v>
      </c>
    </row>
    <row r="519" customFormat="false" ht="14.25" hidden="false" customHeight="false" outlineLevel="0" collapsed="false">
      <c r="A519" s="1" t="n">
        <v>73</v>
      </c>
      <c r="B519" s="1" t="s">
        <v>621</v>
      </c>
      <c r="C519" s="1" t="s">
        <v>622</v>
      </c>
      <c r="D519" s="1" t="n">
        <v>11171</v>
      </c>
      <c r="E519" s="1" t="s">
        <v>55</v>
      </c>
      <c r="F519" s="201" t="n">
        <v>200025889333</v>
      </c>
      <c r="G519" s="198" t="s">
        <v>652</v>
      </c>
      <c r="H519" s="163" t="s">
        <v>445</v>
      </c>
      <c r="I519" s="161" t="n">
        <v>50</v>
      </c>
      <c r="J519" s="156" t="s">
        <v>192</v>
      </c>
      <c r="K519" s="200" t="n">
        <v>45434.0214699074</v>
      </c>
      <c r="L519" s="3" t="n">
        <v>34</v>
      </c>
      <c r="M519" s="3" t="n">
        <v>34</v>
      </c>
      <c r="N519" s="1" t="n">
        <v>31</v>
      </c>
      <c r="O519" s="1" t="n">
        <v>3</v>
      </c>
    </row>
    <row r="520" customFormat="false" ht="14.25" hidden="false" customHeight="false" outlineLevel="0" collapsed="false">
      <c r="A520" s="1" t="n">
        <v>74</v>
      </c>
      <c r="B520" s="1" t="s">
        <v>621</v>
      </c>
      <c r="C520" s="1" t="s">
        <v>622</v>
      </c>
      <c r="D520" s="1" t="n">
        <v>11171</v>
      </c>
      <c r="E520" s="1" t="s">
        <v>55</v>
      </c>
      <c r="F520" s="201" t="n">
        <v>200025889333</v>
      </c>
      <c r="G520" s="198" t="s">
        <v>652</v>
      </c>
      <c r="H520" s="163" t="s">
        <v>445</v>
      </c>
      <c r="I520" s="161" t="n">
        <v>50</v>
      </c>
      <c r="J520" s="156" t="s">
        <v>192</v>
      </c>
      <c r="K520" s="200" t="n">
        <v>45434.0216203704</v>
      </c>
      <c r="L520" s="3" t="n">
        <v>34</v>
      </c>
      <c r="M520" s="3" t="n">
        <v>34</v>
      </c>
      <c r="N520" s="1" t="n">
        <v>32</v>
      </c>
      <c r="O520" s="1" t="n">
        <v>3</v>
      </c>
    </row>
    <row r="521" customFormat="false" ht="14.25" hidden="false" customHeight="false" outlineLevel="0" collapsed="false">
      <c r="A521" s="1" t="n">
        <v>75</v>
      </c>
      <c r="B521" s="1" t="s">
        <v>621</v>
      </c>
      <c r="C521" s="1" t="s">
        <v>622</v>
      </c>
      <c r="D521" s="1" t="n">
        <v>11171</v>
      </c>
      <c r="E521" s="1" t="s">
        <v>55</v>
      </c>
      <c r="F521" s="201" t="n">
        <v>200025889333</v>
      </c>
      <c r="G521" s="198" t="s">
        <v>652</v>
      </c>
      <c r="H521" s="163" t="s">
        <v>445</v>
      </c>
      <c r="I521" s="161" t="n">
        <v>50</v>
      </c>
      <c r="J521" s="156" t="s">
        <v>192</v>
      </c>
      <c r="K521" s="200" t="n">
        <v>45434.0223611111</v>
      </c>
      <c r="L521" s="3" t="n">
        <v>34</v>
      </c>
      <c r="M521" s="3" t="n">
        <v>34</v>
      </c>
      <c r="N521" s="1" t="n">
        <v>33</v>
      </c>
      <c r="O521" s="1" t="n">
        <v>3</v>
      </c>
    </row>
    <row r="522" customFormat="false" ht="14.25" hidden="false" customHeight="false" outlineLevel="0" collapsed="false">
      <c r="A522" s="1" t="n">
        <v>76</v>
      </c>
      <c r="B522" s="1" t="s">
        <v>621</v>
      </c>
      <c r="C522" s="1" t="s">
        <v>622</v>
      </c>
      <c r="D522" s="1" t="n">
        <v>11171</v>
      </c>
      <c r="E522" s="1" t="s">
        <v>55</v>
      </c>
      <c r="F522" s="201" t="n">
        <v>200025889333</v>
      </c>
      <c r="G522" s="198" t="s">
        <v>652</v>
      </c>
      <c r="H522" s="163" t="s">
        <v>445</v>
      </c>
      <c r="I522" s="161" t="n">
        <v>50</v>
      </c>
      <c r="J522" s="156" t="s">
        <v>192</v>
      </c>
      <c r="K522" s="200" t="n">
        <v>45434.0224537037</v>
      </c>
      <c r="L522" s="3" t="n">
        <v>34</v>
      </c>
      <c r="M522" s="3" t="n">
        <v>34</v>
      </c>
      <c r="N522" s="1" t="n">
        <v>34</v>
      </c>
      <c r="O522" s="1" t="n">
        <v>5</v>
      </c>
    </row>
    <row r="523" customFormat="false" ht="14.25" hidden="false" customHeight="false" outlineLevel="0" collapsed="false">
      <c r="A523" s="1" t="n">
        <v>77</v>
      </c>
      <c r="B523" s="1" t="s">
        <v>621</v>
      </c>
      <c r="C523" s="1" t="s">
        <v>622</v>
      </c>
      <c r="D523" s="1" t="n">
        <v>11171</v>
      </c>
      <c r="E523" s="1" t="s">
        <v>55</v>
      </c>
      <c r="F523" s="201" t="n">
        <v>200025889333</v>
      </c>
      <c r="G523" s="198" t="s">
        <v>652</v>
      </c>
      <c r="H523" s="163" t="s">
        <v>445</v>
      </c>
      <c r="I523" s="161" t="n">
        <v>50</v>
      </c>
      <c r="J523" s="156" t="s">
        <v>192</v>
      </c>
      <c r="K523" s="200" t="n">
        <v>45434.0249768519</v>
      </c>
      <c r="L523" s="3" t="n">
        <v>34</v>
      </c>
      <c r="M523" s="3" t="n">
        <v>34</v>
      </c>
      <c r="N523" s="1" t="n">
        <v>35</v>
      </c>
      <c r="O523" s="1" t="n">
        <v>3</v>
      </c>
    </row>
    <row r="524" customFormat="false" ht="14.25" hidden="false" customHeight="false" outlineLevel="0" collapsed="false">
      <c r="A524" s="1" t="n">
        <v>78</v>
      </c>
      <c r="B524" s="1" t="s">
        <v>621</v>
      </c>
      <c r="C524" s="1" t="s">
        <v>622</v>
      </c>
      <c r="D524" s="1" t="n">
        <v>11171</v>
      </c>
      <c r="E524" s="1" t="s">
        <v>55</v>
      </c>
      <c r="F524" s="201" t="n">
        <v>200025889333</v>
      </c>
      <c r="G524" s="198" t="s">
        <v>652</v>
      </c>
      <c r="H524" s="163" t="s">
        <v>445</v>
      </c>
      <c r="I524" s="161" t="n">
        <v>50</v>
      </c>
      <c r="J524" s="156" t="s">
        <v>192</v>
      </c>
      <c r="K524" s="200" t="n">
        <v>45434.0263078704</v>
      </c>
      <c r="L524" s="3" t="n">
        <v>34</v>
      </c>
      <c r="M524" s="3" t="n">
        <v>34</v>
      </c>
      <c r="N524" s="1" t="n">
        <v>36</v>
      </c>
      <c r="O524" s="1" t="n">
        <v>1</v>
      </c>
    </row>
    <row r="525" customFormat="false" ht="14.25" hidden="false" customHeight="false" outlineLevel="0" collapsed="false">
      <c r="A525" s="1" t="n">
        <v>79</v>
      </c>
      <c r="B525" s="1" t="s">
        <v>621</v>
      </c>
      <c r="C525" s="1" t="s">
        <v>622</v>
      </c>
      <c r="D525" s="1" t="n">
        <v>11171</v>
      </c>
      <c r="E525" s="1" t="s">
        <v>55</v>
      </c>
      <c r="F525" s="201" t="n">
        <v>200025889333</v>
      </c>
      <c r="G525" s="198" t="s">
        <v>652</v>
      </c>
      <c r="H525" s="163" t="s">
        <v>445</v>
      </c>
      <c r="I525" s="161" t="n">
        <v>50</v>
      </c>
      <c r="J525" s="156" t="s">
        <v>192</v>
      </c>
      <c r="K525" s="200" t="n">
        <v>45434.0263194444</v>
      </c>
      <c r="L525" s="3" t="n">
        <v>34</v>
      </c>
      <c r="M525" s="3" t="n">
        <v>34</v>
      </c>
      <c r="N525" s="1" t="n">
        <v>37</v>
      </c>
      <c r="O525" s="1" t="n">
        <v>1</v>
      </c>
    </row>
    <row r="526" customFormat="false" ht="14.25" hidden="false" customHeight="false" outlineLevel="0" collapsed="false">
      <c r="A526" s="1" t="n">
        <v>80</v>
      </c>
      <c r="B526" s="1" t="s">
        <v>621</v>
      </c>
      <c r="C526" s="1" t="s">
        <v>622</v>
      </c>
      <c r="D526" s="1" t="n">
        <v>11171</v>
      </c>
      <c r="E526" s="1" t="s">
        <v>55</v>
      </c>
      <c r="F526" s="201" t="n">
        <v>200025889333</v>
      </c>
      <c r="G526" s="198" t="s">
        <v>652</v>
      </c>
      <c r="H526" s="163" t="s">
        <v>445</v>
      </c>
      <c r="I526" s="161" t="n">
        <v>50</v>
      </c>
      <c r="J526" s="156" t="s">
        <v>192</v>
      </c>
      <c r="K526" s="200" t="n">
        <v>45434.0263310185</v>
      </c>
      <c r="L526" s="3" t="n">
        <v>34</v>
      </c>
      <c r="M526" s="3" t="n">
        <v>34</v>
      </c>
      <c r="N526" s="1" t="n">
        <v>38</v>
      </c>
      <c r="O526" s="1" t="n">
        <v>0</v>
      </c>
    </row>
    <row r="527" customFormat="false" ht="14.25" hidden="false" customHeight="false" outlineLevel="0" collapsed="false">
      <c r="A527" s="1" t="n">
        <v>81</v>
      </c>
      <c r="B527" s="1" t="s">
        <v>621</v>
      </c>
      <c r="C527" s="1" t="s">
        <v>622</v>
      </c>
      <c r="D527" s="1" t="n">
        <v>11171</v>
      </c>
      <c r="E527" s="1" t="s">
        <v>55</v>
      </c>
      <c r="F527" s="201" t="n">
        <v>200025889333</v>
      </c>
      <c r="G527" s="198" t="s">
        <v>652</v>
      </c>
      <c r="H527" s="163" t="s">
        <v>445</v>
      </c>
      <c r="I527" s="161" t="n">
        <v>50</v>
      </c>
      <c r="J527" s="156" t="s">
        <v>192</v>
      </c>
      <c r="K527" s="200" t="n">
        <v>45434.0263425926</v>
      </c>
      <c r="L527" s="3" t="n">
        <v>34</v>
      </c>
      <c r="M527" s="3" t="n">
        <v>34</v>
      </c>
      <c r="N527" s="1" t="n">
        <v>39</v>
      </c>
      <c r="O527" s="1" t="n">
        <v>0</v>
      </c>
    </row>
    <row r="528" customFormat="false" ht="14.25" hidden="false" customHeight="false" outlineLevel="0" collapsed="false">
      <c r="A528" s="1" t="n">
        <v>82</v>
      </c>
      <c r="B528" s="1" t="s">
        <v>621</v>
      </c>
      <c r="C528" s="1" t="s">
        <v>622</v>
      </c>
      <c r="D528" s="1" t="n">
        <v>11171</v>
      </c>
      <c r="E528" s="1" t="s">
        <v>55</v>
      </c>
      <c r="F528" s="201" t="n">
        <v>200025889333</v>
      </c>
      <c r="G528" s="198" t="s">
        <v>652</v>
      </c>
      <c r="H528" s="163" t="s">
        <v>445</v>
      </c>
      <c r="I528" s="161" t="n">
        <v>50</v>
      </c>
      <c r="J528" s="156" t="s">
        <v>192</v>
      </c>
      <c r="K528" s="200" t="n">
        <v>45434.0272569444</v>
      </c>
      <c r="L528" s="3" t="n">
        <v>34</v>
      </c>
      <c r="M528" s="3" t="n">
        <v>34</v>
      </c>
      <c r="N528" s="1" t="n">
        <v>40</v>
      </c>
      <c r="O528" s="1" t="n">
        <v>2</v>
      </c>
    </row>
    <row r="529" customFormat="false" ht="14.25" hidden="false" customHeight="false" outlineLevel="0" collapsed="false">
      <c r="A529" s="1" t="n">
        <v>83</v>
      </c>
      <c r="B529" s="1" t="s">
        <v>621</v>
      </c>
      <c r="C529" s="1" t="s">
        <v>622</v>
      </c>
      <c r="D529" s="1" t="n">
        <v>11171</v>
      </c>
      <c r="E529" s="1" t="s">
        <v>55</v>
      </c>
      <c r="F529" s="201" t="n">
        <v>200025889333</v>
      </c>
      <c r="G529" s="198" t="s">
        <v>652</v>
      </c>
      <c r="H529" s="163" t="s">
        <v>445</v>
      </c>
      <c r="I529" s="161" t="n">
        <v>50</v>
      </c>
      <c r="J529" s="156" t="s">
        <v>192</v>
      </c>
      <c r="K529" s="200" t="n">
        <v>45434.027349537</v>
      </c>
      <c r="L529" s="3" t="n">
        <v>34</v>
      </c>
      <c r="M529" s="3" t="n">
        <v>34</v>
      </c>
      <c r="N529" s="1" t="n">
        <v>41</v>
      </c>
      <c r="O529" s="1" t="n">
        <v>1</v>
      </c>
    </row>
    <row r="530" customFormat="false" ht="14.25" hidden="false" customHeight="false" outlineLevel="0" collapsed="false">
      <c r="A530" s="1" t="n">
        <v>84</v>
      </c>
      <c r="B530" s="1" t="s">
        <v>621</v>
      </c>
      <c r="C530" s="1" t="s">
        <v>622</v>
      </c>
      <c r="D530" s="1" t="n">
        <v>11171</v>
      </c>
      <c r="E530" s="1" t="s">
        <v>55</v>
      </c>
      <c r="F530" s="201" t="n">
        <v>200025889333</v>
      </c>
      <c r="G530" s="198" t="s">
        <v>652</v>
      </c>
      <c r="H530" s="163" t="s">
        <v>445</v>
      </c>
      <c r="I530" s="161" t="n">
        <v>50</v>
      </c>
      <c r="J530" s="156" t="s">
        <v>192</v>
      </c>
      <c r="K530" s="200" t="n">
        <v>45434.0461226852</v>
      </c>
      <c r="L530" s="3" t="n">
        <v>34</v>
      </c>
      <c r="M530" s="3" t="n">
        <v>34</v>
      </c>
      <c r="N530" s="1" t="n">
        <v>42</v>
      </c>
      <c r="O530" s="1" t="n">
        <v>1</v>
      </c>
    </row>
    <row r="531" customFormat="false" ht="14.25" hidden="false" customHeight="false" outlineLevel="0" collapsed="false">
      <c r="A531" s="1" t="n">
        <v>85</v>
      </c>
      <c r="B531" s="1" t="s">
        <v>621</v>
      </c>
      <c r="C531" s="1" t="s">
        <v>622</v>
      </c>
      <c r="D531" s="1" t="n">
        <v>11171</v>
      </c>
      <c r="E531" s="1" t="s">
        <v>55</v>
      </c>
      <c r="F531" s="201" t="n">
        <v>200025889333</v>
      </c>
      <c r="G531" s="198" t="s">
        <v>652</v>
      </c>
      <c r="H531" s="163" t="s">
        <v>445</v>
      </c>
      <c r="I531" s="161" t="n">
        <v>50</v>
      </c>
      <c r="J531" s="156" t="s">
        <v>192</v>
      </c>
      <c r="K531" s="200" t="n">
        <v>45434.1139351852</v>
      </c>
      <c r="L531" s="3" t="n">
        <v>34</v>
      </c>
      <c r="M531" s="3" t="n">
        <v>34</v>
      </c>
      <c r="N531" s="1" t="n">
        <v>43</v>
      </c>
      <c r="O531" s="1" t="n">
        <v>1</v>
      </c>
    </row>
    <row r="532" customFormat="false" ht="14.25" hidden="false" customHeight="false" outlineLevel="0" collapsed="false">
      <c r="A532" s="1" t="n">
        <v>86</v>
      </c>
      <c r="B532" s="1" t="s">
        <v>621</v>
      </c>
      <c r="C532" s="1" t="s">
        <v>622</v>
      </c>
      <c r="D532" s="1" t="n">
        <v>11171</v>
      </c>
      <c r="E532" s="1" t="s">
        <v>55</v>
      </c>
      <c r="F532" s="201" t="n">
        <v>200025889333</v>
      </c>
      <c r="G532" s="198" t="s">
        <v>652</v>
      </c>
      <c r="H532" s="163" t="s">
        <v>445</v>
      </c>
      <c r="I532" s="161" t="n">
        <v>50</v>
      </c>
      <c r="J532" s="156" t="s">
        <v>192</v>
      </c>
      <c r="K532" s="200" t="n">
        <v>45434.1140625</v>
      </c>
      <c r="L532" s="3" t="n">
        <v>34</v>
      </c>
      <c r="M532" s="3" t="n">
        <v>34</v>
      </c>
      <c r="N532" s="1" t="n">
        <v>44</v>
      </c>
      <c r="O532" s="1" t="n">
        <v>2</v>
      </c>
    </row>
    <row r="533" customFormat="false" ht="14.25" hidden="false" customHeight="false" outlineLevel="0" collapsed="false">
      <c r="A533" s="1" t="n">
        <v>87</v>
      </c>
      <c r="B533" s="1" t="s">
        <v>621</v>
      </c>
      <c r="C533" s="1" t="s">
        <v>622</v>
      </c>
      <c r="D533" s="1" t="n">
        <v>11171</v>
      </c>
      <c r="E533" s="1" t="s">
        <v>55</v>
      </c>
      <c r="F533" s="201" t="n">
        <v>200025889333</v>
      </c>
      <c r="G533" s="198" t="s">
        <v>652</v>
      </c>
      <c r="H533" s="163" t="s">
        <v>445</v>
      </c>
      <c r="I533" s="161" t="n">
        <v>50</v>
      </c>
      <c r="J533" s="156" t="s">
        <v>192</v>
      </c>
      <c r="K533" s="200" t="n">
        <v>45434.1143634259</v>
      </c>
      <c r="L533" s="3" t="n">
        <v>34</v>
      </c>
      <c r="M533" s="3" t="n">
        <v>34</v>
      </c>
      <c r="N533" s="1" t="n">
        <v>45</v>
      </c>
      <c r="O533" s="1" t="n">
        <v>1</v>
      </c>
    </row>
    <row r="534" customFormat="false" ht="14.25" hidden="false" customHeight="false" outlineLevel="0" collapsed="false">
      <c r="A534" s="1" t="n">
        <v>88</v>
      </c>
      <c r="B534" s="1" t="s">
        <v>621</v>
      </c>
      <c r="C534" s="1" t="s">
        <v>622</v>
      </c>
      <c r="D534" s="1" t="n">
        <v>11171</v>
      </c>
      <c r="E534" s="1" t="s">
        <v>55</v>
      </c>
      <c r="F534" s="201" t="n">
        <v>200025889333</v>
      </c>
      <c r="G534" s="198" t="s">
        <v>652</v>
      </c>
      <c r="H534" s="163" t="s">
        <v>445</v>
      </c>
      <c r="I534" s="161" t="n">
        <v>50</v>
      </c>
      <c r="J534" s="156" t="s">
        <v>192</v>
      </c>
      <c r="K534" s="200" t="n">
        <v>45434.1178240741</v>
      </c>
      <c r="L534" s="3" t="n">
        <v>34</v>
      </c>
      <c r="M534" s="3" t="n">
        <v>34</v>
      </c>
      <c r="N534" s="1" t="n">
        <v>46</v>
      </c>
      <c r="O534" s="1" t="n">
        <v>3</v>
      </c>
    </row>
    <row r="535" customFormat="false" ht="14.25" hidden="false" customHeight="false" outlineLevel="0" collapsed="false">
      <c r="A535" s="1" t="n">
        <v>89</v>
      </c>
      <c r="B535" s="1" t="s">
        <v>621</v>
      </c>
      <c r="C535" s="1" t="s">
        <v>622</v>
      </c>
      <c r="D535" s="1" t="n">
        <v>11171</v>
      </c>
      <c r="E535" s="1" t="s">
        <v>55</v>
      </c>
      <c r="F535" s="201" t="n">
        <v>200025889333</v>
      </c>
      <c r="G535" s="198" t="s">
        <v>652</v>
      </c>
      <c r="H535" s="163" t="s">
        <v>445</v>
      </c>
      <c r="I535" s="161" t="n">
        <v>50</v>
      </c>
      <c r="J535" s="156" t="s">
        <v>192</v>
      </c>
      <c r="K535" s="200" t="n">
        <v>45434.117974537</v>
      </c>
      <c r="L535" s="3" t="n">
        <v>34</v>
      </c>
      <c r="M535" s="3" t="n">
        <v>34</v>
      </c>
      <c r="N535" s="1" t="n">
        <v>47</v>
      </c>
      <c r="O535" s="1" t="n">
        <v>3</v>
      </c>
    </row>
    <row r="536" customFormat="false" ht="14.25" hidden="false" customHeight="false" outlineLevel="0" collapsed="false">
      <c r="A536" s="1" t="n">
        <v>90</v>
      </c>
      <c r="B536" s="1" t="s">
        <v>621</v>
      </c>
      <c r="C536" s="1" t="s">
        <v>622</v>
      </c>
      <c r="D536" s="1" t="n">
        <v>11171</v>
      </c>
      <c r="E536" s="1" t="s">
        <v>55</v>
      </c>
      <c r="F536" s="201" t="n">
        <v>200025889333</v>
      </c>
      <c r="G536" s="198" t="s">
        <v>652</v>
      </c>
      <c r="H536" s="163" t="s">
        <v>445</v>
      </c>
      <c r="I536" s="161" t="n">
        <v>50</v>
      </c>
      <c r="J536" s="156" t="s">
        <v>192</v>
      </c>
      <c r="K536" s="200" t="n">
        <v>45434.1409490741</v>
      </c>
      <c r="L536" s="3" t="n">
        <v>34</v>
      </c>
      <c r="M536" s="3" t="n">
        <v>34</v>
      </c>
      <c r="N536" s="1" t="n">
        <v>48</v>
      </c>
      <c r="O536" s="1" t="n">
        <v>2</v>
      </c>
    </row>
    <row r="537" customFormat="false" ht="14.25" hidden="false" customHeight="false" outlineLevel="0" collapsed="false">
      <c r="A537" s="1" t="n">
        <v>91</v>
      </c>
      <c r="B537" s="1" t="s">
        <v>621</v>
      </c>
      <c r="C537" s="1" t="s">
        <v>622</v>
      </c>
      <c r="D537" s="1" t="n">
        <v>11171</v>
      </c>
      <c r="E537" s="1" t="s">
        <v>55</v>
      </c>
      <c r="F537" s="201" t="n">
        <v>200025889333</v>
      </c>
      <c r="G537" s="198" t="s">
        <v>652</v>
      </c>
      <c r="H537" s="163" t="s">
        <v>445</v>
      </c>
      <c r="I537" s="161" t="n">
        <v>50</v>
      </c>
      <c r="J537" s="156" t="s">
        <v>192</v>
      </c>
      <c r="K537" s="200" t="n">
        <v>45434.1434143519</v>
      </c>
      <c r="L537" s="3" t="n">
        <v>34</v>
      </c>
      <c r="M537" s="3" t="n">
        <v>34</v>
      </c>
      <c r="N537" s="1" t="n">
        <v>49</v>
      </c>
      <c r="O537" s="1" t="n">
        <v>3</v>
      </c>
    </row>
    <row r="538" customFormat="false" ht="14.25" hidden="false" customHeight="false" outlineLevel="0" collapsed="false">
      <c r="A538" s="1" t="n">
        <v>92</v>
      </c>
      <c r="B538" s="1" t="s">
        <v>621</v>
      </c>
      <c r="C538" s="1" t="s">
        <v>622</v>
      </c>
      <c r="D538" s="1" t="n">
        <v>11171</v>
      </c>
      <c r="E538" s="1" t="s">
        <v>55</v>
      </c>
      <c r="F538" s="201" t="n">
        <v>200025889333</v>
      </c>
      <c r="G538" s="198" t="s">
        <v>652</v>
      </c>
      <c r="H538" s="163" t="s">
        <v>445</v>
      </c>
      <c r="I538" s="161" t="n">
        <v>50</v>
      </c>
      <c r="J538" s="156" t="s">
        <v>192</v>
      </c>
      <c r="K538" s="200" t="n">
        <v>45434.1482175926</v>
      </c>
      <c r="L538" s="3" t="n">
        <v>34</v>
      </c>
      <c r="M538" s="3" t="n">
        <v>34</v>
      </c>
      <c r="N538" s="1" t="n">
        <v>50</v>
      </c>
      <c r="O538" s="1" t="n">
        <v>2</v>
      </c>
    </row>
    <row r="539" customFormat="false" ht="14.25" hidden="false" customHeight="false" outlineLevel="0" collapsed="false">
      <c r="A539" s="1" t="n">
        <v>93</v>
      </c>
      <c r="B539" s="1" t="s">
        <v>621</v>
      </c>
      <c r="C539" s="1" t="s">
        <v>622</v>
      </c>
      <c r="D539" s="1" t="n">
        <v>11171</v>
      </c>
      <c r="E539" s="1" t="s">
        <v>55</v>
      </c>
      <c r="F539" s="201" t="n">
        <v>200025889333</v>
      </c>
      <c r="G539" s="198" t="s">
        <v>652</v>
      </c>
      <c r="H539" s="163" t="s">
        <v>445</v>
      </c>
      <c r="I539" s="161" t="n">
        <v>50</v>
      </c>
      <c r="J539" s="156" t="s">
        <v>192</v>
      </c>
      <c r="K539" s="200" t="n">
        <v>45434.1484490741</v>
      </c>
      <c r="L539" s="3" t="n">
        <v>34</v>
      </c>
      <c r="M539" s="3" t="n">
        <v>34</v>
      </c>
      <c r="N539" s="1" t="n">
        <v>51</v>
      </c>
      <c r="O539" s="1" t="n">
        <v>2</v>
      </c>
    </row>
    <row r="540" customFormat="false" ht="14.25" hidden="false" customHeight="false" outlineLevel="0" collapsed="false">
      <c r="A540" s="1" t="n">
        <v>94</v>
      </c>
      <c r="B540" s="1" t="s">
        <v>621</v>
      </c>
      <c r="C540" s="1" t="s">
        <v>622</v>
      </c>
      <c r="D540" s="1" t="n">
        <v>11171</v>
      </c>
      <c r="E540" s="1" t="s">
        <v>55</v>
      </c>
      <c r="F540" s="201" t="n">
        <v>200025889333</v>
      </c>
      <c r="G540" s="198" t="s">
        <v>652</v>
      </c>
      <c r="H540" s="163" t="s">
        <v>445</v>
      </c>
      <c r="I540" s="161" t="n">
        <v>50</v>
      </c>
      <c r="J540" s="156" t="s">
        <v>192</v>
      </c>
      <c r="K540" s="200" t="n">
        <v>45434.1485763889</v>
      </c>
      <c r="L540" s="3" t="n">
        <v>34</v>
      </c>
      <c r="M540" s="3" t="n">
        <v>34</v>
      </c>
      <c r="N540" s="1" t="n">
        <v>52</v>
      </c>
      <c r="O540" s="1" t="n">
        <v>1</v>
      </c>
    </row>
    <row r="541" customFormat="false" ht="14.25" hidden="false" customHeight="false" outlineLevel="0" collapsed="false">
      <c r="A541" s="1" t="n">
        <v>95</v>
      </c>
      <c r="B541" s="1" t="s">
        <v>621</v>
      </c>
      <c r="C541" s="1" t="s">
        <v>622</v>
      </c>
      <c r="D541" s="1" t="n">
        <v>11171</v>
      </c>
      <c r="E541" s="1" t="s">
        <v>55</v>
      </c>
      <c r="F541" s="201" t="n">
        <v>200025889333</v>
      </c>
      <c r="G541" s="198" t="s">
        <v>652</v>
      </c>
      <c r="H541" s="163" t="s">
        <v>445</v>
      </c>
      <c r="I541" s="161" t="n">
        <v>50</v>
      </c>
      <c r="J541" s="156" t="s">
        <v>192</v>
      </c>
      <c r="K541" s="200" t="n">
        <v>45434.1500810185</v>
      </c>
      <c r="L541" s="3" t="n">
        <v>34</v>
      </c>
      <c r="M541" s="3" t="n">
        <v>34</v>
      </c>
      <c r="N541" s="1" t="n">
        <v>53</v>
      </c>
      <c r="O541" s="1" t="n">
        <v>2</v>
      </c>
    </row>
    <row r="542" customFormat="false" ht="14.25" hidden="false" customHeight="false" outlineLevel="0" collapsed="false">
      <c r="A542" s="1" t="n">
        <v>96</v>
      </c>
      <c r="B542" s="1" t="s">
        <v>621</v>
      </c>
      <c r="C542" s="1" t="s">
        <v>622</v>
      </c>
      <c r="D542" s="1" t="n">
        <v>11171</v>
      </c>
      <c r="E542" s="1" t="s">
        <v>55</v>
      </c>
      <c r="F542" s="201" t="n">
        <v>200025889333</v>
      </c>
      <c r="G542" s="198" t="s">
        <v>652</v>
      </c>
      <c r="H542" s="163" t="s">
        <v>445</v>
      </c>
      <c r="I542" s="161" t="n">
        <v>50</v>
      </c>
      <c r="J542" s="156" t="s">
        <v>192</v>
      </c>
      <c r="K542" s="200" t="n">
        <v>45434.151400463</v>
      </c>
      <c r="L542" s="3" t="n">
        <v>34</v>
      </c>
      <c r="M542" s="3" t="n">
        <v>34</v>
      </c>
      <c r="N542" s="1" t="n">
        <v>54</v>
      </c>
      <c r="O542" s="1" t="n">
        <v>2</v>
      </c>
    </row>
    <row r="543" customFormat="false" ht="14.25" hidden="false" customHeight="false" outlineLevel="0" collapsed="false">
      <c r="A543" s="1" t="n">
        <v>97</v>
      </c>
      <c r="B543" s="1" t="s">
        <v>621</v>
      </c>
      <c r="C543" s="1" t="s">
        <v>622</v>
      </c>
      <c r="D543" s="1" t="n">
        <v>11171</v>
      </c>
      <c r="E543" s="1" t="s">
        <v>55</v>
      </c>
      <c r="F543" s="201" t="n">
        <v>200025889333</v>
      </c>
      <c r="G543" s="198" t="s">
        <v>652</v>
      </c>
      <c r="H543" s="163" t="s">
        <v>445</v>
      </c>
      <c r="I543" s="161" t="n">
        <v>50</v>
      </c>
      <c r="J543" s="156" t="s">
        <v>192</v>
      </c>
      <c r="K543" s="200" t="n">
        <v>45434.1515625</v>
      </c>
      <c r="L543" s="3" t="n">
        <v>34</v>
      </c>
      <c r="M543" s="3" t="n">
        <v>34</v>
      </c>
      <c r="N543" s="1" t="n">
        <v>55</v>
      </c>
      <c r="O543" s="1" t="n">
        <v>1</v>
      </c>
    </row>
    <row r="544" customFormat="false" ht="14.25" hidden="false" customHeight="false" outlineLevel="0" collapsed="false">
      <c r="A544" s="1" t="n">
        <v>98</v>
      </c>
      <c r="B544" s="1" t="s">
        <v>621</v>
      </c>
      <c r="C544" s="1" t="s">
        <v>622</v>
      </c>
      <c r="D544" s="1" t="n">
        <v>11171</v>
      </c>
      <c r="E544" s="1" t="s">
        <v>55</v>
      </c>
      <c r="F544" s="201" t="n">
        <v>200025889333</v>
      </c>
      <c r="G544" s="198" t="s">
        <v>652</v>
      </c>
      <c r="H544" s="163" t="s">
        <v>445</v>
      </c>
      <c r="I544" s="161" t="n">
        <v>50</v>
      </c>
      <c r="J544" s="156" t="s">
        <v>192</v>
      </c>
      <c r="K544" s="200" t="n">
        <v>45434.1536342593</v>
      </c>
      <c r="L544" s="3" t="n">
        <v>34</v>
      </c>
      <c r="M544" s="3" t="n">
        <v>34</v>
      </c>
      <c r="N544" s="1" t="n">
        <v>56</v>
      </c>
      <c r="O544" s="1" t="n">
        <v>2</v>
      </c>
    </row>
    <row r="545" customFormat="false" ht="14.25" hidden="false" customHeight="false" outlineLevel="0" collapsed="false">
      <c r="A545" s="1" t="n">
        <v>99</v>
      </c>
      <c r="B545" s="1" t="s">
        <v>621</v>
      </c>
      <c r="C545" s="1" t="s">
        <v>622</v>
      </c>
      <c r="D545" s="1" t="n">
        <v>11171</v>
      </c>
      <c r="E545" s="1" t="s">
        <v>55</v>
      </c>
      <c r="F545" s="201" t="n">
        <v>200025889333</v>
      </c>
      <c r="G545" s="198" t="s">
        <v>652</v>
      </c>
      <c r="H545" s="163" t="s">
        <v>445</v>
      </c>
      <c r="I545" s="161" t="n">
        <v>50</v>
      </c>
      <c r="J545" s="156" t="s">
        <v>192</v>
      </c>
      <c r="K545" s="200" t="n">
        <v>45434.1550347222</v>
      </c>
      <c r="L545" s="3" t="n">
        <v>34</v>
      </c>
      <c r="M545" s="3" t="n">
        <v>34</v>
      </c>
      <c r="N545" s="1" t="n">
        <v>57</v>
      </c>
      <c r="O545" s="1" t="n">
        <v>0</v>
      </c>
    </row>
    <row r="546" customFormat="false" ht="14.25" hidden="false" customHeight="false" outlineLevel="0" collapsed="false">
      <c r="A546" s="1" t="n">
        <v>100</v>
      </c>
      <c r="B546" s="1" t="s">
        <v>621</v>
      </c>
      <c r="C546" s="1" t="s">
        <v>622</v>
      </c>
      <c r="D546" s="1" t="n">
        <v>11171</v>
      </c>
      <c r="E546" s="1" t="s">
        <v>55</v>
      </c>
      <c r="F546" s="201" t="n">
        <v>200025889333</v>
      </c>
      <c r="G546" s="198" t="s">
        <v>652</v>
      </c>
      <c r="H546" s="163" t="s">
        <v>445</v>
      </c>
      <c r="I546" s="161" t="n">
        <v>50</v>
      </c>
      <c r="J546" s="156" t="s">
        <v>192</v>
      </c>
      <c r="K546" s="200" t="n">
        <v>45434.1550347222</v>
      </c>
      <c r="L546" s="3" t="n">
        <v>34</v>
      </c>
      <c r="M546" s="3" t="n">
        <v>34</v>
      </c>
      <c r="N546" s="1" t="n">
        <v>58</v>
      </c>
      <c r="O546" s="1" t="n">
        <v>2</v>
      </c>
    </row>
    <row r="547" customFormat="false" ht="14.25" hidden="false" customHeight="false" outlineLevel="0" collapsed="false">
      <c r="A547" s="1" t="n">
        <v>101</v>
      </c>
      <c r="B547" s="1" t="s">
        <v>621</v>
      </c>
      <c r="C547" s="1" t="s">
        <v>622</v>
      </c>
      <c r="D547" s="1" t="n">
        <v>11171</v>
      </c>
      <c r="E547" s="1" t="s">
        <v>55</v>
      </c>
      <c r="F547" s="201" t="n">
        <v>200025889333</v>
      </c>
      <c r="G547" s="198" t="s">
        <v>652</v>
      </c>
      <c r="H547" s="163" t="s">
        <v>445</v>
      </c>
      <c r="I547" s="161" t="n">
        <v>50</v>
      </c>
      <c r="J547" s="156" t="s">
        <v>192</v>
      </c>
      <c r="K547" s="200" t="n">
        <v>45434.1550578704</v>
      </c>
      <c r="L547" s="3" t="n">
        <v>34</v>
      </c>
      <c r="M547" s="3" t="n">
        <v>34</v>
      </c>
      <c r="N547" s="1" t="n">
        <v>59</v>
      </c>
      <c r="O547" s="10" t="n">
        <v>255</v>
      </c>
    </row>
    <row r="548" customFormat="false" ht="14.25" hidden="false" customHeight="false" outlineLevel="0" collapsed="false">
      <c r="A548" s="1" t="n">
        <v>102</v>
      </c>
      <c r="B548" s="1" t="s">
        <v>621</v>
      </c>
      <c r="C548" s="1" t="s">
        <v>622</v>
      </c>
      <c r="D548" s="1" t="n">
        <v>11171</v>
      </c>
      <c r="E548" s="1" t="s">
        <v>55</v>
      </c>
      <c r="F548" s="201" t="n">
        <v>200025889333</v>
      </c>
      <c r="G548" s="198" t="s">
        <v>652</v>
      </c>
      <c r="H548" s="163" t="s">
        <v>445</v>
      </c>
      <c r="I548" s="161" t="n">
        <v>50</v>
      </c>
      <c r="J548" s="156" t="s">
        <v>192</v>
      </c>
      <c r="K548" s="200" t="n">
        <v>45434.2645833333</v>
      </c>
      <c r="L548" s="3" t="n">
        <v>34</v>
      </c>
      <c r="M548" s="3" t="n">
        <v>34</v>
      </c>
      <c r="N548" s="1" t="n">
        <v>60</v>
      </c>
      <c r="O548" s="1" t="n">
        <v>2</v>
      </c>
    </row>
    <row r="549" customFormat="false" ht="14.25" hidden="false" customHeight="false" outlineLevel="0" collapsed="false">
      <c r="A549" s="1" t="n">
        <v>103</v>
      </c>
      <c r="B549" s="1" t="s">
        <v>621</v>
      </c>
      <c r="C549" s="1" t="s">
        <v>622</v>
      </c>
      <c r="D549" s="1" t="n">
        <v>11171</v>
      </c>
      <c r="E549" s="1" t="s">
        <v>55</v>
      </c>
      <c r="F549" s="201" t="n">
        <v>200025889333</v>
      </c>
      <c r="G549" s="198" t="s">
        <v>652</v>
      </c>
      <c r="H549" s="163" t="s">
        <v>445</v>
      </c>
      <c r="I549" s="161" t="n">
        <v>50</v>
      </c>
      <c r="J549" s="156" t="s">
        <v>192</v>
      </c>
      <c r="K549" s="200" t="n">
        <v>45434.2649537037</v>
      </c>
      <c r="L549" s="3" t="n">
        <v>34</v>
      </c>
      <c r="M549" s="3" t="n">
        <v>34</v>
      </c>
      <c r="N549" s="1" t="n">
        <v>61</v>
      </c>
      <c r="O549" s="1" t="n">
        <v>0</v>
      </c>
    </row>
    <row r="550" customFormat="false" ht="14.25" hidden="false" customHeight="false" outlineLevel="0" collapsed="false">
      <c r="A550" s="1" t="n">
        <v>104</v>
      </c>
      <c r="B550" s="1" t="s">
        <v>621</v>
      </c>
      <c r="C550" s="1" t="s">
        <v>622</v>
      </c>
      <c r="D550" s="1" t="n">
        <v>11171</v>
      </c>
      <c r="E550" s="1" t="s">
        <v>55</v>
      </c>
      <c r="F550" s="201" t="n">
        <v>200025889333</v>
      </c>
      <c r="G550" s="198" t="s">
        <v>652</v>
      </c>
      <c r="H550" s="163" t="s">
        <v>445</v>
      </c>
      <c r="I550" s="161" t="n">
        <v>50</v>
      </c>
      <c r="J550" s="156" t="s">
        <v>192</v>
      </c>
      <c r="K550" s="200" t="n">
        <v>45434.2649652778</v>
      </c>
      <c r="L550" s="3" t="n">
        <v>34</v>
      </c>
      <c r="M550" s="3" t="n">
        <v>34</v>
      </c>
      <c r="N550" s="1" t="n">
        <v>62</v>
      </c>
      <c r="O550" s="1" t="n">
        <v>2</v>
      </c>
    </row>
    <row r="551" customFormat="false" ht="14.25" hidden="false" customHeight="false" outlineLevel="0" collapsed="false">
      <c r="A551" s="1" t="n">
        <v>105</v>
      </c>
      <c r="B551" s="1" t="s">
        <v>621</v>
      </c>
      <c r="C551" s="1" t="s">
        <v>622</v>
      </c>
      <c r="D551" s="1" t="n">
        <v>11171</v>
      </c>
      <c r="E551" s="1" t="s">
        <v>55</v>
      </c>
      <c r="F551" s="201" t="n">
        <v>200025889333</v>
      </c>
      <c r="G551" s="198" t="s">
        <v>652</v>
      </c>
      <c r="H551" s="163" t="s">
        <v>445</v>
      </c>
      <c r="I551" s="161" t="n">
        <v>50</v>
      </c>
      <c r="J551" s="156" t="s">
        <v>192</v>
      </c>
      <c r="K551" s="200" t="n">
        <v>45434.2649884259</v>
      </c>
      <c r="L551" s="3" t="n">
        <v>34</v>
      </c>
      <c r="M551" s="3" t="n">
        <v>34</v>
      </c>
      <c r="N551" s="1" t="n">
        <v>63</v>
      </c>
      <c r="O551" s="10" t="n">
        <v>233</v>
      </c>
    </row>
    <row r="552" customFormat="false" ht="14.25" hidden="false" customHeight="false" outlineLevel="0" collapsed="false">
      <c r="A552" s="1" t="n">
        <v>106</v>
      </c>
      <c r="B552" s="1" t="s">
        <v>621</v>
      </c>
      <c r="C552" s="1" t="s">
        <v>622</v>
      </c>
      <c r="D552" s="1" t="n">
        <v>11171</v>
      </c>
      <c r="E552" s="1" t="s">
        <v>55</v>
      </c>
      <c r="F552" s="201" t="n">
        <v>200025889333</v>
      </c>
      <c r="G552" s="198" t="s">
        <v>652</v>
      </c>
      <c r="H552" s="163" t="s">
        <v>445</v>
      </c>
      <c r="I552" s="161" t="n">
        <v>50</v>
      </c>
      <c r="J552" s="156" t="s">
        <v>192</v>
      </c>
      <c r="K552" s="200" t="n">
        <v>45434.2681134259</v>
      </c>
      <c r="L552" s="3" t="n">
        <v>34</v>
      </c>
      <c r="M552" s="3" t="n">
        <v>34</v>
      </c>
      <c r="N552" s="1" t="n">
        <v>64</v>
      </c>
      <c r="O552" s="1" t="n">
        <v>2</v>
      </c>
    </row>
    <row r="553" customFormat="false" ht="14.25" hidden="false" customHeight="false" outlineLevel="0" collapsed="false">
      <c r="A553" s="1" t="n">
        <v>107</v>
      </c>
      <c r="B553" s="1" t="s">
        <v>621</v>
      </c>
      <c r="C553" s="1" t="s">
        <v>622</v>
      </c>
      <c r="D553" s="1" t="n">
        <v>11171</v>
      </c>
      <c r="E553" s="1" t="s">
        <v>55</v>
      </c>
      <c r="F553" s="201" t="n">
        <v>200025889333</v>
      </c>
      <c r="G553" s="198" t="s">
        <v>652</v>
      </c>
      <c r="H553" s="163" t="s">
        <v>445</v>
      </c>
      <c r="I553" s="161" t="n">
        <v>50</v>
      </c>
      <c r="J553" s="156" t="s">
        <v>192</v>
      </c>
      <c r="K553" s="200" t="n">
        <v>45434.2691319444</v>
      </c>
      <c r="L553" s="3" t="n">
        <v>34</v>
      </c>
      <c r="M553" s="3" t="n">
        <v>34</v>
      </c>
      <c r="N553" s="1" t="n">
        <v>65</v>
      </c>
      <c r="O553" s="1" t="n">
        <v>0</v>
      </c>
    </row>
    <row r="554" customFormat="false" ht="14.25" hidden="false" customHeight="false" outlineLevel="0" collapsed="false">
      <c r="A554" s="1" t="n">
        <v>108</v>
      </c>
      <c r="B554" s="1" t="s">
        <v>621</v>
      </c>
      <c r="C554" s="1" t="s">
        <v>622</v>
      </c>
      <c r="D554" s="1" t="n">
        <v>11171</v>
      </c>
      <c r="E554" s="1" t="s">
        <v>55</v>
      </c>
      <c r="F554" s="201" t="n">
        <v>200025889333</v>
      </c>
      <c r="G554" s="198" t="s">
        <v>652</v>
      </c>
      <c r="H554" s="163" t="s">
        <v>445</v>
      </c>
      <c r="I554" s="161" t="n">
        <v>50</v>
      </c>
      <c r="J554" s="156" t="s">
        <v>192</v>
      </c>
      <c r="K554" s="200" t="n">
        <v>45434.2691435185</v>
      </c>
      <c r="L554" s="3" t="n">
        <v>34</v>
      </c>
      <c r="M554" s="3" t="n">
        <v>34</v>
      </c>
      <c r="N554" s="1" t="n">
        <v>66</v>
      </c>
      <c r="O554" s="1" t="n">
        <v>0</v>
      </c>
    </row>
    <row r="555" customFormat="false" ht="14.25" hidden="false" customHeight="false" outlineLevel="0" collapsed="false">
      <c r="A555" s="1" t="n">
        <v>109</v>
      </c>
      <c r="B555" s="1" t="s">
        <v>621</v>
      </c>
      <c r="C555" s="1" t="s">
        <v>622</v>
      </c>
      <c r="D555" s="1" t="n">
        <v>11171</v>
      </c>
      <c r="E555" s="1" t="s">
        <v>55</v>
      </c>
      <c r="F555" s="201" t="n">
        <v>200025889333</v>
      </c>
      <c r="G555" s="198" t="s">
        <v>652</v>
      </c>
      <c r="H555" s="163" t="s">
        <v>445</v>
      </c>
      <c r="I555" s="161" t="n">
        <v>50</v>
      </c>
      <c r="J555" s="156" t="s">
        <v>192</v>
      </c>
      <c r="K555" s="200" t="n">
        <v>45434.2703935185</v>
      </c>
      <c r="L555" s="3" t="n">
        <v>34</v>
      </c>
      <c r="M555" s="3" t="n">
        <v>34</v>
      </c>
      <c r="N555" s="1" t="n">
        <v>67</v>
      </c>
      <c r="O555" s="1" t="n">
        <v>0</v>
      </c>
    </row>
    <row r="556" customFormat="false" ht="14.25" hidden="false" customHeight="false" outlineLevel="0" collapsed="false">
      <c r="A556" s="1" t="n">
        <v>110</v>
      </c>
      <c r="B556" s="1" t="s">
        <v>621</v>
      </c>
      <c r="C556" s="1" t="s">
        <v>622</v>
      </c>
      <c r="D556" s="1" t="n">
        <v>11171</v>
      </c>
      <c r="E556" s="1" t="s">
        <v>55</v>
      </c>
      <c r="F556" s="201" t="n">
        <v>200025889333</v>
      </c>
      <c r="G556" s="198" t="s">
        <v>652</v>
      </c>
      <c r="H556" s="163" t="s">
        <v>445</v>
      </c>
      <c r="I556" s="161" t="n">
        <v>50</v>
      </c>
      <c r="J556" s="156" t="s">
        <v>192</v>
      </c>
      <c r="K556" s="200" t="n">
        <v>45434.2703935185</v>
      </c>
      <c r="L556" s="3" t="n">
        <v>34</v>
      </c>
      <c r="M556" s="3" t="n">
        <v>34</v>
      </c>
      <c r="N556" s="1" t="n">
        <v>68</v>
      </c>
      <c r="O556" s="1" t="n">
        <v>2</v>
      </c>
    </row>
    <row r="557" customFormat="false" ht="14.25" hidden="false" customHeight="false" outlineLevel="0" collapsed="false">
      <c r="A557" s="1" t="n">
        <v>48</v>
      </c>
      <c r="B557" s="1" t="s">
        <v>624</v>
      </c>
      <c r="C557" s="1" t="s">
        <v>625</v>
      </c>
      <c r="D557" s="1" t="n">
        <v>21261</v>
      </c>
      <c r="E557" s="1" t="s">
        <v>57</v>
      </c>
      <c r="F557" s="201" t="n">
        <v>200025889333</v>
      </c>
      <c r="G557" s="198" t="s">
        <v>652</v>
      </c>
      <c r="H557" s="163" t="s">
        <v>445</v>
      </c>
      <c r="I557" s="161" t="n">
        <v>50</v>
      </c>
      <c r="J557" s="156" t="s">
        <v>192</v>
      </c>
      <c r="K557" s="200" t="n">
        <v>45434.3275578704</v>
      </c>
      <c r="L557" s="3" t="n">
        <v>34</v>
      </c>
      <c r="M557" s="3" t="n">
        <v>34</v>
      </c>
      <c r="N557" s="1" t="n">
        <v>69</v>
      </c>
      <c r="O557" s="1" t="n">
        <v>1</v>
      </c>
    </row>
    <row r="558" customFormat="false" ht="14.25" hidden="false" customHeight="false" outlineLevel="0" collapsed="false">
      <c r="A558" s="1" t="n">
        <v>49</v>
      </c>
      <c r="B558" s="1" t="s">
        <v>624</v>
      </c>
      <c r="C558" s="1" t="s">
        <v>625</v>
      </c>
      <c r="D558" s="1" t="n">
        <v>21261</v>
      </c>
      <c r="E558" s="1" t="s">
        <v>57</v>
      </c>
      <c r="F558" s="201" t="n">
        <v>200025889333</v>
      </c>
      <c r="G558" s="198" t="s">
        <v>652</v>
      </c>
      <c r="H558" s="163" t="s">
        <v>445</v>
      </c>
      <c r="I558" s="161" t="n">
        <v>50</v>
      </c>
      <c r="J558" s="156" t="s">
        <v>192</v>
      </c>
      <c r="K558" s="200" t="n">
        <v>45434.3277777778</v>
      </c>
      <c r="L558" s="3" t="n">
        <v>34</v>
      </c>
      <c r="M558" s="3" t="n">
        <v>34</v>
      </c>
      <c r="N558" s="1" t="n">
        <v>70</v>
      </c>
      <c r="O558" s="1" t="n">
        <v>1</v>
      </c>
    </row>
    <row r="559" customFormat="false" ht="14.25" hidden="false" customHeight="false" outlineLevel="0" collapsed="false">
      <c r="A559" s="1" t="n">
        <v>50</v>
      </c>
      <c r="B559" s="1" t="s">
        <v>624</v>
      </c>
      <c r="C559" s="1" t="s">
        <v>625</v>
      </c>
      <c r="D559" s="1" t="n">
        <v>21261</v>
      </c>
      <c r="E559" s="1" t="s">
        <v>57</v>
      </c>
      <c r="F559" s="201" t="n">
        <v>200025889333</v>
      </c>
      <c r="G559" s="198" t="s">
        <v>652</v>
      </c>
      <c r="H559" s="163" t="s">
        <v>445</v>
      </c>
      <c r="I559" s="161" t="n">
        <v>50</v>
      </c>
      <c r="J559" s="156" t="s">
        <v>192</v>
      </c>
      <c r="K559" s="200" t="n">
        <v>45434.3278009259</v>
      </c>
      <c r="L559" s="3" t="n">
        <v>34</v>
      </c>
      <c r="M559" s="3" t="n">
        <v>34</v>
      </c>
      <c r="N559" s="1" t="n">
        <v>71</v>
      </c>
      <c r="O559" s="1" t="n">
        <v>0</v>
      </c>
    </row>
    <row r="560" customFormat="false" ht="14.25" hidden="false" customHeight="false" outlineLevel="0" collapsed="false">
      <c r="A560" s="1" t="n">
        <v>51</v>
      </c>
      <c r="B560" s="1" t="s">
        <v>624</v>
      </c>
      <c r="C560" s="1" t="s">
        <v>625</v>
      </c>
      <c r="D560" s="1" t="n">
        <v>21261</v>
      </c>
      <c r="E560" s="1" t="s">
        <v>57</v>
      </c>
      <c r="F560" s="201" t="n">
        <v>200025889333</v>
      </c>
      <c r="G560" s="198" t="s">
        <v>652</v>
      </c>
      <c r="H560" s="163" t="s">
        <v>445</v>
      </c>
      <c r="I560" s="161" t="n">
        <v>50</v>
      </c>
      <c r="J560" s="156" t="s">
        <v>192</v>
      </c>
      <c r="K560" s="200" t="n">
        <v>45434.3285300926</v>
      </c>
      <c r="L560" s="3" t="n">
        <v>34</v>
      </c>
      <c r="M560" s="3" t="n">
        <v>34</v>
      </c>
      <c r="N560" s="1" t="n">
        <v>72</v>
      </c>
      <c r="O560" s="1" t="n">
        <v>1</v>
      </c>
    </row>
    <row r="561" customFormat="false" ht="14.25" hidden="false" customHeight="false" outlineLevel="0" collapsed="false">
      <c r="A561" s="1" t="n">
        <v>52</v>
      </c>
      <c r="B561" s="1" t="s">
        <v>624</v>
      </c>
      <c r="C561" s="1" t="s">
        <v>625</v>
      </c>
      <c r="D561" s="1" t="n">
        <v>21261</v>
      </c>
      <c r="E561" s="1" t="s">
        <v>57</v>
      </c>
      <c r="F561" s="201" t="n">
        <v>200025889333</v>
      </c>
      <c r="G561" s="198" t="s">
        <v>652</v>
      </c>
      <c r="H561" s="163" t="s">
        <v>445</v>
      </c>
      <c r="I561" s="161" t="n">
        <v>50</v>
      </c>
      <c r="J561" s="156" t="s">
        <v>192</v>
      </c>
      <c r="K561" s="200" t="n">
        <v>45434.3286574074</v>
      </c>
      <c r="L561" s="3" t="n">
        <v>34</v>
      </c>
      <c r="M561" s="3" t="n">
        <v>34</v>
      </c>
      <c r="N561" s="1" t="n">
        <v>73</v>
      </c>
      <c r="O561" s="1" t="n">
        <v>2</v>
      </c>
    </row>
    <row r="562" customFormat="false" ht="14.25" hidden="false" customHeight="false" outlineLevel="0" collapsed="false">
      <c r="A562" s="1" t="n">
        <v>53</v>
      </c>
      <c r="B562" s="1" t="s">
        <v>624</v>
      </c>
      <c r="C562" s="1" t="s">
        <v>625</v>
      </c>
      <c r="D562" s="1" t="n">
        <v>21261</v>
      </c>
      <c r="E562" s="1" t="s">
        <v>57</v>
      </c>
      <c r="F562" s="201" t="n">
        <v>200025889333</v>
      </c>
      <c r="G562" s="198" t="s">
        <v>652</v>
      </c>
      <c r="H562" s="163" t="s">
        <v>445</v>
      </c>
      <c r="I562" s="161" t="n">
        <v>50</v>
      </c>
      <c r="J562" s="156" t="s">
        <v>192</v>
      </c>
      <c r="K562" s="200" t="n">
        <v>45434.3290740741</v>
      </c>
      <c r="L562" s="3" t="n">
        <v>34</v>
      </c>
      <c r="M562" s="3" t="n">
        <v>34</v>
      </c>
      <c r="N562" s="1" t="n">
        <v>74</v>
      </c>
      <c r="O562" s="1" t="n">
        <v>1</v>
      </c>
    </row>
    <row r="563" customFormat="false" ht="14.25" hidden="false" customHeight="false" outlineLevel="0" collapsed="false">
      <c r="A563" s="1" t="n">
        <v>111</v>
      </c>
      <c r="B563" s="1" t="s">
        <v>621</v>
      </c>
      <c r="C563" s="1" t="s">
        <v>622</v>
      </c>
      <c r="D563" s="1" t="n">
        <v>11171</v>
      </c>
      <c r="E563" s="1" t="s">
        <v>55</v>
      </c>
      <c r="F563" s="201" t="n">
        <v>200025889333</v>
      </c>
      <c r="G563" s="198" t="s">
        <v>652</v>
      </c>
      <c r="H563" s="163" t="s">
        <v>445</v>
      </c>
      <c r="I563" s="161" t="n">
        <v>50</v>
      </c>
      <c r="J563" s="156" t="s">
        <v>192</v>
      </c>
      <c r="K563" s="200" t="n">
        <v>45434.3297916667</v>
      </c>
      <c r="L563" s="3" t="n">
        <v>34</v>
      </c>
      <c r="M563" s="3" t="n">
        <v>34</v>
      </c>
      <c r="N563" s="1" t="n">
        <v>75</v>
      </c>
      <c r="O563" s="1" t="n">
        <v>2</v>
      </c>
    </row>
    <row r="564" customFormat="false" ht="14.25" hidden="false" customHeight="false" outlineLevel="0" collapsed="false">
      <c r="A564" s="1" t="n">
        <v>27</v>
      </c>
      <c r="B564" s="1" t="s">
        <v>565</v>
      </c>
      <c r="C564" s="1" t="s">
        <v>566</v>
      </c>
      <c r="D564" s="196" t="n">
        <v>2644</v>
      </c>
      <c r="E564" s="196" t="s">
        <v>51</v>
      </c>
      <c r="F564" s="198" t="s">
        <v>651</v>
      </c>
      <c r="G564" s="198" t="s">
        <v>652</v>
      </c>
      <c r="H564" s="163" t="s">
        <v>445</v>
      </c>
      <c r="I564" s="161" t="n">
        <v>50</v>
      </c>
      <c r="J564" s="156" t="s">
        <v>192</v>
      </c>
      <c r="K564" s="199" t="n">
        <v>45434.4990393519</v>
      </c>
      <c r="L564" s="3" t="n">
        <v>34</v>
      </c>
      <c r="M564" s="3" t="n">
        <v>34</v>
      </c>
      <c r="N564" s="1" t="n">
        <v>76</v>
      </c>
      <c r="O564" s="1" t="n">
        <v>1</v>
      </c>
    </row>
    <row r="565" customFormat="false" ht="14.25" hidden="false" customHeight="false" outlineLevel="0" collapsed="false">
      <c r="A565" s="1" t="n">
        <v>28</v>
      </c>
      <c r="B565" s="1" t="s">
        <v>565</v>
      </c>
      <c r="C565" s="1" t="s">
        <v>566</v>
      </c>
      <c r="D565" s="196" t="n">
        <v>2644</v>
      </c>
      <c r="E565" s="196" t="s">
        <v>51</v>
      </c>
      <c r="F565" s="198" t="s">
        <v>651</v>
      </c>
      <c r="G565" s="198" t="s">
        <v>652</v>
      </c>
      <c r="H565" s="163" t="s">
        <v>445</v>
      </c>
      <c r="I565" s="161" t="n">
        <v>50</v>
      </c>
      <c r="J565" s="156" t="s">
        <v>192</v>
      </c>
      <c r="K565" s="199" t="n">
        <v>45434.5066087963</v>
      </c>
      <c r="L565" s="3" t="n">
        <v>34</v>
      </c>
      <c r="M565" s="3" t="n">
        <v>34</v>
      </c>
      <c r="N565" s="1" t="n">
        <v>77</v>
      </c>
      <c r="O565" s="1" t="n">
        <v>1</v>
      </c>
    </row>
    <row r="566" customFormat="false" ht="14.25" hidden="false" customHeight="false" outlineLevel="0" collapsed="false">
      <c r="A566" s="1" t="n">
        <v>31</v>
      </c>
      <c r="B566" s="1" t="s">
        <v>565</v>
      </c>
      <c r="C566" s="1" t="s">
        <v>566</v>
      </c>
      <c r="D566" s="196" t="n">
        <v>2644</v>
      </c>
      <c r="E566" s="196" t="s">
        <v>51</v>
      </c>
      <c r="F566" s="197" t="s">
        <v>651</v>
      </c>
      <c r="G566" s="198" t="s">
        <v>652</v>
      </c>
      <c r="H566" s="163" t="s">
        <v>445</v>
      </c>
      <c r="I566" s="161" t="n">
        <v>50</v>
      </c>
      <c r="J566" s="156" t="s">
        <v>192</v>
      </c>
      <c r="K566" s="199" t="n">
        <v>45434.5598726852</v>
      </c>
      <c r="L566" s="3" t="n">
        <v>34</v>
      </c>
      <c r="M566" s="3" t="n">
        <v>34</v>
      </c>
      <c r="N566" s="1" t="n">
        <v>78</v>
      </c>
      <c r="O566" s="1" t="n">
        <v>0</v>
      </c>
    </row>
    <row r="567" customFormat="false" ht="14.25" hidden="false" customHeight="false" outlineLevel="0" collapsed="false">
      <c r="A567" s="1" t="n">
        <v>15</v>
      </c>
      <c r="B567" s="1" t="s">
        <v>643</v>
      </c>
      <c r="C567" s="1" t="s">
        <v>644</v>
      </c>
      <c r="D567" s="1" t="n">
        <v>11197</v>
      </c>
      <c r="E567" s="1" t="s">
        <v>53</v>
      </c>
      <c r="F567" s="201" t="n">
        <v>200025889333</v>
      </c>
      <c r="G567" s="198" t="s">
        <v>652</v>
      </c>
      <c r="H567" s="163" t="s">
        <v>445</v>
      </c>
      <c r="I567" s="161" t="n">
        <v>50</v>
      </c>
      <c r="J567" s="156" t="s">
        <v>192</v>
      </c>
      <c r="K567" s="200" t="n">
        <v>45444.5920717593</v>
      </c>
      <c r="L567" s="3" t="n">
        <v>34</v>
      </c>
      <c r="M567" s="3" t="n">
        <v>34</v>
      </c>
      <c r="N567" s="1" t="n">
        <v>79</v>
      </c>
      <c r="O567" s="1" t="n">
        <v>0</v>
      </c>
    </row>
    <row r="568" customFormat="false" ht="14.25" hidden="false" customHeight="false" outlineLevel="0" collapsed="false">
      <c r="A568" s="1" t="n">
        <v>16</v>
      </c>
      <c r="B568" s="1" t="s">
        <v>643</v>
      </c>
      <c r="C568" s="1" t="s">
        <v>644</v>
      </c>
      <c r="D568" s="1" t="n">
        <v>11197</v>
      </c>
      <c r="E568" s="1" t="s">
        <v>53</v>
      </c>
      <c r="F568" s="201" t="n">
        <v>200025889333</v>
      </c>
      <c r="G568" s="198" t="s">
        <v>652</v>
      </c>
      <c r="H568" s="163" t="s">
        <v>445</v>
      </c>
      <c r="I568" s="161" t="n">
        <v>50</v>
      </c>
      <c r="J568" s="156" t="s">
        <v>192</v>
      </c>
      <c r="K568" s="200" t="n">
        <v>45444.5920833333</v>
      </c>
      <c r="L568" s="3" t="n">
        <v>34</v>
      </c>
      <c r="M568" s="3" t="n">
        <v>34</v>
      </c>
      <c r="N568" s="1" t="n">
        <v>80</v>
      </c>
      <c r="O568" s="1" t="n">
        <v>0</v>
      </c>
    </row>
    <row r="569" customFormat="false" ht="14.25" hidden="false" customHeight="false" outlineLevel="0" collapsed="false">
      <c r="A569" s="1" t="n">
        <v>17</v>
      </c>
      <c r="B569" s="1" t="s">
        <v>643</v>
      </c>
      <c r="C569" s="1" t="s">
        <v>644</v>
      </c>
      <c r="D569" s="1" t="n">
        <v>11197</v>
      </c>
      <c r="E569" s="1" t="s">
        <v>53</v>
      </c>
      <c r="F569" s="201" t="n">
        <v>200025889333</v>
      </c>
      <c r="G569" s="198" t="s">
        <v>652</v>
      </c>
      <c r="H569" s="163" t="s">
        <v>445</v>
      </c>
      <c r="I569" s="161" t="n">
        <v>50</v>
      </c>
      <c r="J569" s="156" t="s">
        <v>192</v>
      </c>
      <c r="K569" s="200" t="n">
        <v>45444.5921064815</v>
      </c>
      <c r="L569" s="3" t="n">
        <v>34</v>
      </c>
      <c r="M569" s="3" t="n">
        <v>34</v>
      </c>
      <c r="N569" s="1" t="n">
        <v>81</v>
      </c>
      <c r="O569" s="1" t="n">
        <v>0</v>
      </c>
    </row>
    <row r="570" customFormat="false" ht="14.25" hidden="false" customHeight="false" outlineLevel="0" collapsed="false">
      <c r="A570" s="1" t="n">
        <v>27</v>
      </c>
      <c r="B570" s="1" t="s">
        <v>621</v>
      </c>
      <c r="C570" s="1" t="s">
        <v>622</v>
      </c>
      <c r="D570" s="1" t="n">
        <v>11171</v>
      </c>
      <c r="E570" s="1" t="s">
        <v>55</v>
      </c>
      <c r="F570" s="201" t="n">
        <v>200025888828</v>
      </c>
      <c r="G570" s="198" t="s">
        <v>606</v>
      </c>
      <c r="H570" s="163" t="s">
        <v>456</v>
      </c>
      <c r="I570" s="161" t="n">
        <v>113</v>
      </c>
      <c r="J570" s="156" t="s">
        <v>192</v>
      </c>
      <c r="K570" s="200" t="n">
        <v>45433.6459143519</v>
      </c>
      <c r="L570" s="3" t="n">
        <v>35</v>
      </c>
      <c r="M570" s="3" t="n">
        <v>35</v>
      </c>
      <c r="N570" s="1" t="n">
        <v>1</v>
      </c>
      <c r="O570" s="1" t="n">
        <v>0</v>
      </c>
    </row>
    <row r="571" customFormat="false" ht="14.25" hidden="false" customHeight="false" outlineLevel="0" collapsed="false">
      <c r="A571" s="1" t="n">
        <v>123</v>
      </c>
      <c r="B571" s="1" t="s">
        <v>624</v>
      </c>
      <c r="C571" s="1" t="s">
        <v>625</v>
      </c>
      <c r="D571" s="1" t="n">
        <v>21261</v>
      </c>
      <c r="E571" s="1" t="s">
        <v>57</v>
      </c>
      <c r="F571" s="201" t="n">
        <v>200025888828</v>
      </c>
      <c r="G571" s="198" t="s">
        <v>606</v>
      </c>
      <c r="H571" s="163" t="s">
        <v>456</v>
      </c>
      <c r="I571" s="161" t="n">
        <v>113</v>
      </c>
      <c r="J571" s="156" t="s">
        <v>192</v>
      </c>
      <c r="K571" s="200" t="n">
        <v>45435.105625</v>
      </c>
      <c r="L571" s="3" t="n">
        <v>35</v>
      </c>
      <c r="M571" s="3" t="n">
        <v>35</v>
      </c>
      <c r="N571" s="1" t="n">
        <v>2</v>
      </c>
      <c r="O571" s="1" t="n">
        <v>3</v>
      </c>
    </row>
    <row r="572" customFormat="false" ht="14.25" hidden="false" customHeight="false" outlineLevel="0" collapsed="false">
      <c r="A572" s="1" t="n">
        <v>124</v>
      </c>
      <c r="B572" s="1" t="s">
        <v>624</v>
      </c>
      <c r="C572" s="1" t="s">
        <v>625</v>
      </c>
      <c r="D572" s="1" t="n">
        <v>21261</v>
      </c>
      <c r="E572" s="1" t="s">
        <v>57</v>
      </c>
      <c r="F572" s="201" t="n">
        <v>200025888828</v>
      </c>
      <c r="G572" s="198" t="s">
        <v>606</v>
      </c>
      <c r="H572" s="163" t="s">
        <v>456</v>
      </c>
      <c r="I572" s="161" t="n">
        <v>113</v>
      </c>
      <c r="J572" s="156" t="s">
        <v>192</v>
      </c>
      <c r="K572" s="200" t="n">
        <v>45435.1071643519</v>
      </c>
      <c r="L572" s="3" t="n">
        <v>35</v>
      </c>
      <c r="M572" s="3" t="n">
        <v>35</v>
      </c>
      <c r="N572" s="1" t="n">
        <v>3</v>
      </c>
      <c r="O572" s="1" t="n">
        <v>2</v>
      </c>
    </row>
    <row r="573" customFormat="false" ht="14.25" hidden="false" customHeight="false" outlineLevel="0" collapsed="false">
      <c r="A573" s="1" t="n">
        <v>125</v>
      </c>
      <c r="B573" s="1" t="s">
        <v>624</v>
      </c>
      <c r="C573" s="1" t="s">
        <v>625</v>
      </c>
      <c r="D573" s="1" t="n">
        <v>21261</v>
      </c>
      <c r="E573" s="1" t="s">
        <v>57</v>
      </c>
      <c r="F573" s="201" t="n">
        <v>200025888828</v>
      </c>
      <c r="G573" s="198" t="s">
        <v>606</v>
      </c>
      <c r="H573" s="163" t="s">
        <v>456</v>
      </c>
      <c r="I573" s="161" t="n">
        <v>113</v>
      </c>
      <c r="J573" s="156" t="s">
        <v>192</v>
      </c>
      <c r="K573" s="200" t="n">
        <v>45435.1074305556</v>
      </c>
      <c r="L573" s="3" t="n">
        <v>35</v>
      </c>
      <c r="M573" s="3" t="n">
        <v>35</v>
      </c>
      <c r="N573" s="1" t="n">
        <v>4</v>
      </c>
      <c r="O573" s="1" t="n">
        <v>2</v>
      </c>
    </row>
    <row r="574" customFormat="false" ht="14.25" hidden="false" customHeight="false" outlineLevel="0" collapsed="false">
      <c r="A574" s="1" t="n">
        <v>126</v>
      </c>
      <c r="B574" s="1" t="s">
        <v>624</v>
      </c>
      <c r="C574" s="1" t="s">
        <v>625</v>
      </c>
      <c r="D574" s="1" t="n">
        <v>21261</v>
      </c>
      <c r="E574" s="1" t="s">
        <v>57</v>
      </c>
      <c r="F574" s="201" t="n">
        <v>200025888828</v>
      </c>
      <c r="G574" s="198" t="s">
        <v>606</v>
      </c>
      <c r="H574" s="163" t="s">
        <v>456</v>
      </c>
      <c r="I574" s="161" t="n">
        <v>113</v>
      </c>
      <c r="J574" s="156" t="s">
        <v>192</v>
      </c>
      <c r="K574" s="200" t="n">
        <v>45435.1078009259</v>
      </c>
      <c r="L574" s="3" t="n">
        <v>35</v>
      </c>
      <c r="M574" s="3" t="n">
        <v>35</v>
      </c>
      <c r="N574" s="1" t="n">
        <v>5</v>
      </c>
      <c r="O574" s="1" t="n">
        <v>2</v>
      </c>
    </row>
    <row r="575" customFormat="false" ht="14.25" hidden="false" customHeight="false" outlineLevel="0" collapsed="false">
      <c r="A575" s="1" t="n">
        <v>122</v>
      </c>
      <c r="B575" s="1" t="s">
        <v>565</v>
      </c>
      <c r="C575" s="1" t="s">
        <v>566</v>
      </c>
      <c r="D575" s="196" t="n">
        <v>2568</v>
      </c>
      <c r="E575" s="196" t="s">
        <v>51</v>
      </c>
      <c r="F575" s="197" t="s">
        <v>605</v>
      </c>
      <c r="G575" s="198" t="s">
        <v>606</v>
      </c>
      <c r="H575" s="163" t="s">
        <v>456</v>
      </c>
      <c r="I575" s="161" t="n">
        <v>113</v>
      </c>
      <c r="J575" s="156" t="s">
        <v>192</v>
      </c>
      <c r="K575" s="199" t="n">
        <v>45435.8542939815</v>
      </c>
      <c r="L575" s="3" t="n">
        <v>35</v>
      </c>
      <c r="M575" s="3" t="n">
        <v>35</v>
      </c>
      <c r="N575" s="1" t="n">
        <v>6</v>
      </c>
      <c r="O575" s="1" t="n">
        <v>0</v>
      </c>
    </row>
    <row r="576" customFormat="false" ht="14.25" hidden="false" customHeight="false" outlineLevel="0" collapsed="false">
      <c r="A576" s="1" t="n">
        <v>123</v>
      </c>
      <c r="B576" s="1" t="s">
        <v>565</v>
      </c>
      <c r="C576" s="1" t="s">
        <v>566</v>
      </c>
      <c r="D576" s="196" t="n">
        <v>2568</v>
      </c>
      <c r="E576" s="196" t="s">
        <v>51</v>
      </c>
      <c r="F576" s="197" t="s">
        <v>605</v>
      </c>
      <c r="G576" s="198" t="s">
        <v>606</v>
      </c>
      <c r="H576" s="163" t="s">
        <v>456</v>
      </c>
      <c r="I576" s="161" t="n">
        <v>113</v>
      </c>
      <c r="J576" s="156" t="s">
        <v>192</v>
      </c>
      <c r="K576" s="199" t="n">
        <v>45435.8543171296</v>
      </c>
      <c r="L576" s="3" t="n">
        <v>35</v>
      </c>
      <c r="M576" s="3" t="n">
        <v>35</v>
      </c>
      <c r="N576" s="1" t="n">
        <v>7</v>
      </c>
      <c r="O576" s="1" t="n">
        <v>0</v>
      </c>
    </row>
    <row r="577" customFormat="false" ht="14.25" hidden="false" customHeight="false" outlineLevel="0" collapsed="false">
      <c r="A577" s="1" t="n">
        <v>51</v>
      </c>
      <c r="B577" s="1" t="s">
        <v>643</v>
      </c>
      <c r="C577" s="1" t="s">
        <v>644</v>
      </c>
      <c r="D577" s="1" t="n">
        <v>11171</v>
      </c>
      <c r="E577" s="1" t="s">
        <v>55</v>
      </c>
      <c r="F577" s="201" t="n">
        <v>200025888828</v>
      </c>
      <c r="G577" s="198" t="s">
        <v>606</v>
      </c>
      <c r="H577" s="163" t="s">
        <v>456</v>
      </c>
      <c r="I577" s="161" t="n">
        <v>113</v>
      </c>
      <c r="J577" s="156" t="s">
        <v>192</v>
      </c>
      <c r="K577" s="200" t="n">
        <v>45456.4601041667</v>
      </c>
      <c r="L577" s="3" t="n">
        <v>35</v>
      </c>
      <c r="M577" s="3" t="n">
        <v>35</v>
      </c>
      <c r="N577" s="1" t="n">
        <v>8</v>
      </c>
      <c r="O577" s="1" t="n">
        <v>0</v>
      </c>
    </row>
    <row r="578" customFormat="false" ht="14.25" hidden="false" customHeight="false" outlineLevel="0" collapsed="false">
      <c r="A578" s="1" t="n">
        <v>28</v>
      </c>
      <c r="B578" s="1" t="s">
        <v>621</v>
      </c>
      <c r="C578" s="1" t="s">
        <v>622</v>
      </c>
      <c r="D578" s="1" t="n">
        <v>11171</v>
      </c>
      <c r="E578" s="1" t="s">
        <v>55</v>
      </c>
      <c r="F578" s="201" t="n">
        <v>200025888864</v>
      </c>
      <c r="G578" s="198" t="s">
        <v>590</v>
      </c>
      <c r="H578" s="163" t="s">
        <v>474</v>
      </c>
      <c r="I578" s="161" t="n">
        <v>87</v>
      </c>
      <c r="J578" s="156" t="s">
        <v>192</v>
      </c>
      <c r="K578" s="200" t="n">
        <v>45433.6464814815</v>
      </c>
      <c r="L578" s="3" t="n">
        <v>36</v>
      </c>
      <c r="M578" s="3" t="n">
        <v>36</v>
      </c>
      <c r="N578" s="1" t="n">
        <v>1</v>
      </c>
      <c r="O578" s="1" t="n">
        <v>0</v>
      </c>
    </row>
    <row r="579" customFormat="false" ht="14.25" hidden="false" customHeight="false" outlineLevel="0" collapsed="false">
      <c r="A579" s="1" t="n">
        <v>29</v>
      </c>
      <c r="B579" s="1" t="s">
        <v>621</v>
      </c>
      <c r="C579" s="1" t="s">
        <v>622</v>
      </c>
      <c r="D579" s="1" t="n">
        <v>11171</v>
      </c>
      <c r="E579" s="1" t="s">
        <v>55</v>
      </c>
      <c r="F579" s="201" t="n">
        <v>200025888864</v>
      </c>
      <c r="G579" s="198" t="s">
        <v>590</v>
      </c>
      <c r="H579" s="163" t="s">
        <v>474</v>
      </c>
      <c r="I579" s="161" t="n">
        <v>87</v>
      </c>
      <c r="J579" s="156" t="s">
        <v>192</v>
      </c>
      <c r="K579" s="200" t="n">
        <v>45433.6464930556</v>
      </c>
      <c r="L579" s="3" t="n">
        <v>36</v>
      </c>
      <c r="M579" s="3" t="n">
        <v>36</v>
      </c>
      <c r="N579" s="1" t="n">
        <v>2</v>
      </c>
      <c r="O579" s="1" t="n">
        <v>0</v>
      </c>
    </row>
    <row r="580" customFormat="false" ht="14.25" hidden="false" customHeight="false" outlineLevel="0" collapsed="false">
      <c r="A580" s="1" t="n">
        <v>30</v>
      </c>
      <c r="B580" s="1" t="s">
        <v>621</v>
      </c>
      <c r="C580" s="1" t="s">
        <v>622</v>
      </c>
      <c r="D580" s="1" t="n">
        <v>11171</v>
      </c>
      <c r="E580" s="1" t="s">
        <v>55</v>
      </c>
      <c r="F580" s="201" t="n">
        <v>200025888864</v>
      </c>
      <c r="G580" s="198" t="s">
        <v>590</v>
      </c>
      <c r="H580" s="163" t="s">
        <v>474</v>
      </c>
      <c r="I580" s="161" t="n">
        <v>87</v>
      </c>
      <c r="J580" s="156" t="s">
        <v>192</v>
      </c>
      <c r="K580" s="200" t="n">
        <v>45433.6465046296</v>
      </c>
      <c r="L580" s="3" t="n">
        <v>36</v>
      </c>
      <c r="M580" s="3" t="n">
        <v>36</v>
      </c>
      <c r="N580" s="1" t="n">
        <v>3</v>
      </c>
      <c r="O580" s="1" t="n">
        <v>1</v>
      </c>
    </row>
    <row r="581" customFormat="false" ht="14.25" hidden="false" customHeight="false" outlineLevel="0" collapsed="false">
      <c r="A581" s="1" t="n">
        <v>31</v>
      </c>
      <c r="B581" s="1" t="s">
        <v>621</v>
      </c>
      <c r="C581" s="1" t="s">
        <v>622</v>
      </c>
      <c r="D581" s="1" t="n">
        <v>11171</v>
      </c>
      <c r="E581" s="1" t="s">
        <v>55</v>
      </c>
      <c r="F581" s="201" t="n">
        <v>200025888864</v>
      </c>
      <c r="G581" s="198" t="s">
        <v>590</v>
      </c>
      <c r="H581" s="163" t="s">
        <v>474</v>
      </c>
      <c r="I581" s="161" t="n">
        <v>87</v>
      </c>
      <c r="J581" s="156" t="s">
        <v>192</v>
      </c>
      <c r="K581" s="200" t="n">
        <v>45433.647650463</v>
      </c>
      <c r="L581" s="3" t="n">
        <v>36</v>
      </c>
      <c r="M581" s="3" t="n">
        <v>36</v>
      </c>
      <c r="N581" s="1" t="n">
        <v>4</v>
      </c>
      <c r="O581" s="1" t="n">
        <v>1</v>
      </c>
    </row>
    <row r="582" customFormat="false" ht="14.25" hidden="false" customHeight="false" outlineLevel="0" collapsed="false">
      <c r="A582" s="1" t="n">
        <v>22</v>
      </c>
      <c r="B582" s="1" t="s">
        <v>624</v>
      </c>
      <c r="C582" s="1" t="s">
        <v>625</v>
      </c>
      <c r="D582" s="1" t="n">
        <v>21261</v>
      </c>
      <c r="E582" s="1" t="s">
        <v>57</v>
      </c>
      <c r="F582" s="201" t="n">
        <v>200025888864</v>
      </c>
      <c r="G582" s="198" t="s">
        <v>590</v>
      </c>
      <c r="H582" s="163" t="s">
        <v>474</v>
      </c>
      <c r="I582" s="161" t="n">
        <v>87</v>
      </c>
      <c r="J582" s="156" t="s">
        <v>192</v>
      </c>
      <c r="K582" s="200" t="n">
        <v>45433.7299074074</v>
      </c>
      <c r="L582" s="3" t="n">
        <v>36</v>
      </c>
      <c r="M582" s="3" t="n">
        <v>36</v>
      </c>
      <c r="N582" s="1" t="n">
        <v>5</v>
      </c>
      <c r="O582" s="1" t="n">
        <v>28</v>
      </c>
    </row>
    <row r="583" customFormat="false" ht="14.25" hidden="false" customHeight="false" outlineLevel="0" collapsed="false">
      <c r="A583" s="1" t="n">
        <v>23</v>
      </c>
      <c r="B583" s="1" t="s">
        <v>624</v>
      </c>
      <c r="C583" s="1" t="s">
        <v>625</v>
      </c>
      <c r="D583" s="1" t="n">
        <v>21261</v>
      </c>
      <c r="E583" s="1" t="s">
        <v>57</v>
      </c>
      <c r="F583" s="201" t="n">
        <v>200025888864</v>
      </c>
      <c r="G583" s="198" t="s">
        <v>590</v>
      </c>
      <c r="H583" s="163" t="s">
        <v>474</v>
      </c>
      <c r="I583" s="161" t="n">
        <v>87</v>
      </c>
      <c r="J583" s="156" t="s">
        <v>192</v>
      </c>
      <c r="K583" s="200" t="n">
        <v>45433.7303935185</v>
      </c>
      <c r="L583" s="3" t="n">
        <v>36</v>
      </c>
      <c r="M583" s="3" t="n">
        <v>36</v>
      </c>
      <c r="N583" s="1" t="n">
        <v>6</v>
      </c>
      <c r="O583" s="1" t="n">
        <v>0</v>
      </c>
    </row>
    <row r="584" customFormat="false" ht="14.25" hidden="false" customHeight="false" outlineLevel="0" collapsed="false">
      <c r="A584" s="1" t="n">
        <v>24</v>
      </c>
      <c r="B584" s="1" t="s">
        <v>624</v>
      </c>
      <c r="C584" s="1" t="s">
        <v>625</v>
      </c>
      <c r="D584" s="1" t="n">
        <v>21261</v>
      </c>
      <c r="E584" s="1" t="s">
        <v>57</v>
      </c>
      <c r="F584" s="201" t="n">
        <v>200025888864</v>
      </c>
      <c r="G584" s="198" t="s">
        <v>590</v>
      </c>
      <c r="H584" s="163" t="s">
        <v>474</v>
      </c>
      <c r="I584" s="161" t="n">
        <v>87</v>
      </c>
      <c r="J584" s="156" t="s">
        <v>192</v>
      </c>
      <c r="K584" s="200" t="n">
        <v>45433.7304861111</v>
      </c>
      <c r="L584" s="3" t="n">
        <v>36</v>
      </c>
      <c r="M584" s="3" t="n">
        <v>36</v>
      </c>
      <c r="N584" s="1" t="n">
        <v>7</v>
      </c>
      <c r="O584" s="1" t="n">
        <v>1</v>
      </c>
    </row>
    <row r="585" customFormat="false" ht="14.25" hidden="false" customHeight="false" outlineLevel="0" collapsed="false">
      <c r="A585" s="1" t="n">
        <v>88</v>
      </c>
      <c r="B585" s="1" t="s">
        <v>565</v>
      </c>
      <c r="C585" s="1" t="s">
        <v>566</v>
      </c>
      <c r="D585" s="196" t="n">
        <v>2568</v>
      </c>
      <c r="E585" s="196" t="s">
        <v>51</v>
      </c>
      <c r="F585" s="197" t="s">
        <v>589</v>
      </c>
      <c r="G585" s="198" t="s">
        <v>590</v>
      </c>
      <c r="H585" s="163" t="s">
        <v>474</v>
      </c>
      <c r="I585" s="161" t="n">
        <v>87</v>
      </c>
      <c r="J585" s="156" t="s">
        <v>192</v>
      </c>
      <c r="K585" s="199" t="n">
        <v>45435.6465972222</v>
      </c>
      <c r="L585" s="3" t="n">
        <v>36</v>
      </c>
      <c r="M585" s="3" t="n">
        <v>36</v>
      </c>
      <c r="N585" s="1" t="n">
        <v>8</v>
      </c>
      <c r="O585" s="10" t="n">
        <v>734</v>
      </c>
    </row>
    <row r="586" customFormat="false" ht="14.25" hidden="false" customHeight="false" outlineLevel="0" collapsed="false">
      <c r="A586" s="1" t="n">
        <v>13</v>
      </c>
      <c r="B586" s="1" t="s">
        <v>637</v>
      </c>
      <c r="C586" s="1" t="s">
        <v>638</v>
      </c>
      <c r="D586" s="1" t="n">
        <v>21296</v>
      </c>
      <c r="E586" s="1" t="s">
        <v>57</v>
      </c>
      <c r="F586" s="198" t="n">
        <v>200025888864</v>
      </c>
      <c r="G586" s="198" t="s">
        <v>590</v>
      </c>
      <c r="H586" s="163" t="s">
        <v>474</v>
      </c>
      <c r="I586" s="161" t="n">
        <v>87</v>
      </c>
      <c r="J586" s="156" t="s">
        <v>192</v>
      </c>
      <c r="K586" s="200" t="n">
        <v>45450.7462731482</v>
      </c>
      <c r="L586" s="3" t="n">
        <v>36</v>
      </c>
      <c r="M586" s="3" t="n">
        <v>36</v>
      </c>
      <c r="N586" s="1" t="n">
        <v>9</v>
      </c>
      <c r="O586" s="10" t="n">
        <v>765</v>
      </c>
    </row>
    <row r="587" customFormat="false" ht="14.25" hidden="false" customHeight="false" outlineLevel="0" collapsed="false">
      <c r="A587" s="1" t="n">
        <v>31</v>
      </c>
      <c r="B587" s="1" t="s">
        <v>637</v>
      </c>
      <c r="C587" s="1" t="s">
        <v>638</v>
      </c>
      <c r="D587" s="1" t="n">
        <v>21296</v>
      </c>
      <c r="E587" s="1" t="s">
        <v>57</v>
      </c>
      <c r="F587" s="201" t="n">
        <v>200025888864</v>
      </c>
      <c r="G587" s="198" t="s">
        <v>590</v>
      </c>
      <c r="H587" s="163" t="s">
        <v>474</v>
      </c>
      <c r="I587" s="161" t="n">
        <v>87</v>
      </c>
      <c r="J587" s="156" t="s">
        <v>192</v>
      </c>
      <c r="K587" s="200" t="n">
        <v>45452.2444791667</v>
      </c>
      <c r="L587" s="3" t="n">
        <v>36</v>
      </c>
      <c r="M587" s="3" t="n">
        <v>36</v>
      </c>
      <c r="N587" s="1" t="n">
        <v>10</v>
      </c>
      <c r="O587" s="1" t="n">
        <v>0</v>
      </c>
    </row>
    <row r="588" customFormat="false" ht="14.25" hidden="false" customHeight="false" outlineLevel="0" collapsed="false">
      <c r="A588" s="1" t="n">
        <v>64</v>
      </c>
      <c r="B588" s="1" t="s">
        <v>565</v>
      </c>
      <c r="C588" s="1" t="s">
        <v>566</v>
      </c>
      <c r="D588" s="1" t="n">
        <v>11171</v>
      </c>
      <c r="E588" s="1" t="s">
        <v>55</v>
      </c>
      <c r="F588" s="198" t="n">
        <v>200025888864</v>
      </c>
      <c r="G588" s="198" t="s">
        <v>590</v>
      </c>
      <c r="H588" s="163" t="s">
        <v>474</v>
      </c>
      <c r="I588" s="161" t="n">
        <v>87</v>
      </c>
      <c r="J588" s="156" t="s">
        <v>192</v>
      </c>
      <c r="K588" s="199" t="n">
        <v>45452.378125</v>
      </c>
      <c r="L588" s="3" t="n">
        <v>36</v>
      </c>
      <c r="M588" s="3" t="n">
        <v>36</v>
      </c>
      <c r="N588" s="1" t="n">
        <v>11</v>
      </c>
      <c r="O588" s="1" t="n">
        <v>0</v>
      </c>
    </row>
    <row r="589" customFormat="false" ht="14.25" hidden="false" customHeight="false" outlineLevel="0" collapsed="false">
      <c r="A589" s="1" t="n">
        <v>65</v>
      </c>
      <c r="B589" s="1" t="s">
        <v>565</v>
      </c>
      <c r="C589" s="1" t="s">
        <v>566</v>
      </c>
      <c r="D589" s="1" t="n">
        <v>11171</v>
      </c>
      <c r="E589" s="1" t="s">
        <v>55</v>
      </c>
      <c r="F589" s="198" t="n">
        <v>200025888864</v>
      </c>
      <c r="G589" s="198" t="s">
        <v>590</v>
      </c>
      <c r="H589" s="163" t="s">
        <v>474</v>
      </c>
      <c r="I589" s="161" t="n">
        <v>87</v>
      </c>
      <c r="J589" s="156" t="s">
        <v>192</v>
      </c>
      <c r="K589" s="199" t="n">
        <v>45452.3781365741</v>
      </c>
      <c r="L589" s="3" t="n">
        <v>36</v>
      </c>
      <c r="M589" s="3" t="n">
        <v>36</v>
      </c>
      <c r="N589" s="1" t="n">
        <v>12</v>
      </c>
      <c r="O589" s="1" t="n">
        <v>0</v>
      </c>
    </row>
    <row r="590" customFormat="false" ht="14.25" hidden="false" customHeight="false" outlineLevel="0" collapsed="false">
      <c r="A590" s="1" t="n">
        <v>105</v>
      </c>
      <c r="B590" s="1" t="s">
        <v>702</v>
      </c>
      <c r="C590" s="1" t="s">
        <v>703</v>
      </c>
      <c r="D590" s="1" t="n">
        <v>11197</v>
      </c>
      <c r="E590" s="1" t="s">
        <v>53</v>
      </c>
      <c r="F590" s="201" t="n">
        <v>200025888864</v>
      </c>
      <c r="G590" s="198" t="s">
        <v>590</v>
      </c>
      <c r="H590" s="163" t="s">
        <v>474</v>
      </c>
      <c r="I590" s="161" t="n">
        <v>87</v>
      </c>
      <c r="J590" s="156" t="s">
        <v>192</v>
      </c>
      <c r="K590" s="200" t="n">
        <v>45452.3808101852</v>
      </c>
      <c r="L590" s="3" t="n">
        <v>36</v>
      </c>
      <c r="M590" s="3" t="n">
        <v>36</v>
      </c>
      <c r="N590" s="1" t="n">
        <v>13</v>
      </c>
      <c r="O590" s="1" t="n">
        <v>1</v>
      </c>
    </row>
    <row r="591" customFormat="false" ht="14.25" hidden="false" customHeight="false" outlineLevel="0" collapsed="false">
      <c r="A591" s="1" t="n">
        <v>72</v>
      </c>
      <c r="B591" s="1" t="s">
        <v>565</v>
      </c>
      <c r="C591" s="1" t="s">
        <v>566</v>
      </c>
      <c r="D591" s="1" t="n">
        <v>11171</v>
      </c>
      <c r="E591" s="1" t="s">
        <v>55</v>
      </c>
      <c r="F591" s="198" t="n">
        <v>200025888864</v>
      </c>
      <c r="G591" s="198" t="s">
        <v>590</v>
      </c>
      <c r="H591" s="163" t="s">
        <v>474</v>
      </c>
      <c r="I591" s="161" t="n">
        <v>87</v>
      </c>
      <c r="J591" s="156" t="s">
        <v>192</v>
      </c>
      <c r="K591" s="199" t="n">
        <v>45452.3881018519</v>
      </c>
      <c r="L591" s="3" t="n">
        <v>36</v>
      </c>
      <c r="M591" s="3" t="n">
        <v>36</v>
      </c>
      <c r="N591" s="1" t="n">
        <v>14</v>
      </c>
      <c r="O591" s="1" t="n">
        <v>2</v>
      </c>
    </row>
    <row r="592" customFormat="false" ht="14.25" hidden="false" customHeight="false" outlineLevel="0" collapsed="false">
      <c r="A592" s="1" t="n">
        <v>73</v>
      </c>
      <c r="B592" s="1" t="s">
        <v>565</v>
      </c>
      <c r="C592" s="1" t="s">
        <v>566</v>
      </c>
      <c r="D592" s="1" t="n">
        <v>11171</v>
      </c>
      <c r="E592" s="1" t="s">
        <v>55</v>
      </c>
      <c r="F592" s="198" t="n">
        <v>200025888864</v>
      </c>
      <c r="G592" s="198" t="s">
        <v>590</v>
      </c>
      <c r="H592" s="163" t="s">
        <v>474</v>
      </c>
      <c r="I592" s="161" t="n">
        <v>87</v>
      </c>
      <c r="J592" s="156" t="s">
        <v>192</v>
      </c>
      <c r="K592" s="199" t="n">
        <v>45452.4020486111</v>
      </c>
      <c r="L592" s="3" t="n">
        <v>36</v>
      </c>
      <c r="M592" s="3" t="n">
        <v>36</v>
      </c>
      <c r="N592" s="1" t="n">
        <v>15</v>
      </c>
      <c r="O592" s="1" t="n">
        <v>1</v>
      </c>
    </row>
    <row r="593" customFormat="false" ht="14.25" hidden="false" customHeight="false" outlineLevel="0" collapsed="false">
      <c r="A593" s="1" t="n">
        <v>74</v>
      </c>
      <c r="B593" s="1" t="s">
        <v>565</v>
      </c>
      <c r="C593" s="1" t="s">
        <v>566</v>
      </c>
      <c r="D593" s="1" t="n">
        <v>11171</v>
      </c>
      <c r="E593" s="1" t="s">
        <v>55</v>
      </c>
      <c r="F593" s="198" t="n">
        <v>200025888864</v>
      </c>
      <c r="G593" s="198" t="s">
        <v>590</v>
      </c>
      <c r="H593" s="163" t="s">
        <v>474</v>
      </c>
      <c r="I593" s="161" t="n">
        <v>87</v>
      </c>
      <c r="J593" s="156" t="s">
        <v>192</v>
      </c>
      <c r="K593" s="199" t="n">
        <v>45452.4020601852</v>
      </c>
      <c r="L593" s="3" t="n">
        <v>36</v>
      </c>
      <c r="M593" s="3" t="n">
        <v>36</v>
      </c>
      <c r="N593" s="1" t="n">
        <v>16</v>
      </c>
      <c r="O593" s="1" t="n">
        <v>1</v>
      </c>
    </row>
    <row r="594" customFormat="false" ht="14.25" hidden="false" customHeight="false" outlineLevel="0" collapsed="false">
      <c r="A594" s="1" t="n">
        <v>75</v>
      </c>
      <c r="B594" s="1" t="s">
        <v>565</v>
      </c>
      <c r="C594" s="1" t="s">
        <v>566</v>
      </c>
      <c r="D594" s="1" t="n">
        <v>11171</v>
      </c>
      <c r="E594" s="1" t="s">
        <v>55</v>
      </c>
      <c r="F594" s="198" t="n">
        <v>200025888864</v>
      </c>
      <c r="G594" s="198" t="s">
        <v>590</v>
      </c>
      <c r="H594" s="163" t="s">
        <v>474</v>
      </c>
      <c r="I594" s="161" t="n">
        <v>87</v>
      </c>
      <c r="J594" s="156" t="s">
        <v>192</v>
      </c>
      <c r="K594" s="199" t="n">
        <v>45452.4022916667</v>
      </c>
      <c r="L594" s="3" t="n">
        <v>36</v>
      </c>
      <c r="M594" s="3" t="n">
        <v>36</v>
      </c>
      <c r="N594" s="1" t="n">
        <v>17</v>
      </c>
      <c r="O594" s="1" t="n">
        <v>0</v>
      </c>
    </row>
    <row r="595" customFormat="false" ht="14.25" hidden="false" customHeight="false" outlineLevel="0" collapsed="false">
      <c r="A595" s="1" t="n">
        <v>76</v>
      </c>
      <c r="B595" s="1" t="s">
        <v>565</v>
      </c>
      <c r="C595" s="1" t="s">
        <v>566</v>
      </c>
      <c r="D595" s="1" t="n">
        <v>11171</v>
      </c>
      <c r="E595" s="1" t="s">
        <v>55</v>
      </c>
      <c r="F595" s="198" t="n">
        <v>200025888864</v>
      </c>
      <c r="G595" s="198" t="s">
        <v>590</v>
      </c>
      <c r="H595" s="163" t="s">
        <v>474</v>
      </c>
      <c r="I595" s="161" t="n">
        <v>87</v>
      </c>
      <c r="J595" s="156" t="s">
        <v>192</v>
      </c>
      <c r="K595" s="199" t="n">
        <v>45452.4023032407</v>
      </c>
      <c r="L595" s="3" t="n">
        <v>36</v>
      </c>
      <c r="M595" s="3" t="n">
        <v>36</v>
      </c>
      <c r="N595" s="1" t="n">
        <v>18</v>
      </c>
      <c r="O595" s="1" t="n">
        <v>0</v>
      </c>
    </row>
    <row r="596" customFormat="false" ht="14.25" hidden="false" customHeight="false" outlineLevel="0" collapsed="false">
      <c r="A596" s="1" t="n">
        <v>77</v>
      </c>
      <c r="B596" s="1" t="s">
        <v>565</v>
      </c>
      <c r="C596" s="1" t="s">
        <v>566</v>
      </c>
      <c r="D596" s="1" t="n">
        <v>11171</v>
      </c>
      <c r="E596" s="1" t="s">
        <v>55</v>
      </c>
      <c r="F596" s="198" t="n">
        <v>200025888864</v>
      </c>
      <c r="G596" s="198" t="s">
        <v>590</v>
      </c>
      <c r="H596" s="163" t="s">
        <v>474</v>
      </c>
      <c r="I596" s="161" t="n">
        <v>87</v>
      </c>
      <c r="J596" s="156" t="s">
        <v>192</v>
      </c>
      <c r="K596" s="199" t="n">
        <v>45452.4046412037</v>
      </c>
      <c r="L596" s="3" t="n">
        <v>36</v>
      </c>
      <c r="M596" s="3" t="n">
        <v>36</v>
      </c>
      <c r="N596" s="1" t="n">
        <v>19</v>
      </c>
      <c r="O596" s="1" t="n">
        <v>0</v>
      </c>
    </row>
    <row r="597" customFormat="false" ht="14.25" hidden="false" customHeight="false" outlineLevel="0" collapsed="false">
      <c r="A597" s="1" t="n">
        <v>78</v>
      </c>
      <c r="B597" s="1" t="s">
        <v>565</v>
      </c>
      <c r="C597" s="1" t="s">
        <v>566</v>
      </c>
      <c r="D597" s="1" t="n">
        <v>11171</v>
      </c>
      <c r="E597" s="1" t="s">
        <v>55</v>
      </c>
      <c r="F597" s="198" t="n">
        <v>200025888864</v>
      </c>
      <c r="G597" s="198" t="s">
        <v>590</v>
      </c>
      <c r="H597" s="163" t="s">
        <v>474</v>
      </c>
      <c r="I597" s="161" t="n">
        <v>87</v>
      </c>
      <c r="J597" s="156" t="s">
        <v>192</v>
      </c>
      <c r="K597" s="199" t="n">
        <v>45452.4056365741</v>
      </c>
      <c r="L597" s="3" t="n">
        <v>36</v>
      </c>
      <c r="M597" s="3" t="n">
        <v>36</v>
      </c>
      <c r="N597" s="1" t="n">
        <v>20</v>
      </c>
      <c r="O597" s="1" t="n">
        <v>0</v>
      </c>
    </row>
    <row r="598" customFormat="false" ht="14.25" hidden="false" customHeight="false" outlineLevel="0" collapsed="false">
      <c r="A598" s="1" t="n">
        <v>109</v>
      </c>
      <c r="B598" s="1" t="s">
        <v>702</v>
      </c>
      <c r="C598" s="1" t="s">
        <v>703</v>
      </c>
      <c r="D598" s="1" t="n">
        <v>11197</v>
      </c>
      <c r="E598" s="1" t="s">
        <v>53</v>
      </c>
      <c r="F598" s="201" t="n">
        <v>200025888864</v>
      </c>
      <c r="G598" s="198" t="s">
        <v>590</v>
      </c>
      <c r="H598" s="163" t="s">
        <v>474</v>
      </c>
      <c r="I598" s="161" t="n">
        <v>87</v>
      </c>
      <c r="J598" s="156" t="s">
        <v>192</v>
      </c>
      <c r="K598" s="200" t="n">
        <v>45452.4195023148</v>
      </c>
      <c r="L598" s="3" t="n">
        <v>36</v>
      </c>
      <c r="M598" s="3" t="n">
        <v>36</v>
      </c>
      <c r="N598" s="1" t="n">
        <v>21</v>
      </c>
      <c r="O598" s="1" t="n">
        <v>1</v>
      </c>
    </row>
    <row r="599" customFormat="false" ht="14.25" hidden="false" customHeight="false" outlineLevel="0" collapsed="false">
      <c r="A599" s="1" t="n">
        <v>110</v>
      </c>
      <c r="B599" s="1" t="s">
        <v>702</v>
      </c>
      <c r="C599" s="1" t="s">
        <v>703</v>
      </c>
      <c r="D599" s="1" t="n">
        <v>11197</v>
      </c>
      <c r="E599" s="1" t="s">
        <v>53</v>
      </c>
      <c r="F599" s="201" t="n">
        <v>200025888864</v>
      </c>
      <c r="G599" s="198" t="s">
        <v>590</v>
      </c>
      <c r="H599" s="163" t="s">
        <v>474</v>
      </c>
      <c r="I599" s="161" t="n">
        <v>87</v>
      </c>
      <c r="J599" s="156" t="s">
        <v>192</v>
      </c>
      <c r="K599" s="200" t="n">
        <v>45452.4195138889</v>
      </c>
      <c r="L599" s="3" t="n">
        <v>36</v>
      </c>
      <c r="M599" s="3" t="n">
        <v>36</v>
      </c>
      <c r="N599" s="1" t="n">
        <v>22</v>
      </c>
      <c r="O599" s="1" t="n">
        <v>13</v>
      </c>
    </row>
    <row r="600" customFormat="false" ht="14.25" hidden="false" customHeight="false" outlineLevel="0" collapsed="false">
      <c r="A600" s="1" t="n">
        <v>111</v>
      </c>
      <c r="B600" s="1" t="s">
        <v>702</v>
      </c>
      <c r="C600" s="1" t="s">
        <v>703</v>
      </c>
      <c r="D600" s="1" t="n">
        <v>11197</v>
      </c>
      <c r="E600" s="1" t="s">
        <v>53</v>
      </c>
      <c r="F600" s="201" t="n">
        <v>200025888864</v>
      </c>
      <c r="G600" s="198" t="s">
        <v>590</v>
      </c>
      <c r="H600" s="163" t="s">
        <v>474</v>
      </c>
      <c r="I600" s="161" t="n">
        <v>87</v>
      </c>
      <c r="J600" s="156" t="s">
        <v>192</v>
      </c>
      <c r="K600" s="200" t="n">
        <v>45452.4206018519</v>
      </c>
      <c r="L600" s="3" t="n">
        <v>36</v>
      </c>
      <c r="M600" s="3" t="n">
        <v>36</v>
      </c>
      <c r="N600" s="1" t="n">
        <v>23</v>
      </c>
      <c r="O600" s="1" t="n">
        <v>1</v>
      </c>
    </row>
    <row r="601" customFormat="false" ht="14.25" hidden="false" customHeight="false" outlineLevel="0" collapsed="false">
      <c r="A601" s="1" t="n">
        <v>112</v>
      </c>
      <c r="B601" s="1" t="s">
        <v>702</v>
      </c>
      <c r="C601" s="1" t="s">
        <v>703</v>
      </c>
      <c r="D601" s="1" t="n">
        <v>11197</v>
      </c>
      <c r="E601" s="1" t="s">
        <v>53</v>
      </c>
      <c r="F601" s="201" t="n">
        <v>200025888864</v>
      </c>
      <c r="G601" s="198" t="s">
        <v>590</v>
      </c>
      <c r="H601" s="163" t="s">
        <v>474</v>
      </c>
      <c r="I601" s="161" t="n">
        <v>87</v>
      </c>
      <c r="J601" s="156" t="s">
        <v>192</v>
      </c>
      <c r="K601" s="200" t="n">
        <v>45452.420775463</v>
      </c>
      <c r="L601" s="3" t="n">
        <v>36</v>
      </c>
      <c r="M601" s="3" t="n">
        <v>36</v>
      </c>
      <c r="N601" s="1" t="n">
        <v>24</v>
      </c>
      <c r="O601" s="1" t="n">
        <v>2</v>
      </c>
    </row>
    <row r="602" customFormat="false" ht="14.25" hidden="false" customHeight="false" outlineLevel="0" collapsed="false">
      <c r="A602" s="1" t="n">
        <v>80</v>
      </c>
      <c r="B602" s="1" t="s">
        <v>565</v>
      </c>
      <c r="C602" s="1" t="s">
        <v>566</v>
      </c>
      <c r="D602" s="1" t="n">
        <v>11171</v>
      </c>
      <c r="E602" s="1" t="s">
        <v>55</v>
      </c>
      <c r="F602" s="198" t="n">
        <v>200025888864</v>
      </c>
      <c r="G602" s="198" t="s">
        <v>590</v>
      </c>
      <c r="H602" s="163" t="s">
        <v>474</v>
      </c>
      <c r="I602" s="161" t="n">
        <v>87</v>
      </c>
      <c r="J602" s="156" t="s">
        <v>192</v>
      </c>
      <c r="K602" s="199" t="n">
        <v>45452.4393981482</v>
      </c>
      <c r="L602" s="3" t="n">
        <v>36</v>
      </c>
      <c r="M602" s="3" t="n">
        <v>36</v>
      </c>
      <c r="N602" s="1" t="n">
        <v>25</v>
      </c>
      <c r="O602" s="1" t="n">
        <v>1</v>
      </c>
    </row>
    <row r="603" customFormat="false" ht="14.25" hidden="false" customHeight="false" outlineLevel="0" collapsed="false">
      <c r="A603" s="1" t="n">
        <v>87</v>
      </c>
      <c r="B603" s="1" t="s">
        <v>565</v>
      </c>
      <c r="C603" s="1" t="s">
        <v>566</v>
      </c>
      <c r="D603" s="1" t="n">
        <v>11171</v>
      </c>
      <c r="E603" s="1" t="s">
        <v>55</v>
      </c>
      <c r="F603" s="198" t="n">
        <v>200025888864</v>
      </c>
      <c r="G603" s="198" t="s">
        <v>590</v>
      </c>
      <c r="H603" s="163" t="s">
        <v>474</v>
      </c>
      <c r="I603" s="161" t="n">
        <v>87</v>
      </c>
      <c r="J603" s="156" t="s">
        <v>192</v>
      </c>
      <c r="K603" s="199" t="n">
        <v>45452.4596643519</v>
      </c>
      <c r="L603" s="3" t="n">
        <v>36</v>
      </c>
      <c r="M603" s="3" t="n">
        <v>36</v>
      </c>
      <c r="N603" s="1" t="n">
        <v>26</v>
      </c>
      <c r="O603" s="1" t="n">
        <v>2</v>
      </c>
    </row>
    <row r="604" customFormat="false" ht="14.25" hidden="false" customHeight="false" outlineLevel="0" collapsed="false">
      <c r="A604" s="1" t="n">
        <v>88</v>
      </c>
      <c r="B604" s="1" t="s">
        <v>565</v>
      </c>
      <c r="C604" s="1" t="s">
        <v>566</v>
      </c>
      <c r="D604" s="1" t="n">
        <v>11171</v>
      </c>
      <c r="E604" s="1" t="s">
        <v>55</v>
      </c>
      <c r="F604" s="198" t="n">
        <v>200025888864</v>
      </c>
      <c r="G604" s="198" t="s">
        <v>590</v>
      </c>
      <c r="H604" s="163" t="s">
        <v>474</v>
      </c>
      <c r="I604" s="161" t="n">
        <v>87</v>
      </c>
      <c r="J604" s="156" t="s">
        <v>192</v>
      </c>
      <c r="K604" s="199" t="n">
        <v>45452.46</v>
      </c>
      <c r="L604" s="3" t="n">
        <v>36</v>
      </c>
      <c r="M604" s="3" t="n">
        <v>36</v>
      </c>
      <c r="N604" s="1" t="n">
        <v>27</v>
      </c>
      <c r="O604" s="1" t="n">
        <v>1</v>
      </c>
    </row>
    <row r="605" customFormat="false" ht="14.25" hidden="false" customHeight="false" outlineLevel="0" collapsed="false">
      <c r="A605" s="1" t="n">
        <v>91</v>
      </c>
      <c r="B605" s="1" t="s">
        <v>565</v>
      </c>
      <c r="C605" s="1" t="s">
        <v>566</v>
      </c>
      <c r="D605" s="1" t="n">
        <v>11171</v>
      </c>
      <c r="E605" s="1" t="s">
        <v>55</v>
      </c>
      <c r="F605" s="198" t="n">
        <v>200025888864</v>
      </c>
      <c r="G605" s="198" t="s">
        <v>590</v>
      </c>
      <c r="H605" s="163" t="s">
        <v>474</v>
      </c>
      <c r="I605" s="161" t="n">
        <v>87</v>
      </c>
      <c r="J605" s="156" t="s">
        <v>192</v>
      </c>
      <c r="K605" s="199" t="n">
        <v>45452.4656944444</v>
      </c>
      <c r="L605" s="3" t="n">
        <v>36</v>
      </c>
      <c r="M605" s="3" t="n">
        <v>36</v>
      </c>
      <c r="N605" s="1" t="n">
        <v>28</v>
      </c>
      <c r="O605" s="1" t="n">
        <v>2</v>
      </c>
    </row>
    <row r="606" customFormat="false" ht="14.25" hidden="false" customHeight="false" outlineLevel="0" collapsed="false">
      <c r="A606" s="1" t="n">
        <v>92</v>
      </c>
      <c r="B606" s="1" t="s">
        <v>565</v>
      </c>
      <c r="C606" s="1" t="s">
        <v>566</v>
      </c>
      <c r="D606" s="1" t="n">
        <v>11171</v>
      </c>
      <c r="E606" s="1" t="s">
        <v>55</v>
      </c>
      <c r="F606" s="198" t="n">
        <v>200025888864</v>
      </c>
      <c r="G606" s="198" t="s">
        <v>590</v>
      </c>
      <c r="H606" s="163" t="s">
        <v>474</v>
      </c>
      <c r="I606" s="161" t="n">
        <v>87</v>
      </c>
      <c r="J606" s="156" t="s">
        <v>192</v>
      </c>
      <c r="K606" s="199" t="n">
        <v>45452.4658333333</v>
      </c>
      <c r="L606" s="3" t="n">
        <v>36</v>
      </c>
      <c r="M606" s="3" t="n">
        <v>36</v>
      </c>
      <c r="N606" s="1" t="n">
        <v>29</v>
      </c>
      <c r="O606" s="1" t="n">
        <v>1</v>
      </c>
    </row>
    <row r="607" customFormat="false" ht="14.25" hidden="false" customHeight="false" outlineLevel="0" collapsed="false">
      <c r="A607" s="1" t="n">
        <v>93</v>
      </c>
      <c r="B607" s="1" t="s">
        <v>565</v>
      </c>
      <c r="C607" s="1" t="s">
        <v>566</v>
      </c>
      <c r="D607" s="1" t="n">
        <v>11171</v>
      </c>
      <c r="E607" s="1" t="s">
        <v>55</v>
      </c>
      <c r="F607" s="198" t="n">
        <v>200025888864</v>
      </c>
      <c r="G607" s="198" t="s">
        <v>590</v>
      </c>
      <c r="H607" s="163" t="s">
        <v>474</v>
      </c>
      <c r="I607" s="161" t="n">
        <v>87</v>
      </c>
      <c r="J607" s="156" t="s">
        <v>192</v>
      </c>
      <c r="K607" s="199" t="n">
        <v>45452.466099537</v>
      </c>
      <c r="L607" s="3" t="n">
        <v>36</v>
      </c>
      <c r="M607" s="3" t="n">
        <v>36</v>
      </c>
      <c r="N607" s="1" t="n">
        <v>30</v>
      </c>
      <c r="O607" s="1" t="n">
        <v>2</v>
      </c>
    </row>
    <row r="608" customFormat="false" ht="14.25" hidden="false" customHeight="false" outlineLevel="0" collapsed="false">
      <c r="A608" s="1" t="n">
        <v>117</v>
      </c>
      <c r="B608" s="1" t="s">
        <v>702</v>
      </c>
      <c r="C608" s="1" t="s">
        <v>703</v>
      </c>
      <c r="D608" s="1" t="n">
        <v>11197</v>
      </c>
      <c r="E608" s="1" t="s">
        <v>53</v>
      </c>
      <c r="F608" s="201" t="n">
        <v>200025888864</v>
      </c>
      <c r="G608" s="198" t="s">
        <v>590</v>
      </c>
      <c r="H608" s="163" t="s">
        <v>474</v>
      </c>
      <c r="I608" s="161" t="n">
        <v>87</v>
      </c>
      <c r="J608" s="156" t="s">
        <v>192</v>
      </c>
      <c r="K608" s="200" t="n">
        <v>45452.467974537</v>
      </c>
      <c r="L608" s="3" t="n">
        <v>36</v>
      </c>
      <c r="M608" s="3" t="n">
        <v>36</v>
      </c>
      <c r="N608" s="1" t="n">
        <v>31</v>
      </c>
      <c r="O608" s="1" t="n">
        <v>0</v>
      </c>
    </row>
    <row r="609" customFormat="false" ht="14.25" hidden="false" customHeight="false" outlineLevel="0" collapsed="false">
      <c r="A609" s="1" t="n">
        <v>118</v>
      </c>
      <c r="B609" s="1" t="s">
        <v>702</v>
      </c>
      <c r="C609" s="1" t="s">
        <v>703</v>
      </c>
      <c r="D609" s="1" t="n">
        <v>11197</v>
      </c>
      <c r="E609" s="1" t="s">
        <v>53</v>
      </c>
      <c r="F609" s="201" t="n">
        <v>200025888864</v>
      </c>
      <c r="G609" s="198" t="s">
        <v>590</v>
      </c>
      <c r="H609" s="163" t="s">
        <v>474</v>
      </c>
      <c r="I609" s="161" t="n">
        <v>87</v>
      </c>
      <c r="J609" s="156" t="s">
        <v>192</v>
      </c>
      <c r="K609" s="200" t="n">
        <v>45452.4682291667</v>
      </c>
      <c r="L609" s="3" t="n">
        <v>36</v>
      </c>
      <c r="M609" s="3" t="n">
        <v>36</v>
      </c>
      <c r="N609" s="1" t="n">
        <v>32</v>
      </c>
      <c r="O609" s="1" t="n">
        <v>1</v>
      </c>
    </row>
    <row r="610" customFormat="false" ht="14.25" hidden="false" customHeight="false" outlineLevel="0" collapsed="false">
      <c r="A610" s="1" t="n">
        <v>119</v>
      </c>
      <c r="B610" s="1" t="s">
        <v>702</v>
      </c>
      <c r="C610" s="1" t="s">
        <v>703</v>
      </c>
      <c r="D610" s="1" t="n">
        <v>11197</v>
      </c>
      <c r="E610" s="1" t="s">
        <v>53</v>
      </c>
      <c r="F610" s="201" t="n">
        <v>200025888864</v>
      </c>
      <c r="G610" s="198" t="s">
        <v>590</v>
      </c>
      <c r="H610" s="163" t="s">
        <v>474</v>
      </c>
      <c r="I610" s="161" t="n">
        <v>87</v>
      </c>
      <c r="J610" s="156" t="s">
        <v>192</v>
      </c>
      <c r="K610" s="200" t="n">
        <v>45452.4694328704</v>
      </c>
      <c r="L610" s="3" t="n">
        <v>36</v>
      </c>
      <c r="M610" s="3" t="n">
        <v>36</v>
      </c>
      <c r="N610" s="1" t="n">
        <v>33</v>
      </c>
      <c r="O610" s="1" t="n">
        <v>3</v>
      </c>
    </row>
    <row r="611" customFormat="false" ht="14.25" hidden="false" customHeight="false" outlineLevel="0" collapsed="false">
      <c r="A611" s="1" t="n">
        <v>96</v>
      </c>
      <c r="B611" s="1" t="s">
        <v>565</v>
      </c>
      <c r="C611" s="1" t="s">
        <v>566</v>
      </c>
      <c r="D611" s="1" t="n">
        <v>11171</v>
      </c>
      <c r="E611" s="1" t="s">
        <v>55</v>
      </c>
      <c r="F611" s="198" t="n">
        <v>200025888864</v>
      </c>
      <c r="G611" s="198" t="s">
        <v>590</v>
      </c>
      <c r="H611" s="163" t="s">
        <v>474</v>
      </c>
      <c r="I611" s="161" t="n">
        <v>87</v>
      </c>
      <c r="J611" s="156" t="s">
        <v>192</v>
      </c>
      <c r="K611" s="199" t="n">
        <v>45452.4863194445</v>
      </c>
      <c r="L611" s="3" t="n">
        <v>36</v>
      </c>
      <c r="M611" s="3" t="n">
        <v>36</v>
      </c>
      <c r="N611" s="1" t="n">
        <v>34</v>
      </c>
      <c r="O611" s="1" t="n">
        <v>1</v>
      </c>
    </row>
    <row r="612" customFormat="false" ht="14.25" hidden="false" customHeight="false" outlineLevel="0" collapsed="false">
      <c r="A612" s="1" t="n">
        <v>120</v>
      </c>
      <c r="B612" s="1" t="s">
        <v>702</v>
      </c>
      <c r="C612" s="1" t="s">
        <v>703</v>
      </c>
      <c r="D612" s="1" t="n">
        <v>11197</v>
      </c>
      <c r="E612" s="1" t="s">
        <v>53</v>
      </c>
      <c r="F612" s="201" t="n">
        <v>200025888864</v>
      </c>
      <c r="G612" s="198" t="s">
        <v>590</v>
      </c>
      <c r="H612" s="163" t="s">
        <v>474</v>
      </c>
      <c r="I612" s="161" t="n">
        <v>87</v>
      </c>
      <c r="J612" s="156" t="s">
        <v>192</v>
      </c>
      <c r="K612" s="200" t="n">
        <v>45452.4950578704</v>
      </c>
      <c r="L612" s="3" t="n">
        <v>36</v>
      </c>
      <c r="M612" s="3" t="n">
        <v>36</v>
      </c>
      <c r="N612" s="1" t="n">
        <v>35</v>
      </c>
      <c r="O612" s="1" t="n">
        <v>2</v>
      </c>
    </row>
    <row r="613" customFormat="false" ht="14.25" hidden="false" customHeight="false" outlineLevel="0" collapsed="false">
      <c r="A613" s="1" t="n">
        <v>104</v>
      </c>
      <c r="B613" s="1" t="s">
        <v>565</v>
      </c>
      <c r="C613" s="1" t="s">
        <v>566</v>
      </c>
      <c r="D613" s="1" t="n">
        <v>11171</v>
      </c>
      <c r="E613" s="1" t="s">
        <v>55</v>
      </c>
      <c r="F613" s="198" t="n">
        <v>200025888864</v>
      </c>
      <c r="G613" s="198" t="s">
        <v>590</v>
      </c>
      <c r="H613" s="163" t="s">
        <v>474</v>
      </c>
      <c r="I613" s="161" t="n">
        <v>87</v>
      </c>
      <c r="J613" s="156" t="s">
        <v>192</v>
      </c>
      <c r="K613" s="199" t="n">
        <v>45452.5008564815</v>
      </c>
      <c r="L613" s="3" t="n">
        <v>36</v>
      </c>
      <c r="M613" s="3" t="n">
        <v>36</v>
      </c>
      <c r="N613" s="1" t="n">
        <v>36</v>
      </c>
      <c r="O613" s="1" t="n">
        <v>1</v>
      </c>
    </row>
    <row r="614" customFormat="false" ht="14.25" hidden="false" customHeight="false" outlineLevel="0" collapsed="false">
      <c r="A614" s="1" t="n">
        <v>121</v>
      </c>
      <c r="B614" s="1" t="s">
        <v>702</v>
      </c>
      <c r="C614" s="1" t="s">
        <v>703</v>
      </c>
      <c r="D614" s="1" t="n">
        <v>11197</v>
      </c>
      <c r="E614" s="1" t="s">
        <v>53</v>
      </c>
      <c r="F614" s="201" t="n">
        <v>200025888864</v>
      </c>
      <c r="G614" s="198" t="s">
        <v>590</v>
      </c>
      <c r="H614" s="163" t="s">
        <v>474</v>
      </c>
      <c r="I614" s="161" t="n">
        <v>87</v>
      </c>
      <c r="J614" s="156" t="s">
        <v>192</v>
      </c>
      <c r="K614" s="200" t="n">
        <v>45452.5015856482</v>
      </c>
      <c r="L614" s="3" t="n">
        <v>36</v>
      </c>
      <c r="M614" s="3" t="n">
        <v>36</v>
      </c>
      <c r="N614" s="1" t="n">
        <v>37</v>
      </c>
      <c r="O614" s="1" t="n">
        <v>1</v>
      </c>
    </row>
    <row r="615" customFormat="false" ht="14.25" hidden="false" customHeight="false" outlineLevel="0" collapsed="false">
      <c r="A615" s="1" t="n">
        <v>122</v>
      </c>
      <c r="B615" s="1" t="s">
        <v>702</v>
      </c>
      <c r="C615" s="1" t="s">
        <v>703</v>
      </c>
      <c r="D615" s="1" t="n">
        <v>11197</v>
      </c>
      <c r="E615" s="1" t="s">
        <v>53</v>
      </c>
      <c r="F615" s="201" t="n">
        <v>200025888864</v>
      </c>
      <c r="G615" s="198" t="s">
        <v>590</v>
      </c>
      <c r="H615" s="163" t="s">
        <v>474</v>
      </c>
      <c r="I615" s="161" t="n">
        <v>87</v>
      </c>
      <c r="J615" s="156" t="s">
        <v>192</v>
      </c>
      <c r="K615" s="200" t="n">
        <v>45452.5028472222</v>
      </c>
      <c r="L615" s="3" t="n">
        <v>36</v>
      </c>
      <c r="M615" s="3" t="n">
        <v>36</v>
      </c>
      <c r="N615" s="1" t="n">
        <v>38</v>
      </c>
      <c r="O615" s="1" t="n">
        <v>2</v>
      </c>
    </row>
    <row r="616" customFormat="false" ht="14.25" hidden="false" customHeight="false" outlineLevel="0" collapsed="false">
      <c r="A616" s="1" t="n">
        <v>123</v>
      </c>
      <c r="B616" s="1" t="s">
        <v>702</v>
      </c>
      <c r="C616" s="1" t="s">
        <v>703</v>
      </c>
      <c r="D616" s="1" t="n">
        <v>11197</v>
      </c>
      <c r="E616" s="1" t="s">
        <v>53</v>
      </c>
      <c r="F616" s="201" t="n">
        <v>200025888864</v>
      </c>
      <c r="G616" s="198" t="s">
        <v>590</v>
      </c>
      <c r="H616" s="163" t="s">
        <v>474</v>
      </c>
      <c r="I616" s="161" t="n">
        <v>87</v>
      </c>
      <c r="J616" s="156" t="s">
        <v>192</v>
      </c>
      <c r="K616" s="200" t="n">
        <v>45452.5075115741</v>
      </c>
      <c r="L616" s="3" t="n">
        <v>36</v>
      </c>
      <c r="M616" s="3" t="n">
        <v>36</v>
      </c>
      <c r="N616" s="1" t="n">
        <v>39</v>
      </c>
      <c r="O616" s="1" t="n">
        <v>1</v>
      </c>
    </row>
    <row r="617" customFormat="false" ht="14.25" hidden="false" customHeight="false" outlineLevel="0" collapsed="false">
      <c r="A617" s="1" t="n">
        <v>119</v>
      </c>
      <c r="B617" s="1" t="s">
        <v>565</v>
      </c>
      <c r="C617" s="1" t="s">
        <v>566</v>
      </c>
      <c r="D617" s="1" t="n">
        <v>11171</v>
      </c>
      <c r="E617" s="1" t="s">
        <v>55</v>
      </c>
      <c r="F617" s="198" t="n">
        <v>200025888864</v>
      </c>
      <c r="G617" s="198" t="s">
        <v>590</v>
      </c>
      <c r="H617" s="163" t="s">
        <v>474</v>
      </c>
      <c r="I617" s="161" t="n">
        <v>87</v>
      </c>
      <c r="J617" s="156" t="s">
        <v>192</v>
      </c>
      <c r="K617" s="199" t="n">
        <v>45452.5655671296</v>
      </c>
      <c r="L617" s="3" t="n">
        <v>36</v>
      </c>
      <c r="M617" s="3" t="n">
        <v>36</v>
      </c>
      <c r="N617" s="1" t="n">
        <v>40</v>
      </c>
      <c r="O617" s="1" t="n">
        <v>2</v>
      </c>
    </row>
    <row r="618" customFormat="false" ht="14.25" hidden="false" customHeight="false" outlineLevel="0" collapsed="false">
      <c r="A618" s="1" t="n">
        <v>120</v>
      </c>
      <c r="B618" s="1" t="s">
        <v>565</v>
      </c>
      <c r="C618" s="1" t="s">
        <v>566</v>
      </c>
      <c r="D618" s="1" t="n">
        <v>11171</v>
      </c>
      <c r="E618" s="1" t="s">
        <v>55</v>
      </c>
      <c r="F618" s="198" t="n">
        <v>200025888864</v>
      </c>
      <c r="G618" s="198" t="s">
        <v>590</v>
      </c>
      <c r="H618" s="163" t="s">
        <v>474</v>
      </c>
      <c r="I618" s="161" t="n">
        <v>87</v>
      </c>
      <c r="J618" s="156" t="s">
        <v>192</v>
      </c>
      <c r="K618" s="199" t="n">
        <v>45452.5655902778</v>
      </c>
      <c r="L618" s="3" t="n">
        <v>36</v>
      </c>
      <c r="M618" s="3" t="n">
        <v>36</v>
      </c>
      <c r="N618" s="1" t="n">
        <v>41</v>
      </c>
      <c r="O618" s="1" t="n">
        <v>0</v>
      </c>
    </row>
    <row r="619" customFormat="false" ht="14.25" hidden="false" customHeight="false" outlineLevel="0" collapsed="false">
      <c r="A619" s="1" t="n">
        <v>121</v>
      </c>
      <c r="B619" s="1" t="s">
        <v>565</v>
      </c>
      <c r="C619" s="1" t="s">
        <v>566</v>
      </c>
      <c r="D619" s="1" t="n">
        <v>11171</v>
      </c>
      <c r="E619" s="1" t="s">
        <v>55</v>
      </c>
      <c r="F619" s="198" t="n">
        <v>200025888864</v>
      </c>
      <c r="G619" s="198" t="s">
        <v>590</v>
      </c>
      <c r="H619" s="163" t="s">
        <v>474</v>
      </c>
      <c r="I619" s="161" t="n">
        <v>87</v>
      </c>
      <c r="J619" s="156" t="s">
        <v>192</v>
      </c>
      <c r="K619" s="199" t="n">
        <v>45452.5655902778</v>
      </c>
      <c r="L619" s="3" t="n">
        <v>36</v>
      </c>
      <c r="M619" s="3" t="n">
        <v>36</v>
      </c>
      <c r="N619" s="1" t="n">
        <v>42</v>
      </c>
      <c r="O619" s="1" t="n">
        <v>1</v>
      </c>
    </row>
    <row r="620" customFormat="false" ht="14.25" hidden="false" customHeight="false" outlineLevel="0" collapsed="false">
      <c r="A620" s="1" t="n">
        <v>122</v>
      </c>
      <c r="B620" s="1" t="s">
        <v>565</v>
      </c>
      <c r="C620" s="1" t="s">
        <v>566</v>
      </c>
      <c r="D620" s="1" t="n">
        <v>11171</v>
      </c>
      <c r="E620" s="1" t="s">
        <v>55</v>
      </c>
      <c r="F620" s="198" t="n">
        <v>200025888864</v>
      </c>
      <c r="G620" s="198" t="s">
        <v>590</v>
      </c>
      <c r="H620" s="163" t="s">
        <v>474</v>
      </c>
      <c r="I620" s="161" t="n">
        <v>87</v>
      </c>
      <c r="J620" s="156" t="s">
        <v>192</v>
      </c>
      <c r="K620" s="199" t="n">
        <v>45452.5659143519</v>
      </c>
      <c r="L620" s="3" t="n">
        <v>36</v>
      </c>
      <c r="M620" s="3" t="n">
        <v>36</v>
      </c>
      <c r="N620" s="1" t="n">
        <v>43</v>
      </c>
      <c r="O620" s="1" t="n">
        <v>1</v>
      </c>
    </row>
    <row r="621" customFormat="false" ht="14.25" hidden="false" customHeight="false" outlineLevel="0" collapsed="false">
      <c r="A621" s="1" t="n">
        <v>123</v>
      </c>
      <c r="B621" s="1" t="s">
        <v>565</v>
      </c>
      <c r="C621" s="1" t="s">
        <v>566</v>
      </c>
      <c r="D621" s="1" t="n">
        <v>11171</v>
      </c>
      <c r="E621" s="1" t="s">
        <v>55</v>
      </c>
      <c r="F621" s="198" t="n">
        <v>200025888864</v>
      </c>
      <c r="G621" s="198" t="s">
        <v>590</v>
      </c>
      <c r="H621" s="163" t="s">
        <v>474</v>
      </c>
      <c r="I621" s="161" t="n">
        <v>87</v>
      </c>
      <c r="J621" s="156" t="s">
        <v>192</v>
      </c>
      <c r="K621" s="199" t="n">
        <v>45452.5661226852</v>
      </c>
      <c r="L621" s="3" t="n">
        <v>36</v>
      </c>
      <c r="M621" s="3" t="n">
        <v>36</v>
      </c>
      <c r="N621" s="1" t="n">
        <v>44</v>
      </c>
      <c r="O621" s="1" t="n">
        <v>1</v>
      </c>
    </row>
    <row r="622" customFormat="false" ht="14.25" hidden="false" customHeight="false" outlineLevel="0" collapsed="false">
      <c r="A622" s="1" t="n">
        <v>144</v>
      </c>
      <c r="B622" s="1" t="s">
        <v>565</v>
      </c>
      <c r="C622" s="1" t="s">
        <v>566</v>
      </c>
      <c r="D622" s="1" t="n">
        <v>11171</v>
      </c>
      <c r="E622" s="1" t="s">
        <v>55</v>
      </c>
      <c r="F622" s="198" t="n">
        <v>200025888864</v>
      </c>
      <c r="G622" s="198" t="s">
        <v>590</v>
      </c>
      <c r="H622" s="163" t="s">
        <v>474</v>
      </c>
      <c r="I622" s="161" t="n">
        <v>87</v>
      </c>
      <c r="J622" s="156" t="s">
        <v>192</v>
      </c>
      <c r="K622" s="199" t="n">
        <v>45452.7388888889</v>
      </c>
      <c r="L622" s="3" t="n">
        <v>36</v>
      </c>
      <c r="M622" s="3" t="n">
        <v>36</v>
      </c>
      <c r="N622" s="1" t="n">
        <v>45</v>
      </c>
      <c r="O622" s="1" t="n">
        <v>1</v>
      </c>
    </row>
    <row r="623" customFormat="false" ht="14.25" hidden="false" customHeight="false" outlineLevel="0" collapsed="false">
      <c r="A623" s="1" t="n">
        <v>145</v>
      </c>
      <c r="B623" s="1" t="s">
        <v>565</v>
      </c>
      <c r="C623" s="1" t="s">
        <v>566</v>
      </c>
      <c r="D623" s="1" t="n">
        <v>11171</v>
      </c>
      <c r="E623" s="1" t="s">
        <v>55</v>
      </c>
      <c r="F623" s="198" t="n">
        <v>200025888864</v>
      </c>
      <c r="G623" s="198" t="s">
        <v>590</v>
      </c>
      <c r="H623" s="163" t="s">
        <v>474</v>
      </c>
      <c r="I623" s="161" t="n">
        <v>87</v>
      </c>
      <c r="J623" s="156" t="s">
        <v>192</v>
      </c>
      <c r="K623" s="199" t="n">
        <v>45452.7394212963</v>
      </c>
      <c r="L623" s="3" t="n">
        <v>36</v>
      </c>
      <c r="M623" s="3" t="n">
        <v>36</v>
      </c>
      <c r="N623" s="1" t="n">
        <v>46</v>
      </c>
      <c r="O623" s="1" t="n">
        <v>1</v>
      </c>
    </row>
    <row r="624" customFormat="false" ht="14.25" hidden="false" customHeight="false" outlineLevel="0" collapsed="false">
      <c r="A624" s="1" t="n">
        <v>146</v>
      </c>
      <c r="B624" s="1" t="s">
        <v>565</v>
      </c>
      <c r="C624" s="1" t="s">
        <v>566</v>
      </c>
      <c r="D624" s="1" t="n">
        <v>11171</v>
      </c>
      <c r="E624" s="1" t="s">
        <v>55</v>
      </c>
      <c r="F624" s="198" t="n">
        <v>200025888864</v>
      </c>
      <c r="G624" s="198" t="s">
        <v>590</v>
      </c>
      <c r="H624" s="163" t="s">
        <v>474</v>
      </c>
      <c r="I624" s="161" t="n">
        <v>87</v>
      </c>
      <c r="J624" s="156" t="s">
        <v>192</v>
      </c>
      <c r="K624" s="199" t="n">
        <v>45452.7394444444</v>
      </c>
      <c r="L624" s="3" t="n">
        <v>36</v>
      </c>
      <c r="M624" s="3" t="n">
        <v>36</v>
      </c>
      <c r="N624" s="1" t="n">
        <v>47</v>
      </c>
      <c r="O624" s="1" t="n">
        <v>14</v>
      </c>
    </row>
    <row r="625" customFormat="false" ht="14.25" hidden="false" customHeight="false" outlineLevel="0" collapsed="false">
      <c r="A625" s="1" t="n">
        <v>174</v>
      </c>
      <c r="B625" s="1" t="s">
        <v>702</v>
      </c>
      <c r="C625" s="1" t="s">
        <v>703</v>
      </c>
      <c r="D625" s="1" t="n">
        <v>11197</v>
      </c>
      <c r="E625" s="1" t="s">
        <v>53</v>
      </c>
      <c r="F625" s="201" t="n">
        <v>200025888864</v>
      </c>
      <c r="G625" s="198" t="s">
        <v>590</v>
      </c>
      <c r="H625" s="163" t="s">
        <v>474</v>
      </c>
      <c r="I625" s="161" t="n">
        <v>87</v>
      </c>
      <c r="J625" s="156" t="s">
        <v>192</v>
      </c>
      <c r="K625" s="200" t="n">
        <v>45452.7401273148</v>
      </c>
      <c r="L625" s="3" t="n">
        <v>36</v>
      </c>
      <c r="M625" s="3" t="n">
        <v>36</v>
      </c>
      <c r="N625" s="1" t="n">
        <v>48</v>
      </c>
      <c r="O625" s="1" t="n">
        <v>0</v>
      </c>
    </row>
    <row r="626" customFormat="false" ht="14.25" hidden="false" customHeight="false" outlineLevel="0" collapsed="false">
      <c r="A626" s="1" t="n">
        <v>21</v>
      </c>
      <c r="B626" s="1" t="s">
        <v>624</v>
      </c>
      <c r="C626" s="1" t="s">
        <v>625</v>
      </c>
      <c r="D626" s="1" t="n">
        <v>21261</v>
      </c>
      <c r="E626" s="1" t="s">
        <v>57</v>
      </c>
      <c r="F626" s="201" t="n">
        <v>200025888479</v>
      </c>
      <c r="G626" s="198" t="s">
        <v>640</v>
      </c>
      <c r="H626" s="163" t="s">
        <v>254</v>
      </c>
      <c r="I626" s="161" t="n">
        <v>9</v>
      </c>
      <c r="J626" s="156" t="s">
        <v>192</v>
      </c>
      <c r="K626" s="200" t="n">
        <v>45433.7053587963</v>
      </c>
      <c r="L626" s="3" t="n">
        <v>37</v>
      </c>
      <c r="M626" s="3" t="n">
        <v>37</v>
      </c>
      <c r="N626" s="1" t="n">
        <v>1</v>
      </c>
      <c r="O626" s="10" t="n">
        <v>2083</v>
      </c>
    </row>
    <row r="627" customFormat="false" ht="14.25" hidden="false" customHeight="false" outlineLevel="0" collapsed="false">
      <c r="A627" s="1" t="n">
        <v>77</v>
      </c>
      <c r="B627" s="1" t="s">
        <v>624</v>
      </c>
      <c r="C627" s="1" t="s">
        <v>625</v>
      </c>
      <c r="D627" s="1" t="n">
        <v>21261</v>
      </c>
      <c r="E627" s="1" t="s">
        <v>57</v>
      </c>
      <c r="F627" s="201" t="n">
        <v>200025888479</v>
      </c>
      <c r="G627" s="198" t="s">
        <v>640</v>
      </c>
      <c r="H627" s="163" t="s">
        <v>254</v>
      </c>
      <c r="I627" s="161" t="n">
        <v>9</v>
      </c>
      <c r="J627" s="156" t="s">
        <v>192</v>
      </c>
      <c r="K627" s="200" t="n">
        <v>45434.8983912037</v>
      </c>
      <c r="L627" s="3" t="n">
        <v>37</v>
      </c>
      <c r="M627" s="3" t="n">
        <v>37</v>
      </c>
      <c r="N627" s="1" t="n">
        <v>2</v>
      </c>
      <c r="O627" s="1" t="n">
        <v>3</v>
      </c>
    </row>
    <row r="628" customFormat="false" ht="14.25" hidden="false" customHeight="false" outlineLevel="0" collapsed="false">
      <c r="A628" s="1" t="n">
        <v>78</v>
      </c>
      <c r="B628" s="1" t="s">
        <v>624</v>
      </c>
      <c r="C628" s="1" t="s">
        <v>625</v>
      </c>
      <c r="D628" s="1" t="n">
        <v>21261</v>
      </c>
      <c r="E628" s="1" t="s">
        <v>57</v>
      </c>
      <c r="F628" s="201" t="n">
        <v>200025888479</v>
      </c>
      <c r="G628" s="198" t="s">
        <v>640</v>
      </c>
      <c r="H628" s="163" t="s">
        <v>254</v>
      </c>
      <c r="I628" s="161" t="n">
        <v>9</v>
      </c>
      <c r="J628" s="156" t="s">
        <v>192</v>
      </c>
      <c r="K628" s="200" t="n">
        <v>45434.8991782407</v>
      </c>
      <c r="L628" s="3" t="n">
        <v>37</v>
      </c>
      <c r="M628" s="3" t="n">
        <v>37</v>
      </c>
      <c r="N628" s="1" t="n">
        <v>3</v>
      </c>
      <c r="O628" s="1" t="n">
        <v>2</v>
      </c>
    </row>
    <row r="629" customFormat="false" ht="14.25" hidden="false" customHeight="false" outlineLevel="0" collapsed="false">
      <c r="A629" s="1" t="n">
        <v>90</v>
      </c>
      <c r="B629" s="1" t="s">
        <v>624</v>
      </c>
      <c r="C629" s="1" t="s">
        <v>625</v>
      </c>
      <c r="D629" s="1" t="n">
        <v>21261</v>
      </c>
      <c r="E629" s="1" t="s">
        <v>57</v>
      </c>
      <c r="F629" s="201" t="n">
        <v>200025888479</v>
      </c>
      <c r="G629" s="198" t="s">
        <v>640</v>
      </c>
      <c r="H629" s="163" t="s">
        <v>254</v>
      </c>
      <c r="I629" s="161" t="n">
        <v>9</v>
      </c>
      <c r="J629" s="156" t="s">
        <v>192</v>
      </c>
      <c r="K629" s="200" t="n">
        <v>45434.9059490741</v>
      </c>
      <c r="L629" s="3" t="n">
        <v>37</v>
      </c>
      <c r="M629" s="3" t="n">
        <v>37</v>
      </c>
      <c r="N629" s="1" t="n">
        <v>4</v>
      </c>
      <c r="O629" s="1" t="n">
        <v>3</v>
      </c>
    </row>
    <row r="630" customFormat="false" ht="14.25" hidden="false" customHeight="false" outlineLevel="0" collapsed="false">
      <c r="A630" s="1" t="n">
        <v>91</v>
      </c>
      <c r="B630" s="1" t="s">
        <v>624</v>
      </c>
      <c r="C630" s="1" t="s">
        <v>625</v>
      </c>
      <c r="D630" s="1" t="n">
        <v>21261</v>
      </c>
      <c r="E630" s="1" t="s">
        <v>57</v>
      </c>
      <c r="F630" s="201" t="n">
        <v>200025888479</v>
      </c>
      <c r="G630" s="198" t="s">
        <v>640</v>
      </c>
      <c r="H630" s="163" t="s">
        <v>254</v>
      </c>
      <c r="I630" s="161" t="n">
        <v>9</v>
      </c>
      <c r="J630" s="156" t="s">
        <v>192</v>
      </c>
      <c r="K630" s="200" t="n">
        <v>45434.9079166667</v>
      </c>
      <c r="L630" s="3" t="n">
        <v>37</v>
      </c>
      <c r="M630" s="3" t="n">
        <v>37</v>
      </c>
      <c r="N630" s="1" t="n">
        <v>5</v>
      </c>
      <c r="O630" s="1" t="n">
        <v>1</v>
      </c>
    </row>
    <row r="631" customFormat="false" ht="14.25" hidden="false" customHeight="false" outlineLevel="0" collapsed="false">
      <c r="A631" s="1" t="n">
        <v>104</v>
      </c>
      <c r="B631" s="1" t="s">
        <v>624</v>
      </c>
      <c r="C631" s="1" t="s">
        <v>625</v>
      </c>
      <c r="D631" s="1" t="n">
        <v>21261</v>
      </c>
      <c r="E631" s="1" t="s">
        <v>57</v>
      </c>
      <c r="F631" s="201" t="n">
        <v>200025888479</v>
      </c>
      <c r="G631" s="198" t="s">
        <v>640</v>
      </c>
      <c r="H631" s="163" t="s">
        <v>254</v>
      </c>
      <c r="I631" s="161" t="n">
        <v>9</v>
      </c>
      <c r="J631" s="156" t="s">
        <v>192</v>
      </c>
      <c r="K631" s="200" t="n">
        <v>45435.0616550926</v>
      </c>
      <c r="L631" s="3" t="n">
        <v>37</v>
      </c>
      <c r="M631" s="3" t="n">
        <v>37</v>
      </c>
      <c r="N631" s="1" t="n">
        <v>6</v>
      </c>
      <c r="O631" s="1" t="n">
        <v>1</v>
      </c>
    </row>
    <row r="632" customFormat="false" ht="14.25" hidden="false" customHeight="false" outlineLevel="0" collapsed="false">
      <c r="A632" s="1" t="n">
        <v>120</v>
      </c>
      <c r="B632" s="1" t="s">
        <v>624</v>
      </c>
      <c r="C632" s="1" t="s">
        <v>625</v>
      </c>
      <c r="D632" s="1" t="n">
        <v>21261</v>
      </c>
      <c r="E632" s="1" t="s">
        <v>57</v>
      </c>
      <c r="F632" s="201" t="n">
        <v>200025888479</v>
      </c>
      <c r="G632" s="198" t="s">
        <v>640</v>
      </c>
      <c r="H632" s="163" t="s">
        <v>254</v>
      </c>
      <c r="I632" s="161" t="n">
        <v>9</v>
      </c>
      <c r="J632" s="156" t="s">
        <v>192</v>
      </c>
      <c r="K632" s="200" t="n">
        <v>45435.1008333333</v>
      </c>
      <c r="L632" s="3" t="n">
        <v>37</v>
      </c>
      <c r="M632" s="3" t="n">
        <v>37</v>
      </c>
      <c r="N632" s="1" t="n">
        <v>7</v>
      </c>
      <c r="O632" s="1" t="n">
        <v>11</v>
      </c>
    </row>
    <row r="633" customFormat="false" ht="14.25" hidden="false" customHeight="false" outlineLevel="0" collapsed="false">
      <c r="A633" s="1" t="n">
        <v>121</v>
      </c>
      <c r="B633" s="1" t="s">
        <v>624</v>
      </c>
      <c r="C633" s="1" t="s">
        <v>625</v>
      </c>
      <c r="D633" s="1" t="n">
        <v>21261</v>
      </c>
      <c r="E633" s="1" t="s">
        <v>57</v>
      </c>
      <c r="F633" s="201" t="n">
        <v>200025888479</v>
      </c>
      <c r="G633" s="198" t="s">
        <v>640</v>
      </c>
      <c r="H633" s="163" t="s">
        <v>254</v>
      </c>
      <c r="I633" s="161" t="n">
        <v>9</v>
      </c>
      <c r="J633" s="156" t="s">
        <v>192</v>
      </c>
      <c r="K633" s="200" t="n">
        <v>45435.1013310185</v>
      </c>
      <c r="L633" s="3" t="n">
        <v>37</v>
      </c>
      <c r="M633" s="3" t="n">
        <v>37</v>
      </c>
      <c r="N633" s="1" t="n">
        <v>8</v>
      </c>
      <c r="O633" s="1" t="n">
        <v>2</v>
      </c>
    </row>
    <row r="634" customFormat="false" ht="14.25" hidden="false" customHeight="false" outlineLevel="0" collapsed="false">
      <c r="A634" s="1" t="n">
        <v>133</v>
      </c>
      <c r="B634" s="1" t="s">
        <v>624</v>
      </c>
      <c r="C634" s="1" t="s">
        <v>625</v>
      </c>
      <c r="D634" s="1" t="n">
        <v>21261</v>
      </c>
      <c r="E634" s="1" t="s">
        <v>57</v>
      </c>
      <c r="F634" s="201" t="n">
        <v>200025888479</v>
      </c>
      <c r="G634" s="198" t="s">
        <v>640</v>
      </c>
      <c r="H634" s="163" t="s">
        <v>254</v>
      </c>
      <c r="I634" s="161" t="n">
        <v>9</v>
      </c>
      <c r="J634" s="156" t="s">
        <v>192</v>
      </c>
      <c r="K634" s="200" t="n">
        <v>45435.2227777778</v>
      </c>
      <c r="L634" s="3" t="n">
        <v>37</v>
      </c>
      <c r="M634" s="3" t="n">
        <v>37</v>
      </c>
      <c r="N634" s="1" t="n">
        <v>9</v>
      </c>
      <c r="O634" s="1" t="n">
        <v>3</v>
      </c>
    </row>
    <row r="635" customFormat="false" ht="14.25" hidden="false" customHeight="false" outlineLevel="0" collapsed="false">
      <c r="A635" s="1" t="n">
        <v>61</v>
      </c>
      <c r="B635" s="1" t="s">
        <v>637</v>
      </c>
      <c r="C635" s="1" t="s">
        <v>638</v>
      </c>
      <c r="D635" s="196" t="n">
        <v>2568</v>
      </c>
      <c r="E635" s="196" t="s">
        <v>51</v>
      </c>
      <c r="F635" s="198" t="n">
        <v>200025888479</v>
      </c>
      <c r="G635" s="198" t="s">
        <v>640</v>
      </c>
      <c r="H635" s="163" t="s">
        <v>254</v>
      </c>
      <c r="I635" s="161" t="n">
        <v>9</v>
      </c>
      <c r="J635" s="156" t="s">
        <v>192</v>
      </c>
      <c r="K635" s="200" t="n">
        <v>45455.547650463</v>
      </c>
      <c r="L635" s="3" t="n">
        <v>37</v>
      </c>
      <c r="M635" s="3" t="n">
        <v>37</v>
      </c>
      <c r="N635" s="1" t="n">
        <v>10</v>
      </c>
      <c r="O635" s="10" t="n">
        <v>2630</v>
      </c>
    </row>
    <row r="636" customFormat="false" ht="14.25" hidden="false" customHeight="false" outlineLevel="0" collapsed="false">
      <c r="A636" s="1" t="n">
        <v>25</v>
      </c>
      <c r="B636" s="1" t="s">
        <v>624</v>
      </c>
      <c r="C636" s="1" t="s">
        <v>625</v>
      </c>
      <c r="D636" s="1" t="n">
        <v>21261</v>
      </c>
      <c r="E636" s="1" t="s">
        <v>57</v>
      </c>
      <c r="F636" s="201" t="n">
        <v>200025889394</v>
      </c>
      <c r="G636" s="198" t="s">
        <v>662</v>
      </c>
      <c r="H636" s="163" t="s">
        <v>543</v>
      </c>
      <c r="I636" s="161" t="n">
        <v>120</v>
      </c>
      <c r="J636" s="156" t="s">
        <v>192</v>
      </c>
      <c r="K636" s="200" t="n">
        <v>45433.7520486111</v>
      </c>
      <c r="L636" s="3" t="n">
        <v>38</v>
      </c>
      <c r="M636" s="3" t="n">
        <v>38</v>
      </c>
      <c r="N636" s="1" t="n">
        <v>1</v>
      </c>
      <c r="O636" s="1" t="n">
        <v>1</v>
      </c>
    </row>
    <row r="637" customFormat="false" ht="14.25" hidden="false" customHeight="false" outlineLevel="0" collapsed="false">
      <c r="A637" s="1" t="n">
        <v>26</v>
      </c>
      <c r="B637" s="1" t="s">
        <v>624</v>
      </c>
      <c r="C637" s="1" t="s">
        <v>625</v>
      </c>
      <c r="D637" s="1" t="n">
        <v>21261</v>
      </c>
      <c r="E637" s="1" t="s">
        <v>57</v>
      </c>
      <c r="F637" s="201" t="n">
        <v>200025889394</v>
      </c>
      <c r="G637" s="198" t="s">
        <v>662</v>
      </c>
      <c r="H637" s="163" t="s">
        <v>543</v>
      </c>
      <c r="I637" s="161" t="n">
        <v>120</v>
      </c>
      <c r="J637" s="156" t="s">
        <v>192</v>
      </c>
      <c r="K637" s="200" t="n">
        <v>45433.7520717593</v>
      </c>
      <c r="L637" s="3" t="n">
        <v>38</v>
      </c>
      <c r="M637" s="3" t="n">
        <v>38</v>
      </c>
      <c r="N637" s="1" t="n">
        <v>2</v>
      </c>
      <c r="O637" s="1" t="n">
        <v>0</v>
      </c>
    </row>
    <row r="638" customFormat="false" ht="14.25" hidden="false" customHeight="false" outlineLevel="0" collapsed="false">
      <c r="A638" s="1" t="n">
        <v>27</v>
      </c>
      <c r="B638" s="1" t="s">
        <v>624</v>
      </c>
      <c r="C638" s="1" t="s">
        <v>625</v>
      </c>
      <c r="D638" s="1" t="n">
        <v>21261</v>
      </c>
      <c r="E638" s="1" t="s">
        <v>57</v>
      </c>
      <c r="F638" s="201" t="n">
        <v>200025889394</v>
      </c>
      <c r="G638" s="198" t="s">
        <v>662</v>
      </c>
      <c r="H638" s="163" t="s">
        <v>543</v>
      </c>
      <c r="I638" s="161" t="n">
        <v>120</v>
      </c>
      <c r="J638" s="156" t="s">
        <v>192</v>
      </c>
      <c r="K638" s="200" t="n">
        <v>45433.7545833333</v>
      </c>
      <c r="L638" s="3" t="n">
        <v>38</v>
      </c>
      <c r="M638" s="3" t="n">
        <v>38</v>
      </c>
      <c r="N638" s="1" t="n">
        <v>3</v>
      </c>
      <c r="O638" s="1" t="n">
        <v>2</v>
      </c>
    </row>
    <row r="639" customFormat="false" ht="14.25" hidden="false" customHeight="false" outlineLevel="0" collapsed="false">
      <c r="A639" s="1" t="n">
        <v>28</v>
      </c>
      <c r="B639" s="1" t="s">
        <v>624</v>
      </c>
      <c r="C639" s="1" t="s">
        <v>625</v>
      </c>
      <c r="D639" s="1" t="n">
        <v>21261</v>
      </c>
      <c r="E639" s="1" t="s">
        <v>57</v>
      </c>
      <c r="F639" s="201" t="n">
        <v>200025889394</v>
      </c>
      <c r="G639" s="198" t="s">
        <v>662</v>
      </c>
      <c r="H639" s="163" t="s">
        <v>543</v>
      </c>
      <c r="I639" s="161" t="n">
        <v>120</v>
      </c>
      <c r="J639" s="156" t="s">
        <v>192</v>
      </c>
      <c r="K639" s="200" t="n">
        <v>45433.7548726852</v>
      </c>
      <c r="L639" s="3" t="n">
        <v>38</v>
      </c>
      <c r="M639" s="3" t="n">
        <v>38</v>
      </c>
      <c r="N639" s="1" t="n">
        <v>4</v>
      </c>
      <c r="O639" s="1" t="n">
        <v>0</v>
      </c>
    </row>
    <row r="640" customFormat="false" ht="14.25" hidden="false" customHeight="false" outlineLevel="0" collapsed="false">
      <c r="A640" s="1" t="n">
        <v>29</v>
      </c>
      <c r="B640" s="1" t="s">
        <v>624</v>
      </c>
      <c r="C640" s="1" t="s">
        <v>625</v>
      </c>
      <c r="D640" s="1" t="n">
        <v>21261</v>
      </c>
      <c r="E640" s="1" t="s">
        <v>57</v>
      </c>
      <c r="F640" s="201" t="n">
        <v>200025889394</v>
      </c>
      <c r="G640" s="198" t="s">
        <v>662</v>
      </c>
      <c r="H640" s="163" t="s">
        <v>543</v>
      </c>
      <c r="I640" s="161" t="n">
        <v>120</v>
      </c>
      <c r="J640" s="156" t="s">
        <v>192</v>
      </c>
      <c r="K640" s="200" t="n">
        <v>45433.7557291667</v>
      </c>
      <c r="L640" s="3" t="n">
        <v>38</v>
      </c>
      <c r="M640" s="3" t="n">
        <v>38</v>
      </c>
      <c r="N640" s="1" t="n">
        <v>5</v>
      </c>
      <c r="O640" s="1" t="n">
        <v>1</v>
      </c>
    </row>
    <row r="641" customFormat="false" ht="14.25" hidden="false" customHeight="false" outlineLevel="0" collapsed="false">
      <c r="A641" s="1" t="n">
        <v>30</v>
      </c>
      <c r="B641" s="1" t="s">
        <v>624</v>
      </c>
      <c r="C641" s="1" t="s">
        <v>625</v>
      </c>
      <c r="D641" s="1" t="n">
        <v>21261</v>
      </c>
      <c r="E641" s="1" t="s">
        <v>57</v>
      </c>
      <c r="F641" s="201" t="n">
        <v>200025889394</v>
      </c>
      <c r="G641" s="198" t="s">
        <v>662</v>
      </c>
      <c r="H641" s="163" t="s">
        <v>543</v>
      </c>
      <c r="I641" s="161" t="n">
        <v>120</v>
      </c>
      <c r="J641" s="156" t="s">
        <v>192</v>
      </c>
      <c r="K641" s="200" t="n">
        <v>45433.7557523148</v>
      </c>
      <c r="L641" s="3" t="n">
        <v>38</v>
      </c>
      <c r="M641" s="3" t="n">
        <v>38</v>
      </c>
      <c r="N641" s="1" t="n">
        <v>6</v>
      </c>
      <c r="O641" s="1" t="n">
        <v>2</v>
      </c>
    </row>
    <row r="642" customFormat="false" ht="14.25" hidden="false" customHeight="false" outlineLevel="0" collapsed="false">
      <c r="A642" s="1" t="n">
        <v>32</v>
      </c>
      <c r="B642" s="1" t="s">
        <v>621</v>
      </c>
      <c r="C642" s="1" t="s">
        <v>622</v>
      </c>
      <c r="D642" s="1" t="n">
        <v>11171</v>
      </c>
      <c r="E642" s="1" t="s">
        <v>55</v>
      </c>
      <c r="F642" s="201" t="n">
        <v>200025889394</v>
      </c>
      <c r="G642" s="198" t="s">
        <v>662</v>
      </c>
      <c r="H642" s="163" t="s">
        <v>543</v>
      </c>
      <c r="I642" s="161" t="n">
        <v>120</v>
      </c>
      <c r="J642" s="156" t="s">
        <v>192</v>
      </c>
      <c r="K642" s="200" t="n">
        <v>45433.7613773148</v>
      </c>
      <c r="L642" s="3" t="n">
        <v>38</v>
      </c>
      <c r="M642" s="3" t="n">
        <v>38</v>
      </c>
      <c r="N642" s="1" t="n">
        <v>7</v>
      </c>
      <c r="O642" s="1" t="n">
        <v>1</v>
      </c>
    </row>
    <row r="643" customFormat="false" ht="14.25" hidden="false" customHeight="false" outlineLevel="0" collapsed="false">
      <c r="A643" s="1" t="n">
        <v>33</v>
      </c>
      <c r="B643" s="1" t="s">
        <v>621</v>
      </c>
      <c r="C643" s="1" t="s">
        <v>622</v>
      </c>
      <c r="D643" s="1" t="n">
        <v>11171</v>
      </c>
      <c r="E643" s="1" t="s">
        <v>55</v>
      </c>
      <c r="F643" s="201" t="n">
        <v>200025889394</v>
      </c>
      <c r="G643" s="198" t="s">
        <v>662</v>
      </c>
      <c r="H643" s="163" t="s">
        <v>543</v>
      </c>
      <c r="I643" s="161" t="n">
        <v>120</v>
      </c>
      <c r="J643" s="156" t="s">
        <v>192</v>
      </c>
      <c r="K643" s="200" t="n">
        <v>45433.761400463</v>
      </c>
      <c r="L643" s="3" t="n">
        <v>38</v>
      </c>
      <c r="M643" s="3" t="n">
        <v>38</v>
      </c>
      <c r="N643" s="1" t="n">
        <v>8</v>
      </c>
      <c r="O643" s="1" t="n">
        <v>1</v>
      </c>
    </row>
    <row r="644" customFormat="false" ht="14.25" hidden="false" customHeight="false" outlineLevel="0" collapsed="false">
      <c r="A644" s="1" t="n">
        <v>34</v>
      </c>
      <c r="B644" s="1" t="s">
        <v>621</v>
      </c>
      <c r="C644" s="1" t="s">
        <v>622</v>
      </c>
      <c r="D644" s="1" t="n">
        <v>11171</v>
      </c>
      <c r="E644" s="1" t="s">
        <v>55</v>
      </c>
      <c r="F644" s="201" t="n">
        <v>200025889394</v>
      </c>
      <c r="G644" s="198" t="s">
        <v>662</v>
      </c>
      <c r="H644" s="163" t="s">
        <v>543</v>
      </c>
      <c r="I644" s="161" t="n">
        <v>120</v>
      </c>
      <c r="J644" s="156" t="s">
        <v>192</v>
      </c>
      <c r="K644" s="200" t="n">
        <v>45433.7614236111</v>
      </c>
      <c r="L644" s="3" t="n">
        <v>38</v>
      </c>
      <c r="M644" s="3" t="n">
        <v>38</v>
      </c>
      <c r="N644" s="1" t="n">
        <v>9</v>
      </c>
      <c r="O644" s="1" t="n">
        <v>1</v>
      </c>
    </row>
    <row r="645" customFormat="false" ht="14.25" hidden="false" customHeight="false" outlineLevel="0" collapsed="false">
      <c r="A645" s="1" t="n">
        <v>35</v>
      </c>
      <c r="B645" s="1" t="s">
        <v>621</v>
      </c>
      <c r="C645" s="1" t="s">
        <v>622</v>
      </c>
      <c r="D645" s="1" t="n">
        <v>11171</v>
      </c>
      <c r="E645" s="1" t="s">
        <v>55</v>
      </c>
      <c r="F645" s="201" t="n">
        <v>200025889394</v>
      </c>
      <c r="G645" s="198" t="s">
        <v>662</v>
      </c>
      <c r="H645" s="163" t="s">
        <v>543</v>
      </c>
      <c r="I645" s="161" t="n">
        <v>120</v>
      </c>
      <c r="J645" s="156" t="s">
        <v>192</v>
      </c>
      <c r="K645" s="200" t="n">
        <v>45433.7614351852</v>
      </c>
      <c r="L645" s="3" t="n">
        <v>38</v>
      </c>
      <c r="M645" s="3" t="n">
        <v>38</v>
      </c>
      <c r="N645" s="1" t="n">
        <v>10</v>
      </c>
      <c r="O645" s="1" t="n">
        <v>0</v>
      </c>
    </row>
    <row r="646" customFormat="false" ht="14.25" hidden="false" customHeight="false" outlineLevel="0" collapsed="false">
      <c r="A646" s="1" t="n">
        <v>36</v>
      </c>
      <c r="B646" s="1" t="s">
        <v>621</v>
      </c>
      <c r="C646" s="1" t="s">
        <v>622</v>
      </c>
      <c r="D646" s="1" t="n">
        <v>11171</v>
      </c>
      <c r="E646" s="1" t="s">
        <v>55</v>
      </c>
      <c r="F646" s="201" t="n">
        <v>200025889394</v>
      </c>
      <c r="G646" s="198" t="s">
        <v>662</v>
      </c>
      <c r="H646" s="163" t="s">
        <v>543</v>
      </c>
      <c r="I646" s="161" t="n">
        <v>120</v>
      </c>
      <c r="J646" s="156" t="s">
        <v>192</v>
      </c>
      <c r="K646" s="200" t="n">
        <v>45433.7614467593</v>
      </c>
      <c r="L646" s="3" t="n">
        <v>38</v>
      </c>
      <c r="M646" s="3" t="n">
        <v>38</v>
      </c>
      <c r="N646" s="1" t="n">
        <v>11</v>
      </c>
      <c r="O646" s="1" t="n">
        <v>1</v>
      </c>
    </row>
    <row r="647" customFormat="false" ht="14.25" hidden="false" customHeight="false" outlineLevel="0" collapsed="false">
      <c r="A647" s="1" t="n">
        <v>37</v>
      </c>
      <c r="B647" s="1" t="s">
        <v>621</v>
      </c>
      <c r="C647" s="1" t="s">
        <v>622</v>
      </c>
      <c r="D647" s="1" t="n">
        <v>11171</v>
      </c>
      <c r="E647" s="1" t="s">
        <v>55</v>
      </c>
      <c r="F647" s="201" t="n">
        <v>200025889394</v>
      </c>
      <c r="G647" s="198" t="s">
        <v>662</v>
      </c>
      <c r="H647" s="163" t="s">
        <v>543</v>
      </c>
      <c r="I647" s="161" t="n">
        <v>120</v>
      </c>
      <c r="J647" s="156" t="s">
        <v>192</v>
      </c>
      <c r="K647" s="200" t="n">
        <v>45433.7629861111</v>
      </c>
      <c r="L647" s="3" t="n">
        <v>38</v>
      </c>
      <c r="M647" s="3" t="n">
        <v>38</v>
      </c>
      <c r="N647" s="1" t="n">
        <v>12</v>
      </c>
      <c r="O647" s="1" t="n">
        <v>7</v>
      </c>
    </row>
    <row r="648" customFormat="false" ht="14.25" hidden="false" customHeight="false" outlineLevel="0" collapsed="false">
      <c r="A648" s="1" t="n">
        <v>38</v>
      </c>
      <c r="B648" s="1" t="s">
        <v>621</v>
      </c>
      <c r="C648" s="1" t="s">
        <v>622</v>
      </c>
      <c r="D648" s="1" t="n">
        <v>11171</v>
      </c>
      <c r="E648" s="1" t="s">
        <v>55</v>
      </c>
      <c r="F648" s="201" t="n">
        <v>200025889394</v>
      </c>
      <c r="G648" s="198" t="s">
        <v>662</v>
      </c>
      <c r="H648" s="163" t="s">
        <v>543</v>
      </c>
      <c r="I648" s="161" t="n">
        <v>120</v>
      </c>
      <c r="J648" s="156" t="s">
        <v>192</v>
      </c>
      <c r="K648" s="200" t="n">
        <v>45433.7630787037</v>
      </c>
      <c r="L648" s="3" t="n">
        <v>38</v>
      </c>
      <c r="M648" s="3" t="n">
        <v>38</v>
      </c>
      <c r="N648" s="1" t="n">
        <v>13</v>
      </c>
      <c r="O648" s="1" t="n">
        <v>1</v>
      </c>
    </row>
    <row r="649" customFormat="false" ht="14.25" hidden="false" customHeight="false" outlineLevel="0" collapsed="false">
      <c r="A649" s="1" t="n">
        <v>39</v>
      </c>
      <c r="B649" s="1" t="s">
        <v>621</v>
      </c>
      <c r="C649" s="1" t="s">
        <v>622</v>
      </c>
      <c r="D649" s="1" t="n">
        <v>11171</v>
      </c>
      <c r="E649" s="1" t="s">
        <v>55</v>
      </c>
      <c r="F649" s="201" t="n">
        <v>200025889394</v>
      </c>
      <c r="G649" s="198" t="s">
        <v>662</v>
      </c>
      <c r="H649" s="163" t="s">
        <v>543</v>
      </c>
      <c r="I649" s="161" t="n">
        <v>120</v>
      </c>
      <c r="J649" s="156" t="s">
        <v>192</v>
      </c>
      <c r="K649" s="200" t="n">
        <v>45433.7634375</v>
      </c>
      <c r="L649" s="3" t="n">
        <v>38</v>
      </c>
      <c r="M649" s="3" t="n">
        <v>38</v>
      </c>
      <c r="N649" s="1" t="n">
        <v>14</v>
      </c>
      <c r="O649" s="1" t="n">
        <v>2</v>
      </c>
    </row>
    <row r="650" customFormat="false" ht="14.25" hidden="false" customHeight="false" outlineLevel="0" collapsed="false">
      <c r="A650" s="1" t="n">
        <v>40</v>
      </c>
      <c r="B650" s="1" t="s">
        <v>621</v>
      </c>
      <c r="C650" s="1" t="s">
        <v>622</v>
      </c>
      <c r="D650" s="1" t="n">
        <v>11171</v>
      </c>
      <c r="E650" s="1" t="s">
        <v>55</v>
      </c>
      <c r="F650" s="201" t="n">
        <v>200025889394</v>
      </c>
      <c r="G650" s="198" t="s">
        <v>662</v>
      </c>
      <c r="H650" s="163" t="s">
        <v>543</v>
      </c>
      <c r="I650" s="161" t="n">
        <v>120</v>
      </c>
      <c r="J650" s="156" t="s">
        <v>192</v>
      </c>
      <c r="K650" s="200" t="n">
        <v>45433.7634722222</v>
      </c>
      <c r="L650" s="3" t="n">
        <v>38</v>
      </c>
      <c r="M650" s="3" t="n">
        <v>38</v>
      </c>
      <c r="N650" s="1" t="n">
        <v>15</v>
      </c>
      <c r="O650" s="1" t="n">
        <v>0</v>
      </c>
    </row>
    <row r="651" customFormat="false" ht="14.25" hidden="false" customHeight="false" outlineLevel="0" collapsed="false">
      <c r="A651" s="1" t="n">
        <v>41</v>
      </c>
      <c r="B651" s="1" t="s">
        <v>621</v>
      </c>
      <c r="C651" s="1" t="s">
        <v>622</v>
      </c>
      <c r="D651" s="1" t="n">
        <v>11171</v>
      </c>
      <c r="E651" s="1" t="s">
        <v>55</v>
      </c>
      <c r="F651" s="201" t="n">
        <v>200025889394</v>
      </c>
      <c r="G651" s="198" t="s">
        <v>662</v>
      </c>
      <c r="H651" s="163" t="s">
        <v>543</v>
      </c>
      <c r="I651" s="161" t="n">
        <v>120</v>
      </c>
      <c r="J651" s="156" t="s">
        <v>192</v>
      </c>
      <c r="K651" s="200" t="n">
        <v>45433.7643171296</v>
      </c>
      <c r="L651" s="3" t="n">
        <v>38</v>
      </c>
      <c r="M651" s="3" t="n">
        <v>38</v>
      </c>
      <c r="N651" s="1" t="n">
        <v>16</v>
      </c>
      <c r="O651" s="1" t="n">
        <v>2</v>
      </c>
    </row>
    <row r="652" customFormat="false" ht="14.25" hidden="false" customHeight="false" outlineLevel="0" collapsed="false">
      <c r="A652" s="1" t="n">
        <v>42</v>
      </c>
      <c r="B652" s="1" t="s">
        <v>621</v>
      </c>
      <c r="C652" s="1" t="s">
        <v>622</v>
      </c>
      <c r="D652" s="1" t="n">
        <v>11171</v>
      </c>
      <c r="E652" s="1" t="s">
        <v>55</v>
      </c>
      <c r="F652" s="201" t="n">
        <v>200025889394</v>
      </c>
      <c r="G652" s="198" t="s">
        <v>662</v>
      </c>
      <c r="H652" s="163" t="s">
        <v>543</v>
      </c>
      <c r="I652" s="161" t="n">
        <v>120</v>
      </c>
      <c r="J652" s="156" t="s">
        <v>192</v>
      </c>
      <c r="K652" s="200" t="n">
        <v>45433.7644097222</v>
      </c>
      <c r="L652" s="3" t="n">
        <v>38</v>
      </c>
      <c r="M652" s="3" t="n">
        <v>38</v>
      </c>
      <c r="N652" s="1" t="n">
        <v>17</v>
      </c>
      <c r="O652" s="1" t="n">
        <v>2</v>
      </c>
    </row>
    <row r="653" customFormat="false" ht="14.25" hidden="false" customHeight="false" outlineLevel="0" collapsed="false">
      <c r="A653" s="1" t="n">
        <v>43</v>
      </c>
      <c r="B653" s="1" t="s">
        <v>621</v>
      </c>
      <c r="C653" s="1" t="s">
        <v>622</v>
      </c>
      <c r="D653" s="1" t="n">
        <v>11171</v>
      </c>
      <c r="E653" s="1" t="s">
        <v>55</v>
      </c>
      <c r="F653" s="201" t="n">
        <v>200025889394</v>
      </c>
      <c r="G653" s="198" t="s">
        <v>662</v>
      </c>
      <c r="H653" s="163" t="s">
        <v>543</v>
      </c>
      <c r="I653" s="161" t="n">
        <v>120</v>
      </c>
      <c r="J653" s="156" t="s">
        <v>192</v>
      </c>
      <c r="K653" s="200" t="n">
        <v>45433.7659722222</v>
      </c>
      <c r="L653" s="3" t="n">
        <v>38</v>
      </c>
      <c r="M653" s="3" t="n">
        <v>38</v>
      </c>
      <c r="N653" s="1" t="n">
        <v>18</v>
      </c>
      <c r="O653" s="1" t="n">
        <v>1</v>
      </c>
    </row>
    <row r="654" customFormat="false" ht="14.25" hidden="false" customHeight="false" outlineLevel="0" collapsed="false">
      <c r="A654" s="1" t="n">
        <v>44</v>
      </c>
      <c r="B654" s="1" t="s">
        <v>621</v>
      </c>
      <c r="C654" s="1" t="s">
        <v>622</v>
      </c>
      <c r="D654" s="1" t="n">
        <v>11171</v>
      </c>
      <c r="E654" s="1" t="s">
        <v>55</v>
      </c>
      <c r="F654" s="201" t="n">
        <v>200025889394</v>
      </c>
      <c r="G654" s="198" t="s">
        <v>662</v>
      </c>
      <c r="H654" s="163" t="s">
        <v>543</v>
      </c>
      <c r="I654" s="161" t="n">
        <v>120</v>
      </c>
      <c r="J654" s="156" t="s">
        <v>192</v>
      </c>
      <c r="K654" s="200" t="n">
        <v>45433.7659837963</v>
      </c>
      <c r="L654" s="3" t="n">
        <v>38</v>
      </c>
      <c r="M654" s="3" t="n">
        <v>38</v>
      </c>
      <c r="N654" s="1" t="n">
        <v>19</v>
      </c>
      <c r="O654" s="1" t="n">
        <v>0</v>
      </c>
    </row>
    <row r="655" customFormat="false" ht="14.25" hidden="false" customHeight="false" outlineLevel="0" collapsed="false">
      <c r="A655" s="1" t="n">
        <v>45</v>
      </c>
      <c r="B655" s="1" t="s">
        <v>621</v>
      </c>
      <c r="C655" s="1" t="s">
        <v>622</v>
      </c>
      <c r="D655" s="1" t="n">
        <v>11171</v>
      </c>
      <c r="E655" s="1" t="s">
        <v>55</v>
      </c>
      <c r="F655" s="201" t="n">
        <v>200025889394</v>
      </c>
      <c r="G655" s="198" t="s">
        <v>662</v>
      </c>
      <c r="H655" s="163" t="s">
        <v>543</v>
      </c>
      <c r="I655" s="161" t="n">
        <v>120</v>
      </c>
      <c r="J655" s="156" t="s">
        <v>192</v>
      </c>
      <c r="K655" s="200" t="n">
        <v>45433.7659837963</v>
      </c>
      <c r="L655" s="3" t="n">
        <v>38</v>
      </c>
      <c r="M655" s="3" t="n">
        <v>38</v>
      </c>
      <c r="N655" s="1" t="n">
        <v>20</v>
      </c>
      <c r="O655" s="1" t="n">
        <v>1</v>
      </c>
    </row>
    <row r="656" customFormat="false" ht="14.25" hidden="false" customHeight="false" outlineLevel="0" collapsed="false">
      <c r="A656" s="1" t="n">
        <v>46</v>
      </c>
      <c r="B656" s="1" t="s">
        <v>621</v>
      </c>
      <c r="C656" s="1" t="s">
        <v>622</v>
      </c>
      <c r="D656" s="1" t="n">
        <v>11171</v>
      </c>
      <c r="E656" s="1" t="s">
        <v>55</v>
      </c>
      <c r="F656" s="201" t="n">
        <v>200025889394</v>
      </c>
      <c r="G656" s="198" t="s">
        <v>662</v>
      </c>
      <c r="H656" s="163" t="s">
        <v>543</v>
      </c>
      <c r="I656" s="161" t="n">
        <v>120</v>
      </c>
      <c r="J656" s="156" t="s">
        <v>192</v>
      </c>
      <c r="K656" s="200" t="n">
        <v>45433.7685416667</v>
      </c>
      <c r="L656" s="3" t="n">
        <v>38</v>
      </c>
      <c r="M656" s="3" t="n">
        <v>38</v>
      </c>
      <c r="N656" s="1" t="n">
        <v>21</v>
      </c>
      <c r="O656" s="1" t="n">
        <v>1</v>
      </c>
    </row>
    <row r="657" customFormat="false" ht="14.25" hidden="false" customHeight="false" outlineLevel="0" collapsed="false">
      <c r="A657" s="1" t="n">
        <v>47</v>
      </c>
      <c r="B657" s="1" t="s">
        <v>621</v>
      </c>
      <c r="C657" s="1" t="s">
        <v>622</v>
      </c>
      <c r="D657" s="1" t="n">
        <v>11171</v>
      </c>
      <c r="E657" s="1" t="s">
        <v>55</v>
      </c>
      <c r="F657" s="201" t="n">
        <v>200025889394</v>
      </c>
      <c r="G657" s="198" t="s">
        <v>662</v>
      </c>
      <c r="H657" s="163" t="s">
        <v>543</v>
      </c>
      <c r="I657" s="161" t="n">
        <v>120</v>
      </c>
      <c r="J657" s="156" t="s">
        <v>192</v>
      </c>
      <c r="K657" s="200" t="n">
        <v>45433.7712962963</v>
      </c>
      <c r="L657" s="3" t="n">
        <v>38</v>
      </c>
      <c r="M657" s="3" t="n">
        <v>38</v>
      </c>
      <c r="N657" s="1" t="n">
        <v>22</v>
      </c>
      <c r="O657" s="1" t="n">
        <v>2</v>
      </c>
    </row>
    <row r="658" customFormat="false" ht="14.25" hidden="false" customHeight="false" outlineLevel="0" collapsed="false">
      <c r="A658" s="1" t="n">
        <v>48</v>
      </c>
      <c r="B658" s="1" t="s">
        <v>621</v>
      </c>
      <c r="C658" s="1" t="s">
        <v>622</v>
      </c>
      <c r="D658" s="1" t="n">
        <v>11171</v>
      </c>
      <c r="E658" s="1" t="s">
        <v>55</v>
      </c>
      <c r="F658" s="201" t="n">
        <v>200025889394</v>
      </c>
      <c r="G658" s="198" t="s">
        <v>662</v>
      </c>
      <c r="H658" s="163" t="s">
        <v>543</v>
      </c>
      <c r="I658" s="161" t="n">
        <v>120</v>
      </c>
      <c r="J658" s="156" t="s">
        <v>192</v>
      </c>
      <c r="K658" s="200" t="n">
        <v>45433.7715046296</v>
      </c>
      <c r="L658" s="3" t="n">
        <v>38</v>
      </c>
      <c r="M658" s="3" t="n">
        <v>38</v>
      </c>
      <c r="N658" s="1" t="n">
        <v>23</v>
      </c>
      <c r="O658" s="1" t="n">
        <v>1</v>
      </c>
    </row>
    <row r="659" customFormat="false" ht="14.25" hidden="false" customHeight="false" outlineLevel="0" collapsed="false">
      <c r="A659" s="1" t="n">
        <v>49</v>
      </c>
      <c r="B659" s="1" t="s">
        <v>621</v>
      </c>
      <c r="C659" s="1" t="s">
        <v>622</v>
      </c>
      <c r="D659" s="1" t="n">
        <v>11171</v>
      </c>
      <c r="E659" s="1" t="s">
        <v>55</v>
      </c>
      <c r="F659" s="201" t="n">
        <v>200025889394</v>
      </c>
      <c r="G659" s="198" t="s">
        <v>662</v>
      </c>
      <c r="H659" s="163" t="s">
        <v>543</v>
      </c>
      <c r="I659" s="161" t="n">
        <v>120</v>
      </c>
      <c r="J659" s="156" t="s">
        <v>192</v>
      </c>
      <c r="K659" s="200" t="n">
        <v>45433.7730671296</v>
      </c>
      <c r="L659" s="3" t="n">
        <v>38</v>
      </c>
      <c r="M659" s="3" t="n">
        <v>38</v>
      </c>
      <c r="N659" s="1" t="n">
        <v>24</v>
      </c>
      <c r="O659" s="1" t="n">
        <v>4</v>
      </c>
    </row>
    <row r="660" customFormat="false" ht="14.25" hidden="false" customHeight="false" outlineLevel="0" collapsed="false">
      <c r="A660" s="1" t="n">
        <v>50</v>
      </c>
      <c r="B660" s="1" t="s">
        <v>621</v>
      </c>
      <c r="C660" s="1" t="s">
        <v>622</v>
      </c>
      <c r="D660" s="1" t="n">
        <v>11171</v>
      </c>
      <c r="E660" s="1" t="s">
        <v>55</v>
      </c>
      <c r="F660" s="201" t="n">
        <v>200025889394</v>
      </c>
      <c r="G660" s="198" t="s">
        <v>662</v>
      </c>
      <c r="H660" s="163" t="s">
        <v>543</v>
      </c>
      <c r="I660" s="161" t="n">
        <v>120</v>
      </c>
      <c r="J660" s="156" t="s">
        <v>192</v>
      </c>
      <c r="K660" s="200" t="n">
        <v>45433.7735532407</v>
      </c>
      <c r="L660" s="3" t="n">
        <v>38</v>
      </c>
      <c r="M660" s="3" t="n">
        <v>38</v>
      </c>
      <c r="N660" s="1" t="n">
        <v>25</v>
      </c>
      <c r="O660" s="1" t="n">
        <v>2</v>
      </c>
    </row>
    <row r="661" customFormat="false" ht="14.25" hidden="false" customHeight="false" outlineLevel="0" collapsed="false">
      <c r="A661" s="1" t="n">
        <v>51</v>
      </c>
      <c r="B661" s="1" t="s">
        <v>621</v>
      </c>
      <c r="C661" s="1" t="s">
        <v>622</v>
      </c>
      <c r="D661" s="1" t="n">
        <v>11171</v>
      </c>
      <c r="E661" s="1" t="s">
        <v>55</v>
      </c>
      <c r="F661" s="201" t="n">
        <v>200025889394</v>
      </c>
      <c r="G661" s="198" t="s">
        <v>662</v>
      </c>
      <c r="H661" s="163" t="s">
        <v>543</v>
      </c>
      <c r="I661" s="161" t="n">
        <v>120</v>
      </c>
      <c r="J661" s="156" t="s">
        <v>192</v>
      </c>
      <c r="K661" s="200" t="n">
        <v>45433.7744675926</v>
      </c>
      <c r="L661" s="3" t="n">
        <v>38</v>
      </c>
      <c r="M661" s="3" t="n">
        <v>38</v>
      </c>
      <c r="N661" s="1" t="n">
        <v>26</v>
      </c>
      <c r="O661" s="1" t="n">
        <v>3</v>
      </c>
    </row>
    <row r="662" customFormat="false" ht="14.25" hidden="false" customHeight="false" outlineLevel="0" collapsed="false">
      <c r="A662" s="1" t="n">
        <v>52</v>
      </c>
      <c r="B662" s="1" t="s">
        <v>621</v>
      </c>
      <c r="C662" s="1" t="s">
        <v>622</v>
      </c>
      <c r="D662" s="1" t="n">
        <v>11171</v>
      </c>
      <c r="E662" s="1" t="s">
        <v>55</v>
      </c>
      <c r="F662" s="201" t="n">
        <v>200025889394</v>
      </c>
      <c r="G662" s="198" t="s">
        <v>662</v>
      </c>
      <c r="H662" s="163" t="s">
        <v>543</v>
      </c>
      <c r="I662" s="161" t="n">
        <v>120</v>
      </c>
      <c r="J662" s="156" t="s">
        <v>192</v>
      </c>
      <c r="K662" s="200" t="n">
        <v>45433.7796296296</v>
      </c>
      <c r="L662" s="3" t="n">
        <v>38</v>
      </c>
      <c r="M662" s="3" t="n">
        <v>38</v>
      </c>
      <c r="N662" s="1" t="n">
        <v>27</v>
      </c>
      <c r="O662" s="1" t="n">
        <v>2</v>
      </c>
    </row>
    <row r="663" customFormat="false" ht="14.25" hidden="false" customHeight="false" outlineLevel="0" collapsed="false">
      <c r="A663" s="1" t="n">
        <v>53</v>
      </c>
      <c r="B663" s="1" t="s">
        <v>621</v>
      </c>
      <c r="C663" s="1" t="s">
        <v>622</v>
      </c>
      <c r="D663" s="1" t="n">
        <v>11171</v>
      </c>
      <c r="E663" s="1" t="s">
        <v>55</v>
      </c>
      <c r="F663" s="201" t="n">
        <v>200025889394</v>
      </c>
      <c r="G663" s="198" t="s">
        <v>662</v>
      </c>
      <c r="H663" s="163" t="s">
        <v>543</v>
      </c>
      <c r="I663" s="161" t="n">
        <v>120</v>
      </c>
      <c r="J663" s="156" t="s">
        <v>192</v>
      </c>
      <c r="K663" s="200" t="n">
        <v>45433.7815856482</v>
      </c>
      <c r="L663" s="3" t="n">
        <v>38</v>
      </c>
      <c r="M663" s="3" t="n">
        <v>38</v>
      </c>
      <c r="N663" s="1" t="n">
        <v>28</v>
      </c>
      <c r="O663" s="1" t="n">
        <v>1</v>
      </c>
    </row>
    <row r="664" customFormat="false" ht="14.25" hidden="false" customHeight="false" outlineLevel="0" collapsed="false">
      <c r="A664" s="1" t="n">
        <v>54</v>
      </c>
      <c r="B664" s="1" t="s">
        <v>621</v>
      </c>
      <c r="C664" s="1" t="s">
        <v>622</v>
      </c>
      <c r="D664" s="1" t="n">
        <v>11171</v>
      </c>
      <c r="E664" s="1" t="s">
        <v>55</v>
      </c>
      <c r="F664" s="201" t="n">
        <v>200025889394</v>
      </c>
      <c r="G664" s="198" t="s">
        <v>662</v>
      </c>
      <c r="H664" s="163" t="s">
        <v>543</v>
      </c>
      <c r="I664" s="161" t="n">
        <v>120</v>
      </c>
      <c r="J664" s="156" t="s">
        <v>192</v>
      </c>
      <c r="K664" s="200" t="n">
        <v>45433.7860300926</v>
      </c>
      <c r="L664" s="3" t="n">
        <v>38</v>
      </c>
      <c r="M664" s="3" t="n">
        <v>38</v>
      </c>
      <c r="N664" s="1" t="n">
        <v>29</v>
      </c>
      <c r="O664" s="1" t="n">
        <v>2</v>
      </c>
    </row>
    <row r="665" customFormat="false" ht="14.25" hidden="false" customHeight="false" outlineLevel="0" collapsed="false">
      <c r="A665" s="1" t="n">
        <v>55</v>
      </c>
      <c r="B665" s="1" t="s">
        <v>621</v>
      </c>
      <c r="C665" s="1" t="s">
        <v>622</v>
      </c>
      <c r="D665" s="1" t="n">
        <v>11171</v>
      </c>
      <c r="E665" s="1" t="s">
        <v>55</v>
      </c>
      <c r="F665" s="201" t="n">
        <v>200025889394</v>
      </c>
      <c r="G665" s="198" t="s">
        <v>662</v>
      </c>
      <c r="H665" s="163" t="s">
        <v>543</v>
      </c>
      <c r="I665" s="161" t="n">
        <v>120</v>
      </c>
      <c r="J665" s="156" t="s">
        <v>192</v>
      </c>
      <c r="K665" s="200" t="n">
        <v>45433.7866666667</v>
      </c>
      <c r="L665" s="3" t="n">
        <v>38</v>
      </c>
      <c r="M665" s="3" t="n">
        <v>38</v>
      </c>
      <c r="N665" s="1" t="n">
        <v>30</v>
      </c>
      <c r="O665" s="1" t="n">
        <v>0</v>
      </c>
    </row>
    <row r="666" customFormat="false" ht="14.25" hidden="false" customHeight="false" outlineLevel="0" collapsed="false">
      <c r="A666" s="1" t="n">
        <v>56</v>
      </c>
      <c r="B666" s="1" t="s">
        <v>621</v>
      </c>
      <c r="C666" s="1" t="s">
        <v>622</v>
      </c>
      <c r="D666" s="1" t="n">
        <v>11171</v>
      </c>
      <c r="E666" s="1" t="s">
        <v>55</v>
      </c>
      <c r="F666" s="201" t="n">
        <v>200025889394</v>
      </c>
      <c r="G666" s="198" t="s">
        <v>662</v>
      </c>
      <c r="H666" s="163" t="s">
        <v>543</v>
      </c>
      <c r="I666" s="161" t="n">
        <v>120</v>
      </c>
      <c r="J666" s="156" t="s">
        <v>192</v>
      </c>
      <c r="K666" s="200" t="n">
        <v>45433.7887268519</v>
      </c>
      <c r="L666" s="3" t="n">
        <v>38</v>
      </c>
      <c r="M666" s="3" t="n">
        <v>38</v>
      </c>
      <c r="N666" s="1" t="n">
        <v>31</v>
      </c>
      <c r="O666" s="1" t="n">
        <v>2</v>
      </c>
    </row>
    <row r="667" customFormat="false" ht="14.25" hidden="false" customHeight="false" outlineLevel="0" collapsed="false">
      <c r="A667" s="1" t="n">
        <v>57</v>
      </c>
      <c r="B667" s="1" t="s">
        <v>621</v>
      </c>
      <c r="C667" s="1" t="s">
        <v>622</v>
      </c>
      <c r="D667" s="1" t="n">
        <v>11171</v>
      </c>
      <c r="E667" s="1" t="s">
        <v>55</v>
      </c>
      <c r="F667" s="201" t="n">
        <v>200025889394</v>
      </c>
      <c r="G667" s="198" t="s">
        <v>662</v>
      </c>
      <c r="H667" s="163" t="s">
        <v>543</v>
      </c>
      <c r="I667" s="161" t="n">
        <v>120</v>
      </c>
      <c r="J667" s="156" t="s">
        <v>192</v>
      </c>
      <c r="K667" s="200" t="n">
        <v>45433.7900578704</v>
      </c>
      <c r="L667" s="3" t="n">
        <v>38</v>
      </c>
      <c r="M667" s="3" t="n">
        <v>38</v>
      </c>
      <c r="N667" s="1" t="n">
        <v>32</v>
      </c>
      <c r="O667" s="1" t="n">
        <v>1</v>
      </c>
    </row>
    <row r="668" customFormat="false" ht="14.25" hidden="false" customHeight="false" outlineLevel="0" collapsed="false">
      <c r="A668" s="1" t="n">
        <v>62</v>
      </c>
      <c r="B668" s="1" t="s">
        <v>621</v>
      </c>
      <c r="C668" s="1" t="s">
        <v>622</v>
      </c>
      <c r="D668" s="1" t="n">
        <v>11171</v>
      </c>
      <c r="E668" s="1" t="s">
        <v>55</v>
      </c>
      <c r="F668" s="201" t="n">
        <v>200025889394</v>
      </c>
      <c r="G668" s="198" t="s">
        <v>662</v>
      </c>
      <c r="H668" s="163" t="s">
        <v>543</v>
      </c>
      <c r="I668" s="161" t="n">
        <v>120</v>
      </c>
      <c r="J668" s="156" t="s">
        <v>192</v>
      </c>
      <c r="K668" s="200" t="n">
        <v>45433.8127430556</v>
      </c>
      <c r="L668" s="3" t="n">
        <v>38</v>
      </c>
      <c r="M668" s="3" t="n">
        <v>38</v>
      </c>
      <c r="N668" s="1" t="n">
        <v>33</v>
      </c>
      <c r="O668" s="1" t="n">
        <v>1</v>
      </c>
    </row>
    <row r="669" customFormat="false" ht="14.25" hidden="false" customHeight="false" outlineLevel="0" collapsed="false">
      <c r="A669" s="1" t="n">
        <v>63</v>
      </c>
      <c r="B669" s="1" t="s">
        <v>621</v>
      </c>
      <c r="C669" s="1" t="s">
        <v>622</v>
      </c>
      <c r="D669" s="1" t="n">
        <v>11171</v>
      </c>
      <c r="E669" s="1" t="s">
        <v>55</v>
      </c>
      <c r="F669" s="201" t="n">
        <v>200025889394</v>
      </c>
      <c r="G669" s="198" t="s">
        <v>662</v>
      </c>
      <c r="H669" s="163" t="s">
        <v>543</v>
      </c>
      <c r="I669" s="161" t="n">
        <v>120</v>
      </c>
      <c r="J669" s="156" t="s">
        <v>192</v>
      </c>
      <c r="K669" s="200" t="n">
        <v>45433.9495717593</v>
      </c>
      <c r="L669" s="3" t="n">
        <v>38</v>
      </c>
      <c r="M669" s="3" t="n">
        <v>38</v>
      </c>
      <c r="N669" s="1" t="n">
        <v>34</v>
      </c>
      <c r="O669" s="1" t="n">
        <v>1</v>
      </c>
    </row>
    <row r="670" customFormat="false" ht="14.25" hidden="false" customHeight="false" outlineLevel="0" collapsed="false">
      <c r="A670" s="1" t="n">
        <v>64</v>
      </c>
      <c r="B670" s="1" t="s">
        <v>621</v>
      </c>
      <c r="C670" s="1" t="s">
        <v>622</v>
      </c>
      <c r="D670" s="1" t="n">
        <v>11171</v>
      </c>
      <c r="E670" s="1" t="s">
        <v>55</v>
      </c>
      <c r="F670" s="201" t="n">
        <v>200025889394</v>
      </c>
      <c r="G670" s="198" t="s">
        <v>662</v>
      </c>
      <c r="H670" s="163" t="s">
        <v>543</v>
      </c>
      <c r="I670" s="161" t="n">
        <v>120</v>
      </c>
      <c r="J670" s="156" t="s">
        <v>192</v>
      </c>
      <c r="K670" s="200" t="n">
        <v>45433.9495949074</v>
      </c>
      <c r="L670" s="3" t="n">
        <v>38</v>
      </c>
      <c r="M670" s="3" t="n">
        <v>38</v>
      </c>
      <c r="N670" s="1" t="n">
        <v>35</v>
      </c>
      <c r="O670" s="1" t="n">
        <v>0</v>
      </c>
    </row>
    <row r="671" customFormat="false" ht="14.25" hidden="false" customHeight="false" outlineLevel="0" collapsed="false">
      <c r="A671" s="1" t="n">
        <v>65</v>
      </c>
      <c r="B671" s="1" t="s">
        <v>621</v>
      </c>
      <c r="C671" s="1" t="s">
        <v>622</v>
      </c>
      <c r="D671" s="1" t="n">
        <v>11171</v>
      </c>
      <c r="E671" s="1" t="s">
        <v>55</v>
      </c>
      <c r="F671" s="201" t="n">
        <v>200025889394</v>
      </c>
      <c r="G671" s="198" t="s">
        <v>662</v>
      </c>
      <c r="H671" s="163" t="s">
        <v>543</v>
      </c>
      <c r="I671" s="161" t="n">
        <v>120</v>
      </c>
      <c r="J671" s="156" t="s">
        <v>192</v>
      </c>
      <c r="K671" s="200" t="n">
        <v>45433.9499537037</v>
      </c>
      <c r="L671" s="3" t="n">
        <v>38</v>
      </c>
      <c r="M671" s="3" t="n">
        <v>38</v>
      </c>
      <c r="N671" s="1" t="n">
        <v>36</v>
      </c>
      <c r="O671" s="1" t="n">
        <v>3</v>
      </c>
    </row>
    <row r="672" customFormat="false" ht="14.25" hidden="false" customHeight="false" outlineLevel="0" collapsed="false">
      <c r="A672" s="1" t="n">
        <v>66</v>
      </c>
      <c r="B672" s="1" t="s">
        <v>621</v>
      </c>
      <c r="C672" s="1" t="s">
        <v>622</v>
      </c>
      <c r="D672" s="1" t="n">
        <v>11171</v>
      </c>
      <c r="E672" s="1" t="s">
        <v>55</v>
      </c>
      <c r="F672" s="201" t="n">
        <v>200025889394</v>
      </c>
      <c r="G672" s="198" t="s">
        <v>662</v>
      </c>
      <c r="H672" s="163" t="s">
        <v>543</v>
      </c>
      <c r="I672" s="161" t="n">
        <v>120</v>
      </c>
      <c r="J672" s="156" t="s">
        <v>192</v>
      </c>
      <c r="K672" s="200" t="n">
        <v>45433.9500462963</v>
      </c>
      <c r="L672" s="3" t="n">
        <v>38</v>
      </c>
      <c r="M672" s="3" t="n">
        <v>38</v>
      </c>
      <c r="N672" s="1" t="n">
        <v>37</v>
      </c>
      <c r="O672" s="1" t="n">
        <v>3</v>
      </c>
    </row>
    <row r="673" customFormat="false" ht="14.25" hidden="false" customHeight="false" outlineLevel="0" collapsed="false">
      <c r="A673" s="1" t="n">
        <v>67</v>
      </c>
      <c r="B673" s="1" t="s">
        <v>621</v>
      </c>
      <c r="C673" s="1" t="s">
        <v>622</v>
      </c>
      <c r="D673" s="1" t="n">
        <v>11171</v>
      </c>
      <c r="E673" s="1" t="s">
        <v>55</v>
      </c>
      <c r="F673" s="201" t="n">
        <v>200025889394</v>
      </c>
      <c r="G673" s="198" t="s">
        <v>662</v>
      </c>
      <c r="H673" s="163" t="s">
        <v>543</v>
      </c>
      <c r="I673" s="161" t="n">
        <v>120</v>
      </c>
      <c r="J673" s="156" t="s">
        <v>192</v>
      </c>
      <c r="K673" s="200" t="n">
        <v>45433.954375</v>
      </c>
      <c r="L673" s="3" t="n">
        <v>38</v>
      </c>
      <c r="M673" s="3" t="n">
        <v>38</v>
      </c>
      <c r="N673" s="1" t="n">
        <v>38</v>
      </c>
      <c r="O673" s="1" t="n">
        <v>1</v>
      </c>
    </row>
    <row r="674" customFormat="false" ht="14.25" hidden="false" customHeight="false" outlineLevel="0" collapsed="false">
      <c r="A674" s="1" t="n">
        <v>68</v>
      </c>
      <c r="B674" s="1" t="s">
        <v>621</v>
      </c>
      <c r="C674" s="1" t="s">
        <v>622</v>
      </c>
      <c r="D674" s="1" t="n">
        <v>11171</v>
      </c>
      <c r="E674" s="1" t="s">
        <v>55</v>
      </c>
      <c r="F674" s="201" t="n">
        <v>200025889394</v>
      </c>
      <c r="G674" s="198" t="s">
        <v>662</v>
      </c>
      <c r="H674" s="163" t="s">
        <v>543</v>
      </c>
      <c r="I674" s="161" t="n">
        <v>120</v>
      </c>
      <c r="J674" s="156" t="s">
        <v>192</v>
      </c>
      <c r="K674" s="200" t="n">
        <v>45433.9546527778</v>
      </c>
      <c r="L674" s="3" t="n">
        <v>38</v>
      </c>
      <c r="M674" s="3" t="n">
        <v>38</v>
      </c>
      <c r="N674" s="1" t="n">
        <v>39</v>
      </c>
      <c r="O674" s="1" t="n">
        <v>1</v>
      </c>
    </row>
    <row r="675" customFormat="false" ht="14.25" hidden="false" customHeight="false" outlineLevel="0" collapsed="false">
      <c r="A675" s="1" t="n">
        <v>75</v>
      </c>
      <c r="B675" s="1" t="s">
        <v>681</v>
      </c>
      <c r="C675" s="1" t="s">
        <v>682</v>
      </c>
      <c r="D675" s="1" t="n">
        <v>11197</v>
      </c>
      <c r="E675" s="1" t="s">
        <v>53</v>
      </c>
      <c r="F675" s="201" t="n">
        <v>200025889394</v>
      </c>
      <c r="G675" s="198" t="s">
        <v>662</v>
      </c>
      <c r="H675" s="163" t="s">
        <v>543</v>
      </c>
      <c r="I675" s="161" t="n">
        <v>120</v>
      </c>
      <c r="J675" s="156" t="s">
        <v>192</v>
      </c>
      <c r="K675" s="200" t="n">
        <v>45435.7766550926</v>
      </c>
      <c r="L675" s="3" t="n">
        <v>38</v>
      </c>
      <c r="M675" s="3" t="n">
        <v>38</v>
      </c>
      <c r="N675" s="1" t="n">
        <v>40</v>
      </c>
      <c r="O675" s="1" t="n">
        <v>1</v>
      </c>
    </row>
    <row r="676" customFormat="false" ht="14.25" hidden="false" customHeight="false" outlineLevel="0" collapsed="false">
      <c r="A676" s="1" t="n">
        <v>76</v>
      </c>
      <c r="B676" s="1" t="s">
        <v>681</v>
      </c>
      <c r="C676" s="1" t="s">
        <v>682</v>
      </c>
      <c r="D676" s="1" t="n">
        <v>11197</v>
      </c>
      <c r="E676" s="1" t="s">
        <v>53</v>
      </c>
      <c r="F676" s="201" t="n">
        <v>200025889394</v>
      </c>
      <c r="G676" s="198" t="s">
        <v>662</v>
      </c>
      <c r="H676" s="163" t="s">
        <v>543</v>
      </c>
      <c r="I676" s="161" t="n">
        <v>120</v>
      </c>
      <c r="J676" s="156" t="s">
        <v>192</v>
      </c>
      <c r="K676" s="200" t="n">
        <v>45435.7766666667</v>
      </c>
      <c r="L676" s="3" t="n">
        <v>38</v>
      </c>
      <c r="M676" s="3" t="n">
        <v>38</v>
      </c>
      <c r="N676" s="1" t="n">
        <v>41</v>
      </c>
      <c r="O676" s="1" t="n">
        <v>0</v>
      </c>
    </row>
    <row r="677" customFormat="false" ht="14.25" hidden="false" customHeight="false" outlineLevel="0" collapsed="false">
      <c r="A677" s="154" t="n">
        <v>103</v>
      </c>
      <c r="B677" s="154" t="s">
        <v>681</v>
      </c>
      <c r="C677" s="154" t="s">
        <v>682</v>
      </c>
      <c r="D677" s="154" t="n">
        <v>11197</v>
      </c>
      <c r="E677" s="1" t="s">
        <v>53</v>
      </c>
      <c r="F677" s="202" t="n">
        <v>200025888617</v>
      </c>
      <c r="G677" s="198" t="s">
        <v>662</v>
      </c>
      <c r="H677" s="188" t="s">
        <v>543</v>
      </c>
      <c r="I677" s="203" t="n">
        <v>120</v>
      </c>
      <c r="J677" s="204" t="s">
        <v>192</v>
      </c>
      <c r="K677" s="205" t="n">
        <v>45435.7987152778</v>
      </c>
      <c r="L677" s="3" t="n">
        <v>38</v>
      </c>
      <c r="M677" s="3" t="n">
        <v>38</v>
      </c>
      <c r="N677" s="1" t="n">
        <v>42</v>
      </c>
      <c r="O677" s="154" t="n">
        <v>0</v>
      </c>
    </row>
    <row r="678" customFormat="false" ht="14.25" hidden="false" customHeight="false" outlineLevel="0" collapsed="false">
      <c r="A678" s="154" t="n">
        <v>104</v>
      </c>
      <c r="B678" s="154" t="s">
        <v>681</v>
      </c>
      <c r="C678" s="154" t="s">
        <v>682</v>
      </c>
      <c r="D678" s="154" t="n">
        <v>11197</v>
      </c>
      <c r="E678" s="1" t="s">
        <v>53</v>
      </c>
      <c r="F678" s="202" t="n">
        <v>200025888617</v>
      </c>
      <c r="G678" s="198" t="s">
        <v>662</v>
      </c>
      <c r="H678" s="188" t="s">
        <v>543</v>
      </c>
      <c r="I678" s="203" t="n">
        <v>120</v>
      </c>
      <c r="J678" s="204" t="s">
        <v>192</v>
      </c>
      <c r="K678" s="205" t="n">
        <v>45435.7987152778</v>
      </c>
      <c r="L678" s="3" t="n">
        <v>38</v>
      </c>
      <c r="M678" s="3" t="n">
        <v>38</v>
      </c>
      <c r="N678" s="1" t="n">
        <v>43</v>
      </c>
      <c r="O678" s="154" t="n">
        <v>0</v>
      </c>
    </row>
    <row r="679" customFormat="false" ht="14.25" hidden="false" customHeight="false" outlineLevel="0" collapsed="false">
      <c r="A679" s="154" t="n">
        <v>83</v>
      </c>
      <c r="B679" s="154" t="s">
        <v>681</v>
      </c>
      <c r="C679" s="154" t="s">
        <v>682</v>
      </c>
      <c r="D679" s="154" t="n">
        <v>11197</v>
      </c>
      <c r="E679" s="1" t="s">
        <v>53</v>
      </c>
      <c r="F679" s="202" t="n">
        <v>200025888790</v>
      </c>
      <c r="G679" s="198" t="s">
        <v>662</v>
      </c>
      <c r="H679" s="188" t="s">
        <v>543</v>
      </c>
      <c r="I679" s="203" t="n">
        <v>120</v>
      </c>
      <c r="J679" s="204" t="s">
        <v>192</v>
      </c>
      <c r="K679" s="205" t="n">
        <v>45435.7987152778</v>
      </c>
      <c r="L679" s="3" t="n">
        <v>38</v>
      </c>
      <c r="M679" s="3" t="n">
        <v>38</v>
      </c>
      <c r="N679" s="1" t="n">
        <v>44</v>
      </c>
      <c r="O679" s="154" t="n">
        <v>0</v>
      </c>
    </row>
    <row r="680" customFormat="false" ht="14.25" hidden="false" customHeight="false" outlineLevel="0" collapsed="false">
      <c r="A680" s="154" t="n">
        <v>84</v>
      </c>
      <c r="B680" s="154" t="s">
        <v>681</v>
      </c>
      <c r="C680" s="154" t="s">
        <v>682</v>
      </c>
      <c r="D680" s="154" t="n">
        <v>11197</v>
      </c>
      <c r="E680" s="1" t="s">
        <v>53</v>
      </c>
      <c r="F680" s="202" t="n">
        <v>200025888790</v>
      </c>
      <c r="G680" s="198" t="s">
        <v>662</v>
      </c>
      <c r="H680" s="188" t="s">
        <v>543</v>
      </c>
      <c r="I680" s="203" t="n">
        <v>120</v>
      </c>
      <c r="J680" s="204" t="s">
        <v>192</v>
      </c>
      <c r="K680" s="205" t="n">
        <v>45435.7987152778</v>
      </c>
      <c r="L680" s="3" t="n">
        <v>38</v>
      </c>
      <c r="M680" s="3" t="n">
        <v>38</v>
      </c>
      <c r="N680" s="1" t="n">
        <v>45</v>
      </c>
      <c r="O680" s="154" t="n">
        <v>0</v>
      </c>
    </row>
    <row r="681" customFormat="false" ht="14.25" hidden="false" customHeight="false" outlineLevel="0" collapsed="false">
      <c r="A681" s="1" t="n">
        <v>14</v>
      </c>
      <c r="B681" s="1" t="s">
        <v>643</v>
      </c>
      <c r="C681" s="1" t="s">
        <v>644</v>
      </c>
      <c r="D681" s="1" t="n">
        <v>11197</v>
      </c>
      <c r="E681" s="1" t="s">
        <v>53</v>
      </c>
      <c r="F681" s="201" t="n">
        <v>200025889394</v>
      </c>
      <c r="G681" s="198" t="s">
        <v>662</v>
      </c>
      <c r="H681" s="163" t="s">
        <v>543</v>
      </c>
      <c r="I681" s="161" t="n">
        <v>120</v>
      </c>
      <c r="J681" s="156" t="s">
        <v>192</v>
      </c>
      <c r="K681" s="200" t="n">
        <v>45443.5935763889</v>
      </c>
      <c r="L681" s="3" t="n">
        <v>38</v>
      </c>
      <c r="M681" s="3" t="n">
        <v>38</v>
      </c>
      <c r="N681" s="1" t="n">
        <v>46</v>
      </c>
      <c r="O681" s="1" t="n">
        <v>0</v>
      </c>
    </row>
    <row r="682" customFormat="false" ht="14.25" hidden="false" customHeight="false" outlineLevel="0" collapsed="false">
      <c r="A682" s="1" t="n">
        <v>45</v>
      </c>
      <c r="B682" s="1" t="s">
        <v>624</v>
      </c>
      <c r="C682" s="1" t="s">
        <v>625</v>
      </c>
      <c r="D682" s="1" t="n">
        <v>21261</v>
      </c>
      <c r="E682" s="1" t="s">
        <v>57</v>
      </c>
      <c r="F682" s="201" t="n">
        <v>200025889248</v>
      </c>
      <c r="G682" s="198" t="s">
        <v>691</v>
      </c>
      <c r="H682" s="163" t="s">
        <v>531</v>
      </c>
      <c r="I682" s="161" t="n">
        <v>95</v>
      </c>
      <c r="J682" s="156" t="s">
        <v>192</v>
      </c>
      <c r="K682" s="200" t="n">
        <v>45434.2915509259</v>
      </c>
      <c r="L682" s="3" t="n">
        <v>39</v>
      </c>
      <c r="M682" s="3" t="n">
        <v>39</v>
      </c>
      <c r="N682" s="1" t="n">
        <v>1</v>
      </c>
      <c r="O682" s="1" t="n">
        <v>1</v>
      </c>
    </row>
    <row r="683" customFormat="false" ht="14.25" hidden="false" customHeight="false" outlineLevel="0" collapsed="false">
      <c r="A683" s="1" t="n">
        <v>46</v>
      </c>
      <c r="B683" s="1" t="s">
        <v>624</v>
      </c>
      <c r="C683" s="1" t="s">
        <v>625</v>
      </c>
      <c r="D683" s="1" t="n">
        <v>21261</v>
      </c>
      <c r="E683" s="1" t="s">
        <v>57</v>
      </c>
      <c r="F683" s="201" t="n">
        <v>200025889248</v>
      </c>
      <c r="G683" s="198" t="s">
        <v>691</v>
      </c>
      <c r="H683" s="163" t="s">
        <v>531</v>
      </c>
      <c r="I683" s="161" t="n">
        <v>95</v>
      </c>
      <c r="J683" s="156" t="s">
        <v>192</v>
      </c>
      <c r="K683" s="200" t="n">
        <v>45434.2925231482</v>
      </c>
      <c r="L683" s="3" t="n">
        <v>39</v>
      </c>
      <c r="M683" s="3" t="n">
        <v>39</v>
      </c>
      <c r="N683" s="1" t="n">
        <v>2</v>
      </c>
      <c r="O683" s="1" t="n">
        <v>1</v>
      </c>
    </row>
    <row r="684" customFormat="false" ht="14.25" hidden="false" customHeight="false" outlineLevel="0" collapsed="false">
      <c r="A684" s="1" t="n">
        <v>47</v>
      </c>
      <c r="B684" s="1" t="s">
        <v>624</v>
      </c>
      <c r="C684" s="1" t="s">
        <v>625</v>
      </c>
      <c r="D684" s="1" t="n">
        <v>21261</v>
      </c>
      <c r="E684" s="1" t="s">
        <v>57</v>
      </c>
      <c r="F684" s="201" t="n">
        <v>200025889248</v>
      </c>
      <c r="G684" s="198" t="s">
        <v>691</v>
      </c>
      <c r="H684" s="163" t="s">
        <v>531</v>
      </c>
      <c r="I684" s="161" t="n">
        <v>95</v>
      </c>
      <c r="J684" s="156" t="s">
        <v>192</v>
      </c>
      <c r="K684" s="200" t="n">
        <v>45434.3000231482</v>
      </c>
      <c r="L684" s="3" t="n">
        <v>39</v>
      </c>
      <c r="M684" s="3" t="n">
        <v>39</v>
      </c>
      <c r="N684" s="1" t="n">
        <v>3</v>
      </c>
      <c r="O684" s="1" t="n">
        <v>2</v>
      </c>
    </row>
    <row r="685" customFormat="false" ht="14.25" hidden="false" customHeight="false" outlineLevel="0" collapsed="false">
      <c r="A685" s="1" t="n">
        <v>69</v>
      </c>
      <c r="B685" s="1" t="s">
        <v>624</v>
      </c>
      <c r="C685" s="1" t="s">
        <v>625</v>
      </c>
      <c r="D685" s="1" t="n">
        <v>21261</v>
      </c>
      <c r="E685" s="1" t="s">
        <v>57</v>
      </c>
      <c r="F685" s="201" t="n">
        <v>200025889248</v>
      </c>
      <c r="G685" s="198" t="s">
        <v>691</v>
      </c>
      <c r="H685" s="163" t="s">
        <v>531</v>
      </c>
      <c r="I685" s="161" t="n">
        <v>95</v>
      </c>
      <c r="J685" s="156" t="s">
        <v>192</v>
      </c>
      <c r="K685" s="200" t="n">
        <v>45434.8462731482</v>
      </c>
      <c r="L685" s="3" t="n">
        <v>39</v>
      </c>
      <c r="M685" s="3" t="n">
        <v>39</v>
      </c>
      <c r="N685" s="1" t="n">
        <v>4</v>
      </c>
      <c r="O685" s="1" t="n">
        <v>2</v>
      </c>
    </row>
    <row r="686" customFormat="false" ht="14.25" hidden="false" customHeight="false" outlineLevel="0" collapsed="false">
      <c r="A686" s="1" t="n">
        <v>98</v>
      </c>
      <c r="B686" s="1" t="s">
        <v>624</v>
      </c>
      <c r="C686" s="1" t="s">
        <v>625</v>
      </c>
      <c r="D686" s="1" t="n">
        <v>21261</v>
      </c>
      <c r="E686" s="1" t="s">
        <v>57</v>
      </c>
      <c r="F686" s="201" t="n">
        <v>200025889248</v>
      </c>
      <c r="G686" s="198" t="s">
        <v>691</v>
      </c>
      <c r="H686" s="163" t="s">
        <v>531</v>
      </c>
      <c r="I686" s="161" t="n">
        <v>95</v>
      </c>
      <c r="J686" s="156" t="s">
        <v>192</v>
      </c>
      <c r="K686" s="200" t="n">
        <v>45434.9624189815</v>
      </c>
      <c r="L686" s="3" t="n">
        <v>39</v>
      </c>
      <c r="M686" s="3" t="n">
        <v>39</v>
      </c>
      <c r="N686" s="1" t="n">
        <v>5</v>
      </c>
      <c r="O686" s="1" t="n">
        <v>0</v>
      </c>
    </row>
    <row r="687" customFormat="false" ht="14.25" hidden="false" customHeight="false" outlineLevel="0" collapsed="false">
      <c r="A687" s="1" t="n">
        <v>53</v>
      </c>
      <c r="B687" s="1" t="s">
        <v>643</v>
      </c>
      <c r="C687" s="1" t="s">
        <v>644</v>
      </c>
      <c r="D687" s="1" t="n">
        <v>11171</v>
      </c>
      <c r="E687" s="1" t="s">
        <v>55</v>
      </c>
      <c r="F687" s="201" t="n">
        <v>200025889248</v>
      </c>
      <c r="G687" s="198" t="s">
        <v>691</v>
      </c>
      <c r="H687" s="163" t="s">
        <v>531</v>
      </c>
      <c r="I687" s="161" t="n">
        <v>95</v>
      </c>
      <c r="J687" s="156" t="s">
        <v>192</v>
      </c>
      <c r="K687" s="200" t="n">
        <v>45456.5360300926</v>
      </c>
      <c r="L687" s="3" t="n">
        <v>39</v>
      </c>
      <c r="M687" s="3" t="n">
        <v>39</v>
      </c>
      <c r="N687" s="1" t="n">
        <v>6</v>
      </c>
      <c r="O687" s="1" t="n">
        <v>0</v>
      </c>
    </row>
    <row r="688" customFormat="false" ht="14.25" hidden="false" customHeight="false" outlineLevel="0" collapsed="false">
      <c r="A688" s="1" t="n">
        <v>54</v>
      </c>
      <c r="B688" s="1" t="s">
        <v>624</v>
      </c>
      <c r="C688" s="1" t="s">
        <v>625</v>
      </c>
      <c r="D688" s="1" t="n">
        <v>21261</v>
      </c>
      <c r="E688" s="1" t="s">
        <v>57</v>
      </c>
      <c r="F688" s="201" t="n">
        <v>200025889356</v>
      </c>
      <c r="G688" s="198" t="s">
        <v>654</v>
      </c>
      <c r="H688" s="163" t="s">
        <v>193</v>
      </c>
      <c r="I688" s="161" t="n">
        <v>30</v>
      </c>
      <c r="J688" s="156" t="s">
        <v>192</v>
      </c>
      <c r="K688" s="200" t="n">
        <v>45434.4552777778</v>
      </c>
      <c r="L688" s="3" t="n">
        <v>40</v>
      </c>
      <c r="M688" s="3" t="n">
        <v>40</v>
      </c>
      <c r="N688" s="1" t="n">
        <v>1</v>
      </c>
      <c r="O688" s="1" t="n">
        <v>1</v>
      </c>
    </row>
    <row r="689" customFormat="false" ht="14.25" hidden="false" customHeight="false" outlineLevel="0" collapsed="false">
      <c r="A689" s="1" t="n">
        <v>29</v>
      </c>
      <c r="B689" s="1" t="s">
        <v>565</v>
      </c>
      <c r="C689" s="1" t="s">
        <v>566</v>
      </c>
      <c r="D689" s="196" t="n">
        <v>2644</v>
      </c>
      <c r="E689" s="196" t="s">
        <v>51</v>
      </c>
      <c r="F689" s="197" t="s">
        <v>653</v>
      </c>
      <c r="G689" s="198" t="s">
        <v>654</v>
      </c>
      <c r="H689" s="163" t="s">
        <v>193</v>
      </c>
      <c r="I689" s="161" t="n">
        <v>30</v>
      </c>
      <c r="J689" s="156" t="s">
        <v>192</v>
      </c>
      <c r="K689" s="199" t="n">
        <v>45434.5117708333</v>
      </c>
      <c r="L689" s="3" t="n">
        <v>40</v>
      </c>
      <c r="M689" s="3" t="n">
        <v>40</v>
      </c>
      <c r="N689" s="1" t="n">
        <v>2</v>
      </c>
      <c r="O689" s="1" t="n">
        <v>2</v>
      </c>
    </row>
    <row r="690" customFormat="false" ht="14.25" hidden="false" customHeight="false" outlineLevel="0" collapsed="false">
      <c r="A690" s="1" t="n">
        <v>30</v>
      </c>
      <c r="B690" s="1" t="s">
        <v>565</v>
      </c>
      <c r="C690" s="1" t="s">
        <v>566</v>
      </c>
      <c r="D690" s="196" t="n">
        <v>2644</v>
      </c>
      <c r="E690" s="196" t="s">
        <v>51</v>
      </c>
      <c r="F690" s="197" t="s">
        <v>653</v>
      </c>
      <c r="G690" s="198" t="s">
        <v>654</v>
      </c>
      <c r="H690" s="163" t="s">
        <v>193</v>
      </c>
      <c r="I690" s="161" t="n">
        <v>30</v>
      </c>
      <c r="J690" s="156" t="s">
        <v>192</v>
      </c>
      <c r="K690" s="199" t="n">
        <v>45434.5585300926</v>
      </c>
      <c r="L690" s="3" t="n">
        <v>40</v>
      </c>
      <c r="M690" s="3" t="n">
        <v>40</v>
      </c>
      <c r="N690" s="1" t="n">
        <v>3</v>
      </c>
      <c r="O690" s="1" t="n">
        <v>2</v>
      </c>
    </row>
    <row r="691" customFormat="false" ht="14.25" hidden="false" customHeight="false" outlineLevel="0" collapsed="false">
      <c r="A691" s="1" t="n">
        <v>29</v>
      </c>
      <c r="B691" s="1" t="s">
        <v>637</v>
      </c>
      <c r="C691" s="1" t="s">
        <v>638</v>
      </c>
      <c r="D691" s="1" t="n">
        <v>21296</v>
      </c>
      <c r="E691" s="1" t="s">
        <v>57</v>
      </c>
      <c r="F691" s="201" t="n">
        <v>200025888158</v>
      </c>
      <c r="G691" s="198" t="s">
        <v>630</v>
      </c>
      <c r="H691" s="163" t="s">
        <v>193</v>
      </c>
      <c r="I691" s="161" t="n">
        <v>30</v>
      </c>
      <c r="J691" s="156" t="s">
        <v>192</v>
      </c>
      <c r="K691" s="200" t="n">
        <v>45451.8589814815</v>
      </c>
      <c r="L691" s="3" t="n">
        <v>40</v>
      </c>
      <c r="M691" s="3" t="n">
        <v>40</v>
      </c>
      <c r="N691" s="1" t="n">
        <v>4</v>
      </c>
      <c r="O691" s="1" t="n">
        <v>0</v>
      </c>
    </row>
    <row r="692" customFormat="false" ht="14.25" hidden="false" customHeight="false" outlineLevel="0" collapsed="false">
      <c r="A692" s="1" t="n">
        <v>44</v>
      </c>
      <c r="B692" s="1" t="s">
        <v>624</v>
      </c>
      <c r="C692" s="1" t="s">
        <v>625</v>
      </c>
      <c r="D692" s="196" t="n">
        <v>2568</v>
      </c>
      <c r="E692" s="196" t="s">
        <v>51</v>
      </c>
      <c r="F692" s="201" t="n">
        <v>200025888158</v>
      </c>
      <c r="G692" s="198" t="s">
        <v>630</v>
      </c>
      <c r="H692" s="163" t="s">
        <v>193</v>
      </c>
      <c r="I692" s="161" t="n">
        <v>30</v>
      </c>
      <c r="J692" s="156" t="s">
        <v>192</v>
      </c>
      <c r="K692" s="200" t="n">
        <v>45452.0107175926</v>
      </c>
      <c r="L692" s="3" t="n">
        <v>40</v>
      </c>
      <c r="M692" s="3" t="n">
        <v>40</v>
      </c>
      <c r="N692" s="1" t="n">
        <v>5</v>
      </c>
      <c r="O692" s="1" t="n">
        <v>1</v>
      </c>
    </row>
    <row r="693" customFormat="false" ht="14.25" hidden="false" customHeight="false" outlineLevel="0" collapsed="false">
      <c r="A693" s="1" t="n">
        <v>45</v>
      </c>
      <c r="B693" s="1" t="s">
        <v>624</v>
      </c>
      <c r="C693" s="1" t="s">
        <v>625</v>
      </c>
      <c r="D693" s="196" t="n">
        <v>2568</v>
      </c>
      <c r="E693" s="196" t="s">
        <v>51</v>
      </c>
      <c r="F693" s="201" t="n">
        <v>200025888158</v>
      </c>
      <c r="G693" s="198" t="s">
        <v>630</v>
      </c>
      <c r="H693" s="163" t="s">
        <v>193</v>
      </c>
      <c r="I693" s="161" t="n">
        <v>30</v>
      </c>
      <c r="J693" s="156" t="s">
        <v>192</v>
      </c>
      <c r="K693" s="200" t="n">
        <v>45452.0107291667</v>
      </c>
      <c r="L693" s="3" t="n">
        <v>40</v>
      </c>
      <c r="M693" s="3" t="n">
        <v>40</v>
      </c>
      <c r="N693" s="1" t="n">
        <v>6</v>
      </c>
      <c r="O693" s="10" t="n">
        <v>1335</v>
      </c>
    </row>
    <row r="694" customFormat="false" ht="14.25" hidden="false" customHeight="false" outlineLevel="0" collapsed="false">
      <c r="A694" s="1" t="n">
        <v>46</v>
      </c>
      <c r="B694" s="1" t="s">
        <v>624</v>
      </c>
      <c r="C694" s="1" t="s">
        <v>625</v>
      </c>
      <c r="D694" s="196" t="n">
        <v>2568</v>
      </c>
      <c r="E694" s="196" t="s">
        <v>51</v>
      </c>
      <c r="F694" s="201" t="n">
        <v>200025888158</v>
      </c>
      <c r="G694" s="198" t="s">
        <v>630</v>
      </c>
      <c r="H694" s="163" t="s">
        <v>193</v>
      </c>
      <c r="I694" s="161" t="n">
        <v>30</v>
      </c>
      <c r="J694" s="156" t="s">
        <v>192</v>
      </c>
      <c r="K694" s="200" t="n">
        <v>45452.1212152778</v>
      </c>
      <c r="L694" s="3" t="n">
        <v>40</v>
      </c>
      <c r="M694" s="3" t="n">
        <v>40</v>
      </c>
      <c r="N694" s="1" t="n">
        <v>7</v>
      </c>
      <c r="O694" s="10" t="n">
        <v>794</v>
      </c>
    </row>
    <row r="695" customFormat="false" ht="14.25" hidden="false" customHeight="false" outlineLevel="0" collapsed="false">
      <c r="A695" s="1" t="n">
        <v>30</v>
      </c>
      <c r="B695" s="1" t="s">
        <v>637</v>
      </c>
      <c r="C695" s="1" t="s">
        <v>638</v>
      </c>
      <c r="D695" s="1" t="n">
        <v>21296</v>
      </c>
      <c r="E695" s="1" t="s">
        <v>57</v>
      </c>
      <c r="F695" s="201" t="n">
        <v>200025888158</v>
      </c>
      <c r="G695" s="198" t="s">
        <v>630</v>
      </c>
      <c r="H695" s="163" t="s">
        <v>193</v>
      </c>
      <c r="I695" s="161" t="n">
        <v>30</v>
      </c>
      <c r="J695" s="156" t="s">
        <v>192</v>
      </c>
      <c r="K695" s="200" t="n">
        <v>45452.2109953704</v>
      </c>
      <c r="L695" s="3" t="n">
        <v>40</v>
      </c>
      <c r="M695" s="3" t="n">
        <v>40</v>
      </c>
      <c r="N695" s="1" t="n">
        <v>8</v>
      </c>
      <c r="O695" s="1" t="n">
        <v>0</v>
      </c>
    </row>
    <row r="696" customFormat="false" ht="14.25" hidden="false" customHeight="false" outlineLevel="0" collapsed="false">
      <c r="A696" s="1" t="n">
        <v>47</v>
      </c>
      <c r="B696" s="1" t="s">
        <v>624</v>
      </c>
      <c r="C696" s="1" t="s">
        <v>625</v>
      </c>
      <c r="D696" s="196" t="n">
        <v>2568</v>
      </c>
      <c r="E696" s="196" t="s">
        <v>51</v>
      </c>
      <c r="F696" s="201" t="n">
        <v>200025888158</v>
      </c>
      <c r="G696" s="198" t="s">
        <v>630</v>
      </c>
      <c r="H696" s="163" t="s">
        <v>193</v>
      </c>
      <c r="I696" s="161" t="n">
        <v>30</v>
      </c>
      <c r="J696" s="156" t="s">
        <v>192</v>
      </c>
      <c r="K696" s="200" t="n">
        <v>45452.2334143519</v>
      </c>
      <c r="L696" s="3" t="n">
        <v>40</v>
      </c>
      <c r="M696" s="3" t="n">
        <v>40</v>
      </c>
      <c r="N696" s="1" t="n">
        <v>9</v>
      </c>
      <c r="O696" s="1" t="n">
        <v>0</v>
      </c>
    </row>
    <row r="697" customFormat="false" ht="14.25" hidden="false" customHeight="false" outlineLevel="0" collapsed="false">
      <c r="A697" s="1" t="n">
        <v>34</v>
      </c>
      <c r="B697" s="1" t="s">
        <v>637</v>
      </c>
      <c r="C697" s="1" t="s">
        <v>638</v>
      </c>
      <c r="D697" s="1" t="n">
        <v>21296</v>
      </c>
      <c r="E697" s="1" t="s">
        <v>57</v>
      </c>
      <c r="F697" s="198" t="n">
        <v>200025888158</v>
      </c>
      <c r="G697" s="198" t="s">
        <v>630</v>
      </c>
      <c r="H697" s="163" t="s">
        <v>193</v>
      </c>
      <c r="I697" s="161" t="n">
        <v>30</v>
      </c>
      <c r="J697" s="156" t="s">
        <v>192</v>
      </c>
      <c r="K697" s="200" t="n">
        <v>45452.3300694445</v>
      </c>
      <c r="L697" s="3" t="n">
        <v>40</v>
      </c>
      <c r="M697" s="3" t="n">
        <v>40</v>
      </c>
      <c r="N697" s="1" t="n">
        <v>10</v>
      </c>
      <c r="O697" s="1" t="n">
        <v>0</v>
      </c>
    </row>
    <row r="698" customFormat="false" ht="14.25" hidden="false" customHeight="false" outlineLevel="0" collapsed="false">
      <c r="A698" s="1" t="n">
        <v>50</v>
      </c>
      <c r="B698" s="1" t="s">
        <v>624</v>
      </c>
      <c r="C698" s="1" t="s">
        <v>625</v>
      </c>
      <c r="D698" s="196" t="n">
        <v>2568</v>
      </c>
      <c r="E698" s="196" t="s">
        <v>51</v>
      </c>
      <c r="F698" s="201" t="n">
        <v>200025888158</v>
      </c>
      <c r="G698" s="198" t="s">
        <v>630</v>
      </c>
      <c r="H698" s="163" t="s">
        <v>193</v>
      </c>
      <c r="I698" s="161" t="n">
        <v>30</v>
      </c>
      <c r="J698" s="156" t="s">
        <v>192</v>
      </c>
      <c r="K698" s="200" t="n">
        <v>45452.3320601852</v>
      </c>
      <c r="L698" s="3" t="n">
        <v>40</v>
      </c>
      <c r="M698" s="3" t="n">
        <v>40</v>
      </c>
      <c r="N698" s="1" t="n">
        <v>11</v>
      </c>
      <c r="O698" s="1" t="n">
        <v>0</v>
      </c>
    </row>
    <row r="699" customFormat="false" ht="14.25" hidden="false" customHeight="false" outlineLevel="0" collapsed="false">
      <c r="A699" s="1" t="n">
        <v>51</v>
      </c>
      <c r="B699" s="1" t="s">
        <v>624</v>
      </c>
      <c r="C699" s="1" t="s">
        <v>625</v>
      </c>
      <c r="D699" s="196" t="n">
        <v>2568</v>
      </c>
      <c r="E699" s="196" t="s">
        <v>51</v>
      </c>
      <c r="F699" s="201" t="n">
        <v>200025888158</v>
      </c>
      <c r="G699" s="198" t="s">
        <v>630</v>
      </c>
      <c r="H699" s="163" t="s">
        <v>193</v>
      </c>
      <c r="I699" s="161" t="n">
        <v>30</v>
      </c>
      <c r="J699" s="156" t="s">
        <v>192</v>
      </c>
      <c r="K699" s="200" t="n">
        <v>45452.3320601852</v>
      </c>
      <c r="L699" s="3" t="n">
        <v>40</v>
      </c>
      <c r="M699" s="3" t="n">
        <v>40</v>
      </c>
      <c r="N699" s="1" t="n">
        <v>12</v>
      </c>
      <c r="O699" s="1" t="n">
        <v>5</v>
      </c>
    </row>
    <row r="700" customFormat="false" ht="14.25" hidden="false" customHeight="false" outlineLevel="0" collapsed="false">
      <c r="A700" s="1" t="n">
        <v>66</v>
      </c>
      <c r="B700" s="1" t="s">
        <v>565</v>
      </c>
      <c r="C700" s="1" t="s">
        <v>566</v>
      </c>
      <c r="D700" s="1" t="n">
        <v>11171</v>
      </c>
      <c r="E700" s="1" t="s">
        <v>55</v>
      </c>
      <c r="F700" s="198" t="n">
        <v>200025888158</v>
      </c>
      <c r="G700" s="198" t="s">
        <v>630</v>
      </c>
      <c r="H700" s="163" t="s">
        <v>193</v>
      </c>
      <c r="I700" s="161" t="n">
        <v>30</v>
      </c>
      <c r="J700" s="156" t="s">
        <v>192</v>
      </c>
      <c r="K700" s="199" t="n">
        <v>45452.3797800926</v>
      </c>
      <c r="L700" s="3" t="n">
        <v>40</v>
      </c>
      <c r="M700" s="3" t="n">
        <v>40</v>
      </c>
      <c r="N700" s="1" t="n">
        <v>13</v>
      </c>
      <c r="O700" s="1" t="n">
        <v>1</v>
      </c>
    </row>
    <row r="701" customFormat="false" ht="14.25" hidden="false" customHeight="false" outlineLevel="0" collapsed="false">
      <c r="A701" s="1" t="n">
        <v>67</v>
      </c>
      <c r="B701" s="1" t="s">
        <v>565</v>
      </c>
      <c r="C701" s="1" t="s">
        <v>566</v>
      </c>
      <c r="D701" s="1" t="n">
        <v>11171</v>
      </c>
      <c r="E701" s="1" t="s">
        <v>55</v>
      </c>
      <c r="F701" s="198" t="n">
        <v>200025888158</v>
      </c>
      <c r="G701" s="198" t="s">
        <v>630</v>
      </c>
      <c r="H701" s="163" t="s">
        <v>193</v>
      </c>
      <c r="I701" s="161" t="n">
        <v>30</v>
      </c>
      <c r="J701" s="156" t="s">
        <v>192</v>
      </c>
      <c r="K701" s="199" t="n">
        <v>45452.3800115741</v>
      </c>
      <c r="L701" s="3" t="n">
        <v>40</v>
      </c>
      <c r="M701" s="3" t="n">
        <v>40</v>
      </c>
      <c r="N701" s="1" t="n">
        <v>14</v>
      </c>
      <c r="O701" s="1" t="n">
        <v>3</v>
      </c>
    </row>
    <row r="702" customFormat="false" ht="14.25" hidden="false" customHeight="false" outlineLevel="0" collapsed="false">
      <c r="A702" s="1" t="n">
        <v>71</v>
      </c>
      <c r="B702" s="1" t="s">
        <v>565</v>
      </c>
      <c r="C702" s="1" t="s">
        <v>566</v>
      </c>
      <c r="D702" s="1" t="n">
        <v>11171</v>
      </c>
      <c r="E702" s="1" t="s">
        <v>55</v>
      </c>
      <c r="F702" s="198" t="n">
        <v>200025888158</v>
      </c>
      <c r="G702" s="198" t="s">
        <v>630</v>
      </c>
      <c r="H702" s="163" t="s">
        <v>193</v>
      </c>
      <c r="I702" s="161" t="n">
        <v>30</v>
      </c>
      <c r="J702" s="156" t="s">
        <v>192</v>
      </c>
      <c r="K702" s="199" t="n">
        <v>45452.3821296296</v>
      </c>
      <c r="L702" s="3" t="n">
        <v>40</v>
      </c>
      <c r="M702" s="3" t="n">
        <v>40</v>
      </c>
      <c r="N702" s="1" t="n">
        <v>15</v>
      </c>
      <c r="O702" s="1" t="n">
        <v>1</v>
      </c>
    </row>
    <row r="703" customFormat="false" ht="14.25" hidden="false" customHeight="false" outlineLevel="0" collapsed="false">
      <c r="A703" s="1" t="n">
        <v>106</v>
      </c>
      <c r="B703" s="1" t="s">
        <v>702</v>
      </c>
      <c r="C703" s="1" t="s">
        <v>703</v>
      </c>
      <c r="D703" s="1" t="n">
        <v>11197</v>
      </c>
      <c r="E703" s="1" t="s">
        <v>53</v>
      </c>
      <c r="F703" s="201" t="n">
        <v>200025888158</v>
      </c>
      <c r="G703" s="198" t="s">
        <v>630</v>
      </c>
      <c r="H703" s="163" t="s">
        <v>193</v>
      </c>
      <c r="I703" s="161" t="n">
        <v>30</v>
      </c>
      <c r="J703" s="156" t="s">
        <v>192</v>
      </c>
      <c r="K703" s="200" t="n">
        <v>45452.397037037</v>
      </c>
      <c r="L703" s="3" t="n">
        <v>40</v>
      </c>
      <c r="M703" s="3" t="n">
        <v>40</v>
      </c>
      <c r="N703" s="1" t="n">
        <v>16</v>
      </c>
      <c r="O703" s="1" t="n">
        <v>2</v>
      </c>
    </row>
    <row r="704" customFormat="false" ht="14.25" hidden="false" customHeight="false" outlineLevel="0" collapsed="false">
      <c r="A704" s="1" t="n">
        <v>107</v>
      </c>
      <c r="B704" s="1" t="s">
        <v>702</v>
      </c>
      <c r="C704" s="1" t="s">
        <v>703</v>
      </c>
      <c r="D704" s="1" t="n">
        <v>11197</v>
      </c>
      <c r="E704" s="1" t="s">
        <v>53</v>
      </c>
      <c r="F704" s="201" t="n">
        <v>200025888158</v>
      </c>
      <c r="G704" s="198" t="s">
        <v>630</v>
      </c>
      <c r="H704" s="163" t="s">
        <v>193</v>
      </c>
      <c r="I704" s="161" t="n">
        <v>30</v>
      </c>
      <c r="J704" s="156" t="s">
        <v>192</v>
      </c>
      <c r="K704" s="200" t="n">
        <v>45452.3979050926</v>
      </c>
      <c r="L704" s="3" t="n">
        <v>40</v>
      </c>
      <c r="M704" s="3" t="n">
        <v>40</v>
      </c>
      <c r="N704" s="1" t="n">
        <v>17</v>
      </c>
      <c r="O704" s="1" t="n">
        <v>5</v>
      </c>
    </row>
    <row r="705" customFormat="false" ht="14.25" hidden="false" customHeight="false" outlineLevel="0" collapsed="false">
      <c r="A705" s="1" t="n">
        <v>108</v>
      </c>
      <c r="B705" s="1" t="s">
        <v>702</v>
      </c>
      <c r="C705" s="1" t="s">
        <v>703</v>
      </c>
      <c r="D705" s="1" t="n">
        <v>11197</v>
      </c>
      <c r="E705" s="1" t="s">
        <v>53</v>
      </c>
      <c r="F705" s="201" t="n">
        <v>200025888158</v>
      </c>
      <c r="G705" s="198" t="s">
        <v>630</v>
      </c>
      <c r="H705" s="163" t="s">
        <v>193</v>
      </c>
      <c r="I705" s="161" t="n">
        <v>30</v>
      </c>
      <c r="J705" s="156" t="s">
        <v>192</v>
      </c>
      <c r="K705" s="200" t="n">
        <v>45452.3981018519</v>
      </c>
      <c r="L705" s="3" t="n">
        <v>40</v>
      </c>
      <c r="M705" s="3" t="n">
        <v>40</v>
      </c>
      <c r="N705" s="1" t="n">
        <v>18</v>
      </c>
      <c r="O705" s="1" t="n">
        <v>2</v>
      </c>
    </row>
    <row r="706" customFormat="false" ht="14.25" hidden="false" customHeight="false" outlineLevel="0" collapsed="false">
      <c r="A706" s="1" t="n">
        <v>94</v>
      </c>
      <c r="B706" s="1" t="s">
        <v>565</v>
      </c>
      <c r="C706" s="1" t="s">
        <v>566</v>
      </c>
      <c r="D706" s="1" t="n">
        <v>11171</v>
      </c>
      <c r="E706" s="1" t="s">
        <v>55</v>
      </c>
      <c r="F706" s="198" t="n">
        <v>200025888158</v>
      </c>
      <c r="G706" s="198" t="s">
        <v>630</v>
      </c>
      <c r="H706" s="163" t="s">
        <v>193</v>
      </c>
      <c r="I706" s="161" t="n">
        <v>30</v>
      </c>
      <c r="J706" s="156" t="s">
        <v>192</v>
      </c>
      <c r="K706" s="199" t="n">
        <v>45452.4667361111</v>
      </c>
      <c r="L706" s="3" t="n">
        <v>40</v>
      </c>
      <c r="M706" s="3" t="n">
        <v>40</v>
      </c>
      <c r="N706" s="1" t="n">
        <v>19</v>
      </c>
      <c r="O706" s="1" t="n">
        <v>3</v>
      </c>
    </row>
    <row r="707" customFormat="false" ht="14.25" hidden="false" customHeight="false" outlineLevel="0" collapsed="false">
      <c r="A707" s="1" t="n">
        <v>114</v>
      </c>
      <c r="B707" s="1" t="s">
        <v>565</v>
      </c>
      <c r="C707" s="1" t="s">
        <v>566</v>
      </c>
      <c r="D707" s="1" t="n">
        <v>11171</v>
      </c>
      <c r="E707" s="1" t="s">
        <v>55</v>
      </c>
      <c r="F707" s="198" t="n">
        <v>200025888158</v>
      </c>
      <c r="G707" s="198" t="s">
        <v>630</v>
      </c>
      <c r="H707" s="163" t="s">
        <v>193</v>
      </c>
      <c r="I707" s="161" t="n">
        <v>30</v>
      </c>
      <c r="J707" s="156" t="s">
        <v>192</v>
      </c>
      <c r="K707" s="199" t="n">
        <v>45452.5267824074</v>
      </c>
      <c r="L707" s="3" t="n">
        <v>40</v>
      </c>
      <c r="M707" s="3" t="n">
        <v>40</v>
      </c>
      <c r="N707" s="1" t="n">
        <v>20</v>
      </c>
      <c r="O707" s="1" t="n">
        <v>2</v>
      </c>
    </row>
    <row r="708" customFormat="false" ht="14.25" hidden="false" customHeight="false" outlineLevel="0" collapsed="false">
      <c r="A708" s="1" t="n">
        <v>115</v>
      </c>
      <c r="B708" s="1" t="s">
        <v>565</v>
      </c>
      <c r="C708" s="1" t="s">
        <v>566</v>
      </c>
      <c r="D708" s="1" t="n">
        <v>11171</v>
      </c>
      <c r="E708" s="1" t="s">
        <v>55</v>
      </c>
      <c r="F708" s="198" t="n">
        <v>200025888158</v>
      </c>
      <c r="G708" s="198" t="s">
        <v>630</v>
      </c>
      <c r="H708" s="163" t="s">
        <v>193</v>
      </c>
      <c r="I708" s="161" t="n">
        <v>30</v>
      </c>
      <c r="J708" s="156" t="s">
        <v>192</v>
      </c>
      <c r="K708" s="199" t="n">
        <v>45452.5429282407</v>
      </c>
      <c r="L708" s="3" t="n">
        <v>40</v>
      </c>
      <c r="M708" s="3" t="n">
        <v>40</v>
      </c>
      <c r="N708" s="1" t="n">
        <v>21</v>
      </c>
      <c r="O708" s="1" t="n">
        <v>2</v>
      </c>
    </row>
    <row r="709" customFormat="false" ht="14.25" hidden="false" customHeight="false" outlineLevel="0" collapsed="false">
      <c r="A709" s="1" t="n">
        <v>116</v>
      </c>
      <c r="B709" s="1" t="s">
        <v>565</v>
      </c>
      <c r="C709" s="1" t="s">
        <v>566</v>
      </c>
      <c r="D709" s="1" t="n">
        <v>11171</v>
      </c>
      <c r="E709" s="1" t="s">
        <v>55</v>
      </c>
      <c r="F709" s="198" t="n">
        <v>200025888158</v>
      </c>
      <c r="G709" s="198" t="s">
        <v>630</v>
      </c>
      <c r="H709" s="163" t="s">
        <v>193</v>
      </c>
      <c r="I709" s="161" t="n">
        <v>30</v>
      </c>
      <c r="J709" s="156" t="s">
        <v>192</v>
      </c>
      <c r="K709" s="199" t="n">
        <v>45452.5437037037</v>
      </c>
      <c r="L709" s="3" t="n">
        <v>40</v>
      </c>
      <c r="M709" s="3" t="n">
        <v>40</v>
      </c>
      <c r="N709" s="1" t="n">
        <v>22</v>
      </c>
      <c r="O709" s="1" t="n">
        <v>2</v>
      </c>
    </row>
    <row r="710" customFormat="false" ht="14.25" hidden="false" customHeight="false" outlineLevel="0" collapsed="false">
      <c r="A710" s="1" t="n">
        <v>117</v>
      </c>
      <c r="B710" s="1" t="s">
        <v>565</v>
      </c>
      <c r="C710" s="1" t="s">
        <v>566</v>
      </c>
      <c r="D710" s="1" t="n">
        <v>11171</v>
      </c>
      <c r="E710" s="1" t="s">
        <v>55</v>
      </c>
      <c r="F710" s="198" t="n">
        <v>200025888158</v>
      </c>
      <c r="G710" s="198" t="s">
        <v>630</v>
      </c>
      <c r="H710" s="163" t="s">
        <v>193</v>
      </c>
      <c r="I710" s="161" t="n">
        <v>30</v>
      </c>
      <c r="J710" s="156" t="s">
        <v>192</v>
      </c>
      <c r="K710" s="199" t="n">
        <v>45452.5438541667</v>
      </c>
      <c r="L710" s="3" t="n">
        <v>40</v>
      </c>
      <c r="M710" s="3" t="n">
        <v>40</v>
      </c>
      <c r="N710" s="1" t="n">
        <v>23</v>
      </c>
      <c r="O710" s="1" t="n">
        <v>2</v>
      </c>
    </row>
    <row r="711" customFormat="false" ht="14.25" hidden="false" customHeight="false" outlineLevel="0" collapsed="false">
      <c r="A711" s="1" t="n">
        <v>124</v>
      </c>
      <c r="B711" s="1" t="s">
        <v>565</v>
      </c>
      <c r="C711" s="1" t="s">
        <v>566</v>
      </c>
      <c r="D711" s="1" t="n">
        <v>11171</v>
      </c>
      <c r="E711" s="1" t="s">
        <v>55</v>
      </c>
      <c r="F711" s="198" t="n">
        <v>200025888158</v>
      </c>
      <c r="G711" s="198" t="s">
        <v>630</v>
      </c>
      <c r="H711" s="163" t="s">
        <v>193</v>
      </c>
      <c r="I711" s="161" t="n">
        <v>30</v>
      </c>
      <c r="J711" s="156" t="s">
        <v>192</v>
      </c>
      <c r="K711" s="199" t="n">
        <v>45452.5707638889</v>
      </c>
      <c r="L711" s="3" t="n">
        <v>40</v>
      </c>
      <c r="M711" s="3" t="n">
        <v>40</v>
      </c>
      <c r="N711" s="1" t="n">
        <v>24</v>
      </c>
      <c r="O711" s="1" t="n">
        <v>3</v>
      </c>
    </row>
    <row r="712" customFormat="false" ht="14.25" hidden="false" customHeight="false" outlineLevel="0" collapsed="false">
      <c r="A712" s="1" t="n">
        <v>145</v>
      </c>
      <c r="B712" s="1" t="s">
        <v>702</v>
      </c>
      <c r="C712" s="1" t="s">
        <v>703</v>
      </c>
      <c r="D712" s="1" t="n">
        <v>11197</v>
      </c>
      <c r="E712" s="1" t="s">
        <v>53</v>
      </c>
      <c r="F712" s="201" t="n">
        <v>200025888158</v>
      </c>
      <c r="G712" s="198" t="s">
        <v>630</v>
      </c>
      <c r="H712" s="163" t="s">
        <v>193</v>
      </c>
      <c r="I712" s="161" t="n">
        <v>30</v>
      </c>
      <c r="J712" s="156" t="s">
        <v>192</v>
      </c>
      <c r="K712" s="200" t="n">
        <v>45452.5913657407</v>
      </c>
      <c r="L712" s="3" t="n">
        <v>40</v>
      </c>
      <c r="M712" s="3" t="n">
        <v>40</v>
      </c>
      <c r="N712" s="1" t="n">
        <v>25</v>
      </c>
      <c r="O712" s="1" t="n">
        <v>2</v>
      </c>
    </row>
    <row r="713" customFormat="false" ht="14.25" hidden="false" customHeight="false" outlineLevel="0" collapsed="false">
      <c r="A713" s="1" t="n">
        <v>55</v>
      </c>
      <c r="B713" s="1" t="s">
        <v>624</v>
      </c>
      <c r="C713" s="1" t="s">
        <v>625</v>
      </c>
      <c r="D713" s="1" t="n">
        <v>21261</v>
      </c>
      <c r="E713" s="1" t="s">
        <v>57</v>
      </c>
      <c r="F713" s="201" t="n">
        <v>200025888224</v>
      </c>
      <c r="G713" s="198" t="s">
        <v>656</v>
      </c>
      <c r="H713" s="163" t="s">
        <v>245</v>
      </c>
      <c r="I713" s="161" t="n">
        <v>8</v>
      </c>
      <c r="J713" s="156" t="s">
        <v>192</v>
      </c>
      <c r="K713" s="200" t="n">
        <v>45434.5035416667</v>
      </c>
      <c r="L713" s="3" t="n">
        <v>41</v>
      </c>
      <c r="M713" s="3" t="n">
        <v>41</v>
      </c>
      <c r="N713" s="1" t="n">
        <v>1</v>
      </c>
      <c r="O713" s="1" t="n">
        <v>0</v>
      </c>
    </row>
    <row r="714" customFormat="false" ht="14.25" hidden="false" customHeight="false" outlineLevel="0" collapsed="false">
      <c r="A714" s="1" t="n">
        <v>32</v>
      </c>
      <c r="B714" s="1" t="s">
        <v>565</v>
      </c>
      <c r="C714" s="1" t="s">
        <v>566</v>
      </c>
      <c r="D714" s="196" t="n">
        <v>2644</v>
      </c>
      <c r="E714" s="196" t="s">
        <v>51</v>
      </c>
      <c r="F714" s="197" t="s">
        <v>655</v>
      </c>
      <c r="G714" s="198" t="s">
        <v>656</v>
      </c>
      <c r="H714" s="163" t="s">
        <v>245</v>
      </c>
      <c r="I714" s="161" t="n">
        <v>8</v>
      </c>
      <c r="J714" s="156" t="s">
        <v>192</v>
      </c>
      <c r="K714" s="199" t="n">
        <v>45434.5625347222</v>
      </c>
      <c r="L714" s="3" t="n">
        <v>41</v>
      </c>
      <c r="M714" s="3" t="n">
        <v>41</v>
      </c>
      <c r="N714" s="1" t="n">
        <v>2</v>
      </c>
      <c r="O714" s="1" t="n">
        <v>0</v>
      </c>
    </row>
    <row r="715" customFormat="false" ht="14.25" hidden="false" customHeight="false" outlineLevel="0" collapsed="false">
      <c r="A715" s="1" t="n">
        <v>33</v>
      </c>
      <c r="B715" s="1" t="s">
        <v>565</v>
      </c>
      <c r="C715" s="1" t="s">
        <v>566</v>
      </c>
      <c r="D715" s="196" t="n">
        <v>2644</v>
      </c>
      <c r="E715" s="196" t="s">
        <v>51</v>
      </c>
      <c r="F715" s="197" t="s">
        <v>655</v>
      </c>
      <c r="G715" s="198" t="s">
        <v>656</v>
      </c>
      <c r="H715" s="163" t="s">
        <v>245</v>
      </c>
      <c r="I715" s="161" t="n">
        <v>8</v>
      </c>
      <c r="J715" s="156" t="s">
        <v>192</v>
      </c>
      <c r="K715" s="199" t="n">
        <v>45434.5625462963</v>
      </c>
      <c r="L715" s="3" t="n">
        <v>41</v>
      </c>
      <c r="M715" s="3" t="n">
        <v>41</v>
      </c>
      <c r="N715" s="1" t="n">
        <v>3</v>
      </c>
      <c r="O715" s="1" t="n">
        <v>0</v>
      </c>
    </row>
    <row r="716" customFormat="false" ht="14.25" hidden="false" customHeight="false" outlineLevel="0" collapsed="false">
      <c r="A716" s="1" t="n">
        <v>34</v>
      </c>
      <c r="B716" s="1" t="s">
        <v>565</v>
      </c>
      <c r="C716" s="1" t="s">
        <v>566</v>
      </c>
      <c r="D716" s="196" t="n">
        <v>2644</v>
      </c>
      <c r="E716" s="196" t="s">
        <v>51</v>
      </c>
      <c r="F716" s="197" t="s">
        <v>655</v>
      </c>
      <c r="G716" s="198" t="s">
        <v>656</v>
      </c>
      <c r="H716" s="163" t="s">
        <v>245</v>
      </c>
      <c r="I716" s="161" t="n">
        <v>8</v>
      </c>
      <c r="J716" s="156" t="s">
        <v>192</v>
      </c>
      <c r="K716" s="199" t="n">
        <v>45434.5625462963</v>
      </c>
      <c r="L716" s="3" t="n">
        <v>41</v>
      </c>
      <c r="M716" s="3" t="n">
        <v>41</v>
      </c>
      <c r="N716" s="1" t="n">
        <v>4</v>
      </c>
      <c r="O716" s="1" t="n">
        <v>2</v>
      </c>
    </row>
    <row r="717" customFormat="false" ht="14.25" hidden="false" customHeight="false" outlineLevel="0" collapsed="false">
      <c r="A717" s="1" t="n">
        <v>36</v>
      </c>
      <c r="B717" s="1" t="s">
        <v>565</v>
      </c>
      <c r="C717" s="1" t="s">
        <v>566</v>
      </c>
      <c r="D717" s="196" t="n">
        <v>2644</v>
      </c>
      <c r="E717" s="196" t="s">
        <v>51</v>
      </c>
      <c r="F717" s="197" t="s">
        <v>655</v>
      </c>
      <c r="G717" s="198" t="s">
        <v>656</v>
      </c>
      <c r="H717" s="163" t="s">
        <v>245</v>
      </c>
      <c r="I717" s="161" t="n">
        <v>8</v>
      </c>
      <c r="J717" s="156" t="s">
        <v>192</v>
      </c>
      <c r="K717" s="199" t="n">
        <v>45434.7365856482</v>
      </c>
      <c r="L717" s="3" t="n">
        <v>41</v>
      </c>
      <c r="M717" s="3" t="n">
        <v>41</v>
      </c>
      <c r="N717" s="1" t="n">
        <v>5</v>
      </c>
      <c r="O717" s="1" t="n">
        <v>1</v>
      </c>
    </row>
    <row r="718" customFormat="false" ht="14.25" hidden="false" customHeight="false" outlineLevel="0" collapsed="false">
      <c r="A718" s="1" t="n">
        <v>125</v>
      </c>
      <c r="B718" s="1" t="s">
        <v>702</v>
      </c>
      <c r="C718" s="1" t="s">
        <v>703</v>
      </c>
      <c r="D718" s="1" t="n">
        <v>11197</v>
      </c>
      <c r="E718" s="1" t="s">
        <v>53</v>
      </c>
      <c r="F718" s="201" t="n">
        <v>200025888224</v>
      </c>
      <c r="G718" s="198" t="s">
        <v>656</v>
      </c>
      <c r="H718" s="163" t="s">
        <v>245</v>
      </c>
      <c r="I718" s="161" t="n">
        <v>8</v>
      </c>
      <c r="J718" s="156" t="s">
        <v>192</v>
      </c>
      <c r="K718" s="200" t="n">
        <v>45452.5377314815</v>
      </c>
      <c r="L718" s="3" t="n">
        <v>41</v>
      </c>
      <c r="M718" s="3" t="n">
        <v>41</v>
      </c>
      <c r="N718" s="1" t="n">
        <v>6</v>
      </c>
      <c r="O718" s="1" t="n">
        <v>1</v>
      </c>
    </row>
    <row r="719" customFormat="false" ht="14.25" hidden="false" customHeight="false" outlineLevel="0" collapsed="false">
      <c r="A719" s="1" t="n">
        <v>126</v>
      </c>
      <c r="B719" s="1" t="s">
        <v>702</v>
      </c>
      <c r="C719" s="1" t="s">
        <v>703</v>
      </c>
      <c r="D719" s="1" t="n">
        <v>11197</v>
      </c>
      <c r="E719" s="1" t="s">
        <v>53</v>
      </c>
      <c r="F719" s="201" t="n">
        <v>200025888224</v>
      </c>
      <c r="G719" s="198" t="s">
        <v>656</v>
      </c>
      <c r="H719" s="163" t="s">
        <v>245</v>
      </c>
      <c r="I719" s="161" t="n">
        <v>8</v>
      </c>
      <c r="J719" s="156" t="s">
        <v>192</v>
      </c>
      <c r="K719" s="200" t="n">
        <v>45452.5378819444</v>
      </c>
      <c r="L719" s="3" t="n">
        <v>41</v>
      </c>
      <c r="M719" s="3" t="n">
        <v>41</v>
      </c>
      <c r="N719" s="1" t="n">
        <v>7</v>
      </c>
      <c r="O719" s="1" t="n">
        <v>1</v>
      </c>
    </row>
    <row r="720" customFormat="false" ht="14.25" hidden="false" customHeight="false" outlineLevel="0" collapsed="false">
      <c r="A720" s="1" t="n">
        <v>127</v>
      </c>
      <c r="B720" s="1" t="s">
        <v>702</v>
      </c>
      <c r="C720" s="1" t="s">
        <v>703</v>
      </c>
      <c r="D720" s="1" t="n">
        <v>11197</v>
      </c>
      <c r="E720" s="1" t="s">
        <v>53</v>
      </c>
      <c r="F720" s="201" t="n">
        <v>200025888224</v>
      </c>
      <c r="G720" s="198" t="s">
        <v>656</v>
      </c>
      <c r="H720" s="163" t="s">
        <v>245</v>
      </c>
      <c r="I720" s="161" t="n">
        <v>8</v>
      </c>
      <c r="J720" s="156" t="s">
        <v>192</v>
      </c>
      <c r="K720" s="200" t="n">
        <v>45452.5383217593</v>
      </c>
      <c r="L720" s="3" t="n">
        <v>41</v>
      </c>
      <c r="M720" s="3" t="n">
        <v>41</v>
      </c>
      <c r="N720" s="1" t="n">
        <v>8</v>
      </c>
      <c r="O720" s="1" t="n">
        <v>2</v>
      </c>
    </row>
    <row r="721" customFormat="false" ht="14.25" hidden="false" customHeight="false" outlineLevel="0" collapsed="false">
      <c r="A721" s="1" t="n">
        <v>128</v>
      </c>
      <c r="B721" s="1" t="s">
        <v>702</v>
      </c>
      <c r="C721" s="1" t="s">
        <v>703</v>
      </c>
      <c r="D721" s="1" t="n">
        <v>11197</v>
      </c>
      <c r="E721" s="1" t="s">
        <v>53</v>
      </c>
      <c r="F721" s="201" t="n">
        <v>200025888224</v>
      </c>
      <c r="G721" s="198" t="s">
        <v>656</v>
      </c>
      <c r="H721" s="163" t="s">
        <v>245</v>
      </c>
      <c r="I721" s="161" t="n">
        <v>8</v>
      </c>
      <c r="J721" s="156" t="s">
        <v>192</v>
      </c>
      <c r="K721" s="200" t="n">
        <v>45452.5383449074</v>
      </c>
      <c r="L721" s="3" t="n">
        <v>41</v>
      </c>
      <c r="M721" s="3" t="n">
        <v>41</v>
      </c>
      <c r="N721" s="1" t="n">
        <v>9</v>
      </c>
      <c r="O721" s="1" t="n">
        <v>0</v>
      </c>
    </row>
    <row r="722" customFormat="false" ht="14.25" hidden="false" customHeight="false" outlineLevel="0" collapsed="false">
      <c r="A722" s="1" t="n">
        <v>129</v>
      </c>
      <c r="B722" s="1" t="s">
        <v>702</v>
      </c>
      <c r="C722" s="1" t="s">
        <v>703</v>
      </c>
      <c r="D722" s="1" t="n">
        <v>11197</v>
      </c>
      <c r="E722" s="1" t="s">
        <v>53</v>
      </c>
      <c r="F722" s="201" t="n">
        <v>200025888224</v>
      </c>
      <c r="G722" s="198" t="s">
        <v>656</v>
      </c>
      <c r="H722" s="163" t="s">
        <v>245</v>
      </c>
      <c r="I722" s="161" t="n">
        <v>8</v>
      </c>
      <c r="J722" s="156" t="s">
        <v>192</v>
      </c>
      <c r="K722" s="200" t="n">
        <v>45452.5386342593</v>
      </c>
      <c r="L722" s="3" t="n">
        <v>41</v>
      </c>
      <c r="M722" s="3" t="n">
        <v>41</v>
      </c>
      <c r="N722" s="1" t="n">
        <v>10</v>
      </c>
      <c r="O722" s="1" t="n">
        <v>2</v>
      </c>
    </row>
    <row r="723" customFormat="false" ht="14.25" hidden="false" customHeight="false" outlineLevel="0" collapsed="false">
      <c r="A723" s="1" t="n">
        <v>130</v>
      </c>
      <c r="B723" s="1" t="s">
        <v>702</v>
      </c>
      <c r="C723" s="1" t="s">
        <v>703</v>
      </c>
      <c r="D723" s="1" t="n">
        <v>11197</v>
      </c>
      <c r="E723" s="1" t="s">
        <v>53</v>
      </c>
      <c r="F723" s="201" t="n">
        <v>200025888224</v>
      </c>
      <c r="G723" s="198" t="s">
        <v>656</v>
      </c>
      <c r="H723" s="163" t="s">
        <v>245</v>
      </c>
      <c r="I723" s="161" t="n">
        <v>8</v>
      </c>
      <c r="J723" s="156" t="s">
        <v>192</v>
      </c>
      <c r="K723" s="200" t="n">
        <v>45452.542337963</v>
      </c>
      <c r="L723" s="3" t="n">
        <v>41</v>
      </c>
      <c r="M723" s="3" t="n">
        <v>41</v>
      </c>
      <c r="N723" s="1" t="n">
        <v>11</v>
      </c>
      <c r="O723" s="1" t="n">
        <v>1</v>
      </c>
    </row>
    <row r="724" customFormat="false" ht="14.25" hidden="false" customHeight="false" outlineLevel="0" collapsed="false">
      <c r="A724" s="1" t="n">
        <v>131</v>
      </c>
      <c r="B724" s="1" t="s">
        <v>702</v>
      </c>
      <c r="C724" s="1" t="s">
        <v>703</v>
      </c>
      <c r="D724" s="1" t="n">
        <v>11197</v>
      </c>
      <c r="E724" s="1" t="s">
        <v>53</v>
      </c>
      <c r="F724" s="201" t="n">
        <v>200025888224</v>
      </c>
      <c r="G724" s="198" t="s">
        <v>656</v>
      </c>
      <c r="H724" s="163" t="s">
        <v>245</v>
      </c>
      <c r="I724" s="161" t="n">
        <v>8</v>
      </c>
      <c r="J724" s="156" t="s">
        <v>192</v>
      </c>
      <c r="K724" s="200" t="n">
        <v>45452.5429050926</v>
      </c>
      <c r="L724" s="3" t="n">
        <v>41</v>
      </c>
      <c r="M724" s="3" t="n">
        <v>41</v>
      </c>
      <c r="N724" s="1" t="n">
        <v>12</v>
      </c>
      <c r="O724" s="1" t="n">
        <v>11</v>
      </c>
    </row>
    <row r="725" customFormat="false" ht="14.25" hidden="false" customHeight="false" outlineLevel="0" collapsed="false">
      <c r="A725" s="1" t="n">
        <v>132</v>
      </c>
      <c r="B725" s="1" t="s">
        <v>702</v>
      </c>
      <c r="C725" s="1" t="s">
        <v>703</v>
      </c>
      <c r="D725" s="1" t="n">
        <v>11197</v>
      </c>
      <c r="E725" s="1" t="s">
        <v>53</v>
      </c>
      <c r="F725" s="201" t="n">
        <v>200025888224</v>
      </c>
      <c r="G725" s="198" t="s">
        <v>656</v>
      </c>
      <c r="H725" s="163" t="s">
        <v>245</v>
      </c>
      <c r="I725" s="161" t="n">
        <v>8</v>
      </c>
      <c r="J725" s="156" t="s">
        <v>192</v>
      </c>
      <c r="K725" s="200" t="n">
        <v>45452.5433217593</v>
      </c>
      <c r="L725" s="3" t="n">
        <v>41</v>
      </c>
      <c r="M725" s="3" t="n">
        <v>41</v>
      </c>
      <c r="N725" s="1" t="n">
        <v>13</v>
      </c>
      <c r="O725" s="1" t="n">
        <v>4</v>
      </c>
    </row>
    <row r="726" customFormat="false" ht="14.25" hidden="false" customHeight="false" outlineLevel="0" collapsed="false">
      <c r="A726" s="1" t="n">
        <v>133</v>
      </c>
      <c r="B726" s="1" t="s">
        <v>702</v>
      </c>
      <c r="C726" s="1" t="s">
        <v>703</v>
      </c>
      <c r="D726" s="1" t="n">
        <v>11197</v>
      </c>
      <c r="E726" s="1" t="s">
        <v>53</v>
      </c>
      <c r="F726" s="201" t="n">
        <v>200025888224</v>
      </c>
      <c r="G726" s="198" t="s">
        <v>656</v>
      </c>
      <c r="H726" s="163" t="s">
        <v>245</v>
      </c>
      <c r="I726" s="161" t="n">
        <v>8</v>
      </c>
      <c r="J726" s="156" t="s">
        <v>192</v>
      </c>
      <c r="K726" s="200" t="n">
        <v>45452.5440625</v>
      </c>
      <c r="L726" s="3" t="n">
        <v>41</v>
      </c>
      <c r="M726" s="3" t="n">
        <v>41</v>
      </c>
      <c r="N726" s="1" t="n">
        <v>14</v>
      </c>
      <c r="O726" s="1" t="n">
        <v>1</v>
      </c>
    </row>
    <row r="727" customFormat="false" ht="14.25" hidden="false" customHeight="false" outlineLevel="0" collapsed="false">
      <c r="A727" s="1" t="n">
        <v>134</v>
      </c>
      <c r="B727" s="1" t="s">
        <v>702</v>
      </c>
      <c r="C727" s="1" t="s">
        <v>703</v>
      </c>
      <c r="D727" s="1" t="n">
        <v>11197</v>
      </c>
      <c r="E727" s="1" t="s">
        <v>53</v>
      </c>
      <c r="F727" s="201" t="n">
        <v>200025888224</v>
      </c>
      <c r="G727" s="198" t="s">
        <v>656</v>
      </c>
      <c r="H727" s="163" t="s">
        <v>245</v>
      </c>
      <c r="I727" s="161" t="n">
        <v>8</v>
      </c>
      <c r="J727" s="156" t="s">
        <v>192</v>
      </c>
      <c r="K727" s="200" t="n">
        <v>45452.5445949074</v>
      </c>
      <c r="L727" s="3" t="n">
        <v>41</v>
      </c>
      <c r="M727" s="3" t="n">
        <v>41</v>
      </c>
      <c r="N727" s="1" t="n">
        <v>15</v>
      </c>
      <c r="O727" s="1" t="n">
        <v>2</v>
      </c>
    </row>
    <row r="728" customFormat="false" ht="14.25" hidden="false" customHeight="false" outlineLevel="0" collapsed="false">
      <c r="A728" s="1" t="n">
        <v>135</v>
      </c>
      <c r="B728" s="1" t="s">
        <v>702</v>
      </c>
      <c r="C728" s="1" t="s">
        <v>703</v>
      </c>
      <c r="D728" s="1" t="n">
        <v>11197</v>
      </c>
      <c r="E728" s="1" t="s">
        <v>53</v>
      </c>
      <c r="F728" s="201" t="n">
        <v>200025888224</v>
      </c>
      <c r="G728" s="198" t="s">
        <v>656</v>
      </c>
      <c r="H728" s="163" t="s">
        <v>245</v>
      </c>
      <c r="I728" s="161" t="n">
        <v>8</v>
      </c>
      <c r="J728" s="156" t="s">
        <v>192</v>
      </c>
      <c r="K728" s="200" t="n">
        <v>45452.5518171296</v>
      </c>
      <c r="L728" s="3" t="n">
        <v>41</v>
      </c>
      <c r="M728" s="3" t="n">
        <v>41</v>
      </c>
      <c r="N728" s="1" t="n">
        <v>16</v>
      </c>
      <c r="O728" s="1" t="n">
        <v>1</v>
      </c>
    </row>
    <row r="729" customFormat="false" ht="14.25" hidden="false" customHeight="false" outlineLevel="0" collapsed="false">
      <c r="A729" s="1" t="n">
        <v>136</v>
      </c>
      <c r="B729" s="1" t="s">
        <v>702</v>
      </c>
      <c r="C729" s="1" t="s">
        <v>703</v>
      </c>
      <c r="D729" s="1" t="n">
        <v>11197</v>
      </c>
      <c r="E729" s="1" t="s">
        <v>53</v>
      </c>
      <c r="F729" s="201" t="n">
        <v>200025888224</v>
      </c>
      <c r="G729" s="198" t="s">
        <v>656</v>
      </c>
      <c r="H729" s="163" t="s">
        <v>245</v>
      </c>
      <c r="I729" s="161" t="n">
        <v>8</v>
      </c>
      <c r="J729" s="156" t="s">
        <v>192</v>
      </c>
      <c r="K729" s="200" t="n">
        <v>45452.5523263889</v>
      </c>
      <c r="L729" s="3" t="n">
        <v>41</v>
      </c>
      <c r="M729" s="3" t="n">
        <v>41</v>
      </c>
      <c r="N729" s="1" t="n">
        <v>17</v>
      </c>
      <c r="O729" s="1" t="n">
        <v>1</v>
      </c>
    </row>
    <row r="730" customFormat="false" ht="14.25" hidden="false" customHeight="false" outlineLevel="0" collapsed="false">
      <c r="A730" s="1" t="n">
        <v>137</v>
      </c>
      <c r="B730" s="1" t="s">
        <v>702</v>
      </c>
      <c r="C730" s="1" t="s">
        <v>703</v>
      </c>
      <c r="D730" s="1" t="n">
        <v>11197</v>
      </c>
      <c r="E730" s="1" t="s">
        <v>53</v>
      </c>
      <c r="F730" s="201" t="n">
        <v>200025888224</v>
      </c>
      <c r="G730" s="198" t="s">
        <v>656</v>
      </c>
      <c r="H730" s="163" t="s">
        <v>245</v>
      </c>
      <c r="I730" s="161" t="n">
        <v>8</v>
      </c>
      <c r="J730" s="156" t="s">
        <v>192</v>
      </c>
      <c r="K730" s="200" t="n">
        <v>45452.5527777778</v>
      </c>
      <c r="L730" s="3" t="n">
        <v>41</v>
      </c>
      <c r="M730" s="3" t="n">
        <v>41</v>
      </c>
      <c r="N730" s="1" t="n">
        <v>18</v>
      </c>
      <c r="O730" s="1" t="n">
        <v>1</v>
      </c>
    </row>
    <row r="731" customFormat="false" ht="14.25" hidden="false" customHeight="false" outlineLevel="0" collapsed="false">
      <c r="A731" s="1" t="n">
        <v>159</v>
      </c>
      <c r="B731" s="1" t="s">
        <v>702</v>
      </c>
      <c r="C731" s="1" t="s">
        <v>703</v>
      </c>
      <c r="D731" s="1" t="n">
        <v>11197</v>
      </c>
      <c r="E731" s="1" t="s">
        <v>53</v>
      </c>
      <c r="F731" s="201" t="n">
        <v>200025888224</v>
      </c>
      <c r="G731" s="198" t="s">
        <v>656</v>
      </c>
      <c r="H731" s="163" t="s">
        <v>245</v>
      </c>
      <c r="I731" s="161" t="n">
        <v>8</v>
      </c>
      <c r="J731" s="156" t="s">
        <v>192</v>
      </c>
      <c r="K731" s="200" t="n">
        <v>45452.6751388889</v>
      </c>
      <c r="L731" s="3" t="n">
        <v>41</v>
      </c>
      <c r="M731" s="3" t="n">
        <v>41</v>
      </c>
      <c r="N731" s="1" t="n">
        <v>19</v>
      </c>
      <c r="O731" s="1" t="n">
        <v>1</v>
      </c>
    </row>
    <row r="732" customFormat="false" ht="14.25" hidden="false" customHeight="false" outlineLevel="0" collapsed="false">
      <c r="A732" s="1" t="n">
        <v>164</v>
      </c>
      <c r="B732" s="1" t="s">
        <v>702</v>
      </c>
      <c r="C732" s="1" t="s">
        <v>703</v>
      </c>
      <c r="D732" s="1" t="n">
        <v>11197</v>
      </c>
      <c r="E732" s="1" t="s">
        <v>53</v>
      </c>
      <c r="F732" s="201" t="n">
        <v>200025888224</v>
      </c>
      <c r="G732" s="198" t="s">
        <v>656</v>
      </c>
      <c r="H732" s="163" t="s">
        <v>245</v>
      </c>
      <c r="I732" s="161" t="n">
        <v>8</v>
      </c>
      <c r="J732" s="156" t="s">
        <v>192</v>
      </c>
      <c r="K732" s="200" t="n">
        <v>45452.6796527778</v>
      </c>
      <c r="L732" s="3" t="n">
        <v>41</v>
      </c>
      <c r="M732" s="3" t="n">
        <v>41</v>
      </c>
      <c r="N732" s="1" t="n">
        <v>20</v>
      </c>
      <c r="O732" s="1" t="n">
        <v>1</v>
      </c>
    </row>
    <row r="733" customFormat="false" ht="14.25" hidden="false" customHeight="false" outlineLevel="0" collapsed="false">
      <c r="A733" s="1" t="n">
        <v>137</v>
      </c>
      <c r="B733" s="1" t="s">
        <v>565</v>
      </c>
      <c r="C733" s="1" t="s">
        <v>566</v>
      </c>
      <c r="D733" s="1" t="n">
        <v>11171</v>
      </c>
      <c r="E733" s="1" t="s">
        <v>55</v>
      </c>
      <c r="F733" s="198" t="n">
        <v>200025888224</v>
      </c>
      <c r="G733" s="198" t="s">
        <v>656</v>
      </c>
      <c r="H733" s="163" t="s">
        <v>245</v>
      </c>
      <c r="I733" s="161" t="n">
        <v>8</v>
      </c>
      <c r="J733" s="156" t="s">
        <v>192</v>
      </c>
      <c r="K733" s="199" t="n">
        <v>45452.7324421296</v>
      </c>
      <c r="L733" s="3" t="n">
        <v>41</v>
      </c>
      <c r="M733" s="3" t="n">
        <v>41</v>
      </c>
      <c r="N733" s="1" t="n">
        <v>21</v>
      </c>
      <c r="O733" s="1" t="n">
        <v>1</v>
      </c>
    </row>
    <row r="734" customFormat="false" ht="14.25" hidden="false" customHeight="false" outlineLevel="0" collapsed="false">
      <c r="A734" s="1" t="n">
        <v>138</v>
      </c>
      <c r="B734" s="1" t="s">
        <v>565</v>
      </c>
      <c r="C734" s="1" t="s">
        <v>566</v>
      </c>
      <c r="D734" s="1" t="n">
        <v>11171</v>
      </c>
      <c r="E734" s="1" t="s">
        <v>55</v>
      </c>
      <c r="F734" s="198" t="n">
        <v>200025888224</v>
      </c>
      <c r="G734" s="198" t="s">
        <v>656</v>
      </c>
      <c r="H734" s="163" t="s">
        <v>245</v>
      </c>
      <c r="I734" s="161" t="n">
        <v>8</v>
      </c>
      <c r="J734" s="156" t="s">
        <v>192</v>
      </c>
      <c r="K734" s="199" t="n">
        <v>45452.7326157407</v>
      </c>
      <c r="L734" s="3" t="n">
        <v>41</v>
      </c>
      <c r="M734" s="3" t="n">
        <v>41</v>
      </c>
      <c r="N734" s="1" t="n">
        <v>22</v>
      </c>
      <c r="O734" s="1" t="n">
        <v>1</v>
      </c>
    </row>
    <row r="735" customFormat="false" ht="14.25" hidden="false" customHeight="false" outlineLevel="0" collapsed="false">
      <c r="A735" s="1" t="n">
        <v>139</v>
      </c>
      <c r="B735" s="1" t="s">
        <v>565</v>
      </c>
      <c r="C735" s="1" t="s">
        <v>566</v>
      </c>
      <c r="D735" s="1" t="n">
        <v>11171</v>
      </c>
      <c r="E735" s="1" t="s">
        <v>55</v>
      </c>
      <c r="F735" s="198" t="n">
        <v>200025888224</v>
      </c>
      <c r="G735" s="198" t="s">
        <v>656</v>
      </c>
      <c r="H735" s="163" t="s">
        <v>245</v>
      </c>
      <c r="I735" s="161" t="n">
        <v>8</v>
      </c>
      <c r="J735" s="156" t="s">
        <v>192</v>
      </c>
      <c r="K735" s="199" t="n">
        <v>45452.7327777778</v>
      </c>
      <c r="L735" s="3" t="n">
        <v>41</v>
      </c>
      <c r="M735" s="3" t="n">
        <v>41</v>
      </c>
      <c r="N735" s="1" t="n">
        <v>23</v>
      </c>
      <c r="O735" s="1" t="n">
        <v>0</v>
      </c>
    </row>
    <row r="736" customFormat="false" ht="14.25" hidden="false" customHeight="false" outlineLevel="0" collapsed="false">
      <c r="A736" s="1" t="n">
        <v>141</v>
      </c>
      <c r="B736" s="1" t="s">
        <v>565</v>
      </c>
      <c r="C736" s="1" t="s">
        <v>566</v>
      </c>
      <c r="D736" s="1" t="n">
        <v>11171</v>
      </c>
      <c r="E736" s="1" t="s">
        <v>55</v>
      </c>
      <c r="F736" s="198" t="n">
        <v>200025888224</v>
      </c>
      <c r="G736" s="198" t="s">
        <v>656</v>
      </c>
      <c r="H736" s="163" t="s">
        <v>245</v>
      </c>
      <c r="I736" s="161" t="n">
        <v>8</v>
      </c>
      <c r="J736" s="156" t="s">
        <v>192</v>
      </c>
      <c r="K736" s="199" t="n">
        <v>45452.7338657407</v>
      </c>
      <c r="L736" s="3" t="n">
        <v>41</v>
      </c>
      <c r="M736" s="3" t="n">
        <v>41</v>
      </c>
      <c r="N736" s="1" t="n">
        <v>24</v>
      </c>
      <c r="O736" s="1" t="n">
        <v>2</v>
      </c>
    </row>
    <row r="737" customFormat="false" ht="14.25" hidden="false" customHeight="false" outlineLevel="0" collapsed="false">
      <c r="A737" s="1" t="n">
        <v>142</v>
      </c>
      <c r="B737" s="1" t="s">
        <v>565</v>
      </c>
      <c r="C737" s="1" t="s">
        <v>566</v>
      </c>
      <c r="D737" s="1" t="n">
        <v>11171</v>
      </c>
      <c r="E737" s="1" t="s">
        <v>55</v>
      </c>
      <c r="F737" s="198" t="n">
        <v>200025888224</v>
      </c>
      <c r="G737" s="198" t="s">
        <v>656</v>
      </c>
      <c r="H737" s="163" t="s">
        <v>245</v>
      </c>
      <c r="I737" s="161" t="n">
        <v>8</v>
      </c>
      <c r="J737" s="156" t="s">
        <v>192</v>
      </c>
      <c r="K737" s="199" t="n">
        <v>45452.7341087963</v>
      </c>
      <c r="L737" s="3" t="n">
        <v>41</v>
      </c>
      <c r="M737" s="3" t="n">
        <v>41</v>
      </c>
      <c r="N737" s="1" t="n">
        <v>25</v>
      </c>
      <c r="O737" s="1" t="n">
        <v>1</v>
      </c>
    </row>
    <row r="738" customFormat="false" ht="14.25" hidden="false" customHeight="false" outlineLevel="0" collapsed="false">
      <c r="A738" s="1" t="n">
        <v>143</v>
      </c>
      <c r="B738" s="1" t="s">
        <v>565</v>
      </c>
      <c r="C738" s="1" t="s">
        <v>566</v>
      </c>
      <c r="D738" s="1" t="n">
        <v>11171</v>
      </c>
      <c r="E738" s="1" t="s">
        <v>55</v>
      </c>
      <c r="F738" s="198" t="n">
        <v>200025888224</v>
      </c>
      <c r="G738" s="198" t="s">
        <v>656</v>
      </c>
      <c r="H738" s="163" t="s">
        <v>245</v>
      </c>
      <c r="I738" s="161" t="n">
        <v>8</v>
      </c>
      <c r="J738" s="156" t="s">
        <v>192</v>
      </c>
      <c r="K738" s="199" t="n">
        <v>45452.735150463</v>
      </c>
      <c r="L738" s="3" t="n">
        <v>41</v>
      </c>
      <c r="M738" s="3" t="n">
        <v>41</v>
      </c>
      <c r="N738" s="1" t="n">
        <v>26</v>
      </c>
      <c r="O738" s="1" t="n">
        <v>1</v>
      </c>
    </row>
    <row r="739" customFormat="false" ht="14.25" hidden="false" customHeight="false" outlineLevel="0" collapsed="false">
      <c r="A739" s="1" t="n">
        <v>151</v>
      </c>
      <c r="B739" s="1" t="s">
        <v>565</v>
      </c>
      <c r="C739" s="1" t="s">
        <v>566</v>
      </c>
      <c r="D739" s="1" t="n">
        <v>11171</v>
      </c>
      <c r="E739" s="1" t="s">
        <v>55</v>
      </c>
      <c r="F739" s="198" t="n">
        <v>200025888224</v>
      </c>
      <c r="G739" s="198" t="s">
        <v>656</v>
      </c>
      <c r="H739" s="163" t="s">
        <v>245</v>
      </c>
      <c r="I739" s="161" t="n">
        <v>8</v>
      </c>
      <c r="J739" s="156" t="s">
        <v>192</v>
      </c>
      <c r="K739" s="199" t="n">
        <v>45452.7923726852</v>
      </c>
      <c r="L739" s="3" t="n">
        <v>41</v>
      </c>
      <c r="M739" s="3" t="n">
        <v>41</v>
      </c>
      <c r="N739" s="1" t="n">
        <v>27</v>
      </c>
      <c r="O739" s="1" t="n">
        <v>2</v>
      </c>
    </row>
    <row r="740" customFormat="false" ht="14.25" hidden="false" customHeight="false" outlineLevel="0" collapsed="false">
      <c r="A740" s="1" t="n">
        <v>152</v>
      </c>
      <c r="B740" s="1" t="s">
        <v>565</v>
      </c>
      <c r="C740" s="1" t="s">
        <v>566</v>
      </c>
      <c r="D740" s="1" t="n">
        <v>11171</v>
      </c>
      <c r="E740" s="1" t="s">
        <v>55</v>
      </c>
      <c r="F740" s="198" t="n">
        <v>200025888224</v>
      </c>
      <c r="G740" s="198" t="s">
        <v>656</v>
      </c>
      <c r="H740" s="163" t="s">
        <v>245</v>
      </c>
      <c r="I740" s="161" t="n">
        <v>8</v>
      </c>
      <c r="J740" s="156" t="s">
        <v>192</v>
      </c>
      <c r="K740" s="199" t="n">
        <v>45452.7931597222</v>
      </c>
      <c r="L740" s="3" t="n">
        <v>41</v>
      </c>
      <c r="M740" s="3" t="n">
        <v>41</v>
      </c>
      <c r="N740" s="1" t="n">
        <v>28</v>
      </c>
      <c r="O740" s="1" t="n">
        <v>1</v>
      </c>
    </row>
    <row r="741" customFormat="false" ht="14.25" hidden="false" customHeight="false" outlineLevel="0" collapsed="false">
      <c r="A741" s="1" t="n">
        <v>153</v>
      </c>
      <c r="B741" s="1" t="s">
        <v>565</v>
      </c>
      <c r="C741" s="1" t="s">
        <v>566</v>
      </c>
      <c r="D741" s="1" t="n">
        <v>11171</v>
      </c>
      <c r="E741" s="1" t="s">
        <v>55</v>
      </c>
      <c r="F741" s="198" t="n">
        <v>200025888224</v>
      </c>
      <c r="G741" s="198" t="s">
        <v>656</v>
      </c>
      <c r="H741" s="163" t="s">
        <v>245</v>
      </c>
      <c r="I741" s="161" t="n">
        <v>8</v>
      </c>
      <c r="J741" s="156" t="s">
        <v>192</v>
      </c>
      <c r="K741" s="199" t="n">
        <v>45452.7965740741</v>
      </c>
      <c r="L741" s="3" t="n">
        <v>41</v>
      </c>
      <c r="M741" s="3" t="n">
        <v>41</v>
      </c>
      <c r="N741" s="1" t="n">
        <v>29</v>
      </c>
      <c r="O741" s="1" t="n">
        <v>2</v>
      </c>
    </row>
    <row r="742" customFormat="false" ht="14.25" hidden="false" customHeight="false" outlineLevel="0" collapsed="false">
      <c r="A742" s="1" t="n">
        <v>159</v>
      </c>
      <c r="B742" s="1" t="s">
        <v>565</v>
      </c>
      <c r="C742" s="1" t="s">
        <v>566</v>
      </c>
      <c r="D742" s="1" t="n">
        <v>11171</v>
      </c>
      <c r="E742" s="1" t="s">
        <v>55</v>
      </c>
      <c r="F742" s="198" t="n">
        <v>200025888224</v>
      </c>
      <c r="G742" s="198" t="s">
        <v>656</v>
      </c>
      <c r="H742" s="163" t="s">
        <v>245</v>
      </c>
      <c r="I742" s="161" t="n">
        <v>8</v>
      </c>
      <c r="J742" s="156" t="s">
        <v>192</v>
      </c>
      <c r="K742" s="199" t="n">
        <v>45452.8344675926</v>
      </c>
      <c r="L742" s="3" t="n">
        <v>41</v>
      </c>
      <c r="M742" s="3" t="n">
        <v>41</v>
      </c>
      <c r="N742" s="1" t="n">
        <v>30</v>
      </c>
      <c r="O742" s="1" t="n">
        <v>2</v>
      </c>
    </row>
    <row r="743" customFormat="false" ht="14.25" hidden="false" customHeight="false" outlineLevel="0" collapsed="false">
      <c r="A743" s="1" t="n">
        <v>160</v>
      </c>
      <c r="B743" s="1" t="s">
        <v>565</v>
      </c>
      <c r="C743" s="1" t="s">
        <v>566</v>
      </c>
      <c r="D743" s="1" t="n">
        <v>11171</v>
      </c>
      <c r="E743" s="1" t="s">
        <v>55</v>
      </c>
      <c r="F743" s="198" t="n">
        <v>200025888224</v>
      </c>
      <c r="G743" s="198" t="s">
        <v>656</v>
      </c>
      <c r="H743" s="163" t="s">
        <v>245</v>
      </c>
      <c r="I743" s="161" t="n">
        <v>8</v>
      </c>
      <c r="J743" s="156" t="s">
        <v>192</v>
      </c>
      <c r="K743" s="199" t="n">
        <v>45452.8348842593</v>
      </c>
      <c r="L743" s="3" t="n">
        <v>41</v>
      </c>
      <c r="M743" s="3" t="n">
        <v>41</v>
      </c>
      <c r="N743" s="1" t="n">
        <v>31</v>
      </c>
      <c r="O743" s="1" t="n">
        <v>2</v>
      </c>
    </row>
    <row r="744" customFormat="false" ht="14.25" hidden="false" customHeight="false" outlineLevel="0" collapsed="false">
      <c r="A744" s="1" t="n">
        <v>161</v>
      </c>
      <c r="B744" s="1" t="s">
        <v>565</v>
      </c>
      <c r="C744" s="1" t="s">
        <v>566</v>
      </c>
      <c r="D744" s="1" t="n">
        <v>11171</v>
      </c>
      <c r="E744" s="1" t="s">
        <v>55</v>
      </c>
      <c r="F744" s="198" t="n">
        <v>200025888224</v>
      </c>
      <c r="G744" s="198" t="s">
        <v>656</v>
      </c>
      <c r="H744" s="163" t="s">
        <v>245</v>
      </c>
      <c r="I744" s="161" t="n">
        <v>8</v>
      </c>
      <c r="J744" s="156" t="s">
        <v>192</v>
      </c>
      <c r="K744" s="199" t="n">
        <v>45452.8351157407</v>
      </c>
      <c r="L744" s="3" t="n">
        <v>41</v>
      </c>
      <c r="M744" s="3" t="n">
        <v>41</v>
      </c>
      <c r="N744" s="1" t="n">
        <v>32</v>
      </c>
      <c r="O744" s="1" t="n">
        <v>1</v>
      </c>
    </row>
    <row r="745" customFormat="false" ht="14.25" hidden="false" customHeight="false" outlineLevel="0" collapsed="false">
      <c r="A745" s="1" t="n">
        <v>162</v>
      </c>
      <c r="B745" s="1" t="s">
        <v>565</v>
      </c>
      <c r="C745" s="1" t="s">
        <v>566</v>
      </c>
      <c r="D745" s="1" t="n">
        <v>11171</v>
      </c>
      <c r="E745" s="1" t="s">
        <v>55</v>
      </c>
      <c r="F745" s="198" t="n">
        <v>200025888224</v>
      </c>
      <c r="G745" s="198" t="s">
        <v>656</v>
      </c>
      <c r="H745" s="163" t="s">
        <v>245</v>
      </c>
      <c r="I745" s="161" t="n">
        <v>8</v>
      </c>
      <c r="J745" s="156" t="s">
        <v>192</v>
      </c>
      <c r="K745" s="199" t="n">
        <v>45452.8363194445</v>
      </c>
      <c r="L745" s="3" t="n">
        <v>41</v>
      </c>
      <c r="M745" s="3" t="n">
        <v>41</v>
      </c>
      <c r="N745" s="1" t="n">
        <v>33</v>
      </c>
      <c r="O745" s="1" t="n">
        <v>1</v>
      </c>
    </row>
    <row r="746" customFormat="false" ht="14.25" hidden="false" customHeight="false" outlineLevel="0" collapsed="false">
      <c r="A746" s="1" t="n">
        <v>163</v>
      </c>
      <c r="B746" s="1" t="s">
        <v>565</v>
      </c>
      <c r="C746" s="1" t="s">
        <v>566</v>
      </c>
      <c r="D746" s="1" t="n">
        <v>11171</v>
      </c>
      <c r="E746" s="1" t="s">
        <v>55</v>
      </c>
      <c r="F746" s="198" t="n">
        <v>200025888224</v>
      </c>
      <c r="G746" s="198" t="s">
        <v>656</v>
      </c>
      <c r="H746" s="163" t="s">
        <v>245</v>
      </c>
      <c r="I746" s="161" t="n">
        <v>8</v>
      </c>
      <c r="J746" s="156" t="s">
        <v>192</v>
      </c>
      <c r="K746" s="199" t="n">
        <v>45452.8363310185</v>
      </c>
      <c r="L746" s="3" t="n">
        <v>41</v>
      </c>
      <c r="M746" s="3" t="n">
        <v>41</v>
      </c>
      <c r="N746" s="1" t="n">
        <v>34</v>
      </c>
      <c r="O746" s="10" t="n">
        <v>1078</v>
      </c>
    </row>
    <row r="747" customFormat="false" ht="14.25" hidden="false" customHeight="false" outlineLevel="0" collapsed="false">
      <c r="A747" s="1" t="n">
        <v>199</v>
      </c>
      <c r="B747" s="1" t="s">
        <v>702</v>
      </c>
      <c r="C747" s="1" t="s">
        <v>703</v>
      </c>
      <c r="D747" s="1" t="n">
        <v>11197</v>
      </c>
      <c r="E747" s="1" t="s">
        <v>53</v>
      </c>
      <c r="F747" s="201" t="n">
        <v>200025888224</v>
      </c>
      <c r="G747" s="198" t="s">
        <v>656</v>
      </c>
      <c r="H747" s="163" t="s">
        <v>245</v>
      </c>
      <c r="I747" s="161" t="n">
        <v>8</v>
      </c>
      <c r="J747" s="156" t="s">
        <v>192</v>
      </c>
      <c r="K747" s="200" t="n">
        <v>45452.9663310185</v>
      </c>
      <c r="L747" s="3" t="n">
        <v>41</v>
      </c>
      <c r="M747" s="3" t="n">
        <v>41</v>
      </c>
      <c r="N747" s="1" t="n">
        <v>35</v>
      </c>
      <c r="O747" s="1" t="n">
        <v>1</v>
      </c>
    </row>
    <row r="748" customFormat="false" ht="14.25" hidden="false" customHeight="false" outlineLevel="0" collapsed="false">
      <c r="A748" s="1" t="n">
        <v>200</v>
      </c>
      <c r="B748" s="1" t="s">
        <v>702</v>
      </c>
      <c r="C748" s="1" t="s">
        <v>703</v>
      </c>
      <c r="D748" s="1" t="n">
        <v>11197</v>
      </c>
      <c r="E748" s="1" t="s">
        <v>53</v>
      </c>
      <c r="F748" s="201" t="n">
        <v>200025888224</v>
      </c>
      <c r="G748" s="198" t="s">
        <v>656</v>
      </c>
      <c r="H748" s="163" t="s">
        <v>245</v>
      </c>
      <c r="I748" s="161" t="n">
        <v>8</v>
      </c>
      <c r="J748" s="156" t="s">
        <v>192</v>
      </c>
      <c r="K748" s="200" t="n">
        <v>45452.968912037</v>
      </c>
      <c r="L748" s="3" t="n">
        <v>41</v>
      </c>
      <c r="M748" s="3" t="n">
        <v>41</v>
      </c>
      <c r="N748" s="1" t="n">
        <v>36</v>
      </c>
      <c r="O748" s="1" t="n">
        <v>0</v>
      </c>
    </row>
    <row r="749" customFormat="false" ht="14.25" hidden="false" customHeight="false" outlineLevel="0" collapsed="false">
      <c r="A749" s="1" t="n">
        <v>201</v>
      </c>
      <c r="B749" s="1" t="s">
        <v>702</v>
      </c>
      <c r="C749" s="1" t="s">
        <v>703</v>
      </c>
      <c r="D749" s="1" t="n">
        <v>11197</v>
      </c>
      <c r="E749" s="1" t="s">
        <v>53</v>
      </c>
      <c r="F749" s="201" t="n">
        <v>200025888224</v>
      </c>
      <c r="G749" s="198" t="s">
        <v>656</v>
      </c>
      <c r="H749" s="163" t="s">
        <v>245</v>
      </c>
      <c r="I749" s="161" t="n">
        <v>8</v>
      </c>
      <c r="J749" s="156" t="s">
        <v>192</v>
      </c>
      <c r="K749" s="200" t="n">
        <v>45452.9689236111</v>
      </c>
      <c r="L749" s="3" t="n">
        <v>41</v>
      </c>
      <c r="M749" s="3" t="n">
        <v>41</v>
      </c>
      <c r="N749" s="1" t="n">
        <v>37</v>
      </c>
      <c r="O749" s="207" t="n">
        <v>244</v>
      </c>
    </row>
    <row r="750" customFormat="false" ht="14.25" hidden="false" customHeight="false" outlineLevel="0" collapsed="false">
      <c r="A750" s="1" t="n">
        <v>185</v>
      </c>
      <c r="B750" s="1" t="s">
        <v>565</v>
      </c>
      <c r="C750" s="1" t="s">
        <v>566</v>
      </c>
      <c r="D750" s="1" t="n">
        <v>11171</v>
      </c>
      <c r="E750" s="1" t="s">
        <v>55</v>
      </c>
      <c r="F750" s="198" t="n">
        <v>200025888224</v>
      </c>
      <c r="G750" s="198" t="s">
        <v>656</v>
      </c>
      <c r="H750" s="163" t="s">
        <v>245</v>
      </c>
      <c r="I750" s="161" t="n">
        <v>8</v>
      </c>
      <c r="J750" s="156" t="s">
        <v>192</v>
      </c>
      <c r="K750" s="199" t="n">
        <v>45453.0040972222</v>
      </c>
      <c r="L750" s="3" t="n">
        <v>41</v>
      </c>
      <c r="M750" s="3" t="n">
        <v>41</v>
      </c>
      <c r="N750" s="1" t="n">
        <v>38</v>
      </c>
      <c r="O750" s="1" t="n">
        <v>0</v>
      </c>
    </row>
    <row r="751" customFormat="false" ht="14.25" hidden="false" customHeight="false" outlineLevel="0" collapsed="false">
      <c r="A751" s="1" t="n">
        <v>35</v>
      </c>
      <c r="B751" s="1" t="s">
        <v>565</v>
      </c>
      <c r="C751" s="1" t="s">
        <v>566</v>
      </c>
      <c r="D751" s="196" t="n">
        <v>2644</v>
      </c>
      <c r="E751" s="196" t="s">
        <v>51</v>
      </c>
      <c r="F751" s="197" t="s">
        <v>603</v>
      </c>
      <c r="G751" s="198" t="s">
        <v>604</v>
      </c>
      <c r="H751" s="163" t="s">
        <v>489</v>
      </c>
      <c r="I751" s="161" t="n">
        <v>82</v>
      </c>
      <c r="J751" s="156" t="s">
        <v>192</v>
      </c>
      <c r="K751" s="199" t="n">
        <v>45434.6712847222</v>
      </c>
      <c r="L751" s="3" t="n">
        <v>42</v>
      </c>
      <c r="M751" s="3" t="n">
        <v>42</v>
      </c>
      <c r="N751" s="1" t="n">
        <v>1</v>
      </c>
      <c r="O751" s="1" t="n">
        <v>1</v>
      </c>
    </row>
    <row r="752" customFormat="false" ht="14.25" hidden="false" customHeight="false" outlineLevel="0" collapsed="false">
      <c r="A752" s="1" t="n">
        <v>65</v>
      </c>
      <c r="B752" s="1" t="s">
        <v>624</v>
      </c>
      <c r="C752" s="1" t="s">
        <v>625</v>
      </c>
      <c r="D752" s="1" t="n">
        <v>21261</v>
      </c>
      <c r="E752" s="1" t="s">
        <v>57</v>
      </c>
      <c r="F752" s="201" t="n">
        <v>200025888999</v>
      </c>
      <c r="G752" s="198" t="s">
        <v>604</v>
      </c>
      <c r="H752" s="163" t="s">
        <v>489</v>
      </c>
      <c r="I752" s="161" t="n">
        <v>82</v>
      </c>
      <c r="J752" s="156" t="s">
        <v>192</v>
      </c>
      <c r="K752" s="200" t="n">
        <v>45434.7387037037</v>
      </c>
      <c r="L752" s="3" t="n">
        <v>42</v>
      </c>
      <c r="M752" s="3" t="n">
        <v>42</v>
      </c>
      <c r="N752" s="1" t="n">
        <v>2</v>
      </c>
      <c r="O752" s="10" t="n">
        <v>38</v>
      </c>
    </row>
    <row r="753" customFormat="false" ht="14.25" hidden="false" customHeight="false" outlineLevel="0" collapsed="false">
      <c r="A753" s="1" t="n">
        <v>66</v>
      </c>
      <c r="B753" s="1" t="s">
        <v>624</v>
      </c>
      <c r="C753" s="1" t="s">
        <v>625</v>
      </c>
      <c r="D753" s="1" t="n">
        <v>21261</v>
      </c>
      <c r="E753" s="1" t="s">
        <v>57</v>
      </c>
      <c r="F753" s="201" t="n">
        <v>200025888999</v>
      </c>
      <c r="G753" s="198" t="s">
        <v>604</v>
      </c>
      <c r="H753" s="163" t="s">
        <v>489</v>
      </c>
      <c r="I753" s="161" t="n">
        <v>82</v>
      </c>
      <c r="J753" s="156" t="s">
        <v>192</v>
      </c>
      <c r="K753" s="200" t="n">
        <v>45434.7401157407</v>
      </c>
      <c r="L753" s="3" t="n">
        <v>42</v>
      </c>
      <c r="M753" s="3" t="n">
        <v>42</v>
      </c>
      <c r="N753" s="1" t="n">
        <v>3</v>
      </c>
      <c r="O753" s="1" t="n">
        <v>1</v>
      </c>
    </row>
    <row r="754" customFormat="false" ht="14.25" hidden="false" customHeight="false" outlineLevel="0" collapsed="false">
      <c r="A754" s="1" t="n">
        <v>67</v>
      </c>
      <c r="B754" s="1" t="s">
        <v>624</v>
      </c>
      <c r="C754" s="1" t="s">
        <v>625</v>
      </c>
      <c r="D754" s="1" t="n">
        <v>21261</v>
      </c>
      <c r="E754" s="1" t="s">
        <v>57</v>
      </c>
      <c r="F754" s="201" t="n">
        <v>200025888999</v>
      </c>
      <c r="G754" s="198" t="s">
        <v>604</v>
      </c>
      <c r="H754" s="163" t="s">
        <v>489</v>
      </c>
      <c r="I754" s="161" t="n">
        <v>82</v>
      </c>
      <c r="J754" s="156" t="s">
        <v>192</v>
      </c>
      <c r="K754" s="200" t="n">
        <v>45434.7421180556</v>
      </c>
      <c r="L754" s="3" t="n">
        <v>42</v>
      </c>
      <c r="M754" s="3" t="n">
        <v>42</v>
      </c>
      <c r="N754" s="1" t="n">
        <v>4</v>
      </c>
      <c r="O754" s="1" t="n">
        <v>2</v>
      </c>
    </row>
    <row r="755" customFormat="false" ht="14.25" hidden="false" customHeight="false" outlineLevel="0" collapsed="false">
      <c r="A755" s="1" t="n">
        <v>117</v>
      </c>
      <c r="B755" s="1" t="s">
        <v>624</v>
      </c>
      <c r="C755" s="1" t="s">
        <v>625</v>
      </c>
      <c r="D755" s="1" t="n">
        <v>21261</v>
      </c>
      <c r="E755" s="1" t="s">
        <v>57</v>
      </c>
      <c r="F755" s="201" t="n">
        <v>200025888999</v>
      </c>
      <c r="G755" s="198" t="s">
        <v>604</v>
      </c>
      <c r="H755" s="163" t="s">
        <v>489</v>
      </c>
      <c r="I755" s="161" t="n">
        <v>82</v>
      </c>
      <c r="J755" s="156" t="s">
        <v>192</v>
      </c>
      <c r="K755" s="200" t="n">
        <v>45435.0932175926</v>
      </c>
      <c r="L755" s="3" t="n">
        <v>42</v>
      </c>
      <c r="M755" s="3" t="n">
        <v>42</v>
      </c>
      <c r="N755" s="1" t="n">
        <v>5</v>
      </c>
      <c r="O755" s="1" t="n">
        <v>3</v>
      </c>
    </row>
    <row r="756" customFormat="false" ht="14.25" hidden="false" customHeight="false" outlineLevel="0" collapsed="false">
      <c r="A756" s="1" t="n">
        <v>118</v>
      </c>
      <c r="B756" s="1" t="s">
        <v>624</v>
      </c>
      <c r="C756" s="1" t="s">
        <v>625</v>
      </c>
      <c r="D756" s="1" t="n">
        <v>21261</v>
      </c>
      <c r="E756" s="1" t="s">
        <v>57</v>
      </c>
      <c r="F756" s="201" t="n">
        <v>200025888999</v>
      </c>
      <c r="G756" s="198" t="s">
        <v>604</v>
      </c>
      <c r="H756" s="163" t="s">
        <v>489</v>
      </c>
      <c r="I756" s="161" t="n">
        <v>82</v>
      </c>
      <c r="J756" s="156" t="s">
        <v>192</v>
      </c>
      <c r="K756" s="200" t="n">
        <v>45435.0978472222</v>
      </c>
      <c r="L756" s="3" t="n">
        <v>42</v>
      </c>
      <c r="M756" s="3" t="n">
        <v>42</v>
      </c>
      <c r="N756" s="1" t="n">
        <v>6</v>
      </c>
      <c r="O756" s="1" t="n">
        <v>1</v>
      </c>
    </row>
    <row r="757" customFormat="false" ht="14.25" hidden="false" customHeight="false" outlineLevel="0" collapsed="false">
      <c r="A757" s="1" t="n">
        <v>109</v>
      </c>
      <c r="B757" s="1" t="s">
        <v>565</v>
      </c>
      <c r="C757" s="1" t="s">
        <v>566</v>
      </c>
      <c r="D757" s="196" t="n">
        <v>2568</v>
      </c>
      <c r="E757" s="196" t="s">
        <v>51</v>
      </c>
      <c r="F757" s="197" t="s">
        <v>603</v>
      </c>
      <c r="G757" s="198" t="s">
        <v>604</v>
      </c>
      <c r="H757" s="163" t="s">
        <v>489</v>
      </c>
      <c r="I757" s="161" t="n">
        <v>82</v>
      </c>
      <c r="J757" s="156" t="s">
        <v>192</v>
      </c>
      <c r="K757" s="199" t="n">
        <v>45435.7838541667</v>
      </c>
      <c r="L757" s="3" t="n">
        <v>42</v>
      </c>
      <c r="M757" s="3" t="n">
        <v>42</v>
      </c>
      <c r="N757" s="1" t="n">
        <v>7</v>
      </c>
      <c r="O757" s="1" t="n">
        <v>0</v>
      </c>
    </row>
    <row r="758" customFormat="false" ht="14.25" hidden="false" customHeight="false" outlineLevel="0" collapsed="false">
      <c r="A758" s="1" t="n">
        <v>175</v>
      </c>
      <c r="B758" s="1" t="s">
        <v>565</v>
      </c>
      <c r="C758" s="1" t="s">
        <v>566</v>
      </c>
      <c r="D758" s="196" t="n">
        <v>2568</v>
      </c>
      <c r="E758" s="196" t="s">
        <v>51</v>
      </c>
      <c r="F758" s="197" t="s">
        <v>603</v>
      </c>
      <c r="G758" s="198" t="s">
        <v>604</v>
      </c>
      <c r="H758" s="163" t="s">
        <v>489</v>
      </c>
      <c r="I758" s="161" t="n">
        <v>82</v>
      </c>
      <c r="J758" s="156" t="s">
        <v>192</v>
      </c>
      <c r="K758" s="199" t="n">
        <v>45436.2746064815</v>
      </c>
      <c r="L758" s="3" t="n">
        <v>42</v>
      </c>
      <c r="M758" s="3" t="n">
        <v>42</v>
      </c>
      <c r="N758" s="1" t="n">
        <v>8</v>
      </c>
      <c r="O758" s="1" t="n">
        <v>0</v>
      </c>
    </row>
    <row r="759" customFormat="false" ht="14.25" hidden="false" customHeight="false" outlineLevel="0" collapsed="false">
      <c r="A759" s="1" t="n">
        <v>176</v>
      </c>
      <c r="B759" s="1" t="s">
        <v>565</v>
      </c>
      <c r="C759" s="1" t="s">
        <v>566</v>
      </c>
      <c r="D759" s="196" t="n">
        <v>2568</v>
      </c>
      <c r="E759" s="196" t="s">
        <v>51</v>
      </c>
      <c r="F759" s="197" t="s">
        <v>603</v>
      </c>
      <c r="G759" s="198" t="s">
        <v>604</v>
      </c>
      <c r="H759" s="163" t="s">
        <v>489</v>
      </c>
      <c r="I759" s="161" t="n">
        <v>82</v>
      </c>
      <c r="J759" s="156" t="s">
        <v>192</v>
      </c>
      <c r="K759" s="199" t="n">
        <v>45436.2786574074</v>
      </c>
      <c r="L759" s="3" t="n">
        <v>42</v>
      </c>
      <c r="M759" s="3" t="n">
        <v>42</v>
      </c>
      <c r="N759" s="1" t="n">
        <v>9</v>
      </c>
      <c r="O759" s="1" t="n">
        <v>0</v>
      </c>
    </row>
    <row r="760" customFormat="false" ht="14.25" hidden="false" customHeight="false" outlineLevel="0" collapsed="false">
      <c r="A760" s="1" t="n">
        <v>56</v>
      </c>
      <c r="B760" s="1" t="s">
        <v>624</v>
      </c>
      <c r="C760" s="1" t="s">
        <v>625</v>
      </c>
      <c r="D760" s="1" t="n">
        <v>21261</v>
      </c>
      <c r="E760" s="1" t="s">
        <v>57</v>
      </c>
      <c r="F760" s="201" t="n">
        <v>200025888655</v>
      </c>
      <c r="G760" s="198" t="s">
        <v>707</v>
      </c>
      <c r="H760" s="163" t="s">
        <v>399</v>
      </c>
      <c r="I760" s="161" t="n">
        <v>41</v>
      </c>
      <c r="J760" s="156" t="s">
        <v>192</v>
      </c>
      <c r="K760" s="200" t="n">
        <v>45434.7024074074</v>
      </c>
      <c r="L760" s="3" t="n">
        <v>43</v>
      </c>
      <c r="M760" s="3" t="n">
        <v>43</v>
      </c>
      <c r="N760" s="1" t="n">
        <v>1</v>
      </c>
      <c r="O760" s="1" t="n">
        <v>2</v>
      </c>
    </row>
    <row r="761" customFormat="false" ht="14.25" hidden="false" customHeight="false" outlineLevel="0" collapsed="false">
      <c r="A761" s="1" t="n">
        <v>57</v>
      </c>
      <c r="B761" s="1" t="s">
        <v>624</v>
      </c>
      <c r="C761" s="1" t="s">
        <v>625</v>
      </c>
      <c r="D761" s="1" t="n">
        <v>21261</v>
      </c>
      <c r="E761" s="1" t="s">
        <v>57</v>
      </c>
      <c r="F761" s="201" t="n">
        <v>200025888655</v>
      </c>
      <c r="G761" s="198" t="s">
        <v>707</v>
      </c>
      <c r="H761" s="163" t="s">
        <v>399</v>
      </c>
      <c r="I761" s="161" t="n">
        <v>41</v>
      </c>
      <c r="J761" s="156" t="s">
        <v>192</v>
      </c>
      <c r="K761" s="200" t="n">
        <v>45434.7031828704</v>
      </c>
      <c r="L761" s="3" t="n">
        <v>43</v>
      </c>
      <c r="M761" s="3" t="n">
        <v>43</v>
      </c>
      <c r="N761" s="1" t="n">
        <v>2</v>
      </c>
      <c r="O761" s="1" t="n">
        <v>3</v>
      </c>
    </row>
    <row r="762" customFormat="false" ht="14.25" hidden="false" customHeight="false" outlineLevel="0" collapsed="false">
      <c r="A762" s="1" t="n">
        <v>58</v>
      </c>
      <c r="B762" s="1" t="s">
        <v>624</v>
      </c>
      <c r="C762" s="1" t="s">
        <v>625</v>
      </c>
      <c r="D762" s="1" t="n">
        <v>21261</v>
      </c>
      <c r="E762" s="1" t="s">
        <v>57</v>
      </c>
      <c r="F762" s="201" t="n">
        <v>200025888655</v>
      </c>
      <c r="G762" s="198" t="s">
        <v>707</v>
      </c>
      <c r="H762" s="163" t="s">
        <v>399</v>
      </c>
      <c r="I762" s="161" t="n">
        <v>41</v>
      </c>
      <c r="J762" s="156" t="s">
        <v>192</v>
      </c>
      <c r="K762" s="200" t="n">
        <v>45434.7037847222</v>
      </c>
      <c r="L762" s="3" t="n">
        <v>43</v>
      </c>
      <c r="M762" s="3" t="n">
        <v>43</v>
      </c>
      <c r="N762" s="1" t="n">
        <v>3</v>
      </c>
      <c r="O762" s="1" t="n">
        <v>2</v>
      </c>
    </row>
    <row r="763" customFormat="false" ht="14.25" hidden="false" customHeight="false" outlineLevel="0" collapsed="false">
      <c r="A763" s="1" t="n">
        <v>59</v>
      </c>
      <c r="B763" s="1" t="s">
        <v>624</v>
      </c>
      <c r="C763" s="1" t="s">
        <v>625</v>
      </c>
      <c r="D763" s="1" t="n">
        <v>21261</v>
      </c>
      <c r="E763" s="1" t="s">
        <v>57</v>
      </c>
      <c r="F763" s="201" t="n">
        <v>200025888655</v>
      </c>
      <c r="G763" s="198" t="s">
        <v>707</v>
      </c>
      <c r="H763" s="163" t="s">
        <v>399</v>
      </c>
      <c r="I763" s="161" t="n">
        <v>41</v>
      </c>
      <c r="J763" s="156" t="s">
        <v>192</v>
      </c>
      <c r="K763" s="200" t="n">
        <v>45434.7042476852</v>
      </c>
      <c r="L763" s="3" t="n">
        <v>43</v>
      </c>
      <c r="M763" s="3" t="n">
        <v>43</v>
      </c>
      <c r="N763" s="1" t="n">
        <v>4</v>
      </c>
      <c r="O763" s="1" t="n">
        <v>1</v>
      </c>
    </row>
    <row r="764" customFormat="false" ht="14.25" hidden="false" customHeight="false" outlineLevel="0" collapsed="false">
      <c r="A764" s="1" t="n">
        <v>60</v>
      </c>
      <c r="B764" s="1" t="s">
        <v>624</v>
      </c>
      <c r="C764" s="1" t="s">
        <v>625</v>
      </c>
      <c r="D764" s="1" t="n">
        <v>21261</v>
      </c>
      <c r="E764" s="1" t="s">
        <v>57</v>
      </c>
      <c r="F764" s="201" t="n">
        <v>200025888655</v>
      </c>
      <c r="G764" s="198" t="s">
        <v>707</v>
      </c>
      <c r="H764" s="163" t="s">
        <v>399</v>
      </c>
      <c r="I764" s="161" t="n">
        <v>41</v>
      </c>
      <c r="J764" s="156" t="s">
        <v>192</v>
      </c>
      <c r="K764" s="200" t="n">
        <v>45434.7046064815</v>
      </c>
      <c r="L764" s="3" t="n">
        <v>43</v>
      </c>
      <c r="M764" s="3" t="n">
        <v>43</v>
      </c>
      <c r="N764" s="1" t="n">
        <v>5</v>
      </c>
      <c r="O764" s="1" t="n">
        <v>1</v>
      </c>
    </row>
    <row r="765" customFormat="false" ht="14.25" hidden="false" customHeight="false" outlineLevel="0" collapsed="false">
      <c r="A765" s="1" t="n">
        <v>61</v>
      </c>
      <c r="B765" s="1" t="s">
        <v>624</v>
      </c>
      <c r="C765" s="1" t="s">
        <v>625</v>
      </c>
      <c r="D765" s="1" t="n">
        <v>21261</v>
      </c>
      <c r="E765" s="1" t="s">
        <v>57</v>
      </c>
      <c r="F765" s="201" t="n">
        <v>200025888655</v>
      </c>
      <c r="G765" s="198" t="s">
        <v>707</v>
      </c>
      <c r="H765" s="163" t="s">
        <v>399</v>
      </c>
      <c r="I765" s="161" t="n">
        <v>41</v>
      </c>
      <c r="J765" s="156" t="s">
        <v>192</v>
      </c>
      <c r="K765" s="200" t="n">
        <v>45434.705150463</v>
      </c>
      <c r="L765" s="3" t="n">
        <v>43</v>
      </c>
      <c r="M765" s="3" t="n">
        <v>43</v>
      </c>
      <c r="N765" s="1" t="n">
        <v>6</v>
      </c>
      <c r="O765" s="1" t="n">
        <v>2</v>
      </c>
    </row>
    <row r="766" customFormat="false" ht="14.25" hidden="false" customHeight="false" outlineLevel="0" collapsed="false">
      <c r="A766" s="1" t="n">
        <v>62</v>
      </c>
      <c r="B766" s="1" t="s">
        <v>624</v>
      </c>
      <c r="C766" s="1" t="s">
        <v>625</v>
      </c>
      <c r="D766" s="1" t="n">
        <v>21261</v>
      </c>
      <c r="E766" s="1" t="s">
        <v>57</v>
      </c>
      <c r="F766" s="201" t="n">
        <v>200025888655</v>
      </c>
      <c r="G766" s="198" t="s">
        <v>707</v>
      </c>
      <c r="H766" s="163" t="s">
        <v>399</v>
      </c>
      <c r="I766" s="161" t="n">
        <v>41</v>
      </c>
      <c r="J766" s="156" t="s">
        <v>192</v>
      </c>
      <c r="K766" s="200" t="n">
        <v>45434.7057407407</v>
      </c>
      <c r="L766" s="3" t="n">
        <v>43</v>
      </c>
      <c r="M766" s="3" t="n">
        <v>43</v>
      </c>
      <c r="N766" s="1" t="n">
        <v>7</v>
      </c>
      <c r="O766" s="1" t="n">
        <v>1</v>
      </c>
    </row>
    <row r="767" customFormat="false" ht="14.25" hidden="false" customHeight="false" outlineLevel="0" collapsed="false">
      <c r="A767" s="1" t="n">
        <v>63</v>
      </c>
      <c r="B767" s="1" t="s">
        <v>624</v>
      </c>
      <c r="C767" s="1" t="s">
        <v>625</v>
      </c>
      <c r="D767" s="1" t="n">
        <v>21261</v>
      </c>
      <c r="E767" s="1" t="s">
        <v>57</v>
      </c>
      <c r="F767" s="201" t="n">
        <v>200025888655</v>
      </c>
      <c r="G767" s="198" t="s">
        <v>707</v>
      </c>
      <c r="H767" s="163" t="s">
        <v>399</v>
      </c>
      <c r="I767" s="161" t="n">
        <v>41</v>
      </c>
      <c r="J767" s="156" t="s">
        <v>192</v>
      </c>
      <c r="K767" s="200" t="n">
        <v>45434.7057523148</v>
      </c>
      <c r="L767" s="3" t="n">
        <v>43</v>
      </c>
      <c r="M767" s="3" t="n">
        <v>43</v>
      </c>
      <c r="N767" s="1" t="n">
        <v>8</v>
      </c>
      <c r="O767" s="1" t="n">
        <v>1</v>
      </c>
    </row>
    <row r="768" customFormat="false" ht="14.25" hidden="false" customHeight="false" outlineLevel="0" collapsed="false">
      <c r="A768" s="1" t="n">
        <v>64</v>
      </c>
      <c r="B768" s="1" t="s">
        <v>624</v>
      </c>
      <c r="C768" s="1" t="s">
        <v>625</v>
      </c>
      <c r="D768" s="1" t="n">
        <v>21261</v>
      </c>
      <c r="E768" s="1" t="s">
        <v>57</v>
      </c>
      <c r="F768" s="201" t="n">
        <v>200025888655</v>
      </c>
      <c r="G768" s="198" t="s">
        <v>707</v>
      </c>
      <c r="H768" s="163" t="s">
        <v>399</v>
      </c>
      <c r="I768" s="161" t="n">
        <v>41</v>
      </c>
      <c r="J768" s="156" t="s">
        <v>192</v>
      </c>
      <c r="K768" s="200" t="n">
        <v>45434.7071759259</v>
      </c>
      <c r="L768" s="3" t="n">
        <v>43</v>
      </c>
      <c r="M768" s="3" t="n">
        <v>43</v>
      </c>
      <c r="N768" s="1" t="n">
        <v>9</v>
      </c>
      <c r="O768" s="1" t="n">
        <v>1</v>
      </c>
    </row>
    <row r="769" customFormat="false" ht="14.25" hidden="false" customHeight="false" outlineLevel="0" collapsed="false">
      <c r="A769" s="1" t="n">
        <v>71</v>
      </c>
      <c r="B769" s="1" t="s">
        <v>624</v>
      </c>
      <c r="C769" s="1" t="s">
        <v>625</v>
      </c>
      <c r="D769" s="1" t="n">
        <v>21261</v>
      </c>
      <c r="E769" s="1" t="s">
        <v>57</v>
      </c>
      <c r="F769" s="201" t="n">
        <v>200025888655</v>
      </c>
      <c r="G769" s="198" t="s">
        <v>707</v>
      </c>
      <c r="H769" s="163" t="s">
        <v>399</v>
      </c>
      <c r="I769" s="161" t="n">
        <v>41</v>
      </c>
      <c r="J769" s="156" t="s">
        <v>192</v>
      </c>
      <c r="K769" s="200" t="n">
        <v>45434.853275463</v>
      </c>
      <c r="L769" s="3" t="n">
        <v>43</v>
      </c>
      <c r="M769" s="3" t="n">
        <v>43</v>
      </c>
      <c r="N769" s="1" t="n">
        <v>10</v>
      </c>
      <c r="O769" s="1" t="n">
        <v>2</v>
      </c>
    </row>
    <row r="770" customFormat="false" ht="14.25" hidden="false" customHeight="false" outlineLevel="0" collapsed="false">
      <c r="A770" s="1" t="n">
        <v>72</v>
      </c>
      <c r="B770" s="1" t="s">
        <v>624</v>
      </c>
      <c r="C770" s="1" t="s">
        <v>625</v>
      </c>
      <c r="D770" s="1" t="n">
        <v>21261</v>
      </c>
      <c r="E770" s="1" t="s">
        <v>57</v>
      </c>
      <c r="F770" s="201" t="n">
        <v>200025888655</v>
      </c>
      <c r="G770" s="198" t="s">
        <v>707</v>
      </c>
      <c r="H770" s="163" t="s">
        <v>399</v>
      </c>
      <c r="I770" s="161" t="n">
        <v>41</v>
      </c>
      <c r="J770" s="156" t="s">
        <v>192</v>
      </c>
      <c r="K770" s="200" t="n">
        <v>45434.8534722222</v>
      </c>
      <c r="L770" s="3" t="n">
        <v>43</v>
      </c>
      <c r="M770" s="3" t="n">
        <v>43</v>
      </c>
      <c r="N770" s="1" t="n">
        <v>11</v>
      </c>
      <c r="O770" s="1" t="n">
        <v>1</v>
      </c>
    </row>
    <row r="771" customFormat="false" ht="14.25" hidden="false" customHeight="false" outlineLevel="0" collapsed="false">
      <c r="A771" s="1" t="n">
        <v>85</v>
      </c>
      <c r="B771" s="1" t="s">
        <v>624</v>
      </c>
      <c r="C771" s="1" t="s">
        <v>625</v>
      </c>
      <c r="D771" s="1" t="n">
        <v>21261</v>
      </c>
      <c r="E771" s="1" t="s">
        <v>57</v>
      </c>
      <c r="F771" s="201" t="n">
        <v>200025888655</v>
      </c>
      <c r="G771" s="198" t="s">
        <v>707</v>
      </c>
      <c r="H771" s="163" t="s">
        <v>399</v>
      </c>
      <c r="I771" s="161" t="n">
        <v>41</v>
      </c>
      <c r="J771" s="156" t="s">
        <v>192</v>
      </c>
      <c r="K771" s="200" t="n">
        <v>45434.9027430556</v>
      </c>
      <c r="L771" s="3" t="n">
        <v>43</v>
      </c>
      <c r="M771" s="3" t="n">
        <v>43</v>
      </c>
      <c r="N771" s="1" t="n">
        <v>12</v>
      </c>
      <c r="O771" s="1" t="n">
        <v>0</v>
      </c>
    </row>
    <row r="772" customFormat="false" ht="14.25" hidden="false" customHeight="false" outlineLevel="0" collapsed="false">
      <c r="A772" s="1" t="n">
        <v>86</v>
      </c>
      <c r="B772" s="1" t="s">
        <v>624</v>
      </c>
      <c r="C772" s="1" t="s">
        <v>625</v>
      </c>
      <c r="D772" s="1" t="n">
        <v>21261</v>
      </c>
      <c r="E772" s="1" t="s">
        <v>57</v>
      </c>
      <c r="F772" s="201" t="n">
        <v>200025888655</v>
      </c>
      <c r="G772" s="198" t="s">
        <v>707</v>
      </c>
      <c r="H772" s="163" t="s">
        <v>399</v>
      </c>
      <c r="I772" s="161" t="n">
        <v>41</v>
      </c>
      <c r="J772" s="156" t="s">
        <v>192</v>
      </c>
      <c r="K772" s="200" t="n">
        <v>45434.9027546296</v>
      </c>
      <c r="L772" s="3" t="n">
        <v>43</v>
      </c>
      <c r="M772" s="3" t="n">
        <v>43</v>
      </c>
      <c r="N772" s="1" t="n">
        <v>13</v>
      </c>
      <c r="O772" s="1" t="n">
        <v>0</v>
      </c>
    </row>
    <row r="773" customFormat="false" ht="14.25" hidden="false" customHeight="false" outlineLevel="0" collapsed="false">
      <c r="A773" s="1" t="n">
        <v>87</v>
      </c>
      <c r="B773" s="1" t="s">
        <v>624</v>
      </c>
      <c r="C773" s="1" t="s">
        <v>625</v>
      </c>
      <c r="D773" s="1" t="n">
        <v>21261</v>
      </c>
      <c r="E773" s="1" t="s">
        <v>57</v>
      </c>
      <c r="F773" s="201" t="n">
        <v>200025888655</v>
      </c>
      <c r="G773" s="198" t="s">
        <v>707</v>
      </c>
      <c r="H773" s="163" t="s">
        <v>399</v>
      </c>
      <c r="I773" s="161" t="n">
        <v>41</v>
      </c>
      <c r="J773" s="156" t="s">
        <v>192</v>
      </c>
      <c r="K773" s="200" t="n">
        <v>45434.9029166667</v>
      </c>
      <c r="L773" s="3" t="n">
        <v>43</v>
      </c>
      <c r="M773" s="3" t="n">
        <v>43</v>
      </c>
      <c r="N773" s="1" t="n">
        <v>14</v>
      </c>
      <c r="O773" s="1" t="n">
        <v>0</v>
      </c>
    </row>
    <row r="774" customFormat="false" ht="14.25" hidden="false" customHeight="false" outlineLevel="0" collapsed="false">
      <c r="A774" s="1" t="n">
        <v>107</v>
      </c>
      <c r="B774" s="1" t="s">
        <v>624</v>
      </c>
      <c r="C774" s="1" t="s">
        <v>625</v>
      </c>
      <c r="D774" s="1" t="n">
        <v>21261</v>
      </c>
      <c r="E774" s="1" t="s">
        <v>57</v>
      </c>
      <c r="F774" s="201" t="n">
        <v>200025888655</v>
      </c>
      <c r="G774" s="198" t="s">
        <v>707</v>
      </c>
      <c r="H774" s="163" t="s">
        <v>399</v>
      </c>
      <c r="I774" s="161" t="n">
        <v>41</v>
      </c>
      <c r="J774" s="156" t="s">
        <v>192</v>
      </c>
      <c r="K774" s="200" t="n">
        <v>45435.0702546296</v>
      </c>
      <c r="L774" s="3" t="n">
        <v>43</v>
      </c>
      <c r="M774" s="3" t="n">
        <v>43</v>
      </c>
      <c r="N774" s="1" t="n">
        <v>15</v>
      </c>
      <c r="O774" s="1" t="n">
        <v>1</v>
      </c>
    </row>
    <row r="775" customFormat="false" ht="14.25" hidden="false" customHeight="false" outlineLevel="0" collapsed="false">
      <c r="A775" s="1" t="n">
        <v>108</v>
      </c>
      <c r="B775" s="1" t="s">
        <v>624</v>
      </c>
      <c r="C775" s="1" t="s">
        <v>625</v>
      </c>
      <c r="D775" s="1" t="n">
        <v>21261</v>
      </c>
      <c r="E775" s="1" t="s">
        <v>57</v>
      </c>
      <c r="F775" s="201" t="n">
        <v>200025888655</v>
      </c>
      <c r="G775" s="198" t="s">
        <v>707</v>
      </c>
      <c r="H775" s="163" t="s">
        <v>399</v>
      </c>
      <c r="I775" s="161" t="n">
        <v>41</v>
      </c>
      <c r="J775" s="156" t="s">
        <v>192</v>
      </c>
      <c r="K775" s="200" t="n">
        <v>45435.0709606482</v>
      </c>
      <c r="L775" s="3" t="n">
        <v>43</v>
      </c>
      <c r="M775" s="3" t="n">
        <v>43</v>
      </c>
      <c r="N775" s="1" t="n">
        <v>16</v>
      </c>
      <c r="O775" s="1" t="n">
        <v>1</v>
      </c>
    </row>
    <row r="776" customFormat="false" ht="14.25" hidden="false" customHeight="false" outlineLevel="0" collapsed="false">
      <c r="A776" s="1" t="n">
        <v>112</v>
      </c>
      <c r="B776" s="1" t="s">
        <v>624</v>
      </c>
      <c r="C776" s="1" t="s">
        <v>625</v>
      </c>
      <c r="D776" s="1" t="n">
        <v>21261</v>
      </c>
      <c r="E776" s="1" t="s">
        <v>57</v>
      </c>
      <c r="F776" s="201" t="n">
        <v>200025888655</v>
      </c>
      <c r="G776" s="198" t="s">
        <v>707</v>
      </c>
      <c r="H776" s="163" t="s">
        <v>399</v>
      </c>
      <c r="I776" s="161" t="n">
        <v>41</v>
      </c>
      <c r="J776" s="156" t="s">
        <v>192</v>
      </c>
      <c r="K776" s="200" t="n">
        <v>45435.0728819444</v>
      </c>
      <c r="L776" s="3" t="n">
        <v>43</v>
      </c>
      <c r="M776" s="3" t="n">
        <v>43</v>
      </c>
      <c r="N776" s="1" t="n">
        <v>17</v>
      </c>
      <c r="O776" s="1" t="n">
        <v>1</v>
      </c>
    </row>
    <row r="777" customFormat="false" ht="14.25" hidden="false" customHeight="false" outlineLevel="0" collapsed="false">
      <c r="A777" s="1" t="n">
        <v>113</v>
      </c>
      <c r="B777" s="1" t="s">
        <v>624</v>
      </c>
      <c r="C777" s="1" t="s">
        <v>625</v>
      </c>
      <c r="D777" s="1" t="n">
        <v>21261</v>
      </c>
      <c r="E777" s="1" t="s">
        <v>57</v>
      </c>
      <c r="F777" s="201" t="n">
        <v>200025888655</v>
      </c>
      <c r="G777" s="198" t="s">
        <v>707</v>
      </c>
      <c r="H777" s="163" t="s">
        <v>399</v>
      </c>
      <c r="I777" s="161" t="n">
        <v>41</v>
      </c>
      <c r="J777" s="156" t="s">
        <v>192</v>
      </c>
      <c r="K777" s="200" t="n">
        <v>45435.0728935185</v>
      </c>
      <c r="L777" s="3" t="n">
        <v>43</v>
      </c>
      <c r="M777" s="3" t="n">
        <v>43</v>
      </c>
      <c r="N777" s="1" t="n">
        <v>18</v>
      </c>
      <c r="O777" s="1" t="n">
        <v>1</v>
      </c>
    </row>
    <row r="778" customFormat="false" ht="14.25" hidden="false" customHeight="false" outlineLevel="0" collapsed="false">
      <c r="A778" s="1" t="n">
        <v>68</v>
      </c>
      <c r="B778" s="1" t="s">
        <v>624</v>
      </c>
      <c r="C778" s="1" t="s">
        <v>625</v>
      </c>
      <c r="D778" s="1" t="n">
        <v>21261</v>
      </c>
      <c r="E778" s="1" t="s">
        <v>57</v>
      </c>
      <c r="F778" s="201" t="n">
        <v>200025889281</v>
      </c>
      <c r="G778" s="198" t="s">
        <v>570</v>
      </c>
      <c r="H778" s="163" t="s">
        <v>279</v>
      </c>
      <c r="I778" s="161" t="n">
        <v>12</v>
      </c>
      <c r="J778" s="156" t="s">
        <v>192</v>
      </c>
      <c r="K778" s="200" t="n">
        <v>45434.7427199074</v>
      </c>
      <c r="L778" s="3" t="n">
        <v>44</v>
      </c>
      <c r="M778" s="3" t="n">
        <v>44</v>
      </c>
      <c r="N778" s="1" t="n">
        <v>1</v>
      </c>
      <c r="O778" s="1" t="n">
        <v>1</v>
      </c>
    </row>
    <row r="779" customFormat="false" ht="14.25" hidden="false" customHeight="false" outlineLevel="0" collapsed="false">
      <c r="A779" s="1" t="n">
        <v>76</v>
      </c>
      <c r="B779" s="1" t="s">
        <v>624</v>
      </c>
      <c r="C779" s="1" t="s">
        <v>625</v>
      </c>
      <c r="D779" s="1" t="n">
        <v>21261</v>
      </c>
      <c r="E779" s="1" t="s">
        <v>57</v>
      </c>
      <c r="F779" s="201" t="n">
        <v>200025889281</v>
      </c>
      <c r="G779" s="198" t="s">
        <v>570</v>
      </c>
      <c r="H779" s="163" t="s">
        <v>279</v>
      </c>
      <c r="I779" s="161" t="n">
        <v>12</v>
      </c>
      <c r="J779" s="156" t="s">
        <v>192</v>
      </c>
      <c r="K779" s="200" t="n">
        <v>45434.8973726852</v>
      </c>
      <c r="L779" s="3" t="n">
        <v>44</v>
      </c>
      <c r="M779" s="3" t="n">
        <v>44</v>
      </c>
      <c r="N779" s="1" t="n">
        <v>2</v>
      </c>
      <c r="O779" s="1" t="n">
        <v>0</v>
      </c>
    </row>
    <row r="780" customFormat="false" ht="14.25" hidden="false" customHeight="false" outlineLevel="0" collapsed="false">
      <c r="A780" s="1" t="n">
        <v>89</v>
      </c>
      <c r="B780" s="1" t="s">
        <v>624</v>
      </c>
      <c r="C780" s="1" t="s">
        <v>625</v>
      </c>
      <c r="D780" s="1" t="n">
        <v>21261</v>
      </c>
      <c r="E780" s="1" t="s">
        <v>57</v>
      </c>
      <c r="F780" s="201" t="n">
        <v>200025889281</v>
      </c>
      <c r="G780" s="198" t="s">
        <v>570</v>
      </c>
      <c r="H780" s="163" t="s">
        <v>279</v>
      </c>
      <c r="I780" s="161" t="n">
        <v>12</v>
      </c>
      <c r="J780" s="156" t="s">
        <v>192</v>
      </c>
      <c r="K780" s="200" t="n">
        <v>45434.9045138889</v>
      </c>
      <c r="L780" s="3" t="n">
        <v>44</v>
      </c>
      <c r="M780" s="3" t="n">
        <v>44</v>
      </c>
      <c r="N780" s="1" t="n">
        <v>3</v>
      </c>
      <c r="O780" s="1" t="n">
        <v>1</v>
      </c>
    </row>
    <row r="781" customFormat="false" ht="14.25" hidden="false" customHeight="false" outlineLevel="0" collapsed="false">
      <c r="A781" s="1" t="n">
        <v>115</v>
      </c>
      <c r="B781" s="1" t="s">
        <v>624</v>
      </c>
      <c r="C781" s="1" t="s">
        <v>625</v>
      </c>
      <c r="D781" s="1" t="n">
        <v>21261</v>
      </c>
      <c r="E781" s="1" t="s">
        <v>57</v>
      </c>
      <c r="F781" s="201" t="n">
        <v>200025889281</v>
      </c>
      <c r="G781" s="198" t="s">
        <v>570</v>
      </c>
      <c r="H781" s="163" t="s">
        <v>279</v>
      </c>
      <c r="I781" s="161" t="n">
        <v>12</v>
      </c>
      <c r="J781" s="156" t="s">
        <v>192</v>
      </c>
      <c r="K781" s="200" t="n">
        <v>45435.0748726852</v>
      </c>
      <c r="L781" s="3" t="n">
        <v>44</v>
      </c>
      <c r="M781" s="3" t="n">
        <v>44</v>
      </c>
      <c r="N781" s="1" t="n">
        <v>4</v>
      </c>
      <c r="O781" s="1" t="n">
        <v>2</v>
      </c>
    </row>
    <row r="782" customFormat="false" ht="14.25" hidden="false" customHeight="false" outlineLevel="0" collapsed="false">
      <c r="A782" s="1" t="n">
        <v>116</v>
      </c>
      <c r="B782" s="1" t="s">
        <v>624</v>
      </c>
      <c r="C782" s="1" t="s">
        <v>625</v>
      </c>
      <c r="D782" s="1" t="n">
        <v>21261</v>
      </c>
      <c r="E782" s="1" t="s">
        <v>57</v>
      </c>
      <c r="F782" s="201" t="n">
        <v>200025889281</v>
      </c>
      <c r="G782" s="198" t="s">
        <v>570</v>
      </c>
      <c r="H782" s="163" t="s">
        <v>279</v>
      </c>
      <c r="I782" s="161" t="n">
        <v>12</v>
      </c>
      <c r="J782" s="156" t="s">
        <v>192</v>
      </c>
      <c r="K782" s="200" t="n">
        <v>45435.0757060185</v>
      </c>
      <c r="L782" s="3" t="n">
        <v>44</v>
      </c>
      <c r="M782" s="3" t="n">
        <v>44</v>
      </c>
      <c r="N782" s="1" t="n">
        <v>5</v>
      </c>
      <c r="O782" s="1" t="n">
        <v>2</v>
      </c>
    </row>
    <row r="783" customFormat="false" ht="14.25" hidden="false" customHeight="false" outlineLevel="0" collapsed="false">
      <c r="A783" s="1" t="n">
        <v>132</v>
      </c>
      <c r="B783" s="1" t="s">
        <v>624</v>
      </c>
      <c r="C783" s="1" t="s">
        <v>625</v>
      </c>
      <c r="D783" s="1" t="n">
        <v>21261</v>
      </c>
      <c r="E783" s="1" t="s">
        <v>57</v>
      </c>
      <c r="F783" s="201" t="n">
        <v>200025889281</v>
      </c>
      <c r="G783" s="198" t="s">
        <v>570</v>
      </c>
      <c r="H783" s="163" t="s">
        <v>279</v>
      </c>
      <c r="I783" s="161" t="n">
        <v>12</v>
      </c>
      <c r="J783" s="156" t="s">
        <v>192</v>
      </c>
      <c r="K783" s="200" t="n">
        <v>45435.221412037</v>
      </c>
      <c r="L783" s="3" t="n">
        <v>44</v>
      </c>
      <c r="M783" s="3" t="n">
        <v>44</v>
      </c>
      <c r="N783" s="1" t="n">
        <v>6</v>
      </c>
      <c r="O783" s="1" t="n">
        <v>2</v>
      </c>
    </row>
    <row r="784" customFormat="false" ht="14.25" hidden="false" customHeight="false" outlineLevel="0" collapsed="false">
      <c r="A784" s="1" t="n">
        <v>62</v>
      </c>
      <c r="B784" s="1" t="s">
        <v>565</v>
      </c>
      <c r="C784" s="1" t="s">
        <v>566</v>
      </c>
      <c r="D784" s="196" t="n">
        <v>2568</v>
      </c>
      <c r="E784" s="196" t="s">
        <v>51</v>
      </c>
      <c r="F784" s="197" t="s">
        <v>569</v>
      </c>
      <c r="G784" s="198" t="s">
        <v>570</v>
      </c>
      <c r="H784" s="163" t="s">
        <v>279</v>
      </c>
      <c r="I784" s="161" t="n">
        <v>12</v>
      </c>
      <c r="J784" s="156" t="s">
        <v>192</v>
      </c>
      <c r="K784" s="199" t="n">
        <v>45435.3974768519</v>
      </c>
      <c r="L784" s="3" t="n">
        <v>44</v>
      </c>
      <c r="M784" s="3" t="n">
        <v>44</v>
      </c>
      <c r="N784" s="1" t="n">
        <v>7</v>
      </c>
      <c r="O784" s="1" t="n">
        <v>1</v>
      </c>
    </row>
    <row r="785" customFormat="false" ht="14.25" hidden="false" customHeight="false" outlineLevel="0" collapsed="false">
      <c r="A785" s="1" t="n">
        <v>70</v>
      </c>
      <c r="B785" s="1" t="s">
        <v>624</v>
      </c>
      <c r="C785" s="1" t="s">
        <v>625</v>
      </c>
      <c r="D785" s="1" t="n">
        <v>21261</v>
      </c>
      <c r="E785" s="1" t="s">
        <v>57</v>
      </c>
      <c r="F785" s="201" t="n">
        <v>200025889350</v>
      </c>
      <c r="G785" s="198" t="s">
        <v>582</v>
      </c>
      <c r="H785" s="163" t="s">
        <v>378</v>
      </c>
      <c r="I785" s="161" t="n">
        <v>29</v>
      </c>
      <c r="J785" s="156" t="s">
        <v>192</v>
      </c>
      <c r="K785" s="200" t="n">
        <v>45434.8526736111</v>
      </c>
      <c r="L785" s="3" t="n">
        <v>45</v>
      </c>
      <c r="M785" s="3" t="n">
        <v>45</v>
      </c>
      <c r="N785" s="1" t="n">
        <v>1</v>
      </c>
      <c r="O785" s="1" t="n">
        <v>2</v>
      </c>
    </row>
    <row r="786" customFormat="false" ht="14.25" hidden="false" customHeight="false" outlineLevel="0" collapsed="false">
      <c r="A786" s="1" t="n">
        <v>99</v>
      </c>
      <c r="B786" s="1" t="s">
        <v>624</v>
      </c>
      <c r="C786" s="1" t="s">
        <v>625</v>
      </c>
      <c r="D786" s="1" t="n">
        <v>21261</v>
      </c>
      <c r="E786" s="1" t="s">
        <v>57</v>
      </c>
      <c r="F786" s="201" t="n">
        <v>200025889350</v>
      </c>
      <c r="G786" s="198" t="s">
        <v>582</v>
      </c>
      <c r="H786" s="163" t="s">
        <v>378</v>
      </c>
      <c r="I786" s="161" t="n">
        <v>29</v>
      </c>
      <c r="J786" s="156" t="s">
        <v>192</v>
      </c>
      <c r="K786" s="200" t="n">
        <v>45435.042025463</v>
      </c>
      <c r="L786" s="3" t="n">
        <v>45</v>
      </c>
      <c r="M786" s="3" t="n">
        <v>45</v>
      </c>
      <c r="N786" s="1" t="n">
        <v>2</v>
      </c>
      <c r="O786" s="1" t="n">
        <v>2</v>
      </c>
    </row>
    <row r="787" customFormat="false" ht="14.25" hidden="false" customHeight="false" outlineLevel="0" collapsed="false">
      <c r="A787" s="1" t="n">
        <v>100</v>
      </c>
      <c r="B787" s="1" t="s">
        <v>624</v>
      </c>
      <c r="C787" s="1" t="s">
        <v>625</v>
      </c>
      <c r="D787" s="1" t="n">
        <v>21261</v>
      </c>
      <c r="E787" s="1" t="s">
        <v>57</v>
      </c>
      <c r="F787" s="201" t="n">
        <v>200025889350</v>
      </c>
      <c r="G787" s="198" t="s">
        <v>582</v>
      </c>
      <c r="H787" s="163" t="s">
        <v>378</v>
      </c>
      <c r="I787" s="161" t="n">
        <v>29</v>
      </c>
      <c r="J787" s="156" t="s">
        <v>192</v>
      </c>
      <c r="K787" s="200" t="n">
        <v>45435.0444328704</v>
      </c>
      <c r="L787" s="3" t="n">
        <v>45</v>
      </c>
      <c r="M787" s="3" t="n">
        <v>45</v>
      </c>
      <c r="N787" s="1" t="n">
        <v>3</v>
      </c>
      <c r="O787" s="1" t="n">
        <v>1</v>
      </c>
    </row>
    <row r="788" customFormat="false" ht="14.25" hidden="false" customHeight="false" outlineLevel="0" collapsed="false">
      <c r="A788" s="1" t="n">
        <v>72</v>
      </c>
      <c r="B788" s="1" t="s">
        <v>565</v>
      </c>
      <c r="C788" s="1" t="s">
        <v>566</v>
      </c>
      <c r="D788" s="196" t="n">
        <v>2568</v>
      </c>
      <c r="E788" s="196" t="s">
        <v>51</v>
      </c>
      <c r="F788" s="197" t="s">
        <v>581</v>
      </c>
      <c r="G788" s="198" t="s">
        <v>582</v>
      </c>
      <c r="H788" s="163" t="s">
        <v>378</v>
      </c>
      <c r="I788" s="161" t="n">
        <v>29</v>
      </c>
      <c r="J788" s="156" t="s">
        <v>192</v>
      </c>
      <c r="K788" s="199" t="n">
        <v>45435.5585763889</v>
      </c>
      <c r="L788" s="3" t="n">
        <v>45</v>
      </c>
      <c r="M788" s="3" t="n">
        <v>45</v>
      </c>
      <c r="N788" s="1" t="n">
        <v>4</v>
      </c>
      <c r="O788" s="1" t="n">
        <v>0</v>
      </c>
    </row>
    <row r="789" customFormat="false" ht="14.25" hidden="false" customHeight="false" outlineLevel="0" collapsed="false">
      <c r="A789" s="1" t="n">
        <v>73</v>
      </c>
      <c r="B789" s="1" t="s">
        <v>565</v>
      </c>
      <c r="C789" s="1" t="s">
        <v>566</v>
      </c>
      <c r="D789" s="196" t="n">
        <v>2568</v>
      </c>
      <c r="E789" s="196" t="s">
        <v>51</v>
      </c>
      <c r="F789" s="197" t="s">
        <v>581</v>
      </c>
      <c r="G789" s="198" t="s">
        <v>582</v>
      </c>
      <c r="H789" s="163" t="s">
        <v>378</v>
      </c>
      <c r="I789" s="161" t="n">
        <v>29</v>
      </c>
      <c r="J789" s="156" t="s">
        <v>192</v>
      </c>
      <c r="K789" s="199" t="n">
        <v>45435.5950925926</v>
      </c>
      <c r="L789" s="3" t="n">
        <v>45</v>
      </c>
      <c r="M789" s="3" t="n">
        <v>45</v>
      </c>
      <c r="N789" s="1" t="n">
        <v>5</v>
      </c>
      <c r="O789" s="1" t="n">
        <v>0</v>
      </c>
    </row>
    <row r="790" customFormat="false" ht="14.25" hidden="false" customHeight="false" outlineLevel="0" collapsed="false">
      <c r="A790" s="1" t="n">
        <v>74</v>
      </c>
      <c r="B790" s="1" t="s">
        <v>565</v>
      </c>
      <c r="C790" s="1" t="s">
        <v>566</v>
      </c>
      <c r="D790" s="196" t="n">
        <v>2568</v>
      </c>
      <c r="E790" s="196" t="s">
        <v>51</v>
      </c>
      <c r="F790" s="197" t="s">
        <v>581</v>
      </c>
      <c r="G790" s="198" t="s">
        <v>582</v>
      </c>
      <c r="H790" s="163" t="s">
        <v>378</v>
      </c>
      <c r="I790" s="161" t="n">
        <v>29</v>
      </c>
      <c r="J790" s="156" t="s">
        <v>192</v>
      </c>
      <c r="K790" s="199" t="n">
        <v>45435.5951041667</v>
      </c>
      <c r="L790" s="3" t="n">
        <v>45</v>
      </c>
      <c r="M790" s="3" t="n">
        <v>45</v>
      </c>
      <c r="N790" s="1" t="n">
        <v>6</v>
      </c>
      <c r="O790" s="1" t="n">
        <v>40</v>
      </c>
    </row>
    <row r="791" customFormat="false" ht="14.25" hidden="false" customHeight="false" outlineLevel="0" collapsed="false">
      <c r="A791" s="1" t="n">
        <v>79</v>
      </c>
      <c r="B791" s="1" t="s">
        <v>565</v>
      </c>
      <c r="C791" s="1" t="s">
        <v>566</v>
      </c>
      <c r="D791" s="196" t="n">
        <v>2568</v>
      </c>
      <c r="E791" s="196" t="s">
        <v>51</v>
      </c>
      <c r="F791" s="197" t="s">
        <v>581</v>
      </c>
      <c r="G791" s="198" t="s">
        <v>582</v>
      </c>
      <c r="H791" s="163" t="s">
        <v>378</v>
      </c>
      <c r="I791" s="161" t="n">
        <v>29</v>
      </c>
      <c r="J791" s="156" t="s">
        <v>192</v>
      </c>
      <c r="K791" s="199" t="n">
        <v>45435.6313541667</v>
      </c>
      <c r="L791" s="3" t="n">
        <v>45</v>
      </c>
      <c r="M791" s="3" t="n">
        <v>45</v>
      </c>
      <c r="N791" s="1" t="n">
        <v>7</v>
      </c>
      <c r="O791" s="1" t="n">
        <v>0</v>
      </c>
    </row>
    <row r="792" customFormat="false" ht="14.25" hidden="false" customHeight="false" outlineLevel="0" collapsed="false">
      <c r="A792" s="154" t="n">
        <v>85</v>
      </c>
      <c r="B792" s="154" t="s">
        <v>681</v>
      </c>
      <c r="C792" s="154" t="s">
        <v>682</v>
      </c>
      <c r="D792" s="154" t="n">
        <v>11197</v>
      </c>
      <c r="E792" s="1" t="s">
        <v>53</v>
      </c>
      <c r="F792" s="202" t="n">
        <v>200025888790</v>
      </c>
      <c r="G792" s="198" t="s">
        <v>582</v>
      </c>
      <c r="H792" s="188" t="s">
        <v>378</v>
      </c>
      <c r="I792" s="203" t="n">
        <v>29</v>
      </c>
      <c r="J792" s="204" t="s">
        <v>192</v>
      </c>
      <c r="K792" s="206" t="n">
        <v>45435.7987152778</v>
      </c>
      <c r="L792" s="3" t="n">
        <v>45</v>
      </c>
      <c r="M792" s="3" t="n">
        <v>45</v>
      </c>
      <c r="N792" s="1" t="n">
        <v>8</v>
      </c>
      <c r="O792" s="154" t="n">
        <v>0</v>
      </c>
    </row>
    <row r="793" customFormat="false" ht="14.25" hidden="false" customHeight="false" outlineLevel="0" collapsed="false">
      <c r="A793" s="1" t="n">
        <v>262</v>
      </c>
      <c r="B793" s="1" t="s">
        <v>621</v>
      </c>
      <c r="C793" s="1" t="s">
        <v>622</v>
      </c>
      <c r="D793" s="1" t="n">
        <v>21296</v>
      </c>
      <c r="E793" s="1" t="s">
        <v>57</v>
      </c>
      <c r="F793" s="201" t="n">
        <v>200025889350</v>
      </c>
      <c r="G793" s="198" t="s">
        <v>582</v>
      </c>
      <c r="H793" s="163" t="s">
        <v>378</v>
      </c>
      <c r="I793" s="161" t="n">
        <v>29</v>
      </c>
      <c r="J793" s="156" t="s">
        <v>192</v>
      </c>
      <c r="K793" s="200" t="n">
        <v>45447.5959953704</v>
      </c>
      <c r="L793" s="3" t="n">
        <v>45</v>
      </c>
      <c r="M793" s="3" t="n">
        <v>45</v>
      </c>
      <c r="N793" s="1" t="n">
        <v>9</v>
      </c>
      <c r="O793" s="1" t="n">
        <v>0</v>
      </c>
    </row>
    <row r="794" customFormat="false" ht="14.25" hidden="false" customHeight="false" outlineLevel="0" collapsed="false">
      <c r="A794" s="1" t="n">
        <v>263</v>
      </c>
      <c r="B794" s="1" t="s">
        <v>621</v>
      </c>
      <c r="C794" s="1" t="s">
        <v>622</v>
      </c>
      <c r="D794" s="1" t="n">
        <v>21296</v>
      </c>
      <c r="E794" s="1" t="s">
        <v>57</v>
      </c>
      <c r="F794" s="201" t="n">
        <v>200025889350</v>
      </c>
      <c r="G794" s="198" t="s">
        <v>582</v>
      </c>
      <c r="H794" s="163" t="s">
        <v>378</v>
      </c>
      <c r="I794" s="161" t="n">
        <v>29</v>
      </c>
      <c r="J794" s="156" t="s">
        <v>192</v>
      </c>
      <c r="K794" s="200" t="n">
        <v>45447.5960069444</v>
      </c>
      <c r="L794" s="3" t="n">
        <v>45</v>
      </c>
      <c r="M794" s="3" t="n">
        <v>45</v>
      </c>
      <c r="N794" s="1" t="n">
        <v>10</v>
      </c>
      <c r="O794" s="1" t="n">
        <v>0</v>
      </c>
    </row>
    <row r="795" customFormat="false" ht="14.25" hidden="false" customHeight="false" outlineLevel="0" collapsed="false">
      <c r="A795" s="1" t="n">
        <v>264</v>
      </c>
      <c r="B795" s="1" t="s">
        <v>621</v>
      </c>
      <c r="C795" s="1" t="s">
        <v>622</v>
      </c>
      <c r="D795" s="1" t="n">
        <v>21296</v>
      </c>
      <c r="E795" s="1" t="s">
        <v>57</v>
      </c>
      <c r="F795" s="201" t="n">
        <v>200025889350</v>
      </c>
      <c r="G795" s="198" t="s">
        <v>582</v>
      </c>
      <c r="H795" s="163" t="s">
        <v>378</v>
      </c>
      <c r="I795" s="161" t="n">
        <v>29</v>
      </c>
      <c r="J795" s="156" t="s">
        <v>192</v>
      </c>
      <c r="K795" s="200" t="n">
        <v>45447.5960069444</v>
      </c>
      <c r="L795" s="3" t="n">
        <v>45</v>
      </c>
      <c r="M795" s="3" t="n">
        <v>45</v>
      </c>
      <c r="N795" s="1" t="n">
        <v>11</v>
      </c>
      <c r="O795" s="1" t="n">
        <v>1</v>
      </c>
    </row>
    <row r="796" customFormat="false" ht="14.25" hidden="false" customHeight="false" outlineLevel="0" collapsed="false">
      <c r="A796" s="1" t="n">
        <v>73</v>
      </c>
      <c r="B796" s="1" t="s">
        <v>624</v>
      </c>
      <c r="C796" s="1" t="s">
        <v>625</v>
      </c>
      <c r="D796" s="1" t="n">
        <v>21261</v>
      </c>
      <c r="E796" s="1" t="s">
        <v>57</v>
      </c>
      <c r="F796" s="201" t="n">
        <v>200025888890</v>
      </c>
      <c r="G796" s="198" t="s">
        <v>661</v>
      </c>
      <c r="H796" s="163" t="s">
        <v>421</v>
      </c>
      <c r="I796" s="161" t="n">
        <v>40</v>
      </c>
      <c r="J796" s="156" t="s">
        <v>192</v>
      </c>
      <c r="K796" s="200" t="n">
        <v>45434.8796064815</v>
      </c>
      <c r="L796" s="3" t="n">
        <v>46</v>
      </c>
      <c r="M796" s="3" t="n">
        <v>46</v>
      </c>
      <c r="N796" s="1" t="n">
        <v>1</v>
      </c>
      <c r="O796" s="1" t="n">
        <v>1</v>
      </c>
    </row>
    <row r="797" customFormat="false" ht="14.25" hidden="false" customHeight="false" outlineLevel="0" collapsed="false">
      <c r="A797" s="1" t="n">
        <v>74</v>
      </c>
      <c r="B797" s="1" t="s">
        <v>624</v>
      </c>
      <c r="C797" s="1" t="s">
        <v>625</v>
      </c>
      <c r="D797" s="1" t="n">
        <v>21261</v>
      </c>
      <c r="E797" s="1" t="s">
        <v>57</v>
      </c>
      <c r="F797" s="201" t="n">
        <v>200025888890</v>
      </c>
      <c r="G797" s="198" t="s">
        <v>661</v>
      </c>
      <c r="H797" s="163" t="s">
        <v>421</v>
      </c>
      <c r="I797" s="161" t="n">
        <v>40</v>
      </c>
      <c r="J797" s="156" t="s">
        <v>192</v>
      </c>
      <c r="K797" s="200" t="n">
        <v>45434.8820833333</v>
      </c>
      <c r="L797" s="3" t="n">
        <v>46</v>
      </c>
      <c r="M797" s="3" t="n">
        <v>46</v>
      </c>
      <c r="N797" s="1" t="n">
        <v>2</v>
      </c>
      <c r="O797" s="1" t="n">
        <v>1</v>
      </c>
    </row>
    <row r="798" customFormat="false" ht="14.25" hidden="false" customHeight="false" outlineLevel="0" collapsed="false">
      <c r="A798" s="1" t="n">
        <v>97</v>
      </c>
      <c r="B798" s="1" t="s">
        <v>624</v>
      </c>
      <c r="C798" s="1" t="s">
        <v>625</v>
      </c>
      <c r="D798" s="1" t="n">
        <v>21261</v>
      </c>
      <c r="E798" s="1" t="s">
        <v>57</v>
      </c>
      <c r="F798" s="201" t="n">
        <v>200025888890</v>
      </c>
      <c r="G798" s="198" t="s">
        <v>661</v>
      </c>
      <c r="H798" s="163" t="s">
        <v>421</v>
      </c>
      <c r="I798" s="161" t="n">
        <v>40</v>
      </c>
      <c r="J798" s="156" t="s">
        <v>192</v>
      </c>
      <c r="K798" s="200" t="n">
        <v>45434.9198032407</v>
      </c>
      <c r="L798" s="3" t="n">
        <v>46</v>
      </c>
      <c r="M798" s="3" t="n">
        <v>46</v>
      </c>
      <c r="N798" s="1" t="n">
        <v>3</v>
      </c>
      <c r="O798" s="1" t="n">
        <v>1</v>
      </c>
    </row>
    <row r="799" customFormat="false" ht="14.25" hidden="false" customHeight="false" outlineLevel="0" collapsed="false">
      <c r="A799" s="1" t="n">
        <v>106</v>
      </c>
      <c r="B799" s="1" t="s">
        <v>624</v>
      </c>
      <c r="C799" s="1" t="s">
        <v>625</v>
      </c>
      <c r="D799" s="1" t="n">
        <v>21261</v>
      </c>
      <c r="E799" s="1" t="s">
        <v>57</v>
      </c>
      <c r="F799" s="201" t="n">
        <v>200025888890</v>
      </c>
      <c r="G799" s="198" t="s">
        <v>661</v>
      </c>
      <c r="H799" s="163" t="s">
        <v>421</v>
      </c>
      <c r="I799" s="161" t="n">
        <v>40</v>
      </c>
      <c r="J799" s="156" t="s">
        <v>192</v>
      </c>
      <c r="K799" s="200" t="n">
        <v>45435.0679282407</v>
      </c>
      <c r="L799" s="3" t="n">
        <v>46</v>
      </c>
      <c r="M799" s="3" t="n">
        <v>46</v>
      </c>
      <c r="N799" s="1" t="n">
        <v>4</v>
      </c>
      <c r="O799" s="1" t="n">
        <v>1</v>
      </c>
    </row>
    <row r="800" customFormat="false" ht="14.25" hidden="false" customHeight="false" outlineLevel="0" collapsed="false">
      <c r="A800" s="1" t="n">
        <v>51</v>
      </c>
      <c r="B800" s="1" t="s">
        <v>565</v>
      </c>
      <c r="C800" s="1" t="s">
        <v>566</v>
      </c>
      <c r="D800" s="196" t="n">
        <v>2644</v>
      </c>
      <c r="E800" s="196" t="s">
        <v>51</v>
      </c>
      <c r="F800" s="197" t="s">
        <v>660</v>
      </c>
      <c r="G800" s="198" t="s">
        <v>661</v>
      </c>
      <c r="H800" s="163" t="s">
        <v>421</v>
      </c>
      <c r="I800" s="161" t="n">
        <v>40</v>
      </c>
      <c r="J800" s="156" t="s">
        <v>192</v>
      </c>
      <c r="K800" s="199" t="n">
        <v>45435.1316782407</v>
      </c>
      <c r="L800" s="3" t="n">
        <v>46</v>
      </c>
      <c r="M800" s="3" t="n">
        <v>46</v>
      </c>
      <c r="N800" s="1" t="n">
        <v>5</v>
      </c>
      <c r="O800" s="1" t="n">
        <v>1</v>
      </c>
    </row>
    <row r="801" customFormat="false" ht="14.25" hidden="false" customHeight="false" outlineLevel="0" collapsed="false">
      <c r="A801" s="1" t="n">
        <v>15</v>
      </c>
      <c r="B801" s="1" t="s">
        <v>684</v>
      </c>
      <c r="C801" s="1" t="s">
        <v>685</v>
      </c>
      <c r="D801" s="1" t="n">
        <v>21296</v>
      </c>
      <c r="E801" s="1" t="s">
        <v>57</v>
      </c>
      <c r="F801" s="201" t="n">
        <v>200025888890</v>
      </c>
      <c r="G801" s="198" t="s">
        <v>661</v>
      </c>
      <c r="H801" s="163" t="s">
        <v>421</v>
      </c>
      <c r="I801" s="161" t="n">
        <v>40</v>
      </c>
      <c r="J801" s="156" t="s">
        <v>192</v>
      </c>
      <c r="K801" s="200" t="n">
        <v>45450.4923263889</v>
      </c>
      <c r="L801" s="3" t="n">
        <v>46</v>
      </c>
      <c r="M801" s="3" t="n">
        <v>46</v>
      </c>
      <c r="N801" s="1" t="n">
        <v>6</v>
      </c>
      <c r="O801" s="1" t="n">
        <v>1</v>
      </c>
    </row>
    <row r="802" customFormat="false" ht="14.25" hidden="false" customHeight="false" outlineLevel="0" collapsed="false">
      <c r="A802" s="1" t="n">
        <v>16</v>
      </c>
      <c r="B802" s="1" t="s">
        <v>684</v>
      </c>
      <c r="C802" s="1" t="s">
        <v>685</v>
      </c>
      <c r="D802" s="1" t="n">
        <v>21296</v>
      </c>
      <c r="E802" s="1" t="s">
        <v>57</v>
      </c>
      <c r="F802" s="201" t="n">
        <v>200025888890</v>
      </c>
      <c r="G802" s="198" t="s">
        <v>661</v>
      </c>
      <c r="H802" s="163" t="s">
        <v>421</v>
      </c>
      <c r="I802" s="161" t="n">
        <v>40</v>
      </c>
      <c r="J802" s="156" t="s">
        <v>192</v>
      </c>
      <c r="K802" s="200" t="n">
        <v>45450.492337963</v>
      </c>
      <c r="L802" s="3" t="n">
        <v>46</v>
      </c>
      <c r="M802" s="3" t="n">
        <v>46</v>
      </c>
      <c r="N802" s="1" t="n">
        <v>7</v>
      </c>
      <c r="O802" s="1" t="n">
        <v>1</v>
      </c>
    </row>
    <row r="803" customFormat="false" ht="14.25" hidden="false" customHeight="false" outlineLevel="0" collapsed="false">
      <c r="A803" s="1" t="n">
        <v>75</v>
      </c>
      <c r="B803" s="1" t="s">
        <v>624</v>
      </c>
      <c r="C803" s="1" t="s">
        <v>625</v>
      </c>
      <c r="D803" s="1" t="n">
        <v>21261</v>
      </c>
      <c r="E803" s="1" t="s">
        <v>57</v>
      </c>
      <c r="F803" s="201" t="n">
        <v>200025888712</v>
      </c>
      <c r="G803" s="198" t="s">
        <v>578</v>
      </c>
      <c r="H803" s="163" t="s">
        <v>427</v>
      </c>
      <c r="I803" s="161" t="n">
        <v>48</v>
      </c>
      <c r="J803" s="156" t="s">
        <v>192</v>
      </c>
      <c r="K803" s="200" t="n">
        <v>45434.8968171296</v>
      </c>
      <c r="L803" s="3" t="n">
        <v>47</v>
      </c>
      <c r="M803" s="3" t="n">
        <v>47</v>
      </c>
      <c r="N803" s="1" t="n">
        <v>1</v>
      </c>
      <c r="O803" s="1" t="n">
        <v>1</v>
      </c>
    </row>
    <row r="804" customFormat="false" ht="14.25" hidden="false" customHeight="false" outlineLevel="0" collapsed="false">
      <c r="A804" s="1" t="n">
        <v>81</v>
      </c>
      <c r="B804" s="1" t="s">
        <v>624</v>
      </c>
      <c r="C804" s="1" t="s">
        <v>625</v>
      </c>
      <c r="D804" s="1" t="n">
        <v>21261</v>
      </c>
      <c r="E804" s="1" t="s">
        <v>57</v>
      </c>
      <c r="F804" s="201" t="n">
        <v>200025888712</v>
      </c>
      <c r="G804" s="198" t="s">
        <v>578</v>
      </c>
      <c r="H804" s="163" t="s">
        <v>427</v>
      </c>
      <c r="I804" s="161" t="n">
        <v>48</v>
      </c>
      <c r="J804" s="156" t="s">
        <v>192</v>
      </c>
      <c r="K804" s="200" t="n">
        <v>45434.9002199074</v>
      </c>
      <c r="L804" s="3" t="n">
        <v>47</v>
      </c>
      <c r="M804" s="3" t="n">
        <v>47</v>
      </c>
      <c r="N804" s="1" t="n">
        <v>2</v>
      </c>
      <c r="O804" s="1" t="n">
        <v>1</v>
      </c>
    </row>
    <row r="805" customFormat="false" ht="14.25" hidden="false" customHeight="false" outlineLevel="0" collapsed="false">
      <c r="A805" s="1" t="n">
        <v>82</v>
      </c>
      <c r="B805" s="1" t="s">
        <v>624</v>
      </c>
      <c r="C805" s="1" t="s">
        <v>625</v>
      </c>
      <c r="D805" s="1" t="n">
        <v>21261</v>
      </c>
      <c r="E805" s="1" t="s">
        <v>57</v>
      </c>
      <c r="F805" s="201" t="n">
        <v>200025888712</v>
      </c>
      <c r="G805" s="198" t="s">
        <v>578</v>
      </c>
      <c r="H805" s="163" t="s">
        <v>427</v>
      </c>
      <c r="I805" s="161" t="n">
        <v>48</v>
      </c>
      <c r="J805" s="156" t="s">
        <v>192</v>
      </c>
      <c r="K805" s="200" t="n">
        <v>45434.9007060185</v>
      </c>
      <c r="L805" s="3" t="n">
        <v>47</v>
      </c>
      <c r="M805" s="3" t="n">
        <v>47</v>
      </c>
      <c r="N805" s="1" t="n">
        <v>3</v>
      </c>
      <c r="O805" s="1" t="n">
        <v>1</v>
      </c>
    </row>
    <row r="806" customFormat="false" ht="14.25" hidden="false" customHeight="false" outlineLevel="0" collapsed="false">
      <c r="A806" s="1" t="n">
        <v>84</v>
      </c>
      <c r="B806" s="1" t="s">
        <v>624</v>
      </c>
      <c r="C806" s="1" t="s">
        <v>625</v>
      </c>
      <c r="D806" s="1" t="n">
        <v>21261</v>
      </c>
      <c r="E806" s="1" t="s">
        <v>57</v>
      </c>
      <c r="F806" s="201" t="n">
        <v>200025888712</v>
      </c>
      <c r="G806" s="198" t="s">
        <v>578</v>
      </c>
      <c r="H806" s="163" t="s">
        <v>427</v>
      </c>
      <c r="I806" s="161" t="n">
        <v>48</v>
      </c>
      <c r="J806" s="156" t="s">
        <v>192</v>
      </c>
      <c r="K806" s="200" t="n">
        <v>45434.9020601852</v>
      </c>
      <c r="L806" s="3" t="n">
        <v>47</v>
      </c>
      <c r="M806" s="3" t="n">
        <v>47</v>
      </c>
      <c r="N806" s="1" t="n">
        <v>4</v>
      </c>
      <c r="O806" s="1" t="n">
        <v>1</v>
      </c>
    </row>
    <row r="807" customFormat="false" ht="14.25" hidden="false" customHeight="false" outlineLevel="0" collapsed="false">
      <c r="A807" s="1" t="n">
        <v>88</v>
      </c>
      <c r="B807" s="1" t="s">
        <v>624</v>
      </c>
      <c r="C807" s="1" t="s">
        <v>625</v>
      </c>
      <c r="D807" s="1" t="n">
        <v>21261</v>
      </c>
      <c r="E807" s="1" t="s">
        <v>57</v>
      </c>
      <c r="F807" s="201" t="n">
        <v>200025888712</v>
      </c>
      <c r="G807" s="198" t="s">
        <v>578</v>
      </c>
      <c r="H807" s="163" t="s">
        <v>427</v>
      </c>
      <c r="I807" s="161" t="n">
        <v>48</v>
      </c>
      <c r="J807" s="156" t="s">
        <v>192</v>
      </c>
      <c r="K807" s="200" t="n">
        <v>45434.9039814815</v>
      </c>
      <c r="L807" s="3" t="n">
        <v>47</v>
      </c>
      <c r="M807" s="3" t="n">
        <v>47</v>
      </c>
      <c r="N807" s="1" t="n">
        <v>5</v>
      </c>
      <c r="O807" s="1" t="n">
        <v>2</v>
      </c>
    </row>
    <row r="808" customFormat="false" ht="14.25" hidden="false" customHeight="false" outlineLevel="0" collapsed="false">
      <c r="A808" s="1" t="n">
        <v>102</v>
      </c>
      <c r="B808" s="1" t="s">
        <v>624</v>
      </c>
      <c r="C808" s="1" t="s">
        <v>625</v>
      </c>
      <c r="D808" s="1" t="n">
        <v>21261</v>
      </c>
      <c r="E808" s="1" t="s">
        <v>57</v>
      </c>
      <c r="F808" s="201" t="n">
        <v>200025888712</v>
      </c>
      <c r="G808" s="198" t="s">
        <v>578</v>
      </c>
      <c r="H808" s="163" t="s">
        <v>427</v>
      </c>
      <c r="I808" s="161" t="n">
        <v>48</v>
      </c>
      <c r="J808" s="156" t="s">
        <v>192</v>
      </c>
      <c r="K808" s="200" t="n">
        <v>45435.0466550926</v>
      </c>
      <c r="L808" s="3" t="n">
        <v>47</v>
      </c>
      <c r="M808" s="3" t="n">
        <v>47</v>
      </c>
      <c r="N808" s="1" t="n">
        <v>6</v>
      </c>
      <c r="O808" s="1" t="n">
        <v>2</v>
      </c>
    </row>
    <row r="809" customFormat="false" ht="14.25" hidden="false" customHeight="false" outlineLevel="0" collapsed="false">
      <c r="A809" s="1" t="n">
        <v>103</v>
      </c>
      <c r="B809" s="1" t="s">
        <v>624</v>
      </c>
      <c r="C809" s="1" t="s">
        <v>625</v>
      </c>
      <c r="D809" s="1" t="n">
        <v>21261</v>
      </c>
      <c r="E809" s="1" t="s">
        <v>57</v>
      </c>
      <c r="F809" s="201" t="n">
        <v>200025888712</v>
      </c>
      <c r="G809" s="198" t="s">
        <v>578</v>
      </c>
      <c r="H809" s="163" t="s">
        <v>427</v>
      </c>
      <c r="I809" s="161" t="n">
        <v>48</v>
      </c>
      <c r="J809" s="156" t="s">
        <v>192</v>
      </c>
      <c r="K809" s="200" t="n">
        <v>45435.0483680556</v>
      </c>
      <c r="L809" s="3" t="n">
        <v>47</v>
      </c>
      <c r="M809" s="3" t="n">
        <v>47</v>
      </c>
      <c r="N809" s="1" t="n">
        <v>7</v>
      </c>
      <c r="O809" s="1" t="n">
        <v>2</v>
      </c>
    </row>
    <row r="810" customFormat="false" ht="14.25" hidden="false" customHeight="false" outlineLevel="0" collapsed="false">
      <c r="A810" s="1" t="n">
        <v>42</v>
      </c>
      <c r="B810" s="1" t="s">
        <v>565</v>
      </c>
      <c r="C810" s="1" t="s">
        <v>566</v>
      </c>
      <c r="D810" s="196" t="n">
        <v>2644</v>
      </c>
      <c r="E810" s="196" t="s">
        <v>51</v>
      </c>
      <c r="F810" s="197" t="s">
        <v>577</v>
      </c>
      <c r="G810" s="198" t="s">
        <v>578</v>
      </c>
      <c r="H810" s="163" t="s">
        <v>427</v>
      </c>
      <c r="I810" s="161" t="n">
        <v>48</v>
      </c>
      <c r="J810" s="156" t="s">
        <v>192</v>
      </c>
      <c r="K810" s="199" t="n">
        <v>45435.0723032407</v>
      </c>
      <c r="L810" s="3" t="n">
        <v>47</v>
      </c>
      <c r="M810" s="3" t="n">
        <v>47</v>
      </c>
      <c r="N810" s="1" t="n">
        <v>8</v>
      </c>
      <c r="O810" s="1" t="n">
        <v>2</v>
      </c>
    </row>
    <row r="811" customFormat="false" ht="14.25" hidden="false" customHeight="false" outlineLevel="0" collapsed="false">
      <c r="A811" s="1" t="n">
        <v>43</v>
      </c>
      <c r="B811" s="1" t="s">
        <v>565</v>
      </c>
      <c r="C811" s="1" t="s">
        <v>566</v>
      </c>
      <c r="D811" s="196" t="n">
        <v>2644</v>
      </c>
      <c r="E811" s="196" t="s">
        <v>51</v>
      </c>
      <c r="F811" s="197" t="s">
        <v>577</v>
      </c>
      <c r="G811" s="198" t="s">
        <v>578</v>
      </c>
      <c r="H811" s="163" t="s">
        <v>427</v>
      </c>
      <c r="I811" s="161" t="n">
        <v>48</v>
      </c>
      <c r="J811" s="156" t="s">
        <v>192</v>
      </c>
      <c r="K811" s="199" t="n">
        <v>45435.0723611111</v>
      </c>
      <c r="L811" s="3" t="n">
        <v>47</v>
      </c>
      <c r="M811" s="3" t="n">
        <v>47</v>
      </c>
      <c r="N811" s="1" t="n">
        <v>9</v>
      </c>
      <c r="O811" s="1" t="n">
        <v>2</v>
      </c>
    </row>
    <row r="812" customFormat="false" ht="14.25" hidden="false" customHeight="false" outlineLevel="0" collapsed="false">
      <c r="A812" s="1" t="n">
        <v>44</v>
      </c>
      <c r="B812" s="1" t="s">
        <v>565</v>
      </c>
      <c r="C812" s="1" t="s">
        <v>566</v>
      </c>
      <c r="D812" s="196" t="n">
        <v>2644</v>
      </c>
      <c r="E812" s="196" t="s">
        <v>51</v>
      </c>
      <c r="F812" s="197" t="s">
        <v>577</v>
      </c>
      <c r="G812" s="198" t="s">
        <v>578</v>
      </c>
      <c r="H812" s="163" t="s">
        <v>427</v>
      </c>
      <c r="I812" s="161" t="n">
        <v>48</v>
      </c>
      <c r="J812" s="156" t="s">
        <v>192</v>
      </c>
      <c r="K812" s="199" t="n">
        <v>45435.0724305556</v>
      </c>
      <c r="L812" s="3" t="n">
        <v>47</v>
      </c>
      <c r="M812" s="3" t="n">
        <v>47</v>
      </c>
      <c r="N812" s="1" t="n">
        <v>10</v>
      </c>
      <c r="O812" s="1" t="n">
        <v>1</v>
      </c>
    </row>
    <row r="813" customFormat="false" ht="14.25" hidden="false" customHeight="false" outlineLevel="0" collapsed="false">
      <c r="A813" s="1" t="n">
        <v>45</v>
      </c>
      <c r="B813" s="1" t="s">
        <v>565</v>
      </c>
      <c r="C813" s="1" t="s">
        <v>566</v>
      </c>
      <c r="D813" s="196" t="n">
        <v>2644</v>
      </c>
      <c r="E813" s="196" t="s">
        <v>51</v>
      </c>
      <c r="F813" s="197" t="s">
        <v>577</v>
      </c>
      <c r="G813" s="198" t="s">
        <v>578</v>
      </c>
      <c r="H813" s="163" t="s">
        <v>427</v>
      </c>
      <c r="I813" s="161" t="n">
        <v>48</v>
      </c>
      <c r="J813" s="156" t="s">
        <v>192</v>
      </c>
      <c r="K813" s="199" t="n">
        <v>45435.0724537037</v>
      </c>
      <c r="L813" s="3" t="n">
        <v>47</v>
      </c>
      <c r="M813" s="3" t="n">
        <v>47</v>
      </c>
      <c r="N813" s="1" t="n">
        <v>11</v>
      </c>
      <c r="O813" s="1" t="n">
        <v>0</v>
      </c>
    </row>
    <row r="814" customFormat="false" ht="14.25" hidden="false" customHeight="false" outlineLevel="0" collapsed="false">
      <c r="A814" s="1" t="n">
        <v>46</v>
      </c>
      <c r="B814" s="1" t="s">
        <v>565</v>
      </c>
      <c r="C814" s="1" t="s">
        <v>566</v>
      </c>
      <c r="D814" s="196" t="n">
        <v>2644</v>
      </c>
      <c r="E814" s="196" t="s">
        <v>51</v>
      </c>
      <c r="F814" s="197" t="s">
        <v>577</v>
      </c>
      <c r="G814" s="198" t="s">
        <v>578</v>
      </c>
      <c r="H814" s="163" t="s">
        <v>427</v>
      </c>
      <c r="I814" s="161" t="n">
        <v>48</v>
      </c>
      <c r="J814" s="156" t="s">
        <v>192</v>
      </c>
      <c r="K814" s="199" t="n">
        <v>45435.0766203704</v>
      </c>
      <c r="L814" s="3" t="n">
        <v>47</v>
      </c>
      <c r="M814" s="3" t="n">
        <v>47</v>
      </c>
      <c r="N814" s="1" t="n">
        <v>12</v>
      </c>
      <c r="O814" s="1" t="n">
        <v>2</v>
      </c>
    </row>
    <row r="815" customFormat="false" ht="14.25" hidden="false" customHeight="false" outlineLevel="0" collapsed="false">
      <c r="A815" s="1" t="n">
        <v>47</v>
      </c>
      <c r="B815" s="1" t="s">
        <v>565</v>
      </c>
      <c r="C815" s="1" t="s">
        <v>566</v>
      </c>
      <c r="D815" s="196" t="n">
        <v>2644</v>
      </c>
      <c r="E815" s="196" t="s">
        <v>51</v>
      </c>
      <c r="F815" s="197" t="s">
        <v>577</v>
      </c>
      <c r="G815" s="198" t="s">
        <v>578</v>
      </c>
      <c r="H815" s="163" t="s">
        <v>427</v>
      </c>
      <c r="I815" s="161" t="n">
        <v>48</v>
      </c>
      <c r="J815" s="156" t="s">
        <v>192</v>
      </c>
      <c r="K815" s="199" t="n">
        <v>45435.0766550926</v>
      </c>
      <c r="L815" s="3" t="n">
        <v>47</v>
      </c>
      <c r="M815" s="3" t="n">
        <v>47</v>
      </c>
      <c r="N815" s="1" t="n">
        <v>13</v>
      </c>
      <c r="O815" s="1" t="n">
        <v>1</v>
      </c>
    </row>
    <row r="816" customFormat="false" ht="14.25" hidden="false" customHeight="false" outlineLevel="0" collapsed="false">
      <c r="A816" s="1" t="n">
        <v>48</v>
      </c>
      <c r="B816" s="1" t="s">
        <v>565</v>
      </c>
      <c r="C816" s="1" t="s">
        <v>566</v>
      </c>
      <c r="D816" s="196" t="n">
        <v>2644</v>
      </c>
      <c r="E816" s="196" t="s">
        <v>51</v>
      </c>
      <c r="F816" s="197" t="s">
        <v>577</v>
      </c>
      <c r="G816" s="198" t="s">
        <v>578</v>
      </c>
      <c r="H816" s="163" t="s">
        <v>427</v>
      </c>
      <c r="I816" s="161" t="n">
        <v>48</v>
      </c>
      <c r="J816" s="156" t="s">
        <v>192</v>
      </c>
      <c r="K816" s="199" t="n">
        <v>45435.0766666667</v>
      </c>
      <c r="L816" s="3" t="n">
        <v>47</v>
      </c>
      <c r="M816" s="3" t="n">
        <v>47</v>
      </c>
      <c r="N816" s="1" t="n">
        <v>14</v>
      </c>
      <c r="O816" s="1" t="n">
        <v>1</v>
      </c>
    </row>
    <row r="817" customFormat="false" ht="14.25" hidden="false" customHeight="false" outlineLevel="0" collapsed="false">
      <c r="A817" s="1" t="n">
        <v>49</v>
      </c>
      <c r="B817" s="1" t="s">
        <v>565</v>
      </c>
      <c r="C817" s="1" t="s">
        <v>566</v>
      </c>
      <c r="D817" s="196" t="n">
        <v>2644</v>
      </c>
      <c r="E817" s="196" t="s">
        <v>51</v>
      </c>
      <c r="F817" s="197" t="s">
        <v>577</v>
      </c>
      <c r="G817" s="198" t="s">
        <v>578</v>
      </c>
      <c r="H817" s="163" t="s">
        <v>427</v>
      </c>
      <c r="I817" s="161" t="n">
        <v>48</v>
      </c>
      <c r="J817" s="156" t="s">
        <v>192</v>
      </c>
      <c r="K817" s="199" t="n">
        <v>45435.0767013889</v>
      </c>
      <c r="L817" s="3" t="n">
        <v>47</v>
      </c>
      <c r="M817" s="3" t="n">
        <v>47</v>
      </c>
      <c r="N817" s="1" t="n">
        <v>15</v>
      </c>
      <c r="O817" s="1" t="n">
        <v>1</v>
      </c>
    </row>
    <row r="818" customFormat="false" ht="14.25" hidden="false" customHeight="false" outlineLevel="0" collapsed="false">
      <c r="A818" s="1" t="n">
        <v>50</v>
      </c>
      <c r="B818" s="1" t="s">
        <v>565</v>
      </c>
      <c r="C818" s="1" t="s">
        <v>566</v>
      </c>
      <c r="D818" s="196" t="n">
        <v>2644</v>
      </c>
      <c r="E818" s="196" t="s">
        <v>51</v>
      </c>
      <c r="F818" s="197" t="s">
        <v>577</v>
      </c>
      <c r="G818" s="198" t="s">
        <v>578</v>
      </c>
      <c r="H818" s="163" t="s">
        <v>427</v>
      </c>
      <c r="I818" s="161" t="n">
        <v>48</v>
      </c>
      <c r="J818" s="156" t="s">
        <v>192</v>
      </c>
      <c r="K818" s="199" t="n">
        <v>45435.0767476852</v>
      </c>
      <c r="L818" s="3" t="n">
        <v>47</v>
      </c>
      <c r="M818" s="3" t="n">
        <v>47</v>
      </c>
      <c r="N818" s="1" t="n">
        <v>16</v>
      </c>
      <c r="O818" s="1" t="n">
        <v>0</v>
      </c>
    </row>
    <row r="819" customFormat="false" ht="14.25" hidden="false" customHeight="false" outlineLevel="0" collapsed="false">
      <c r="A819" s="1" t="n">
        <v>157</v>
      </c>
      <c r="B819" s="1" t="s">
        <v>624</v>
      </c>
      <c r="C819" s="1" t="s">
        <v>625</v>
      </c>
      <c r="D819" s="1" t="n">
        <v>21261</v>
      </c>
      <c r="E819" s="1" t="s">
        <v>57</v>
      </c>
      <c r="F819" s="201" t="n">
        <v>200025888712</v>
      </c>
      <c r="G819" s="198" t="s">
        <v>578</v>
      </c>
      <c r="H819" s="163" t="s">
        <v>427</v>
      </c>
      <c r="I819" s="161" t="n">
        <v>48</v>
      </c>
      <c r="J819" s="156" t="s">
        <v>192</v>
      </c>
      <c r="K819" s="200" t="n">
        <v>45435.3161342593</v>
      </c>
      <c r="L819" s="3" t="n">
        <v>47</v>
      </c>
      <c r="M819" s="3" t="n">
        <v>47</v>
      </c>
      <c r="N819" s="1" t="n">
        <v>17</v>
      </c>
      <c r="O819" s="1" t="n">
        <v>2</v>
      </c>
    </row>
    <row r="820" customFormat="false" ht="14.25" hidden="false" customHeight="false" outlineLevel="0" collapsed="false">
      <c r="A820" s="1" t="n">
        <v>158</v>
      </c>
      <c r="B820" s="1" t="s">
        <v>624</v>
      </c>
      <c r="C820" s="1" t="s">
        <v>625</v>
      </c>
      <c r="D820" s="1" t="n">
        <v>21261</v>
      </c>
      <c r="E820" s="1" t="s">
        <v>57</v>
      </c>
      <c r="F820" s="201" t="n">
        <v>200025888712</v>
      </c>
      <c r="G820" s="198" t="s">
        <v>578</v>
      </c>
      <c r="H820" s="163" t="s">
        <v>427</v>
      </c>
      <c r="I820" s="161" t="n">
        <v>48</v>
      </c>
      <c r="J820" s="156" t="s">
        <v>192</v>
      </c>
      <c r="K820" s="200" t="n">
        <v>45435.3161689815</v>
      </c>
      <c r="L820" s="3" t="n">
        <v>47</v>
      </c>
      <c r="M820" s="3" t="n">
        <v>47</v>
      </c>
      <c r="N820" s="1" t="n">
        <v>18</v>
      </c>
      <c r="O820" s="10" t="n">
        <v>101</v>
      </c>
    </row>
    <row r="821" customFormat="false" ht="14.25" hidden="false" customHeight="false" outlineLevel="0" collapsed="false">
      <c r="A821" s="1" t="n">
        <v>70</v>
      </c>
      <c r="B821" s="1" t="s">
        <v>565</v>
      </c>
      <c r="C821" s="1" t="s">
        <v>566</v>
      </c>
      <c r="D821" s="196" t="n">
        <v>2568</v>
      </c>
      <c r="E821" s="196" t="s">
        <v>51</v>
      </c>
      <c r="F821" s="197" t="s">
        <v>577</v>
      </c>
      <c r="G821" s="198" t="s">
        <v>578</v>
      </c>
      <c r="H821" s="163" t="s">
        <v>427</v>
      </c>
      <c r="I821" s="161" t="n">
        <v>48</v>
      </c>
      <c r="J821" s="156" t="s">
        <v>192</v>
      </c>
      <c r="K821" s="199" t="n">
        <v>45435.483912037</v>
      </c>
      <c r="L821" s="3" t="n">
        <v>47</v>
      </c>
      <c r="M821" s="3" t="n">
        <v>47</v>
      </c>
      <c r="N821" s="1" t="n">
        <v>19</v>
      </c>
      <c r="O821" s="1" t="n">
        <v>0</v>
      </c>
    </row>
    <row r="822" customFormat="false" ht="14.25" hidden="false" customHeight="false" outlineLevel="0" collapsed="false">
      <c r="A822" s="1" t="n">
        <v>84</v>
      </c>
      <c r="B822" s="1" t="s">
        <v>565</v>
      </c>
      <c r="C822" s="1" t="s">
        <v>566</v>
      </c>
      <c r="D822" s="196" t="n">
        <v>2568</v>
      </c>
      <c r="E822" s="196" t="s">
        <v>51</v>
      </c>
      <c r="F822" s="197" t="s">
        <v>577</v>
      </c>
      <c r="G822" s="198" t="s">
        <v>578</v>
      </c>
      <c r="H822" s="163" t="s">
        <v>427</v>
      </c>
      <c r="I822" s="161" t="n">
        <v>48</v>
      </c>
      <c r="J822" s="156" t="s">
        <v>192</v>
      </c>
      <c r="K822" s="199" t="n">
        <v>45435.6364351852</v>
      </c>
      <c r="L822" s="3" t="n">
        <v>47</v>
      </c>
      <c r="M822" s="3" t="n">
        <v>47</v>
      </c>
      <c r="N822" s="1" t="n">
        <v>20</v>
      </c>
      <c r="O822" s="1" t="n">
        <v>1</v>
      </c>
    </row>
    <row r="823" customFormat="false" ht="14.25" hidden="false" customHeight="false" outlineLevel="0" collapsed="false">
      <c r="A823" s="1" t="n">
        <v>85</v>
      </c>
      <c r="B823" s="1" t="s">
        <v>565</v>
      </c>
      <c r="C823" s="1" t="s">
        <v>566</v>
      </c>
      <c r="D823" s="196" t="n">
        <v>2568</v>
      </c>
      <c r="E823" s="196" t="s">
        <v>51</v>
      </c>
      <c r="F823" s="197" t="s">
        <v>577</v>
      </c>
      <c r="G823" s="198" t="s">
        <v>578</v>
      </c>
      <c r="H823" s="163" t="s">
        <v>427</v>
      </c>
      <c r="I823" s="161" t="n">
        <v>48</v>
      </c>
      <c r="J823" s="156" t="s">
        <v>192</v>
      </c>
      <c r="K823" s="199" t="n">
        <v>45435.6364467593</v>
      </c>
      <c r="L823" s="3" t="n">
        <v>47</v>
      </c>
      <c r="M823" s="3" t="n">
        <v>47</v>
      </c>
      <c r="N823" s="1" t="n">
        <v>21</v>
      </c>
      <c r="O823" s="1" t="n">
        <v>1</v>
      </c>
    </row>
    <row r="824" customFormat="false" ht="14.25" hidden="false" customHeight="false" outlineLevel="0" collapsed="false">
      <c r="A824" s="1" t="n">
        <v>86</v>
      </c>
      <c r="B824" s="1" t="s">
        <v>565</v>
      </c>
      <c r="C824" s="1" t="s">
        <v>566</v>
      </c>
      <c r="D824" s="196" t="n">
        <v>2568</v>
      </c>
      <c r="E824" s="196" t="s">
        <v>51</v>
      </c>
      <c r="F824" s="197" t="s">
        <v>577</v>
      </c>
      <c r="G824" s="198" t="s">
        <v>578</v>
      </c>
      <c r="H824" s="163" t="s">
        <v>427</v>
      </c>
      <c r="I824" s="161" t="n">
        <v>48</v>
      </c>
      <c r="J824" s="156" t="s">
        <v>192</v>
      </c>
      <c r="K824" s="199" t="n">
        <v>45435.6364699074</v>
      </c>
      <c r="L824" s="3" t="n">
        <v>47</v>
      </c>
      <c r="M824" s="3" t="n">
        <v>47</v>
      </c>
      <c r="N824" s="1" t="n">
        <v>22</v>
      </c>
      <c r="O824" s="1" t="n">
        <v>2</v>
      </c>
    </row>
    <row r="825" customFormat="false" ht="14.25" hidden="false" customHeight="false" outlineLevel="0" collapsed="false">
      <c r="A825" s="1" t="n">
        <v>87</v>
      </c>
      <c r="B825" s="1" t="s">
        <v>565</v>
      </c>
      <c r="C825" s="1" t="s">
        <v>566</v>
      </c>
      <c r="D825" s="196" t="n">
        <v>2568</v>
      </c>
      <c r="E825" s="196" t="s">
        <v>51</v>
      </c>
      <c r="F825" s="197" t="s">
        <v>577</v>
      </c>
      <c r="G825" s="198" t="s">
        <v>578</v>
      </c>
      <c r="H825" s="163" t="s">
        <v>427</v>
      </c>
      <c r="I825" s="161" t="n">
        <v>48</v>
      </c>
      <c r="J825" s="156" t="s">
        <v>192</v>
      </c>
      <c r="K825" s="199" t="n">
        <v>45435.6386689815</v>
      </c>
      <c r="L825" s="3" t="n">
        <v>47</v>
      </c>
      <c r="M825" s="3" t="n">
        <v>47</v>
      </c>
      <c r="N825" s="1" t="n">
        <v>23</v>
      </c>
      <c r="O825" s="1" t="n">
        <v>1</v>
      </c>
    </row>
    <row r="826" customFormat="false" ht="14.25" hidden="false" customHeight="false" outlineLevel="0" collapsed="false">
      <c r="A826" s="1" t="n">
        <v>97</v>
      </c>
      <c r="B826" s="1" t="s">
        <v>565</v>
      </c>
      <c r="C826" s="1" t="s">
        <v>566</v>
      </c>
      <c r="D826" s="196" t="n">
        <v>2568</v>
      </c>
      <c r="E826" s="196" t="s">
        <v>51</v>
      </c>
      <c r="F826" s="197" t="s">
        <v>577</v>
      </c>
      <c r="G826" s="198" t="s">
        <v>578</v>
      </c>
      <c r="H826" s="163" t="s">
        <v>427</v>
      </c>
      <c r="I826" s="161" t="n">
        <v>48</v>
      </c>
      <c r="J826" s="156" t="s">
        <v>192</v>
      </c>
      <c r="K826" s="199" t="n">
        <v>45435.6758333333</v>
      </c>
      <c r="L826" s="3" t="n">
        <v>47</v>
      </c>
      <c r="M826" s="3" t="n">
        <v>47</v>
      </c>
      <c r="N826" s="1" t="n">
        <v>24</v>
      </c>
      <c r="O826" s="1" t="n">
        <v>1</v>
      </c>
    </row>
    <row r="827" customFormat="false" ht="14.25" hidden="false" customHeight="false" outlineLevel="0" collapsed="false">
      <c r="A827" s="1" t="n">
        <v>98</v>
      </c>
      <c r="B827" s="1" t="s">
        <v>565</v>
      </c>
      <c r="C827" s="1" t="s">
        <v>566</v>
      </c>
      <c r="D827" s="196" t="n">
        <v>2568</v>
      </c>
      <c r="E827" s="196" t="s">
        <v>51</v>
      </c>
      <c r="F827" s="197" t="s">
        <v>577</v>
      </c>
      <c r="G827" s="198" t="s">
        <v>578</v>
      </c>
      <c r="H827" s="163" t="s">
        <v>427</v>
      </c>
      <c r="I827" s="161" t="n">
        <v>48</v>
      </c>
      <c r="J827" s="156" t="s">
        <v>192</v>
      </c>
      <c r="K827" s="199" t="n">
        <v>45435.6758564815</v>
      </c>
      <c r="L827" s="3" t="n">
        <v>47</v>
      </c>
      <c r="M827" s="3" t="n">
        <v>47</v>
      </c>
      <c r="N827" s="1" t="n">
        <v>25</v>
      </c>
      <c r="O827" s="1" t="n">
        <v>0</v>
      </c>
    </row>
    <row r="828" customFormat="false" ht="14.25" hidden="false" customHeight="false" outlineLevel="0" collapsed="false">
      <c r="A828" s="1" t="n">
        <v>147</v>
      </c>
      <c r="B828" s="1" t="s">
        <v>565</v>
      </c>
      <c r="C828" s="1" t="s">
        <v>566</v>
      </c>
      <c r="D828" s="196" t="n">
        <v>2568</v>
      </c>
      <c r="E828" s="196" t="s">
        <v>51</v>
      </c>
      <c r="F828" s="197" t="s">
        <v>577</v>
      </c>
      <c r="G828" s="198" t="s">
        <v>578</v>
      </c>
      <c r="H828" s="163" t="s">
        <v>427</v>
      </c>
      <c r="I828" s="161" t="n">
        <v>48</v>
      </c>
      <c r="J828" s="156" t="s">
        <v>192</v>
      </c>
      <c r="K828" s="199" t="n">
        <v>45435.9907523148</v>
      </c>
      <c r="L828" s="3" t="n">
        <v>47</v>
      </c>
      <c r="M828" s="3" t="n">
        <v>47</v>
      </c>
      <c r="N828" s="1" t="n">
        <v>26</v>
      </c>
      <c r="O828" s="1" t="n">
        <v>1</v>
      </c>
    </row>
    <row r="829" customFormat="false" ht="14.25" hidden="false" customHeight="false" outlineLevel="0" collapsed="false">
      <c r="A829" s="1" t="n">
        <v>148</v>
      </c>
      <c r="B829" s="1" t="s">
        <v>565</v>
      </c>
      <c r="C829" s="1" t="s">
        <v>566</v>
      </c>
      <c r="D829" s="196" t="n">
        <v>2568</v>
      </c>
      <c r="E829" s="196" t="s">
        <v>51</v>
      </c>
      <c r="F829" s="197" t="s">
        <v>577</v>
      </c>
      <c r="G829" s="198" t="s">
        <v>578</v>
      </c>
      <c r="H829" s="163" t="s">
        <v>427</v>
      </c>
      <c r="I829" s="161" t="n">
        <v>48</v>
      </c>
      <c r="J829" s="156" t="s">
        <v>192</v>
      </c>
      <c r="K829" s="199" t="n">
        <v>45435.9915046296</v>
      </c>
      <c r="L829" s="3" t="n">
        <v>47</v>
      </c>
      <c r="M829" s="3" t="n">
        <v>47</v>
      </c>
      <c r="N829" s="1" t="n">
        <v>27</v>
      </c>
      <c r="O829" s="1" t="n">
        <v>1</v>
      </c>
    </row>
    <row r="830" customFormat="false" ht="14.25" hidden="false" customHeight="false" outlineLevel="0" collapsed="false">
      <c r="A830" s="1" t="n">
        <v>79</v>
      </c>
      <c r="B830" s="1" t="s">
        <v>624</v>
      </c>
      <c r="C830" s="1" t="s">
        <v>625</v>
      </c>
      <c r="D830" s="1" t="n">
        <v>21261</v>
      </c>
      <c r="E830" s="1" t="s">
        <v>57</v>
      </c>
      <c r="F830" s="201" t="n">
        <v>200025888664</v>
      </c>
      <c r="G830" s="198" t="s">
        <v>592</v>
      </c>
      <c r="H830" s="163" t="s">
        <v>415</v>
      </c>
      <c r="I830" s="161" t="n">
        <v>75</v>
      </c>
      <c r="J830" s="156" t="s">
        <v>192</v>
      </c>
      <c r="K830" s="200" t="n">
        <v>45434.8995601852</v>
      </c>
      <c r="L830" s="3" t="n">
        <v>48</v>
      </c>
      <c r="M830" s="3" t="n">
        <v>48</v>
      </c>
      <c r="N830" s="1" t="n">
        <v>1</v>
      </c>
      <c r="O830" s="1" t="n">
        <v>1</v>
      </c>
    </row>
    <row r="831" customFormat="false" ht="14.25" hidden="false" customHeight="false" outlineLevel="0" collapsed="false">
      <c r="A831" s="1" t="n">
        <v>83</v>
      </c>
      <c r="B831" s="1" t="s">
        <v>624</v>
      </c>
      <c r="C831" s="1" t="s">
        <v>625</v>
      </c>
      <c r="D831" s="1" t="n">
        <v>21261</v>
      </c>
      <c r="E831" s="1" t="s">
        <v>57</v>
      </c>
      <c r="F831" s="201" t="n">
        <v>200025888664</v>
      </c>
      <c r="G831" s="198" t="s">
        <v>592</v>
      </c>
      <c r="H831" s="163" t="s">
        <v>415</v>
      </c>
      <c r="I831" s="161" t="n">
        <v>75</v>
      </c>
      <c r="J831" s="156" t="s">
        <v>192</v>
      </c>
      <c r="K831" s="200" t="n">
        <v>45434.9012847222</v>
      </c>
      <c r="L831" s="3" t="n">
        <v>48</v>
      </c>
      <c r="M831" s="3" t="n">
        <v>48</v>
      </c>
      <c r="N831" s="1" t="n">
        <v>2</v>
      </c>
      <c r="O831" s="1" t="n">
        <v>1</v>
      </c>
    </row>
    <row r="832" customFormat="false" ht="14.25" hidden="false" customHeight="false" outlineLevel="0" collapsed="false">
      <c r="A832" s="1" t="n">
        <v>93</v>
      </c>
      <c r="B832" s="1" t="s">
        <v>624</v>
      </c>
      <c r="C832" s="1" t="s">
        <v>625</v>
      </c>
      <c r="D832" s="1" t="n">
        <v>21261</v>
      </c>
      <c r="E832" s="1" t="s">
        <v>57</v>
      </c>
      <c r="F832" s="201" t="n">
        <v>200025888664</v>
      </c>
      <c r="G832" s="198" t="s">
        <v>592</v>
      </c>
      <c r="H832" s="163" t="s">
        <v>415</v>
      </c>
      <c r="I832" s="161" t="n">
        <v>75</v>
      </c>
      <c r="J832" s="156" t="s">
        <v>192</v>
      </c>
      <c r="K832" s="200" t="n">
        <v>45434.912349537</v>
      </c>
      <c r="L832" s="3" t="n">
        <v>48</v>
      </c>
      <c r="M832" s="3" t="n">
        <v>48</v>
      </c>
      <c r="N832" s="1" t="n">
        <v>3</v>
      </c>
      <c r="O832" s="1" t="n">
        <v>2</v>
      </c>
    </row>
    <row r="833" customFormat="false" ht="14.25" hidden="false" customHeight="false" outlineLevel="0" collapsed="false">
      <c r="A833" s="1" t="n">
        <v>41</v>
      </c>
      <c r="B833" s="1" t="s">
        <v>565</v>
      </c>
      <c r="C833" s="1" t="s">
        <v>566</v>
      </c>
      <c r="D833" s="196" t="n">
        <v>2644</v>
      </c>
      <c r="E833" s="196" t="s">
        <v>51</v>
      </c>
      <c r="F833" s="197" t="s">
        <v>591</v>
      </c>
      <c r="G833" s="198" t="s">
        <v>592</v>
      </c>
      <c r="H833" s="163" t="s">
        <v>415</v>
      </c>
      <c r="I833" s="161" t="n">
        <v>75</v>
      </c>
      <c r="J833" s="156" t="s">
        <v>192</v>
      </c>
      <c r="K833" s="199" t="n">
        <v>45435.0158333333</v>
      </c>
      <c r="L833" s="3" t="n">
        <v>48</v>
      </c>
      <c r="M833" s="3" t="n">
        <v>48</v>
      </c>
      <c r="N833" s="1" t="n">
        <v>4</v>
      </c>
      <c r="O833" s="1" t="n">
        <v>1</v>
      </c>
    </row>
    <row r="834" customFormat="false" ht="14.25" hidden="false" customHeight="false" outlineLevel="0" collapsed="false">
      <c r="A834" s="1" t="n">
        <v>52</v>
      </c>
      <c r="B834" s="1" t="s">
        <v>565</v>
      </c>
      <c r="C834" s="1" t="s">
        <v>566</v>
      </c>
      <c r="D834" s="196" t="n">
        <v>2644</v>
      </c>
      <c r="E834" s="196" t="s">
        <v>51</v>
      </c>
      <c r="F834" s="197" t="s">
        <v>591</v>
      </c>
      <c r="G834" s="198" t="s">
        <v>592</v>
      </c>
      <c r="H834" s="163" t="s">
        <v>415</v>
      </c>
      <c r="I834" s="161" t="n">
        <v>75</v>
      </c>
      <c r="J834" s="156" t="s">
        <v>192</v>
      </c>
      <c r="K834" s="199" t="n">
        <v>45435.1465046296</v>
      </c>
      <c r="L834" s="3" t="n">
        <v>48</v>
      </c>
      <c r="M834" s="3" t="n">
        <v>48</v>
      </c>
      <c r="N834" s="1" t="n">
        <v>5</v>
      </c>
      <c r="O834" s="1" t="n">
        <v>3</v>
      </c>
    </row>
    <row r="835" customFormat="false" ht="14.25" hidden="false" customHeight="false" outlineLevel="0" collapsed="false">
      <c r="A835" s="1" t="n">
        <v>53</v>
      </c>
      <c r="B835" s="1" t="s">
        <v>565</v>
      </c>
      <c r="C835" s="1" t="s">
        <v>566</v>
      </c>
      <c r="D835" s="196" t="n">
        <v>2644</v>
      </c>
      <c r="E835" s="196" t="s">
        <v>51</v>
      </c>
      <c r="F835" s="197" t="s">
        <v>591</v>
      </c>
      <c r="G835" s="198" t="s">
        <v>592</v>
      </c>
      <c r="H835" s="163" t="s">
        <v>415</v>
      </c>
      <c r="I835" s="161" t="n">
        <v>75</v>
      </c>
      <c r="J835" s="156" t="s">
        <v>192</v>
      </c>
      <c r="K835" s="199" t="n">
        <v>45435.1495023148</v>
      </c>
      <c r="L835" s="3" t="n">
        <v>48</v>
      </c>
      <c r="M835" s="3" t="n">
        <v>48</v>
      </c>
      <c r="N835" s="1" t="n">
        <v>6</v>
      </c>
      <c r="O835" s="1" t="n">
        <v>2</v>
      </c>
    </row>
    <row r="836" customFormat="false" ht="14.25" hidden="false" customHeight="false" outlineLevel="0" collapsed="false">
      <c r="A836" s="1" t="n">
        <v>136</v>
      </c>
      <c r="B836" s="1" t="s">
        <v>624</v>
      </c>
      <c r="C836" s="1" t="s">
        <v>625</v>
      </c>
      <c r="D836" s="1" t="n">
        <v>21261</v>
      </c>
      <c r="E836" s="1" t="s">
        <v>57</v>
      </c>
      <c r="F836" s="201" t="n">
        <v>200025888664</v>
      </c>
      <c r="G836" s="198" t="s">
        <v>592</v>
      </c>
      <c r="H836" s="163" t="s">
        <v>415</v>
      </c>
      <c r="I836" s="161" t="n">
        <v>75</v>
      </c>
      <c r="J836" s="156" t="s">
        <v>192</v>
      </c>
      <c r="K836" s="200" t="n">
        <v>45435.228900463</v>
      </c>
      <c r="L836" s="3" t="n">
        <v>48</v>
      </c>
      <c r="M836" s="3" t="n">
        <v>48</v>
      </c>
      <c r="N836" s="1" t="n">
        <v>7</v>
      </c>
      <c r="O836" s="1" t="n">
        <v>2</v>
      </c>
    </row>
    <row r="837" customFormat="false" ht="14.25" hidden="false" customHeight="false" outlineLevel="0" collapsed="false">
      <c r="A837" s="1" t="n">
        <v>137</v>
      </c>
      <c r="B837" s="1" t="s">
        <v>624</v>
      </c>
      <c r="C837" s="1" t="s">
        <v>625</v>
      </c>
      <c r="D837" s="1" t="n">
        <v>21261</v>
      </c>
      <c r="E837" s="1" t="s">
        <v>57</v>
      </c>
      <c r="F837" s="201" t="n">
        <v>200025888664</v>
      </c>
      <c r="G837" s="198" t="s">
        <v>592</v>
      </c>
      <c r="H837" s="163" t="s">
        <v>415</v>
      </c>
      <c r="I837" s="161" t="n">
        <v>75</v>
      </c>
      <c r="J837" s="156" t="s">
        <v>192</v>
      </c>
      <c r="K837" s="200" t="n">
        <v>45435.2295717593</v>
      </c>
      <c r="L837" s="3" t="n">
        <v>48</v>
      </c>
      <c r="M837" s="3" t="n">
        <v>48</v>
      </c>
      <c r="N837" s="1" t="n">
        <v>8</v>
      </c>
      <c r="O837" s="1" t="n">
        <v>3</v>
      </c>
    </row>
    <row r="838" customFormat="false" ht="14.25" hidden="false" customHeight="false" outlineLevel="0" collapsed="false">
      <c r="A838" s="1" t="n">
        <v>89</v>
      </c>
      <c r="B838" s="1" t="s">
        <v>565</v>
      </c>
      <c r="C838" s="1" t="s">
        <v>566</v>
      </c>
      <c r="D838" s="196" t="n">
        <v>2568</v>
      </c>
      <c r="E838" s="196" t="s">
        <v>51</v>
      </c>
      <c r="F838" s="197" t="s">
        <v>591</v>
      </c>
      <c r="G838" s="198" t="s">
        <v>592</v>
      </c>
      <c r="H838" s="163" t="s">
        <v>415</v>
      </c>
      <c r="I838" s="161" t="n">
        <v>75</v>
      </c>
      <c r="J838" s="156" t="s">
        <v>192</v>
      </c>
      <c r="K838" s="199" t="n">
        <v>45435.6551041667</v>
      </c>
      <c r="L838" s="3" t="n">
        <v>48</v>
      </c>
      <c r="M838" s="3" t="n">
        <v>48</v>
      </c>
      <c r="N838" s="1" t="n">
        <v>9</v>
      </c>
      <c r="O838" s="1" t="n">
        <v>0</v>
      </c>
    </row>
    <row r="839" customFormat="false" ht="14.25" hidden="false" customHeight="false" outlineLevel="0" collapsed="false">
      <c r="A839" s="1" t="n">
        <v>90</v>
      </c>
      <c r="B839" s="1" t="s">
        <v>565</v>
      </c>
      <c r="C839" s="1" t="s">
        <v>566</v>
      </c>
      <c r="D839" s="196" t="n">
        <v>2568</v>
      </c>
      <c r="E839" s="196" t="s">
        <v>51</v>
      </c>
      <c r="F839" s="197" t="s">
        <v>591</v>
      </c>
      <c r="G839" s="198" t="s">
        <v>592</v>
      </c>
      <c r="H839" s="163" t="s">
        <v>415</v>
      </c>
      <c r="I839" s="161" t="n">
        <v>75</v>
      </c>
      <c r="J839" s="156" t="s">
        <v>192</v>
      </c>
      <c r="K839" s="199" t="n">
        <v>45435.6599189815</v>
      </c>
      <c r="L839" s="3" t="n">
        <v>48</v>
      </c>
      <c r="M839" s="3" t="n">
        <v>48</v>
      </c>
      <c r="N839" s="1" t="n">
        <v>10</v>
      </c>
      <c r="O839" s="1" t="n">
        <v>0</v>
      </c>
    </row>
    <row r="840" customFormat="false" ht="14.25" hidden="false" customHeight="false" outlineLevel="0" collapsed="false">
      <c r="A840" s="1" t="n">
        <v>91</v>
      </c>
      <c r="B840" s="1" t="s">
        <v>565</v>
      </c>
      <c r="C840" s="1" t="s">
        <v>566</v>
      </c>
      <c r="D840" s="196" t="n">
        <v>2568</v>
      </c>
      <c r="E840" s="196" t="s">
        <v>51</v>
      </c>
      <c r="F840" s="197" t="s">
        <v>591</v>
      </c>
      <c r="G840" s="198" t="s">
        <v>592</v>
      </c>
      <c r="H840" s="163" t="s">
        <v>415</v>
      </c>
      <c r="I840" s="161" t="n">
        <v>75</v>
      </c>
      <c r="J840" s="156" t="s">
        <v>192</v>
      </c>
      <c r="K840" s="199" t="n">
        <v>45435.6604861111</v>
      </c>
      <c r="L840" s="3" t="n">
        <v>48</v>
      </c>
      <c r="M840" s="3" t="n">
        <v>48</v>
      </c>
      <c r="N840" s="1" t="n">
        <v>11</v>
      </c>
      <c r="O840" s="1" t="n">
        <v>1</v>
      </c>
    </row>
    <row r="841" customFormat="false" ht="14.25" hidden="false" customHeight="false" outlineLevel="0" collapsed="false">
      <c r="A841" s="1" t="n">
        <v>92</v>
      </c>
      <c r="B841" s="1" t="s">
        <v>565</v>
      </c>
      <c r="C841" s="1" t="s">
        <v>566</v>
      </c>
      <c r="D841" s="196" t="n">
        <v>2568</v>
      </c>
      <c r="E841" s="196" t="s">
        <v>51</v>
      </c>
      <c r="F841" s="197" t="s">
        <v>591</v>
      </c>
      <c r="G841" s="198" t="s">
        <v>592</v>
      </c>
      <c r="H841" s="163" t="s">
        <v>415</v>
      </c>
      <c r="I841" s="161" t="n">
        <v>75</v>
      </c>
      <c r="J841" s="156" t="s">
        <v>192</v>
      </c>
      <c r="K841" s="199" t="n">
        <v>45435.6612731482</v>
      </c>
      <c r="L841" s="3" t="n">
        <v>48</v>
      </c>
      <c r="M841" s="3" t="n">
        <v>48</v>
      </c>
      <c r="N841" s="1" t="n">
        <v>12</v>
      </c>
      <c r="O841" s="1" t="n">
        <v>0</v>
      </c>
    </row>
    <row r="842" customFormat="false" ht="14.25" hidden="false" customHeight="false" outlineLevel="0" collapsed="false">
      <c r="A842" s="1" t="n">
        <v>93</v>
      </c>
      <c r="B842" s="1" t="s">
        <v>565</v>
      </c>
      <c r="C842" s="1" t="s">
        <v>566</v>
      </c>
      <c r="D842" s="196" t="n">
        <v>2568</v>
      </c>
      <c r="E842" s="196" t="s">
        <v>51</v>
      </c>
      <c r="F842" s="197" t="s">
        <v>591</v>
      </c>
      <c r="G842" s="198" t="s">
        <v>592</v>
      </c>
      <c r="H842" s="163" t="s">
        <v>415</v>
      </c>
      <c r="I842" s="161" t="n">
        <v>75</v>
      </c>
      <c r="J842" s="156" t="s">
        <v>192</v>
      </c>
      <c r="K842" s="199" t="n">
        <v>45435.6636226852</v>
      </c>
      <c r="L842" s="3" t="n">
        <v>48</v>
      </c>
      <c r="M842" s="3" t="n">
        <v>48</v>
      </c>
      <c r="N842" s="1" t="n">
        <v>13</v>
      </c>
      <c r="O842" s="10" t="n">
        <v>421</v>
      </c>
    </row>
    <row r="843" customFormat="false" ht="14.25" hidden="false" customHeight="false" outlineLevel="0" collapsed="false">
      <c r="A843" s="1" t="n">
        <v>95</v>
      </c>
      <c r="B843" s="1" t="s">
        <v>565</v>
      </c>
      <c r="C843" s="1" t="s">
        <v>566</v>
      </c>
      <c r="D843" s="196" t="n">
        <v>2568</v>
      </c>
      <c r="E843" s="196" t="s">
        <v>51</v>
      </c>
      <c r="F843" s="197" t="s">
        <v>591</v>
      </c>
      <c r="G843" s="198" t="s">
        <v>592</v>
      </c>
      <c r="H843" s="163" t="s">
        <v>415</v>
      </c>
      <c r="I843" s="161" t="n">
        <v>75</v>
      </c>
      <c r="J843" s="156" t="s">
        <v>192</v>
      </c>
      <c r="K843" s="199" t="n">
        <v>45435.6707060185</v>
      </c>
      <c r="L843" s="3" t="n">
        <v>48</v>
      </c>
      <c r="M843" s="3" t="n">
        <v>48</v>
      </c>
      <c r="N843" s="1" t="n">
        <v>14</v>
      </c>
      <c r="O843" s="1" t="n">
        <v>1</v>
      </c>
    </row>
    <row r="844" customFormat="false" ht="14.25" hidden="false" customHeight="false" outlineLevel="0" collapsed="false">
      <c r="A844" s="1" t="n">
        <v>96</v>
      </c>
      <c r="B844" s="1" t="s">
        <v>565</v>
      </c>
      <c r="C844" s="1" t="s">
        <v>566</v>
      </c>
      <c r="D844" s="196" t="n">
        <v>2568</v>
      </c>
      <c r="E844" s="196" t="s">
        <v>51</v>
      </c>
      <c r="F844" s="197" t="s">
        <v>591</v>
      </c>
      <c r="G844" s="198" t="s">
        <v>592</v>
      </c>
      <c r="H844" s="163" t="s">
        <v>415</v>
      </c>
      <c r="I844" s="161" t="n">
        <v>75</v>
      </c>
      <c r="J844" s="156" t="s">
        <v>192</v>
      </c>
      <c r="K844" s="199" t="n">
        <v>45435.6712268519</v>
      </c>
      <c r="L844" s="3" t="n">
        <v>48</v>
      </c>
      <c r="M844" s="3" t="n">
        <v>48</v>
      </c>
      <c r="N844" s="1" t="n">
        <v>15</v>
      </c>
      <c r="O844" s="1" t="n">
        <v>0</v>
      </c>
    </row>
    <row r="845" customFormat="false" ht="14.25" hidden="false" customHeight="false" outlineLevel="0" collapsed="false">
      <c r="A845" s="1" t="n">
        <v>80</v>
      </c>
      <c r="B845" s="1" t="s">
        <v>624</v>
      </c>
      <c r="C845" s="1" t="s">
        <v>625</v>
      </c>
      <c r="D845" s="1" t="n">
        <v>21261</v>
      </c>
      <c r="E845" s="1" t="s">
        <v>57</v>
      </c>
      <c r="F845" s="201" t="n">
        <v>200025888609</v>
      </c>
      <c r="G845" s="198" t="s">
        <v>568</v>
      </c>
      <c r="H845" s="163" t="s">
        <v>381</v>
      </c>
      <c r="I845" s="161" t="n">
        <v>44</v>
      </c>
      <c r="J845" s="156" t="s">
        <v>192</v>
      </c>
      <c r="K845" s="200" t="n">
        <v>45434.8997685185</v>
      </c>
      <c r="L845" s="3" t="n">
        <v>49</v>
      </c>
      <c r="M845" s="3" t="n">
        <v>49</v>
      </c>
      <c r="N845" s="1" t="n">
        <v>1</v>
      </c>
      <c r="O845" s="1" t="n">
        <v>2</v>
      </c>
    </row>
    <row r="846" customFormat="false" ht="14.25" hidden="false" customHeight="false" outlineLevel="0" collapsed="false">
      <c r="A846" s="1" t="n">
        <v>54</v>
      </c>
      <c r="B846" s="1" t="s">
        <v>565</v>
      </c>
      <c r="C846" s="1" t="s">
        <v>566</v>
      </c>
      <c r="D846" s="196" t="n">
        <v>2644</v>
      </c>
      <c r="E846" s="196" t="s">
        <v>51</v>
      </c>
      <c r="F846" s="197" t="s">
        <v>567</v>
      </c>
      <c r="G846" s="198" t="s">
        <v>568</v>
      </c>
      <c r="H846" s="163" t="s">
        <v>381</v>
      </c>
      <c r="I846" s="161" t="n">
        <v>44</v>
      </c>
      <c r="J846" s="156" t="s">
        <v>192</v>
      </c>
      <c r="K846" s="199" t="n">
        <v>45435.1848148148</v>
      </c>
      <c r="L846" s="3" t="n">
        <v>49</v>
      </c>
      <c r="M846" s="3" t="n">
        <v>49</v>
      </c>
      <c r="N846" s="1" t="n">
        <v>2</v>
      </c>
      <c r="O846" s="1" t="n">
        <v>3</v>
      </c>
    </row>
    <row r="847" customFormat="false" ht="14.25" hidden="false" customHeight="false" outlineLevel="0" collapsed="false">
      <c r="A847" s="1" t="n">
        <v>55</v>
      </c>
      <c r="B847" s="1" t="s">
        <v>565</v>
      </c>
      <c r="C847" s="1" t="s">
        <v>566</v>
      </c>
      <c r="D847" s="196" t="n">
        <v>2644</v>
      </c>
      <c r="E847" s="196" t="s">
        <v>51</v>
      </c>
      <c r="F847" s="197" t="s">
        <v>567</v>
      </c>
      <c r="G847" s="198" t="s">
        <v>568</v>
      </c>
      <c r="H847" s="163" t="s">
        <v>381</v>
      </c>
      <c r="I847" s="161" t="n">
        <v>44</v>
      </c>
      <c r="J847" s="156" t="s">
        <v>192</v>
      </c>
      <c r="K847" s="199" t="n">
        <v>45435.184849537</v>
      </c>
      <c r="L847" s="3" t="n">
        <v>49</v>
      </c>
      <c r="M847" s="3" t="n">
        <v>49</v>
      </c>
      <c r="N847" s="1" t="n">
        <v>3</v>
      </c>
      <c r="O847" s="1" t="n">
        <v>0</v>
      </c>
    </row>
    <row r="848" customFormat="false" ht="14.25" hidden="false" customHeight="false" outlineLevel="0" collapsed="false">
      <c r="A848" s="1" t="n">
        <v>56</v>
      </c>
      <c r="B848" s="1" t="s">
        <v>565</v>
      </c>
      <c r="C848" s="1" t="s">
        <v>566</v>
      </c>
      <c r="D848" s="196" t="n">
        <v>2568</v>
      </c>
      <c r="E848" s="196" t="s">
        <v>51</v>
      </c>
      <c r="F848" s="197" t="s">
        <v>567</v>
      </c>
      <c r="G848" s="198" t="s">
        <v>568</v>
      </c>
      <c r="H848" s="163" t="s">
        <v>381</v>
      </c>
      <c r="I848" s="161" t="n">
        <v>44</v>
      </c>
      <c r="J848" s="156" t="s">
        <v>192</v>
      </c>
      <c r="K848" s="199" t="n">
        <v>45435.3938194444</v>
      </c>
      <c r="L848" s="3" t="n">
        <v>49</v>
      </c>
      <c r="M848" s="3" t="n">
        <v>49</v>
      </c>
      <c r="N848" s="1" t="n">
        <v>4</v>
      </c>
      <c r="O848" s="1" t="n">
        <v>1</v>
      </c>
    </row>
    <row r="849" customFormat="false" ht="14.25" hidden="false" customHeight="false" outlineLevel="0" collapsed="false">
      <c r="A849" s="1" t="n">
        <v>57</v>
      </c>
      <c r="B849" s="1" t="s">
        <v>565</v>
      </c>
      <c r="C849" s="1" t="s">
        <v>566</v>
      </c>
      <c r="D849" s="196" t="n">
        <v>2568</v>
      </c>
      <c r="E849" s="196" t="s">
        <v>51</v>
      </c>
      <c r="F849" s="197" t="s">
        <v>567</v>
      </c>
      <c r="G849" s="198" t="s">
        <v>568</v>
      </c>
      <c r="H849" s="163" t="s">
        <v>381</v>
      </c>
      <c r="I849" s="161" t="n">
        <v>44</v>
      </c>
      <c r="J849" s="156" t="s">
        <v>192</v>
      </c>
      <c r="K849" s="199" t="n">
        <v>45435.3938425926</v>
      </c>
      <c r="L849" s="3" t="n">
        <v>49</v>
      </c>
      <c r="M849" s="3" t="n">
        <v>49</v>
      </c>
      <c r="N849" s="1" t="n">
        <v>5</v>
      </c>
      <c r="O849" s="1" t="n">
        <v>0</v>
      </c>
    </row>
    <row r="850" customFormat="false" ht="14.25" hidden="false" customHeight="false" outlineLevel="0" collapsed="false">
      <c r="A850" s="1" t="n">
        <v>58</v>
      </c>
      <c r="B850" s="1" t="s">
        <v>565</v>
      </c>
      <c r="C850" s="1" t="s">
        <v>566</v>
      </c>
      <c r="D850" s="196" t="n">
        <v>2568</v>
      </c>
      <c r="E850" s="196" t="s">
        <v>51</v>
      </c>
      <c r="F850" s="197" t="s">
        <v>567</v>
      </c>
      <c r="G850" s="198" t="s">
        <v>568</v>
      </c>
      <c r="H850" s="163" t="s">
        <v>381</v>
      </c>
      <c r="I850" s="161" t="n">
        <v>44</v>
      </c>
      <c r="J850" s="156" t="s">
        <v>192</v>
      </c>
      <c r="K850" s="199" t="n">
        <v>45435.3941203704</v>
      </c>
      <c r="L850" s="3" t="n">
        <v>49</v>
      </c>
      <c r="M850" s="3" t="n">
        <v>49</v>
      </c>
      <c r="N850" s="1" t="n">
        <v>6</v>
      </c>
      <c r="O850" s="1" t="n">
        <v>0</v>
      </c>
    </row>
    <row r="851" customFormat="false" ht="14.25" hidden="false" customHeight="false" outlineLevel="0" collapsed="false">
      <c r="A851" s="1" t="n">
        <v>59</v>
      </c>
      <c r="B851" s="1" t="s">
        <v>565</v>
      </c>
      <c r="C851" s="1" t="s">
        <v>566</v>
      </c>
      <c r="D851" s="196" t="n">
        <v>2568</v>
      </c>
      <c r="E851" s="196" t="s">
        <v>51</v>
      </c>
      <c r="F851" s="197" t="s">
        <v>567</v>
      </c>
      <c r="G851" s="198" t="s">
        <v>568</v>
      </c>
      <c r="H851" s="163" t="s">
        <v>381</v>
      </c>
      <c r="I851" s="161" t="n">
        <v>44</v>
      </c>
      <c r="J851" s="156" t="s">
        <v>192</v>
      </c>
      <c r="K851" s="199" t="n">
        <v>45435.3941319444</v>
      </c>
      <c r="L851" s="3" t="n">
        <v>49</v>
      </c>
      <c r="M851" s="3" t="n">
        <v>49</v>
      </c>
      <c r="N851" s="1" t="n">
        <v>7</v>
      </c>
      <c r="O851" s="1" t="n">
        <v>0</v>
      </c>
    </row>
    <row r="852" customFormat="false" ht="14.25" hidden="false" customHeight="false" outlineLevel="0" collapsed="false">
      <c r="A852" s="1" t="n">
        <v>60</v>
      </c>
      <c r="B852" s="1" t="s">
        <v>565</v>
      </c>
      <c r="C852" s="1" t="s">
        <v>566</v>
      </c>
      <c r="D852" s="196" t="n">
        <v>2568</v>
      </c>
      <c r="E852" s="196" t="s">
        <v>51</v>
      </c>
      <c r="F852" s="197" t="s">
        <v>567</v>
      </c>
      <c r="G852" s="198" t="s">
        <v>568</v>
      </c>
      <c r="H852" s="163" t="s">
        <v>381</v>
      </c>
      <c r="I852" s="161" t="n">
        <v>44</v>
      </c>
      <c r="J852" s="156" t="s">
        <v>192</v>
      </c>
      <c r="K852" s="199" t="n">
        <v>45435.394537037</v>
      </c>
      <c r="L852" s="3" t="n">
        <v>49</v>
      </c>
      <c r="M852" s="3" t="n">
        <v>49</v>
      </c>
      <c r="N852" s="1" t="n">
        <v>8</v>
      </c>
      <c r="O852" s="1" t="n">
        <v>1</v>
      </c>
    </row>
    <row r="853" customFormat="false" ht="14.25" hidden="false" customHeight="false" outlineLevel="0" collapsed="false">
      <c r="A853" s="1" t="n">
        <v>61</v>
      </c>
      <c r="B853" s="1" t="s">
        <v>565</v>
      </c>
      <c r="C853" s="1" t="s">
        <v>566</v>
      </c>
      <c r="D853" s="196" t="n">
        <v>2568</v>
      </c>
      <c r="E853" s="196" t="s">
        <v>51</v>
      </c>
      <c r="F853" s="197" t="s">
        <v>567</v>
      </c>
      <c r="G853" s="198" t="s">
        <v>568</v>
      </c>
      <c r="H853" s="163" t="s">
        <v>381</v>
      </c>
      <c r="I853" s="161" t="n">
        <v>44</v>
      </c>
      <c r="J853" s="156" t="s">
        <v>192</v>
      </c>
      <c r="K853" s="199" t="n">
        <v>45435.3945601852</v>
      </c>
      <c r="L853" s="3" t="n">
        <v>49</v>
      </c>
      <c r="M853" s="3" t="n">
        <v>49</v>
      </c>
      <c r="N853" s="1" t="n">
        <v>9</v>
      </c>
      <c r="O853" s="1" t="n">
        <v>8</v>
      </c>
    </row>
    <row r="854" customFormat="false" ht="14.25" hidden="false" customHeight="false" outlineLevel="0" collapsed="false">
      <c r="A854" s="1" t="n">
        <v>92</v>
      </c>
      <c r="B854" s="1" t="s">
        <v>624</v>
      </c>
      <c r="C854" s="1" t="s">
        <v>625</v>
      </c>
      <c r="D854" s="1" t="n">
        <v>21261</v>
      </c>
      <c r="E854" s="1" t="s">
        <v>57</v>
      </c>
      <c r="F854" s="201" t="n">
        <v>200025888748</v>
      </c>
      <c r="G854" s="198" t="s">
        <v>626</v>
      </c>
      <c r="H854" s="163" t="s">
        <v>430</v>
      </c>
      <c r="I854" s="161" t="n">
        <v>85</v>
      </c>
      <c r="J854" s="156" t="s">
        <v>192</v>
      </c>
      <c r="K854" s="200" t="n">
        <v>45434.9088657407</v>
      </c>
      <c r="L854" s="3" t="n">
        <v>50</v>
      </c>
      <c r="M854" s="3" t="n">
        <v>50</v>
      </c>
      <c r="N854" s="1" t="n">
        <v>1</v>
      </c>
      <c r="O854" s="1" t="n">
        <v>0</v>
      </c>
    </row>
    <row r="855" customFormat="false" ht="14.25" hidden="false" customHeight="false" outlineLevel="0" collapsed="false">
      <c r="A855" s="1" t="n">
        <v>150</v>
      </c>
      <c r="B855" s="1" t="s">
        <v>624</v>
      </c>
      <c r="C855" s="1" t="s">
        <v>625</v>
      </c>
      <c r="D855" s="1" t="n">
        <v>21261</v>
      </c>
      <c r="E855" s="1" t="s">
        <v>57</v>
      </c>
      <c r="F855" s="201" t="n">
        <v>200025888748</v>
      </c>
      <c r="G855" s="198" t="s">
        <v>626</v>
      </c>
      <c r="H855" s="163" t="s">
        <v>430</v>
      </c>
      <c r="I855" s="161" t="n">
        <v>85</v>
      </c>
      <c r="J855" s="156" t="s">
        <v>192</v>
      </c>
      <c r="K855" s="200" t="n">
        <v>45435.2385185185</v>
      </c>
      <c r="L855" s="3" t="n">
        <v>50</v>
      </c>
      <c r="M855" s="3" t="n">
        <v>50</v>
      </c>
      <c r="N855" s="1" t="n">
        <v>2</v>
      </c>
      <c r="O855" s="1" t="n">
        <v>1</v>
      </c>
    </row>
    <row r="856" customFormat="false" ht="14.25" hidden="false" customHeight="false" outlineLevel="0" collapsed="false">
      <c r="A856" s="1" t="n">
        <v>19</v>
      </c>
      <c r="B856" s="1" t="s">
        <v>684</v>
      </c>
      <c r="C856" s="1" t="s">
        <v>685</v>
      </c>
      <c r="D856" s="1" t="n">
        <v>21296</v>
      </c>
      <c r="E856" s="1" t="s">
        <v>57</v>
      </c>
      <c r="F856" s="201" t="n">
        <v>200025888748</v>
      </c>
      <c r="G856" s="198" t="s">
        <v>626</v>
      </c>
      <c r="H856" s="163" t="s">
        <v>430</v>
      </c>
      <c r="I856" s="161" t="n">
        <v>85</v>
      </c>
      <c r="J856" s="156" t="s">
        <v>192</v>
      </c>
      <c r="K856" s="200" t="n">
        <v>45450.598900463</v>
      </c>
      <c r="L856" s="3" t="n">
        <v>50</v>
      </c>
      <c r="M856" s="3" t="n">
        <v>50</v>
      </c>
      <c r="N856" s="1" t="n">
        <v>3</v>
      </c>
      <c r="O856" s="1" t="n">
        <v>1</v>
      </c>
    </row>
    <row r="857" customFormat="false" ht="14.25" hidden="false" customHeight="false" outlineLevel="0" collapsed="false">
      <c r="A857" s="1" t="n">
        <v>16</v>
      </c>
      <c r="B857" s="1" t="s">
        <v>624</v>
      </c>
      <c r="C857" s="1" t="s">
        <v>625</v>
      </c>
      <c r="D857" s="196" t="n">
        <v>2568</v>
      </c>
      <c r="E857" s="196" t="s">
        <v>51</v>
      </c>
      <c r="F857" s="201" t="n">
        <v>200025888748</v>
      </c>
      <c r="G857" s="198" t="s">
        <v>626</v>
      </c>
      <c r="H857" s="163" t="s">
        <v>430</v>
      </c>
      <c r="I857" s="161" t="n">
        <v>85</v>
      </c>
      <c r="J857" s="156" t="s">
        <v>192</v>
      </c>
      <c r="K857" s="200" t="n">
        <v>45450.6723148148</v>
      </c>
      <c r="L857" s="3" t="n">
        <v>50</v>
      </c>
      <c r="M857" s="3" t="n">
        <v>50</v>
      </c>
      <c r="N857" s="1" t="n">
        <v>4</v>
      </c>
      <c r="O857" s="201" t="n">
        <v>1</v>
      </c>
    </row>
    <row r="858" customFormat="false" ht="14.25" hidden="false" customHeight="false" outlineLevel="0" collapsed="false">
      <c r="A858" s="1" t="n">
        <v>94</v>
      </c>
      <c r="B858" s="1" t="s">
        <v>624</v>
      </c>
      <c r="C858" s="1" t="s">
        <v>625</v>
      </c>
      <c r="D858" s="1" t="n">
        <v>21261</v>
      </c>
      <c r="E858" s="1" t="s">
        <v>57</v>
      </c>
      <c r="F858" s="201" t="n">
        <v>200025888608</v>
      </c>
      <c r="G858" s="198" t="s">
        <v>708</v>
      </c>
      <c r="H858" s="163" t="s">
        <v>372</v>
      </c>
      <c r="I858" s="161" t="n">
        <v>38</v>
      </c>
      <c r="J858" s="156" t="s">
        <v>192</v>
      </c>
      <c r="K858" s="200" t="n">
        <v>45434.9163310185</v>
      </c>
      <c r="L858" s="3" t="n">
        <v>51</v>
      </c>
      <c r="M858" s="3" t="n">
        <v>51</v>
      </c>
      <c r="N858" s="1" t="n">
        <v>1</v>
      </c>
      <c r="O858" s="1" t="n">
        <v>1</v>
      </c>
    </row>
    <row r="859" customFormat="false" ht="14.25" hidden="false" customHeight="false" outlineLevel="0" collapsed="false">
      <c r="A859" s="1" t="n">
        <v>95</v>
      </c>
      <c r="B859" s="1" t="s">
        <v>624</v>
      </c>
      <c r="C859" s="1" t="s">
        <v>625</v>
      </c>
      <c r="D859" s="1" t="n">
        <v>21261</v>
      </c>
      <c r="E859" s="1" t="s">
        <v>57</v>
      </c>
      <c r="F859" s="201" t="n">
        <v>200025888608</v>
      </c>
      <c r="G859" s="198" t="s">
        <v>708</v>
      </c>
      <c r="H859" s="163" t="s">
        <v>372</v>
      </c>
      <c r="I859" s="161" t="n">
        <v>38</v>
      </c>
      <c r="J859" s="156" t="s">
        <v>192</v>
      </c>
      <c r="K859" s="200" t="n">
        <v>45434.9171064815</v>
      </c>
      <c r="L859" s="3" t="n">
        <v>51</v>
      </c>
      <c r="M859" s="3" t="n">
        <v>51</v>
      </c>
      <c r="N859" s="1" t="n">
        <v>2</v>
      </c>
      <c r="O859" s="1" t="n">
        <v>1</v>
      </c>
    </row>
    <row r="860" customFormat="false" ht="14.25" hidden="false" customHeight="false" outlineLevel="0" collapsed="false">
      <c r="A860" s="1" t="n">
        <v>96</v>
      </c>
      <c r="B860" s="1" t="s">
        <v>624</v>
      </c>
      <c r="C860" s="1" t="s">
        <v>625</v>
      </c>
      <c r="D860" s="1" t="n">
        <v>21261</v>
      </c>
      <c r="E860" s="1" t="s">
        <v>57</v>
      </c>
      <c r="F860" s="201" t="n">
        <v>200025888608</v>
      </c>
      <c r="G860" s="198" t="s">
        <v>708</v>
      </c>
      <c r="H860" s="163" t="s">
        <v>372</v>
      </c>
      <c r="I860" s="161" t="n">
        <v>38</v>
      </c>
      <c r="J860" s="156" t="s">
        <v>192</v>
      </c>
      <c r="K860" s="200" t="n">
        <v>45434.9187037037</v>
      </c>
      <c r="L860" s="3" t="n">
        <v>51</v>
      </c>
      <c r="M860" s="3" t="n">
        <v>51</v>
      </c>
      <c r="N860" s="1" t="n">
        <v>3</v>
      </c>
      <c r="O860" s="1" t="n">
        <v>1</v>
      </c>
    </row>
    <row r="861" customFormat="false" ht="14.25" hidden="false" customHeight="false" outlineLevel="0" collapsed="false">
      <c r="A861" s="1" t="n">
        <v>144</v>
      </c>
      <c r="B861" s="1" t="s">
        <v>624</v>
      </c>
      <c r="C861" s="1" t="s">
        <v>625</v>
      </c>
      <c r="D861" s="1" t="n">
        <v>21261</v>
      </c>
      <c r="E861" s="1" t="s">
        <v>57</v>
      </c>
      <c r="F861" s="201" t="n">
        <v>200025888608</v>
      </c>
      <c r="G861" s="198" t="s">
        <v>708</v>
      </c>
      <c r="H861" s="163" t="s">
        <v>372</v>
      </c>
      <c r="I861" s="161" t="n">
        <v>38</v>
      </c>
      <c r="J861" s="156" t="s">
        <v>192</v>
      </c>
      <c r="K861" s="200" t="n">
        <v>45435.2353240741</v>
      </c>
      <c r="L861" s="3" t="n">
        <v>51</v>
      </c>
      <c r="M861" s="3" t="n">
        <v>51</v>
      </c>
      <c r="N861" s="1" t="n">
        <v>4</v>
      </c>
      <c r="O861" s="1" t="n">
        <v>0</v>
      </c>
    </row>
    <row r="862" customFormat="false" ht="14.25" hidden="false" customHeight="false" outlineLevel="0" collapsed="false">
      <c r="A862" s="1" t="n">
        <v>145</v>
      </c>
      <c r="B862" s="1" t="s">
        <v>624</v>
      </c>
      <c r="C862" s="1" t="s">
        <v>625</v>
      </c>
      <c r="D862" s="1" t="n">
        <v>21261</v>
      </c>
      <c r="E862" s="1" t="s">
        <v>57</v>
      </c>
      <c r="F862" s="201" t="n">
        <v>200025888608</v>
      </c>
      <c r="G862" s="198" t="s">
        <v>708</v>
      </c>
      <c r="H862" s="163" t="s">
        <v>372</v>
      </c>
      <c r="I862" s="161" t="n">
        <v>38</v>
      </c>
      <c r="J862" s="156" t="s">
        <v>192</v>
      </c>
      <c r="K862" s="200" t="n">
        <v>45435.2364930556</v>
      </c>
      <c r="L862" s="3" t="n">
        <v>51</v>
      </c>
      <c r="M862" s="3" t="n">
        <v>51</v>
      </c>
      <c r="N862" s="1" t="n">
        <v>5</v>
      </c>
      <c r="O862" s="1" t="n">
        <v>1</v>
      </c>
    </row>
    <row r="863" customFormat="false" ht="14.25" hidden="false" customHeight="false" outlineLevel="0" collapsed="false">
      <c r="A863" s="1" t="n">
        <v>146</v>
      </c>
      <c r="B863" s="1" t="s">
        <v>624</v>
      </c>
      <c r="C863" s="1" t="s">
        <v>625</v>
      </c>
      <c r="D863" s="1" t="n">
        <v>21261</v>
      </c>
      <c r="E863" s="1" t="s">
        <v>57</v>
      </c>
      <c r="F863" s="201" t="n">
        <v>200025888608</v>
      </c>
      <c r="G863" s="198" t="s">
        <v>708</v>
      </c>
      <c r="H863" s="163" t="s">
        <v>372</v>
      </c>
      <c r="I863" s="161" t="n">
        <v>38</v>
      </c>
      <c r="J863" s="156" t="s">
        <v>192</v>
      </c>
      <c r="K863" s="200" t="n">
        <v>45435.2374074074</v>
      </c>
      <c r="L863" s="3" t="n">
        <v>51</v>
      </c>
      <c r="M863" s="3" t="n">
        <v>51</v>
      </c>
      <c r="N863" s="1" t="n">
        <v>6</v>
      </c>
      <c r="O863" s="1" t="n">
        <v>2</v>
      </c>
    </row>
    <row r="864" customFormat="false" ht="14.25" hidden="false" customHeight="false" outlineLevel="0" collapsed="false">
      <c r="A864" s="1" t="n">
        <v>147</v>
      </c>
      <c r="B864" s="1" t="s">
        <v>624</v>
      </c>
      <c r="C864" s="1" t="s">
        <v>625</v>
      </c>
      <c r="D864" s="1" t="n">
        <v>21261</v>
      </c>
      <c r="E864" s="1" t="s">
        <v>57</v>
      </c>
      <c r="F864" s="201" t="n">
        <v>200025888608</v>
      </c>
      <c r="G864" s="198" t="s">
        <v>708</v>
      </c>
      <c r="H864" s="163" t="s">
        <v>372</v>
      </c>
      <c r="I864" s="161" t="n">
        <v>38</v>
      </c>
      <c r="J864" s="156" t="s">
        <v>192</v>
      </c>
      <c r="K864" s="200" t="n">
        <v>45435.2374537037</v>
      </c>
      <c r="L864" s="3" t="n">
        <v>51</v>
      </c>
      <c r="M864" s="3" t="n">
        <v>51</v>
      </c>
      <c r="N864" s="1" t="n">
        <v>7</v>
      </c>
      <c r="O864" s="1" t="n">
        <v>0</v>
      </c>
    </row>
    <row r="865" customFormat="false" ht="14.25" hidden="false" customHeight="false" outlineLevel="0" collapsed="false">
      <c r="A865" s="1" t="n">
        <v>148</v>
      </c>
      <c r="B865" s="1" t="s">
        <v>624</v>
      </c>
      <c r="C865" s="1" t="s">
        <v>625</v>
      </c>
      <c r="D865" s="1" t="n">
        <v>21261</v>
      </c>
      <c r="E865" s="1" t="s">
        <v>57</v>
      </c>
      <c r="F865" s="201" t="n">
        <v>200025888608</v>
      </c>
      <c r="G865" s="198" t="s">
        <v>708</v>
      </c>
      <c r="H865" s="163" t="s">
        <v>372</v>
      </c>
      <c r="I865" s="161" t="n">
        <v>38</v>
      </c>
      <c r="J865" s="156" t="s">
        <v>192</v>
      </c>
      <c r="K865" s="200" t="n">
        <v>45435.2374537037</v>
      </c>
      <c r="L865" s="3" t="n">
        <v>51</v>
      </c>
      <c r="M865" s="3" t="n">
        <v>51</v>
      </c>
      <c r="N865" s="1" t="n">
        <v>8</v>
      </c>
      <c r="O865" s="1" t="n">
        <v>0</v>
      </c>
    </row>
    <row r="866" customFormat="false" ht="14.25" hidden="false" customHeight="false" outlineLevel="0" collapsed="false">
      <c r="A866" s="1" t="n">
        <v>149</v>
      </c>
      <c r="B866" s="1" t="s">
        <v>624</v>
      </c>
      <c r="C866" s="1" t="s">
        <v>625</v>
      </c>
      <c r="D866" s="1" t="n">
        <v>21261</v>
      </c>
      <c r="E866" s="1" t="s">
        <v>57</v>
      </c>
      <c r="F866" s="201" t="n">
        <v>200025888608</v>
      </c>
      <c r="G866" s="198" t="s">
        <v>708</v>
      </c>
      <c r="H866" s="163" t="s">
        <v>372</v>
      </c>
      <c r="I866" s="161" t="n">
        <v>38</v>
      </c>
      <c r="J866" s="156" t="s">
        <v>192</v>
      </c>
      <c r="K866" s="200" t="n">
        <v>45435.2374768519</v>
      </c>
      <c r="L866" s="3" t="n">
        <v>51</v>
      </c>
      <c r="M866" s="3" t="n">
        <v>51</v>
      </c>
      <c r="N866" s="1" t="n">
        <v>9</v>
      </c>
      <c r="O866" s="1" t="n">
        <v>0</v>
      </c>
    </row>
    <row r="867" customFormat="false" ht="14.25" hidden="false" customHeight="false" outlineLevel="0" collapsed="false">
      <c r="A867" s="1" t="n">
        <v>37</v>
      </c>
      <c r="B867" s="1" t="s">
        <v>565</v>
      </c>
      <c r="C867" s="1" t="s">
        <v>566</v>
      </c>
      <c r="D867" s="196" t="n">
        <v>2644</v>
      </c>
      <c r="E867" s="196" t="s">
        <v>51</v>
      </c>
      <c r="F867" s="197" t="s">
        <v>657</v>
      </c>
      <c r="G867" s="198" t="s">
        <v>627</v>
      </c>
      <c r="H867" s="163" t="s">
        <v>525</v>
      </c>
      <c r="I867" s="161" t="n">
        <v>107</v>
      </c>
      <c r="J867" s="156" t="s">
        <v>192</v>
      </c>
      <c r="K867" s="199" t="n">
        <v>45434.9280092593</v>
      </c>
      <c r="L867" s="3" t="n">
        <v>52</v>
      </c>
      <c r="M867" s="3" t="n">
        <v>52</v>
      </c>
      <c r="N867" s="1" t="n">
        <v>1</v>
      </c>
      <c r="O867" s="1" t="n">
        <v>1</v>
      </c>
    </row>
    <row r="868" customFormat="false" ht="14.25" hidden="false" customHeight="false" outlineLevel="0" collapsed="false">
      <c r="A868" s="1" t="n">
        <v>38</v>
      </c>
      <c r="B868" s="1" t="s">
        <v>565</v>
      </c>
      <c r="C868" s="1" t="s">
        <v>566</v>
      </c>
      <c r="D868" s="196" t="n">
        <v>2644</v>
      </c>
      <c r="E868" s="196" t="s">
        <v>51</v>
      </c>
      <c r="F868" s="197" t="s">
        <v>657</v>
      </c>
      <c r="G868" s="198" t="s">
        <v>627</v>
      </c>
      <c r="H868" s="163" t="s">
        <v>525</v>
      </c>
      <c r="I868" s="161" t="n">
        <v>107</v>
      </c>
      <c r="J868" s="156" t="s">
        <v>192</v>
      </c>
      <c r="K868" s="199" t="n">
        <v>45434.9280439815</v>
      </c>
      <c r="L868" s="3" t="n">
        <v>52</v>
      </c>
      <c r="M868" s="3" t="n">
        <v>52</v>
      </c>
      <c r="N868" s="1" t="n">
        <v>2</v>
      </c>
      <c r="O868" s="1" t="n">
        <v>1</v>
      </c>
    </row>
    <row r="869" customFormat="false" ht="14.25" hidden="false" customHeight="false" outlineLevel="0" collapsed="false">
      <c r="A869" s="1" t="n">
        <v>18</v>
      </c>
      <c r="B869" s="1" t="s">
        <v>684</v>
      </c>
      <c r="C869" s="1" t="s">
        <v>685</v>
      </c>
      <c r="D869" s="1" t="n">
        <v>21296</v>
      </c>
      <c r="E869" s="1" t="s">
        <v>57</v>
      </c>
      <c r="F869" s="201" t="n">
        <v>200025889232</v>
      </c>
      <c r="G869" s="198" t="s">
        <v>627</v>
      </c>
      <c r="H869" s="163" t="s">
        <v>525</v>
      </c>
      <c r="I869" s="161" t="n">
        <v>107</v>
      </c>
      <c r="J869" s="156" t="s">
        <v>192</v>
      </c>
      <c r="K869" s="200" t="n">
        <v>45450.595462963</v>
      </c>
      <c r="L869" s="3" t="n">
        <v>52</v>
      </c>
      <c r="M869" s="3" t="n">
        <v>52</v>
      </c>
      <c r="N869" s="1" t="n">
        <v>3</v>
      </c>
      <c r="O869" s="1" t="n">
        <v>1</v>
      </c>
    </row>
    <row r="870" customFormat="false" ht="14.25" hidden="false" customHeight="false" outlineLevel="0" collapsed="false">
      <c r="A870" s="1" t="n">
        <v>17</v>
      </c>
      <c r="B870" s="1" t="s">
        <v>624</v>
      </c>
      <c r="C870" s="1" t="s">
        <v>625</v>
      </c>
      <c r="D870" s="196" t="n">
        <v>2568</v>
      </c>
      <c r="E870" s="196" t="s">
        <v>51</v>
      </c>
      <c r="F870" s="201" t="n">
        <v>200025889232</v>
      </c>
      <c r="G870" s="198" t="s">
        <v>627</v>
      </c>
      <c r="H870" s="163" t="s">
        <v>525</v>
      </c>
      <c r="I870" s="161" t="n">
        <v>107</v>
      </c>
      <c r="J870" s="156" t="s">
        <v>192</v>
      </c>
      <c r="K870" s="200" t="n">
        <v>45450.6730787037</v>
      </c>
      <c r="L870" s="3" t="n">
        <v>52</v>
      </c>
      <c r="M870" s="3" t="n">
        <v>52</v>
      </c>
      <c r="N870" s="1" t="n">
        <v>4</v>
      </c>
      <c r="O870" s="201" t="n">
        <v>1</v>
      </c>
    </row>
    <row r="871" customFormat="false" ht="14.25" hidden="false" customHeight="false" outlineLevel="0" collapsed="false">
      <c r="A871" s="1" t="n">
        <v>39</v>
      </c>
      <c r="B871" s="1" t="s">
        <v>565</v>
      </c>
      <c r="C871" s="1" t="s">
        <v>566</v>
      </c>
      <c r="D871" s="196" t="n">
        <v>2644</v>
      </c>
      <c r="E871" s="196" t="s">
        <v>51</v>
      </c>
      <c r="F871" s="197" t="s">
        <v>658</v>
      </c>
      <c r="G871" s="198" t="s">
        <v>659</v>
      </c>
      <c r="H871" s="163" t="s">
        <v>504</v>
      </c>
      <c r="I871" s="161" t="n">
        <v>88</v>
      </c>
      <c r="J871" s="156" t="s">
        <v>192</v>
      </c>
      <c r="K871" s="199" t="n">
        <v>45434.929837963</v>
      </c>
      <c r="L871" s="3" t="n">
        <v>53</v>
      </c>
      <c r="M871" s="3" t="n">
        <v>53</v>
      </c>
      <c r="N871" s="1" t="n">
        <v>1</v>
      </c>
      <c r="O871" s="1" t="n">
        <v>1</v>
      </c>
    </row>
    <row r="872" customFormat="false" ht="14.25" hidden="false" customHeight="false" outlineLevel="0" collapsed="false">
      <c r="A872" s="1" t="n">
        <v>40</v>
      </c>
      <c r="B872" s="1" t="s">
        <v>565</v>
      </c>
      <c r="C872" s="1" t="s">
        <v>566</v>
      </c>
      <c r="D872" s="196" t="n">
        <v>2644</v>
      </c>
      <c r="E872" s="196" t="s">
        <v>51</v>
      </c>
      <c r="F872" s="197" t="s">
        <v>658</v>
      </c>
      <c r="G872" s="198" t="s">
        <v>659</v>
      </c>
      <c r="H872" s="163" t="s">
        <v>504</v>
      </c>
      <c r="I872" s="161" t="n">
        <v>88</v>
      </c>
      <c r="J872" s="156" t="s">
        <v>192</v>
      </c>
      <c r="K872" s="199" t="n">
        <v>45434.9298726852</v>
      </c>
      <c r="L872" s="3" t="n">
        <v>53</v>
      </c>
      <c r="M872" s="3" t="n">
        <v>53</v>
      </c>
      <c r="N872" s="1" t="n">
        <v>2</v>
      </c>
      <c r="O872" s="1" t="n">
        <v>1</v>
      </c>
    </row>
    <row r="873" customFormat="false" ht="14.25" hidden="false" customHeight="false" outlineLevel="0" collapsed="false">
      <c r="A873" s="1" t="n">
        <v>101</v>
      </c>
      <c r="B873" s="1" t="s">
        <v>624</v>
      </c>
      <c r="C873" s="1" t="s">
        <v>625</v>
      </c>
      <c r="D873" s="1" t="n">
        <v>21261</v>
      </c>
      <c r="E873" s="1" t="s">
        <v>57</v>
      </c>
      <c r="F873" s="201" t="n">
        <v>200025888299</v>
      </c>
      <c r="G873" s="198" t="s">
        <v>629</v>
      </c>
      <c r="H873" s="163" t="s">
        <v>312</v>
      </c>
      <c r="I873" s="161" t="n">
        <v>43</v>
      </c>
      <c r="J873" s="156" t="s">
        <v>192</v>
      </c>
      <c r="K873" s="200" t="n">
        <v>45435.045775463</v>
      </c>
      <c r="L873" s="3" t="n">
        <v>54</v>
      </c>
      <c r="M873" s="3" t="n">
        <v>54</v>
      </c>
      <c r="N873" s="1" t="n">
        <v>1</v>
      </c>
      <c r="O873" s="1" t="n">
        <v>1</v>
      </c>
    </row>
    <row r="874" customFormat="false" ht="14.25" hidden="false" customHeight="false" outlineLevel="0" collapsed="false">
      <c r="A874" s="1" t="n">
        <v>127</v>
      </c>
      <c r="B874" s="1" t="s">
        <v>624</v>
      </c>
      <c r="C874" s="1" t="s">
        <v>625</v>
      </c>
      <c r="D874" s="1" t="n">
        <v>21261</v>
      </c>
      <c r="E874" s="1" t="s">
        <v>57</v>
      </c>
      <c r="F874" s="201" t="n">
        <v>200025888299</v>
      </c>
      <c r="G874" s="198" t="s">
        <v>629</v>
      </c>
      <c r="H874" s="163" t="s">
        <v>312</v>
      </c>
      <c r="I874" s="161" t="n">
        <v>43</v>
      </c>
      <c r="J874" s="156" t="s">
        <v>192</v>
      </c>
      <c r="K874" s="200" t="n">
        <v>45435.1083680556</v>
      </c>
      <c r="L874" s="3" t="n">
        <v>54</v>
      </c>
      <c r="M874" s="3" t="n">
        <v>54</v>
      </c>
      <c r="N874" s="1" t="n">
        <v>2</v>
      </c>
      <c r="O874" s="1" t="n">
        <v>1</v>
      </c>
    </row>
    <row r="875" customFormat="false" ht="14.25" hidden="false" customHeight="false" outlineLevel="0" collapsed="false">
      <c r="A875" s="1" t="n">
        <v>128</v>
      </c>
      <c r="B875" s="1" t="s">
        <v>624</v>
      </c>
      <c r="C875" s="1" t="s">
        <v>625</v>
      </c>
      <c r="D875" s="1" t="n">
        <v>21261</v>
      </c>
      <c r="E875" s="1" t="s">
        <v>57</v>
      </c>
      <c r="F875" s="201" t="n">
        <v>200025888299</v>
      </c>
      <c r="G875" s="198" t="s">
        <v>629</v>
      </c>
      <c r="H875" s="163" t="s">
        <v>312</v>
      </c>
      <c r="I875" s="161" t="n">
        <v>43</v>
      </c>
      <c r="J875" s="156" t="s">
        <v>192</v>
      </c>
      <c r="K875" s="200" t="n">
        <v>45435.1087037037</v>
      </c>
      <c r="L875" s="3" t="n">
        <v>54</v>
      </c>
      <c r="M875" s="3" t="n">
        <v>54</v>
      </c>
      <c r="N875" s="1" t="n">
        <v>3</v>
      </c>
      <c r="O875" s="1" t="n">
        <v>2</v>
      </c>
    </row>
    <row r="876" customFormat="false" ht="14.25" hidden="false" customHeight="false" outlineLevel="0" collapsed="false">
      <c r="A876" s="1" t="n">
        <v>14</v>
      </c>
      <c r="B876" s="1" t="s">
        <v>637</v>
      </c>
      <c r="C876" s="1" t="s">
        <v>638</v>
      </c>
      <c r="D876" s="1" t="n">
        <v>21296</v>
      </c>
      <c r="E876" s="1" t="s">
        <v>57</v>
      </c>
      <c r="F876" s="198" t="n">
        <v>200025888299</v>
      </c>
      <c r="G876" s="198" t="s">
        <v>629</v>
      </c>
      <c r="H876" s="163" t="s">
        <v>312</v>
      </c>
      <c r="I876" s="161" t="n">
        <v>43</v>
      </c>
      <c r="J876" s="156" t="s">
        <v>192</v>
      </c>
      <c r="K876" s="200" t="n">
        <v>45451.3293171296</v>
      </c>
      <c r="L876" s="3" t="n">
        <v>54</v>
      </c>
      <c r="M876" s="3" t="n">
        <v>54</v>
      </c>
      <c r="N876" s="1" t="n">
        <v>4</v>
      </c>
      <c r="O876" s="1" t="n">
        <v>1</v>
      </c>
    </row>
    <row r="877" customFormat="false" ht="14.25" hidden="false" customHeight="false" outlineLevel="0" collapsed="false">
      <c r="A877" s="1" t="n">
        <v>15</v>
      </c>
      <c r="B877" s="1" t="s">
        <v>637</v>
      </c>
      <c r="C877" s="1" t="s">
        <v>638</v>
      </c>
      <c r="D877" s="1" t="n">
        <v>21296</v>
      </c>
      <c r="E877" s="1" t="s">
        <v>57</v>
      </c>
      <c r="F877" s="198" t="n">
        <v>200025888299</v>
      </c>
      <c r="G877" s="198" t="s">
        <v>629</v>
      </c>
      <c r="H877" s="163" t="s">
        <v>312</v>
      </c>
      <c r="I877" s="161" t="n">
        <v>43</v>
      </c>
      <c r="J877" s="156" t="s">
        <v>192</v>
      </c>
      <c r="K877" s="200" t="n">
        <v>45451.3293402778</v>
      </c>
      <c r="L877" s="3" t="n">
        <v>54</v>
      </c>
      <c r="M877" s="3" t="n">
        <v>54</v>
      </c>
      <c r="N877" s="1" t="n">
        <v>5</v>
      </c>
      <c r="O877" s="1" t="n">
        <v>0</v>
      </c>
    </row>
    <row r="878" customFormat="false" ht="14.25" hidden="false" customHeight="false" outlineLevel="0" collapsed="false">
      <c r="A878" s="1" t="n">
        <v>31</v>
      </c>
      <c r="B878" s="1" t="s">
        <v>624</v>
      </c>
      <c r="C878" s="1" t="s">
        <v>625</v>
      </c>
      <c r="D878" s="196" t="n">
        <v>2568</v>
      </c>
      <c r="E878" s="196" t="s">
        <v>51</v>
      </c>
      <c r="F878" s="201" t="n">
        <v>200025888299</v>
      </c>
      <c r="G878" s="198" t="s">
        <v>629</v>
      </c>
      <c r="H878" s="163" t="s">
        <v>312</v>
      </c>
      <c r="I878" s="161" t="n">
        <v>43</v>
      </c>
      <c r="J878" s="156" t="s">
        <v>192</v>
      </c>
      <c r="K878" s="200" t="n">
        <v>45451.4464699074</v>
      </c>
      <c r="L878" s="3" t="n">
        <v>54</v>
      </c>
      <c r="M878" s="3" t="n">
        <v>54</v>
      </c>
      <c r="N878" s="1" t="n">
        <v>6</v>
      </c>
      <c r="O878" s="1" t="n">
        <v>0</v>
      </c>
    </row>
    <row r="879" customFormat="false" ht="14.25" hidden="false" customHeight="false" outlineLevel="0" collapsed="false">
      <c r="A879" s="1" t="n">
        <v>32</v>
      </c>
      <c r="B879" s="1" t="s">
        <v>624</v>
      </c>
      <c r="C879" s="1" t="s">
        <v>625</v>
      </c>
      <c r="D879" s="196" t="n">
        <v>2568</v>
      </c>
      <c r="E879" s="196" t="s">
        <v>51</v>
      </c>
      <c r="F879" s="201" t="n">
        <v>200025888299</v>
      </c>
      <c r="G879" s="198" t="s">
        <v>629</v>
      </c>
      <c r="H879" s="163" t="s">
        <v>312</v>
      </c>
      <c r="I879" s="161" t="n">
        <v>43</v>
      </c>
      <c r="J879" s="156" t="s">
        <v>192</v>
      </c>
      <c r="K879" s="200" t="n">
        <v>45451.4464814815</v>
      </c>
      <c r="L879" s="3" t="n">
        <v>54</v>
      </c>
      <c r="M879" s="3" t="n">
        <v>54</v>
      </c>
      <c r="N879" s="1" t="n">
        <v>7</v>
      </c>
      <c r="O879" s="1" t="n">
        <v>1</v>
      </c>
    </row>
    <row r="880" customFormat="false" ht="14.25" hidden="false" customHeight="false" outlineLevel="0" collapsed="false">
      <c r="A880" s="1" t="n">
        <v>33</v>
      </c>
      <c r="B880" s="1" t="s">
        <v>624</v>
      </c>
      <c r="C880" s="1" t="s">
        <v>625</v>
      </c>
      <c r="D880" s="196" t="n">
        <v>2568</v>
      </c>
      <c r="E880" s="196" t="s">
        <v>51</v>
      </c>
      <c r="F880" s="201" t="n">
        <v>200025888299</v>
      </c>
      <c r="G880" s="198" t="s">
        <v>629</v>
      </c>
      <c r="H880" s="163" t="s">
        <v>312</v>
      </c>
      <c r="I880" s="161" t="n">
        <v>43</v>
      </c>
      <c r="J880" s="156" t="s">
        <v>192</v>
      </c>
      <c r="K880" s="200" t="n">
        <v>45451.4468171296</v>
      </c>
      <c r="L880" s="3" t="n">
        <v>54</v>
      </c>
      <c r="M880" s="3" t="n">
        <v>54</v>
      </c>
      <c r="N880" s="1" t="n">
        <v>8</v>
      </c>
      <c r="O880" s="1" t="n">
        <v>1</v>
      </c>
    </row>
    <row r="881" customFormat="false" ht="14.25" hidden="false" customHeight="false" outlineLevel="0" collapsed="false">
      <c r="A881" s="1" t="n">
        <v>34</v>
      </c>
      <c r="B881" s="1" t="s">
        <v>624</v>
      </c>
      <c r="C881" s="1" t="s">
        <v>625</v>
      </c>
      <c r="D881" s="196" t="n">
        <v>2568</v>
      </c>
      <c r="E881" s="196" t="s">
        <v>51</v>
      </c>
      <c r="F881" s="201" t="n">
        <v>200025888299</v>
      </c>
      <c r="G881" s="198" t="s">
        <v>629</v>
      </c>
      <c r="H881" s="163" t="s">
        <v>312</v>
      </c>
      <c r="I881" s="161" t="n">
        <v>43</v>
      </c>
      <c r="J881" s="156" t="s">
        <v>192</v>
      </c>
      <c r="K881" s="200" t="n">
        <v>45451.4647337963</v>
      </c>
      <c r="L881" s="3" t="n">
        <v>54</v>
      </c>
      <c r="M881" s="3" t="n">
        <v>54</v>
      </c>
      <c r="N881" s="1" t="n">
        <v>9</v>
      </c>
      <c r="O881" s="1" t="n">
        <v>1</v>
      </c>
    </row>
    <row r="882" customFormat="false" ht="14.25" hidden="false" customHeight="false" outlineLevel="0" collapsed="false">
      <c r="A882" s="1" t="n">
        <v>35</v>
      </c>
      <c r="B882" s="1" t="s">
        <v>624</v>
      </c>
      <c r="C882" s="1" t="s">
        <v>625</v>
      </c>
      <c r="D882" s="196" t="n">
        <v>2568</v>
      </c>
      <c r="E882" s="196" t="s">
        <v>51</v>
      </c>
      <c r="F882" s="201" t="n">
        <v>200025888299</v>
      </c>
      <c r="G882" s="198" t="s">
        <v>629</v>
      </c>
      <c r="H882" s="163" t="s">
        <v>312</v>
      </c>
      <c r="I882" s="161" t="n">
        <v>43</v>
      </c>
      <c r="J882" s="156" t="s">
        <v>192</v>
      </c>
      <c r="K882" s="200" t="n">
        <v>45451.4733564815</v>
      </c>
      <c r="L882" s="3" t="n">
        <v>54</v>
      </c>
      <c r="M882" s="3" t="n">
        <v>54</v>
      </c>
      <c r="N882" s="1" t="n">
        <v>10</v>
      </c>
      <c r="O882" s="1" t="n">
        <v>1</v>
      </c>
    </row>
    <row r="883" customFormat="false" ht="14.25" hidden="false" customHeight="false" outlineLevel="0" collapsed="false">
      <c r="A883" s="1" t="n">
        <v>36</v>
      </c>
      <c r="B883" s="1" t="s">
        <v>624</v>
      </c>
      <c r="C883" s="1" t="s">
        <v>625</v>
      </c>
      <c r="D883" s="196" t="n">
        <v>2568</v>
      </c>
      <c r="E883" s="196" t="s">
        <v>51</v>
      </c>
      <c r="F883" s="201" t="n">
        <v>200025888299</v>
      </c>
      <c r="G883" s="198" t="s">
        <v>629</v>
      </c>
      <c r="H883" s="163" t="s">
        <v>312</v>
      </c>
      <c r="I883" s="161" t="n">
        <v>43</v>
      </c>
      <c r="J883" s="156" t="s">
        <v>192</v>
      </c>
      <c r="K883" s="200" t="n">
        <v>45451.4733912037</v>
      </c>
      <c r="L883" s="3" t="n">
        <v>54</v>
      </c>
      <c r="M883" s="3" t="n">
        <v>54</v>
      </c>
      <c r="N883" s="1" t="n">
        <v>11</v>
      </c>
      <c r="O883" s="1" t="n">
        <v>0</v>
      </c>
    </row>
    <row r="884" customFormat="false" ht="14.25" hidden="false" customHeight="false" outlineLevel="0" collapsed="false">
      <c r="A884" s="1" t="n">
        <v>37</v>
      </c>
      <c r="B884" s="1" t="s">
        <v>624</v>
      </c>
      <c r="C884" s="1" t="s">
        <v>625</v>
      </c>
      <c r="D884" s="196" t="n">
        <v>2568</v>
      </c>
      <c r="E884" s="196" t="s">
        <v>51</v>
      </c>
      <c r="F884" s="201" t="n">
        <v>200025888299</v>
      </c>
      <c r="G884" s="198" t="s">
        <v>629</v>
      </c>
      <c r="H884" s="163" t="s">
        <v>312</v>
      </c>
      <c r="I884" s="161" t="n">
        <v>43</v>
      </c>
      <c r="J884" s="156" t="s">
        <v>192</v>
      </c>
      <c r="K884" s="200" t="n">
        <v>45451.5322222222</v>
      </c>
      <c r="L884" s="3" t="n">
        <v>54</v>
      </c>
      <c r="M884" s="3" t="n">
        <v>54</v>
      </c>
      <c r="N884" s="1" t="n">
        <v>12</v>
      </c>
      <c r="O884" s="1" t="n">
        <v>1</v>
      </c>
    </row>
    <row r="885" customFormat="false" ht="14.25" hidden="false" customHeight="false" outlineLevel="0" collapsed="false">
      <c r="A885" s="1" t="n">
        <v>38</v>
      </c>
      <c r="B885" s="1" t="s">
        <v>624</v>
      </c>
      <c r="C885" s="1" t="s">
        <v>625</v>
      </c>
      <c r="D885" s="196" t="n">
        <v>2568</v>
      </c>
      <c r="E885" s="196" t="s">
        <v>51</v>
      </c>
      <c r="F885" s="201" t="n">
        <v>200025888299</v>
      </c>
      <c r="G885" s="198" t="s">
        <v>629</v>
      </c>
      <c r="H885" s="163" t="s">
        <v>312</v>
      </c>
      <c r="I885" s="161" t="n">
        <v>43</v>
      </c>
      <c r="J885" s="156" t="s">
        <v>192</v>
      </c>
      <c r="K885" s="200" t="n">
        <v>45451.5326388889</v>
      </c>
      <c r="L885" s="3" t="n">
        <v>54</v>
      </c>
      <c r="M885" s="3" t="n">
        <v>54</v>
      </c>
      <c r="N885" s="1" t="n">
        <v>13</v>
      </c>
      <c r="O885" s="1" t="n">
        <v>1</v>
      </c>
    </row>
    <row r="886" customFormat="false" ht="14.25" hidden="false" customHeight="false" outlineLevel="0" collapsed="false">
      <c r="A886" s="1" t="n">
        <v>39</v>
      </c>
      <c r="B886" s="1" t="s">
        <v>624</v>
      </c>
      <c r="C886" s="1" t="s">
        <v>625</v>
      </c>
      <c r="D886" s="196" t="n">
        <v>2568</v>
      </c>
      <c r="E886" s="196" t="s">
        <v>51</v>
      </c>
      <c r="F886" s="201" t="n">
        <v>200025888299</v>
      </c>
      <c r="G886" s="198" t="s">
        <v>629</v>
      </c>
      <c r="H886" s="163" t="s">
        <v>312</v>
      </c>
      <c r="I886" s="161" t="n">
        <v>43</v>
      </c>
      <c r="J886" s="156" t="s">
        <v>192</v>
      </c>
      <c r="K886" s="200" t="n">
        <v>45451.5346990741</v>
      </c>
      <c r="L886" s="3" t="n">
        <v>54</v>
      </c>
      <c r="M886" s="3" t="n">
        <v>54</v>
      </c>
      <c r="N886" s="1" t="n">
        <v>14</v>
      </c>
      <c r="O886" s="1" t="n">
        <v>2</v>
      </c>
    </row>
    <row r="887" customFormat="false" ht="14.25" hidden="false" customHeight="false" outlineLevel="0" collapsed="false">
      <c r="A887" s="1" t="n">
        <v>40</v>
      </c>
      <c r="B887" s="1" t="s">
        <v>624</v>
      </c>
      <c r="C887" s="1" t="s">
        <v>625</v>
      </c>
      <c r="D887" s="196" t="n">
        <v>2568</v>
      </c>
      <c r="E887" s="196" t="s">
        <v>51</v>
      </c>
      <c r="F887" s="201" t="n">
        <v>200025888299</v>
      </c>
      <c r="G887" s="198" t="s">
        <v>629</v>
      </c>
      <c r="H887" s="163" t="s">
        <v>312</v>
      </c>
      <c r="I887" s="161" t="n">
        <v>43</v>
      </c>
      <c r="J887" s="156" t="s">
        <v>192</v>
      </c>
      <c r="K887" s="200" t="n">
        <v>45451.5625925926</v>
      </c>
      <c r="L887" s="3" t="n">
        <v>54</v>
      </c>
      <c r="M887" s="3" t="n">
        <v>54</v>
      </c>
      <c r="N887" s="1" t="n">
        <v>15</v>
      </c>
      <c r="O887" s="1" t="n">
        <v>0</v>
      </c>
    </row>
    <row r="888" customFormat="false" ht="14.25" hidden="false" customHeight="false" outlineLevel="0" collapsed="false">
      <c r="A888" s="1" t="n">
        <v>42</v>
      </c>
      <c r="B888" s="1" t="s">
        <v>624</v>
      </c>
      <c r="C888" s="1" t="s">
        <v>625</v>
      </c>
      <c r="D888" s="196" t="n">
        <v>2568</v>
      </c>
      <c r="E888" s="196" t="s">
        <v>51</v>
      </c>
      <c r="F888" s="201" t="n">
        <v>200025888299</v>
      </c>
      <c r="G888" s="198" t="s">
        <v>629</v>
      </c>
      <c r="H888" s="163" t="s">
        <v>312</v>
      </c>
      <c r="I888" s="161" t="n">
        <v>43</v>
      </c>
      <c r="J888" s="156" t="s">
        <v>192</v>
      </c>
      <c r="K888" s="200" t="n">
        <v>45451.5754282407</v>
      </c>
      <c r="L888" s="3" t="n">
        <v>54</v>
      </c>
      <c r="M888" s="3" t="n">
        <v>54</v>
      </c>
      <c r="N888" s="1" t="n">
        <v>16</v>
      </c>
      <c r="O888" s="10" t="n">
        <v>2051</v>
      </c>
    </row>
    <row r="889" customFormat="false" ht="14.25" hidden="false" customHeight="false" outlineLevel="0" collapsed="false">
      <c r="A889" s="1" t="n">
        <v>43</v>
      </c>
      <c r="B889" s="1" t="s">
        <v>624</v>
      </c>
      <c r="C889" s="1" t="s">
        <v>625</v>
      </c>
      <c r="D889" s="196" t="n">
        <v>2568</v>
      </c>
      <c r="E889" s="196" t="s">
        <v>51</v>
      </c>
      <c r="F889" s="201" t="n">
        <v>200025888299</v>
      </c>
      <c r="G889" s="198" t="s">
        <v>629</v>
      </c>
      <c r="H889" s="163" t="s">
        <v>312</v>
      </c>
      <c r="I889" s="161" t="n">
        <v>43</v>
      </c>
      <c r="J889" s="156" t="s">
        <v>192</v>
      </c>
      <c r="K889" s="200" t="n">
        <v>45451.6280439815</v>
      </c>
      <c r="L889" s="3" t="n">
        <v>54</v>
      </c>
      <c r="M889" s="3" t="n">
        <v>54</v>
      </c>
      <c r="N889" s="1" t="n">
        <v>17</v>
      </c>
      <c r="O889" s="1" t="n">
        <v>1</v>
      </c>
    </row>
    <row r="890" customFormat="false" ht="14.25" hidden="false" customHeight="false" outlineLevel="0" collapsed="false">
      <c r="A890" s="1" t="n">
        <v>105</v>
      </c>
      <c r="B890" s="1" t="s">
        <v>624</v>
      </c>
      <c r="C890" s="1" t="s">
        <v>625</v>
      </c>
      <c r="D890" s="1" t="n">
        <v>21261</v>
      </c>
      <c r="E890" s="1" t="s">
        <v>57</v>
      </c>
      <c r="F890" s="201" t="n">
        <v>200025888830</v>
      </c>
      <c r="G890" s="198" t="s">
        <v>709</v>
      </c>
      <c r="H890" s="163" t="s">
        <v>462</v>
      </c>
      <c r="I890" s="161" t="n">
        <v>97</v>
      </c>
      <c r="J890" s="156" t="s">
        <v>192</v>
      </c>
      <c r="K890" s="200" t="n">
        <v>45435.0660532407</v>
      </c>
      <c r="L890" s="3" t="n">
        <v>55</v>
      </c>
      <c r="M890" s="3" t="n">
        <v>55</v>
      </c>
      <c r="N890" s="1" t="n">
        <v>1</v>
      </c>
      <c r="O890" s="1" t="n">
        <v>2</v>
      </c>
    </row>
    <row r="891" customFormat="false" ht="14.25" hidden="false" customHeight="false" outlineLevel="0" collapsed="false">
      <c r="A891" s="1" t="n">
        <v>114</v>
      </c>
      <c r="B891" s="1" t="s">
        <v>624</v>
      </c>
      <c r="C891" s="1" t="s">
        <v>625</v>
      </c>
      <c r="D891" s="1" t="n">
        <v>21261</v>
      </c>
      <c r="E891" s="1" t="s">
        <v>57</v>
      </c>
      <c r="F891" s="201" t="n">
        <v>200025888830</v>
      </c>
      <c r="G891" s="198" t="s">
        <v>709</v>
      </c>
      <c r="H891" s="163" t="s">
        <v>462</v>
      </c>
      <c r="I891" s="161" t="n">
        <v>97</v>
      </c>
      <c r="J891" s="156" t="s">
        <v>192</v>
      </c>
      <c r="K891" s="200" t="n">
        <v>45435.0736111111</v>
      </c>
      <c r="L891" s="3" t="n">
        <v>55</v>
      </c>
      <c r="M891" s="3" t="n">
        <v>55</v>
      </c>
      <c r="N891" s="1" t="n">
        <v>2</v>
      </c>
      <c r="O891" s="1" t="n">
        <v>3</v>
      </c>
    </row>
    <row r="892" customFormat="false" ht="14.25" hidden="false" customHeight="false" outlineLevel="0" collapsed="false">
      <c r="A892" s="1" t="n">
        <v>119</v>
      </c>
      <c r="B892" s="1" t="s">
        <v>624</v>
      </c>
      <c r="C892" s="1" t="s">
        <v>625</v>
      </c>
      <c r="D892" s="1" t="n">
        <v>21261</v>
      </c>
      <c r="E892" s="1" t="s">
        <v>57</v>
      </c>
      <c r="F892" s="201" t="n">
        <v>200025888830</v>
      </c>
      <c r="G892" s="198" t="s">
        <v>709</v>
      </c>
      <c r="H892" s="163" t="s">
        <v>462</v>
      </c>
      <c r="I892" s="161" t="n">
        <v>97</v>
      </c>
      <c r="J892" s="156" t="s">
        <v>192</v>
      </c>
      <c r="K892" s="200" t="n">
        <v>45435.0998611111</v>
      </c>
      <c r="L892" s="3" t="n">
        <v>55</v>
      </c>
      <c r="M892" s="3" t="n">
        <v>55</v>
      </c>
      <c r="N892" s="1" t="n">
        <v>3</v>
      </c>
      <c r="O892" s="1" t="n">
        <v>1</v>
      </c>
    </row>
    <row r="893" customFormat="false" ht="14.25" hidden="false" customHeight="false" outlineLevel="0" collapsed="false">
      <c r="A893" s="1" t="n">
        <v>109</v>
      </c>
      <c r="B893" s="1" t="s">
        <v>624</v>
      </c>
      <c r="C893" s="1" t="s">
        <v>625</v>
      </c>
      <c r="D893" s="1" t="n">
        <v>21261</v>
      </c>
      <c r="E893" s="1" t="s">
        <v>57</v>
      </c>
      <c r="F893" s="201" t="n">
        <v>200025889447</v>
      </c>
      <c r="G893" s="198" t="s">
        <v>710</v>
      </c>
      <c r="H893" s="163" t="s">
        <v>528</v>
      </c>
      <c r="I893" s="161" t="n">
        <v>91</v>
      </c>
      <c r="J893" s="156" t="s">
        <v>192</v>
      </c>
      <c r="K893" s="200" t="n">
        <v>45435.0715393519</v>
      </c>
      <c r="L893" s="3" t="n">
        <v>56</v>
      </c>
      <c r="M893" s="3" t="n">
        <v>56</v>
      </c>
      <c r="N893" s="1" t="n">
        <v>1</v>
      </c>
      <c r="O893" s="1" t="n">
        <v>0</v>
      </c>
    </row>
    <row r="894" customFormat="false" ht="14.25" hidden="false" customHeight="false" outlineLevel="0" collapsed="false">
      <c r="A894" s="1" t="n">
        <v>110</v>
      </c>
      <c r="B894" s="1" t="s">
        <v>624</v>
      </c>
      <c r="C894" s="1" t="s">
        <v>625</v>
      </c>
      <c r="D894" s="1" t="n">
        <v>21261</v>
      </c>
      <c r="E894" s="1" t="s">
        <v>57</v>
      </c>
      <c r="F894" s="201" t="n">
        <v>200025889447</v>
      </c>
      <c r="G894" s="198" t="s">
        <v>710</v>
      </c>
      <c r="H894" s="163" t="s">
        <v>528</v>
      </c>
      <c r="I894" s="161" t="n">
        <v>91</v>
      </c>
      <c r="J894" s="156" t="s">
        <v>192</v>
      </c>
      <c r="K894" s="200" t="n">
        <v>45435.0715509259</v>
      </c>
      <c r="L894" s="3" t="n">
        <v>56</v>
      </c>
      <c r="M894" s="3" t="n">
        <v>56</v>
      </c>
      <c r="N894" s="1" t="n">
        <v>2</v>
      </c>
      <c r="O894" s="1" t="n">
        <v>0</v>
      </c>
    </row>
    <row r="895" customFormat="false" ht="14.25" hidden="false" customHeight="false" outlineLevel="0" collapsed="false">
      <c r="A895" s="1" t="n">
        <v>111</v>
      </c>
      <c r="B895" s="1" t="s">
        <v>624</v>
      </c>
      <c r="C895" s="1" t="s">
        <v>625</v>
      </c>
      <c r="D895" s="1" t="n">
        <v>21261</v>
      </c>
      <c r="E895" s="1" t="s">
        <v>57</v>
      </c>
      <c r="F895" s="201" t="n">
        <v>200025889447</v>
      </c>
      <c r="G895" s="198" t="s">
        <v>710</v>
      </c>
      <c r="H895" s="163" t="s">
        <v>528</v>
      </c>
      <c r="I895" s="161" t="n">
        <v>91</v>
      </c>
      <c r="J895" s="156" t="s">
        <v>192</v>
      </c>
      <c r="K895" s="200" t="n">
        <v>45435.0715625</v>
      </c>
      <c r="L895" s="3" t="n">
        <v>56</v>
      </c>
      <c r="M895" s="3" t="n">
        <v>56</v>
      </c>
      <c r="N895" s="1" t="n">
        <v>3</v>
      </c>
      <c r="O895" s="1" t="n">
        <v>1</v>
      </c>
    </row>
    <row r="896" customFormat="false" ht="14.25" hidden="false" customHeight="false" outlineLevel="0" collapsed="false">
      <c r="A896" s="1" t="n">
        <v>142</v>
      </c>
      <c r="B896" s="1" t="s">
        <v>624</v>
      </c>
      <c r="C896" s="1" t="s">
        <v>625</v>
      </c>
      <c r="D896" s="1" t="n">
        <v>21261</v>
      </c>
      <c r="E896" s="1" t="s">
        <v>57</v>
      </c>
      <c r="F896" s="201" t="n">
        <v>200025889447</v>
      </c>
      <c r="G896" s="198" t="s">
        <v>710</v>
      </c>
      <c r="H896" s="163" t="s">
        <v>528</v>
      </c>
      <c r="I896" s="161" t="n">
        <v>91</v>
      </c>
      <c r="J896" s="156" t="s">
        <v>192</v>
      </c>
      <c r="K896" s="200" t="n">
        <v>45435.2326967593</v>
      </c>
      <c r="L896" s="3" t="n">
        <v>56</v>
      </c>
      <c r="M896" s="3" t="n">
        <v>56</v>
      </c>
      <c r="N896" s="1" t="n">
        <v>4</v>
      </c>
      <c r="O896" s="1" t="n">
        <v>1</v>
      </c>
    </row>
    <row r="897" customFormat="false" ht="14.25" hidden="false" customHeight="false" outlineLevel="0" collapsed="false">
      <c r="A897" s="1" t="n">
        <v>122</v>
      </c>
      <c r="B897" s="1" t="s">
        <v>624</v>
      </c>
      <c r="C897" s="1" t="s">
        <v>625</v>
      </c>
      <c r="D897" s="1" t="n">
        <v>21261</v>
      </c>
      <c r="E897" s="1" t="s">
        <v>57</v>
      </c>
      <c r="F897" s="201" t="n">
        <v>200025889226</v>
      </c>
      <c r="G897" s="198" t="s">
        <v>610</v>
      </c>
      <c r="H897" s="163" t="s">
        <v>486</v>
      </c>
      <c r="I897" s="161" t="n">
        <v>69</v>
      </c>
      <c r="J897" s="156" t="s">
        <v>192</v>
      </c>
      <c r="K897" s="200" t="n">
        <v>45435.1028356482</v>
      </c>
      <c r="L897" s="3" t="n">
        <v>57</v>
      </c>
      <c r="M897" s="3" t="n">
        <v>57</v>
      </c>
      <c r="N897" s="1" t="n">
        <v>1</v>
      </c>
      <c r="O897" s="1" t="n">
        <v>10</v>
      </c>
    </row>
    <row r="898" customFormat="false" ht="14.25" hidden="false" customHeight="false" outlineLevel="0" collapsed="false">
      <c r="A898" s="1" t="n">
        <v>151</v>
      </c>
      <c r="B898" s="1" t="s">
        <v>624</v>
      </c>
      <c r="C898" s="1" t="s">
        <v>625</v>
      </c>
      <c r="D898" s="1" t="n">
        <v>21261</v>
      </c>
      <c r="E898" s="1" t="s">
        <v>57</v>
      </c>
      <c r="F898" s="201" t="n">
        <v>200025889226</v>
      </c>
      <c r="G898" s="198" t="s">
        <v>610</v>
      </c>
      <c r="H898" s="163" t="s">
        <v>486</v>
      </c>
      <c r="I898" s="161" t="n">
        <v>69</v>
      </c>
      <c r="J898" s="156" t="s">
        <v>192</v>
      </c>
      <c r="K898" s="200" t="n">
        <v>45435.2386805556</v>
      </c>
      <c r="L898" s="3" t="n">
        <v>57</v>
      </c>
      <c r="M898" s="3" t="n">
        <v>57</v>
      </c>
      <c r="N898" s="1" t="n">
        <v>2</v>
      </c>
      <c r="O898" s="1" t="n">
        <v>0</v>
      </c>
    </row>
    <row r="899" customFormat="false" ht="14.25" hidden="false" customHeight="false" outlineLevel="0" collapsed="false">
      <c r="A899" s="1" t="n">
        <v>133</v>
      </c>
      <c r="B899" s="1" t="s">
        <v>565</v>
      </c>
      <c r="C899" s="1" t="s">
        <v>566</v>
      </c>
      <c r="D899" s="196" t="n">
        <v>2568</v>
      </c>
      <c r="E899" s="196" t="s">
        <v>51</v>
      </c>
      <c r="F899" s="197" t="s">
        <v>609</v>
      </c>
      <c r="G899" s="198" t="s">
        <v>610</v>
      </c>
      <c r="H899" s="163" t="s">
        <v>486</v>
      </c>
      <c r="I899" s="161" t="n">
        <v>69</v>
      </c>
      <c r="J899" s="156" t="s">
        <v>192</v>
      </c>
      <c r="K899" s="199" t="n">
        <v>45435.8860648148</v>
      </c>
      <c r="L899" s="3" t="n">
        <v>57</v>
      </c>
      <c r="M899" s="3" t="n">
        <v>57</v>
      </c>
      <c r="N899" s="1" t="n">
        <v>3</v>
      </c>
      <c r="O899" s="1" t="n">
        <v>0</v>
      </c>
    </row>
    <row r="900" customFormat="false" ht="14.25" hidden="false" customHeight="false" outlineLevel="0" collapsed="false">
      <c r="A900" s="1" t="n">
        <v>134</v>
      </c>
      <c r="B900" s="1" t="s">
        <v>565</v>
      </c>
      <c r="C900" s="1" t="s">
        <v>566</v>
      </c>
      <c r="D900" s="196" t="n">
        <v>2568</v>
      </c>
      <c r="E900" s="196" t="s">
        <v>51</v>
      </c>
      <c r="F900" s="197" t="s">
        <v>609</v>
      </c>
      <c r="G900" s="198" t="s">
        <v>610</v>
      </c>
      <c r="H900" s="163" t="s">
        <v>486</v>
      </c>
      <c r="I900" s="161" t="n">
        <v>69</v>
      </c>
      <c r="J900" s="156" t="s">
        <v>192</v>
      </c>
      <c r="K900" s="199" t="n">
        <v>45435.9163425926</v>
      </c>
      <c r="L900" s="3" t="n">
        <v>57</v>
      </c>
      <c r="M900" s="3" t="n">
        <v>57</v>
      </c>
      <c r="N900" s="1" t="n">
        <v>4</v>
      </c>
      <c r="O900" s="1" t="n">
        <v>1</v>
      </c>
    </row>
    <row r="901" customFormat="false" ht="14.25" hidden="false" customHeight="false" outlineLevel="0" collapsed="false">
      <c r="A901" s="1" t="n">
        <v>47</v>
      </c>
      <c r="B901" s="1" t="s">
        <v>684</v>
      </c>
      <c r="C901" s="1" t="s">
        <v>685</v>
      </c>
      <c r="D901" s="1" t="n">
        <v>21296</v>
      </c>
      <c r="E901" s="1" t="s">
        <v>57</v>
      </c>
      <c r="F901" s="201" t="n">
        <v>200025889226</v>
      </c>
      <c r="G901" s="198" t="s">
        <v>610</v>
      </c>
      <c r="H901" s="163" t="s">
        <v>486</v>
      </c>
      <c r="I901" s="161" t="n">
        <v>69</v>
      </c>
      <c r="J901" s="156" t="s">
        <v>192</v>
      </c>
      <c r="K901" s="200" t="n">
        <v>45453.9086111111</v>
      </c>
      <c r="L901" s="3" t="n">
        <v>57</v>
      </c>
      <c r="M901" s="3" t="n">
        <v>57</v>
      </c>
      <c r="N901" s="1" t="n">
        <v>5</v>
      </c>
      <c r="O901" s="1" t="n">
        <v>0</v>
      </c>
    </row>
    <row r="902" customFormat="false" ht="14.25" hidden="false" customHeight="false" outlineLevel="0" collapsed="false">
      <c r="A902" s="1" t="n">
        <v>48</v>
      </c>
      <c r="B902" s="1" t="s">
        <v>684</v>
      </c>
      <c r="C902" s="1" t="s">
        <v>685</v>
      </c>
      <c r="D902" s="1" t="n">
        <v>21296</v>
      </c>
      <c r="E902" s="1" t="s">
        <v>57</v>
      </c>
      <c r="F902" s="201" t="n">
        <v>200025889226</v>
      </c>
      <c r="G902" s="198" t="s">
        <v>610</v>
      </c>
      <c r="H902" s="163" t="s">
        <v>486</v>
      </c>
      <c r="I902" s="161" t="n">
        <v>69</v>
      </c>
      <c r="J902" s="156" t="s">
        <v>192</v>
      </c>
      <c r="K902" s="200" t="n">
        <v>45453.9086226852</v>
      </c>
      <c r="L902" s="3" t="n">
        <v>57</v>
      </c>
      <c r="M902" s="3" t="n">
        <v>57</v>
      </c>
      <c r="N902" s="1" t="n">
        <v>6</v>
      </c>
      <c r="O902" s="1" t="n">
        <v>0</v>
      </c>
    </row>
    <row r="903" customFormat="false" ht="14.25" hidden="false" customHeight="false" outlineLevel="0" collapsed="false">
      <c r="A903" s="1" t="n">
        <v>49</v>
      </c>
      <c r="B903" s="1" t="s">
        <v>684</v>
      </c>
      <c r="C903" s="1" t="s">
        <v>685</v>
      </c>
      <c r="D903" s="1" t="n">
        <v>21296</v>
      </c>
      <c r="E903" s="1" t="s">
        <v>57</v>
      </c>
      <c r="F903" s="201" t="n">
        <v>200025889226</v>
      </c>
      <c r="G903" s="198" t="s">
        <v>610</v>
      </c>
      <c r="H903" s="163" t="s">
        <v>486</v>
      </c>
      <c r="I903" s="161" t="n">
        <v>69</v>
      </c>
      <c r="J903" s="156" t="s">
        <v>192</v>
      </c>
      <c r="K903" s="200" t="n">
        <v>45453.9086342593</v>
      </c>
      <c r="L903" s="3" t="n">
        <v>57</v>
      </c>
      <c r="M903" s="3" t="n">
        <v>57</v>
      </c>
      <c r="N903" s="1" t="n">
        <v>7</v>
      </c>
      <c r="O903" s="1" t="n">
        <v>0</v>
      </c>
    </row>
    <row r="904" customFormat="false" ht="14.25" hidden="false" customHeight="false" outlineLevel="0" collapsed="false">
      <c r="A904" s="1" t="n">
        <v>72</v>
      </c>
      <c r="B904" s="1" t="s">
        <v>684</v>
      </c>
      <c r="C904" s="1" t="s">
        <v>685</v>
      </c>
      <c r="D904" s="1" t="n">
        <v>21296</v>
      </c>
      <c r="E904" s="1" t="s">
        <v>57</v>
      </c>
      <c r="F904" s="201" t="n">
        <v>200025889226</v>
      </c>
      <c r="G904" s="198" t="s">
        <v>610</v>
      </c>
      <c r="H904" s="163" t="s">
        <v>486</v>
      </c>
      <c r="I904" s="161" t="n">
        <v>69</v>
      </c>
      <c r="J904" s="156" t="s">
        <v>192</v>
      </c>
      <c r="K904" s="200" t="n">
        <v>45454.3158333333</v>
      </c>
      <c r="L904" s="3" t="n">
        <v>57</v>
      </c>
      <c r="M904" s="3" t="n">
        <v>57</v>
      </c>
      <c r="N904" s="1" t="n">
        <v>8</v>
      </c>
      <c r="O904" s="1" t="n">
        <v>1</v>
      </c>
    </row>
    <row r="905" customFormat="false" ht="14.25" hidden="false" customHeight="false" outlineLevel="0" collapsed="false">
      <c r="A905" s="1" t="n">
        <v>73</v>
      </c>
      <c r="B905" s="1" t="s">
        <v>684</v>
      </c>
      <c r="C905" s="1" t="s">
        <v>685</v>
      </c>
      <c r="D905" s="1" t="n">
        <v>21296</v>
      </c>
      <c r="E905" s="1" t="s">
        <v>57</v>
      </c>
      <c r="F905" s="201" t="n">
        <v>200025889226</v>
      </c>
      <c r="G905" s="198" t="s">
        <v>610</v>
      </c>
      <c r="H905" s="163" t="s">
        <v>486</v>
      </c>
      <c r="I905" s="161" t="n">
        <v>69</v>
      </c>
      <c r="J905" s="156" t="s">
        <v>192</v>
      </c>
      <c r="K905" s="200" t="n">
        <v>45454.3456365741</v>
      </c>
      <c r="L905" s="3" t="n">
        <v>57</v>
      </c>
      <c r="M905" s="3" t="n">
        <v>57</v>
      </c>
      <c r="N905" s="1" t="n">
        <v>9</v>
      </c>
      <c r="O905" s="1" t="n">
        <v>0</v>
      </c>
    </row>
    <row r="906" customFormat="false" ht="14.25" hidden="false" customHeight="false" outlineLevel="0" collapsed="false">
      <c r="A906" s="1" t="n">
        <v>74</v>
      </c>
      <c r="B906" s="1" t="s">
        <v>684</v>
      </c>
      <c r="C906" s="1" t="s">
        <v>685</v>
      </c>
      <c r="D906" s="1" t="n">
        <v>21296</v>
      </c>
      <c r="E906" s="1" t="s">
        <v>57</v>
      </c>
      <c r="F906" s="201" t="n">
        <v>200025889226</v>
      </c>
      <c r="G906" s="198" t="s">
        <v>610</v>
      </c>
      <c r="H906" s="163" t="s">
        <v>486</v>
      </c>
      <c r="I906" s="161" t="n">
        <v>69</v>
      </c>
      <c r="J906" s="156" t="s">
        <v>192</v>
      </c>
      <c r="K906" s="200" t="n">
        <v>45454.3456481482</v>
      </c>
      <c r="L906" s="3" t="n">
        <v>57</v>
      </c>
      <c r="M906" s="3" t="n">
        <v>57</v>
      </c>
      <c r="N906" s="1" t="n">
        <v>10</v>
      </c>
      <c r="O906" s="1" t="n">
        <v>1</v>
      </c>
    </row>
    <row r="907" customFormat="false" ht="14.25" hidden="false" customHeight="false" outlineLevel="0" collapsed="false">
      <c r="A907" s="1" t="n">
        <v>129</v>
      </c>
      <c r="B907" s="1" t="s">
        <v>624</v>
      </c>
      <c r="C907" s="1" t="s">
        <v>625</v>
      </c>
      <c r="D907" s="1" t="n">
        <v>21261</v>
      </c>
      <c r="E907" s="1" t="s">
        <v>57</v>
      </c>
      <c r="F907" s="201" t="n">
        <v>200025888272</v>
      </c>
      <c r="G907" s="198" t="s">
        <v>711</v>
      </c>
      <c r="H907" s="163" t="s">
        <v>300</v>
      </c>
      <c r="I907" s="161" t="n">
        <v>57</v>
      </c>
      <c r="J907" s="156" t="s">
        <v>192</v>
      </c>
      <c r="K907" s="200" t="n">
        <v>45435.1253819445</v>
      </c>
      <c r="L907" s="3" t="n">
        <v>58</v>
      </c>
      <c r="M907" s="3" t="n">
        <v>58</v>
      </c>
      <c r="N907" s="1" t="n">
        <v>1</v>
      </c>
      <c r="O907" s="1" t="n">
        <v>1</v>
      </c>
    </row>
    <row r="908" customFormat="false" ht="14.25" hidden="false" customHeight="false" outlineLevel="0" collapsed="false">
      <c r="A908" s="1" t="n">
        <v>130</v>
      </c>
      <c r="B908" s="1" t="s">
        <v>624</v>
      </c>
      <c r="C908" s="1" t="s">
        <v>625</v>
      </c>
      <c r="D908" s="1" t="n">
        <v>21261</v>
      </c>
      <c r="E908" s="1" t="s">
        <v>57</v>
      </c>
      <c r="F908" s="201" t="n">
        <v>200025888272</v>
      </c>
      <c r="G908" s="198" t="s">
        <v>711</v>
      </c>
      <c r="H908" s="163" t="s">
        <v>300</v>
      </c>
      <c r="I908" s="161" t="n">
        <v>57</v>
      </c>
      <c r="J908" s="156" t="s">
        <v>192</v>
      </c>
      <c r="K908" s="200" t="n">
        <v>45435.1267592593</v>
      </c>
      <c r="L908" s="3" t="n">
        <v>58</v>
      </c>
      <c r="M908" s="3" t="n">
        <v>58</v>
      </c>
      <c r="N908" s="1" t="n">
        <v>2</v>
      </c>
      <c r="O908" s="1" t="n">
        <v>4</v>
      </c>
    </row>
    <row r="909" customFormat="false" ht="14.25" hidden="false" customHeight="false" outlineLevel="0" collapsed="false">
      <c r="A909" s="1" t="n">
        <v>131</v>
      </c>
      <c r="B909" s="1" t="s">
        <v>624</v>
      </c>
      <c r="C909" s="1" t="s">
        <v>625</v>
      </c>
      <c r="D909" s="1" t="n">
        <v>21261</v>
      </c>
      <c r="E909" s="1" t="s">
        <v>57</v>
      </c>
      <c r="F909" s="201" t="n">
        <v>200025888272</v>
      </c>
      <c r="G909" s="198" t="s">
        <v>711</v>
      </c>
      <c r="H909" s="163" t="s">
        <v>300</v>
      </c>
      <c r="I909" s="161" t="n">
        <v>57</v>
      </c>
      <c r="J909" s="156" t="s">
        <v>192</v>
      </c>
      <c r="K909" s="200" t="n">
        <v>45435.1268055556</v>
      </c>
      <c r="L909" s="3" t="n">
        <v>58</v>
      </c>
      <c r="M909" s="3" t="n">
        <v>58</v>
      </c>
      <c r="N909" s="1" t="n">
        <v>3</v>
      </c>
      <c r="O909" s="1" t="n">
        <v>1</v>
      </c>
    </row>
    <row r="910" customFormat="false" ht="14.25" hidden="false" customHeight="false" outlineLevel="0" collapsed="false">
      <c r="A910" s="1" t="n">
        <v>134</v>
      </c>
      <c r="B910" s="1" t="s">
        <v>624</v>
      </c>
      <c r="C910" s="1" t="s">
        <v>625</v>
      </c>
      <c r="D910" s="1" t="n">
        <v>21261</v>
      </c>
      <c r="E910" s="1" t="s">
        <v>57</v>
      </c>
      <c r="F910" s="201" t="n">
        <v>200025889101</v>
      </c>
      <c r="G910" s="198" t="s">
        <v>600</v>
      </c>
      <c r="H910" s="163" t="s">
        <v>236</v>
      </c>
      <c r="I910" s="161" t="n">
        <v>7</v>
      </c>
      <c r="J910" s="156" t="s">
        <v>192</v>
      </c>
      <c r="K910" s="200" t="n">
        <v>45435.2269560185</v>
      </c>
      <c r="L910" s="3" t="n">
        <v>59</v>
      </c>
      <c r="M910" s="3" t="n">
        <v>59</v>
      </c>
      <c r="N910" s="1" t="n">
        <v>1</v>
      </c>
      <c r="O910" s="1" t="n">
        <v>2</v>
      </c>
    </row>
    <row r="911" customFormat="false" ht="14.25" hidden="false" customHeight="false" outlineLevel="0" collapsed="false">
      <c r="A911" s="1" t="n">
        <v>135</v>
      </c>
      <c r="B911" s="1" t="s">
        <v>624</v>
      </c>
      <c r="C911" s="1" t="s">
        <v>625</v>
      </c>
      <c r="D911" s="1" t="n">
        <v>21261</v>
      </c>
      <c r="E911" s="1" t="s">
        <v>57</v>
      </c>
      <c r="F911" s="201" t="n">
        <v>200025889101</v>
      </c>
      <c r="G911" s="198" t="s">
        <v>600</v>
      </c>
      <c r="H911" s="163" t="s">
        <v>236</v>
      </c>
      <c r="I911" s="161" t="n">
        <v>7</v>
      </c>
      <c r="J911" s="156" t="s">
        <v>192</v>
      </c>
      <c r="K911" s="200" t="n">
        <v>45435.2279398148</v>
      </c>
      <c r="L911" s="3" t="n">
        <v>59</v>
      </c>
      <c r="M911" s="3" t="n">
        <v>59</v>
      </c>
      <c r="N911" s="1" t="n">
        <v>2</v>
      </c>
      <c r="O911" s="1" t="n">
        <v>3</v>
      </c>
    </row>
    <row r="912" customFormat="false" ht="14.25" hidden="false" customHeight="false" outlineLevel="0" collapsed="false">
      <c r="A912" s="1" t="n">
        <v>138</v>
      </c>
      <c r="B912" s="1" t="s">
        <v>624</v>
      </c>
      <c r="C912" s="1" t="s">
        <v>625</v>
      </c>
      <c r="D912" s="1" t="n">
        <v>21261</v>
      </c>
      <c r="E912" s="1" t="s">
        <v>57</v>
      </c>
      <c r="F912" s="201" t="n">
        <v>200025889101</v>
      </c>
      <c r="G912" s="198" t="s">
        <v>600</v>
      </c>
      <c r="H912" s="163" t="s">
        <v>236</v>
      </c>
      <c r="I912" s="161" t="n">
        <v>7</v>
      </c>
      <c r="J912" s="156" t="s">
        <v>192</v>
      </c>
      <c r="K912" s="200" t="n">
        <v>45435.2299189815</v>
      </c>
      <c r="L912" s="3" t="n">
        <v>59</v>
      </c>
      <c r="M912" s="3" t="n">
        <v>59</v>
      </c>
      <c r="N912" s="1" t="n">
        <v>3</v>
      </c>
      <c r="O912" s="1" t="n">
        <v>2</v>
      </c>
    </row>
    <row r="913" customFormat="false" ht="14.25" hidden="false" customHeight="false" outlineLevel="0" collapsed="false">
      <c r="A913" s="1" t="n">
        <v>104</v>
      </c>
      <c r="B913" s="1" t="s">
        <v>565</v>
      </c>
      <c r="C913" s="1" t="s">
        <v>566</v>
      </c>
      <c r="D913" s="196" t="n">
        <v>2568</v>
      </c>
      <c r="E913" s="196" t="s">
        <v>51</v>
      </c>
      <c r="F913" s="197" t="s">
        <v>599</v>
      </c>
      <c r="G913" s="198" t="s">
        <v>600</v>
      </c>
      <c r="H913" s="163" t="s">
        <v>236</v>
      </c>
      <c r="I913" s="161" t="n">
        <v>7</v>
      </c>
      <c r="J913" s="156" t="s">
        <v>192</v>
      </c>
      <c r="K913" s="199" t="n">
        <v>45435.7126851852</v>
      </c>
      <c r="L913" s="3" t="n">
        <v>59</v>
      </c>
      <c r="M913" s="3" t="n">
        <v>59</v>
      </c>
      <c r="N913" s="1" t="n">
        <v>4</v>
      </c>
      <c r="O913" s="1" t="n">
        <v>1</v>
      </c>
    </row>
    <row r="914" customFormat="false" ht="14.25" hidden="false" customHeight="false" outlineLevel="0" collapsed="false">
      <c r="A914" s="1" t="n">
        <v>108</v>
      </c>
      <c r="B914" s="1" t="s">
        <v>565</v>
      </c>
      <c r="C914" s="1" t="s">
        <v>566</v>
      </c>
      <c r="D914" s="196" t="n">
        <v>2568</v>
      </c>
      <c r="E914" s="196" t="s">
        <v>51</v>
      </c>
      <c r="F914" s="197" t="s">
        <v>599</v>
      </c>
      <c r="G914" s="198" t="s">
        <v>600</v>
      </c>
      <c r="H914" s="163" t="s">
        <v>236</v>
      </c>
      <c r="I914" s="161" t="n">
        <v>7</v>
      </c>
      <c r="J914" s="156" t="s">
        <v>192</v>
      </c>
      <c r="K914" s="199" t="n">
        <v>45435.7821412037</v>
      </c>
      <c r="L914" s="3" t="n">
        <v>59</v>
      </c>
      <c r="M914" s="3" t="n">
        <v>59</v>
      </c>
      <c r="N914" s="1" t="n">
        <v>5</v>
      </c>
      <c r="O914" s="1" t="n">
        <v>1</v>
      </c>
    </row>
    <row r="915" customFormat="false" ht="14.25" hidden="false" customHeight="false" outlineLevel="0" collapsed="false">
      <c r="A915" s="1" t="n">
        <v>115</v>
      </c>
      <c r="B915" s="1" t="s">
        <v>565</v>
      </c>
      <c r="C915" s="1" t="s">
        <v>566</v>
      </c>
      <c r="D915" s="196" t="n">
        <v>2568</v>
      </c>
      <c r="E915" s="196" t="s">
        <v>51</v>
      </c>
      <c r="F915" s="197" t="s">
        <v>599</v>
      </c>
      <c r="G915" s="198" t="s">
        <v>600</v>
      </c>
      <c r="H915" s="163" t="s">
        <v>236</v>
      </c>
      <c r="I915" s="161" t="n">
        <v>7</v>
      </c>
      <c r="J915" s="156" t="s">
        <v>192</v>
      </c>
      <c r="K915" s="199" t="n">
        <v>45435.8270023148</v>
      </c>
      <c r="L915" s="3" t="n">
        <v>59</v>
      </c>
      <c r="M915" s="3" t="n">
        <v>59</v>
      </c>
      <c r="N915" s="1" t="n">
        <v>6</v>
      </c>
      <c r="O915" s="1" t="n">
        <v>2</v>
      </c>
    </row>
    <row r="916" customFormat="false" ht="14.25" hidden="false" customHeight="false" outlineLevel="0" collapsed="false">
      <c r="A916" s="1" t="n">
        <v>116</v>
      </c>
      <c r="B916" s="1" t="s">
        <v>565</v>
      </c>
      <c r="C916" s="1" t="s">
        <v>566</v>
      </c>
      <c r="D916" s="196" t="n">
        <v>2568</v>
      </c>
      <c r="E916" s="196" t="s">
        <v>51</v>
      </c>
      <c r="F916" s="197" t="s">
        <v>599</v>
      </c>
      <c r="G916" s="198" t="s">
        <v>600</v>
      </c>
      <c r="H916" s="163" t="s">
        <v>236</v>
      </c>
      <c r="I916" s="161" t="n">
        <v>7</v>
      </c>
      <c r="J916" s="156" t="s">
        <v>192</v>
      </c>
      <c r="K916" s="199" t="n">
        <v>45435.8293518519</v>
      </c>
      <c r="L916" s="3" t="n">
        <v>59</v>
      </c>
      <c r="M916" s="3" t="n">
        <v>59</v>
      </c>
      <c r="N916" s="1" t="n">
        <v>7</v>
      </c>
      <c r="O916" s="1" t="n">
        <v>0</v>
      </c>
    </row>
    <row r="917" customFormat="false" ht="14.25" hidden="false" customHeight="false" outlineLevel="0" collapsed="false">
      <c r="A917" s="1" t="n">
        <v>119</v>
      </c>
      <c r="B917" s="1" t="s">
        <v>565</v>
      </c>
      <c r="C917" s="1" t="s">
        <v>566</v>
      </c>
      <c r="D917" s="196" t="n">
        <v>2568</v>
      </c>
      <c r="E917" s="196" t="s">
        <v>51</v>
      </c>
      <c r="F917" s="197" t="s">
        <v>599</v>
      </c>
      <c r="G917" s="198" t="s">
        <v>600</v>
      </c>
      <c r="H917" s="163" t="s">
        <v>236</v>
      </c>
      <c r="I917" s="161" t="n">
        <v>7</v>
      </c>
      <c r="J917" s="156" t="s">
        <v>192</v>
      </c>
      <c r="K917" s="199" t="n">
        <v>45435.8383449074</v>
      </c>
      <c r="L917" s="3" t="n">
        <v>59</v>
      </c>
      <c r="M917" s="3" t="n">
        <v>59</v>
      </c>
      <c r="N917" s="1" t="n">
        <v>8</v>
      </c>
      <c r="O917" s="1" t="n">
        <v>0</v>
      </c>
    </row>
    <row r="918" customFormat="false" ht="14.25" hidden="false" customHeight="false" outlineLevel="0" collapsed="false">
      <c r="A918" s="1" t="n">
        <v>121</v>
      </c>
      <c r="B918" s="1" t="s">
        <v>565</v>
      </c>
      <c r="C918" s="1" t="s">
        <v>566</v>
      </c>
      <c r="D918" s="196" t="n">
        <v>2568</v>
      </c>
      <c r="E918" s="196" t="s">
        <v>51</v>
      </c>
      <c r="F918" s="197" t="s">
        <v>599</v>
      </c>
      <c r="G918" s="198" t="s">
        <v>600</v>
      </c>
      <c r="H918" s="163" t="s">
        <v>236</v>
      </c>
      <c r="I918" s="161" t="n">
        <v>7</v>
      </c>
      <c r="J918" s="156" t="s">
        <v>192</v>
      </c>
      <c r="K918" s="199" t="n">
        <v>45435.8514236111</v>
      </c>
      <c r="L918" s="3" t="n">
        <v>59</v>
      </c>
      <c r="M918" s="3" t="n">
        <v>59</v>
      </c>
      <c r="N918" s="1" t="n">
        <v>9</v>
      </c>
      <c r="O918" s="1" t="n">
        <v>0</v>
      </c>
    </row>
    <row r="919" customFormat="false" ht="14.25" hidden="false" customHeight="false" outlineLevel="0" collapsed="false">
      <c r="A919" s="1" t="n">
        <v>124</v>
      </c>
      <c r="B919" s="1" t="s">
        <v>565</v>
      </c>
      <c r="C919" s="1" t="s">
        <v>566</v>
      </c>
      <c r="D919" s="196" t="n">
        <v>2568</v>
      </c>
      <c r="E919" s="196" t="s">
        <v>51</v>
      </c>
      <c r="F919" s="197" t="s">
        <v>599</v>
      </c>
      <c r="G919" s="198" t="s">
        <v>600</v>
      </c>
      <c r="H919" s="163" t="s">
        <v>236</v>
      </c>
      <c r="I919" s="161" t="n">
        <v>7</v>
      </c>
      <c r="J919" s="156" t="s">
        <v>192</v>
      </c>
      <c r="K919" s="199" t="n">
        <v>45435.8567361111</v>
      </c>
      <c r="L919" s="3" t="n">
        <v>59</v>
      </c>
      <c r="M919" s="3" t="n">
        <v>59</v>
      </c>
      <c r="N919" s="1" t="n">
        <v>10</v>
      </c>
      <c r="O919" s="1" t="n">
        <v>0</v>
      </c>
    </row>
    <row r="920" customFormat="false" ht="14.25" hidden="false" customHeight="false" outlineLevel="0" collapsed="false">
      <c r="A920" s="1" t="n">
        <v>125</v>
      </c>
      <c r="B920" s="1" t="s">
        <v>565</v>
      </c>
      <c r="C920" s="1" t="s">
        <v>566</v>
      </c>
      <c r="D920" s="196" t="n">
        <v>2568</v>
      </c>
      <c r="E920" s="196" t="s">
        <v>51</v>
      </c>
      <c r="F920" s="197" t="s">
        <v>599</v>
      </c>
      <c r="G920" s="198" t="s">
        <v>600</v>
      </c>
      <c r="H920" s="163" t="s">
        <v>236</v>
      </c>
      <c r="I920" s="161" t="n">
        <v>7</v>
      </c>
      <c r="J920" s="156" t="s">
        <v>192</v>
      </c>
      <c r="K920" s="199" t="n">
        <v>45435.8567476852</v>
      </c>
      <c r="L920" s="3" t="n">
        <v>59</v>
      </c>
      <c r="M920" s="3" t="n">
        <v>59</v>
      </c>
      <c r="N920" s="1" t="n">
        <v>11</v>
      </c>
      <c r="O920" s="1" t="n">
        <v>0</v>
      </c>
    </row>
    <row r="921" customFormat="false" ht="14.25" hidden="false" customHeight="false" outlineLevel="0" collapsed="false">
      <c r="A921" s="1" t="n">
        <v>127</v>
      </c>
      <c r="B921" s="1" t="s">
        <v>565</v>
      </c>
      <c r="C921" s="1" t="s">
        <v>566</v>
      </c>
      <c r="D921" s="196" t="n">
        <v>2568</v>
      </c>
      <c r="E921" s="196" t="s">
        <v>51</v>
      </c>
      <c r="F921" s="197" t="s">
        <v>599</v>
      </c>
      <c r="G921" s="198" t="s">
        <v>600</v>
      </c>
      <c r="H921" s="163" t="s">
        <v>236</v>
      </c>
      <c r="I921" s="161" t="n">
        <v>7</v>
      </c>
      <c r="J921" s="156" t="s">
        <v>192</v>
      </c>
      <c r="K921" s="199" t="n">
        <v>45435.8660300926</v>
      </c>
      <c r="L921" s="3" t="n">
        <v>59</v>
      </c>
      <c r="M921" s="3" t="n">
        <v>59</v>
      </c>
      <c r="N921" s="1" t="n">
        <v>12</v>
      </c>
      <c r="O921" s="1" t="n">
        <v>1</v>
      </c>
    </row>
    <row r="922" customFormat="false" ht="14.25" hidden="false" customHeight="false" outlineLevel="0" collapsed="false">
      <c r="A922" s="1" t="n">
        <v>128</v>
      </c>
      <c r="B922" s="1" t="s">
        <v>565</v>
      </c>
      <c r="C922" s="1" t="s">
        <v>566</v>
      </c>
      <c r="D922" s="196" t="n">
        <v>2568</v>
      </c>
      <c r="E922" s="196" t="s">
        <v>51</v>
      </c>
      <c r="F922" s="197" t="s">
        <v>599</v>
      </c>
      <c r="G922" s="198" t="s">
        <v>600</v>
      </c>
      <c r="H922" s="163" t="s">
        <v>236</v>
      </c>
      <c r="I922" s="161" t="n">
        <v>7</v>
      </c>
      <c r="J922" s="156" t="s">
        <v>192</v>
      </c>
      <c r="K922" s="199" t="n">
        <v>45435.8660416667</v>
      </c>
      <c r="L922" s="3" t="n">
        <v>59</v>
      </c>
      <c r="M922" s="3" t="n">
        <v>59</v>
      </c>
      <c r="N922" s="1" t="n">
        <v>13</v>
      </c>
      <c r="O922" s="1" t="n">
        <v>1</v>
      </c>
    </row>
    <row r="923" customFormat="false" ht="14.25" hidden="false" customHeight="false" outlineLevel="0" collapsed="false">
      <c r="A923" s="1" t="n">
        <v>129</v>
      </c>
      <c r="B923" s="1" t="s">
        <v>565</v>
      </c>
      <c r="C923" s="1" t="s">
        <v>566</v>
      </c>
      <c r="D923" s="196" t="n">
        <v>2568</v>
      </c>
      <c r="E923" s="196" t="s">
        <v>51</v>
      </c>
      <c r="F923" s="197" t="s">
        <v>599</v>
      </c>
      <c r="G923" s="198" t="s">
        <v>600</v>
      </c>
      <c r="H923" s="163" t="s">
        <v>236</v>
      </c>
      <c r="I923" s="161" t="n">
        <v>7</v>
      </c>
      <c r="J923" s="156" t="s">
        <v>192</v>
      </c>
      <c r="K923" s="199" t="n">
        <v>45435.8670833333</v>
      </c>
      <c r="L923" s="3" t="n">
        <v>59</v>
      </c>
      <c r="M923" s="3" t="n">
        <v>59</v>
      </c>
      <c r="N923" s="1" t="n">
        <v>14</v>
      </c>
      <c r="O923" s="1" t="n">
        <v>0</v>
      </c>
    </row>
    <row r="924" customFormat="false" ht="14.25" hidden="false" customHeight="false" outlineLevel="0" collapsed="false">
      <c r="A924" s="1" t="n">
        <v>130</v>
      </c>
      <c r="B924" s="1" t="s">
        <v>565</v>
      </c>
      <c r="C924" s="1" t="s">
        <v>566</v>
      </c>
      <c r="D924" s="196" t="n">
        <v>2568</v>
      </c>
      <c r="E924" s="196" t="s">
        <v>51</v>
      </c>
      <c r="F924" s="197" t="s">
        <v>599</v>
      </c>
      <c r="G924" s="198" t="s">
        <v>600</v>
      </c>
      <c r="H924" s="163" t="s">
        <v>236</v>
      </c>
      <c r="I924" s="161" t="n">
        <v>7</v>
      </c>
      <c r="J924" s="156" t="s">
        <v>192</v>
      </c>
      <c r="K924" s="199" t="n">
        <v>45435.8671064815</v>
      </c>
      <c r="L924" s="3" t="n">
        <v>59</v>
      </c>
      <c r="M924" s="3" t="n">
        <v>59</v>
      </c>
      <c r="N924" s="1" t="n">
        <v>15</v>
      </c>
      <c r="O924" s="1" t="n">
        <v>0</v>
      </c>
    </row>
    <row r="925" customFormat="false" ht="14.25" hidden="false" customHeight="false" outlineLevel="0" collapsed="false">
      <c r="A925" s="1" t="n">
        <v>131</v>
      </c>
      <c r="B925" s="1" t="s">
        <v>565</v>
      </c>
      <c r="C925" s="1" t="s">
        <v>566</v>
      </c>
      <c r="D925" s="196" t="n">
        <v>2568</v>
      </c>
      <c r="E925" s="196" t="s">
        <v>51</v>
      </c>
      <c r="F925" s="197" t="s">
        <v>599</v>
      </c>
      <c r="G925" s="198" t="s">
        <v>600</v>
      </c>
      <c r="H925" s="163" t="s">
        <v>236</v>
      </c>
      <c r="I925" s="161" t="n">
        <v>7</v>
      </c>
      <c r="J925" s="156" t="s">
        <v>192</v>
      </c>
      <c r="K925" s="199" t="n">
        <v>45435.8700115741</v>
      </c>
      <c r="L925" s="3" t="n">
        <v>59</v>
      </c>
      <c r="M925" s="3" t="n">
        <v>59</v>
      </c>
      <c r="N925" s="1" t="n">
        <v>16</v>
      </c>
      <c r="O925" s="1" t="n">
        <v>1</v>
      </c>
    </row>
    <row r="926" customFormat="false" ht="14.25" hidden="false" customHeight="false" outlineLevel="0" collapsed="false">
      <c r="A926" s="1" t="n">
        <v>139</v>
      </c>
      <c r="B926" s="1" t="s">
        <v>624</v>
      </c>
      <c r="C926" s="1" t="s">
        <v>625</v>
      </c>
      <c r="D926" s="1" t="n">
        <v>21261</v>
      </c>
      <c r="E926" s="1" t="s">
        <v>57</v>
      </c>
      <c r="F926" s="201" t="n">
        <v>200025888980</v>
      </c>
      <c r="G926" s="198" t="s">
        <v>584</v>
      </c>
      <c r="H926" s="163" t="s">
        <v>303</v>
      </c>
      <c r="I926" s="161" t="n">
        <v>16</v>
      </c>
      <c r="J926" s="156" t="s">
        <v>192</v>
      </c>
      <c r="K926" s="200" t="n">
        <v>45435.2303472222</v>
      </c>
      <c r="L926" s="3" t="n">
        <v>60</v>
      </c>
      <c r="M926" s="3" t="n">
        <v>60</v>
      </c>
      <c r="N926" s="1" t="n">
        <v>1</v>
      </c>
      <c r="O926" s="1" t="n">
        <v>3</v>
      </c>
    </row>
    <row r="927" customFormat="false" ht="14.25" hidden="false" customHeight="false" outlineLevel="0" collapsed="false">
      <c r="A927" s="1" t="n">
        <v>140</v>
      </c>
      <c r="B927" s="1" t="s">
        <v>624</v>
      </c>
      <c r="C927" s="1" t="s">
        <v>625</v>
      </c>
      <c r="D927" s="1" t="n">
        <v>21261</v>
      </c>
      <c r="E927" s="1" t="s">
        <v>57</v>
      </c>
      <c r="F927" s="201" t="n">
        <v>200025888980</v>
      </c>
      <c r="G927" s="198" t="s">
        <v>584</v>
      </c>
      <c r="H927" s="163" t="s">
        <v>303</v>
      </c>
      <c r="I927" s="161" t="n">
        <v>16</v>
      </c>
      <c r="J927" s="156" t="s">
        <v>192</v>
      </c>
      <c r="K927" s="200" t="n">
        <v>45435.2309027778</v>
      </c>
      <c r="L927" s="3" t="n">
        <v>60</v>
      </c>
      <c r="M927" s="3" t="n">
        <v>60</v>
      </c>
      <c r="N927" s="1" t="n">
        <v>2</v>
      </c>
      <c r="O927" s="1" t="n">
        <v>1</v>
      </c>
    </row>
    <row r="928" customFormat="false" ht="14.25" hidden="false" customHeight="false" outlineLevel="0" collapsed="false">
      <c r="A928" s="1" t="n">
        <v>141</v>
      </c>
      <c r="B928" s="1" t="s">
        <v>624</v>
      </c>
      <c r="C928" s="1" t="s">
        <v>625</v>
      </c>
      <c r="D928" s="1" t="n">
        <v>21261</v>
      </c>
      <c r="E928" s="1" t="s">
        <v>57</v>
      </c>
      <c r="F928" s="201" t="n">
        <v>200025888980</v>
      </c>
      <c r="G928" s="198" t="s">
        <v>584</v>
      </c>
      <c r="H928" s="163" t="s">
        <v>303</v>
      </c>
      <c r="I928" s="161" t="n">
        <v>16</v>
      </c>
      <c r="J928" s="156" t="s">
        <v>192</v>
      </c>
      <c r="K928" s="200" t="n">
        <v>45435.2320601852</v>
      </c>
      <c r="L928" s="3" t="n">
        <v>60</v>
      </c>
      <c r="M928" s="3" t="n">
        <v>60</v>
      </c>
      <c r="N928" s="1" t="n">
        <v>3</v>
      </c>
      <c r="O928" s="1" t="n">
        <v>2</v>
      </c>
    </row>
    <row r="929" customFormat="false" ht="14.25" hidden="false" customHeight="false" outlineLevel="0" collapsed="false">
      <c r="A929" s="1" t="n">
        <v>76</v>
      </c>
      <c r="B929" s="1" t="s">
        <v>565</v>
      </c>
      <c r="C929" s="1" t="s">
        <v>566</v>
      </c>
      <c r="D929" s="196" t="n">
        <v>2568</v>
      </c>
      <c r="E929" s="196" t="s">
        <v>51</v>
      </c>
      <c r="F929" s="197" t="s">
        <v>583</v>
      </c>
      <c r="G929" s="198" t="s">
        <v>584</v>
      </c>
      <c r="H929" s="163" t="s">
        <v>303</v>
      </c>
      <c r="I929" s="161" t="n">
        <v>16</v>
      </c>
      <c r="J929" s="156" t="s">
        <v>192</v>
      </c>
      <c r="K929" s="199" t="n">
        <v>45435.6150810185</v>
      </c>
      <c r="L929" s="3" t="n">
        <v>60</v>
      </c>
      <c r="M929" s="3" t="n">
        <v>60</v>
      </c>
      <c r="N929" s="1" t="n">
        <v>4</v>
      </c>
      <c r="O929" s="1" t="n">
        <v>1</v>
      </c>
    </row>
    <row r="930" customFormat="false" ht="14.25" hidden="false" customHeight="false" outlineLevel="0" collapsed="false">
      <c r="A930" s="1" t="n">
        <v>77</v>
      </c>
      <c r="B930" s="1" t="s">
        <v>565</v>
      </c>
      <c r="C930" s="1" t="s">
        <v>566</v>
      </c>
      <c r="D930" s="196" t="n">
        <v>2568</v>
      </c>
      <c r="E930" s="196" t="s">
        <v>51</v>
      </c>
      <c r="F930" s="197" t="s">
        <v>583</v>
      </c>
      <c r="G930" s="198" t="s">
        <v>584</v>
      </c>
      <c r="H930" s="163" t="s">
        <v>303</v>
      </c>
      <c r="I930" s="161" t="n">
        <v>16</v>
      </c>
      <c r="J930" s="156" t="s">
        <v>192</v>
      </c>
      <c r="K930" s="199" t="n">
        <v>45435.6150925926</v>
      </c>
      <c r="L930" s="3" t="n">
        <v>60</v>
      </c>
      <c r="M930" s="3" t="n">
        <v>60</v>
      </c>
      <c r="N930" s="1" t="n">
        <v>5</v>
      </c>
      <c r="O930" s="1" t="n">
        <v>1</v>
      </c>
    </row>
    <row r="931" customFormat="false" ht="14.25" hidden="false" customHeight="false" outlineLevel="0" collapsed="false">
      <c r="A931" s="1" t="n">
        <v>143</v>
      </c>
      <c r="B931" s="1" t="s">
        <v>624</v>
      </c>
      <c r="C931" s="1" t="s">
        <v>625</v>
      </c>
      <c r="D931" s="1" t="n">
        <v>21261</v>
      </c>
      <c r="E931" s="1" t="s">
        <v>57</v>
      </c>
      <c r="F931" s="201" t="n">
        <v>200025888763</v>
      </c>
      <c r="G931" s="198" t="s">
        <v>712</v>
      </c>
      <c r="H931" s="163" t="s">
        <v>436</v>
      </c>
      <c r="I931" s="161" t="n">
        <v>59</v>
      </c>
      <c r="J931" s="156" t="s">
        <v>192</v>
      </c>
      <c r="K931" s="200" t="n">
        <v>45435.2347685185</v>
      </c>
      <c r="L931" s="3" t="n">
        <v>61</v>
      </c>
      <c r="M931" s="3" t="n">
        <v>61</v>
      </c>
      <c r="N931" s="1" t="n">
        <v>1</v>
      </c>
      <c r="O931" s="1" t="n">
        <v>0</v>
      </c>
    </row>
    <row r="932" customFormat="false" ht="14.25" hidden="false" customHeight="false" outlineLevel="0" collapsed="false">
      <c r="A932" s="1" t="n">
        <v>152</v>
      </c>
      <c r="B932" s="1" t="s">
        <v>624</v>
      </c>
      <c r="C932" s="1" t="s">
        <v>625</v>
      </c>
      <c r="D932" s="1" t="n">
        <v>21261</v>
      </c>
      <c r="E932" s="1" t="s">
        <v>57</v>
      </c>
      <c r="F932" s="201" t="n">
        <v>200025888777</v>
      </c>
      <c r="G932" s="198" t="s">
        <v>713</v>
      </c>
      <c r="H932" s="163" t="s">
        <v>439</v>
      </c>
      <c r="I932" s="161" t="n">
        <v>66</v>
      </c>
      <c r="J932" s="156" t="s">
        <v>192</v>
      </c>
      <c r="K932" s="200" t="n">
        <v>45435.2406944444</v>
      </c>
      <c r="L932" s="3" t="n">
        <v>62</v>
      </c>
      <c r="M932" s="3" t="n">
        <v>62</v>
      </c>
      <c r="N932" s="1" t="n">
        <v>1</v>
      </c>
      <c r="O932" s="1" t="n">
        <v>1</v>
      </c>
    </row>
    <row r="933" customFormat="false" ht="14.25" hidden="false" customHeight="false" outlineLevel="0" collapsed="false">
      <c r="A933" s="1" t="n">
        <v>153</v>
      </c>
      <c r="B933" s="1" t="s">
        <v>624</v>
      </c>
      <c r="C933" s="1" t="s">
        <v>625</v>
      </c>
      <c r="D933" s="1" t="n">
        <v>21261</v>
      </c>
      <c r="E933" s="1" t="s">
        <v>57</v>
      </c>
      <c r="F933" s="201" t="n">
        <v>200025888777</v>
      </c>
      <c r="G933" s="198" t="s">
        <v>713</v>
      </c>
      <c r="H933" s="163" t="s">
        <v>439</v>
      </c>
      <c r="I933" s="161" t="n">
        <v>66</v>
      </c>
      <c r="J933" s="156" t="s">
        <v>192</v>
      </c>
      <c r="K933" s="200" t="n">
        <v>45435.2407060185</v>
      </c>
      <c r="L933" s="3" t="n">
        <v>62</v>
      </c>
      <c r="M933" s="3" t="n">
        <v>62</v>
      </c>
      <c r="N933" s="1" t="n">
        <v>2</v>
      </c>
      <c r="O933" s="1" t="n">
        <v>1</v>
      </c>
    </row>
    <row r="934" customFormat="false" ht="14.25" hidden="false" customHeight="false" outlineLevel="0" collapsed="false">
      <c r="A934" s="1" t="n">
        <v>154</v>
      </c>
      <c r="B934" s="1" t="s">
        <v>624</v>
      </c>
      <c r="C934" s="1" t="s">
        <v>625</v>
      </c>
      <c r="D934" s="1" t="n">
        <v>21261</v>
      </c>
      <c r="E934" s="1" t="s">
        <v>57</v>
      </c>
      <c r="F934" s="201" t="n">
        <v>200025889007</v>
      </c>
      <c r="G934" s="198" t="s">
        <v>594</v>
      </c>
      <c r="H934" s="163" t="s">
        <v>495</v>
      </c>
      <c r="I934" s="161" t="n">
        <v>101</v>
      </c>
      <c r="J934" s="156" t="s">
        <v>192</v>
      </c>
      <c r="K934" s="200" t="n">
        <v>45435.3076273148</v>
      </c>
      <c r="L934" s="3" t="n">
        <v>63</v>
      </c>
      <c r="M934" s="3" t="n">
        <v>63</v>
      </c>
      <c r="N934" s="1" t="n">
        <v>1</v>
      </c>
      <c r="O934" s="1" t="n">
        <v>1</v>
      </c>
    </row>
    <row r="935" customFormat="false" ht="14.25" hidden="false" customHeight="false" outlineLevel="0" collapsed="false">
      <c r="A935" s="1" t="n">
        <v>155</v>
      </c>
      <c r="B935" s="1" t="s">
        <v>624</v>
      </c>
      <c r="C935" s="1" t="s">
        <v>625</v>
      </c>
      <c r="D935" s="1" t="n">
        <v>21261</v>
      </c>
      <c r="E935" s="1" t="s">
        <v>57</v>
      </c>
      <c r="F935" s="201" t="n">
        <v>200025889007</v>
      </c>
      <c r="G935" s="198" t="s">
        <v>594</v>
      </c>
      <c r="H935" s="163" t="s">
        <v>495</v>
      </c>
      <c r="I935" s="161" t="n">
        <v>101</v>
      </c>
      <c r="J935" s="156" t="s">
        <v>192</v>
      </c>
      <c r="K935" s="200" t="n">
        <v>45435.3080324074</v>
      </c>
      <c r="L935" s="3" t="n">
        <v>63</v>
      </c>
      <c r="M935" s="3" t="n">
        <v>63</v>
      </c>
      <c r="N935" s="1" t="n">
        <v>2</v>
      </c>
      <c r="O935" s="1" t="n">
        <v>1</v>
      </c>
    </row>
    <row r="936" customFormat="false" ht="14.25" hidden="false" customHeight="false" outlineLevel="0" collapsed="false">
      <c r="A936" s="1" t="n">
        <v>156</v>
      </c>
      <c r="B936" s="1" t="s">
        <v>624</v>
      </c>
      <c r="C936" s="1" t="s">
        <v>625</v>
      </c>
      <c r="D936" s="1" t="n">
        <v>21261</v>
      </c>
      <c r="E936" s="1" t="s">
        <v>57</v>
      </c>
      <c r="F936" s="201" t="n">
        <v>200025889007</v>
      </c>
      <c r="G936" s="198" t="s">
        <v>594</v>
      </c>
      <c r="H936" s="163" t="s">
        <v>495</v>
      </c>
      <c r="I936" s="161" t="n">
        <v>101</v>
      </c>
      <c r="J936" s="156" t="s">
        <v>192</v>
      </c>
      <c r="K936" s="200" t="n">
        <v>45435.310474537</v>
      </c>
      <c r="L936" s="3" t="n">
        <v>63</v>
      </c>
      <c r="M936" s="3" t="n">
        <v>63</v>
      </c>
      <c r="N936" s="1" t="n">
        <v>3</v>
      </c>
      <c r="O936" s="1" t="n">
        <v>1</v>
      </c>
    </row>
    <row r="937" customFormat="false" ht="14.25" hidden="false" customHeight="false" outlineLevel="0" collapsed="false">
      <c r="A937" s="1" t="n">
        <v>159</v>
      </c>
      <c r="B937" s="1" t="s">
        <v>624</v>
      </c>
      <c r="C937" s="1" t="s">
        <v>625</v>
      </c>
      <c r="D937" s="1" t="n">
        <v>21261</v>
      </c>
      <c r="E937" s="1" t="s">
        <v>57</v>
      </c>
      <c r="F937" s="201" t="n">
        <v>200025889007</v>
      </c>
      <c r="G937" s="198" t="s">
        <v>594</v>
      </c>
      <c r="H937" s="163" t="s">
        <v>495</v>
      </c>
      <c r="I937" s="161" t="n">
        <v>101</v>
      </c>
      <c r="J937" s="156" t="s">
        <v>192</v>
      </c>
      <c r="K937" s="200" t="n">
        <v>45435.3266898148</v>
      </c>
      <c r="L937" s="3" t="n">
        <v>63</v>
      </c>
      <c r="M937" s="3" t="n">
        <v>63</v>
      </c>
      <c r="N937" s="1" t="n">
        <v>4</v>
      </c>
      <c r="O937" s="1" t="n">
        <v>0</v>
      </c>
    </row>
    <row r="938" customFormat="false" ht="14.25" hidden="false" customHeight="false" outlineLevel="0" collapsed="false">
      <c r="A938" s="1" t="n">
        <v>160</v>
      </c>
      <c r="B938" s="1" t="s">
        <v>624</v>
      </c>
      <c r="C938" s="1" t="s">
        <v>625</v>
      </c>
      <c r="D938" s="1" t="n">
        <v>21261</v>
      </c>
      <c r="E938" s="1" t="s">
        <v>57</v>
      </c>
      <c r="F938" s="201" t="n">
        <v>200025889007</v>
      </c>
      <c r="G938" s="198" t="s">
        <v>594</v>
      </c>
      <c r="H938" s="163" t="s">
        <v>495</v>
      </c>
      <c r="I938" s="161" t="n">
        <v>101</v>
      </c>
      <c r="J938" s="156" t="s">
        <v>192</v>
      </c>
      <c r="K938" s="200" t="n">
        <v>45435.3268981481</v>
      </c>
      <c r="L938" s="3" t="n">
        <v>63</v>
      </c>
      <c r="M938" s="3" t="n">
        <v>63</v>
      </c>
      <c r="N938" s="1" t="n">
        <v>5</v>
      </c>
      <c r="O938" s="1" t="n">
        <v>2</v>
      </c>
    </row>
    <row r="939" customFormat="false" ht="14.25" hidden="false" customHeight="false" outlineLevel="0" collapsed="false">
      <c r="A939" s="1" t="n">
        <v>161</v>
      </c>
      <c r="B939" s="1" t="s">
        <v>624</v>
      </c>
      <c r="C939" s="1" t="s">
        <v>625</v>
      </c>
      <c r="D939" s="1" t="n">
        <v>21261</v>
      </c>
      <c r="E939" s="1" t="s">
        <v>57</v>
      </c>
      <c r="F939" s="201" t="n">
        <v>200025889007</v>
      </c>
      <c r="G939" s="198" t="s">
        <v>594</v>
      </c>
      <c r="H939" s="163" t="s">
        <v>495</v>
      </c>
      <c r="I939" s="161" t="n">
        <v>101</v>
      </c>
      <c r="J939" s="156" t="s">
        <v>192</v>
      </c>
      <c r="K939" s="200" t="n">
        <v>45435.3396296296</v>
      </c>
      <c r="L939" s="3" t="n">
        <v>63</v>
      </c>
      <c r="M939" s="3" t="n">
        <v>63</v>
      </c>
      <c r="N939" s="1" t="n">
        <v>6</v>
      </c>
      <c r="O939" s="1" t="n">
        <v>4</v>
      </c>
    </row>
    <row r="940" customFormat="false" ht="14.25" hidden="false" customHeight="false" outlineLevel="0" collapsed="false">
      <c r="A940" s="1" t="n">
        <v>94</v>
      </c>
      <c r="B940" s="1" t="s">
        <v>565</v>
      </c>
      <c r="C940" s="1" t="s">
        <v>566</v>
      </c>
      <c r="D940" s="196" t="n">
        <v>2568</v>
      </c>
      <c r="E940" s="196" t="s">
        <v>51</v>
      </c>
      <c r="F940" s="197" t="s">
        <v>593</v>
      </c>
      <c r="G940" s="198" t="s">
        <v>594</v>
      </c>
      <c r="H940" s="163" t="s">
        <v>495</v>
      </c>
      <c r="I940" s="161" t="n">
        <v>101</v>
      </c>
      <c r="J940" s="156" t="s">
        <v>192</v>
      </c>
      <c r="K940" s="199" t="n">
        <v>45435.669224537</v>
      </c>
      <c r="L940" s="3" t="n">
        <v>63</v>
      </c>
      <c r="M940" s="3" t="n">
        <v>63</v>
      </c>
      <c r="N940" s="1" t="n">
        <v>7</v>
      </c>
      <c r="O940" s="1" t="n">
        <v>0</v>
      </c>
    </row>
    <row r="941" customFormat="false" ht="14.25" hidden="false" customHeight="false" outlineLevel="0" collapsed="false">
      <c r="A941" s="1" t="n">
        <v>63</v>
      </c>
      <c r="B941" s="1" t="s">
        <v>565</v>
      </c>
      <c r="C941" s="1" t="s">
        <v>566</v>
      </c>
      <c r="D941" s="196" t="n">
        <v>2568</v>
      </c>
      <c r="E941" s="196" t="s">
        <v>51</v>
      </c>
      <c r="F941" s="197" t="s">
        <v>571</v>
      </c>
      <c r="G941" s="198" t="s">
        <v>572</v>
      </c>
      <c r="H941" s="163" t="s">
        <v>209</v>
      </c>
      <c r="I941" s="161" t="n">
        <v>18</v>
      </c>
      <c r="J941" s="156" t="s">
        <v>192</v>
      </c>
      <c r="K941" s="199" t="n">
        <v>45435.4004513889</v>
      </c>
      <c r="L941" s="3" t="n">
        <v>64</v>
      </c>
      <c r="M941" s="3" t="n">
        <v>64</v>
      </c>
      <c r="N941" s="1" t="n">
        <v>1</v>
      </c>
      <c r="O941" s="1" t="n">
        <v>1</v>
      </c>
    </row>
    <row r="942" customFormat="false" ht="14.25" hidden="false" customHeight="false" outlineLevel="0" collapsed="false">
      <c r="A942" s="1" t="n">
        <v>68</v>
      </c>
      <c r="B942" s="1" t="s">
        <v>565</v>
      </c>
      <c r="C942" s="1" t="s">
        <v>566</v>
      </c>
      <c r="D942" s="196" t="n">
        <v>2568</v>
      </c>
      <c r="E942" s="196" t="s">
        <v>51</v>
      </c>
      <c r="F942" s="197" t="s">
        <v>571</v>
      </c>
      <c r="G942" s="198" t="s">
        <v>572</v>
      </c>
      <c r="H942" s="163" t="s">
        <v>209</v>
      </c>
      <c r="I942" s="161" t="n">
        <v>18</v>
      </c>
      <c r="J942" s="156" t="s">
        <v>192</v>
      </c>
      <c r="K942" s="199" t="n">
        <v>45435.4640393519</v>
      </c>
      <c r="L942" s="3" t="n">
        <v>64</v>
      </c>
      <c r="M942" s="3" t="n">
        <v>64</v>
      </c>
      <c r="N942" s="1" t="n">
        <v>2</v>
      </c>
      <c r="O942" s="1" t="n">
        <v>1</v>
      </c>
    </row>
    <row r="943" customFormat="false" ht="14.25" hidden="false" customHeight="false" outlineLevel="0" collapsed="false">
      <c r="A943" s="1" t="n">
        <v>69</v>
      </c>
      <c r="B943" s="1" t="s">
        <v>565</v>
      </c>
      <c r="C943" s="1" t="s">
        <v>566</v>
      </c>
      <c r="D943" s="196" t="n">
        <v>2568</v>
      </c>
      <c r="E943" s="196" t="s">
        <v>51</v>
      </c>
      <c r="F943" s="197" t="s">
        <v>571</v>
      </c>
      <c r="G943" s="198" t="s">
        <v>572</v>
      </c>
      <c r="H943" s="163" t="s">
        <v>209</v>
      </c>
      <c r="I943" s="161" t="n">
        <v>18</v>
      </c>
      <c r="J943" s="156" t="s">
        <v>192</v>
      </c>
      <c r="K943" s="199" t="n">
        <v>45435.4640509259</v>
      </c>
      <c r="L943" s="3" t="n">
        <v>64</v>
      </c>
      <c r="M943" s="3" t="n">
        <v>64</v>
      </c>
      <c r="N943" s="1" t="n">
        <v>3</v>
      </c>
      <c r="O943" s="1" t="n">
        <v>0</v>
      </c>
    </row>
    <row r="944" customFormat="false" ht="14.25" hidden="false" customHeight="false" outlineLevel="0" collapsed="false">
      <c r="A944" s="1" t="n">
        <v>83</v>
      </c>
      <c r="B944" s="1" t="s">
        <v>565</v>
      </c>
      <c r="C944" s="1" t="s">
        <v>566</v>
      </c>
      <c r="D944" s="196" t="n">
        <v>2568</v>
      </c>
      <c r="E944" s="196" t="s">
        <v>51</v>
      </c>
      <c r="F944" s="197" t="s">
        <v>571</v>
      </c>
      <c r="G944" s="198" t="s">
        <v>572</v>
      </c>
      <c r="H944" s="163" t="s">
        <v>209</v>
      </c>
      <c r="I944" s="161" t="n">
        <v>18</v>
      </c>
      <c r="J944" s="156" t="s">
        <v>192</v>
      </c>
      <c r="K944" s="199" t="n">
        <v>45435.6341087963</v>
      </c>
      <c r="L944" s="3" t="n">
        <v>64</v>
      </c>
      <c r="M944" s="3" t="n">
        <v>64</v>
      </c>
      <c r="N944" s="1" t="n">
        <v>4</v>
      </c>
      <c r="O944" s="10" t="n">
        <v>108</v>
      </c>
    </row>
    <row r="945" customFormat="false" ht="14.25" hidden="false" customHeight="false" outlineLevel="0" collapsed="false">
      <c r="A945" s="1" t="n">
        <v>64</v>
      </c>
      <c r="B945" s="1" t="s">
        <v>565</v>
      </c>
      <c r="C945" s="1" t="s">
        <v>566</v>
      </c>
      <c r="D945" s="196" t="n">
        <v>2568</v>
      </c>
      <c r="E945" s="196" t="s">
        <v>51</v>
      </c>
      <c r="F945" s="197" t="s">
        <v>573</v>
      </c>
      <c r="G945" s="198" t="s">
        <v>574</v>
      </c>
      <c r="H945" s="163" t="s">
        <v>477</v>
      </c>
      <c r="I945" s="161" t="n">
        <v>61</v>
      </c>
      <c r="J945" s="156" t="s">
        <v>192</v>
      </c>
      <c r="K945" s="199" t="n">
        <v>45435.4250347222</v>
      </c>
      <c r="L945" s="3" t="n">
        <v>65</v>
      </c>
      <c r="M945" s="3" t="n">
        <v>65</v>
      </c>
      <c r="N945" s="1" t="n">
        <v>1</v>
      </c>
      <c r="O945" s="10" t="n">
        <v>397</v>
      </c>
    </row>
    <row r="946" customFormat="false" ht="14.25" hidden="false" customHeight="false" outlineLevel="0" collapsed="false">
      <c r="A946" s="1" t="n">
        <v>75</v>
      </c>
      <c r="B946" s="1" t="s">
        <v>565</v>
      </c>
      <c r="C946" s="1" t="s">
        <v>566</v>
      </c>
      <c r="D946" s="196" t="n">
        <v>2568</v>
      </c>
      <c r="E946" s="196" t="s">
        <v>51</v>
      </c>
      <c r="F946" s="197" t="s">
        <v>573</v>
      </c>
      <c r="G946" s="198" t="s">
        <v>574</v>
      </c>
      <c r="H946" s="163" t="s">
        <v>477</v>
      </c>
      <c r="I946" s="161" t="n">
        <v>61</v>
      </c>
      <c r="J946" s="156" t="s">
        <v>192</v>
      </c>
      <c r="K946" s="199" t="n">
        <v>45435.6130555556</v>
      </c>
      <c r="L946" s="3" t="n">
        <v>65</v>
      </c>
      <c r="M946" s="3" t="n">
        <v>65</v>
      </c>
      <c r="N946" s="1" t="n">
        <v>2</v>
      </c>
      <c r="O946" s="1" t="n">
        <v>0</v>
      </c>
    </row>
    <row r="947" customFormat="false" ht="14.25" hidden="false" customHeight="false" outlineLevel="0" collapsed="false">
      <c r="A947" s="1" t="n">
        <v>25</v>
      </c>
      <c r="B947" s="1" t="s">
        <v>643</v>
      </c>
      <c r="C947" s="1" t="s">
        <v>644</v>
      </c>
      <c r="D947" s="1" t="n">
        <v>11171</v>
      </c>
      <c r="E947" s="1" t="s">
        <v>55</v>
      </c>
      <c r="F947" s="201" t="n">
        <v>200025889276</v>
      </c>
      <c r="G947" s="198" t="s">
        <v>574</v>
      </c>
      <c r="H947" s="163" t="s">
        <v>477</v>
      </c>
      <c r="I947" s="161" t="n">
        <v>61</v>
      </c>
      <c r="J947" s="156" t="s">
        <v>192</v>
      </c>
      <c r="K947" s="200" t="n">
        <v>45447.8016550926</v>
      </c>
      <c r="L947" s="3" t="n">
        <v>65</v>
      </c>
      <c r="M947" s="3" t="n">
        <v>65</v>
      </c>
      <c r="N947" s="1" t="n">
        <v>3</v>
      </c>
      <c r="O947" s="1" t="n">
        <v>0</v>
      </c>
    </row>
    <row r="948" customFormat="false" ht="14.25" hidden="false" customHeight="false" outlineLevel="0" collapsed="false">
      <c r="A948" s="1" t="n">
        <v>65</v>
      </c>
      <c r="B948" s="1" t="s">
        <v>565</v>
      </c>
      <c r="C948" s="1" t="s">
        <v>566</v>
      </c>
      <c r="D948" s="196" t="n">
        <v>2568</v>
      </c>
      <c r="E948" s="196" t="s">
        <v>51</v>
      </c>
      <c r="F948" s="197" t="s">
        <v>575</v>
      </c>
      <c r="G948" s="198" t="s">
        <v>576</v>
      </c>
      <c r="H948" s="163" t="s">
        <v>366</v>
      </c>
      <c r="I948" s="161" t="n">
        <v>28</v>
      </c>
      <c r="J948" s="156" t="s">
        <v>192</v>
      </c>
      <c r="K948" s="199" t="n">
        <v>45435.4390046296</v>
      </c>
      <c r="L948" s="3" t="n">
        <v>66</v>
      </c>
      <c r="M948" s="3" t="n">
        <v>66</v>
      </c>
      <c r="N948" s="1" t="n">
        <v>1</v>
      </c>
      <c r="O948" s="1" t="n">
        <v>0</v>
      </c>
    </row>
    <row r="949" customFormat="false" ht="14.25" hidden="false" customHeight="false" outlineLevel="0" collapsed="false">
      <c r="A949" s="1" t="n">
        <v>66</v>
      </c>
      <c r="B949" s="1" t="s">
        <v>565</v>
      </c>
      <c r="C949" s="1" t="s">
        <v>566</v>
      </c>
      <c r="D949" s="196" t="n">
        <v>2568</v>
      </c>
      <c r="E949" s="196" t="s">
        <v>51</v>
      </c>
      <c r="F949" s="197" t="s">
        <v>575</v>
      </c>
      <c r="G949" s="198" t="s">
        <v>576</v>
      </c>
      <c r="H949" s="163" t="s">
        <v>366</v>
      </c>
      <c r="I949" s="161" t="n">
        <v>28</v>
      </c>
      <c r="J949" s="156" t="s">
        <v>192</v>
      </c>
      <c r="K949" s="199" t="n">
        <v>45435.4390162037</v>
      </c>
      <c r="L949" s="3" t="n">
        <v>66</v>
      </c>
      <c r="M949" s="3" t="n">
        <v>66</v>
      </c>
      <c r="N949" s="1" t="n">
        <v>2</v>
      </c>
      <c r="O949" s="1" t="n">
        <v>1</v>
      </c>
    </row>
    <row r="950" customFormat="false" ht="14.25" hidden="false" customHeight="false" outlineLevel="0" collapsed="false">
      <c r="A950" s="1" t="n">
        <v>67</v>
      </c>
      <c r="B950" s="1" t="s">
        <v>565</v>
      </c>
      <c r="C950" s="1" t="s">
        <v>566</v>
      </c>
      <c r="D950" s="196" t="n">
        <v>2568</v>
      </c>
      <c r="E950" s="196" t="s">
        <v>51</v>
      </c>
      <c r="F950" s="197" t="s">
        <v>575</v>
      </c>
      <c r="G950" s="198" t="s">
        <v>576</v>
      </c>
      <c r="H950" s="163" t="s">
        <v>366</v>
      </c>
      <c r="I950" s="161" t="n">
        <v>28</v>
      </c>
      <c r="J950" s="156" t="s">
        <v>192</v>
      </c>
      <c r="K950" s="199" t="n">
        <v>45435.4392013889</v>
      </c>
      <c r="L950" s="3" t="n">
        <v>66</v>
      </c>
      <c r="M950" s="3" t="n">
        <v>66</v>
      </c>
      <c r="N950" s="1" t="n">
        <v>3</v>
      </c>
      <c r="O950" s="1" t="n">
        <v>1</v>
      </c>
    </row>
    <row r="951" customFormat="false" ht="14.25" hidden="false" customHeight="false" outlineLevel="0" collapsed="false">
      <c r="A951" s="1" t="n">
        <v>71</v>
      </c>
      <c r="B951" s="1" t="s">
        <v>681</v>
      </c>
      <c r="C951" s="1" t="s">
        <v>682</v>
      </c>
      <c r="D951" s="1" t="n">
        <v>11197</v>
      </c>
      <c r="E951" s="1" t="s">
        <v>53</v>
      </c>
      <c r="F951" s="201" t="n">
        <v>200025888606</v>
      </c>
      <c r="G951" s="198" t="s">
        <v>576</v>
      </c>
      <c r="H951" s="163" t="s">
        <v>366</v>
      </c>
      <c r="I951" s="161" t="n">
        <v>28</v>
      </c>
      <c r="J951" s="156" t="s">
        <v>192</v>
      </c>
      <c r="K951" s="200" t="n">
        <v>45435.7628472222</v>
      </c>
      <c r="L951" s="3" t="n">
        <v>66</v>
      </c>
      <c r="M951" s="3" t="n">
        <v>66</v>
      </c>
      <c r="N951" s="1" t="n">
        <v>4</v>
      </c>
      <c r="O951" s="1" t="n">
        <v>2</v>
      </c>
    </row>
    <row r="952" customFormat="false" ht="14.25" hidden="false" customHeight="false" outlineLevel="0" collapsed="false">
      <c r="A952" s="1" t="n">
        <v>72</v>
      </c>
      <c r="B952" s="1" t="s">
        <v>681</v>
      </c>
      <c r="C952" s="1" t="s">
        <v>682</v>
      </c>
      <c r="D952" s="1" t="n">
        <v>11197</v>
      </c>
      <c r="E952" s="1" t="s">
        <v>53</v>
      </c>
      <c r="F952" s="201" t="n">
        <v>200025888606</v>
      </c>
      <c r="G952" s="198" t="s">
        <v>576</v>
      </c>
      <c r="H952" s="163" t="s">
        <v>366</v>
      </c>
      <c r="I952" s="161" t="n">
        <v>28</v>
      </c>
      <c r="J952" s="156" t="s">
        <v>192</v>
      </c>
      <c r="K952" s="200" t="n">
        <v>45435.7642476852</v>
      </c>
      <c r="L952" s="3" t="n">
        <v>66</v>
      </c>
      <c r="M952" s="3" t="n">
        <v>66</v>
      </c>
      <c r="N952" s="1" t="n">
        <v>5</v>
      </c>
      <c r="O952" s="1" t="n">
        <v>2</v>
      </c>
    </row>
    <row r="953" customFormat="false" ht="14.25" hidden="false" customHeight="false" outlineLevel="0" collapsed="false">
      <c r="A953" s="1" t="n">
        <v>105</v>
      </c>
      <c r="B953" s="1" t="s">
        <v>565</v>
      </c>
      <c r="C953" s="1" t="s">
        <v>566</v>
      </c>
      <c r="D953" s="196" t="n">
        <v>2568</v>
      </c>
      <c r="E953" s="196" t="s">
        <v>51</v>
      </c>
      <c r="F953" s="197" t="s">
        <v>575</v>
      </c>
      <c r="G953" s="198" t="s">
        <v>576</v>
      </c>
      <c r="H953" s="163" t="s">
        <v>366</v>
      </c>
      <c r="I953" s="161" t="n">
        <v>28</v>
      </c>
      <c r="J953" s="156" t="s">
        <v>192</v>
      </c>
      <c r="K953" s="199" t="n">
        <v>45435.7697106482</v>
      </c>
      <c r="L953" s="3" t="n">
        <v>66</v>
      </c>
      <c r="M953" s="3" t="n">
        <v>66</v>
      </c>
      <c r="N953" s="1" t="n">
        <v>6</v>
      </c>
      <c r="O953" s="1" t="n">
        <v>2</v>
      </c>
    </row>
    <row r="954" customFormat="false" ht="14.25" hidden="false" customHeight="false" outlineLevel="0" collapsed="false">
      <c r="A954" s="1" t="n">
        <v>110</v>
      </c>
      <c r="B954" s="1" t="s">
        <v>565</v>
      </c>
      <c r="C954" s="1" t="s">
        <v>566</v>
      </c>
      <c r="D954" s="196" t="n">
        <v>2568</v>
      </c>
      <c r="E954" s="196" t="s">
        <v>51</v>
      </c>
      <c r="F954" s="197" t="s">
        <v>575</v>
      </c>
      <c r="G954" s="198" t="s">
        <v>576</v>
      </c>
      <c r="H954" s="163" t="s">
        <v>366</v>
      </c>
      <c r="I954" s="161" t="n">
        <v>28</v>
      </c>
      <c r="J954" s="156" t="s">
        <v>192</v>
      </c>
      <c r="K954" s="199" t="n">
        <v>45435.7864699074</v>
      </c>
      <c r="L954" s="3" t="n">
        <v>66</v>
      </c>
      <c r="M954" s="3" t="n">
        <v>66</v>
      </c>
      <c r="N954" s="1" t="n">
        <v>7</v>
      </c>
      <c r="O954" s="10" t="n">
        <v>197</v>
      </c>
    </row>
    <row r="955" customFormat="false" ht="14.25" hidden="false" customHeight="false" outlineLevel="0" collapsed="false">
      <c r="A955" s="1" t="n">
        <v>111</v>
      </c>
      <c r="B955" s="1" t="s">
        <v>565</v>
      </c>
      <c r="C955" s="1" t="s">
        <v>566</v>
      </c>
      <c r="D955" s="196" t="n">
        <v>2568</v>
      </c>
      <c r="E955" s="196" t="s">
        <v>51</v>
      </c>
      <c r="F955" s="197" t="s">
        <v>575</v>
      </c>
      <c r="G955" s="198" t="s">
        <v>576</v>
      </c>
      <c r="H955" s="163" t="s">
        <v>366</v>
      </c>
      <c r="I955" s="161" t="n">
        <v>28</v>
      </c>
      <c r="J955" s="156" t="s">
        <v>192</v>
      </c>
      <c r="K955" s="199" t="n">
        <v>45435.7887731481</v>
      </c>
      <c r="L955" s="3" t="n">
        <v>66</v>
      </c>
      <c r="M955" s="3" t="n">
        <v>66</v>
      </c>
      <c r="N955" s="1" t="n">
        <v>8</v>
      </c>
      <c r="O955" s="1" t="n">
        <v>33</v>
      </c>
    </row>
    <row r="956" customFormat="false" ht="14.25" hidden="false" customHeight="false" outlineLevel="0" collapsed="false">
      <c r="A956" s="1" t="n">
        <v>114</v>
      </c>
      <c r="B956" s="1" t="s">
        <v>565</v>
      </c>
      <c r="C956" s="1" t="s">
        <v>566</v>
      </c>
      <c r="D956" s="196" t="n">
        <v>2568</v>
      </c>
      <c r="E956" s="196" t="s">
        <v>51</v>
      </c>
      <c r="F956" s="197" t="s">
        <v>575</v>
      </c>
      <c r="G956" s="198" t="s">
        <v>576</v>
      </c>
      <c r="H956" s="163" t="s">
        <v>366</v>
      </c>
      <c r="I956" s="161" t="n">
        <v>28</v>
      </c>
      <c r="J956" s="156" t="s">
        <v>192</v>
      </c>
      <c r="K956" s="199" t="n">
        <v>45435.8173032407</v>
      </c>
      <c r="L956" s="3" t="n">
        <v>66</v>
      </c>
      <c r="M956" s="3" t="n">
        <v>66</v>
      </c>
      <c r="N956" s="1" t="n">
        <v>9</v>
      </c>
      <c r="O956" s="10" t="n">
        <v>806</v>
      </c>
    </row>
    <row r="957" customFormat="false" ht="14.25" hidden="false" customHeight="false" outlineLevel="0" collapsed="false">
      <c r="A957" s="1" t="n">
        <v>120</v>
      </c>
      <c r="B957" s="1" t="s">
        <v>565</v>
      </c>
      <c r="C957" s="1" t="s">
        <v>566</v>
      </c>
      <c r="D957" s="196" t="n">
        <v>2568</v>
      </c>
      <c r="E957" s="196" t="s">
        <v>51</v>
      </c>
      <c r="F957" s="197" t="s">
        <v>575</v>
      </c>
      <c r="G957" s="198" t="s">
        <v>576</v>
      </c>
      <c r="H957" s="163" t="s">
        <v>366</v>
      </c>
      <c r="I957" s="161" t="n">
        <v>28</v>
      </c>
      <c r="J957" s="156" t="s">
        <v>192</v>
      </c>
      <c r="K957" s="199" t="n">
        <v>45435.8472106482</v>
      </c>
      <c r="L957" s="3" t="n">
        <v>66</v>
      </c>
      <c r="M957" s="3" t="n">
        <v>66</v>
      </c>
      <c r="N957" s="1" t="n">
        <v>10</v>
      </c>
      <c r="O957" s="1" t="n">
        <v>1</v>
      </c>
    </row>
    <row r="958" customFormat="false" ht="14.25" hidden="false" customHeight="false" outlineLevel="0" collapsed="false">
      <c r="A958" s="1" t="n">
        <v>132</v>
      </c>
      <c r="B958" s="1" t="s">
        <v>565</v>
      </c>
      <c r="C958" s="1" t="s">
        <v>566</v>
      </c>
      <c r="D958" s="196" t="n">
        <v>2568</v>
      </c>
      <c r="E958" s="196" t="s">
        <v>51</v>
      </c>
      <c r="F958" s="197" t="s">
        <v>575</v>
      </c>
      <c r="G958" s="198" t="s">
        <v>576</v>
      </c>
      <c r="H958" s="163" t="s">
        <v>366</v>
      </c>
      <c r="I958" s="161" t="n">
        <v>28</v>
      </c>
      <c r="J958" s="156" t="s">
        <v>192</v>
      </c>
      <c r="K958" s="199" t="n">
        <v>45435.8813425926</v>
      </c>
      <c r="L958" s="3" t="n">
        <v>66</v>
      </c>
      <c r="M958" s="3" t="n">
        <v>66</v>
      </c>
      <c r="N958" s="1" t="n">
        <v>11</v>
      </c>
      <c r="O958" s="1" t="n">
        <v>1</v>
      </c>
    </row>
    <row r="959" customFormat="false" ht="14.25" hidden="false" customHeight="false" outlineLevel="0" collapsed="false">
      <c r="A959" s="1" t="n">
        <v>144</v>
      </c>
      <c r="B959" s="1" t="s">
        <v>565</v>
      </c>
      <c r="C959" s="1" t="s">
        <v>566</v>
      </c>
      <c r="D959" s="196" t="n">
        <v>2568</v>
      </c>
      <c r="E959" s="196" t="s">
        <v>51</v>
      </c>
      <c r="F959" s="197" t="s">
        <v>575</v>
      </c>
      <c r="G959" s="198" t="s">
        <v>576</v>
      </c>
      <c r="H959" s="163" t="s">
        <v>366</v>
      </c>
      <c r="I959" s="161" t="n">
        <v>28</v>
      </c>
      <c r="J959" s="156" t="s">
        <v>192</v>
      </c>
      <c r="K959" s="199" t="n">
        <v>45435.9853587963</v>
      </c>
      <c r="L959" s="3" t="n">
        <v>66</v>
      </c>
      <c r="M959" s="3" t="n">
        <v>66</v>
      </c>
      <c r="N959" s="1" t="n">
        <v>12</v>
      </c>
      <c r="O959" s="1" t="n">
        <v>21</v>
      </c>
    </row>
    <row r="960" customFormat="false" ht="14.25" hidden="false" customHeight="false" outlineLevel="0" collapsed="false">
      <c r="A960" s="1" t="n">
        <v>145</v>
      </c>
      <c r="B960" s="1" t="s">
        <v>565</v>
      </c>
      <c r="C960" s="1" t="s">
        <v>566</v>
      </c>
      <c r="D960" s="196" t="n">
        <v>2568</v>
      </c>
      <c r="E960" s="196" t="s">
        <v>51</v>
      </c>
      <c r="F960" s="197" t="s">
        <v>575</v>
      </c>
      <c r="G960" s="198" t="s">
        <v>576</v>
      </c>
      <c r="H960" s="163" t="s">
        <v>366</v>
      </c>
      <c r="I960" s="161" t="n">
        <v>28</v>
      </c>
      <c r="J960" s="156" t="s">
        <v>192</v>
      </c>
      <c r="K960" s="199" t="n">
        <v>45435.985625</v>
      </c>
      <c r="L960" s="3" t="n">
        <v>66</v>
      </c>
      <c r="M960" s="3" t="n">
        <v>66</v>
      </c>
      <c r="N960" s="1" t="n">
        <v>13</v>
      </c>
      <c r="O960" s="1" t="n">
        <v>1</v>
      </c>
    </row>
    <row r="961" customFormat="false" ht="14.25" hidden="false" customHeight="false" outlineLevel="0" collapsed="false">
      <c r="A961" s="1" t="n">
        <v>146</v>
      </c>
      <c r="B961" s="1" t="s">
        <v>565</v>
      </c>
      <c r="C961" s="1" t="s">
        <v>566</v>
      </c>
      <c r="D961" s="196" t="n">
        <v>2568</v>
      </c>
      <c r="E961" s="196" t="s">
        <v>51</v>
      </c>
      <c r="F961" s="197" t="s">
        <v>575</v>
      </c>
      <c r="G961" s="198" t="s">
        <v>576</v>
      </c>
      <c r="H961" s="163" t="s">
        <v>366</v>
      </c>
      <c r="I961" s="161" t="n">
        <v>28</v>
      </c>
      <c r="J961" s="156" t="s">
        <v>192</v>
      </c>
      <c r="K961" s="199" t="n">
        <v>45435.989224537</v>
      </c>
      <c r="L961" s="3" t="n">
        <v>66</v>
      </c>
      <c r="M961" s="3" t="n">
        <v>66</v>
      </c>
      <c r="N961" s="1" t="n">
        <v>14</v>
      </c>
      <c r="O961" s="1" t="n">
        <v>1</v>
      </c>
    </row>
    <row r="962" customFormat="false" ht="14.25" hidden="false" customHeight="false" outlineLevel="0" collapsed="false">
      <c r="A962" s="1" t="n">
        <v>301</v>
      </c>
      <c r="B962" s="1" t="s">
        <v>565</v>
      </c>
      <c r="C962" s="1" t="s">
        <v>566</v>
      </c>
      <c r="D962" s="208" t="n">
        <v>11197</v>
      </c>
      <c r="E962" s="1" t="s">
        <v>53</v>
      </c>
      <c r="F962" s="198" t="n">
        <v>200025888606</v>
      </c>
      <c r="G962" s="198" t="s">
        <v>576</v>
      </c>
      <c r="H962" s="163" t="s">
        <v>366</v>
      </c>
      <c r="I962" s="161" t="n">
        <v>28</v>
      </c>
      <c r="J962" s="156" t="s">
        <v>192</v>
      </c>
      <c r="K962" s="199" t="n">
        <v>45459.6105902778</v>
      </c>
      <c r="L962" s="3" t="n">
        <v>66</v>
      </c>
      <c r="M962" s="3" t="n">
        <v>66</v>
      </c>
      <c r="N962" s="1" t="n">
        <v>15</v>
      </c>
      <c r="O962" s="1" t="n">
        <v>1</v>
      </c>
    </row>
    <row r="963" customFormat="false" ht="14.25" hidden="false" customHeight="false" outlineLevel="0" collapsed="false">
      <c r="A963" s="1" t="n">
        <v>71</v>
      </c>
      <c r="B963" s="1" t="s">
        <v>565</v>
      </c>
      <c r="C963" s="1" t="s">
        <v>566</v>
      </c>
      <c r="D963" s="196" t="n">
        <v>2568</v>
      </c>
      <c r="E963" s="196" t="s">
        <v>51</v>
      </c>
      <c r="F963" s="197" t="s">
        <v>579</v>
      </c>
      <c r="G963" s="198" t="s">
        <v>580</v>
      </c>
      <c r="H963" s="163" t="s">
        <v>465</v>
      </c>
      <c r="I963" s="161" t="n">
        <v>54</v>
      </c>
      <c r="J963" s="156" t="s">
        <v>192</v>
      </c>
      <c r="K963" s="199" t="n">
        <v>45435.4959722222</v>
      </c>
      <c r="L963" s="3" t="n">
        <v>67</v>
      </c>
      <c r="M963" s="3" t="n">
        <v>67</v>
      </c>
      <c r="N963" s="1" t="n">
        <v>1</v>
      </c>
      <c r="O963" s="1" t="n">
        <v>1</v>
      </c>
    </row>
    <row r="964" customFormat="false" ht="14.25" hidden="false" customHeight="false" outlineLevel="0" collapsed="false">
      <c r="A964" s="1" t="n">
        <v>302</v>
      </c>
      <c r="B964" s="1" t="s">
        <v>565</v>
      </c>
      <c r="C964" s="1" t="s">
        <v>566</v>
      </c>
      <c r="D964" s="208" t="n">
        <v>11197</v>
      </c>
      <c r="E964" s="1" t="s">
        <v>53</v>
      </c>
      <c r="F964" s="198" t="n">
        <v>200025889407</v>
      </c>
      <c r="G964" s="198" t="s">
        <v>580</v>
      </c>
      <c r="H964" s="163" t="s">
        <v>465</v>
      </c>
      <c r="I964" s="161" t="n">
        <v>54</v>
      </c>
      <c r="J964" s="156" t="s">
        <v>192</v>
      </c>
      <c r="K964" s="199" t="n">
        <v>45459.6765277778</v>
      </c>
      <c r="L964" s="3" t="n">
        <v>67</v>
      </c>
      <c r="M964" s="3" t="n">
        <v>67</v>
      </c>
      <c r="N964" s="1" t="n">
        <v>2</v>
      </c>
      <c r="O964" s="1" t="n">
        <v>1</v>
      </c>
    </row>
    <row r="965" customFormat="false" ht="14.25" hidden="false" customHeight="false" outlineLevel="0" collapsed="false">
      <c r="A965" s="1" t="n">
        <v>78</v>
      </c>
      <c r="B965" s="1" t="s">
        <v>565</v>
      </c>
      <c r="C965" s="1" t="s">
        <v>566</v>
      </c>
      <c r="D965" s="196" t="n">
        <v>2568</v>
      </c>
      <c r="E965" s="196" t="s">
        <v>51</v>
      </c>
      <c r="F965" s="197" t="s">
        <v>585</v>
      </c>
      <c r="G965" s="198" t="s">
        <v>586</v>
      </c>
      <c r="H965" s="163" t="s">
        <v>384</v>
      </c>
      <c r="I965" s="161" t="n">
        <v>62</v>
      </c>
      <c r="J965" s="156" t="s">
        <v>192</v>
      </c>
      <c r="K965" s="199" t="n">
        <v>45435.6290046296</v>
      </c>
      <c r="L965" s="3" t="n">
        <v>68</v>
      </c>
      <c r="M965" s="3" t="n">
        <v>68</v>
      </c>
      <c r="N965" s="1" t="n">
        <v>1</v>
      </c>
      <c r="O965" s="1" t="n">
        <v>0</v>
      </c>
    </row>
    <row r="966" customFormat="false" ht="14.25" hidden="false" customHeight="false" outlineLevel="0" collapsed="false">
      <c r="A966" s="1" t="n">
        <v>80</v>
      </c>
      <c r="B966" s="1" t="s">
        <v>565</v>
      </c>
      <c r="C966" s="1" t="s">
        <v>566</v>
      </c>
      <c r="D966" s="196" t="n">
        <v>2568</v>
      </c>
      <c r="E966" s="196" t="s">
        <v>51</v>
      </c>
      <c r="F966" s="197" t="s">
        <v>587</v>
      </c>
      <c r="G966" s="198" t="s">
        <v>588</v>
      </c>
      <c r="H966" s="163" t="s">
        <v>442</v>
      </c>
      <c r="I966" s="161" t="n">
        <v>117</v>
      </c>
      <c r="J966" s="156" t="s">
        <v>192</v>
      </c>
      <c r="K966" s="199" t="n">
        <v>45435.6325462963</v>
      </c>
      <c r="L966" s="3" t="n">
        <v>69</v>
      </c>
      <c r="M966" s="3" t="n">
        <v>69</v>
      </c>
      <c r="N966" s="1" t="n">
        <v>1</v>
      </c>
      <c r="O966" s="1" t="n">
        <v>0</v>
      </c>
    </row>
    <row r="967" customFormat="false" ht="14.25" hidden="false" customHeight="false" outlineLevel="0" collapsed="false">
      <c r="A967" s="1" t="n">
        <v>81</v>
      </c>
      <c r="B967" s="1" t="s">
        <v>565</v>
      </c>
      <c r="C967" s="1" t="s">
        <v>566</v>
      </c>
      <c r="D967" s="196" t="n">
        <v>2568</v>
      </c>
      <c r="E967" s="196" t="s">
        <v>51</v>
      </c>
      <c r="F967" s="197" t="s">
        <v>587</v>
      </c>
      <c r="G967" s="198" t="s">
        <v>588</v>
      </c>
      <c r="H967" s="163" t="s">
        <v>442</v>
      </c>
      <c r="I967" s="161" t="n">
        <v>117</v>
      </c>
      <c r="J967" s="156" t="s">
        <v>192</v>
      </c>
      <c r="K967" s="199" t="n">
        <v>45435.6325578704</v>
      </c>
      <c r="L967" s="3" t="n">
        <v>69</v>
      </c>
      <c r="M967" s="3" t="n">
        <v>69</v>
      </c>
      <c r="N967" s="1" t="n">
        <v>2</v>
      </c>
      <c r="O967" s="1" t="n">
        <v>3</v>
      </c>
    </row>
    <row r="968" customFormat="false" ht="14.25" hidden="false" customHeight="false" outlineLevel="0" collapsed="false">
      <c r="A968" s="1" t="n">
        <v>82</v>
      </c>
      <c r="B968" s="1" t="s">
        <v>565</v>
      </c>
      <c r="C968" s="1" t="s">
        <v>566</v>
      </c>
      <c r="D968" s="196" t="n">
        <v>2568</v>
      </c>
      <c r="E968" s="196" t="s">
        <v>51</v>
      </c>
      <c r="F968" s="197" t="s">
        <v>587</v>
      </c>
      <c r="G968" s="198" t="s">
        <v>588</v>
      </c>
      <c r="H968" s="163" t="s">
        <v>442</v>
      </c>
      <c r="I968" s="161" t="n">
        <v>117</v>
      </c>
      <c r="J968" s="156" t="s">
        <v>192</v>
      </c>
      <c r="K968" s="199" t="n">
        <v>45435.6326041667</v>
      </c>
      <c r="L968" s="3" t="n">
        <v>69</v>
      </c>
      <c r="M968" s="3" t="n">
        <v>69</v>
      </c>
      <c r="N968" s="1" t="n">
        <v>3</v>
      </c>
      <c r="O968" s="1" t="n">
        <v>1</v>
      </c>
    </row>
    <row r="969" customFormat="false" ht="14.25" hidden="false" customHeight="false" outlineLevel="0" collapsed="false">
      <c r="A969" s="1" t="n">
        <v>69</v>
      </c>
      <c r="B969" s="1" t="s">
        <v>681</v>
      </c>
      <c r="C969" s="1" t="s">
        <v>682</v>
      </c>
      <c r="D969" s="1" t="n">
        <v>11197</v>
      </c>
      <c r="E969" s="1" t="s">
        <v>53</v>
      </c>
      <c r="F969" s="201" t="n">
        <v>200025888790</v>
      </c>
      <c r="G969" s="198" t="s">
        <v>588</v>
      </c>
      <c r="H969" s="163" t="s">
        <v>442</v>
      </c>
      <c r="I969" s="161" t="n">
        <v>117</v>
      </c>
      <c r="J969" s="156" t="s">
        <v>192</v>
      </c>
      <c r="K969" s="199" t="n">
        <v>45435.7559027778</v>
      </c>
      <c r="L969" s="3" t="n">
        <v>69</v>
      </c>
      <c r="M969" s="3" t="n">
        <v>69</v>
      </c>
      <c r="N969" s="1" t="n">
        <v>4</v>
      </c>
      <c r="O969" s="1" t="n">
        <v>1</v>
      </c>
    </row>
    <row r="970" customFormat="false" ht="14.25" hidden="false" customHeight="false" outlineLevel="0" collapsed="false">
      <c r="A970" s="1" t="n">
        <v>70</v>
      </c>
      <c r="B970" s="1" t="s">
        <v>681</v>
      </c>
      <c r="C970" s="1" t="s">
        <v>682</v>
      </c>
      <c r="D970" s="1" t="n">
        <v>11197</v>
      </c>
      <c r="E970" s="1" t="s">
        <v>53</v>
      </c>
      <c r="F970" s="201" t="n">
        <v>200025888790</v>
      </c>
      <c r="G970" s="198" t="s">
        <v>588</v>
      </c>
      <c r="H970" s="163" t="s">
        <v>442</v>
      </c>
      <c r="I970" s="161" t="n">
        <v>117</v>
      </c>
      <c r="J970" s="156" t="s">
        <v>192</v>
      </c>
      <c r="K970" s="199" t="n">
        <v>45435.7559143519</v>
      </c>
      <c r="L970" s="3" t="n">
        <v>69</v>
      </c>
      <c r="M970" s="3" t="n">
        <v>69</v>
      </c>
      <c r="N970" s="1" t="n">
        <v>5</v>
      </c>
      <c r="O970" s="1" t="n">
        <v>3</v>
      </c>
    </row>
    <row r="971" customFormat="false" ht="14.25" hidden="false" customHeight="false" outlineLevel="0" collapsed="false">
      <c r="A971" s="1" t="n">
        <v>73</v>
      </c>
      <c r="B971" s="1" t="s">
        <v>681</v>
      </c>
      <c r="C971" s="1" t="s">
        <v>682</v>
      </c>
      <c r="D971" s="1" t="n">
        <v>11197</v>
      </c>
      <c r="E971" s="1" t="s">
        <v>53</v>
      </c>
      <c r="F971" s="201" t="n">
        <v>200025888790</v>
      </c>
      <c r="G971" s="198" t="s">
        <v>588</v>
      </c>
      <c r="H971" s="163" t="s">
        <v>442</v>
      </c>
      <c r="I971" s="161" t="n">
        <v>117</v>
      </c>
      <c r="J971" s="156" t="s">
        <v>192</v>
      </c>
      <c r="K971" s="200" t="n">
        <v>45435.7729976852</v>
      </c>
      <c r="L971" s="3" t="n">
        <v>69</v>
      </c>
      <c r="M971" s="3" t="n">
        <v>69</v>
      </c>
      <c r="N971" s="1" t="n">
        <v>6</v>
      </c>
      <c r="O971" s="1" t="n">
        <v>2</v>
      </c>
    </row>
    <row r="972" customFormat="false" ht="14.25" hidden="false" customHeight="false" outlineLevel="0" collapsed="false">
      <c r="A972" s="1" t="n">
        <v>74</v>
      </c>
      <c r="B972" s="1" t="s">
        <v>681</v>
      </c>
      <c r="C972" s="1" t="s">
        <v>682</v>
      </c>
      <c r="D972" s="1" t="n">
        <v>11197</v>
      </c>
      <c r="E972" s="1" t="s">
        <v>53</v>
      </c>
      <c r="F972" s="201" t="n">
        <v>200025888790</v>
      </c>
      <c r="G972" s="198" t="s">
        <v>588</v>
      </c>
      <c r="H972" s="163" t="s">
        <v>442</v>
      </c>
      <c r="I972" s="161" t="n">
        <v>117</v>
      </c>
      <c r="J972" s="156" t="s">
        <v>192</v>
      </c>
      <c r="K972" s="200" t="n">
        <v>45435.7747222222</v>
      </c>
      <c r="L972" s="3" t="n">
        <v>69</v>
      </c>
      <c r="M972" s="3" t="n">
        <v>69</v>
      </c>
      <c r="N972" s="1" t="n">
        <v>7</v>
      </c>
      <c r="O972" s="1" t="n">
        <v>1</v>
      </c>
    </row>
    <row r="973" customFormat="false" ht="14.25" hidden="false" customHeight="false" outlineLevel="0" collapsed="false">
      <c r="A973" s="154" t="n">
        <v>87</v>
      </c>
      <c r="B973" s="154" t="s">
        <v>681</v>
      </c>
      <c r="C973" s="154" t="s">
        <v>682</v>
      </c>
      <c r="D973" s="154" t="n">
        <v>11197</v>
      </c>
      <c r="E973" s="1" t="s">
        <v>53</v>
      </c>
      <c r="F973" s="202" t="n">
        <v>200025888790</v>
      </c>
      <c r="G973" s="198" t="s">
        <v>588</v>
      </c>
      <c r="H973" s="188" t="s">
        <v>442</v>
      </c>
      <c r="I973" s="203" t="n">
        <v>117</v>
      </c>
      <c r="J973" s="204" t="s">
        <v>192</v>
      </c>
      <c r="K973" s="206" t="n">
        <v>45435.7987152778</v>
      </c>
      <c r="L973" s="3" t="n">
        <v>69</v>
      </c>
      <c r="M973" s="3" t="n">
        <v>69</v>
      </c>
      <c r="N973" s="1" t="n">
        <v>8</v>
      </c>
      <c r="O973" s="154" t="n">
        <v>0</v>
      </c>
    </row>
    <row r="974" customFormat="false" ht="14.25" hidden="false" customHeight="false" outlineLevel="0" collapsed="false">
      <c r="A974" s="154" t="n">
        <v>88</v>
      </c>
      <c r="B974" s="154" t="s">
        <v>681</v>
      </c>
      <c r="C974" s="154" t="s">
        <v>682</v>
      </c>
      <c r="D974" s="154" t="n">
        <v>11197</v>
      </c>
      <c r="E974" s="1" t="s">
        <v>53</v>
      </c>
      <c r="F974" s="202" t="n">
        <v>200025888790</v>
      </c>
      <c r="G974" s="198" t="s">
        <v>588</v>
      </c>
      <c r="H974" s="188" t="s">
        <v>442</v>
      </c>
      <c r="I974" s="203" t="n">
        <v>117</v>
      </c>
      <c r="J974" s="204" t="s">
        <v>192</v>
      </c>
      <c r="K974" s="206" t="n">
        <v>45435.7987152778</v>
      </c>
      <c r="L974" s="3" t="n">
        <v>69</v>
      </c>
      <c r="M974" s="3" t="n">
        <v>69</v>
      </c>
      <c r="N974" s="1" t="n">
        <v>9</v>
      </c>
      <c r="O974" s="154" t="n">
        <v>0</v>
      </c>
    </row>
    <row r="975" customFormat="false" ht="14.25" hidden="false" customHeight="false" outlineLevel="0" collapsed="false">
      <c r="A975" s="154" t="n">
        <v>89</v>
      </c>
      <c r="B975" s="154" t="s">
        <v>681</v>
      </c>
      <c r="C975" s="154" t="s">
        <v>682</v>
      </c>
      <c r="D975" s="154" t="n">
        <v>11197</v>
      </c>
      <c r="E975" s="1" t="s">
        <v>53</v>
      </c>
      <c r="F975" s="202" t="n">
        <v>200025888790</v>
      </c>
      <c r="G975" s="198" t="s">
        <v>588</v>
      </c>
      <c r="H975" s="188" t="s">
        <v>442</v>
      </c>
      <c r="I975" s="203" t="n">
        <v>117</v>
      </c>
      <c r="J975" s="204" t="s">
        <v>192</v>
      </c>
      <c r="K975" s="206" t="n">
        <v>45435.7987152778</v>
      </c>
      <c r="L975" s="3" t="n">
        <v>69</v>
      </c>
      <c r="M975" s="3" t="n">
        <v>69</v>
      </c>
      <c r="N975" s="1" t="n">
        <v>10</v>
      </c>
      <c r="O975" s="154" t="n">
        <v>0</v>
      </c>
    </row>
    <row r="976" customFormat="false" ht="14.25" hidden="false" customHeight="false" outlineLevel="0" collapsed="false">
      <c r="A976" s="154" t="n">
        <v>90</v>
      </c>
      <c r="B976" s="154" t="s">
        <v>681</v>
      </c>
      <c r="C976" s="154" t="s">
        <v>682</v>
      </c>
      <c r="D976" s="154" t="n">
        <v>11197</v>
      </c>
      <c r="E976" s="1" t="s">
        <v>53</v>
      </c>
      <c r="F976" s="202" t="n">
        <v>200025888790</v>
      </c>
      <c r="G976" s="198" t="s">
        <v>588</v>
      </c>
      <c r="H976" s="188" t="s">
        <v>442</v>
      </c>
      <c r="I976" s="203" t="n">
        <v>117</v>
      </c>
      <c r="J976" s="204" t="s">
        <v>192</v>
      </c>
      <c r="K976" s="205" t="n">
        <v>45435.7987152778</v>
      </c>
      <c r="L976" s="3" t="n">
        <v>69</v>
      </c>
      <c r="M976" s="3" t="n">
        <v>69</v>
      </c>
      <c r="N976" s="1" t="n">
        <v>11</v>
      </c>
      <c r="O976" s="154" t="n">
        <v>0</v>
      </c>
    </row>
    <row r="977" customFormat="false" ht="14.25" hidden="false" customHeight="false" outlineLevel="0" collapsed="false">
      <c r="A977" s="154" t="n">
        <v>91</v>
      </c>
      <c r="B977" s="154" t="s">
        <v>681</v>
      </c>
      <c r="C977" s="154" t="s">
        <v>682</v>
      </c>
      <c r="D977" s="154" t="n">
        <v>11197</v>
      </c>
      <c r="E977" s="1" t="s">
        <v>53</v>
      </c>
      <c r="F977" s="202" t="n">
        <v>200025888790</v>
      </c>
      <c r="G977" s="198" t="s">
        <v>588</v>
      </c>
      <c r="H977" s="188" t="s">
        <v>442</v>
      </c>
      <c r="I977" s="203" t="n">
        <v>117</v>
      </c>
      <c r="J977" s="204" t="s">
        <v>192</v>
      </c>
      <c r="K977" s="205" t="n">
        <v>45435.7987152778</v>
      </c>
      <c r="L977" s="3" t="n">
        <v>69</v>
      </c>
      <c r="M977" s="3" t="n">
        <v>69</v>
      </c>
      <c r="N977" s="1" t="n">
        <v>12</v>
      </c>
      <c r="O977" s="154" t="n">
        <v>0</v>
      </c>
    </row>
    <row r="978" customFormat="false" ht="14.25" hidden="false" customHeight="false" outlineLevel="0" collapsed="false">
      <c r="A978" s="154" t="n">
        <v>92</v>
      </c>
      <c r="B978" s="154" t="s">
        <v>681</v>
      </c>
      <c r="C978" s="154" t="s">
        <v>682</v>
      </c>
      <c r="D978" s="154" t="n">
        <v>11197</v>
      </c>
      <c r="E978" s="1" t="s">
        <v>53</v>
      </c>
      <c r="F978" s="202" t="n">
        <v>200025888790</v>
      </c>
      <c r="G978" s="198" t="s">
        <v>588</v>
      </c>
      <c r="H978" s="188" t="s">
        <v>442</v>
      </c>
      <c r="I978" s="203" t="n">
        <v>117</v>
      </c>
      <c r="J978" s="204" t="s">
        <v>192</v>
      </c>
      <c r="K978" s="206" t="n">
        <v>45435.7987152778</v>
      </c>
      <c r="L978" s="3" t="n">
        <v>69</v>
      </c>
      <c r="M978" s="3" t="n">
        <v>69</v>
      </c>
      <c r="N978" s="1" t="n">
        <v>13</v>
      </c>
      <c r="O978" s="154" t="n">
        <v>0</v>
      </c>
    </row>
    <row r="979" customFormat="false" ht="14.25" hidden="false" customHeight="false" outlineLevel="0" collapsed="false">
      <c r="A979" s="154" t="n">
        <v>80</v>
      </c>
      <c r="B979" s="154" t="s">
        <v>681</v>
      </c>
      <c r="C979" s="154" t="s">
        <v>682</v>
      </c>
      <c r="D979" s="154" t="n">
        <v>11197</v>
      </c>
      <c r="E979" s="1" t="s">
        <v>53</v>
      </c>
      <c r="F979" s="202" t="n">
        <v>200025889159</v>
      </c>
      <c r="G979" s="198" t="s">
        <v>588</v>
      </c>
      <c r="H979" s="188" t="s">
        <v>442</v>
      </c>
      <c r="I979" s="203" t="n">
        <v>117</v>
      </c>
      <c r="J979" s="204" t="s">
        <v>192</v>
      </c>
      <c r="K979" s="205" t="n">
        <v>45435.7987152778</v>
      </c>
      <c r="L979" s="3" t="n">
        <v>69</v>
      </c>
      <c r="M979" s="3" t="n">
        <v>69</v>
      </c>
      <c r="N979" s="1" t="n">
        <v>14</v>
      </c>
      <c r="O979" s="154" t="n">
        <v>0</v>
      </c>
    </row>
    <row r="980" customFormat="false" ht="14.25" hidden="false" customHeight="false" outlineLevel="0" collapsed="false">
      <c r="A980" s="154" t="n">
        <v>81</v>
      </c>
      <c r="B980" s="154" t="s">
        <v>681</v>
      </c>
      <c r="C980" s="154" t="s">
        <v>682</v>
      </c>
      <c r="D980" s="154" t="n">
        <v>11197</v>
      </c>
      <c r="E980" s="1" t="s">
        <v>53</v>
      </c>
      <c r="F980" s="202" t="n">
        <v>200025889159</v>
      </c>
      <c r="G980" s="198" t="s">
        <v>588</v>
      </c>
      <c r="H980" s="188" t="s">
        <v>442</v>
      </c>
      <c r="I980" s="203" t="n">
        <v>117</v>
      </c>
      <c r="J980" s="204" t="s">
        <v>192</v>
      </c>
      <c r="K980" s="205" t="n">
        <v>45435.7987152778</v>
      </c>
      <c r="L980" s="3" t="n">
        <v>69</v>
      </c>
      <c r="M980" s="3" t="n">
        <v>69</v>
      </c>
      <c r="N980" s="1" t="n">
        <v>15</v>
      </c>
      <c r="O980" s="154" t="n">
        <v>0</v>
      </c>
    </row>
    <row r="981" customFormat="false" ht="14.25" hidden="false" customHeight="false" outlineLevel="0" collapsed="false">
      <c r="A981" s="154" t="n">
        <v>100</v>
      </c>
      <c r="B981" s="154" t="s">
        <v>681</v>
      </c>
      <c r="C981" s="154" t="s">
        <v>682</v>
      </c>
      <c r="D981" s="154" t="n">
        <v>11197</v>
      </c>
      <c r="E981" s="1" t="s">
        <v>53</v>
      </c>
      <c r="F981" s="202" t="n">
        <v>200025889159</v>
      </c>
      <c r="G981" s="198" t="s">
        <v>588</v>
      </c>
      <c r="H981" s="188" t="s">
        <v>442</v>
      </c>
      <c r="I981" s="203" t="n">
        <v>117</v>
      </c>
      <c r="J981" s="204" t="s">
        <v>192</v>
      </c>
      <c r="K981" s="205" t="n">
        <v>45435.7987152778</v>
      </c>
      <c r="L981" s="3" t="n">
        <v>69</v>
      </c>
      <c r="M981" s="3" t="n">
        <v>69</v>
      </c>
      <c r="N981" s="1" t="n">
        <v>16</v>
      </c>
      <c r="O981" s="154" t="n">
        <v>0</v>
      </c>
    </row>
    <row r="982" customFormat="false" ht="14.25" hidden="false" customHeight="false" outlineLevel="0" collapsed="false">
      <c r="A982" s="154" t="n">
        <v>101</v>
      </c>
      <c r="B982" s="154" t="s">
        <v>681</v>
      </c>
      <c r="C982" s="154" t="s">
        <v>682</v>
      </c>
      <c r="D982" s="154" t="n">
        <v>11197</v>
      </c>
      <c r="E982" s="1" t="s">
        <v>53</v>
      </c>
      <c r="F982" s="202" t="n">
        <v>200025889159</v>
      </c>
      <c r="G982" s="198" t="s">
        <v>588</v>
      </c>
      <c r="H982" s="188" t="s">
        <v>442</v>
      </c>
      <c r="I982" s="203" t="n">
        <v>117</v>
      </c>
      <c r="J982" s="204" t="s">
        <v>192</v>
      </c>
      <c r="K982" s="205" t="n">
        <v>45435.7987152778</v>
      </c>
      <c r="L982" s="3" t="n">
        <v>69</v>
      </c>
      <c r="M982" s="3" t="n">
        <v>69</v>
      </c>
      <c r="N982" s="1" t="n">
        <v>17</v>
      </c>
      <c r="O982" s="154" t="n">
        <v>0</v>
      </c>
    </row>
    <row r="983" customFormat="false" ht="14.25" hidden="false" customHeight="false" outlineLevel="0" collapsed="false">
      <c r="A983" s="1" t="n">
        <v>150</v>
      </c>
      <c r="B983" s="1" t="s">
        <v>565</v>
      </c>
      <c r="C983" s="1" t="s">
        <v>566</v>
      </c>
      <c r="D983" s="196" t="n">
        <v>2568</v>
      </c>
      <c r="E983" s="196" t="s">
        <v>51</v>
      </c>
      <c r="F983" s="197" t="s">
        <v>587</v>
      </c>
      <c r="G983" s="198" t="s">
        <v>588</v>
      </c>
      <c r="H983" s="163" t="s">
        <v>442</v>
      </c>
      <c r="I983" s="161" t="n">
        <v>117</v>
      </c>
      <c r="J983" s="156" t="s">
        <v>192</v>
      </c>
      <c r="K983" s="199" t="n">
        <v>45436.0352893519</v>
      </c>
      <c r="L983" s="3" t="n">
        <v>69</v>
      </c>
      <c r="M983" s="3" t="n">
        <v>69</v>
      </c>
      <c r="N983" s="1" t="n">
        <v>18</v>
      </c>
      <c r="O983" s="1" t="n">
        <v>0</v>
      </c>
    </row>
    <row r="984" customFormat="false" ht="14.25" hidden="false" customHeight="false" outlineLevel="0" collapsed="false">
      <c r="A984" s="1" t="n">
        <v>151</v>
      </c>
      <c r="B984" s="1" t="s">
        <v>565</v>
      </c>
      <c r="C984" s="1" t="s">
        <v>566</v>
      </c>
      <c r="D984" s="196" t="n">
        <v>2568</v>
      </c>
      <c r="E984" s="196" t="s">
        <v>51</v>
      </c>
      <c r="F984" s="197" t="s">
        <v>587</v>
      </c>
      <c r="G984" s="198" t="s">
        <v>588</v>
      </c>
      <c r="H984" s="163" t="s">
        <v>442</v>
      </c>
      <c r="I984" s="161" t="n">
        <v>117</v>
      </c>
      <c r="J984" s="156" t="s">
        <v>192</v>
      </c>
      <c r="K984" s="199" t="n">
        <v>45436.0353009259</v>
      </c>
      <c r="L984" s="3" t="n">
        <v>69</v>
      </c>
      <c r="M984" s="3" t="n">
        <v>69</v>
      </c>
      <c r="N984" s="1" t="n">
        <v>19</v>
      </c>
      <c r="O984" s="1" t="n">
        <v>0</v>
      </c>
    </row>
    <row r="985" customFormat="false" ht="14.25" hidden="false" customHeight="false" outlineLevel="0" collapsed="false">
      <c r="A985" s="1" t="n">
        <v>152</v>
      </c>
      <c r="B985" s="1" t="s">
        <v>565</v>
      </c>
      <c r="C985" s="1" t="s">
        <v>566</v>
      </c>
      <c r="D985" s="196" t="n">
        <v>2568</v>
      </c>
      <c r="E985" s="196" t="s">
        <v>51</v>
      </c>
      <c r="F985" s="197" t="s">
        <v>587</v>
      </c>
      <c r="G985" s="198" t="s">
        <v>588</v>
      </c>
      <c r="H985" s="163" t="s">
        <v>442</v>
      </c>
      <c r="I985" s="161" t="n">
        <v>117</v>
      </c>
      <c r="J985" s="156" t="s">
        <v>192</v>
      </c>
      <c r="K985" s="199" t="n">
        <v>45436.036724537</v>
      </c>
      <c r="L985" s="3" t="n">
        <v>69</v>
      </c>
      <c r="M985" s="3" t="n">
        <v>69</v>
      </c>
      <c r="N985" s="1" t="n">
        <v>20</v>
      </c>
      <c r="O985" s="1" t="n">
        <v>0</v>
      </c>
    </row>
    <row r="986" customFormat="false" ht="14.25" hidden="false" customHeight="false" outlineLevel="0" collapsed="false">
      <c r="A986" s="1" t="n">
        <v>153</v>
      </c>
      <c r="B986" s="1" t="s">
        <v>565</v>
      </c>
      <c r="C986" s="1" t="s">
        <v>566</v>
      </c>
      <c r="D986" s="196" t="n">
        <v>2568</v>
      </c>
      <c r="E986" s="196" t="s">
        <v>51</v>
      </c>
      <c r="F986" s="197" t="s">
        <v>587</v>
      </c>
      <c r="G986" s="198" t="s">
        <v>588</v>
      </c>
      <c r="H986" s="163" t="s">
        <v>442</v>
      </c>
      <c r="I986" s="161" t="n">
        <v>117</v>
      </c>
      <c r="J986" s="156" t="s">
        <v>192</v>
      </c>
      <c r="K986" s="199" t="n">
        <v>45436.0385069444</v>
      </c>
      <c r="L986" s="3" t="n">
        <v>69</v>
      </c>
      <c r="M986" s="3" t="n">
        <v>69</v>
      </c>
      <c r="N986" s="1" t="n">
        <v>21</v>
      </c>
      <c r="O986" s="1" t="n">
        <v>1</v>
      </c>
    </row>
    <row r="987" customFormat="false" ht="14.25" hidden="false" customHeight="false" outlineLevel="0" collapsed="false">
      <c r="A987" s="1" t="n">
        <v>155</v>
      </c>
      <c r="B987" s="1" t="s">
        <v>565</v>
      </c>
      <c r="C987" s="1" t="s">
        <v>566</v>
      </c>
      <c r="D987" s="196" t="n">
        <v>2568</v>
      </c>
      <c r="E987" s="196" t="s">
        <v>51</v>
      </c>
      <c r="F987" s="197" t="s">
        <v>587</v>
      </c>
      <c r="G987" s="198" t="s">
        <v>588</v>
      </c>
      <c r="H987" s="163" t="s">
        <v>442</v>
      </c>
      <c r="I987" s="161" t="n">
        <v>117</v>
      </c>
      <c r="J987" s="156" t="s">
        <v>192</v>
      </c>
      <c r="K987" s="199" t="n">
        <v>45436.050775463</v>
      </c>
      <c r="L987" s="3" t="n">
        <v>69</v>
      </c>
      <c r="M987" s="3" t="n">
        <v>69</v>
      </c>
      <c r="N987" s="1" t="n">
        <v>22</v>
      </c>
      <c r="O987" s="1" t="n">
        <v>0</v>
      </c>
    </row>
    <row r="988" customFormat="false" ht="14.25" hidden="false" customHeight="false" outlineLevel="0" collapsed="false">
      <c r="A988" s="1" t="n">
        <v>79</v>
      </c>
      <c r="B988" s="1" t="s">
        <v>684</v>
      </c>
      <c r="C988" s="1" t="s">
        <v>685</v>
      </c>
      <c r="D988" s="1" t="n">
        <v>21296</v>
      </c>
      <c r="E988" s="1" t="s">
        <v>57</v>
      </c>
      <c r="F988" s="201" t="n">
        <v>200025888790</v>
      </c>
      <c r="G988" s="198" t="s">
        <v>588</v>
      </c>
      <c r="H988" s="163" t="s">
        <v>442</v>
      </c>
      <c r="I988" s="161" t="n">
        <v>117</v>
      </c>
      <c r="J988" s="156" t="s">
        <v>192</v>
      </c>
      <c r="K988" s="200" t="n">
        <v>45454.5052777778</v>
      </c>
      <c r="L988" s="3" t="n">
        <v>69</v>
      </c>
      <c r="M988" s="3" t="n">
        <v>69</v>
      </c>
      <c r="N988" s="1" t="n">
        <v>23</v>
      </c>
      <c r="O988" s="1" t="n">
        <v>1</v>
      </c>
    </row>
    <row r="989" customFormat="false" ht="14.25" hidden="false" customHeight="false" outlineLevel="0" collapsed="false">
      <c r="A989" s="1" t="n">
        <v>80</v>
      </c>
      <c r="B989" s="1" t="s">
        <v>684</v>
      </c>
      <c r="C989" s="1" t="s">
        <v>685</v>
      </c>
      <c r="D989" s="1" t="n">
        <v>21296</v>
      </c>
      <c r="E989" s="1" t="s">
        <v>57</v>
      </c>
      <c r="F989" s="201" t="n">
        <v>200025888790</v>
      </c>
      <c r="G989" s="198" t="s">
        <v>588</v>
      </c>
      <c r="H989" s="163" t="s">
        <v>442</v>
      </c>
      <c r="I989" s="161" t="n">
        <v>117</v>
      </c>
      <c r="J989" s="156" t="s">
        <v>192</v>
      </c>
      <c r="K989" s="200" t="n">
        <v>45454.5052893519</v>
      </c>
      <c r="L989" s="3" t="n">
        <v>69</v>
      </c>
      <c r="M989" s="3" t="n">
        <v>69</v>
      </c>
      <c r="N989" s="1" t="n">
        <v>24</v>
      </c>
      <c r="O989" s="1" t="n">
        <v>2</v>
      </c>
    </row>
    <row r="990" customFormat="false" ht="14.25" hidden="false" customHeight="false" outlineLevel="0" collapsed="false">
      <c r="A990" s="1" t="n">
        <v>81</v>
      </c>
      <c r="B990" s="1" t="s">
        <v>684</v>
      </c>
      <c r="C990" s="1" t="s">
        <v>685</v>
      </c>
      <c r="D990" s="1" t="n">
        <v>21296</v>
      </c>
      <c r="E990" s="1" t="s">
        <v>57</v>
      </c>
      <c r="F990" s="201" t="n">
        <v>200025888790</v>
      </c>
      <c r="G990" s="198" t="s">
        <v>588</v>
      </c>
      <c r="H990" s="163" t="s">
        <v>442</v>
      </c>
      <c r="I990" s="161" t="n">
        <v>117</v>
      </c>
      <c r="J990" s="156" t="s">
        <v>192</v>
      </c>
      <c r="K990" s="200" t="n">
        <v>45454.5848263889</v>
      </c>
      <c r="L990" s="3" t="n">
        <v>69</v>
      </c>
      <c r="M990" s="3" t="n">
        <v>69</v>
      </c>
      <c r="N990" s="1" t="n">
        <v>25</v>
      </c>
      <c r="O990" s="1" t="n">
        <v>2</v>
      </c>
    </row>
    <row r="991" customFormat="false" ht="14.25" hidden="false" customHeight="false" outlineLevel="0" collapsed="false">
      <c r="A991" s="1" t="n">
        <v>82</v>
      </c>
      <c r="B991" s="1" t="s">
        <v>684</v>
      </c>
      <c r="C991" s="1" t="s">
        <v>685</v>
      </c>
      <c r="D991" s="1" t="n">
        <v>21296</v>
      </c>
      <c r="E991" s="1" t="s">
        <v>57</v>
      </c>
      <c r="F991" s="201" t="n">
        <v>200025888790</v>
      </c>
      <c r="G991" s="198" t="s">
        <v>588</v>
      </c>
      <c r="H991" s="163" t="s">
        <v>442</v>
      </c>
      <c r="I991" s="161" t="n">
        <v>117</v>
      </c>
      <c r="J991" s="156" t="s">
        <v>192</v>
      </c>
      <c r="K991" s="200" t="n">
        <v>45454.584849537</v>
      </c>
      <c r="L991" s="3" t="n">
        <v>69</v>
      </c>
      <c r="M991" s="3" t="n">
        <v>69</v>
      </c>
      <c r="N991" s="1" t="n">
        <v>26</v>
      </c>
      <c r="O991" s="1" t="n">
        <v>1</v>
      </c>
    </row>
    <row r="992" customFormat="false" ht="14.25" hidden="false" customHeight="false" outlineLevel="0" collapsed="false">
      <c r="A992" s="1" t="n">
        <v>83</v>
      </c>
      <c r="B992" s="1" t="s">
        <v>684</v>
      </c>
      <c r="C992" s="1" t="s">
        <v>685</v>
      </c>
      <c r="D992" s="1" t="n">
        <v>21296</v>
      </c>
      <c r="E992" s="1" t="s">
        <v>57</v>
      </c>
      <c r="F992" s="201" t="n">
        <v>200025888790</v>
      </c>
      <c r="G992" s="198" t="s">
        <v>588</v>
      </c>
      <c r="H992" s="163" t="s">
        <v>442</v>
      </c>
      <c r="I992" s="161" t="n">
        <v>117</v>
      </c>
      <c r="J992" s="156" t="s">
        <v>192</v>
      </c>
      <c r="K992" s="200" t="n">
        <v>45454.5848611111</v>
      </c>
      <c r="L992" s="3" t="n">
        <v>69</v>
      </c>
      <c r="M992" s="3" t="n">
        <v>69</v>
      </c>
      <c r="N992" s="1" t="n">
        <v>27</v>
      </c>
      <c r="O992" s="1" t="n">
        <v>1</v>
      </c>
    </row>
    <row r="993" customFormat="false" ht="14.25" hidden="false" customHeight="false" outlineLevel="0" collapsed="false">
      <c r="A993" s="1" t="n">
        <v>122</v>
      </c>
      <c r="B993" s="1" t="s">
        <v>684</v>
      </c>
      <c r="C993" s="1" t="s">
        <v>685</v>
      </c>
      <c r="D993" s="1" t="n">
        <v>21296</v>
      </c>
      <c r="E993" s="1" t="s">
        <v>57</v>
      </c>
      <c r="F993" s="201" t="n">
        <v>200025888790</v>
      </c>
      <c r="G993" s="198" t="s">
        <v>588</v>
      </c>
      <c r="H993" s="163" t="s">
        <v>442</v>
      </c>
      <c r="I993" s="161" t="n">
        <v>117</v>
      </c>
      <c r="J993" s="156" t="s">
        <v>192</v>
      </c>
      <c r="K993" s="200" t="n">
        <v>45454.932650463</v>
      </c>
      <c r="L993" s="3" t="n">
        <v>69</v>
      </c>
      <c r="M993" s="3" t="n">
        <v>69</v>
      </c>
      <c r="N993" s="1" t="n">
        <v>28</v>
      </c>
      <c r="O993" s="1" t="n">
        <v>2</v>
      </c>
    </row>
    <row r="994" customFormat="false" ht="14.25" hidden="false" customHeight="false" outlineLevel="0" collapsed="false">
      <c r="A994" s="1" t="n">
        <v>123</v>
      </c>
      <c r="B994" s="1" t="s">
        <v>684</v>
      </c>
      <c r="C994" s="1" t="s">
        <v>685</v>
      </c>
      <c r="D994" s="1" t="n">
        <v>21296</v>
      </c>
      <c r="E994" s="1" t="s">
        <v>57</v>
      </c>
      <c r="F994" s="201" t="n">
        <v>200025888790</v>
      </c>
      <c r="G994" s="198" t="s">
        <v>588</v>
      </c>
      <c r="H994" s="163" t="s">
        <v>442</v>
      </c>
      <c r="I994" s="161" t="n">
        <v>117</v>
      </c>
      <c r="J994" s="156" t="s">
        <v>192</v>
      </c>
      <c r="K994" s="200" t="n">
        <v>45454.9326736111</v>
      </c>
      <c r="L994" s="3" t="n">
        <v>69</v>
      </c>
      <c r="M994" s="3" t="n">
        <v>69</v>
      </c>
      <c r="N994" s="1" t="n">
        <v>29</v>
      </c>
      <c r="O994" s="1" t="n">
        <v>0</v>
      </c>
    </row>
    <row r="995" customFormat="false" ht="14.25" hidden="false" customHeight="false" outlineLevel="0" collapsed="false">
      <c r="A995" s="1" t="n">
        <v>124</v>
      </c>
      <c r="B995" s="1" t="s">
        <v>684</v>
      </c>
      <c r="C995" s="1" t="s">
        <v>685</v>
      </c>
      <c r="D995" s="1" t="n">
        <v>21296</v>
      </c>
      <c r="E995" s="1" t="s">
        <v>57</v>
      </c>
      <c r="F995" s="201" t="n">
        <v>200025888790</v>
      </c>
      <c r="G995" s="198" t="s">
        <v>588</v>
      </c>
      <c r="H995" s="163" t="s">
        <v>442</v>
      </c>
      <c r="I995" s="161" t="n">
        <v>117</v>
      </c>
      <c r="J995" s="156" t="s">
        <v>192</v>
      </c>
      <c r="K995" s="200" t="n">
        <v>45454.9326967593</v>
      </c>
      <c r="L995" s="3" t="n">
        <v>69</v>
      </c>
      <c r="M995" s="3" t="n">
        <v>69</v>
      </c>
      <c r="N995" s="1" t="n">
        <v>30</v>
      </c>
      <c r="O995" s="1" t="n">
        <v>0</v>
      </c>
    </row>
    <row r="996" customFormat="false" ht="14.25" hidden="false" customHeight="false" outlineLevel="0" collapsed="false">
      <c r="A996" s="1" t="n">
        <v>99</v>
      </c>
      <c r="B996" s="1" t="s">
        <v>565</v>
      </c>
      <c r="C996" s="1" t="s">
        <v>566</v>
      </c>
      <c r="D996" s="196" t="n">
        <v>2568</v>
      </c>
      <c r="E996" s="196" t="s">
        <v>51</v>
      </c>
      <c r="F996" s="197" t="s">
        <v>595</v>
      </c>
      <c r="G996" s="198" t="s">
        <v>596</v>
      </c>
      <c r="H996" s="163" t="s">
        <v>534</v>
      </c>
      <c r="I996" s="161" t="n">
        <v>98</v>
      </c>
      <c r="J996" s="156" t="s">
        <v>192</v>
      </c>
      <c r="K996" s="199" t="n">
        <v>45435.6821643519</v>
      </c>
      <c r="L996" s="3" t="n">
        <v>70</v>
      </c>
      <c r="M996" s="3" t="n">
        <v>70</v>
      </c>
      <c r="N996" s="1" t="n">
        <v>1</v>
      </c>
      <c r="O996" s="1" t="n">
        <v>1</v>
      </c>
    </row>
    <row r="997" customFormat="false" ht="14.25" hidden="false" customHeight="false" outlineLevel="0" collapsed="false">
      <c r="A997" s="1" t="n">
        <v>100</v>
      </c>
      <c r="B997" s="1" t="s">
        <v>565</v>
      </c>
      <c r="C997" s="1" t="s">
        <v>566</v>
      </c>
      <c r="D997" s="196" t="n">
        <v>2568</v>
      </c>
      <c r="E997" s="196" t="s">
        <v>51</v>
      </c>
      <c r="F997" s="197" t="s">
        <v>595</v>
      </c>
      <c r="G997" s="198" t="s">
        <v>596</v>
      </c>
      <c r="H997" s="163" t="s">
        <v>534</v>
      </c>
      <c r="I997" s="161" t="n">
        <v>98</v>
      </c>
      <c r="J997" s="156" t="s">
        <v>192</v>
      </c>
      <c r="K997" s="199" t="n">
        <v>45435.6821759259</v>
      </c>
      <c r="L997" s="3" t="n">
        <v>70</v>
      </c>
      <c r="M997" s="3" t="n">
        <v>70</v>
      </c>
      <c r="N997" s="1" t="n">
        <v>2</v>
      </c>
      <c r="O997" s="1" t="n">
        <v>2</v>
      </c>
    </row>
    <row r="998" customFormat="false" ht="14.25" hidden="false" customHeight="false" outlineLevel="0" collapsed="false">
      <c r="A998" s="1" t="n">
        <v>101</v>
      </c>
      <c r="B998" s="1" t="s">
        <v>565</v>
      </c>
      <c r="C998" s="1" t="s">
        <v>566</v>
      </c>
      <c r="D998" s="196" t="n">
        <v>2568</v>
      </c>
      <c r="E998" s="196" t="s">
        <v>51</v>
      </c>
      <c r="F998" s="197" t="s">
        <v>595</v>
      </c>
      <c r="G998" s="198" t="s">
        <v>596</v>
      </c>
      <c r="H998" s="163" t="s">
        <v>534</v>
      </c>
      <c r="I998" s="161" t="n">
        <v>98</v>
      </c>
      <c r="J998" s="156" t="s">
        <v>192</v>
      </c>
      <c r="K998" s="199" t="n">
        <v>45435.6847106482</v>
      </c>
      <c r="L998" s="3" t="n">
        <v>70</v>
      </c>
      <c r="M998" s="3" t="n">
        <v>70</v>
      </c>
      <c r="N998" s="1" t="n">
        <v>3</v>
      </c>
      <c r="O998" s="10" t="n">
        <v>114</v>
      </c>
    </row>
    <row r="999" customFormat="false" ht="14.25" hidden="false" customHeight="false" outlineLevel="0" collapsed="false">
      <c r="A999" s="1" t="n">
        <v>135</v>
      </c>
      <c r="B999" s="1" t="s">
        <v>565</v>
      </c>
      <c r="C999" s="1" t="s">
        <v>566</v>
      </c>
      <c r="D999" s="196" t="n">
        <v>2568</v>
      </c>
      <c r="E999" s="196" t="s">
        <v>51</v>
      </c>
      <c r="F999" s="197" t="s">
        <v>595</v>
      </c>
      <c r="G999" s="198" t="s">
        <v>596</v>
      </c>
      <c r="H999" s="163" t="s">
        <v>534</v>
      </c>
      <c r="I999" s="161" t="n">
        <v>98</v>
      </c>
      <c r="J999" s="156" t="s">
        <v>192</v>
      </c>
      <c r="K999" s="199" t="n">
        <v>45435.9530902778</v>
      </c>
      <c r="L999" s="3" t="n">
        <v>70</v>
      </c>
      <c r="M999" s="3" t="n">
        <v>70</v>
      </c>
      <c r="N999" s="1" t="n">
        <v>4</v>
      </c>
      <c r="O999" s="1" t="n">
        <v>2</v>
      </c>
    </row>
    <row r="1000" customFormat="false" ht="14.25" hidden="false" customHeight="false" outlineLevel="0" collapsed="false">
      <c r="A1000" s="1" t="n">
        <v>136</v>
      </c>
      <c r="B1000" s="1" t="s">
        <v>565</v>
      </c>
      <c r="C1000" s="1" t="s">
        <v>566</v>
      </c>
      <c r="D1000" s="196" t="n">
        <v>2568</v>
      </c>
      <c r="E1000" s="196" t="s">
        <v>51</v>
      </c>
      <c r="F1000" s="197" t="s">
        <v>595</v>
      </c>
      <c r="G1000" s="198" t="s">
        <v>596</v>
      </c>
      <c r="H1000" s="163" t="s">
        <v>534</v>
      </c>
      <c r="I1000" s="161" t="n">
        <v>98</v>
      </c>
      <c r="J1000" s="156" t="s">
        <v>192</v>
      </c>
      <c r="K1000" s="199" t="n">
        <v>45435.9539236111</v>
      </c>
      <c r="L1000" s="3" t="n">
        <v>70</v>
      </c>
      <c r="M1000" s="3" t="n">
        <v>70</v>
      </c>
      <c r="N1000" s="1" t="n">
        <v>5</v>
      </c>
      <c r="O1000" s="1" t="n">
        <v>2</v>
      </c>
    </row>
    <row r="1001" customFormat="false" ht="14.25" hidden="false" customHeight="false" outlineLevel="0" collapsed="false">
      <c r="A1001" s="1" t="n">
        <v>137</v>
      </c>
      <c r="B1001" s="1" t="s">
        <v>565</v>
      </c>
      <c r="C1001" s="1" t="s">
        <v>566</v>
      </c>
      <c r="D1001" s="196" t="n">
        <v>2568</v>
      </c>
      <c r="E1001" s="196" t="s">
        <v>51</v>
      </c>
      <c r="F1001" s="197" t="s">
        <v>595</v>
      </c>
      <c r="G1001" s="198" t="s">
        <v>596</v>
      </c>
      <c r="H1001" s="163" t="s">
        <v>534</v>
      </c>
      <c r="I1001" s="161" t="n">
        <v>98</v>
      </c>
      <c r="J1001" s="156" t="s">
        <v>192</v>
      </c>
      <c r="K1001" s="199" t="n">
        <v>45435.9547453704</v>
      </c>
      <c r="L1001" s="3" t="n">
        <v>70</v>
      </c>
      <c r="M1001" s="3" t="n">
        <v>70</v>
      </c>
      <c r="N1001" s="1" t="n">
        <v>6</v>
      </c>
      <c r="O1001" s="1" t="n">
        <v>1</v>
      </c>
    </row>
    <row r="1002" customFormat="false" ht="14.25" hidden="false" customHeight="false" outlineLevel="0" collapsed="false">
      <c r="A1002" s="1" t="n">
        <v>138</v>
      </c>
      <c r="B1002" s="1" t="s">
        <v>565</v>
      </c>
      <c r="C1002" s="1" t="s">
        <v>566</v>
      </c>
      <c r="D1002" s="196" t="n">
        <v>2568</v>
      </c>
      <c r="E1002" s="196" t="s">
        <v>51</v>
      </c>
      <c r="F1002" s="197" t="s">
        <v>595</v>
      </c>
      <c r="G1002" s="198" t="s">
        <v>596</v>
      </c>
      <c r="H1002" s="163" t="s">
        <v>534</v>
      </c>
      <c r="I1002" s="161" t="n">
        <v>98</v>
      </c>
      <c r="J1002" s="156" t="s">
        <v>192</v>
      </c>
      <c r="K1002" s="199" t="n">
        <v>45435.9559259259</v>
      </c>
      <c r="L1002" s="3" t="n">
        <v>70</v>
      </c>
      <c r="M1002" s="3" t="n">
        <v>70</v>
      </c>
      <c r="N1002" s="1" t="n">
        <v>7</v>
      </c>
      <c r="O1002" s="1" t="n">
        <v>0</v>
      </c>
    </row>
    <row r="1003" customFormat="false" ht="14.25" hidden="false" customHeight="false" outlineLevel="0" collapsed="false">
      <c r="A1003" s="1" t="n">
        <v>139</v>
      </c>
      <c r="B1003" s="1" t="s">
        <v>565</v>
      </c>
      <c r="C1003" s="1" t="s">
        <v>566</v>
      </c>
      <c r="D1003" s="196" t="n">
        <v>2568</v>
      </c>
      <c r="E1003" s="196" t="s">
        <v>51</v>
      </c>
      <c r="F1003" s="197" t="s">
        <v>595</v>
      </c>
      <c r="G1003" s="198" t="s">
        <v>596</v>
      </c>
      <c r="H1003" s="163" t="s">
        <v>534</v>
      </c>
      <c r="I1003" s="161" t="n">
        <v>98</v>
      </c>
      <c r="J1003" s="156" t="s">
        <v>192</v>
      </c>
      <c r="K1003" s="199" t="n">
        <v>45435.957037037</v>
      </c>
      <c r="L1003" s="3" t="n">
        <v>70</v>
      </c>
      <c r="M1003" s="3" t="n">
        <v>70</v>
      </c>
      <c r="N1003" s="1" t="n">
        <v>8</v>
      </c>
      <c r="O1003" s="1" t="n">
        <v>1</v>
      </c>
    </row>
    <row r="1004" customFormat="false" ht="14.25" hidden="false" customHeight="false" outlineLevel="0" collapsed="false">
      <c r="A1004" s="1" t="n">
        <v>140</v>
      </c>
      <c r="B1004" s="1" t="s">
        <v>565</v>
      </c>
      <c r="C1004" s="1" t="s">
        <v>566</v>
      </c>
      <c r="D1004" s="196" t="n">
        <v>2568</v>
      </c>
      <c r="E1004" s="196" t="s">
        <v>51</v>
      </c>
      <c r="F1004" s="197" t="s">
        <v>595</v>
      </c>
      <c r="G1004" s="198" t="s">
        <v>596</v>
      </c>
      <c r="H1004" s="163" t="s">
        <v>534</v>
      </c>
      <c r="I1004" s="161" t="n">
        <v>98</v>
      </c>
      <c r="J1004" s="156" t="s">
        <v>192</v>
      </c>
      <c r="K1004" s="199" t="n">
        <v>45435.9570486111</v>
      </c>
      <c r="L1004" s="3" t="n">
        <v>70</v>
      </c>
      <c r="M1004" s="3" t="n">
        <v>70</v>
      </c>
      <c r="N1004" s="1" t="n">
        <v>9</v>
      </c>
      <c r="O1004" s="1" t="n">
        <v>1</v>
      </c>
    </row>
    <row r="1005" customFormat="false" ht="14.25" hidden="false" customHeight="false" outlineLevel="0" collapsed="false">
      <c r="A1005" s="1" t="n">
        <v>141</v>
      </c>
      <c r="B1005" s="1" t="s">
        <v>565</v>
      </c>
      <c r="C1005" s="1" t="s">
        <v>566</v>
      </c>
      <c r="D1005" s="196" t="n">
        <v>2568</v>
      </c>
      <c r="E1005" s="196" t="s">
        <v>51</v>
      </c>
      <c r="F1005" s="197" t="s">
        <v>595</v>
      </c>
      <c r="G1005" s="198" t="s">
        <v>596</v>
      </c>
      <c r="H1005" s="163" t="s">
        <v>534</v>
      </c>
      <c r="I1005" s="161" t="n">
        <v>98</v>
      </c>
      <c r="J1005" s="156" t="s">
        <v>192</v>
      </c>
      <c r="K1005" s="199" t="n">
        <v>45435.9800694444</v>
      </c>
      <c r="L1005" s="3" t="n">
        <v>70</v>
      </c>
      <c r="M1005" s="3" t="n">
        <v>70</v>
      </c>
      <c r="N1005" s="1" t="n">
        <v>10</v>
      </c>
      <c r="O1005" s="1" t="n">
        <v>1</v>
      </c>
    </row>
    <row r="1006" customFormat="false" ht="14.25" hidden="false" customHeight="false" outlineLevel="0" collapsed="false">
      <c r="A1006" s="1" t="n">
        <v>142</v>
      </c>
      <c r="B1006" s="1" t="s">
        <v>565</v>
      </c>
      <c r="C1006" s="1" t="s">
        <v>566</v>
      </c>
      <c r="D1006" s="196" t="n">
        <v>2568</v>
      </c>
      <c r="E1006" s="196" t="s">
        <v>51</v>
      </c>
      <c r="F1006" s="197" t="s">
        <v>595</v>
      </c>
      <c r="G1006" s="198" t="s">
        <v>596</v>
      </c>
      <c r="H1006" s="163" t="s">
        <v>534</v>
      </c>
      <c r="I1006" s="161" t="n">
        <v>98</v>
      </c>
      <c r="J1006" s="156" t="s">
        <v>192</v>
      </c>
      <c r="K1006" s="199" t="n">
        <v>45435.983275463</v>
      </c>
      <c r="L1006" s="3" t="n">
        <v>70</v>
      </c>
      <c r="M1006" s="3" t="n">
        <v>70</v>
      </c>
      <c r="N1006" s="1" t="n">
        <v>11</v>
      </c>
      <c r="O1006" s="1" t="n">
        <v>1</v>
      </c>
    </row>
    <row r="1007" customFormat="false" ht="14.25" hidden="false" customHeight="false" outlineLevel="0" collapsed="false">
      <c r="A1007" s="1" t="n">
        <v>143</v>
      </c>
      <c r="B1007" s="1" t="s">
        <v>565</v>
      </c>
      <c r="C1007" s="1" t="s">
        <v>566</v>
      </c>
      <c r="D1007" s="196" t="n">
        <v>2568</v>
      </c>
      <c r="E1007" s="196" t="s">
        <v>51</v>
      </c>
      <c r="F1007" s="197" t="s">
        <v>595</v>
      </c>
      <c r="G1007" s="198" t="s">
        <v>596</v>
      </c>
      <c r="H1007" s="163" t="s">
        <v>534</v>
      </c>
      <c r="I1007" s="161" t="n">
        <v>98</v>
      </c>
      <c r="J1007" s="156" t="s">
        <v>192</v>
      </c>
      <c r="K1007" s="199" t="n">
        <v>45435.9845949074</v>
      </c>
      <c r="L1007" s="3" t="n">
        <v>70</v>
      </c>
      <c r="M1007" s="3" t="n">
        <v>70</v>
      </c>
      <c r="N1007" s="1" t="n">
        <v>12</v>
      </c>
      <c r="O1007" s="1" t="n">
        <v>1</v>
      </c>
    </row>
    <row r="1008" customFormat="false" ht="14.25" hidden="false" customHeight="false" outlineLevel="0" collapsed="false">
      <c r="A1008" s="1" t="n">
        <v>154</v>
      </c>
      <c r="B1008" s="1" t="s">
        <v>565</v>
      </c>
      <c r="C1008" s="1" t="s">
        <v>566</v>
      </c>
      <c r="D1008" s="196" t="n">
        <v>2568</v>
      </c>
      <c r="E1008" s="196" t="s">
        <v>51</v>
      </c>
      <c r="F1008" s="197" t="s">
        <v>595</v>
      </c>
      <c r="G1008" s="198" t="s">
        <v>596</v>
      </c>
      <c r="H1008" s="163" t="s">
        <v>534</v>
      </c>
      <c r="I1008" s="161" t="n">
        <v>98</v>
      </c>
      <c r="J1008" s="156" t="s">
        <v>192</v>
      </c>
      <c r="K1008" s="199" t="n">
        <v>45436.0481597222</v>
      </c>
      <c r="L1008" s="3" t="n">
        <v>70</v>
      </c>
      <c r="M1008" s="3" t="n">
        <v>70</v>
      </c>
      <c r="N1008" s="1" t="n">
        <v>13</v>
      </c>
      <c r="O1008" s="1" t="n">
        <v>1</v>
      </c>
    </row>
    <row r="1009" customFormat="false" ht="14.25" hidden="false" customHeight="false" outlineLevel="0" collapsed="false">
      <c r="A1009" s="1" t="n">
        <v>172</v>
      </c>
      <c r="B1009" s="1" t="s">
        <v>565</v>
      </c>
      <c r="C1009" s="1" t="s">
        <v>566</v>
      </c>
      <c r="D1009" s="196" t="n">
        <v>2568</v>
      </c>
      <c r="E1009" s="196" t="s">
        <v>51</v>
      </c>
      <c r="F1009" s="197" t="s">
        <v>595</v>
      </c>
      <c r="G1009" s="198" t="s">
        <v>596</v>
      </c>
      <c r="H1009" s="163" t="s">
        <v>534</v>
      </c>
      <c r="I1009" s="161" t="n">
        <v>98</v>
      </c>
      <c r="J1009" s="156" t="s">
        <v>192</v>
      </c>
      <c r="K1009" s="199" t="n">
        <v>45436.1846759259</v>
      </c>
      <c r="L1009" s="3" t="n">
        <v>70</v>
      </c>
      <c r="M1009" s="3" t="n">
        <v>70</v>
      </c>
      <c r="N1009" s="1" t="n">
        <v>14</v>
      </c>
      <c r="O1009" s="1" t="n">
        <v>0</v>
      </c>
    </row>
    <row r="1010" customFormat="false" ht="14.25" hidden="false" customHeight="false" outlineLevel="0" collapsed="false">
      <c r="A1010" s="1" t="n">
        <v>173</v>
      </c>
      <c r="B1010" s="1" t="s">
        <v>565</v>
      </c>
      <c r="C1010" s="1" t="s">
        <v>566</v>
      </c>
      <c r="D1010" s="196" t="n">
        <v>2568</v>
      </c>
      <c r="E1010" s="196" t="s">
        <v>51</v>
      </c>
      <c r="F1010" s="197" t="s">
        <v>595</v>
      </c>
      <c r="G1010" s="198" t="s">
        <v>596</v>
      </c>
      <c r="H1010" s="163" t="s">
        <v>534</v>
      </c>
      <c r="I1010" s="161" t="n">
        <v>98</v>
      </c>
      <c r="J1010" s="156" t="s">
        <v>192</v>
      </c>
      <c r="K1010" s="199" t="n">
        <v>45436.1846875</v>
      </c>
      <c r="L1010" s="3" t="n">
        <v>70</v>
      </c>
      <c r="M1010" s="3" t="n">
        <v>70</v>
      </c>
      <c r="N1010" s="1" t="n">
        <v>15</v>
      </c>
      <c r="O1010" s="1" t="n">
        <v>1</v>
      </c>
    </row>
    <row r="1011" customFormat="false" ht="14.25" hidden="false" customHeight="false" outlineLevel="0" collapsed="false">
      <c r="A1011" s="1" t="n">
        <v>174</v>
      </c>
      <c r="B1011" s="1" t="s">
        <v>565</v>
      </c>
      <c r="C1011" s="1" t="s">
        <v>566</v>
      </c>
      <c r="D1011" s="196" t="n">
        <v>2568</v>
      </c>
      <c r="E1011" s="196" t="s">
        <v>51</v>
      </c>
      <c r="F1011" s="197" t="s">
        <v>595</v>
      </c>
      <c r="G1011" s="198" t="s">
        <v>596</v>
      </c>
      <c r="H1011" s="163" t="s">
        <v>534</v>
      </c>
      <c r="I1011" s="161" t="n">
        <v>98</v>
      </c>
      <c r="J1011" s="156" t="s">
        <v>192</v>
      </c>
      <c r="K1011" s="199" t="n">
        <v>45436.1851967593</v>
      </c>
      <c r="L1011" s="3" t="n">
        <v>70</v>
      </c>
      <c r="M1011" s="3" t="n">
        <v>70</v>
      </c>
      <c r="N1011" s="1" t="n">
        <v>16</v>
      </c>
      <c r="O1011" s="10" t="n">
        <v>54</v>
      </c>
    </row>
    <row r="1012" customFormat="false" ht="14.25" hidden="false" customHeight="false" outlineLevel="0" collapsed="false">
      <c r="A1012" s="1" t="n">
        <v>20</v>
      </c>
      <c r="B1012" s="1" t="s">
        <v>684</v>
      </c>
      <c r="C1012" s="1" t="s">
        <v>685</v>
      </c>
      <c r="D1012" s="1" t="n">
        <v>21296</v>
      </c>
      <c r="E1012" s="1" t="s">
        <v>57</v>
      </c>
      <c r="F1012" s="201" t="n">
        <v>200025889427</v>
      </c>
      <c r="G1012" s="198" t="s">
        <v>596</v>
      </c>
      <c r="H1012" s="163" t="s">
        <v>534</v>
      </c>
      <c r="I1012" s="161" t="n">
        <v>98</v>
      </c>
      <c r="J1012" s="156" t="s">
        <v>192</v>
      </c>
      <c r="K1012" s="200" t="n">
        <v>45450.6012152778</v>
      </c>
      <c r="L1012" s="3" t="n">
        <v>70</v>
      </c>
      <c r="M1012" s="3" t="n">
        <v>70</v>
      </c>
      <c r="N1012" s="1" t="n">
        <v>17</v>
      </c>
      <c r="O1012" s="1" t="n">
        <v>1</v>
      </c>
    </row>
    <row r="1013" customFormat="false" ht="14.25" hidden="false" customHeight="false" outlineLevel="0" collapsed="false">
      <c r="A1013" s="1" t="n">
        <v>21</v>
      </c>
      <c r="B1013" s="1" t="s">
        <v>684</v>
      </c>
      <c r="C1013" s="1" t="s">
        <v>685</v>
      </c>
      <c r="D1013" s="1" t="n">
        <v>21296</v>
      </c>
      <c r="E1013" s="1" t="s">
        <v>57</v>
      </c>
      <c r="F1013" s="201" t="n">
        <v>200025889427</v>
      </c>
      <c r="G1013" s="198" t="s">
        <v>596</v>
      </c>
      <c r="H1013" s="163" t="s">
        <v>534</v>
      </c>
      <c r="I1013" s="161" t="n">
        <v>98</v>
      </c>
      <c r="J1013" s="156" t="s">
        <v>192</v>
      </c>
      <c r="K1013" s="200" t="n">
        <v>45450.6013425926</v>
      </c>
      <c r="L1013" s="3" t="n">
        <v>70</v>
      </c>
      <c r="M1013" s="3" t="n">
        <v>70</v>
      </c>
      <c r="N1013" s="1" t="n">
        <v>18</v>
      </c>
      <c r="O1013" s="1" t="n">
        <v>1</v>
      </c>
    </row>
    <row r="1014" customFormat="false" ht="14.25" hidden="false" customHeight="false" outlineLevel="0" collapsed="false">
      <c r="A1014" s="1" t="n">
        <v>237</v>
      </c>
      <c r="B1014" s="1" t="s">
        <v>702</v>
      </c>
      <c r="C1014" s="1" t="s">
        <v>703</v>
      </c>
      <c r="D1014" s="1" t="n">
        <v>11197</v>
      </c>
      <c r="E1014" s="1" t="s">
        <v>53</v>
      </c>
      <c r="F1014" s="201" t="n">
        <v>200025889427</v>
      </c>
      <c r="G1014" s="198" t="s">
        <v>596</v>
      </c>
      <c r="H1014" s="163" t="s">
        <v>534</v>
      </c>
      <c r="I1014" s="161" t="n">
        <v>98</v>
      </c>
      <c r="J1014" s="156" t="s">
        <v>192</v>
      </c>
      <c r="K1014" s="200" t="n">
        <v>45453.3854861111</v>
      </c>
      <c r="L1014" s="3" t="n">
        <v>70</v>
      </c>
      <c r="M1014" s="3" t="n">
        <v>70</v>
      </c>
      <c r="N1014" s="1" t="n">
        <v>19</v>
      </c>
      <c r="O1014" s="207" t="n">
        <v>122</v>
      </c>
    </row>
    <row r="1015" customFormat="false" ht="14.25" hidden="false" customHeight="false" outlineLevel="0" collapsed="false">
      <c r="A1015" s="1" t="n">
        <v>102</v>
      </c>
      <c r="B1015" s="1" t="s">
        <v>565</v>
      </c>
      <c r="C1015" s="1" t="s">
        <v>566</v>
      </c>
      <c r="D1015" s="196" t="n">
        <v>2568</v>
      </c>
      <c r="E1015" s="196" t="s">
        <v>51</v>
      </c>
      <c r="F1015" s="197" t="s">
        <v>597</v>
      </c>
      <c r="G1015" s="198" t="s">
        <v>598</v>
      </c>
      <c r="H1015" s="163" t="s">
        <v>393</v>
      </c>
      <c r="I1015" s="161" t="n">
        <v>83</v>
      </c>
      <c r="J1015" s="156" t="s">
        <v>192</v>
      </c>
      <c r="K1015" s="199" t="n">
        <v>45435.698587963</v>
      </c>
      <c r="L1015" s="3" t="n">
        <v>71</v>
      </c>
      <c r="M1015" s="3" t="n">
        <v>71</v>
      </c>
      <c r="N1015" s="1" t="n">
        <v>1</v>
      </c>
      <c r="O1015" s="1" t="n">
        <v>0</v>
      </c>
    </row>
    <row r="1016" customFormat="false" ht="14.25" hidden="false" customHeight="false" outlineLevel="0" collapsed="false">
      <c r="A1016" s="1" t="n">
        <v>103</v>
      </c>
      <c r="B1016" s="1" t="s">
        <v>565</v>
      </c>
      <c r="C1016" s="1" t="s">
        <v>566</v>
      </c>
      <c r="D1016" s="196" t="n">
        <v>2568</v>
      </c>
      <c r="E1016" s="196" t="s">
        <v>51</v>
      </c>
      <c r="F1016" s="197" t="s">
        <v>597</v>
      </c>
      <c r="G1016" s="198" t="s">
        <v>598</v>
      </c>
      <c r="H1016" s="163" t="s">
        <v>393</v>
      </c>
      <c r="I1016" s="161" t="n">
        <v>83</v>
      </c>
      <c r="J1016" s="156" t="s">
        <v>192</v>
      </c>
      <c r="K1016" s="199" t="n">
        <v>45435.698599537</v>
      </c>
      <c r="L1016" s="3" t="n">
        <v>71</v>
      </c>
      <c r="M1016" s="3" t="n">
        <v>71</v>
      </c>
      <c r="N1016" s="1" t="n">
        <v>2</v>
      </c>
      <c r="O1016" s="1" t="n">
        <v>1</v>
      </c>
    </row>
    <row r="1017" customFormat="false" ht="14.25" hidden="false" customHeight="false" outlineLevel="0" collapsed="false">
      <c r="A1017" s="1" t="n">
        <v>112</v>
      </c>
      <c r="B1017" s="1" t="s">
        <v>565</v>
      </c>
      <c r="C1017" s="1" t="s">
        <v>566</v>
      </c>
      <c r="D1017" s="196" t="n">
        <v>2568</v>
      </c>
      <c r="E1017" s="196" t="s">
        <v>51</v>
      </c>
      <c r="F1017" s="197" t="s">
        <v>597</v>
      </c>
      <c r="G1017" s="198" t="s">
        <v>598</v>
      </c>
      <c r="H1017" s="163" t="s">
        <v>393</v>
      </c>
      <c r="I1017" s="161" t="n">
        <v>83</v>
      </c>
      <c r="J1017" s="156" t="s">
        <v>192</v>
      </c>
      <c r="K1017" s="199" t="n">
        <v>45435.7913310185</v>
      </c>
      <c r="L1017" s="3" t="n">
        <v>71</v>
      </c>
      <c r="M1017" s="3" t="n">
        <v>71</v>
      </c>
      <c r="N1017" s="1" t="n">
        <v>3</v>
      </c>
      <c r="O1017" s="1" t="n">
        <v>1</v>
      </c>
    </row>
    <row r="1018" customFormat="false" ht="14.25" hidden="false" customHeight="false" outlineLevel="0" collapsed="false">
      <c r="A1018" s="1" t="n">
        <v>113</v>
      </c>
      <c r="B1018" s="1" t="s">
        <v>565</v>
      </c>
      <c r="C1018" s="1" t="s">
        <v>566</v>
      </c>
      <c r="D1018" s="196" t="n">
        <v>2568</v>
      </c>
      <c r="E1018" s="196" t="s">
        <v>51</v>
      </c>
      <c r="F1018" s="197" t="s">
        <v>597</v>
      </c>
      <c r="G1018" s="198" t="s">
        <v>598</v>
      </c>
      <c r="H1018" s="163" t="s">
        <v>393</v>
      </c>
      <c r="I1018" s="161" t="n">
        <v>83</v>
      </c>
      <c r="J1018" s="156" t="s">
        <v>192</v>
      </c>
      <c r="K1018" s="199" t="n">
        <v>45435.8058333333</v>
      </c>
      <c r="L1018" s="3" t="n">
        <v>71</v>
      </c>
      <c r="M1018" s="3" t="n">
        <v>71</v>
      </c>
      <c r="N1018" s="1" t="n">
        <v>4</v>
      </c>
      <c r="O1018" s="1" t="n">
        <v>1</v>
      </c>
    </row>
    <row r="1019" customFormat="false" ht="14.25" hidden="false" customHeight="false" outlineLevel="0" collapsed="false">
      <c r="A1019" s="1" t="n">
        <v>149</v>
      </c>
      <c r="B1019" s="1" t="s">
        <v>565</v>
      </c>
      <c r="C1019" s="1" t="s">
        <v>566</v>
      </c>
      <c r="D1019" s="196" t="n">
        <v>2568</v>
      </c>
      <c r="E1019" s="196" t="s">
        <v>51</v>
      </c>
      <c r="F1019" s="197" t="s">
        <v>597</v>
      </c>
      <c r="G1019" s="198" t="s">
        <v>598</v>
      </c>
      <c r="H1019" s="163" t="s">
        <v>393</v>
      </c>
      <c r="I1019" s="161" t="n">
        <v>83</v>
      </c>
      <c r="J1019" s="156" t="s">
        <v>192</v>
      </c>
      <c r="K1019" s="199" t="n">
        <v>45435.9923611111</v>
      </c>
      <c r="L1019" s="3" t="n">
        <v>71</v>
      </c>
      <c r="M1019" s="3" t="n">
        <v>71</v>
      </c>
      <c r="N1019" s="1" t="n">
        <v>5</v>
      </c>
      <c r="O1019" s="1" t="n">
        <v>1</v>
      </c>
    </row>
    <row r="1020" customFormat="false" ht="14.25" hidden="false" customHeight="false" outlineLevel="0" collapsed="false">
      <c r="A1020" s="1" t="n">
        <v>223</v>
      </c>
      <c r="B1020" s="1" t="s">
        <v>702</v>
      </c>
      <c r="C1020" s="1" t="s">
        <v>703</v>
      </c>
      <c r="D1020" s="1" t="n">
        <v>11197</v>
      </c>
      <c r="E1020" s="1" t="s">
        <v>53</v>
      </c>
      <c r="F1020" s="201" t="n">
        <v>200025888632</v>
      </c>
      <c r="G1020" s="198" t="s">
        <v>598</v>
      </c>
      <c r="H1020" s="163" t="s">
        <v>393</v>
      </c>
      <c r="I1020" s="161" t="n">
        <v>83</v>
      </c>
      <c r="J1020" s="156" t="s">
        <v>192</v>
      </c>
      <c r="K1020" s="200" t="n">
        <v>45453.2372106482</v>
      </c>
      <c r="L1020" s="3" t="n">
        <v>71</v>
      </c>
      <c r="M1020" s="3" t="n">
        <v>71</v>
      </c>
      <c r="N1020" s="1" t="n">
        <v>6</v>
      </c>
      <c r="O1020" s="1" t="n">
        <v>40</v>
      </c>
    </row>
    <row r="1021" customFormat="false" ht="14.25" hidden="false" customHeight="false" outlineLevel="0" collapsed="false">
      <c r="A1021" s="1" t="n">
        <v>224</v>
      </c>
      <c r="B1021" s="1" t="s">
        <v>702</v>
      </c>
      <c r="C1021" s="1" t="s">
        <v>703</v>
      </c>
      <c r="D1021" s="1" t="n">
        <v>11197</v>
      </c>
      <c r="E1021" s="1" t="s">
        <v>53</v>
      </c>
      <c r="F1021" s="201" t="n">
        <v>200025888632</v>
      </c>
      <c r="G1021" s="198" t="s">
        <v>598</v>
      </c>
      <c r="H1021" s="163" t="s">
        <v>393</v>
      </c>
      <c r="I1021" s="161" t="n">
        <v>83</v>
      </c>
      <c r="J1021" s="156" t="s">
        <v>192</v>
      </c>
      <c r="K1021" s="200" t="n">
        <v>45453.2376736111</v>
      </c>
      <c r="L1021" s="3" t="n">
        <v>71</v>
      </c>
      <c r="M1021" s="3" t="n">
        <v>71</v>
      </c>
      <c r="N1021" s="1" t="n">
        <v>7</v>
      </c>
      <c r="O1021" s="1" t="n">
        <v>1</v>
      </c>
    </row>
    <row r="1022" customFormat="false" ht="14.25" hidden="false" customHeight="false" outlineLevel="0" collapsed="false">
      <c r="A1022" s="1" t="n">
        <v>225</v>
      </c>
      <c r="B1022" s="1" t="s">
        <v>702</v>
      </c>
      <c r="C1022" s="1" t="s">
        <v>703</v>
      </c>
      <c r="D1022" s="1" t="n">
        <v>11197</v>
      </c>
      <c r="E1022" s="1" t="s">
        <v>53</v>
      </c>
      <c r="F1022" s="201" t="n">
        <v>200025888632</v>
      </c>
      <c r="G1022" s="198" t="s">
        <v>598</v>
      </c>
      <c r="H1022" s="163" t="s">
        <v>393</v>
      </c>
      <c r="I1022" s="161" t="n">
        <v>83</v>
      </c>
      <c r="J1022" s="156" t="s">
        <v>192</v>
      </c>
      <c r="K1022" s="200" t="n">
        <v>45453.237974537</v>
      </c>
      <c r="L1022" s="3" t="n">
        <v>71</v>
      </c>
      <c r="M1022" s="3" t="n">
        <v>71</v>
      </c>
      <c r="N1022" s="1" t="n">
        <v>8</v>
      </c>
      <c r="O1022" s="1" t="n">
        <v>3</v>
      </c>
    </row>
    <row r="1023" customFormat="false" ht="14.25" hidden="false" customHeight="false" outlineLevel="0" collapsed="false">
      <c r="A1023" s="1" t="n">
        <v>226</v>
      </c>
      <c r="B1023" s="1" t="s">
        <v>702</v>
      </c>
      <c r="C1023" s="1" t="s">
        <v>703</v>
      </c>
      <c r="D1023" s="1" t="n">
        <v>11197</v>
      </c>
      <c r="E1023" s="1" t="s">
        <v>53</v>
      </c>
      <c r="F1023" s="201" t="n">
        <v>200025888632</v>
      </c>
      <c r="G1023" s="198" t="s">
        <v>598</v>
      </c>
      <c r="H1023" s="163" t="s">
        <v>393</v>
      </c>
      <c r="I1023" s="161" t="n">
        <v>83</v>
      </c>
      <c r="J1023" s="156" t="s">
        <v>192</v>
      </c>
      <c r="K1023" s="200" t="n">
        <v>45453.2380092593</v>
      </c>
      <c r="L1023" s="3" t="n">
        <v>71</v>
      </c>
      <c r="M1023" s="3" t="n">
        <v>71</v>
      </c>
      <c r="N1023" s="1" t="n">
        <v>9</v>
      </c>
      <c r="O1023" s="1" t="n">
        <v>1</v>
      </c>
    </row>
    <row r="1024" customFormat="false" ht="14.25" hidden="false" customHeight="false" outlineLevel="0" collapsed="false">
      <c r="A1024" s="1" t="n">
        <v>213</v>
      </c>
      <c r="B1024" s="1" t="s">
        <v>565</v>
      </c>
      <c r="C1024" s="1" t="s">
        <v>566</v>
      </c>
      <c r="D1024" s="1" t="n">
        <v>11171</v>
      </c>
      <c r="E1024" s="1" t="s">
        <v>55</v>
      </c>
      <c r="F1024" s="198" t="n">
        <v>200025888632</v>
      </c>
      <c r="G1024" s="198" t="s">
        <v>598</v>
      </c>
      <c r="H1024" s="163" t="s">
        <v>393</v>
      </c>
      <c r="I1024" s="161" t="n">
        <v>83</v>
      </c>
      <c r="J1024" s="156" t="s">
        <v>192</v>
      </c>
      <c r="K1024" s="199" t="n">
        <v>45453.2598032407</v>
      </c>
      <c r="L1024" s="3" t="n">
        <v>71</v>
      </c>
      <c r="M1024" s="3" t="n">
        <v>71</v>
      </c>
      <c r="N1024" s="1" t="n">
        <v>10</v>
      </c>
      <c r="O1024" s="1" t="n">
        <v>3</v>
      </c>
    </row>
    <row r="1025" customFormat="false" ht="14.25" hidden="false" customHeight="false" outlineLevel="0" collapsed="false">
      <c r="A1025" s="1" t="n">
        <v>227</v>
      </c>
      <c r="B1025" s="1" t="s">
        <v>702</v>
      </c>
      <c r="C1025" s="1" t="s">
        <v>703</v>
      </c>
      <c r="D1025" s="1" t="n">
        <v>11197</v>
      </c>
      <c r="E1025" s="1" t="s">
        <v>53</v>
      </c>
      <c r="F1025" s="201" t="n">
        <v>200025888632</v>
      </c>
      <c r="G1025" s="198" t="s">
        <v>598</v>
      </c>
      <c r="H1025" s="163" t="s">
        <v>393</v>
      </c>
      <c r="I1025" s="161" t="n">
        <v>83</v>
      </c>
      <c r="J1025" s="156" t="s">
        <v>192</v>
      </c>
      <c r="K1025" s="200" t="n">
        <v>45453.2616087963</v>
      </c>
      <c r="L1025" s="3" t="n">
        <v>71</v>
      </c>
      <c r="M1025" s="3" t="n">
        <v>71</v>
      </c>
      <c r="N1025" s="1" t="n">
        <v>11</v>
      </c>
      <c r="O1025" s="1" t="n">
        <v>1</v>
      </c>
    </row>
    <row r="1026" customFormat="false" ht="14.25" hidden="false" customHeight="false" outlineLevel="0" collapsed="false">
      <c r="A1026" s="1" t="n">
        <v>228</v>
      </c>
      <c r="B1026" s="1" t="s">
        <v>702</v>
      </c>
      <c r="C1026" s="1" t="s">
        <v>703</v>
      </c>
      <c r="D1026" s="1" t="n">
        <v>11197</v>
      </c>
      <c r="E1026" s="1" t="s">
        <v>53</v>
      </c>
      <c r="F1026" s="201" t="n">
        <v>200025888632</v>
      </c>
      <c r="G1026" s="198" t="s">
        <v>598</v>
      </c>
      <c r="H1026" s="163" t="s">
        <v>393</v>
      </c>
      <c r="I1026" s="161" t="n">
        <v>83</v>
      </c>
      <c r="J1026" s="156" t="s">
        <v>192</v>
      </c>
      <c r="K1026" s="200" t="n">
        <v>45453.2629398148</v>
      </c>
      <c r="L1026" s="3" t="n">
        <v>71</v>
      </c>
      <c r="M1026" s="3" t="n">
        <v>71</v>
      </c>
      <c r="N1026" s="1" t="n">
        <v>12</v>
      </c>
      <c r="O1026" s="1" t="n">
        <v>1</v>
      </c>
    </row>
    <row r="1027" customFormat="false" ht="14.25" hidden="false" customHeight="false" outlineLevel="0" collapsed="false">
      <c r="A1027" s="1" t="n">
        <v>229</v>
      </c>
      <c r="B1027" s="1" t="s">
        <v>702</v>
      </c>
      <c r="C1027" s="1" t="s">
        <v>703</v>
      </c>
      <c r="D1027" s="1" t="n">
        <v>11197</v>
      </c>
      <c r="E1027" s="1" t="s">
        <v>53</v>
      </c>
      <c r="F1027" s="201" t="n">
        <v>200025888632</v>
      </c>
      <c r="G1027" s="198" t="s">
        <v>598</v>
      </c>
      <c r="H1027" s="163" t="s">
        <v>393</v>
      </c>
      <c r="I1027" s="161" t="n">
        <v>83</v>
      </c>
      <c r="J1027" s="156" t="s">
        <v>192</v>
      </c>
      <c r="K1027" s="200" t="n">
        <v>45453.262962963</v>
      </c>
      <c r="L1027" s="3" t="n">
        <v>71</v>
      </c>
      <c r="M1027" s="3" t="n">
        <v>71</v>
      </c>
      <c r="N1027" s="1" t="n">
        <v>13</v>
      </c>
      <c r="O1027" s="1" t="n">
        <v>0</v>
      </c>
    </row>
    <row r="1028" customFormat="false" ht="14.25" hidden="false" customHeight="false" outlineLevel="0" collapsed="false">
      <c r="A1028" s="1" t="n">
        <v>230</v>
      </c>
      <c r="B1028" s="1" t="s">
        <v>702</v>
      </c>
      <c r="C1028" s="1" t="s">
        <v>703</v>
      </c>
      <c r="D1028" s="1" t="n">
        <v>11197</v>
      </c>
      <c r="E1028" s="1" t="s">
        <v>53</v>
      </c>
      <c r="F1028" s="201" t="n">
        <v>200025888632</v>
      </c>
      <c r="G1028" s="198" t="s">
        <v>598</v>
      </c>
      <c r="H1028" s="163" t="s">
        <v>393</v>
      </c>
      <c r="I1028" s="161" t="n">
        <v>83</v>
      </c>
      <c r="J1028" s="156" t="s">
        <v>192</v>
      </c>
      <c r="K1028" s="200" t="n">
        <v>45453.262962963</v>
      </c>
      <c r="L1028" s="3" t="n">
        <v>71</v>
      </c>
      <c r="M1028" s="3" t="n">
        <v>71</v>
      </c>
      <c r="N1028" s="1" t="n">
        <v>14</v>
      </c>
      <c r="O1028" s="1" t="n">
        <v>7</v>
      </c>
    </row>
    <row r="1029" customFormat="false" ht="14.25" hidden="false" customHeight="false" outlineLevel="0" collapsed="false">
      <c r="A1029" s="1" t="n">
        <v>231</v>
      </c>
      <c r="B1029" s="1" t="s">
        <v>702</v>
      </c>
      <c r="C1029" s="1" t="s">
        <v>703</v>
      </c>
      <c r="D1029" s="1" t="n">
        <v>11197</v>
      </c>
      <c r="E1029" s="1" t="s">
        <v>53</v>
      </c>
      <c r="F1029" s="201" t="n">
        <v>200025888632</v>
      </c>
      <c r="G1029" s="198" t="s">
        <v>598</v>
      </c>
      <c r="H1029" s="163" t="s">
        <v>393</v>
      </c>
      <c r="I1029" s="161" t="n">
        <v>83</v>
      </c>
      <c r="J1029" s="156" t="s">
        <v>192</v>
      </c>
      <c r="K1029" s="200" t="n">
        <v>45453.2750115741</v>
      </c>
      <c r="L1029" s="3" t="n">
        <v>71</v>
      </c>
      <c r="M1029" s="3" t="n">
        <v>71</v>
      </c>
      <c r="N1029" s="1" t="n">
        <v>15</v>
      </c>
      <c r="O1029" s="1" t="n">
        <v>1</v>
      </c>
    </row>
    <row r="1030" customFormat="false" ht="14.25" hidden="false" customHeight="false" outlineLevel="0" collapsed="false">
      <c r="A1030" s="1" t="n">
        <v>232</v>
      </c>
      <c r="B1030" s="1" t="s">
        <v>702</v>
      </c>
      <c r="C1030" s="1" t="s">
        <v>703</v>
      </c>
      <c r="D1030" s="1" t="n">
        <v>11197</v>
      </c>
      <c r="E1030" s="1" t="s">
        <v>53</v>
      </c>
      <c r="F1030" s="201" t="n">
        <v>200025888632</v>
      </c>
      <c r="G1030" s="198" t="s">
        <v>598</v>
      </c>
      <c r="H1030" s="163" t="s">
        <v>393</v>
      </c>
      <c r="I1030" s="161" t="n">
        <v>83</v>
      </c>
      <c r="J1030" s="156" t="s">
        <v>192</v>
      </c>
      <c r="K1030" s="200" t="n">
        <v>45453.2753935185</v>
      </c>
      <c r="L1030" s="3" t="n">
        <v>71</v>
      </c>
      <c r="M1030" s="3" t="n">
        <v>71</v>
      </c>
      <c r="N1030" s="1" t="n">
        <v>16</v>
      </c>
      <c r="O1030" s="1" t="n">
        <v>1</v>
      </c>
    </row>
    <row r="1031" customFormat="false" ht="14.25" hidden="false" customHeight="false" outlineLevel="0" collapsed="false">
      <c r="A1031" s="1" t="n">
        <v>233</v>
      </c>
      <c r="B1031" s="1" t="s">
        <v>702</v>
      </c>
      <c r="C1031" s="1" t="s">
        <v>703</v>
      </c>
      <c r="D1031" s="1" t="n">
        <v>11197</v>
      </c>
      <c r="E1031" s="1" t="s">
        <v>53</v>
      </c>
      <c r="F1031" s="201" t="n">
        <v>200025888632</v>
      </c>
      <c r="G1031" s="198" t="s">
        <v>598</v>
      </c>
      <c r="H1031" s="163" t="s">
        <v>393</v>
      </c>
      <c r="I1031" s="161" t="n">
        <v>83</v>
      </c>
      <c r="J1031" s="156" t="s">
        <v>192</v>
      </c>
      <c r="K1031" s="200" t="n">
        <v>45453.2756365741</v>
      </c>
      <c r="L1031" s="3" t="n">
        <v>71</v>
      </c>
      <c r="M1031" s="3" t="n">
        <v>71</v>
      </c>
      <c r="N1031" s="1" t="n">
        <v>17</v>
      </c>
      <c r="O1031" s="1" t="n">
        <v>4</v>
      </c>
    </row>
    <row r="1032" customFormat="false" ht="14.25" hidden="false" customHeight="false" outlineLevel="0" collapsed="false">
      <c r="A1032" s="1" t="n">
        <v>234</v>
      </c>
      <c r="B1032" s="1" t="s">
        <v>702</v>
      </c>
      <c r="C1032" s="1" t="s">
        <v>703</v>
      </c>
      <c r="D1032" s="1" t="n">
        <v>11197</v>
      </c>
      <c r="E1032" s="1" t="s">
        <v>53</v>
      </c>
      <c r="F1032" s="201" t="n">
        <v>200025888632</v>
      </c>
      <c r="G1032" s="198" t="s">
        <v>598</v>
      </c>
      <c r="H1032" s="163" t="s">
        <v>393</v>
      </c>
      <c r="I1032" s="161" t="n">
        <v>83</v>
      </c>
      <c r="J1032" s="156" t="s">
        <v>192</v>
      </c>
      <c r="K1032" s="200" t="n">
        <v>45453.2761689815</v>
      </c>
      <c r="L1032" s="3" t="n">
        <v>71</v>
      </c>
      <c r="M1032" s="3" t="n">
        <v>71</v>
      </c>
      <c r="N1032" s="1" t="n">
        <v>18</v>
      </c>
      <c r="O1032" s="1" t="n">
        <v>1</v>
      </c>
    </row>
    <row r="1033" customFormat="false" ht="14.25" hidden="false" customHeight="false" outlineLevel="0" collapsed="false">
      <c r="A1033" s="1" t="n">
        <v>235</v>
      </c>
      <c r="B1033" s="1" t="s">
        <v>702</v>
      </c>
      <c r="C1033" s="1" t="s">
        <v>703</v>
      </c>
      <c r="D1033" s="1" t="n">
        <v>11197</v>
      </c>
      <c r="E1033" s="1" t="s">
        <v>53</v>
      </c>
      <c r="F1033" s="201" t="n">
        <v>200025888632</v>
      </c>
      <c r="G1033" s="198" t="s">
        <v>598</v>
      </c>
      <c r="H1033" s="163" t="s">
        <v>393</v>
      </c>
      <c r="I1033" s="161" t="n">
        <v>83</v>
      </c>
      <c r="J1033" s="156" t="s">
        <v>192</v>
      </c>
      <c r="K1033" s="200" t="n">
        <v>45453.2761805556</v>
      </c>
      <c r="L1033" s="3" t="n">
        <v>71</v>
      </c>
      <c r="M1033" s="3" t="n">
        <v>71</v>
      </c>
      <c r="N1033" s="1" t="n">
        <v>19</v>
      </c>
      <c r="O1033" s="1" t="n">
        <v>2</v>
      </c>
    </row>
    <row r="1034" customFormat="false" ht="14.25" hidden="false" customHeight="false" outlineLevel="0" collapsed="false">
      <c r="A1034" s="1" t="n">
        <v>219</v>
      </c>
      <c r="B1034" s="1" t="s">
        <v>565</v>
      </c>
      <c r="C1034" s="1" t="s">
        <v>566</v>
      </c>
      <c r="D1034" s="1" t="n">
        <v>11171</v>
      </c>
      <c r="E1034" s="1" t="s">
        <v>55</v>
      </c>
      <c r="F1034" s="198" t="n">
        <v>200025888632</v>
      </c>
      <c r="G1034" s="198" t="s">
        <v>598</v>
      </c>
      <c r="H1034" s="163" t="s">
        <v>393</v>
      </c>
      <c r="I1034" s="161" t="n">
        <v>83</v>
      </c>
      <c r="J1034" s="156" t="s">
        <v>192</v>
      </c>
      <c r="K1034" s="199" t="n">
        <v>45453.3222800926</v>
      </c>
      <c r="L1034" s="3" t="n">
        <v>71</v>
      </c>
      <c r="M1034" s="3" t="n">
        <v>71</v>
      </c>
      <c r="N1034" s="1" t="n">
        <v>20</v>
      </c>
      <c r="O1034" s="1" t="n">
        <v>0</v>
      </c>
    </row>
    <row r="1035" customFormat="false" ht="14.25" hidden="false" customHeight="false" outlineLevel="0" collapsed="false">
      <c r="A1035" s="1" t="n">
        <v>220</v>
      </c>
      <c r="B1035" s="1" t="s">
        <v>565</v>
      </c>
      <c r="C1035" s="1" t="s">
        <v>566</v>
      </c>
      <c r="D1035" s="1" t="n">
        <v>11171</v>
      </c>
      <c r="E1035" s="1" t="s">
        <v>55</v>
      </c>
      <c r="F1035" s="198" t="n">
        <v>200025888632</v>
      </c>
      <c r="G1035" s="198" t="s">
        <v>598</v>
      </c>
      <c r="H1035" s="163" t="s">
        <v>393</v>
      </c>
      <c r="I1035" s="161" t="n">
        <v>83</v>
      </c>
      <c r="J1035" s="156" t="s">
        <v>192</v>
      </c>
      <c r="K1035" s="199" t="n">
        <v>45453.3222800926</v>
      </c>
      <c r="L1035" s="3" t="n">
        <v>71</v>
      </c>
      <c r="M1035" s="3" t="n">
        <v>71</v>
      </c>
      <c r="N1035" s="1" t="n">
        <v>21</v>
      </c>
      <c r="O1035" s="1" t="n">
        <v>1</v>
      </c>
    </row>
    <row r="1036" customFormat="false" ht="14.25" hidden="false" customHeight="false" outlineLevel="0" collapsed="false">
      <c r="A1036" s="1" t="n">
        <v>223</v>
      </c>
      <c r="B1036" s="1" t="s">
        <v>565</v>
      </c>
      <c r="C1036" s="1" t="s">
        <v>566</v>
      </c>
      <c r="D1036" s="1" t="n">
        <v>11171</v>
      </c>
      <c r="E1036" s="1" t="s">
        <v>55</v>
      </c>
      <c r="F1036" s="198" t="n">
        <v>200025888632</v>
      </c>
      <c r="G1036" s="198" t="s">
        <v>598</v>
      </c>
      <c r="H1036" s="163" t="s">
        <v>393</v>
      </c>
      <c r="I1036" s="161" t="n">
        <v>83</v>
      </c>
      <c r="J1036" s="156" t="s">
        <v>192</v>
      </c>
      <c r="K1036" s="199" t="n">
        <v>45453.3259606482</v>
      </c>
      <c r="L1036" s="3" t="n">
        <v>71</v>
      </c>
      <c r="M1036" s="3" t="n">
        <v>71</v>
      </c>
      <c r="N1036" s="1" t="n">
        <v>22</v>
      </c>
      <c r="O1036" s="1" t="n">
        <v>2</v>
      </c>
    </row>
    <row r="1037" customFormat="false" ht="14.25" hidden="false" customHeight="false" outlineLevel="0" collapsed="false">
      <c r="A1037" s="1" t="n">
        <v>224</v>
      </c>
      <c r="B1037" s="1" t="s">
        <v>565</v>
      </c>
      <c r="C1037" s="1" t="s">
        <v>566</v>
      </c>
      <c r="D1037" s="1" t="n">
        <v>11171</v>
      </c>
      <c r="E1037" s="1" t="s">
        <v>55</v>
      </c>
      <c r="F1037" s="198" t="n">
        <v>200025888632</v>
      </c>
      <c r="G1037" s="198" t="s">
        <v>598</v>
      </c>
      <c r="H1037" s="163" t="s">
        <v>393</v>
      </c>
      <c r="I1037" s="161" t="n">
        <v>83</v>
      </c>
      <c r="J1037" s="156" t="s">
        <v>192</v>
      </c>
      <c r="K1037" s="199" t="n">
        <v>45453.32625</v>
      </c>
      <c r="L1037" s="3" t="n">
        <v>71</v>
      </c>
      <c r="M1037" s="3" t="n">
        <v>71</v>
      </c>
      <c r="N1037" s="1" t="n">
        <v>23</v>
      </c>
      <c r="O1037" s="1" t="n">
        <v>2</v>
      </c>
    </row>
    <row r="1038" customFormat="false" ht="14.25" hidden="false" customHeight="false" outlineLevel="0" collapsed="false">
      <c r="A1038" s="1" t="n">
        <v>225</v>
      </c>
      <c r="B1038" s="1" t="s">
        <v>565</v>
      </c>
      <c r="C1038" s="1" t="s">
        <v>566</v>
      </c>
      <c r="D1038" s="1" t="n">
        <v>11171</v>
      </c>
      <c r="E1038" s="1" t="s">
        <v>55</v>
      </c>
      <c r="F1038" s="198" t="n">
        <v>200025888632</v>
      </c>
      <c r="G1038" s="198" t="s">
        <v>598</v>
      </c>
      <c r="H1038" s="163" t="s">
        <v>393</v>
      </c>
      <c r="I1038" s="161" t="n">
        <v>83</v>
      </c>
      <c r="J1038" s="156" t="s">
        <v>192</v>
      </c>
      <c r="K1038" s="199" t="n">
        <v>45453.3262847222</v>
      </c>
      <c r="L1038" s="3" t="n">
        <v>71</v>
      </c>
      <c r="M1038" s="3" t="n">
        <v>71</v>
      </c>
      <c r="N1038" s="1" t="n">
        <v>24</v>
      </c>
      <c r="O1038" s="1" t="n">
        <v>1</v>
      </c>
    </row>
    <row r="1039" customFormat="false" ht="14.25" hidden="false" customHeight="false" outlineLevel="0" collapsed="false">
      <c r="A1039" s="1" t="n">
        <v>226</v>
      </c>
      <c r="B1039" s="1" t="s">
        <v>565</v>
      </c>
      <c r="C1039" s="1" t="s">
        <v>566</v>
      </c>
      <c r="D1039" s="1" t="n">
        <v>11171</v>
      </c>
      <c r="E1039" s="1" t="s">
        <v>55</v>
      </c>
      <c r="F1039" s="198" t="n">
        <v>200025888632</v>
      </c>
      <c r="G1039" s="198" t="s">
        <v>598</v>
      </c>
      <c r="H1039" s="163" t="s">
        <v>393</v>
      </c>
      <c r="I1039" s="161" t="n">
        <v>83</v>
      </c>
      <c r="J1039" s="156" t="s">
        <v>192</v>
      </c>
      <c r="K1039" s="199" t="n">
        <v>45453.3264814815</v>
      </c>
      <c r="L1039" s="3" t="n">
        <v>71</v>
      </c>
      <c r="M1039" s="3" t="n">
        <v>71</v>
      </c>
      <c r="N1039" s="1" t="n">
        <v>25</v>
      </c>
      <c r="O1039" s="1" t="n">
        <v>0</v>
      </c>
    </row>
    <row r="1040" customFormat="false" ht="14.25" hidden="false" customHeight="false" outlineLevel="0" collapsed="false">
      <c r="A1040" s="1" t="n">
        <v>227</v>
      </c>
      <c r="B1040" s="1" t="s">
        <v>565</v>
      </c>
      <c r="C1040" s="1" t="s">
        <v>566</v>
      </c>
      <c r="D1040" s="1" t="n">
        <v>11171</v>
      </c>
      <c r="E1040" s="1" t="s">
        <v>55</v>
      </c>
      <c r="F1040" s="198" t="n">
        <v>200025888632</v>
      </c>
      <c r="G1040" s="198" t="s">
        <v>598</v>
      </c>
      <c r="H1040" s="163" t="s">
        <v>393</v>
      </c>
      <c r="I1040" s="161" t="n">
        <v>83</v>
      </c>
      <c r="J1040" s="156" t="s">
        <v>192</v>
      </c>
      <c r="K1040" s="199" t="n">
        <v>45453.3264930556</v>
      </c>
      <c r="L1040" s="3" t="n">
        <v>71</v>
      </c>
      <c r="M1040" s="3" t="n">
        <v>71</v>
      </c>
      <c r="N1040" s="1" t="n">
        <v>26</v>
      </c>
      <c r="O1040" s="1" t="n">
        <v>1</v>
      </c>
    </row>
    <row r="1041" customFormat="false" ht="14.25" hidden="false" customHeight="false" outlineLevel="0" collapsed="false">
      <c r="A1041" s="1" t="n">
        <v>236</v>
      </c>
      <c r="B1041" s="1" t="s">
        <v>702</v>
      </c>
      <c r="C1041" s="1" t="s">
        <v>703</v>
      </c>
      <c r="D1041" s="1" t="n">
        <v>11197</v>
      </c>
      <c r="E1041" s="1" t="s">
        <v>53</v>
      </c>
      <c r="F1041" s="201" t="n">
        <v>200025888632</v>
      </c>
      <c r="G1041" s="198" t="s">
        <v>598</v>
      </c>
      <c r="H1041" s="163" t="s">
        <v>393</v>
      </c>
      <c r="I1041" s="161" t="n">
        <v>83</v>
      </c>
      <c r="J1041" s="156" t="s">
        <v>192</v>
      </c>
      <c r="K1041" s="200" t="n">
        <v>45453.3281597222</v>
      </c>
      <c r="L1041" s="3" t="n">
        <v>71</v>
      </c>
      <c r="M1041" s="3" t="n">
        <v>71</v>
      </c>
      <c r="N1041" s="1" t="n">
        <v>27</v>
      </c>
      <c r="O1041" s="1" t="n">
        <v>3</v>
      </c>
    </row>
    <row r="1042" customFormat="false" ht="14.25" hidden="false" customHeight="false" outlineLevel="0" collapsed="false">
      <c r="A1042" s="1" t="n">
        <v>229</v>
      </c>
      <c r="B1042" s="1" t="s">
        <v>565</v>
      </c>
      <c r="C1042" s="1" t="s">
        <v>566</v>
      </c>
      <c r="D1042" s="1" t="n">
        <v>11171</v>
      </c>
      <c r="E1042" s="1" t="s">
        <v>55</v>
      </c>
      <c r="F1042" s="198" t="n">
        <v>200025888632</v>
      </c>
      <c r="G1042" s="198" t="s">
        <v>598</v>
      </c>
      <c r="H1042" s="163" t="s">
        <v>393</v>
      </c>
      <c r="I1042" s="161" t="n">
        <v>83</v>
      </c>
      <c r="J1042" s="156" t="s">
        <v>192</v>
      </c>
      <c r="K1042" s="199" t="n">
        <v>45453.3389467593</v>
      </c>
      <c r="L1042" s="3" t="n">
        <v>71</v>
      </c>
      <c r="M1042" s="3" t="n">
        <v>71</v>
      </c>
      <c r="N1042" s="1" t="n">
        <v>28</v>
      </c>
      <c r="O1042" s="1" t="n">
        <v>2</v>
      </c>
    </row>
    <row r="1043" customFormat="false" ht="14.25" hidden="false" customHeight="false" outlineLevel="0" collapsed="false">
      <c r="A1043" s="1" t="n">
        <v>230</v>
      </c>
      <c r="B1043" s="1" t="s">
        <v>565</v>
      </c>
      <c r="C1043" s="1" t="s">
        <v>566</v>
      </c>
      <c r="D1043" s="1" t="n">
        <v>11171</v>
      </c>
      <c r="E1043" s="1" t="s">
        <v>55</v>
      </c>
      <c r="F1043" s="198" t="n">
        <v>200025888632</v>
      </c>
      <c r="G1043" s="198" t="s">
        <v>598</v>
      </c>
      <c r="H1043" s="163" t="s">
        <v>393</v>
      </c>
      <c r="I1043" s="161" t="n">
        <v>83</v>
      </c>
      <c r="J1043" s="156" t="s">
        <v>192</v>
      </c>
      <c r="K1043" s="199" t="n">
        <v>45453.3488194444</v>
      </c>
      <c r="L1043" s="3" t="n">
        <v>71</v>
      </c>
      <c r="M1043" s="3" t="n">
        <v>71</v>
      </c>
      <c r="N1043" s="1" t="n">
        <v>29</v>
      </c>
      <c r="O1043" s="1" t="n">
        <v>1</v>
      </c>
    </row>
    <row r="1044" customFormat="false" ht="14.25" hidden="false" customHeight="false" outlineLevel="0" collapsed="false">
      <c r="A1044" s="1" t="n">
        <v>231</v>
      </c>
      <c r="B1044" s="1" t="s">
        <v>565</v>
      </c>
      <c r="C1044" s="1" t="s">
        <v>566</v>
      </c>
      <c r="D1044" s="1" t="n">
        <v>11171</v>
      </c>
      <c r="E1044" s="1" t="s">
        <v>55</v>
      </c>
      <c r="F1044" s="198" t="n">
        <v>200025888632</v>
      </c>
      <c r="G1044" s="198" t="s">
        <v>598</v>
      </c>
      <c r="H1044" s="163" t="s">
        <v>393</v>
      </c>
      <c r="I1044" s="161" t="n">
        <v>83</v>
      </c>
      <c r="J1044" s="156" t="s">
        <v>192</v>
      </c>
      <c r="K1044" s="199" t="n">
        <v>45453.3488310185</v>
      </c>
      <c r="L1044" s="3" t="n">
        <v>71</v>
      </c>
      <c r="M1044" s="3" t="n">
        <v>71</v>
      </c>
      <c r="N1044" s="1" t="n">
        <v>30</v>
      </c>
      <c r="O1044" s="1" t="n">
        <v>14</v>
      </c>
    </row>
    <row r="1045" customFormat="false" ht="14.25" hidden="false" customHeight="false" outlineLevel="0" collapsed="false">
      <c r="A1045" s="1" t="n">
        <v>232</v>
      </c>
      <c r="B1045" s="1" t="s">
        <v>565</v>
      </c>
      <c r="C1045" s="1" t="s">
        <v>566</v>
      </c>
      <c r="D1045" s="1" t="n">
        <v>11171</v>
      </c>
      <c r="E1045" s="1" t="s">
        <v>55</v>
      </c>
      <c r="F1045" s="198" t="n">
        <v>200025888632</v>
      </c>
      <c r="G1045" s="198" t="s">
        <v>598</v>
      </c>
      <c r="H1045" s="163" t="s">
        <v>393</v>
      </c>
      <c r="I1045" s="161" t="n">
        <v>83</v>
      </c>
      <c r="J1045" s="156" t="s">
        <v>192</v>
      </c>
      <c r="K1045" s="199" t="n">
        <v>45453.3490046296</v>
      </c>
      <c r="L1045" s="3" t="n">
        <v>71</v>
      </c>
      <c r="M1045" s="3" t="n">
        <v>71</v>
      </c>
      <c r="N1045" s="1" t="n">
        <v>31</v>
      </c>
      <c r="O1045" s="1" t="n">
        <v>0</v>
      </c>
    </row>
    <row r="1046" customFormat="false" ht="14.25" hidden="false" customHeight="false" outlineLevel="0" collapsed="false">
      <c r="A1046" s="1" t="n">
        <v>233</v>
      </c>
      <c r="B1046" s="1" t="s">
        <v>565</v>
      </c>
      <c r="C1046" s="1" t="s">
        <v>566</v>
      </c>
      <c r="D1046" s="1" t="n">
        <v>11171</v>
      </c>
      <c r="E1046" s="1" t="s">
        <v>55</v>
      </c>
      <c r="F1046" s="198" t="n">
        <v>200025888632</v>
      </c>
      <c r="G1046" s="198" t="s">
        <v>598</v>
      </c>
      <c r="H1046" s="163" t="s">
        <v>393</v>
      </c>
      <c r="I1046" s="161" t="n">
        <v>83</v>
      </c>
      <c r="J1046" s="156" t="s">
        <v>192</v>
      </c>
      <c r="K1046" s="199" t="n">
        <v>45453.3750115741</v>
      </c>
      <c r="L1046" s="3" t="n">
        <v>71</v>
      </c>
      <c r="M1046" s="3" t="n">
        <v>71</v>
      </c>
      <c r="N1046" s="1" t="n">
        <v>32</v>
      </c>
      <c r="O1046" s="1" t="n">
        <v>1</v>
      </c>
    </row>
    <row r="1047" customFormat="false" ht="14.25" hidden="false" customHeight="false" outlineLevel="0" collapsed="false">
      <c r="A1047" s="1" t="n">
        <v>234</v>
      </c>
      <c r="B1047" s="1" t="s">
        <v>565</v>
      </c>
      <c r="C1047" s="1" t="s">
        <v>566</v>
      </c>
      <c r="D1047" s="1" t="n">
        <v>11171</v>
      </c>
      <c r="E1047" s="1" t="s">
        <v>55</v>
      </c>
      <c r="F1047" s="198" t="n">
        <v>200025888632</v>
      </c>
      <c r="G1047" s="198" t="s">
        <v>598</v>
      </c>
      <c r="H1047" s="163" t="s">
        <v>393</v>
      </c>
      <c r="I1047" s="161" t="n">
        <v>83</v>
      </c>
      <c r="J1047" s="156" t="s">
        <v>192</v>
      </c>
      <c r="K1047" s="199" t="n">
        <v>45453.3753819445</v>
      </c>
      <c r="L1047" s="3" t="n">
        <v>71</v>
      </c>
      <c r="M1047" s="3" t="n">
        <v>71</v>
      </c>
      <c r="N1047" s="1" t="n">
        <v>33</v>
      </c>
      <c r="O1047" s="1" t="n">
        <v>0</v>
      </c>
    </row>
    <row r="1048" customFormat="false" ht="14.25" hidden="false" customHeight="false" outlineLevel="0" collapsed="false">
      <c r="A1048" s="1" t="n">
        <v>235</v>
      </c>
      <c r="B1048" s="1" t="s">
        <v>565</v>
      </c>
      <c r="C1048" s="1" t="s">
        <v>566</v>
      </c>
      <c r="D1048" s="1" t="n">
        <v>11171</v>
      </c>
      <c r="E1048" s="1" t="s">
        <v>55</v>
      </c>
      <c r="F1048" s="198" t="n">
        <v>200025888632</v>
      </c>
      <c r="G1048" s="198" t="s">
        <v>598</v>
      </c>
      <c r="H1048" s="163" t="s">
        <v>393</v>
      </c>
      <c r="I1048" s="161" t="n">
        <v>83</v>
      </c>
      <c r="J1048" s="156" t="s">
        <v>192</v>
      </c>
      <c r="K1048" s="199" t="n">
        <v>45453.3753935185</v>
      </c>
      <c r="L1048" s="3" t="n">
        <v>71</v>
      </c>
      <c r="M1048" s="3" t="n">
        <v>71</v>
      </c>
      <c r="N1048" s="1" t="n">
        <v>34</v>
      </c>
      <c r="O1048" s="1" t="n">
        <v>1</v>
      </c>
    </row>
    <row r="1049" customFormat="false" ht="14.25" hidden="false" customHeight="false" outlineLevel="0" collapsed="false">
      <c r="A1049" s="1" t="n">
        <v>236</v>
      </c>
      <c r="B1049" s="1" t="s">
        <v>565</v>
      </c>
      <c r="C1049" s="1" t="s">
        <v>566</v>
      </c>
      <c r="D1049" s="1" t="n">
        <v>11171</v>
      </c>
      <c r="E1049" s="1" t="s">
        <v>55</v>
      </c>
      <c r="F1049" s="198" t="n">
        <v>200025888632</v>
      </c>
      <c r="G1049" s="198" t="s">
        <v>598</v>
      </c>
      <c r="H1049" s="163" t="s">
        <v>393</v>
      </c>
      <c r="I1049" s="161" t="n">
        <v>83</v>
      </c>
      <c r="J1049" s="156" t="s">
        <v>192</v>
      </c>
      <c r="K1049" s="199" t="n">
        <v>45453.3759143519</v>
      </c>
      <c r="L1049" s="3" t="n">
        <v>71</v>
      </c>
      <c r="M1049" s="3" t="n">
        <v>71</v>
      </c>
      <c r="N1049" s="1" t="n">
        <v>35</v>
      </c>
      <c r="O1049" s="1" t="n">
        <v>1</v>
      </c>
    </row>
    <row r="1050" customFormat="false" ht="14.25" hidden="false" customHeight="false" outlineLevel="0" collapsed="false">
      <c r="A1050" s="1" t="n">
        <v>237</v>
      </c>
      <c r="B1050" s="1" t="s">
        <v>565</v>
      </c>
      <c r="C1050" s="1" t="s">
        <v>566</v>
      </c>
      <c r="D1050" s="1" t="n">
        <v>11171</v>
      </c>
      <c r="E1050" s="1" t="s">
        <v>55</v>
      </c>
      <c r="F1050" s="198" t="n">
        <v>200025888632</v>
      </c>
      <c r="G1050" s="198" t="s">
        <v>598</v>
      </c>
      <c r="H1050" s="163" t="s">
        <v>393</v>
      </c>
      <c r="I1050" s="161" t="n">
        <v>83</v>
      </c>
      <c r="J1050" s="156" t="s">
        <v>192</v>
      </c>
      <c r="K1050" s="199" t="n">
        <v>45453.3760185185</v>
      </c>
      <c r="L1050" s="3" t="n">
        <v>71</v>
      </c>
      <c r="M1050" s="3" t="n">
        <v>71</v>
      </c>
      <c r="N1050" s="1" t="n">
        <v>36</v>
      </c>
      <c r="O1050" s="1" t="n">
        <v>3</v>
      </c>
    </row>
    <row r="1051" customFormat="false" ht="14.25" hidden="false" customHeight="false" outlineLevel="0" collapsed="false">
      <c r="A1051" s="1" t="n">
        <v>238</v>
      </c>
      <c r="B1051" s="1" t="s">
        <v>565</v>
      </c>
      <c r="C1051" s="1" t="s">
        <v>566</v>
      </c>
      <c r="D1051" s="1" t="n">
        <v>11171</v>
      </c>
      <c r="E1051" s="1" t="s">
        <v>55</v>
      </c>
      <c r="F1051" s="198" t="n">
        <v>200025888632</v>
      </c>
      <c r="G1051" s="198" t="s">
        <v>598</v>
      </c>
      <c r="H1051" s="163" t="s">
        <v>393</v>
      </c>
      <c r="I1051" s="161" t="n">
        <v>83</v>
      </c>
      <c r="J1051" s="156" t="s">
        <v>192</v>
      </c>
      <c r="K1051" s="199" t="n">
        <v>45453.3762731482</v>
      </c>
      <c r="L1051" s="3" t="n">
        <v>71</v>
      </c>
      <c r="M1051" s="3" t="n">
        <v>71</v>
      </c>
      <c r="N1051" s="1" t="n">
        <v>37</v>
      </c>
      <c r="O1051" s="1" t="n">
        <v>0</v>
      </c>
    </row>
    <row r="1052" customFormat="false" ht="14.25" hidden="false" customHeight="false" outlineLevel="0" collapsed="false">
      <c r="A1052" s="1" t="n">
        <v>239</v>
      </c>
      <c r="B1052" s="1" t="s">
        <v>565</v>
      </c>
      <c r="C1052" s="1" t="s">
        <v>566</v>
      </c>
      <c r="D1052" s="1" t="n">
        <v>11171</v>
      </c>
      <c r="E1052" s="1" t="s">
        <v>55</v>
      </c>
      <c r="F1052" s="198" t="n">
        <v>200025888632</v>
      </c>
      <c r="G1052" s="198" t="s">
        <v>598</v>
      </c>
      <c r="H1052" s="163" t="s">
        <v>393</v>
      </c>
      <c r="I1052" s="161" t="n">
        <v>83</v>
      </c>
      <c r="J1052" s="156" t="s">
        <v>192</v>
      </c>
      <c r="K1052" s="199" t="n">
        <v>45453.3763773148</v>
      </c>
      <c r="L1052" s="3" t="n">
        <v>71</v>
      </c>
      <c r="M1052" s="3" t="n">
        <v>71</v>
      </c>
      <c r="N1052" s="1" t="n">
        <v>38</v>
      </c>
      <c r="O1052" s="1" t="n">
        <v>0</v>
      </c>
    </row>
    <row r="1053" customFormat="false" ht="14.25" hidden="false" customHeight="false" outlineLevel="0" collapsed="false">
      <c r="A1053" s="1" t="n">
        <v>240</v>
      </c>
      <c r="B1053" s="1" t="s">
        <v>565</v>
      </c>
      <c r="C1053" s="1" t="s">
        <v>566</v>
      </c>
      <c r="D1053" s="1" t="n">
        <v>11171</v>
      </c>
      <c r="E1053" s="1" t="s">
        <v>55</v>
      </c>
      <c r="F1053" s="198" t="n">
        <v>200025888632</v>
      </c>
      <c r="G1053" s="198" t="s">
        <v>598</v>
      </c>
      <c r="H1053" s="163" t="s">
        <v>393</v>
      </c>
      <c r="I1053" s="161" t="n">
        <v>83</v>
      </c>
      <c r="J1053" s="156" t="s">
        <v>192</v>
      </c>
      <c r="K1053" s="199" t="n">
        <v>45453.3763888889</v>
      </c>
      <c r="L1053" s="3" t="n">
        <v>71</v>
      </c>
      <c r="M1053" s="3" t="n">
        <v>71</v>
      </c>
      <c r="N1053" s="1" t="n">
        <v>39</v>
      </c>
      <c r="O1053" s="1" t="n">
        <v>0</v>
      </c>
    </row>
    <row r="1054" customFormat="false" ht="14.25" hidden="false" customHeight="false" outlineLevel="0" collapsed="false">
      <c r="A1054" s="1" t="n">
        <v>241</v>
      </c>
      <c r="B1054" s="1" t="s">
        <v>565</v>
      </c>
      <c r="C1054" s="1" t="s">
        <v>566</v>
      </c>
      <c r="D1054" s="1" t="n">
        <v>11171</v>
      </c>
      <c r="E1054" s="1" t="s">
        <v>55</v>
      </c>
      <c r="F1054" s="198" t="n">
        <v>200025888632</v>
      </c>
      <c r="G1054" s="198" t="s">
        <v>598</v>
      </c>
      <c r="H1054" s="163" t="s">
        <v>393</v>
      </c>
      <c r="I1054" s="161" t="n">
        <v>83</v>
      </c>
      <c r="J1054" s="156" t="s">
        <v>192</v>
      </c>
      <c r="K1054" s="199" t="n">
        <v>45453.3768287037</v>
      </c>
      <c r="L1054" s="3" t="n">
        <v>71</v>
      </c>
      <c r="M1054" s="3" t="n">
        <v>71</v>
      </c>
      <c r="N1054" s="1" t="n">
        <v>40</v>
      </c>
      <c r="O1054" s="1" t="n">
        <v>1</v>
      </c>
    </row>
    <row r="1055" customFormat="false" ht="14.25" hidden="false" customHeight="false" outlineLevel="0" collapsed="false">
      <c r="A1055" s="1" t="n">
        <v>242</v>
      </c>
      <c r="B1055" s="1" t="s">
        <v>565</v>
      </c>
      <c r="C1055" s="1" t="s">
        <v>566</v>
      </c>
      <c r="D1055" s="1" t="n">
        <v>11171</v>
      </c>
      <c r="E1055" s="1" t="s">
        <v>55</v>
      </c>
      <c r="F1055" s="198" t="n">
        <v>200025888632</v>
      </c>
      <c r="G1055" s="198" t="s">
        <v>598</v>
      </c>
      <c r="H1055" s="163" t="s">
        <v>393</v>
      </c>
      <c r="I1055" s="161" t="n">
        <v>83</v>
      </c>
      <c r="J1055" s="156" t="s">
        <v>192</v>
      </c>
      <c r="K1055" s="199" t="n">
        <v>45453.3774537037</v>
      </c>
      <c r="L1055" s="3" t="n">
        <v>71</v>
      </c>
      <c r="M1055" s="3" t="n">
        <v>71</v>
      </c>
      <c r="N1055" s="1" t="n">
        <v>41</v>
      </c>
      <c r="O1055" s="1" t="n">
        <v>2</v>
      </c>
    </row>
    <row r="1056" customFormat="false" ht="14.25" hidden="false" customHeight="false" outlineLevel="0" collapsed="false">
      <c r="A1056" s="1" t="n">
        <v>243</v>
      </c>
      <c r="B1056" s="1" t="s">
        <v>565</v>
      </c>
      <c r="C1056" s="1" t="s">
        <v>566</v>
      </c>
      <c r="D1056" s="1" t="n">
        <v>11171</v>
      </c>
      <c r="E1056" s="1" t="s">
        <v>55</v>
      </c>
      <c r="F1056" s="198" t="n">
        <v>200025888632</v>
      </c>
      <c r="G1056" s="198" t="s">
        <v>598</v>
      </c>
      <c r="H1056" s="163" t="s">
        <v>393</v>
      </c>
      <c r="I1056" s="161" t="n">
        <v>83</v>
      </c>
      <c r="J1056" s="156" t="s">
        <v>192</v>
      </c>
      <c r="K1056" s="199" t="n">
        <v>45453.3775231482</v>
      </c>
      <c r="L1056" s="3" t="n">
        <v>71</v>
      </c>
      <c r="M1056" s="3" t="n">
        <v>71</v>
      </c>
      <c r="N1056" s="1" t="n">
        <v>42</v>
      </c>
      <c r="O1056" s="1" t="n">
        <v>2</v>
      </c>
    </row>
    <row r="1057" customFormat="false" ht="14.25" hidden="false" customHeight="false" outlineLevel="0" collapsed="false">
      <c r="A1057" s="1" t="n">
        <v>238</v>
      </c>
      <c r="B1057" s="1" t="s">
        <v>702</v>
      </c>
      <c r="C1057" s="1" t="s">
        <v>703</v>
      </c>
      <c r="D1057" s="1" t="n">
        <v>11197</v>
      </c>
      <c r="E1057" s="1" t="s">
        <v>53</v>
      </c>
      <c r="F1057" s="201" t="n">
        <v>200025888632</v>
      </c>
      <c r="G1057" s="198" t="s">
        <v>598</v>
      </c>
      <c r="H1057" s="163" t="s">
        <v>393</v>
      </c>
      <c r="I1057" s="161" t="n">
        <v>83</v>
      </c>
      <c r="J1057" s="156" t="s">
        <v>192</v>
      </c>
      <c r="K1057" s="200" t="n">
        <v>45453.3925578704</v>
      </c>
      <c r="L1057" s="3" t="n">
        <v>71</v>
      </c>
      <c r="M1057" s="3" t="n">
        <v>71</v>
      </c>
      <c r="N1057" s="1" t="n">
        <v>43</v>
      </c>
      <c r="O1057" s="1" t="n">
        <v>0</v>
      </c>
    </row>
    <row r="1058" customFormat="false" ht="14.25" hidden="false" customHeight="false" outlineLevel="0" collapsed="false">
      <c r="A1058" s="1" t="n">
        <v>239</v>
      </c>
      <c r="B1058" s="1" t="s">
        <v>702</v>
      </c>
      <c r="C1058" s="1" t="s">
        <v>703</v>
      </c>
      <c r="D1058" s="1" t="n">
        <v>11197</v>
      </c>
      <c r="E1058" s="1" t="s">
        <v>53</v>
      </c>
      <c r="F1058" s="201" t="n">
        <v>200025888632</v>
      </c>
      <c r="G1058" s="198" t="s">
        <v>598</v>
      </c>
      <c r="H1058" s="163" t="s">
        <v>393</v>
      </c>
      <c r="I1058" s="161" t="n">
        <v>83</v>
      </c>
      <c r="J1058" s="156" t="s">
        <v>192</v>
      </c>
      <c r="K1058" s="200" t="n">
        <v>45453.3928703704</v>
      </c>
      <c r="L1058" s="3" t="n">
        <v>71</v>
      </c>
      <c r="M1058" s="3" t="n">
        <v>71</v>
      </c>
      <c r="N1058" s="1" t="n">
        <v>44</v>
      </c>
      <c r="O1058" s="1" t="n">
        <v>1</v>
      </c>
    </row>
    <row r="1059" customFormat="false" ht="14.25" hidden="false" customHeight="false" outlineLevel="0" collapsed="false">
      <c r="A1059" s="1" t="n">
        <v>240</v>
      </c>
      <c r="B1059" s="1" t="s">
        <v>702</v>
      </c>
      <c r="C1059" s="1" t="s">
        <v>703</v>
      </c>
      <c r="D1059" s="1" t="n">
        <v>11197</v>
      </c>
      <c r="E1059" s="1" t="s">
        <v>53</v>
      </c>
      <c r="F1059" s="201" t="n">
        <v>200025888632</v>
      </c>
      <c r="G1059" s="198" t="s">
        <v>598</v>
      </c>
      <c r="H1059" s="163" t="s">
        <v>393</v>
      </c>
      <c r="I1059" s="161" t="n">
        <v>83</v>
      </c>
      <c r="J1059" s="156" t="s">
        <v>192</v>
      </c>
      <c r="K1059" s="200" t="n">
        <v>45453.3932175926</v>
      </c>
      <c r="L1059" s="3" t="n">
        <v>71</v>
      </c>
      <c r="M1059" s="3" t="n">
        <v>71</v>
      </c>
      <c r="N1059" s="1" t="n">
        <v>45</v>
      </c>
      <c r="O1059" s="1" t="n">
        <v>2</v>
      </c>
    </row>
    <row r="1060" customFormat="false" ht="14.25" hidden="false" customHeight="false" outlineLevel="0" collapsed="false">
      <c r="A1060" s="1" t="n">
        <v>241</v>
      </c>
      <c r="B1060" s="1" t="s">
        <v>702</v>
      </c>
      <c r="C1060" s="1" t="s">
        <v>703</v>
      </c>
      <c r="D1060" s="1" t="n">
        <v>11197</v>
      </c>
      <c r="E1060" s="1" t="s">
        <v>53</v>
      </c>
      <c r="F1060" s="201" t="n">
        <v>200025888632</v>
      </c>
      <c r="G1060" s="198" t="s">
        <v>598</v>
      </c>
      <c r="H1060" s="163" t="s">
        <v>393</v>
      </c>
      <c r="I1060" s="161" t="n">
        <v>83</v>
      </c>
      <c r="J1060" s="156" t="s">
        <v>192</v>
      </c>
      <c r="K1060" s="200" t="n">
        <v>45453.3933796296</v>
      </c>
      <c r="L1060" s="3" t="n">
        <v>71</v>
      </c>
      <c r="M1060" s="3" t="n">
        <v>71</v>
      </c>
      <c r="N1060" s="1" t="n">
        <v>46</v>
      </c>
      <c r="O1060" s="1" t="n">
        <v>1</v>
      </c>
    </row>
    <row r="1061" customFormat="false" ht="14.25" hidden="false" customHeight="false" outlineLevel="0" collapsed="false">
      <c r="A1061" s="1" t="n">
        <v>242</v>
      </c>
      <c r="B1061" s="1" t="s">
        <v>702</v>
      </c>
      <c r="C1061" s="1" t="s">
        <v>703</v>
      </c>
      <c r="D1061" s="1" t="n">
        <v>11197</v>
      </c>
      <c r="E1061" s="1" t="s">
        <v>53</v>
      </c>
      <c r="F1061" s="201" t="n">
        <v>200025888632</v>
      </c>
      <c r="G1061" s="198" t="s">
        <v>598</v>
      </c>
      <c r="H1061" s="163" t="s">
        <v>393</v>
      </c>
      <c r="I1061" s="161" t="n">
        <v>83</v>
      </c>
      <c r="J1061" s="156" t="s">
        <v>192</v>
      </c>
      <c r="K1061" s="200" t="n">
        <v>45453.3933912037</v>
      </c>
      <c r="L1061" s="3" t="n">
        <v>71</v>
      </c>
      <c r="M1061" s="3" t="n">
        <v>71</v>
      </c>
      <c r="N1061" s="1" t="n">
        <v>47</v>
      </c>
      <c r="O1061" s="1" t="n">
        <v>0</v>
      </c>
    </row>
    <row r="1062" customFormat="false" ht="14.25" hidden="false" customHeight="false" outlineLevel="0" collapsed="false">
      <c r="A1062" s="1" t="n">
        <v>246</v>
      </c>
      <c r="B1062" s="1" t="s">
        <v>565</v>
      </c>
      <c r="C1062" s="1" t="s">
        <v>566</v>
      </c>
      <c r="D1062" s="1" t="n">
        <v>11171</v>
      </c>
      <c r="E1062" s="1" t="s">
        <v>55</v>
      </c>
      <c r="F1062" s="198" t="n">
        <v>200025888632</v>
      </c>
      <c r="G1062" s="198" t="s">
        <v>598</v>
      </c>
      <c r="H1062" s="163" t="s">
        <v>393</v>
      </c>
      <c r="I1062" s="161" t="n">
        <v>83</v>
      </c>
      <c r="J1062" s="156" t="s">
        <v>192</v>
      </c>
      <c r="K1062" s="199" t="n">
        <v>45453.4528819444</v>
      </c>
      <c r="L1062" s="3" t="n">
        <v>71</v>
      </c>
      <c r="M1062" s="3" t="n">
        <v>71</v>
      </c>
      <c r="N1062" s="1" t="n">
        <v>48</v>
      </c>
      <c r="O1062" s="1" t="n">
        <v>1</v>
      </c>
    </row>
    <row r="1063" customFormat="false" ht="14.25" hidden="false" customHeight="false" outlineLevel="0" collapsed="false">
      <c r="A1063" s="1" t="n">
        <v>247</v>
      </c>
      <c r="B1063" s="1" t="s">
        <v>565</v>
      </c>
      <c r="C1063" s="1" t="s">
        <v>566</v>
      </c>
      <c r="D1063" s="1" t="n">
        <v>11171</v>
      </c>
      <c r="E1063" s="1" t="s">
        <v>55</v>
      </c>
      <c r="F1063" s="198" t="n">
        <v>200025888632</v>
      </c>
      <c r="G1063" s="198" t="s">
        <v>598</v>
      </c>
      <c r="H1063" s="163" t="s">
        <v>393</v>
      </c>
      <c r="I1063" s="161" t="n">
        <v>83</v>
      </c>
      <c r="J1063" s="156" t="s">
        <v>192</v>
      </c>
      <c r="K1063" s="199" t="n">
        <v>45453.4528935185</v>
      </c>
      <c r="L1063" s="3" t="n">
        <v>71</v>
      </c>
      <c r="M1063" s="3" t="n">
        <v>71</v>
      </c>
      <c r="N1063" s="1" t="n">
        <v>49</v>
      </c>
      <c r="O1063" s="1" t="n">
        <v>0</v>
      </c>
    </row>
    <row r="1064" customFormat="false" ht="14.25" hidden="false" customHeight="false" outlineLevel="0" collapsed="false">
      <c r="A1064" s="1" t="n">
        <v>248</v>
      </c>
      <c r="B1064" s="1" t="s">
        <v>565</v>
      </c>
      <c r="C1064" s="1" t="s">
        <v>566</v>
      </c>
      <c r="D1064" s="1" t="n">
        <v>11171</v>
      </c>
      <c r="E1064" s="1" t="s">
        <v>55</v>
      </c>
      <c r="F1064" s="198" t="n">
        <v>200025888632</v>
      </c>
      <c r="G1064" s="198" t="s">
        <v>598</v>
      </c>
      <c r="H1064" s="163" t="s">
        <v>393</v>
      </c>
      <c r="I1064" s="161" t="n">
        <v>83</v>
      </c>
      <c r="J1064" s="156" t="s">
        <v>192</v>
      </c>
      <c r="K1064" s="199" t="n">
        <v>45453.4662847222</v>
      </c>
      <c r="L1064" s="3" t="n">
        <v>71</v>
      </c>
      <c r="M1064" s="3" t="n">
        <v>71</v>
      </c>
      <c r="N1064" s="1" t="n">
        <v>50</v>
      </c>
      <c r="O1064" s="1" t="n">
        <v>1</v>
      </c>
    </row>
    <row r="1065" customFormat="false" ht="14.25" hidden="false" customHeight="false" outlineLevel="0" collapsed="false">
      <c r="A1065" s="1" t="n">
        <v>249</v>
      </c>
      <c r="B1065" s="1" t="s">
        <v>565</v>
      </c>
      <c r="C1065" s="1" t="s">
        <v>566</v>
      </c>
      <c r="D1065" s="1" t="n">
        <v>11171</v>
      </c>
      <c r="E1065" s="1" t="s">
        <v>55</v>
      </c>
      <c r="F1065" s="198" t="n">
        <v>200025888632</v>
      </c>
      <c r="G1065" s="198" t="s">
        <v>598</v>
      </c>
      <c r="H1065" s="163" t="s">
        <v>393</v>
      </c>
      <c r="I1065" s="161" t="n">
        <v>83</v>
      </c>
      <c r="J1065" s="156" t="s">
        <v>192</v>
      </c>
      <c r="K1065" s="199" t="n">
        <v>45453.4665740741</v>
      </c>
      <c r="L1065" s="3" t="n">
        <v>71</v>
      </c>
      <c r="M1065" s="3" t="n">
        <v>71</v>
      </c>
      <c r="N1065" s="1" t="n">
        <v>51</v>
      </c>
      <c r="O1065" s="1" t="n">
        <v>2</v>
      </c>
    </row>
    <row r="1066" customFormat="false" ht="14.25" hidden="false" customHeight="false" outlineLevel="0" collapsed="false">
      <c r="A1066" s="1" t="n">
        <v>250</v>
      </c>
      <c r="B1066" s="1" t="s">
        <v>565</v>
      </c>
      <c r="C1066" s="1" t="s">
        <v>566</v>
      </c>
      <c r="D1066" s="1" t="n">
        <v>11171</v>
      </c>
      <c r="E1066" s="1" t="s">
        <v>55</v>
      </c>
      <c r="F1066" s="198" t="n">
        <v>200025888632</v>
      </c>
      <c r="G1066" s="198" t="s">
        <v>598</v>
      </c>
      <c r="H1066" s="163" t="s">
        <v>393</v>
      </c>
      <c r="I1066" s="161" t="n">
        <v>83</v>
      </c>
      <c r="J1066" s="156" t="s">
        <v>192</v>
      </c>
      <c r="K1066" s="199" t="n">
        <v>45453.4673611111</v>
      </c>
      <c r="L1066" s="3" t="n">
        <v>71</v>
      </c>
      <c r="M1066" s="3" t="n">
        <v>71</v>
      </c>
      <c r="N1066" s="1" t="n">
        <v>52</v>
      </c>
      <c r="O1066" s="1" t="n">
        <v>2</v>
      </c>
    </row>
    <row r="1067" customFormat="false" ht="14.25" hidden="false" customHeight="false" outlineLevel="0" collapsed="false">
      <c r="A1067" s="1" t="n">
        <v>243</v>
      </c>
      <c r="B1067" s="1" t="s">
        <v>702</v>
      </c>
      <c r="C1067" s="1" t="s">
        <v>703</v>
      </c>
      <c r="D1067" s="1" t="n">
        <v>11197</v>
      </c>
      <c r="E1067" s="1" t="s">
        <v>53</v>
      </c>
      <c r="F1067" s="201" t="n">
        <v>200025888632</v>
      </c>
      <c r="G1067" s="198" t="s">
        <v>598</v>
      </c>
      <c r="H1067" s="163" t="s">
        <v>393</v>
      </c>
      <c r="I1067" s="161" t="n">
        <v>83</v>
      </c>
      <c r="J1067" s="156" t="s">
        <v>192</v>
      </c>
      <c r="K1067" s="200" t="n">
        <v>45453.4683101852</v>
      </c>
      <c r="L1067" s="3" t="n">
        <v>71</v>
      </c>
      <c r="M1067" s="3" t="n">
        <v>71</v>
      </c>
      <c r="N1067" s="1" t="n">
        <v>53</v>
      </c>
      <c r="O1067" s="1" t="n">
        <v>3</v>
      </c>
    </row>
    <row r="1068" customFormat="false" ht="14.25" hidden="false" customHeight="false" outlineLevel="0" collapsed="false">
      <c r="A1068" s="1" t="n">
        <v>244</v>
      </c>
      <c r="B1068" s="1" t="s">
        <v>702</v>
      </c>
      <c r="C1068" s="1" t="s">
        <v>703</v>
      </c>
      <c r="D1068" s="1" t="n">
        <v>11197</v>
      </c>
      <c r="E1068" s="1" t="s">
        <v>53</v>
      </c>
      <c r="F1068" s="201" t="n">
        <v>200025888632</v>
      </c>
      <c r="G1068" s="198" t="s">
        <v>598</v>
      </c>
      <c r="H1068" s="163" t="s">
        <v>393</v>
      </c>
      <c r="I1068" s="161" t="n">
        <v>83</v>
      </c>
      <c r="J1068" s="156" t="s">
        <v>192</v>
      </c>
      <c r="K1068" s="200" t="n">
        <v>45453.4683564815</v>
      </c>
      <c r="L1068" s="3" t="n">
        <v>71</v>
      </c>
      <c r="M1068" s="3" t="n">
        <v>71</v>
      </c>
      <c r="N1068" s="1" t="n">
        <v>54</v>
      </c>
      <c r="O1068" s="1" t="n">
        <v>21</v>
      </c>
    </row>
    <row r="1069" customFormat="false" ht="14.25" hidden="false" customHeight="false" outlineLevel="0" collapsed="false">
      <c r="A1069" s="1" t="n">
        <v>253</v>
      </c>
      <c r="B1069" s="1" t="s">
        <v>565</v>
      </c>
      <c r="C1069" s="1" t="s">
        <v>566</v>
      </c>
      <c r="D1069" s="1" t="n">
        <v>11171</v>
      </c>
      <c r="E1069" s="1" t="s">
        <v>55</v>
      </c>
      <c r="F1069" s="198" t="n">
        <v>200025888632</v>
      </c>
      <c r="G1069" s="198" t="s">
        <v>598</v>
      </c>
      <c r="H1069" s="163" t="s">
        <v>393</v>
      </c>
      <c r="I1069" s="161" t="n">
        <v>83</v>
      </c>
      <c r="J1069" s="156" t="s">
        <v>192</v>
      </c>
      <c r="K1069" s="199" t="n">
        <v>45453.4715625</v>
      </c>
      <c r="L1069" s="3" t="n">
        <v>71</v>
      </c>
      <c r="M1069" s="3" t="n">
        <v>71</v>
      </c>
      <c r="N1069" s="1" t="n">
        <v>55</v>
      </c>
      <c r="O1069" s="1" t="n">
        <v>0</v>
      </c>
    </row>
    <row r="1070" customFormat="false" ht="14.25" hidden="false" customHeight="false" outlineLevel="0" collapsed="false">
      <c r="A1070" s="1" t="n">
        <v>254</v>
      </c>
      <c r="B1070" s="1" t="s">
        <v>565</v>
      </c>
      <c r="C1070" s="1" t="s">
        <v>566</v>
      </c>
      <c r="D1070" s="1" t="n">
        <v>11171</v>
      </c>
      <c r="E1070" s="1" t="s">
        <v>55</v>
      </c>
      <c r="F1070" s="198" t="n">
        <v>200025888632</v>
      </c>
      <c r="G1070" s="198" t="s">
        <v>598</v>
      </c>
      <c r="H1070" s="163" t="s">
        <v>393</v>
      </c>
      <c r="I1070" s="161" t="n">
        <v>83</v>
      </c>
      <c r="J1070" s="156" t="s">
        <v>192</v>
      </c>
      <c r="K1070" s="199" t="n">
        <v>45453.4715740741</v>
      </c>
      <c r="L1070" s="3" t="n">
        <v>71</v>
      </c>
      <c r="M1070" s="3" t="n">
        <v>71</v>
      </c>
      <c r="N1070" s="1" t="n">
        <v>56</v>
      </c>
      <c r="O1070" s="1" t="n">
        <v>23</v>
      </c>
    </row>
    <row r="1071" customFormat="false" ht="14.25" hidden="false" customHeight="false" outlineLevel="0" collapsed="false">
      <c r="A1071" s="1" t="n">
        <v>255</v>
      </c>
      <c r="B1071" s="1" t="s">
        <v>565</v>
      </c>
      <c r="C1071" s="1" t="s">
        <v>566</v>
      </c>
      <c r="D1071" s="1" t="n">
        <v>11171</v>
      </c>
      <c r="E1071" s="1" t="s">
        <v>55</v>
      </c>
      <c r="F1071" s="198" t="n">
        <v>200025888632</v>
      </c>
      <c r="G1071" s="198" t="s">
        <v>598</v>
      </c>
      <c r="H1071" s="163" t="s">
        <v>393</v>
      </c>
      <c r="I1071" s="161" t="n">
        <v>83</v>
      </c>
      <c r="J1071" s="156" t="s">
        <v>192</v>
      </c>
      <c r="K1071" s="199" t="n">
        <v>45453.4720023148</v>
      </c>
      <c r="L1071" s="3" t="n">
        <v>71</v>
      </c>
      <c r="M1071" s="3" t="n">
        <v>71</v>
      </c>
      <c r="N1071" s="1" t="n">
        <v>57</v>
      </c>
      <c r="O1071" s="1" t="n">
        <v>1</v>
      </c>
    </row>
    <row r="1072" customFormat="false" ht="14.25" hidden="false" customHeight="false" outlineLevel="0" collapsed="false">
      <c r="A1072" s="1" t="n">
        <v>256</v>
      </c>
      <c r="B1072" s="1" t="s">
        <v>565</v>
      </c>
      <c r="C1072" s="1" t="s">
        <v>566</v>
      </c>
      <c r="D1072" s="1" t="n">
        <v>11171</v>
      </c>
      <c r="E1072" s="1" t="s">
        <v>55</v>
      </c>
      <c r="F1072" s="198" t="n">
        <v>200025888632</v>
      </c>
      <c r="G1072" s="198" t="s">
        <v>598</v>
      </c>
      <c r="H1072" s="163" t="s">
        <v>393</v>
      </c>
      <c r="I1072" s="161" t="n">
        <v>83</v>
      </c>
      <c r="J1072" s="156" t="s">
        <v>192</v>
      </c>
      <c r="K1072" s="199" t="n">
        <v>45453.4722685185</v>
      </c>
      <c r="L1072" s="3" t="n">
        <v>71</v>
      </c>
      <c r="M1072" s="3" t="n">
        <v>71</v>
      </c>
      <c r="N1072" s="1" t="n">
        <v>58</v>
      </c>
      <c r="O1072" s="1" t="n">
        <v>2</v>
      </c>
    </row>
    <row r="1073" customFormat="false" ht="14.25" hidden="false" customHeight="false" outlineLevel="0" collapsed="false">
      <c r="A1073" s="1" t="n">
        <v>257</v>
      </c>
      <c r="B1073" s="1" t="s">
        <v>565</v>
      </c>
      <c r="C1073" s="1" t="s">
        <v>566</v>
      </c>
      <c r="D1073" s="1" t="n">
        <v>11171</v>
      </c>
      <c r="E1073" s="1" t="s">
        <v>55</v>
      </c>
      <c r="F1073" s="198" t="n">
        <v>200025888632</v>
      </c>
      <c r="G1073" s="198" t="s">
        <v>598</v>
      </c>
      <c r="H1073" s="163" t="s">
        <v>393</v>
      </c>
      <c r="I1073" s="161" t="n">
        <v>83</v>
      </c>
      <c r="J1073" s="156" t="s">
        <v>192</v>
      </c>
      <c r="K1073" s="199" t="n">
        <v>45453.4723842593</v>
      </c>
      <c r="L1073" s="3" t="n">
        <v>71</v>
      </c>
      <c r="M1073" s="3" t="n">
        <v>71</v>
      </c>
      <c r="N1073" s="1" t="n">
        <v>59</v>
      </c>
      <c r="O1073" s="1" t="n">
        <v>1</v>
      </c>
    </row>
    <row r="1074" customFormat="false" ht="14.25" hidden="false" customHeight="false" outlineLevel="0" collapsed="false">
      <c r="A1074" s="1" t="n">
        <v>258</v>
      </c>
      <c r="B1074" s="1" t="s">
        <v>565</v>
      </c>
      <c r="C1074" s="1" t="s">
        <v>566</v>
      </c>
      <c r="D1074" s="1" t="n">
        <v>11171</v>
      </c>
      <c r="E1074" s="1" t="s">
        <v>55</v>
      </c>
      <c r="F1074" s="198" t="n">
        <v>200025888632</v>
      </c>
      <c r="G1074" s="198" t="s">
        <v>598</v>
      </c>
      <c r="H1074" s="163" t="s">
        <v>393</v>
      </c>
      <c r="I1074" s="161" t="n">
        <v>83</v>
      </c>
      <c r="J1074" s="156" t="s">
        <v>192</v>
      </c>
      <c r="K1074" s="199" t="n">
        <v>45453.4724074074</v>
      </c>
      <c r="L1074" s="3" t="n">
        <v>71</v>
      </c>
      <c r="M1074" s="3" t="n">
        <v>71</v>
      </c>
      <c r="N1074" s="1" t="n">
        <v>60</v>
      </c>
      <c r="O1074" s="10" t="n">
        <v>289</v>
      </c>
    </row>
    <row r="1075" customFormat="false" ht="14.25" hidden="false" customHeight="false" outlineLevel="0" collapsed="false">
      <c r="A1075" s="1" t="n">
        <v>259</v>
      </c>
      <c r="B1075" s="1" t="s">
        <v>565</v>
      </c>
      <c r="C1075" s="1" t="s">
        <v>566</v>
      </c>
      <c r="D1075" s="1" t="n">
        <v>11171</v>
      </c>
      <c r="E1075" s="1" t="s">
        <v>55</v>
      </c>
      <c r="F1075" s="198" t="n">
        <v>200025888632</v>
      </c>
      <c r="G1075" s="198" t="s">
        <v>598</v>
      </c>
      <c r="H1075" s="163" t="s">
        <v>393</v>
      </c>
      <c r="I1075" s="161" t="n">
        <v>83</v>
      </c>
      <c r="J1075" s="156" t="s">
        <v>192</v>
      </c>
      <c r="K1075" s="199" t="n">
        <v>45453.4759606481</v>
      </c>
      <c r="L1075" s="3" t="n">
        <v>71</v>
      </c>
      <c r="M1075" s="3" t="n">
        <v>71</v>
      </c>
      <c r="N1075" s="1" t="n">
        <v>61</v>
      </c>
      <c r="O1075" s="1" t="n">
        <v>1</v>
      </c>
    </row>
    <row r="1076" customFormat="false" ht="14.25" hidden="false" customHeight="false" outlineLevel="0" collapsed="false">
      <c r="A1076" s="1" t="n">
        <v>260</v>
      </c>
      <c r="B1076" s="1" t="s">
        <v>565</v>
      </c>
      <c r="C1076" s="1" t="s">
        <v>566</v>
      </c>
      <c r="D1076" s="1" t="n">
        <v>11171</v>
      </c>
      <c r="E1076" s="1" t="s">
        <v>55</v>
      </c>
      <c r="F1076" s="198" t="n">
        <v>200025888632</v>
      </c>
      <c r="G1076" s="198" t="s">
        <v>598</v>
      </c>
      <c r="H1076" s="163" t="s">
        <v>393</v>
      </c>
      <c r="I1076" s="161" t="n">
        <v>83</v>
      </c>
      <c r="J1076" s="156" t="s">
        <v>192</v>
      </c>
      <c r="K1076" s="199" t="n">
        <v>45453.4768287037</v>
      </c>
      <c r="L1076" s="3" t="n">
        <v>71</v>
      </c>
      <c r="M1076" s="3" t="n">
        <v>71</v>
      </c>
      <c r="N1076" s="1" t="n">
        <v>62</v>
      </c>
      <c r="O1076" s="1" t="n">
        <v>1</v>
      </c>
    </row>
    <row r="1077" customFormat="false" ht="14.25" hidden="false" customHeight="false" outlineLevel="0" collapsed="false">
      <c r="A1077" s="1" t="n">
        <v>261</v>
      </c>
      <c r="B1077" s="1" t="s">
        <v>565</v>
      </c>
      <c r="C1077" s="1" t="s">
        <v>566</v>
      </c>
      <c r="D1077" s="1" t="n">
        <v>11171</v>
      </c>
      <c r="E1077" s="1" t="s">
        <v>55</v>
      </c>
      <c r="F1077" s="198" t="n">
        <v>200025888632</v>
      </c>
      <c r="G1077" s="198" t="s">
        <v>598</v>
      </c>
      <c r="H1077" s="163" t="s">
        <v>393</v>
      </c>
      <c r="I1077" s="161" t="n">
        <v>83</v>
      </c>
      <c r="J1077" s="156" t="s">
        <v>192</v>
      </c>
      <c r="K1077" s="199" t="n">
        <v>45453.4793287037</v>
      </c>
      <c r="L1077" s="3" t="n">
        <v>71</v>
      </c>
      <c r="M1077" s="3" t="n">
        <v>71</v>
      </c>
      <c r="N1077" s="1" t="n">
        <v>63</v>
      </c>
      <c r="O1077" s="1" t="n">
        <v>1</v>
      </c>
    </row>
    <row r="1078" customFormat="false" ht="14.25" hidden="false" customHeight="false" outlineLevel="0" collapsed="false">
      <c r="A1078" s="1" t="n">
        <v>262</v>
      </c>
      <c r="B1078" s="1" t="s">
        <v>565</v>
      </c>
      <c r="C1078" s="1" t="s">
        <v>566</v>
      </c>
      <c r="D1078" s="1" t="n">
        <v>11171</v>
      </c>
      <c r="E1078" s="1" t="s">
        <v>55</v>
      </c>
      <c r="F1078" s="198" t="n">
        <v>200025888632</v>
      </c>
      <c r="G1078" s="198" t="s">
        <v>598</v>
      </c>
      <c r="H1078" s="163" t="s">
        <v>393</v>
      </c>
      <c r="I1078" s="161" t="n">
        <v>83</v>
      </c>
      <c r="J1078" s="156" t="s">
        <v>192</v>
      </c>
      <c r="K1078" s="199" t="n">
        <v>45453.4856481482</v>
      </c>
      <c r="L1078" s="3" t="n">
        <v>71</v>
      </c>
      <c r="M1078" s="3" t="n">
        <v>71</v>
      </c>
      <c r="N1078" s="1" t="n">
        <v>64</v>
      </c>
      <c r="O1078" s="1" t="n">
        <v>1</v>
      </c>
    </row>
    <row r="1079" customFormat="false" ht="14.25" hidden="false" customHeight="false" outlineLevel="0" collapsed="false">
      <c r="A1079" s="1" t="n">
        <v>263</v>
      </c>
      <c r="B1079" s="1" t="s">
        <v>565</v>
      </c>
      <c r="C1079" s="1" t="s">
        <v>566</v>
      </c>
      <c r="D1079" s="1" t="n">
        <v>11171</v>
      </c>
      <c r="E1079" s="1" t="s">
        <v>55</v>
      </c>
      <c r="F1079" s="198" t="n">
        <v>200025888632</v>
      </c>
      <c r="G1079" s="198" t="s">
        <v>598</v>
      </c>
      <c r="H1079" s="163" t="s">
        <v>393</v>
      </c>
      <c r="I1079" s="161" t="n">
        <v>83</v>
      </c>
      <c r="J1079" s="156" t="s">
        <v>192</v>
      </c>
      <c r="K1079" s="199" t="n">
        <v>45453.4859490741</v>
      </c>
      <c r="L1079" s="3" t="n">
        <v>71</v>
      </c>
      <c r="M1079" s="3" t="n">
        <v>71</v>
      </c>
      <c r="N1079" s="1" t="n">
        <v>65</v>
      </c>
      <c r="O1079" s="1" t="n">
        <v>2</v>
      </c>
    </row>
    <row r="1080" customFormat="false" ht="14.25" hidden="false" customHeight="false" outlineLevel="0" collapsed="false">
      <c r="A1080" s="1" t="n">
        <v>264</v>
      </c>
      <c r="B1080" s="1" t="s">
        <v>565</v>
      </c>
      <c r="C1080" s="1" t="s">
        <v>566</v>
      </c>
      <c r="D1080" s="1" t="n">
        <v>11171</v>
      </c>
      <c r="E1080" s="1" t="s">
        <v>55</v>
      </c>
      <c r="F1080" s="198" t="n">
        <v>200025888632</v>
      </c>
      <c r="G1080" s="198" t="s">
        <v>598</v>
      </c>
      <c r="H1080" s="163" t="s">
        <v>393</v>
      </c>
      <c r="I1080" s="161" t="n">
        <v>83</v>
      </c>
      <c r="J1080" s="156" t="s">
        <v>192</v>
      </c>
      <c r="K1080" s="199" t="n">
        <v>45453.4860416667</v>
      </c>
      <c r="L1080" s="3" t="n">
        <v>71</v>
      </c>
      <c r="M1080" s="3" t="n">
        <v>71</v>
      </c>
      <c r="N1080" s="1" t="n">
        <v>66</v>
      </c>
      <c r="O1080" s="1" t="n">
        <v>2</v>
      </c>
    </row>
    <row r="1081" customFormat="false" ht="14.25" hidden="false" customHeight="false" outlineLevel="0" collapsed="false">
      <c r="A1081" s="1" t="n">
        <v>265</v>
      </c>
      <c r="B1081" s="1" t="s">
        <v>565</v>
      </c>
      <c r="C1081" s="1" t="s">
        <v>566</v>
      </c>
      <c r="D1081" s="1" t="n">
        <v>11171</v>
      </c>
      <c r="E1081" s="1" t="s">
        <v>55</v>
      </c>
      <c r="F1081" s="198" t="n">
        <v>200025888632</v>
      </c>
      <c r="G1081" s="198" t="s">
        <v>598</v>
      </c>
      <c r="H1081" s="163" t="s">
        <v>393</v>
      </c>
      <c r="I1081" s="161" t="n">
        <v>83</v>
      </c>
      <c r="J1081" s="156" t="s">
        <v>192</v>
      </c>
      <c r="K1081" s="199" t="n">
        <v>45453.4871875</v>
      </c>
      <c r="L1081" s="3" t="n">
        <v>71</v>
      </c>
      <c r="M1081" s="3" t="n">
        <v>71</v>
      </c>
      <c r="N1081" s="1" t="n">
        <v>67</v>
      </c>
      <c r="O1081" s="1" t="n">
        <v>1</v>
      </c>
    </row>
    <row r="1082" customFormat="false" ht="14.25" hidden="false" customHeight="false" outlineLevel="0" collapsed="false">
      <c r="A1082" s="1" t="n">
        <v>266</v>
      </c>
      <c r="B1082" s="1" t="s">
        <v>565</v>
      </c>
      <c r="C1082" s="1" t="s">
        <v>566</v>
      </c>
      <c r="D1082" s="1" t="n">
        <v>11171</v>
      </c>
      <c r="E1082" s="1" t="s">
        <v>55</v>
      </c>
      <c r="F1082" s="198" t="n">
        <v>200025888632</v>
      </c>
      <c r="G1082" s="198" t="s">
        <v>598</v>
      </c>
      <c r="H1082" s="163" t="s">
        <v>393</v>
      </c>
      <c r="I1082" s="161" t="n">
        <v>83</v>
      </c>
      <c r="J1082" s="156" t="s">
        <v>192</v>
      </c>
      <c r="K1082" s="199" t="n">
        <v>45453.487337963</v>
      </c>
      <c r="L1082" s="3" t="n">
        <v>71</v>
      </c>
      <c r="M1082" s="3" t="n">
        <v>71</v>
      </c>
      <c r="N1082" s="1" t="n">
        <v>68</v>
      </c>
      <c r="O1082" s="1" t="n">
        <v>0</v>
      </c>
    </row>
    <row r="1083" customFormat="false" ht="14.25" hidden="false" customHeight="false" outlineLevel="0" collapsed="false">
      <c r="A1083" s="1" t="n">
        <v>267</v>
      </c>
      <c r="B1083" s="1" t="s">
        <v>565</v>
      </c>
      <c r="C1083" s="1" t="s">
        <v>566</v>
      </c>
      <c r="D1083" s="1" t="n">
        <v>11171</v>
      </c>
      <c r="E1083" s="1" t="s">
        <v>55</v>
      </c>
      <c r="F1083" s="198" t="n">
        <v>200025888632</v>
      </c>
      <c r="G1083" s="198" t="s">
        <v>598</v>
      </c>
      <c r="H1083" s="163" t="s">
        <v>393</v>
      </c>
      <c r="I1083" s="161" t="n">
        <v>83</v>
      </c>
      <c r="J1083" s="156" t="s">
        <v>192</v>
      </c>
      <c r="K1083" s="199" t="n">
        <v>45453.487349537</v>
      </c>
      <c r="L1083" s="3" t="n">
        <v>71</v>
      </c>
      <c r="M1083" s="3" t="n">
        <v>71</v>
      </c>
      <c r="N1083" s="1" t="n">
        <v>69</v>
      </c>
      <c r="O1083" s="1" t="n">
        <v>0</v>
      </c>
    </row>
    <row r="1084" customFormat="false" ht="14.25" hidden="false" customHeight="false" outlineLevel="0" collapsed="false">
      <c r="A1084" s="1" t="n">
        <v>268</v>
      </c>
      <c r="B1084" s="1" t="s">
        <v>565</v>
      </c>
      <c r="C1084" s="1" t="s">
        <v>566</v>
      </c>
      <c r="D1084" s="1" t="n">
        <v>11171</v>
      </c>
      <c r="E1084" s="1" t="s">
        <v>55</v>
      </c>
      <c r="F1084" s="198" t="n">
        <v>200025888632</v>
      </c>
      <c r="G1084" s="198" t="s">
        <v>598</v>
      </c>
      <c r="H1084" s="163" t="s">
        <v>393</v>
      </c>
      <c r="I1084" s="161" t="n">
        <v>83</v>
      </c>
      <c r="J1084" s="156" t="s">
        <v>192</v>
      </c>
      <c r="K1084" s="199" t="n">
        <v>45453.4877083333</v>
      </c>
      <c r="L1084" s="3" t="n">
        <v>71</v>
      </c>
      <c r="M1084" s="3" t="n">
        <v>71</v>
      </c>
      <c r="N1084" s="1" t="n">
        <v>70</v>
      </c>
      <c r="O1084" s="1" t="n">
        <v>2</v>
      </c>
    </row>
    <row r="1085" customFormat="false" ht="14.25" hidden="false" customHeight="false" outlineLevel="0" collapsed="false">
      <c r="A1085" s="1" t="n">
        <v>251</v>
      </c>
      <c r="B1085" s="1" t="s">
        <v>702</v>
      </c>
      <c r="C1085" s="1" t="s">
        <v>703</v>
      </c>
      <c r="D1085" s="1" t="n">
        <v>11197</v>
      </c>
      <c r="E1085" s="1" t="s">
        <v>53</v>
      </c>
      <c r="F1085" s="201" t="n">
        <v>200025888632</v>
      </c>
      <c r="G1085" s="198" t="s">
        <v>598</v>
      </c>
      <c r="H1085" s="163" t="s">
        <v>393</v>
      </c>
      <c r="I1085" s="161" t="n">
        <v>83</v>
      </c>
      <c r="J1085" s="156" t="s">
        <v>192</v>
      </c>
      <c r="K1085" s="200" t="n">
        <v>45453.5298958333</v>
      </c>
      <c r="L1085" s="3" t="n">
        <v>71</v>
      </c>
      <c r="M1085" s="3" t="n">
        <v>71</v>
      </c>
      <c r="N1085" s="1" t="n">
        <v>71</v>
      </c>
      <c r="O1085" s="1" t="n">
        <v>1</v>
      </c>
    </row>
    <row r="1086" customFormat="false" ht="14.25" hidden="false" customHeight="false" outlineLevel="0" collapsed="false">
      <c r="A1086" s="1" t="n">
        <v>252</v>
      </c>
      <c r="B1086" s="1" t="s">
        <v>702</v>
      </c>
      <c r="C1086" s="1" t="s">
        <v>703</v>
      </c>
      <c r="D1086" s="1" t="n">
        <v>11197</v>
      </c>
      <c r="E1086" s="1" t="s">
        <v>53</v>
      </c>
      <c r="F1086" s="201" t="n">
        <v>200025888632</v>
      </c>
      <c r="G1086" s="198" t="s">
        <v>598</v>
      </c>
      <c r="H1086" s="163" t="s">
        <v>393</v>
      </c>
      <c r="I1086" s="161" t="n">
        <v>83</v>
      </c>
      <c r="J1086" s="156" t="s">
        <v>192</v>
      </c>
      <c r="K1086" s="200" t="n">
        <v>45453.5313194444</v>
      </c>
      <c r="L1086" s="3" t="n">
        <v>71</v>
      </c>
      <c r="M1086" s="3" t="n">
        <v>71</v>
      </c>
      <c r="N1086" s="1" t="n">
        <v>72</v>
      </c>
      <c r="O1086" s="1" t="n">
        <v>0</v>
      </c>
    </row>
    <row r="1087" customFormat="false" ht="14.25" hidden="false" customHeight="false" outlineLevel="0" collapsed="false">
      <c r="A1087" s="1" t="n">
        <v>253</v>
      </c>
      <c r="B1087" s="1" t="s">
        <v>702</v>
      </c>
      <c r="C1087" s="1" t="s">
        <v>703</v>
      </c>
      <c r="D1087" s="1" t="n">
        <v>11197</v>
      </c>
      <c r="E1087" s="1" t="s">
        <v>53</v>
      </c>
      <c r="F1087" s="201" t="n">
        <v>200025888632</v>
      </c>
      <c r="G1087" s="198" t="s">
        <v>598</v>
      </c>
      <c r="H1087" s="163" t="s">
        <v>393</v>
      </c>
      <c r="I1087" s="161" t="n">
        <v>83</v>
      </c>
      <c r="J1087" s="156" t="s">
        <v>192</v>
      </c>
      <c r="K1087" s="200" t="n">
        <v>45453.5315740741</v>
      </c>
      <c r="L1087" s="3" t="n">
        <v>71</v>
      </c>
      <c r="M1087" s="3" t="n">
        <v>71</v>
      </c>
      <c r="N1087" s="1" t="n">
        <v>73</v>
      </c>
      <c r="O1087" s="1" t="n">
        <v>2</v>
      </c>
    </row>
    <row r="1088" customFormat="false" ht="14.25" hidden="false" customHeight="false" outlineLevel="0" collapsed="false">
      <c r="A1088" s="1" t="n">
        <v>254</v>
      </c>
      <c r="B1088" s="1" t="s">
        <v>702</v>
      </c>
      <c r="C1088" s="1" t="s">
        <v>703</v>
      </c>
      <c r="D1088" s="1" t="n">
        <v>11197</v>
      </c>
      <c r="E1088" s="1" t="s">
        <v>53</v>
      </c>
      <c r="F1088" s="201" t="n">
        <v>200025888632</v>
      </c>
      <c r="G1088" s="198" t="s">
        <v>598</v>
      </c>
      <c r="H1088" s="163" t="s">
        <v>393</v>
      </c>
      <c r="I1088" s="161" t="n">
        <v>83</v>
      </c>
      <c r="J1088" s="156" t="s">
        <v>192</v>
      </c>
      <c r="K1088" s="200" t="n">
        <v>45453.5326041667</v>
      </c>
      <c r="L1088" s="3" t="n">
        <v>71</v>
      </c>
      <c r="M1088" s="3" t="n">
        <v>71</v>
      </c>
      <c r="N1088" s="1" t="n">
        <v>74</v>
      </c>
      <c r="O1088" s="1" t="n">
        <v>0</v>
      </c>
    </row>
    <row r="1089" customFormat="false" ht="14.25" hidden="false" customHeight="false" outlineLevel="0" collapsed="false">
      <c r="A1089" s="1" t="n">
        <v>255</v>
      </c>
      <c r="B1089" s="1" t="s">
        <v>702</v>
      </c>
      <c r="C1089" s="1" t="s">
        <v>703</v>
      </c>
      <c r="D1089" s="1" t="n">
        <v>11197</v>
      </c>
      <c r="E1089" s="1" t="s">
        <v>53</v>
      </c>
      <c r="F1089" s="201" t="n">
        <v>200025888632</v>
      </c>
      <c r="G1089" s="198" t="s">
        <v>598</v>
      </c>
      <c r="H1089" s="163" t="s">
        <v>393</v>
      </c>
      <c r="I1089" s="161" t="n">
        <v>83</v>
      </c>
      <c r="J1089" s="156" t="s">
        <v>192</v>
      </c>
      <c r="K1089" s="200" t="n">
        <v>45453.5329166667</v>
      </c>
      <c r="L1089" s="3" t="n">
        <v>71</v>
      </c>
      <c r="M1089" s="3" t="n">
        <v>71</v>
      </c>
      <c r="N1089" s="1" t="n">
        <v>75</v>
      </c>
      <c r="O1089" s="1" t="n">
        <v>0</v>
      </c>
    </row>
    <row r="1090" customFormat="false" ht="14.25" hidden="false" customHeight="false" outlineLevel="0" collapsed="false">
      <c r="A1090" s="1" t="n">
        <v>256</v>
      </c>
      <c r="B1090" s="1" t="s">
        <v>702</v>
      </c>
      <c r="C1090" s="1" t="s">
        <v>703</v>
      </c>
      <c r="D1090" s="1" t="n">
        <v>11197</v>
      </c>
      <c r="E1090" s="1" t="s">
        <v>53</v>
      </c>
      <c r="F1090" s="201" t="n">
        <v>200025888632</v>
      </c>
      <c r="G1090" s="198" t="s">
        <v>598</v>
      </c>
      <c r="H1090" s="163" t="s">
        <v>393</v>
      </c>
      <c r="I1090" s="161" t="n">
        <v>83</v>
      </c>
      <c r="J1090" s="156" t="s">
        <v>192</v>
      </c>
      <c r="K1090" s="200" t="n">
        <v>45453.5329282407</v>
      </c>
      <c r="L1090" s="3" t="n">
        <v>71</v>
      </c>
      <c r="M1090" s="3" t="n">
        <v>71</v>
      </c>
      <c r="N1090" s="1" t="n">
        <v>76</v>
      </c>
      <c r="O1090" s="1" t="n">
        <v>0</v>
      </c>
    </row>
    <row r="1091" customFormat="false" ht="14.25" hidden="false" customHeight="false" outlineLevel="0" collapsed="false">
      <c r="A1091" s="1" t="n">
        <v>257</v>
      </c>
      <c r="B1091" s="1" t="s">
        <v>702</v>
      </c>
      <c r="C1091" s="1" t="s">
        <v>703</v>
      </c>
      <c r="D1091" s="1" t="n">
        <v>11197</v>
      </c>
      <c r="E1091" s="1" t="s">
        <v>53</v>
      </c>
      <c r="F1091" s="201" t="n">
        <v>200025888632</v>
      </c>
      <c r="G1091" s="198" t="s">
        <v>598</v>
      </c>
      <c r="H1091" s="163" t="s">
        <v>393</v>
      </c>
      <c r="I1091" s="161" t="n">
        <v>83</v>
      </c>
      <c r="J1091" s="156" t="s">
        <v>192</v>
      </c>
      <c r="K1091" s="200" t="n">
        <v>45453.533125</v>
      </c>
      <c r="L1091" s="3" t="n">
        <v>71</v>
      </c>
      <c r="M1091" s="3" t="n">
        <v>71</v>
      </c>
      <c r="N1091" s="1" t="n">
        <v>77</v>
      </c>
      <c r="O1091" s="1" t="n">
        <v>2</v>
      </c>
    </row>
    <row r="1092" customFormat="false" ht="14.25" hidden="false" customHeight="false" outlineLevel="0" collapsed="false">
      <c r="A1092" s="1" t="n">
        <v>258</v>
      </c>
      <c r="B1092" s="1" t="s">
        <v>702</v>
      </c>
      <c r="C1092" s="1" t="s">
        <v>703</v>
      </c>
      <c r="D1092" s="1" t="n">
        <v>11197</v>
      </c>
      <c r="E1092" s="1" t="s">
        <v>53</v>
      </c>
      <c r="F1092" s="201" t="n">
        <v>200025888632</v>
      </c>
      <c r="G1092" s="198" t="s">
        <v>598</v>
      </c>
      <c r="H1092" s="163" t="s">
        <v>393</v>
      </c>
      <c r="I1092" s="161" t="n">
        <v>83</v>
      </c>
      <c r="J1092" s="156" t="s">
        <v>192</v>
      </c>
      <c r="K1092" s="200" t="n">
        <v>45453.5343634259</v>
      </c>
      <c r="L1092" s="3" t="n">
        <v>71</v>
      </c>
      <c r="M1092" s="3" t="n">
        <v>71</v>
      </c>
      <c r="N1092" s="1" t="n">
        <v>78</v>
      </c>
      <c r="O1092" s="1" t="n">
        <v>1</v>
      </c>
    </row>
    <row r="1093" customFormat="false" ht="14.25" hidden="false" customHeight="false" outlineLevel="0" collapsed="false">
      <c r="A1093" s="1" t="n">
        <v>259</v>
      </c>
      <c r="B1093" s="1" t="s">
        <v>702</v>
      </c>
      <c r="C1093" s="1" t="s">
        <v>703</v>
      </c>
      <c r="D1093" s="1" t="n">
        <v>11197</v>
      </c>
      <c r="E1093" s="1" t="s">
        <v>53</v>
      </c>
      <c r="F1093" s="201" t="n">
        <v>200025888632</v>
      </c>
      <c r="G1093" s="198" t="s">
        <v>598</v>
      </c>
      <c r="H1093" s="163" t="s">
        <v>393</v>
      </c>
      <c r="I1093" s="161" t="n">
        <v>83</v>
      </c>
      <c r="J1093" s="156" t="s">
        <v>192</v>
      </c>
      <c r="K1093" s="200" t="n">
        <v>45453.535</v>
      </c>
      <c r="L1093" s="3" t="n">
        <v>71</v>
      </c>
      <c r="M1093" s="3" t="n">
        <v>71</v>
      </c>
      <c r="N1093" s="1" t="n">
        <v>79</v>
      </c>
      <c r="O1093" s="1" t="n">
        <v>1</v>
      </c>
    </row>
    <row r="1094" customFormat="false" ht="14.25" hidden="false" customHeight="false" outlineLevel="0" collapsed="false">
      <c r="A1094" s="1" t="n">
        <v>260</v>
      </c>
      <c r="B1094" s="1" t="s">
        <v>702</v>
      </c>
      <c r="C1094" s="1" t="s">
        <v>703</v>
      </c>
      <c r="D1094" s="1" t="n">
        <v>11197</v>
      </c>
      <c r="E1094" s="1" t="s">
        <v>53</v>
      </c>
      <c r="F1094" s="201" t="n">
        <v>200025888632</v>
      </c>
      <c r="G1094" s="198" t="s">
        <v>598</v>
      </c>
      <c r="H1094" s="163" t="s">
        <v>393</v>
      </c>
      <c r="I1094" s="161" t="n">
        <v>83</v>
      </c>
      <c r="J1094" s="156" t="s">
        <v>192</v>
      </c>
      <c r="K1094" s="200" t="n">
        <v>45453.5352893519</v>
      </c>
      <c r="L1094" s="3" t="n">
        <v>71</v>
      </c>
      <c r="M1094" s="3" t="n">
        <v>71</v>
      </c>
      <c r="N1094" s="1" t="n">
        <v>80</v>
      </c>
      <c r="O1094" s="1" t="n">
        <v>2</v>
      </c>
    </row>
    <row r="1095" customFormat="false" ht="14.25" hidden="false" customHeight="false" outlineLevel="0" collapsed="false">
      <c r="A1095" s="1" t="n">
        <v>261</v>
      </c>
      <c r="B1095" s="1" t="s">
        <v>702</v>
      </c>
      <c r="C1095" s="1" t="s">
        <v>703</v>
      </c>
      <c r="D1095" s="1" t="n">
        <v>11197</v>
      </c>
      <c r="E1095" s="1" t="s">
        <v>53</v>
      </c>
      <c r="F1095" s="201" t="n">
        <v>200025888632</v>
      </c>
      <c r="G1095" s="198" t="s">
        <v>598</v>
      </c>
      <c r="H1095" s="163" t="s">
        <v>393</v>
      </c>
      <c r="I1095" s="161" t="n">
        <v>83</v>
      </c>
      <c r="J1095" s="156" t="s">
        <v>192</v>
      </c>
      <c r="K1095" s="200" t="n">
        <v>45453.5355092593</v>
      </c>
      <c r="L1095" s="3" t="n">
        <v>71</v>
      </c>
      <c r="M1095" s="3" t="n">
        <v>71</v>
      </c>
      <c r="N1095" s="1" t="n">
        <v>81</v>
      </c>
      <c r="O1095" s="1" t="n">
        <v>1</v>
      </c>
    </row>
    <row r="1096" customFormat="false" ht="14.25" hidden="false" customHeight="false" outlineLevel="0" collapsed="false">
      <c r="A1096" s="1" t="n">
        <v>262</v>
      </c>
      <c r="B1096" s="1" t="s">
        <v>702</v>
      </c>
      <c r="C1096" s="1" t="s">
        <v>703</v>
      </c>
      <c r="D1096" s="1" t="n">
        <v>11197</v>
      </c>
      <c r="E1096" s="1" t="s">
        <v>53</v>
      </c>
      <c r="F1096" s="201" t="n">
        <v>200025888632</v>
      </c>
      <c r="G1096" s="198" t="s">
        <v>598</v>
      </c>
      <c r="H1096" s="163" t="s">
        <v>393</v>
      </c>
      <c r="I1096" s="161" t="n">
        <v>83</v>
      </c>
      <c r="J1096" s="156" t="s">
        <v>192</v>
      </c>
      <c r="K1096" s="200" t="n">
        <v>45453.5358796296</v>
      </c>
      <c r="L1096" s="3" t="n">
        <v>71</v>
      </c>
      <c r="M1096" s="3" t="n">
        <v>71</v>
      </c>
      <c r="N1096" s="1" t="n">
        <v>82</v>
      </c>
      <c r="O1096" s="1" t="n">
        <v>1</v>
      </c>
    </row>
    <row r="1097" customFormat="false" ht="14.25" hidden="false" customHeight="false" outlineLevel="0" collapsed="false">
      <c r="A1097" s="1" t="n">
        <v>263</v>
      </c>
      <c r="B1097" s="1" t="s">
        <v>702</v>
      </c>
      <c r="C1097" s="1" t="s">
        <v>703</v>
      </c>
      <c r="D1097" s="1" t="n">
        <v>11197</v>
      </c>
      <c r="E1097" s="1" t="s">
        <v>53</v>
      </c>
      <c r="F1097" s="201" t="n">
        <v>200025888632</v>
      </c>
      <c r="G1097" s="198" t="s">
        <v>598</v>
      </c>
      <c r="H1097" s="163" t="s">
        <v>393</v>
      </c>
      <c r="I1097" s="161" t="n">
        <v>83</v>
      </c>
      <c r="J1097" s="156" t="s">
        <v>192</v>
      </c>
      <c r="K1097" s="200" t="n">
        <v>45453.5364467593</v>
      </c>
      <c r="L1097" s="3" t="n">
        <v>71</v>
      </c>
      <c r="M1097" s="3" t="n">
        <v>71</v>
      </c>
      <c r="N1097" s="1" t="n">
        <v>83</v>
      </c>
      <c r="O1097" s="1" t="n">
        <v>4</v>
      </c>
    </row>
    <row r="1098" customFormat="false" ht="14.25" hidden="false" customHeight="false" outlineLevel="0" collapsed="false">
      <c r="A1098" s="1" t="n">
        <v>264</v>
      </c>
      <c r="B1098" s="1" t="s">
        <v>702</v>
      </c>
      <c r="C1098" s="1" t="s">
        <v>703</v>
      </c>
      <c r="D1098" s="1" t="n">
        <v>11197</v>
      </c>
      <c r="E1098" s="1" t="s">
        <v>53</v>
      </c>
      <c r="F1098" s="201" t="n">
        <v>200025888632</v>
      </c>
      <c r="G1098" s="198" t="s">
        <v>598</v>
      </c>
      <c r="H1098" s="163" t="s">
        <v>393</v>
      </c>
      <c r="I1098" s="161" t="n">
        <v>83</v>
      </c>
      <c r="J1098" s="156" t="s">
        <v>192</v>
      </c>
      <c r="K1098" s="200" t="n">
        <v>45453.537662037</v>
      </c>
      <c r="L1098" s="3" t="n">
        <v>71</v>
      </c>
      <c r="M1098" s="3" t="n">
        <v>71</v>
      </c>
      <c r="N1098" s="1" t="n">
        <v>84</v>
      </c>
      <c r="O1098" s="1" t="n">
        <v>1</v>
      </c>
    </row>
    <row r="1099" customFormat="false" ht="14.25" hidden="false" customHeight="false" outlineLevel="0" collapsed="false">
      <c r="A1099" s="1" t="n">
        <v>265</v>
      </c>
      <c r="B1099" s="1" t="s">
        <v>702</v>
      </c>
      <c r="C1099" s="1" t="s">
        <v>703</v>
      </c>
      <c r="D1099" s="1" t="n">
        <v>11197</v>
      </c>
      <c r="E1099" s="1" t="s">
        <v>53</v>
      </c>
      <c r="F1099" s="201" t="n">
        <v>200025888632</v>
      </c>
      <c r="G1099" s="198" t="s">
        <v>598</v>
      </c>
      <c r="H1099" s="163" t="s">
        <v>393</v>
      </c>
      <c r="I1099" s="161" t="n">
        <v>83</v>
      </c>
      <c r="J1099" s="156" t="s">
        <v>192</v>
      </c>
      <c r="K1099" s="200" t="n">
        <v>45453.5376736111</v>
      </c>
      <c r="L1099" s="3" t="n">
        <v>71</v>
      </c>
      <c r="M1099" s="3" t="n">
        <v>71</v>
      </c>
      <c r="N1099" s="1" t="n">
        <v>85</v>
      </c>
      <c r="O1099" s="1" t="n">
        <v>1</v>
      </c>
    </row>
    <row r="1100" customFormat="false" ht="14.25" hidden="false" customHeight="false" outlineLevel="0" collapsed="false">
      <c r="A1100" s="1" t="n">
        <v>266</v>
      </c>
      <c r="B1100" s="1" t="s">
        <v>702</v>
      </c>
      <c r="C1100" s="1" t="s">
        <v>703</v>
      </c>
      <c r="D1100" s="1" t="n">
        <v>11197</v>
      </c>
      <c r="E1100" s="1" t="s">
        <v>53</v>
      </c>
      <c r="F1100" s="201" t="n">
        <v>200025888632</v>
      </c>
      <c r="G1100" s="198" t="s">
        <v>598</v>
      </c>
      <c r="H1100" s="163" t="s">
        <v>393</v>
      </c>
      <c r="I1100" s="161" t="n">
        <v>83</v>
      </c>
      <c r="J1100" s="156" t="s">
        <v>192</v>
      </c>
      <c r="K1100" s="200" t="n">
        <v>45453.5376967593</v>
      </c>
      <c r="L1100" s="3" t="n">
        <v>71</v>
      </c>
      <c r="M1100" s="3" t="n">
        <v>71</v>
      </c>
      <c r="N1100" s="1" t="n">
        <v>86</v>
      </c>
      <c r="O1100" s="1" t="n">
        <v>1</v>
      </c>
    </row>
    <row r="1101" customFormat="false" ht="14.25" hidden="false" customHeight="false" outlineLevel="0" collapsed="false">
      <c r="A1101" s="1" t="n">
        <v>267</v>
      </c>
      <c r="B1101" s="1" t="s">
        <v>702</v>
      </c>
      <c r="C1101" s="1" t="s">
        <v>703</v>
      </c>
      <c r="D1101" s="1" t="n">
        <v>11197</v>
      </c>
      <c r="E1101" s="1" t="s">
        <v>53</v>
      </c>
      <c r="F1101" s="201" t="n">
        <v>200025888632</v>
      </c>
      <c r="G1101" s="198" t="s">
        <v>598</v>
      </c>
      <c r="H1101" s="163" t="s">
        <v>393</v>
      </c>
      <c r="I1101" s="161" t="n">
        <v>83</v>
      </c>
      <c r="J1101" s="156" t="s">
        <v>192</v>
      </c>
      <c r="K1101" s="200" t="n">
        <v>45453.5377083333</v>
      </c>
      <c r="L1101" s="3" t="n">
        <v>71</v>
      </c>
      <c r="M1101" s="3" t="n">
        <v>71</v>
      </c>
      <c r="N1101" s="1" t="n">
        <v>87</v>
      </c>
      <c r="O1101" s="1" t="n">
        <v>0</v>
      </c>
    </row>
    <row r="1102" customFormat="false" ht="14.25" hidden="false" customHeight="false" outlineLevel="0" collapsed="false">
      <c r="A1102" s="1" t="n">
        <v>268</v>
      </c>
      <c r="B1102" s="1" t="s">
        <v>702</v>
      </c>
      <c r="C1102" s="1" t="s">
        <v>703</v>
      </c>
      <c r="D1102" s="1" t="n">
        <v>11197</v>
      </c>
      <c r="E1102" s="1" t="s">
        <v>53</v>
      </c>
      <c r="F1102" s="201" t="n">
        <v>200025888632</v>
      </c>
      <c r="G1102" s="198" t="s">
        <v>598</v>
      </c>
      <c r="H1102" s="163" t="s">
        <v>393</v>
      </c>
      <c r="I1102" s="161" t="n">
        <v>83</v>
      </c>
      <c r="J1102" s="156" t="s">
        <v>192</v>
      </c>
      <c r="K1102" s="200" t="n">
        <v>45453.5377083333</v>
      </c>
      <c r="L1102" s="3" t="n">
        <v>71</v>
      </c>
      <c r="M1102" s="3" t="n">
        <v>71</v>
      </c>
      <c r="N1102" s="1" t="n">
        <v>88</v>
      </c>
      <c r="O1102" s="1" t="n">
        <v>1</v>
      </c>
    </row>
    <row r="1103" customFormat="false" ht="14.25" hidden="false" customHeight="false" outlineLevel="0" collapsed="false">
      <c r="A1103" s="1" t="n">
        <v>270</v>
      </c>
      <c r="B1103" s="1" t="s">
        <v>565</v>
      </c>
      <c r="C1103" s="1" t="s">
        <v>566</v>
      </c>
      <c r="D1103" s="1" t="n">
        <v>11171</v>
      </c>
      <c r="E1103" s="1" t="s">
        <v>55</v>
      </c>
      <c r="F1103" s="198" t="n">
        <v>200025888632</v>
      </c>
      <c r="G1103" s="198" t="s">
        <v>598</v>
      </c>
      <c r="H1103" s="163" t="s">
        <v>393</v>
      </c>
      <c r="I1103" s="161" t="n">
        <v>83</v>
      </c>
      <c r="J1103" s="156" t="s">
        <v>192</v>
      </c>
      <c r="K1103" s="199" t="n">
        <v>45453.5480208333</v>
      </c>
      <c r="L1103" s="3" t="n">
        <v>71</v>
      </c>
      <c r="M1103" s="3" t="n">
        <v>71</v>
      </c>
      <c r="N1103" s="1" t="n">
        <v>89</v>
      </c>
      <c r="O1103" s="1" t="n">
        <v>2</v>
      </c>
    </row>
    <row r="1104" customFormat="false" ht="14.25" hidden="false" customHeight="false" outlineLevel="0" collapsed="false">
      <c r="A1104" s="1" t="n">
        <v>275</v>
      </c>
      <c r="B1104" s="1" t="s">
        <v>565</v>
      </c>
      <c r="C1104" s="1" t="s">
        <v>566</v>
      </c>
      <c r="D1104" s="1" t="n">
        <v>11171</v>
      </c>
      <c r="E1104" s="1" t="s">
        <v>55</v>
      </c>
      <c r="F1104" s="198" t="n">
        <v>200025888632</v>
      </c>
      <c r="G1104" s="198" t="s">
        <v>598</v>
      </c>
      <c r="H1104" s="163" t="s">
        <v>393</v>
      </c>
      <c r="I1104" s="161" t="n">
        <v>83</v>
      </c>
      <c r="J1104" s="156" t="s">
        <v>192</v>
      </c>
      <c r="K1104" s="199" t="n">
        <v>45453.5585300926</v>
      </c>
      <c r="L1104" s="3" t="n">
        <v>71</v>
      </c>
      <c r="M1104" s="3" t="n">
        <v>71</v>
      </c>
      <c r="N1104" s="1" t="n">
        <v>90</v>
      </c>
      <c r="O1104" s="1" t="n">
        <v>0</v>
      </c>
    </row>
    <row r="1105" customFormat="false" ht="14.25" hidden="false" customHeight="false" outlineLevel="0" collapsed="false">
      <c r="A1105" s="1" t="n">
        <v>276</v>
      </c>
      <c r="B1105" s="1" t="s">
        <v>565</v>
      </c>
      <c r="C1105" s="1" t="s">
        <v>566</v>
      </c>
      <c r="D1105" s="1" t="n">
        <v>11171</v>
      </c>
      <c r="E1105" s="1" t="s">
        <v>55</v>
      </c>
      <c r="F1105" s="198" t="n">
        <v>200025888632</v>
      </c>
      <c r="G1105" s="198" t="s">
        <v>598</v>
      </c>
      <c r="H1105" s="163" t="s">
        <v>393</v>
      </c>
      <c r="I1105" s="161" t="n">
        <v>83</v>
      </c>
      <c r="J1105" s="156" t="s">
        <v>192</v>
      </c>
      <c r="K1105" s="199" t="n">
        <v>45453.5586342593</v>
      </c>
      <c r="L1105" s="3" t="n">
        <v>71</v>
      </c>
      <c r="M1105" s="3" t="n">
        <v>71</v>
      </c>
      <c r="N1105" s="1" t="n">
        <v>91</v>
      </c>
      <c r="O1105" s="1" t="n">
        <v>0</v>
      </c>
    </row>
    <row r="1106" customFormat="false" ht="14.25" hidden="false" customHeight="false" outlineLevel="0" collapsed="false">
      <c r="A1106" s="1" t="n">
        <v>277</v>
      </c>
      <c r="B1106" s="1" t="s">
        <v>565</v>
      </c>
      <c r="C1106" s="1" t="s">
        <v>566</v>
      </c>
      <c r="D1106" s="1" t="n">
        <v>11171</v>
      </c>
      <c r="E1106" s="1" t="s">
        <v>55</v>
      </c>
      <c r="F1106" s="198" t="n">
        <v>200025888632</v>
      </c>
      <c r="G1106" s="198" t="s">
        <v>598</v>
      </c>
      <c r="H1106" s="163" t="s">
        <v>393</v>
      </c>
      <c r="I1106" s="161" t="n">
        <v>83</v>
      </c>
      <c r="J1106" s="156" t="s">
        <v>192</v>
      </c>
      <c r="K1106" s="199" t="n">
        <v>45453.5590509259</v>
      </c>
      <c r="L1106" s="3" t="n">
        <v>71</v>
      </c>
      <c r="M1106" s="3" t="n">
        <v>71</v>
      </c>
      <c r="N1106" s="1" t="n">
        <v>92</v>
      </c>
      <c r="O1106" s="10" t="n">
        <v>55</v>
      </c>
    </row>
    <row r="1107" customFormat="false" ht="14.25" hidden="false" customHeight="false" outlineLevel="0" collapsed="false">
      <c r="A1107" s="1" t="n">
        <v>278</v>
      </c>
      <c r="B1107" s="1" t="s">
        <v>565</v>
      </c>
      <c r="C1107" s="1" t="s">
        <v>566</v>
      </c>
      <c r="D1107" s="1" t="n">
        <v>11171</v>
      </c>
      <c r="E1107" s="1" t="s">
        <v>55</v>
      </c>
      <c r="F1107" s="198" t="n">
        <v>200025888632</v>
      </c>
      <c r="G1107" s="198" t="s">
        <v>598</v>
      </c>
      <c r="H1107" s="163" t="s">
        <v>393</v>
      </c>
      <c r="I1107" s="161" t="n">
        <v>83</v>
      </c>
      <c r="J1107" s="156" t="s">
        <v>192</v>
      </c>
      <c r="K1107" s="199" t="n">
        <v>45453.5599537037</v>
      </c>
      <c r="L1107" s="3" t="n">
        <v>71</v>
      </c>
      <c r="M1107" s="3" t="n">
        <v>71</v>
      </c>
      <c r="N1107" s="1" t="n">
        <v>93</v>
      </c>
      <c r="O1107" s="1" t="n">
        <v>3</v>
      </c>
    </row>
    <row r="1108" customFormat="false" ht="14.25" hidden="false" customHeight="false" outlineLevel="0" collapsed="false">
      <c r="A1108" s="1" t="n">
        <v>279</v>
      </c>
      <c r="B1108" s="1" t="s">
        <v>565</v>
      </c>
      <c r="C1108" s="1" t="s">
        <v>566</v>
      </c>
      <c r="D1108" s="1" t="n">
        <v>11171</v>
      </c>
      <c r="E1108" s="1" t="s">
        <v>55</v>
      </c>
      <c r="F1108" s="198" t="n">
        <v>200025888632</v>
      </c>
      <c r="G1108" s="198" t="s">
        <v>598</v>
      </c>
      <c r="H1108" s="163" t="s">
        <v>393</v>
      </c>
      <c r="I1108" s="161" t="n">
        <v>83</v>
      </c>
      <c r="J1108" s="156" t="s">
        <v>192</v>
      </c>
      <c r="K1108" s="199" t="n">
        <v>45453.5600810185</v>
      </c>
      <c r="L1108" s="3" t="n">
        <v>71</v>
      </c>
      <c r="M1108" s="3" t="n">
        <v>71</v>
      </c>
      <c r="N1108" s="1" t="n">
        <v>94</v>
      </c>
      <c r="O1108" s="1" t="n">
        <v>1</v>
      </c>
    </row>
    <row r="1109" customFormat="false" ht="14.25" hidden="false" customHeight="false" outlineLevel="0" collapsed="false">
      <c r="A1109" s="1" t="n">
        <v>271</v>
      </c>
      <c r="B1109" s="1" t="s">
        <v>702</v>
      </c>
      <c r="C1109" s="1" t="s">
        <v>703</v>
      </c>
      <c r="D1109" s="1" t="n">
        <v>11197</v>
      </c>
      <c r="E1109" s="1" t="s">
        <v>53</v>
      </c>
      <c r="F1109" s="201" t="n">
        <v>200025888632</v>
      </c>
      <c r="G1109" s="198" t="s">
        <v>598</v>
      </c>
      <c r="H1109" s="163" t="s">
        <v>393</v>
      </c>
      <c r="I1109" s="161" t="n">
        <v>83</v>
      </c>
      <c r="J1109" s="156" t="s">
        <v>192</v>
      </c>
      <c r="K1109" s="200" t="n">
        <v>45453.6287268519</v>
      </c>
      <c r="L1109" s="3" t="n">
        <v>71</v>
      </c>
      <c r="M1109" s="3" t="n">
        <v>71</v>
      </c>
      <c r="N1109" s="1" t="n">
        <v>95</v>
      </c>
      <c r="O1109" s="1" t="n">
        <v>2</v>
      </c>
    </row>
    <row r="1110" customFormat="false" ht="14.25" hidden="false" customHeight="false" outlineLevel="0" collapsed="false">
      <c r="A1110" s="1" t="n">
        <v>25</v>
      </c>
      <c r="B1110" s="1" t="s">
        <v>684</v>
      </c>
      <c r="C1110" s="1" t="s">
        <v>685</v>
      </c>
      <c r="D1110" s="1" t="n">
        <v>21296</v>
      </c>
      <c r="E1110" s="1" t="s">
        <v>57</v>
      </c>
      <c r="F1110" s="201" t="n">
        <v>200025888632</v>
      </c>
      <c r="G1110" s="198" t="s">
        <v>598</v>
      </c>
      <c r="H1110" s="163" t="s">
        <v>393</v>
      </c>
      <c r="I1110" s="161" t="n">
        <v>83</v>
      </c>
      <c r="J1110" s="156" t="s">
        <v>192</v>
      </c>
      <c r="K1110" s="200" t="n">
        <v>45453.6519675926</v>
      </c>
      <c r="L1110" s="3" t="n">
        <v>71</v>
      </c>
      <c r="M1110" s="3" t="n">
        <v>71</v>
      </c>
      <c r="N1110" s="1" t="n">
        <v>96</v>
      </c>
      <c r="O1110" s="10" t="n">
        <v>100</v>
      </c>
    </row>
    <row r="1111" customFormat="false" ht="14.25" hidden="false" customHeight="false" outlineLevel="0" collapsed="false">
      <c r="A1111" s="1" t="n">
        <v>31</v>
      </c>
      <c r="B1111" s="1" t="s">
        <v>684</v>
      </c>
      <c r="C1111" s="1" t="s">
        <v>685</v>
      </c>
      <c r="D1111" s="1" t="n">
        <v>21296</v>
      </c>
      <c r="E1111" s="1" t="s">
        <v>57</v>
      </c>
      <c r="F1111" s="201" t="n">
        <v>200025888632</v>
      </c>
      <c r="G1111" s="198" t="s">
        <v>598</v>
      </c>
      <c r="H1111" s="163" t="s">
        <v>393</v>
      </c>
      <c r="I1111" s="161" t="n">
        <v>83</v>
      </c>
      <c r="J1111" s="156" t="s">
        <v>192</v>
      </c>
      <c r="K1111" s="200" t="n">
        <v>45453.685474537</v>
      </c>
      <c r="L1111" s="3" t="n">
        <v>71</v>
      </c>
      <c r="M1111" s="3" t="n">
        <v>71</v>
      </c>
      <c r="N1111" s="1" t="n">
        <v>97</v>
      </c>
      <c r="O1111" s="1" t="n">
        <v>3</v>
      </c>
    </row>
    <row r="1112" customFormat="false" ht="14.25" hidden="false" customHeight="false" outlineLevel="0" collapsed="false">
      <c r="A1112" s="1" t="n">
        <v>32</v>
      </c>
      <c r="B1112" s="1" t="s">
        <v>684</v>
      </c>
      <c r="C1112" s="1" t="s">
        <v>685</v>
      </c>
      <c r="D1112" s="1" t="n">
        <v>21296</v>
      </c>
      <c r="E1112" s="1" t="s">
        <v>57</v>
      </c>
      <c r="F1112" s="201" t="n">
        <v>200025888632</v>
      </c>
      <c r="G1112" s="198" t="s">
        <v>598</v>
      </c>
      <c r="H1112" s="163" t="s">
        <v>393</v>
      </c>
      <c r="I1112" s="161" t="n">
        <v>83</v>
      </c>
      <c r="J1112" s="156" t="s">
        <v>192</v>
      </c>
      <c r="K1112" s="200" t="n">
        <v>45453.6967592593</v>
      </c>
      <c r="L1112" s="3" t="n">
        <v>71</v>
      </c>
      <c r="M1112" s="3" t="n">
        <v>71</v>
      </c>
      <c r="N1112" s="1" t="n">
        <v>98</v>
      </c>
      <c r="O1112" s="1" t="n">
        <v>2</v>
      </c>
    </row>
    <row r="1113" customFormat="false" ht="14.25" hidden="false" customHeight="false" outlineLevel="0" collapsed="false">
      <c r="A1113" s="1" t="n">
        <v>33</v>
      </c>
      <c r="B1113" s="1" t="s">
        <v>684</v>
      </c>
      <c r="C1113" s="1" t="s">
        <v>685</v>
      </c>
      <c r="D1113" s="1" t="n">
        <v>21296</v>
      </c>
      <c r="E1113" s="1" t="s">
        <v>57</v>
      </c>
      <c r="F1113" s="201" t="n">
        <v>200025888632</v>
      </c>
      <c r="G1113" s="198" t="s">
        <v>598</v>
      </c>
      <c r="H1113" s="163" t="s">
        <v>393</v>
      </c>
      <c r="I1113" s="161" t="n">
        <v>83</v>
      </c>
      <c r="J1113" s="156" t="s">
        <v>192</v>
      </c>
      <c r="K1113" s="200" t="n">
        <v>45453.6970833333</v>
      </c>
      <c r="L1113" s="3" t="n">
        <v>71</v>
      </c>
      <c r="M1113" s="3" t="n">
        <v>71</v>
      </c>
      <c r="N1113" s="1" t="n">
        <v>99</v>
      </c>
      <c r="O1113" s="1" t="n">
        <v>2</v>
      </c>
    </row>
    <row r="1114" customFormat="false" ht="14.25" hidden="false" customHeight="false" outlineLevel="0" collapsed="false">
      <c r="A1114" s="1" t="n">
        <v>34</v>
      </c>
      <c r="B1114" s="1" t="s">
        <v>684</v>
      </c>
      <c r="C1114" s="1" t="s">
        <v>685</v>
      </c>
      <c r="D1114" s="1" t="n">
        <v>21296</v>
      </c>
      <c r="E1114" s="1" t="s">
        <v>57</v>
      </c>
      <c r="F1114" s="201" t="n">
        <v>200025888632</v>
      </c>
      <c r="G1114" s="198" t="s">
        <v>598</v>
      </c>
      <c r="H1114" s="163" t="s">
        <v>393</v>
      </c>
      <c r="I1114" s="161" t="n">
        <v>83</v>
      </c>
      <c r="J1114" s="156" t="s">
        <v>192</v>
      </c>
      <c r="K1114" s="200" t="n">
        <v>45453.6977430556</v>
      </c>
      <c r="L1114" s="3" t="n">
        <v>71</v>
      </c>
      <c r="M1114" s="3" t="n">
        <v>71</v>
      </c>
      <c r="N1114" s="1" t="n">
        <v>100</v>
      </c>
      <c r="O1114" s="1" t="n">
        <v>2</v>
      </c>
    </row>
    <row r="1115" customFormat="false" ht="14.25" hidden="false" customHeight="false" outlineLevel="0" collapsed="false">
      <c r="A1115" s="1" t="n">
        <v>35</v>
      </c>
      <c r="B1115" s="1" t="s">
        <v>684</v>
      </c>
      <c r="C1115" s="1" t="s">
        <v>685</v>
      </c>
      <c r="D1115" s="1" t="n">
        <v>21296</v>
      </c>
      <c r="E1115" s="1" t="s">
        <v>57</v>
      </c>
      <c r="F1115" s="201" t="n">
        <v>200025888632</v>
      </c>
      <c r="G1115" s="198" t="s">
        <v>598</v>
      </c>
      <c r="H1115" s="163" t="s">
        <v>393</v>
      </c>
      <c r="I1115" s="161" t="n">
        <v>83</v>
      </c>
      <c r="J1115" s="156" t="s">
        <v>192</v>
      </c>
      <c r="K1115" s="200" t="n">
        <v>45453.6979050926</v>
      </c>
      <c r="L1115" s="3" t="n">
        <v>71</v>
      </c>
      <c r="M1115" s="3" t="n">
        <v>71</v>
      </c>
      <c r="N1115" s="1" t="n">
        <v>101</v>
      </c>
      <c r="O1115" s="1" t="n">
        <v>0</v>
      </c>
    </row>
    <row r="1116" customFormat="false" ht="14.25" hidden="false" customHeight="false" outlineLevel="0" collapsed="false">
      <c r="A1116" s="1" t="n">
        <v>36</v>
      </c>
      <c r="B1116" s="1" t="s">
        <v>684</v>
      </c>
      <c r="C1116" s="1" t="s">
        <v>685</v>
      </c>
      <c r="D1116" s="1" t="n">
        <v>21296</v>
      </c>
      <c r="E1116" s="1" t="s">
        <v>57</v>
      </c>
      <c r="F1116" s="201" t="n">
        <v>200025888632</v>
      </c>
      <c r="G1116" s="198" t="s">
        <v>598</v>
      </c>
      <c r="H1116" s="163" t="s">
        <v>393</v>
      </c>
      <c r="I1116" s="161" t="n">
        <v>83</v>
      </c>
      <c r="J1116" s="156" t="s">
        <v>192</v>
      </c>
      <c r="K1116" s="200" t="n">
        <v>45453.6981597222</v>
      </c>
      <c r="L1116" s="3" t="n">
        <v>71</v>
      </c>
      <c r="M1116" s="3" t="n">
        <v>71</v>
      </c>
      <c r="N1116" s="1" t="n">
        <v>102</v>
      </c>
      <c r="O1116" s="1" t="n">
        <v>1</v>
      </c>
    </row>
    <row r="1117" customFormat="false" ht="14.25" hidden="false" customHeight="false" outlineLevel="0" collapsed="false">
      <c r="A1117" s="1" t="n">
        <v>37</v>
      </c>
      <c r="B1117" s="1" t="s">
        <v>684</v>
      </c>
      <c r="C1117" s="1" t="s">
        <v>685</v>
      </c>
      <c r="D1117" s="1" t="n">
        <v>21296</v>
      </c>
      <c r="E1117" s="1" t="s">
        <v>57</v>
      </c>
      <c r="F1117" s="201" t="n">
        <v>200025888632</v>
      </c>
      <c r="G1117" s="198" t="s">
        <v>598</v>
      </c>
      <c r="H1117" s="163" t="s">
        <v>393</v>
      </c>
      <c r="I1117" s="161" t="n">
        <v>83</v>
      </c>
      <c r="J1117" s="156" t="s">
        <v>192</v>
      </c>
      <c r="K1117" s="200" t="n">
        <v>45453.7567708333</v>
      </c>
      <c r="L1117" s="3" t="n">
        <v>71</v>
      </c>
      <c r="M1117" s="3" t="n">
        <v>71</v>
      </c>
      <c r="N1117" s="1" t="n">
        <v>103</v>
      </c>
      <c r="O1117" s="1" t="n">
        <v>1</v>
      </c>
    </row>
    <row r="1118" customFormat="false" ht="14.25" hidden="false" customHeight="false" outlineLevel="0" collapsed="false">
      <c r="A1118" s="1" t="n">
        <v>38</v>
      </c>
      <c r="B1118" s="1" t="s">
        <v>684</v>
      </c>
      <c r="C1118" s="1" t="s">
        <v>685</v>
      </c>
      <c r="D1118" s="1" t="n">
        <v>21296</v>
      </c>
      <c r="E1118" s="1" t="s">
        <v>57</v>
      </c>
      <c r="F1118" s="201" t="n">
        <v>200025888632</v>
      </c>
      <c r="G1118" s="198" t="s">
        <v>598</v>
      </c>
      <c r="H1118" s="163" t="s">
        <v>393</v>
      </c>
      <c r="I1118" s="161" t="n">
        <v>83</v>
      </c>
      <c r="J1118" s="156" t="s">
        <v>192</v>
      </c>
      <c r="K1118" s="200" t="n">
        <v>45453.7572337963</v>
      </c>
      <c r="L1118" s="3" t="n">
        <v>71</v>
      </c>
      <c r="M1118" s="3" t="n">
        <v>71</v>
      </c>
      <c r="N1118" s="1" t="n">
        <v>104</v>
      </c>
      <c r="O1118" s="10" t="n">
        <v>210</v>
      </c>
    </row>
    <row r="1119" customFormat="false" ht="14.25" hidden="false" customHeight="false" outlineLevel="0" collapsed="false">
      <c r="A1119" s="1" t="n">
        <v>40</v>
      </c>
      <c r="B1119" s="1" t="s">
        <v>684</v>
      </c>
      <c r="C1119" s="1" t="s">
        <v>685</v>
      </c>
      <c r="D1119" s="1" t="n">
        <v>21296</v>
      </c>
      <c r="E1119" s="1" t="s">
        <v>57</v>
      </c>
      <c r="F1119" s="201" t="n">
        <v>200025888632</v>
      </c>
      <c r="G1119" s="198" t="s">
        <v>598</v>
      </c>
      <c r="H1119" s="163" t="s">
        <v>393</v>
      </c>
      <c r="I1119" s="161" t="n">
        <v>83</v>
      </c>
      <c r="J1119" s="156" t="s">
        <v>192</v>
      </c>
      <c r="K1119" s="200" t="n">
        <v>45453.8353935185</v>
      </c>
      <c r="L1119" s="3" t="n">
        <v>71</v>
      </c>
      <c r="M1119" s="3" t="n">
        <v>71</v>
      </c>
      <c r="N1119" s="1" t="n">
        <v>105</v>
      </c>
      <c r="O1119" s="1" t="n">
        <v>1</v>
      </c>
    </row>
    <row r="1120" customFormat="false" ht="14.25" hidden="false" customHeight="false" outlineLevel="0" collapsed="false">
      <c r="A1120" s="1" t="n">
        <v>45</v>
      </c>
      <c r="B1120" s="1" t="s">
        <v>684</v>
      </c>
      <c r="C1120" s="1" t="s">
        <v>685</v>
      </c>
      <c r="D1120" s="1" t="n">
        <v>21296</v>
      </c>
      <c r="E1120" s="1" t="s">
        <v>57</v>
      </c>
      <c r="F1120" s="201" t="n">
        <v>200025888632</v>
      </c>
      <c r="G1120" s="198" t="s">
        <v>598</v>
      </c>
      <c r="H1120" s="163" t="s">
        <v>393</v>
      </c>
      <c r="I1120" s="161" t="n">
        <v>83</v>
      </c>
      <c r="J1120" s="156" t="s">
        <v>192</v>
      </c>
      <c r="K1120" s="200" t="n">
        <v>45453.9012037037</v>
      </c>
      <c r="L1120" s="3" t="n">
        <v>71</v>
      </c>
      <c r="M1120" s="3" t="n">
        <v>71</v>
      </c>
      <c r="N1120" s="1" t="n">
        <v>106</v>
      </c>
      <c r="O1120" s="10" t="n">
        <v>71</v>
      </c>
    </row>
    <row r="1121" customFormat="false" ht="14.25" hidden="false" customHeight="false" outlineLevel="0" collapsed="false">
      <c r="A1121" s="1" t="n">
        <v>46</v>
      </c>
      <c r="B1121" s="1" t="s">
        <v>684</v>
      </c>
      <c r="C1121" s="1" t="s">
        <v>685</v>
      </c>
      <c r="D1121" s="1" t="n">
        <v>21296</v>
      </c>
      <c r="E1121" s="1" t="s">
        <v>57</v>
      </c>
      <c r="F1121" s="201" t="n">
        <v>200025888632</v>
      </c>
      <c r="G1121" s="198" t="s">
        <v>598</v>
      </c>
      <c r="H1121" s="163" t="s">
        <v>393</v>
      </c>
      <c r="I1121" s="161" t="n">
        <v>83</v>
      </c>
      <c r="J1121" s="156" t="s">
        <v>192</v>
      </c>
      <c r="K1121" s="200" t="n">
        <v>45453.902037037</v>
      </c>
      <c r="L1121" s="3" t="n">
        <v>71</v>
      </c>
      <c r="M1121" s="3" t="n">
        <v>71</v>
      </c>
      <c r="N1121" s="1" t="n">
        <v>107</v>
      </c>
      <c r="O1121" s="1" t="n">
        <v>1</v>
      </c>
    </row>
    <row r="1122" customFormat="false" ht="14.25" hidden="false" customHeight="false" outlineLevel="0" collapsed="false">
      <c r="A1122" s="1" t="n">
        <v>66</v>
      </c>
      <c r="B1122" s="1" t="s">
        <v>681</v>
      </c>
      <c r="C1122" s="1" t="s">
        <v>682</v>
      </c>
      <c r="D1122" s="1" t="n">
        <v>11197</v>
      </c>
      <c r="E1122" s="1" t="s">
        <v>53</v>
      </c>
      <c r="F1122" s="201" t="n">
        <v>200025889372</v>
      </c>
      <c r="G1122" s="198" t="s">
        <v>697</v>
      </c>
      <c r="H1122" s="163" t="s">
        <v>272</v>
      </c>
      <c r="I1122" s="161" t="n">
        <v>81</v>
      </c>
      <c r="J1122" s="156" t="s">
        <v>192</v>
      </c>
      <c r="K1122" s="199" t="n">
        <v>45435.723275463</v>
      </c>
      <c r="L1122" s="3" t="n">
        <v>72</v>
      </c>
      <c r="M1122" s="3" t="n">
        <v>72</v>
      </c>
      <c r="N1122" s="1" t="n">
        <v>1</v>
      </c>
      <c r="O1122" s="1" t="n">
        <v>1</v>
      </c>
    </row>
    <row r="1123" customFormat="false" ht="14.25" hidden="false" customHeight="false" outlineLevel="0" collapsed="false">
      <c r="A1123" s="1" t="n">
        <v>356</v>
      </c>
      <c r="B1123" s="1" t="s">
        <v>702</v>
      </c>
      <c r="C1123" s="1" t="s">
        <v>703</v>
      </c>
      <c r="D1123" s="1" t="n">
        <v>11197</v>
      </c>
      <c r="E1123" s="1" t="s">
        <v>53</v>
      </c>
      <c r="F1123" s="201" t="n">
        <v>200025889372</v>
      </c>
      <c r="G1123" s="198" t="s">
        <v>697</v>
      </c>
      <c r="H1123" s="163" t="s">
        <v>272</v>
      </c>
      <c r="I1123" s="161" t="n">
        <v>81</v>
      </c>
      <c r="J1123" s="156" t="s">
        <v>192</v>
      </c>
      <c r="K1123" s="200" t="n">
        <v>45460.2661574074</v>
      </c>
      <c r="L1123" s="3" t="n">
        <v>72</v>
      </c>
      <c r="M1123" s="3" t="n">
        <v>72</v>
      </c>
      <c r="N1123" s="1" t="n">
        <v>2</v>
      </c>
      <c r="O1123" s="207" t="n">
        <v>55</v>
      </c>
    </row>
    <row r="1124" customFormat="false" ht="14.25" hidden="false" customHeight="false" outlineLevel="0" collapsed="false">
      <c r="A1124" s="1" t="n">
        <v>357</v>
      </c>
      <c r="B1124" s="1" t="s">
        <v>702</v>
      </c>
      <c r="C1124" s="1" t="s">
        <v>703</v>
      </c>
      <c r="D1124" s="1" t="n">
        <v>11197</v>
      </c>
      <c r="E1124" s="1" t="s">
        <v>53</v>
      </c>
      <c r="F1124" s="201" t="n">
        <v>200025889372</v>
      </c>
      <c r="G1124" s="198" t="s">
        <v>697</v>
      </c>
      <c r="H1124" s="163" t="s">
        <v>272</v>
      </c>
      <c r="I1124" s="161" t="n">
        <v>81</v>
      </c>
      <c r="J1124" s="156" t="s">
        <v>192</v>
      </c>
      <c r="K1124" s="200" t="n">
        <v>45460.2668055556</v>
      </c>
      <c r="L1124" s="3" t="n">
        <v>72</v>
      </c>
      <c r="M1124" s="3" t="n">
        <v>72</v>
      </c>
      <c r="N1124" s="1" t="n">
        <v>3</v>
      </c>
      <c r="O1124" s="1" t="n">
        <v>5</v>
      </c>
    </row>
    <row r="1125" customFormat="false" ht="14.25" hidden="false" customHeight="false" outlineLevel="0" collapsed="false">
      <c r="A1125" s="1" t="n">
        <v>358</v>
      </c>
      <c r="B1125" s="1" t="s">
        <v>702</v>
      </c>
      <c r="C1125" s="1" t="s">
        <v>703</v>
      </c>
      <c r="D1125" s="1" t="n">
        <v>11197</v>
      </c>
      <c r="E1125" s="1" t="s">
        <v>53</v>
      </c>
      <c r="F1125" s="201" t="n">
        <v>200025889372</v>
      </c>
      <c r="G1125" s="198" t="s">
        <v>697</v>
      </c>
      <c r="H1125" s="163" t="s">
        <v>272</v>
      </c>
      <c r="I1125" s="161" t="n">
        <v>81</v>
      </c>
      <c r="J1125" s="156" t="s">
        <v>192</v>
      </c>
      <c r="K1125" s="200" t="n">
        <v>45460.2670833333</v>
      </c>
      <c r="L1125" s="3" t="n">
        <v>72</v>
      </c>
      <c r="M1125" s="3" t="n">
        <v>72</v>
      </c>
      <c r="N1125" s="1" t="n">
        <v>4</v>
      </c>
      <c r="O1125" s="1" t="n">
        <v>15</v>
      </c>
    </row>
    <row r="1126" customFormat="false" ht="14.25" hidden="false" customHeight="false" outlineLevel="0" collapsed="false">
      <c r="A1126" s="1" t="n">
        <v>359</v>
      </c>
      <c r="B1126" s="1" t="s">
        <v>702</v>
      </c>
      <c r="C1126" s="1" t="s">
        <v>703</v>
      </c>
      <c r="D1126" s="1" t="n">
        <v>11197</v>
      </c>
      <c r="E1126" s="1" t="s">
        <v>53</v>
      </c>
      <c r="F1126" s="201" t="n">
        <v>200025889372</v>
      </c>
      <c r="G1126" s="198" t="s">
        <v>697</v>
      </c>
      <c r="H1126" s="163" t="s">
        <v>272</v>
      </c>
      <c r="I1126" s="161" t="n">
        <v>81</v>
      </c>
      <c r="J1126" s="156" t="s">
        <v>192</v>
      </c>
      <c r="K1126" s="200" t="n">
        <v>45460.2672800926</v>
      </c>
      <c r="L1126" s="3" t="n">
        <v>72</v>
      </c>
      <c r="M1126" s="3" t="n">
        <v>72</v>
      </c>
      <c r="N1126" s="1" t="n">
        <v>5</v>
      </c>
      <c r="O1126" s="1" t="n">
        <v>49</v>
      </c>
    </row>
    <row r="1127" customFormat="false" ht="14.25" hidden="false" customHeight="false" outlineLevel="0" collapsed="false">
      <c r="A1127" s="1" t="n">
        <v>360</v>
      </c>
      <c r="B1127" s="1" t="s">
        <v>702</v>
      </c>
      <c r="C1127" s="1" t="s">
        <v>703</v>
      </c>
      <c r="D1127" s="1" t="n">
        <v>11197</v>
      </c>
      <c r="E1127" s="1" t="s">
        <v>53</v>
      </c>
      <c r="F1127" s="201" t="n">
        <v>200025889372</v>
      </c>
      <c r="G1127" s="198" t="s">
        <v>697</v>
      </c>
      <c r="H1127" s="163" t="s">
        <v>272</v>
      </c>
      <c r="I1127" s="161" t="n">
        <v>81</v>
      </c>
      <c r="J1127" s="156" t="s">
        <v>192</v>
      </c>
      <c r="K1127" s="200" t="n">
        <v>45460.2678819444</v>
      </c>
      <c r="L1127" s="3" t="n">
        <v>72</v>
      </c>
      <c r="M1127" s="3" t="n">
        <v>72</v>
      </c>
      <c r="N1127" s="1" t="n">
        <v>6</v>
      </c>
      <c r="O1127" s="207" t="n">
        <v>147</v>
      </c>
    </row>
    <row r="1128" customFormat="false" ht="14.25" hidden="false" customHeight="false" outlineLevel="0" collapsed="false">
      <c r="A1128" s="1" t="n">
        <v>361</v>
      </c>
      <c r="B1128" s="1" t="s">
        <v>702</v>
      </c>
      <c r="C1128" s="1" t="s">
        <v>703</v>
      </c>
      <c r="D1128" s="1" t="n">
        <v>11197</v>
      </c>
      <c r="E1128" s="1" t="s">
        <v>53</v>
      </c>
      <c r="F1128" s="201" t="n">
        <v>200025889372</v>
      </c>
      <c r="G1128" s="198" t="s">
        <v>697</v>
      </c>
      <c r="H1128" s="163" t="s">
        <v>272</v>
      </c>
      <c r="I1128" s="161" t="n">
        <v>81</v>
      </c>
      <c r="J1128" s="156" t="s">
        <v>192</v>
      </c>
      <c r="K1128" s="200" t="n">
        <v>45460.2696296296</v>
      </c>
      <c r="L1128" s="3" t="n">
        <v>72</v>
      </c>
      <c r="M1128" s="3" t="n">
        <v>72</v>
      </c>
      <c r="N1128" s="1" t="n">
        <v>7</v>
      </c>
      <c r="O1128" s="207" t="n">
        <v>216</v>
      </c>
    </row>
    <row r="1129" customFormat="false" ht="14.25" hidden="false" customHeight="false" outlineLevel="0" collapsed="false">
      <c r="A1129" s="1" t="n">
        <v>362</v>
      </c>
      <c r="B1129" s="1" t="s">
        <v>702</v>
      </c>
      <c r="C1129" s="1" t="s">
        <v>703</v>
      </c>
      <c r="D1129" s="1" t="n">
        <v>11197</v>
      </c>
      <c r="E1129" s="1" t="s">
        <v>53</v>
      </c>
      <c r="F1129" s="201" t="n">
        <v>200025889372</v>
      </c>
      <c r="G1129" s="198" t="s">
        <v>697</v>
      </c>
      <c r="H1129" s="163" t="s">
        <v>272</v>
      </c>
      <c r="I1129" s="161" t="n">
        <v>81</v>
      </c>
      <c r="J1129" s="156" t="s">
        <v>192</v>
      </c>
      <c r="K1129" s="200" t="n">
        <v>45460.2721412037</v>
      </c>
      <c r="L1129" s="3" t="n">
        <v>72</v>
      </c>
      <c r="M1129" s="3" t="n">
        <v>72</v>
      </c>
      <c r="N1129" s="1" t="n">
        <v>8</v>
      </c>
      <c r="O1129" s="207" t="n">
        <v>293</v>
      </c>
    </row>
    <row r="1130" customFormat="false" ht="14.25" hidden="false" customHeight="false" outlineLevel="0" collapsed="false">
      <c r="A1130" s="1" t="n">
        <v>363</v>
      </c>
      <c r="B1130" s="1" t="s">
        <v>702</v>
      </c>
      <c r="C1130" s="1" t="s">
        <v>703</v>
      </c>
      <c r="D1130" s="1" t="n">
        <v>11197</v>
      </c>
      <c r="E1130" s="1" t="s">
        <v>53</v>
      </c>
      <c r="F1130" s="201" t="n">
        <v>200025889372</v>
      </c>
      <c r="G1130" s="198" t="s">
        <v>697</v>
      </c>
      <c r="H1130" s="163" t="s">
        <v>272</v>
      </c>
      <c r="I1130" s="161" t="n">
        <v>81</v>
      </c>
      <c r="J1130" s="156" t="s">
        <v>192</v>
      </c>
      <c r="K1130" s="200" t="n">
        <v>45460.2755439815</v>
      </c>
      <c r="L1130" s="3" t="n">
        <v>72</v>
      </c>
      <c r="M1130" s="3" t="n">
        <v>72</v>
      </c>
      <c r="N1130" s="1" t="n">
        <v>9</v>
      </c>
      <c r="O1130" s="207" t="n">
        <v>201</v>
      </c>
    </row>
    <row r="1131" customFormat="false" ht="14.25" hidden="false" customHeight="false" outlineLevel="0" collapsed="false">
      <c r="A1131" s="1" t="n">
        <v>364</v>
      </c>
      <c r="B1131" s="1" t="s">
        <v>702</v>
      </c>
      <c r="C1131" s="1" t="s">
        <v>703</v>
      </c>
      <c r="D1131" s="1" t="n">
        <v>11197</v>
      </c>
      <c r="E1131" s="1" t="s">
        <v>53</v>
      </c>
      <c r="F1131" s="201" t="n">
        <v>200025889372</v>
      </c>
      <c r="G1131" s="198" t="s">
        <v>697</v>
      </c>
      <c r="H1131" s="163" t="s">
        <v>272</v>
      </c>
      <c r="I1131" s="161" t="n">
        <v>81</v>
      </c>
      <c r="J1131" s="156" t="s">
        <v>192</v>
      </c>
      <c r="K1131" s="200" t="n">
        <v>45460.2778935185</v>
      </c>
      <c r="L1131" s="3" t="n">
        <v>72</v>
      </c>
      <c r="M1131" s="3" t="n">
        <v>72</v>
      </c>
      <c r="N1131" s="1" t="n">
        <v>10</v>
      </c>
      <c r="O1131" s="1" t="n">
        <v>6</v>
      </c>
    </row>
    <row r="1132" customFormat="false" ht="14.25" hidden="false" customHeight="false" outlineLevel="0" collapsed="false">
      <c r="A1132" s="1" t="n">
        <v>365</v>
      </c>
      <c r="B1132" s="1" t="s">
        <v>702</v>
      </c>
      <c r="C1132" s="1" t="s">
        <v>703</v>
      </c>
      <c r="D1132" s="1" t="n">
        <v>11197</v>
      </c>
      <c r="E1132" s="1" t="s">
        <v>53</v>
      </c>
      <c r="F1132" s="201" t="n">
        <v>200025889372</v>
      </c>
      <c r="G1132" s="198" t="s">
        <v>697</v>
      </c>
      <c r="H1132" s="163" t="s">
        <v>272</v>
      </c>
      <c r="I1132" s="161" t="n">
        <v>81</v>
      </c>
      <c r="J1132" s="156" t="s">
        <v>192</v>
      </c>
      <c r="K1132" s="200" t="n">
        <v>45460.2780208333</v>
      </c>
      <c r="L1132" s="3" t="n">
        <v>72</v>
      </c>
      <c r="M1132" s="3" t="n">
        <v>72</v>
      </c>
      <c r="N1132" s="1" t="n">
        <v>11</v>
      </c>
      <c r="O1132" s="207" t="n">
        <v>371</v>
      </c>
    </row>
    <row r="1133" customFormat="false" ht="14.25" hidden="false" customHeight="false" outlineLevel="0" collapsed="false">
      <c r="A1133" s="1" t="n">
        <v>366</v>
      </c>
      <c r="B1133" s="1" t="s">
        <v>702</v>
      </c>
      <c r="C1133" s="1" t="s">
        <v>703</v>
      </c>
      <c r="D1133" s="1" t="n">
        <v>11197</v>
      </c>
      <c r="E1133" s="1" t="s">
        <v>53</v>
      </c>
      <c r="F1133" s="201" t="n">
        <v>200025889372</v>
      </c>
      <c r="G1133" s="198" t="s">
        <v>697</v>
      </c>
      <c r="H1133" s="163" t="s">
        <v>272</v>
      </c>
      <c r="I1133" s="161" t="n">
        <v>81</v>
      </c>
      <c r="J1133" s="156" t="s">
        <v>192</v>
      </c>
      <c r="K1133" s="200" t="n">
        <v>45460.2823148148</v>
      </c>
      <c r="L1133" s="3" t="n">
        <v>72</v>
      </c>
      <c r="M1133" s="3" t="n">
        <v>72</v>
      </c>
      <c r="N1133" s="1" t="n">
        <v>12</v>
      </c>
      <c r="O1133" s="1" t="n">
        <v>48</v>
      </c>
    </row>
    <row r="1134" customFormat="false" ht="14.25" hidden="false" customHeight="false" outlineLevel="0" collapsed="false">
      <c r="A1134" s="1" t="n">
        <v>367</v>
      </c>
      <c r="B1134" s="1" t="s">
        <v>702</v>
      </c>
      <c r="C1134" s="1" t="s">
        <v>703</v>
      </c>
      <c r="D1134" s="1" t="n">
        <v>11197</v>
      </c>
      <c r="E1134" s="1" t="s">
        <v>53</v>
      </c>
      <c r="F1134" s="201" t="n">
        <v>200025889372</v>
      </c>
      <c r="G1134" s="198" t="s">
        <v>697</v>
      </c>
      <c r="H1134" s="163" t="s">
        <v>272</v>
      </c>
      <c r="I1134" s="161" t="n">
        <v>81</v>
      </c>
      <c r="J1134" s="156" t="s">
        <v>192</v>
      </c>
      <c r="K1134" s="200" t="n">
        <v>45460.2829050926</v>
      </c>
      <c r="L1134" s="3" t="n">
        <v>72</v>
      </c>
      <c r="M1134" s="3" t="n">
        <v>72</v>
      </c>
      <c r="N1134" s="1" t="n">
        <v>13</v>
      </c>
      <c r="O1134" s="207" t="n">
        <v>80</v>
      </c>
    </row>
    <row r="1135" customFormat="false" ht="14.25" hidden="false" customHeight="false" outlineLevel="0" collapsed="false">
      <c r="A1135" s="1" t="n">
        <v>368</v>
      </c>
      <c r="B1135" s="1" t="s">
        <v>702</v>
      </c>
      <c r="C1135" s="1" t="s">
        <v>703</v>
      </c>
      <c r="D1135" s="1" t="n">
        <v>11197</v>
      </c>
      <c r="E1135" s="1" t="s">
        <v>53</v>
      </c>
      <c r="F1135" s="201" t="n">
        <v>200025889372</v>
      </c>
      <c r="G1135" s="198" t="s">
        <v>697</v>
      </c>
      <c r="H1135" s="163" t="s">
        <v>272</v>
      </c>
      <c r="I1135" s="161" t="n">
        <v>81</v>
      </c>
      <c r="J1135" s="156" t="s">
        <v>192</v>
      </c>
      <c r="K1135" s="200" t="n">
        <v>45460.2838541667</v>
      </c>
      <c r="L1135" s="3" t="n">
        <v>72</v>
      </c>
      <c r="M1135" s="3" t="n">
        <v>72</v>
      </c>
      <c r="N1135" s="1" t="n">
        <v>14</v>
      </c>
      <c r="O1135" s="1" t="n">
        <v>2</v>
      </c>
    </row>
    <row r="1136" customFormat="false" ht="14.25" hidden="false" customHeight="false" outlineLevel="0" collapsed="false">
      <c r="A1136" s="1" t="n">
        <v>369</v>
      </c>
      <c r="B1136" s="1" t="s">
        <v>702</v>
      </c>
      <c r="C1136" s="1" t="s">
        <v>703</v>
      </c>
      <c r="D1136" s="1" t="n">
        <v>11197</v>
      </c>
      <c r="E1136" s="1" t="s">
        <v>53</v>
      </c>
      <c r="F1136" s="201" t="n">
        <v>200025889372</v>
      </c>
      <c r="G1136" s="198" t="s">
        <v>697</v>
      </c>
      <c r="H1136" s="163" t="s">
        <v>272</v>
      </c>
      <c r="I1136" s="161" t="n">
        <v>81</v>
      </c>
      <c r="J1136" s="156" t="s">
        <v>192</v>
      </c>
      <c r="K1136" s="200" t="n">
        <v>45460.283900463</v>
      </c>
      <c r="L1136" s="3" t="n">
        <v>72</v>
      </c>
      <c r="M1136" s="3" t="n">
        <v>72</v>
      </c>
      <c r="N1136" s="1" t="n">
        <v>15</v>
      </c>
      <c r="O1136" s="207" t="n">
        <v>159</v>
      </c>
    </row>
    <row r="1137" customFormat="false" ht="14.25" hidden="false" customHeight="false" outlineLevel="0" collapsed="false">
      <c r="A1137" s="1" t="n">
        <v>370</v>
      </c>
      <c r="B1137" s="1" t="s">
        <v>702</v>
      </c>
      <c r="C1137" s="1" t="s">
        <v>703</v>
      </c>
      <c r="D1137" s="1" t="n">
        <v>11197</v>
      </c>
      <c r="E1137" s="1" t="s">
        <v>53</v>
      </c>
      <c r="F1137" s="201" t="n">
        <v>200025889372</v>
      </c>
      <c r="G1137" s="198" t="s">
        <v>697</v>
      </c>
      <c r="H1137" s="163" t="s">
        <v>272</v>
      </c>
      <c r="I1137" s="161" t="n">
        <v>81</v>
      </c>
      <c r="J1137" s="156" t="s">
        <v>192</v>
      </c>
      <c r="K1137" s="200" t="n">
        <v>45460.285775463</v>
      </c>
      <c r="L1137" s="3" t="n">
        <v>72</v>
      </c>
      <c r="M1137" s="3" t="n">
        <v>72</v>
      </c>
      <c r="N1137" s="1" t="n">
        <v>16</v>
      </c>
      <c r="O1137" s="207" t="n">
        <v>144</v>
      </c>
    </row>
    <row r="1138" customFormat="false" ht="14.25" hidden="false" customHeight="false" outlineLevel="0" collapsed="false">
      <c r="A1138" s="1" t="n">
        <v>371</v>
      </c>
      <c r="B1138" s="1" t="s">
        <v>702</v>
      </c>
      <c r="C1138" s="1" t="s">
        <v>703</v>
      </c>
      <c r="D1138" s="1" t="n">
        <v>11197</v>
      </c>
      <c r="E1138" s="1" t="s">
        <v>53</v>
      </c>
      <c r="F1138" s="201" t="n">
        <v>200025889372</v>
      </c>
      <c r="G1138" s="198" t="s">
        <v>697</v>
      </c>
      <c r="H1138" s="163" t="s">
        <v>272</v>
      </c>
      <c r="I1138" s="161" t="n">
        <v>81</v>
      </c>
      <c r="J1138" s="156" t="s">
        <v>192</v>
      </c>
      <c r="K1138" s="200" t="n">
        <v>45460.2874652778</v>
      </c>
      <c r="L1138" s="3" t="n">
        <v>72</v>
      </c>
      <c r="M1138" s="3" t="n">
        <v>72</v>
      </c>
      <c r="N1138" s="1" t="n">
        <v>17</v>
      </c>
      <c r="O1138" s="1" t="n">
        <v>4</v>
      </c>
    </row>
    <row r="1139" customFormat="false" ht="14.25" hidden="false" customHeight="false" outlineLevel="0" collapsed="false">
      <c r="A1139" s="1" t="n">
        <v>372</v>
      </c>
      <c r="B1139" s="1" t="s">
        <v>702</v>
      </c>
      <c r="C1139" s="1" t="s">
        <v>703</v>
      </c>
      <c r="D1139" s="1" t="n">
        <v>11197</v>
      </c>
      <c r="E1139" s="1" t="s">
        <v>53</v>
      </c>
      <c r="F1139" s="201" t="n">
        <v>200025889372</v>
      </c>
      <c r="G1139" s="198" t="s">
        <v>697</v>
      </c>
      <c r="H1139" s="163" t="s">
        <v>272</v>
      </c>
      <c r="I1139" s="161" t="n">
        <v>81</v>
      </c>
      <c r="J1139" s="156" t="s">
        <v>192</v>
      </c>
      <c r="K1139" s="200" t="n">
        <v>45460.2875231481</v>
      </c>
      <c r="L1139" s="3" t="n">
        <v>72</v>
      </c>
      <c r="M1139" s="3" t="n">
        <v>72</v>
      </c>
      <c r="N1139" s="1" t="n">
        <v>18</v>
      </c>
      <c r="O1139" s="1" t="n">
        <v>10</v>
      </c>
    </row>
    <row r="1140" customFormat="false" ht="14.25" hidden="false" customHeight="false" outlineLevel="0" collapsed="false">
      <c r="A1140" s="1" t="n">
        <v>67</v>
      </c>
      <c r="B1140" s="1" t="s">
        <v>681</v>
      </c>
      <c r="C1140" s="1" t="s">
        <v>682</v>
      </c>
      <c r="D1140" s="1" t="n">
        <v>11197</v>
      </c>
      <c r="E1140" s="1" t="s">
        <v>53</v>
      </c>
      <c r="F1140" s="201" t="n">
        <v>200025888944</v>
      </c>
      <c r="G1140" s="198" t="s">
        <v>602</v>
      </c>
      <c r="H1140" s="163" t="s">
        <v>480</v>
      </c>
      <c r="I1140" s="161" t="n">
        <v>110</v>
      </c>
      <c r="J1140" s="156" t="s">
        <v>192</v>
      </c>
      <c r="K1140" s="199" t="n">
        <v>45435.73</v>
      </c>
      <c r="L1140" s="3" t="n">
        <v>73</v>
      </c>
      <c r="M1140" s="3" t="n">
        <v>73</v>
      </c>
      <c r="N1140" s="1" t="n">
        <v>1</v>
      </c>
      <c r="O1140" s="1" t="n">
        <v>1</v>
      </c>
    </row>
    <row r="1141" customFormat="false" ht="14.25" hidden="false" customHeight="false" outlineLevel="0" collapsed="false">
      <c r="A1141" s="1" t="n">
        <v>68</v>
      </c>
      <c r="B1141" s="1" t="s">
        <v>681</v>
      </c>
      <c r="C1141" s="1" t="s">
        <v>682</v>
      </c>
      <c r="D1141" s="1" t="n">
        <v>11197</v>
      </c>
      <c r="E1141" s="1" t="s">
        <v>53</v>
      </c>
      <c r="F1141" s="201" t="n">
        <v>200025888944</v>
      </c>
      <c r="G1141" s="198" t="s">
        <v>602</v>
      </c>
      <c r="H1141" s="163" t="s">
        <v>480</v>
      </c>
      <c r="I1141" s="161" t="n">
        <v>110</v>
      </c>
      <c r="J1141" s="156" t="s">
        <v>192</v>
      </c>
      <c r="K1141" s="199" t="n">
        <v>45435.7307523148</v>
      </c>
      <c r="L1141" s="3" t="n">
        <v>73</v>
      </c>
      <c r="M1141" s="3" t="n">
        <v>73</v>
      </c>
      <c r="N1141" s="1" t="n">
        <v>2</v>
      </c>
      <c r="O1141" s="1" t="n">
        <v>1</v>
      </c>
    </row>
    <row r="1142" customFormat="false" ht="14.25" hidden="false" customHeight="false" outlineLevel="0" collapsed="false">
      <c r="A1142" s="1" t="n">
        <v>106</v>
      </c>
      <c r="B1142" s="1" t="s">
        <v>565</v>
      </c>
      <c r="C1142" s="1" t="s">
        <v>566</v>
      </c>
      <c r="D1142" s="196" t="n">
        <v>2568</v>
      </c>
      <c r="E1142" s="196" t="s">
        <v>51</v>
      </c>
      <c r="F1142" s="197" t="s">
        <v>601</v>
      </c>
      <c r="G1142" s="198" t="s">
        <v>602</v>
      </c>
      <c r="H1142" s="163" t="s">
        <v>480</v>
      </c>
      <c r="I1142" s="161" t="n">
        <v>110</v>
      </c>
      <c r="J1142" s="156" t="s">
        <v>192</v>
      </c>
      <c r="K1142" s="199" t="n">
        <v>45435.7751041667</v>
      </c>
      <c r="L1142" s="3" t="n">
        <v>73</v>
      </c>
      <c r="M1142" s="3" t="n">
        <v>73</v>
      </c>
      <c r="N1142" s="1" t="n">
        <v>3</v>
      </c>
      <c r="O1142" s="1" t="n">
        <v>1</v>
      </c>
    </row>
    <row r="1143" customFormat="false" ht="14.25" hidden="false" customHeight="false" outlineLevel="0" collapsed="false">
      <c r="A1143" s="1" t="n">
        <v>107</v>
      </c>
      <c r="B1143" s="1" t="s">
        <v>565</v>
      </c>
      <c r="C1143" s="1" t="s">
        <v>566</v>
      </c>
      <c r="D1143" s="196" t="n">
        <v>2568</v>
      </c>
      <c r="E1143" s="196" t="s">
        <v>51</v>
      </c>
      <c r="F1143" s="197" t="s">
        <v>601</v>
      </c>
      <c r="G1143" s="198" t="s">
        <v>602</v>
      </c>
      <c r="H1143" s="163" t="s">
        <v>480</v>
      </c>
      <c r="I1143" s="161" t="n">
        <v>110</v>
      </c>
      <c r="J1143" s="156" t="s">
        <v>192</v>
      </c>
      <c r="K1143" s="199" t="n">
        <v>45435.7751157407</v>
      </c>
      <c r="L1143" s="3" t="n">
        <v>73</v>
      </c>
      <c r="M1143" s="3" t="n">
        <v>73</v>
      </c>
      <c r="N1143" s="1" t="n">
        <v>4</v>
      </c>
      <c r="O1143" s="1" t="n">
        <v>1</v>
      </c>
    </row>
    <row r="1144" customFormat="false" ht="14.25" hidden="false" customHeight="false" outlineLevel="0" collapsed="false">
      <c r="A1144" s="1" t="n">
        <v>117</v>
      </c>
      <c r="B1144" s="1" t="s">
        <v>565</v>
      </c>
      <c r="C1144" s="1" t="s">
        <v>566</v>
      </c>
      <c r="D1144" s="196" t="n">
        <v>2568</v>
      </c>
      <c r="E1144" s="196" t="s">
        <v>51</v>
      </c>
      <c r="F1144" s="197" t="s">
        <v>601</v>
      </c>
      <c r="G1144" s="198" t="s">
        <v>602</v>
      </c>
      <c r="H1144" s="163" t="s">
        <v>480</v>
      </c>
      <c r="I1144" s="161" t="n">
        <v>110</v>
      </c>
      <c r="J1144" s="156" t="s">
        <v>192</v>
      </c>
      <c r="K1144" s="199" t="n">
        <v>45435.8332060185</v>
      </c>
      <c r="L1144" s="3" t="n">
        <v>73</v>
      </c>
      <c r="M1144" s="3" t="n">
        <v>73</v>
      </c>
      <c r="N1144" s="1" t="n">
        <v>5</v>
      </c>
      <c r="O1144" s="1" t="n">
        <v>1</v>
      </c>
    </row>
    <row r="1145" customFormat="false" ht="14.25" hidden="false" customHeight="false" outlineLevel="0" collapsed="false">
      <c r="A1145" s="1" t="n">
        <v>118</v>
      </c>
      <c r="B1145" s="1" t="s">
        <v>565</v>
      </c>
      <c r="C1145" s="1" t="s">
        <v>566</v>
      </c>
      <c r="D1145" s="196" t="n">
        <v>2568</v>
      </c>
      <c r="E1145" s="196" t="s">
        <v>51</v>
      </c>
      <c r="F1145" s="197" t="s">
        <v>601</v>
      </c>
      <c r="G1145" s="198" t="s">
        <v>602</v>
      </c>
      <c r="H1145" s="163" t="s">
        <v>480</v>
      </c>
      <c r="I1145" s="161" t="n">
        <v>110</v>
      </c>
      <c r="J1145" s="156" t="s">
        <v>192</v>
      </c>
      <c r="K1145" s="199" t="n">
        <v>45435.8335069444</v>
      </c>
      <c r="L1145" s="3" t="n">
        <v>73</v>
      </c>
      <c r="M1145" s="3" t="n">
        <v>73</v>
      </c>
      <c r="N1145" s="1" t="n">
        <v>6</v>
      </c>
      <c r="O1145" s="1" t="n">
        <v>1</v>
      </c>
    </row>
    <row r="1146" customFormat="false" ht="14.25" hidden="false" customHeight="false" outlineLevel="0" collapsed="false">
      <c r="A1146" s="1" t="n">
        <v>77</v>
      </c>
      <c r="B1146" s="1" t="s">
        <v>681</v>
      </c>
      <c r="C1146" s="1" t="s">
        <v>682</v>
      </c>
      <c r="D1146" s="1" t="n">
        <v>11197</v>
      </c>
      <c r="E1146" s="1" t="s">
        <v>53</v>
      </c>
      <c r="F1146" s="201" t="n">
        <v>200025889127</v>
      </c>
      <c r="G1146" s="198" t="s">
        <v>692</v>
      </c>
      <c r="H1146" s="163" t="s">
        <v>507</v>
      </c>
      <c r="I1146" s="161" t="n">
        <v>86</v>
      </c>
      <c r="J1146" s="156" t="s">
        <v>192</v>
      </c>
      <c r="K1146" s="200" t="n">
        <v>45435.7780324074</v>
      </c>
      <c r="L1146" s="3" t="n">
        <v>74</v>
      </c>
      <c r="M1146" s="3" t="n">
        <v>74</v>
      </c>
      <c r="N1146" s="1" t="n">
        <v>1</v>
      </c>
      <c r="O1146" s="1" t="n">
        <v>0</v>
      </c>
    </row>
    <row r="1147" customFormat="false" ht="14.25" hidden="false" customHeight="false" outlineLevel="0" collapsed="false">
      <c r="A1147" s="1" t="n">
        <v>78</v>
      </c>
      <c r="B1147" s="1" t="s">
        <v>681</v>
      </c>
      <c r="C1147" s="1" t="s">
        <v>682</v>
      </c>
      <c r="D1147" s="1" t="n">
        <v>11197</v>
      </c>
      <c r="E1147" s="1" t="s">
        <v>53</v>
      </c>
      <c r="F1147" s="201" t="n">
        <v>200025889127</v>
      </c>
      <c r="G1147" s="198" t="s">
        <v>692</v>
      </c>
      <c r="H1147" s="163" t="s">
        <v>507</v>
      </c>
      <c r="I1147" s="161" t="n">
        <v>86</v>
      </c>
      <c r="J1147" s="156" t="s">
        <v>192</v>
      </c>
      <c r="K1147" s="200" t="n">
        <v>45435.7780324074</v>
      </c>
      <c r="L1147" s="3" t="n">
        <v>74</v>
      </c>
      <c r="M1147" s="3" t="n">
        <v>74</v>
      </c>
      <c r="N1147" s="1" t="n">
        <v>2</v>
      </c>
      <c r="O1147" s="10" t="n">
        <v>728</v>
      </c>
    </row>
    <row r="1148" customFormat="false" ht="14.25" hidden="false" customHeight="false" outlineLevel="0" collapsed="false">
      <c r="A1148" s="1" t="n">
        <v>14</v>
      </c>
      <c r="B1148" s="1" t="s">
        <v>684</v>
      </c>
      <c r="C1148" s="1" t="s">
        <v>685</v>
      </c>
      <c r="D1148" s="1" t="n">
        <v>21296</v>
      </c>
      <c r="E1148" s="1" t="s">
        <v>57</v>
      </c>
      <c r="F1148" s="201" t="n">
        <v>200025889127</v>
      </c>
      <c r="G1148" s="198" t="s">
        <v>692</v>
      </c>
      <c r="H1148" s="163" t="s">
        <v>507</v>
      </c>
      <c r="I1148" s="161" t="n">
        <v>86</v>
      </c>
      <c r="J1148" s="156" t="s">
        <v>192</v>
      </c>
      <c r="K1148" s="200" t="n">
        <v>45449.5091087963</v>
      </c>
      <c r="L1148" s="3" t="n">
        <v>74</v>
      </c>
      <c r="M1148" s="3" t="n">
        <v>74</v>
      </c>
      <c r="N1148" s="1" t="n">
        <v>3</v>
      </c>
      <c r="O1148" s="1" t="n">
        <v>0</v>
      </c>
    </row>
    <row r="1149" customFormat="false" ht="14.25" hidden="false" customHeight="false" outlineLevel="0" collapsed="false">
      <c r="A1149" s="1" t="n">
        <v>84</v>
      </c>
      <c r="B1149" s="1" t="s">
        <v>684</v>
      </c>
      <c r="C1149" s="1" t="s">
        <v>685</v>
      </c>
      <c r="D1149" s="1" t="n">
        <v>21296</v>
      </c>
      <c r="E1149" s="1" t="s">
        <v>57</v>
      </c>
      <c r="F1149" s="201" t="n">
        <v>200025889127</v>
      </c>
      <c r="G1149" s="198" t="s">
        <v>692</v>
      </c>
      <c r="H1149" s="163" t="s">
        <v>507</v>
      </c>
      <c r="I1149" s="161" t="n">
        <v>86</v>
      </c>
      <c r="J1149" s="156" t="s">
        <v>192</v>
      </c>
      <c r="K1149" s="200" t="n">
        <v>45454.6131828704</v>
      </c>
      <c r="L1149" s="3" t="n">
        <v>74</v>
      </c>
      <c r="M1149" s="3" t="n">
        <v>74</v>
      </c>
      <c r="N1149" s="1" t="n">
        <v>4</v>
      </c>
      <c r="O1149" s="1" t="n">
        <v>1</v>
      </c>
    </row>
    <row r="1150" customFormat="false" ht="14.25" hidden="false" customHeight="false" outlineLevel="0" collapsed="false">
      <c r="A1150" s="1" t="n">
        <v>106</v>
      </c>
      <c r="B1150" s="1" t="s">
        <v>684</v>
      </c>
      <c r="C1150" s="1" t="s">
        <v>685</v>
      </c>
      <c r="D1150" s="1" t="n">
        <v>21296</v>
      </c>
      <c r="E1150" s="1" t="s">
        <v>57</v>
      </c>
      <c r="F1150" s="201" t="n">
        <v>200025889127</v>
      </c>
      <c r="G1150" s="198" t="s">
        <v>692</v>
      </c>
      <c r="H1150" s="163" t="s">
        <v>507</v>
      </c>
      <c r="I1150" s="161" t="n">
        <v>86</v>
      </c>
      <c r="J1150" s="156" t="s">
        <v>192</v>
      </c>
      <c r="K1150" s="200" t="n">
        <v>45454.8006481482</v>
      </c>
      <c r="L1150" s="3" t="n">
        <v>74</v>
      </c>
      <c r="M1150" s="3" t="n">
        <v>74</v>
      </c>
      <c r="N1150" s="1" t="n">
        <v>5</v>
      </c>
      <c r="O1150" s="1" t="n">
        <v>1</v>
      </c>
    </row>
    <row r="1151" customFormat="false" ht="14.25" hidden="false" customHeight="false" outlineLevel="0" collapsed="false">
      <c r="A1151" s="1" t="n">
        <v>107</v>
      </c>
      <c r="B1151" s="1" t="s">
        <v>684</v>
      </c>
      <c r="C1151" s="1" t="s">
        <v>685</v>
      </c>
      <c r="D1151" s="1" t="n">
        <v>21296</v>
      </c>
      <c r="E1151" s="1" t="s">
        <v>57</v>
      </c>
      <c r="F1151" s="201" t="n">
        <v>200025889127</v>
      </c>
      <c r="G1151" s="198" t="s">
        <v>692</v>
      </c>
      <c r="H1151" s="163" t="s">
        <v>507</v>
      </c>
      <c r="I1151" s="161" t="n">
        <v>86</v>
      </c>
      <c r="J1151" s="156" t="s">
        <v>192</v>
      </c>
      <c r="K1151" s="200" t="n">
        <v>45454.8006712963</v>
      </c>
      <c r="L1151" s="3" t="n">
        <v>74</v>
      </c>
      <c r="M1151" s="3" t="n">
        <v>74</v>
      </c>
      <c r="N1151" s="1" t="n">
        <v>6</v>
      </c>
      <c r="O1151" s="1" t="n">
        <v>0</v>
      </c>
    </row>
    <row r="1152" customFormat="false" ht="14.25" hidden="false" customHeight="false" outlineLevel="0" collapsed="false">
      <c r="A1152" s="1" t="n">
        <v>108</v>
      </c>
      <c r="B1152" s="1" t="s">
        <v>684</v>
      </c>
      <c r="C1152" s="1" t="s">
        <v>685</v>
      </c>
      <c r="D1152" s="1" t="n">
        <v>21296</v>
      </c>
      <c r="E1152" s="1" t="s">
        <v>57</v>
      </c>
      <c r="F1152" s="201" t="n">
        <v>200025889127</v>
      </c>
      <c r="G1152" s="198" t="s">
        <v>692</v>
      </c>
      <c r="H1152" s="163" t="s">
        <v>507</v>
      </c>
      <c r="I1152" s="161" t="n">
        <v>86</v>
      </c>
      <c r="J1152" s="156" t="s">
        <v>192</v>
      </c>
      <c r="K1152" s="200" t="n">
        <v>45454.8006712963</v>
      </c>
      <c r="L1152" s="3" t="n">
        <v>74</v>
      </c>
      <c r="M1152" s="3" t="n">
        <v>74</v>
      </c>
      <c r="N1152" s="1" t="n">
        <v>7</v>
      </c>
      <c r="O1152" s="1" t="n">
        <v>1</v>
      </c>
    </row>
    <row r="1153" customFormat="false" ht="14.25" hidden="false" customHeight="false" outlineLevel="0" collapsed="false">
      <c r="A1153" s="1" t="n">
        <v>109</v>
      </c>
      <c r="B1153" s="1" t="s">
        <v>684</v>
      </c>
      <c r="C1153" s="1" t="s">
        <v>685</v>
      </c>
      <c r="D1153" s="1" t="n">
        <v>21296</v>
      </c>
      <c r="E1153" s="1" t="s">
        <v>57</v>
      </c>
      <c r="F1153" s="201" t="n">
        <v>200025889127</v>
      </c>
      <c r="G1153" s="198" t="s">
        <v>692</v>
      </c>
      <c r="H1153" s="163" t="s">
        <v>507</v>
      </c>
      <c r="I1153" s="161" t="n">
        <v>86</v>
      </c>
      <c r="J1153" s="156" t="s">
        <v>192</v>
      </c>
      <c r="K1153" s="200" t="n">
        <v>45454.8006828704</v>
      </c>
      <c r="L1153" s="3" t="n">
        <v>74</v>
      </c>
      <c r="M1153" s="3" t="n">
        <v>74</v>
      </c>
      <c r="N1153" s="1" t="n">
        <v>8</v>
      </c>
      <c r="O1153" s="1" t="n">
        <v>1</v>
      </c>
    </row>
    <row r="1154" customFormat="false" ht="14.25" hidden="false" customHeight="false" outlineLevel="0" collapsed="false">
      <c r="A1154" s="1" t="n">
        <v>110</v>
      </c>
      <c r="B1154" s="1" t="s">
        <v>684</v>
      </c>
      <c r="C1154" s="1" t="s">
        <v>685</v>
      </c>
      <c r="D1154" s="1" t="n">
        <v>21296</v>
      </c>
      <c r="E1154" s="1" t="s">
        <v>57</v>
      </c>
      <c r="F1154" s="201" t="n">
        <v>200025889127</v>
      </c>
      <c r="G1154" s="198" t="s">
        <v>692</v>
      </c>
      <c r="H1154" s="163" t="s">
        <v>507</v>
      </c>
      <c r="I1154" s="161" t="n">
        <v>86</v>
      </c>
      <c r="J1154" s="156" t="s">
        <v>192</v>
      </c>
      <c r="K1154" s="200" t="n">
        <v>45454.801087963</v>
      </c>
      <c r="L1154" s="3" t="n">
        <v>74</v>
      </c>
      <c r="M1154" s="3" t="n">
        <v>74</v>
      </c>
      <c r="N1154" s="1" t="n">
        <v>9</v>
      </c>
      <c r="O1154" s="1" t="n">
        <v>3</v>
      </c>
    </row>
    <row r="1155" customFormat="false" ht="14.25" hidden="false" customHeight="false" outlineLevel="0" collapsed="false">
      <c r="A1155" s="1" t="n">
        <v>111</v>
      </c>
      <c r="B1155" s="1" t="s">
        <v>684</v>
      </c>
      <c r="C1155" s="1" t="s">
        <v>685</v>
      </c>
      <c r="D1155" s="1" t="n">
        <v>21296</v>
      </c>
      <c r="E1155" s="1" t="s">
        <v>57</v>
      </c>
      <c r="F1155" s="201" t="n">
        <v>200025889127</v>
      </c>
      <c r="G1155" s="198" t="s">
        <v>692</v>
      </c>
      <c r="H1155" s="163" t="s">
        <v>507</v>
      </c>
      <c r="I1155" s="161" t="n">
        <v>86</v>
      </c>
      <c r="J1155" s="156" t="s">
        <v>192</v>
      </c>
      <c r="K1155" s="200" t="n">
        <v>45454.8014236111</v>
      </c>
      <c r="L1155" s="3" t="n">
        <v>74</v>
      </c>
      <c r="M1155" s="3" t="n">
        <v>74</v>
      </c>
      <c r="N1155" s="1" t="n">
        <v>10</v>
      </c>
      <c r="O1155" s="1" t="n">
        <v>0</v>
      </c>
    </row>
    <row r="1156" customFormat="false" ht="14.25" hidden="false" customHeight="false" outlineLevel="0" collapsed="false">
      <c r="A1156" s="1" t="n">
        <v>112</v>
      </c>
      <c r="B1156" s="1" t="s">
        <v>684</v>
      </c>
      <c r="C1156" s="1" t="s">
        <v>685</v>
      </c>
      <c r="D1156" s="1" t="n">
        <v>21296</v>
      </c>
      <c r="E1156" s="1" t="s">
        <v>57</v>
      </c>
      <c r="F1156" s="201" t="n">
        <v>200025889127</v>
      </c>
      <c r="G1156" s="198" t="s">
        <v>692</v>
      </c>
      <c r="H1156" s="163" t="s">
        <v>507</v>
      </c>
      <c r="I1156" s="161" t="n">
        <v>86</v>
      </c>
      <c r="J1156" s="156" t="s">
        <v>192</v>
      </c>
      <c r="K1156" s="200" t="n">
        <v>45454.8014467593</v>
      </c>
      <c r="L1156" s="3" t="n">
        <v>74</v>
      </c>
      <c r="M1156" s="3" t="n">
        <v>74</v>
      </c>
      <c r="N1156" s="1" t="n">
        <v>11</v>
      </c>
      <c r="O1156" s="1" t="n">
        <v>0</v>
      </c>
    </row>
    <row r="1157" customFormat="false" ht="14.25" hidden="false" customHeight="false" outlineLevel="0" collapsed="false">
      <c r="A1157" s="1" t="n">
        <v>121</v>
      </c>
      <c r="B1157" s="1" t="s">
        <v>684</v>
      </c>
      <c r="C1157" s="1" t="s">
        <v>685</v>
      </c>
      <c r="D1157" s="1" t="n">
        <v>21296</v>
      </c>
      <c r="E1157" s="1" t="s">
        <v>57</v>
      </c>
      <c r="F1157" s="201" t="n">
        <v>200025889127</v>
      </c>
      <c r="G1157" s="198" t="s">
        <v>692</v>
      </c>
      <c r="H1157" s="163" t="s">
        <v>507</v>
      </c>
      <c r="I1157" s="161" t="n">
        <v>86</v>
      </c>
      <c r="J1157" s="156" t="s">
        <v>192</v>
      </c>
      <c r="K1157" s="200" t="n">
        <v>45454.9293634259</v>
      </c>
      <c r="L1157" s="3" t="n">
        <v>74</v>
      </c>
      <c r="M1157" s="3" t="n">
        <v>74</v>
      </c>
      <c r="N1157" s="1" t="n">
        <v>12</v>
      </c>
      <c r="O1157" s="1" t="n">
        <v>0</v>
      </c>
    </row>
    <row r="1158" customFormat="false" ht="14.25" hidden="false" customHeight="false" outlineLevel="0" collapsed="false">
      <c r="A1158" s="1" t="n">
        <v>125</v>
      </c>
      <c r="B1158" s="1" t="s">
        <v>684</v>
      </c>
      <c r="C1158" s="1" t="s">
        <v>685</v>
      </c>
      <c r="D1158" s="1" t="n">
        <v>21296</v>
      </c>
      <c r="E1158" s="1" t="s">
        <v>57</v>
      </c>
      <c r="F1158" s="201" t="n">
        <v>200025889127</v>
      </c>
      <c r="G1158" s="198" t="s">
        <v>692</v>
      </c>
      <c r="H1158" s="163" t="s">
        <v>507</v>
      </c>
      <c r="I1158" s="161" t="n">
        <v>86</v>
      </c>
      <c r="J1158" s="156" t="s">
        <v>192</v>
      </c>
      <c r="K1158" s="200" t="n">
        <v>45455.0438541667</v>
      </c>
      <c r="L1158" s="3" t="n">
        <v>74</v>
      </c>
      <c r="M1158" s="3" t="n">
        <v>74</v>
      </c>
      <c r="N1158" s="1" t="n">
        <v>13</v>
      </c>
      <c r="O1158" s="1" t="n">
        <v>0</v>
      </c>
    </row>
    <row r="1159" customFormat="false" ht="14.25" hidden="false" customHeight="false" outlineLevel="0" collapsed="false">
      <c r="A1159" s="1" t="n">
        <v>126</v>
      </c>
      <c r="B1159" s="1" t="s">
        <v>684</v>
      </c>
      <c r="C1159" s="1" t="s">
        <v>685</v>
      </c>
      <c r="D1159" s="1" t="n">
        <v>21296</v>
      </c>
      <c r="E1159" s="1" t="s">
        <v>57</v>
      </c>
      <c r="F1159" s="201" t="n">
        <v>200025889127</v>
      </c>
      <c r="G1159" s="198" t="s">
        <v>692</v>
      </c>
      <c r="H1159" s="163" t="s">
        <v>507</v>
      </c>
      <c r="I1159" s="161" t="n">
        <v>86</v>
      </c>
      <c r="J1159" s="156" t="s">
        <v>192</v>
      </c>
      <c r="K1159" s="200" t="n">
        <v>45455.0446064815</v>
      </c>
      <c r="L1159" s="3" t="n">
        <v>74</v>
      </c>
      <c r="M1159" s="3" t="n">
        <v>74</v>
      </c>
      <c r="N1159" s="1" t="n">
        <v>14</v>
      </c>
      <c r="O1159" s="1" t="n">
        <v>0</v>
      </c>
    </row>
    <row r="1160" customFormat="false" ht="14.25" hidden="false" customHeight="false" outlineLevel="0" collapsed="false">
      <c r="A1160" s="1" t="n">
        <v>127</v>
      </c>
      <c r="B1160" s="1" t="s">
        <v>684</v>
      </c>
      <c r="C1160" s="1" t="s">
        <v>685</v>
      </c>
      <c r="D1160" s="1" t="n">
        <v>21296</v>
      </c>
      <c r="E1160" s="1" t="s">
        <v>57</v>
      </c>
      <c r="F1160" s="201" t="n">
        <v>200025889127</v>
      </c>
      <c r="G1160" s="198" t="s">
        <v>692</v>
      </c>
      <c r="H1160" s="163" t="s">
        <v>507</v>
      </c>
      <c r="I1160" s="161" t="n">
        <v>86</v>
      </c>
      <c r="J1160" s="156" t="s">
        <v>192</v>
      </c>
      <c r="K1160" s="200" t="n">
        <v>45455.1373842593</v>
      </c>
      <c r="L1160" s="3" t="n">
        <v>74</v>
      </c>
      <c r="M1160" s="3" t="n">
        <v>74</v>
      </c>
      <c r="N1160" s="1" t="n">
        <v>15</v>
      </c>
      <c r="O1160" s="1" t="n">
        <v>1</v>
      </c>
    </row>
    <row r="1161" customFormat="false" ht="14.25" hidden="false" customHeight="false" outlineLevel="0" collapsed="false">
      <c r="A1161" s="1" t="n">
        <v>128</v>
      </c>
      <c r="B1161" s="1" t="s">
        <v>684</v>
      </c>
      <c r="C1161" s="1" t="s">
        <v>685</v>
      </c>
      <c r="D1161" s="1" t="n">
        <v>21296</v>
      </c>
      <c r="E1161" s="1" t="s">
        <v>57</v>
      </c>
      <c r="F1161" s="201" t="n">
        <v>200025889127</v>
      </c>
      <c r="G1161" s="198" t="s">
        <v>692</v>
      </c>
      <c r="H1161" s="163" t="s">
        <v>507</v>
      </c>
      <c r="I1161" s="161" t="n">
        <v>86</v>
      </c>
      <c r="J1161" s="156" t="s">
        <v>192</v>
      </c>
      <c r="K1161" s="200" t="n">
        <v>45455.269837963</v>
      </c>
      <c r="L1161" s="3" t="n">
        <v>74</v>
      </c>
      <c r="M1161" s="3" t="n">
        <v>74</v>
      </c>
      <c r="N1161" s="1" t="n">
        <v>16</v>
      </c>
      <c r="O1161" s="1" t="n">
        <v>0</v>
      </c>
    </row>
    <row r="1162" customFormat="false" ht="14.25" hidden="false" customHeight="false" outlineLevel="0" collapsed="false">
      <c r="A1162" s="1" t="n">
        <v>129</v>
      </c>
      <c r="B1162" s="1" t="s">
        <v>684</v>
      </c>
      <c r="C1162" s="1" t="s">
        <v>685</v>
      </c>
      <c r="D1162" s="1" t="n">
        <v>21296</v>
      </c>
      <c r="E1162" s="1" t="s">
        <v>57</v>
      </c>
      <c r="F1162" s="201" t="n">
        <v>200025889127</v>
      </c>
      <c r="G1162" s="198" t="s">
        <v>692</v>
      </c>
      <c r="H1162" s="163" t="s">
        <v>507</v>
      </c>
      <c r="I1162" s="161" t="n">
        <v>86</v>
      </c>
      <c r="J1162" s="156" t="s">
        <v>192</v>
      </c>
      <c r="K1162" s="200" t="n">
        <v>45455.2705555556</v>
      </c>
      <c r="L1162" s="3" t="n">
        <v>74</v>
      </c>
      <c r="M1162" s="3" t="n">
        <v>74</v>
      </c>
      <c r="N1162" s="1" t="n">
        <v>17</v>
      </c>
      <c r="O1162" s="1" t="n">
        <v>1</v>
      </c>
    </row>
    <row r="1163" customFormat="false" ht="14.25" hidden="false" customHeight="false" outlineLevel="0" collapsed="false">
      <c r="A1163" s="1" t="n">
        <v>287</v>
      </c>
      <c r="B1163" s="1" t="s">
        <v>565</v>
      </c>
      <c r="C1163" s="1" t="s">
        <v>566</v>
      </c>
      <c r="D1163" s="1" t="n">
        <v>11197</v>
      </c>
      <c r="E1163" s="1" t="s">
        <v>53</v>
      </c>
      <c r="F1163" s="198" t="n">
        <v>200025889127</v>
      </c>
      <c r="G1163" s="198" t="s">
        <v>692</v>
      </c>
      <c r="H1163" s="163" t="s">
        <v>507</v>
      </c>
      <c r="I1163" s="161" t="n">
        <v>86</v>
      </c>
      <c r="J1163" s="156" t="s">
        <v>192</v>
      </c>
      <c r="K1163" s="199" t="n">
        <v>45455.5493634259</v>
      </c>
      <c r="L1163" s="3" t="n">
        <v>74</v>
      </c>
      <c r="M1163" s="3" t="n">
        <v>74</v>
      </c>
      <c r="N1163" s="1" t="n">
        <v>18</v>
      </c>
      <c r="O1163" s="1" t="n">
        <v>1</v>
      </c>
    </row>
    <row r="1164" customFormat="false" ht="14.25" hidden="false" customHeight="false" outlineLevel="0" collapsed="false">
      <c r="A1164" s="1" t="n">
        <v>54</v>
      </c>
      <c r="B1164" s="1" t="s">
        <v>643</v>
      </c>
      <c r="C1164" s="1" t="s">
        <v>644</v>
      </c>
      <c r="D1164" s="1" t="n">
        <v>11171</v>
      </c>
      <c r="E1164" s="1" t="s">
        <v>55</v>
      </c>
      <c r="F1164" s="201" t="n">
        <v>200025889127</v>
      </c>
      <c r="G1164" s="198" t="s">
        <v>692</v>
      </c>
      <c r="H1164" s="163" t="s">
        <v>507</v>
      </c>
      <c r="I1164" s="161" t="n">
        <v>86</v>
      </c>
      <c r="J1164" s="156" t="s">
        <v>192</v>
      </c>
      <c r="K1164" s="200" t="n">
        <v>45456.6231018519</v>
      </c>
      <c r="L1164" s="3" t="n">
        <v>74</v>
      </c>
      <c r="M1164" s="3" t="n">
        <v>74</v>
      </c>
      <c r="N1164" s="1" t="n">
        <v>19</v>
      </c>
      <c r="O1164" s="1" t="n">
        <v>1</v>
      </c>
    </row>
    <row r="1165" customFormat="false" ht="14.25" hidden="false" customHeight="false" outlineLevel="0" collapsed="false">
      <c r="A1165" s="154" t="n">
        <v>102</v>
      </c>
      <c r="B1165" s="154" t="s">
        <v>681</v>
      </c>
      <c r="C1165" s="154" t="s">
        <v>682</v>
      </c>
      <c r="D1165" s="154" t="n">
        <v>11197</v>
      </c>
      <c r="E1165" s="1" t="s">
        <v>53</v>
      </c>
      <c r="F1165" s="202" t="n">
        <v>200025889159</v>
      </c>
      <c r="G1165" s="198" t="s">
        <v>698</v>
      </c>
      <c r="H1165" s="188" t="s">
        <v>324</v>
      </c>
      <c r="I1165" s="203" t="n">
        <v>20</v>
      </c>
      <c r="J1165" s="204" t="s">
        <v>192</v>
      </c>
      <c r="K1165" s="206" t="n">
        <v>45435.7987152778</v>
      </c>
      <c r="L1165" s="3" t="n">
        <v>75</v>
      </c>
      <c r="M1165" s="3" t="n">
        <v>75</v>
      </c>
      <c r="N1165" s="1" t="n">
        <v>1</v>
      </c>
      <c r="O1165" s="154" t="n">
        <v>0</v>
      </c>
    </row>
    <row r="1166" customFormat="false" ht="14.25" hidden="false" customHeight="false" outlineLevel="0" collapsed="false">
      <c r="A1166" s="154" t="n">
        <v>79</v>
      </c>
      <c r="B1166" s="154" t="s">
        <v>681</v>
      </c>
      <c r="C1166" s="154" t="s">
        <v>682</v>
      </c>
      <c r="D1166" s="154" t="n">
        <v>11197</v>
      </c>
      <c r="E1166" s="1" t="s">
        <v>53</v>
      </c>
      <c r="F1166" s="202" t="n">
        <v>200025889244</v>
      </c>
      <c r="G1166" s="198" t="s">
        <v>699</v>
      </c>
      <c r="H1166" s="188" t="s">
        <v>471</v>
      </c>
      <c r="I1166" s="203" t="n">
        <v>58</v>
      </c>
      <c r="J1166" s="204" t="s">
        <v>192</v>
      </c>
      <c r="K1166" s="205" t="n">
        <v>45435.7987152778</v>
      </c>
      <c r="L1166" s="3" t="n">
        <v>76</v>
      </c>
      <c r="M1166" s="3" t="n">
        <v>76</v>
      </c>
      <c r="N1166" s="1" t="n">
        <v>1</v>
      </c>
      <c r="O1166" s="154" t="n">
        <v>0</v>
      </c>
    </row>
    <row r="1167" customFormat="false" ht="14.25" hidden="false" customHeight="false" outlineLevel="0" collapsed="false">
      <c r="A1167" s="154" t="n">
        <v>94</v>
      </c>
      <c r="B1167" s="154" t="s">
        <v>681</v>
      </c>
      <c r="C1167" s="154" t="s">
        <v>682</v>
      </c>
      <c r="D1167" s="154" t="n">
        <v>11197</v>
      </c>
      <c r="E1167" s="1" t="s">
        <v>53</v>
      </c>
      <c r="F1167" s="202" t="n">
        <v>200025889299</v>
      </c>
      <c r="G1167" s="198" t="s">
        <v>623</v>
      </c>
      <c r="H1167" s="188" t="s">
        <v>516</v>
      </c>
      <c r="I1167" s="203" t="n">
        <v>84</v>
      </c>
      <c r="J1167" s="204" t="s">
        <v>192</v>
      </c>
      <c r="K1167" s="205" t="n">
        <v>45435.7987152778</v>
      </c>
      <c r="L1167" s="3" t="n">
        <v>77</v>
      </c>
      <c r="M1167" s="3" t="n">
        <v>77</v>
      </c>
      <c r="N1167" s="1" t="n">
        <v>1</v>
      </c>
      <c r="O1167" s="154" t="n">
        <v>0</v>
      </c>
    </row>
    <row r="1168" customFormat="false" ht="14.25" hidden="false" customHeight="false" outlineLevel="0" collapsed="false">
      <c r="A1168" s="1" t="n">
        <v>259</v>
      </c>
      <c r="B1168" s="1" t="s">
        <v>621</v>
      </c>
      <c r="C1168" s="1" t="s">
        <v>622</v>
      </c>
      <c r="D1168" s="196" t="n">
        <v>2568</v>
      </c>
      <c r="E1168" s="196" t="s">
        <v>51</v>
      </c>
      <c r="F1168" s="201" t="n">
        <v>200025889375</v>
      </c>
      <c r="G1168" s="198" t="s">
        <v>623</v>
      </c>
      <c r="H1168" s="163" t="s">
        <v>516</v>
      </c>
      <c r="I1168" s="161" t="n">
        <v>84</v>
      </c>
      <c r="J1168" s="156" t="s">
        <v>192</v>
      </c>
      <c r="K1168" s="200" t="n">
        <v>45442.5783217593</v>
      </c>
      <c r="L1168" s="3" t="n">
        <v>77</v>
      </c>
      <c r="M1168" s="3" t="n">
        <v>77</v>
      </c>
      <c r="N1168" s="1" t="n">
        <v>2</v>
      </c>
      <c r="O1168" s="10" t="n">
        <v>7793</v>
      </c>
    </row>
    <row r="1169" customFormat="false" ht="14.25" hidden="false" customHeight="false" outlineLevel="0" collapsed="false">
      <c r="A1169" s="154" t="n">
        <v>86</v>
      </c>
      <c r="B1169" s="154" t="s">
        <v>681</v>
      </c>
      <c r="C1169" s="154" t="s">
        <v>682</v>
      </c>
      <c r="D1169" s="154" t="n">
        <v>11197</v>
      </c>
      <c r="E1169" s="1" t="s">
        <v>53</v>
      </c>
      <c r="F1169" s="202" t="n">
        <v>200025888790</v>
      </c>
      <c r="G1169" s="198" t="s">
        <v>700</v>
      </c>
      <c r="H1169" s="188" t="n">
        <v>31277</v>
      </c>
      <c r="I1169" s="203" t="n">
        <v>99</v>
      </c>
      <c r="J1169" s="204" t="s">
        <v>192</v>
      </c>
      <c r="K1169" s="205" t="n">
        <v>45435.7987152778</v>
      </c>
      <c r="L1169" s="3" t="n">
        <v>78</v>
      </c>
      <c r="M1169" s="3" t="n">
        <v>78</v>
      </c>
      <c r="N1169" s="1" t="n">
        <v>1</v>
      </c>
      <c r="O1169" s="154" t="n">
        <v>0</v>
      </c>
    </row>
    <row r="1170" customFormat="false" ht="14.25" hidden="false" customHeight="false" outlineLevel="0" collapsed="false">
      <c r="A1170" s="154" t="n">
        <v>82</v>
      </c>
      <c r="B1170" s="154" t="s">
        <v>681</v>
      </c>
      <c r="C1170" s="154" t="s">
        <v>682</v>
      </c>
      <c r="D1170" s="154" t="n">
        <v>11197</v>
      </c>
      <c r="E1170" s="1" t="s">
        <v>53</v>
      </c>
      <c r="F1170" s="202" t="n">
        <v>200025889350</v>
      </c>
      <c r="G1170" s="198" t="s">
        <v>614</v>
      </c>
      <c r="H1170" s="188" t="s">
        <v>387</v>
      </c>
      <c r="I1170" s="203" t="n">
        <v>100</v>
      </c>
      <c r="J1170" s="204" t="s">
        <v>192</v>
      </c>
      <c r="K1170" s="205" t="n">
        <v>45435.7987152778</v>
      </c>
      <c r="L1170" s="3" t="n">
        <v>79</v>
      </c>
      <c r="M1170" s="3" t="n">
        <v>79</v>
      </c>
      <c r="N1170" s="1" t="n">
        <v>1</v>
      </c>
      <c r="O1170" s="154" t="n">
        <v>0</v>
      </c>
    </row>
    <row r="1171" customFormat="false" ht="14.25" hidden="false" customHeight="false" outlineLevel="0" collapsed="false">
      <c r="A1171" s="154" t="n">
        <v>95</v>
      </c>
      <c r="B1171" s="154" t="s">
        <v>681</v>
      </c>
      <c r="C1171" s="154" t="s">
        <v>682</v>
      </c>
      <c r="D1171" s="154" t="n">
        <v>11197</v>
      </c>
      <c r="E1171" s="1" t="s">
        <v>53</v>
      </c>
      <c r="F1171" s="202" t="n">
        <v>200025889375</v>
      </c>
      <c r="G1171" s="198" t="s">
        <v>614</v>
      </c>
      <c r="H1171" s="188" t="s">
        <v>387</v>
      </c>
      <c r="I1171" s="203" t="n">
        <v>100</v>
      </c>
      <c r="J1171" s="204" t="s">
        <v>192</v>
      </c>
      <c r="K1171" s="205" t="n">
        <v>45435.7987152778</v>
      </c>
      <c r="L1171" s="3" t="n">
        <v>79</v>
      </c>
      <c r="M1171" s="3" t="n">
        <v>79</v>
      </c>
      <c r="N1171" s="1" t="n">
        <v>2</v>
      </c>
      <c r="O1171" s="154" t="n">
        <v>0</v>
      </c>
    </row>
    <row r="1172" customFormat="false" ht="14.25" hidden="false" customHeight="false" outlineLevel="0" collapsed="false">
      <c r="A1172" s="1" t="n">
        <v>169</v>
      </c>
      <c r="B1172" s="1" t="s">
        <v>565</v>
      </c>
      <c r="C1172" s="1" t="s">
        <v>566</v>
      </c>
      <c r="D1172" s="196" t="n">
        <v>2568</v>
      </c>
      <c r="E1172" s="196" t="s">
        <v>51</v>
      </c>
      <c r="F1172" s="197" t="s">
        <v>613</v>
      </c>
      <c r="G1172" s="198" t="s">
        <v>614</v>
      </c>
      <c r="H1172" s="163" t="s">
        <v>387</v>
      </c>
      <c r="I1172" s="161" t="n">
        <v>100</v>
      </c>
      <c r="J1172" s="156" t="s">
        <v>192</v>
      </c>
      <c r="K1172" s="199" t="n">
        <v>45436.1764814815</v>
      </c>
      <c r="L1172" s="3" t="n">
        <v>79</v>
      </c>
      <c r="M1172" s="3" t="n">
        <v>79</v>
      </c>
      <c r="N1172" s="1" t="n">
        <v>3</v>
      </c>
      <c r="O1172" s="1" t="n">
        <v>0</v>
      </c>
    </row>
    <row r="1173" customFormat="false" ht="14.25" hidden="false" customHeight="false" outlineLevel="0" collapsed="false">
      <c r="A1173" s="1" t="n">
        <v>166</v>
      </c>
      <c r="B1173" s="1" t="s">
        <v>702</v>
      </c>
      <c r="C1173" s="1" t="s">
        <v>703</v>
      </c>
      <c r="D1173" s="1" t="n">
        <v>11197</v>
      </c>
      <c r="E1173" s="1" t="s">
        <v>53</v>
      </c>
      <c r="F1173" s="201" t="n">
        <v>200025888617</v>
      </c>
      <c r="G1173" s="198" t="s">
        <v>614</v>
      </c>
      <c r="H1173" s="163" t="s">
        <v>387</v>
      </c>
      <c r="I1173" s="161" t="n">
        <v>100</v>
      </c>
      <c r="J1173" s="156" t="s">
        <v>192</v>
      </c>
      <c r="K1173" s="200" t="n">
        <v>45452.6926273148</v>
      </c>
      <c r="L1173" s="3" t="n">
        <v>79</v>
      </c>
      <c r="M1173" s="3" t="n">
        <v>79</v>
      </c>
      <c r="N1173" s="1" t="n">
        <v>4</v>
      </c>
      <c r="O1173" s="1" t="n">
        <v>0</v>
      </c>
    </row>
    <row r="1174" customFormat="false" ht="14.25" hidden="false" customHeight="false" outlineLevel="0" collapsed="false">
      <c r="A1174" s="1" t="n">
        <v>167</v>
      </c>
      <c r="B1174" s="1" t="s">
        <v>702</v>
      </c>
      <c r="C1174" s="1" t="s">
        <v>703</v>
      </c>
      <c r="D1174" s="1" t="n">
        <v>11197</v>
      </c>
      <c r="E1174" s="1" t="s">
        <v>53</v>
      </c>
      <c r="F1174" s="201" t="n">
        <v>200025888617</v>
      </c>
      <c r="G1174" s="198" t="s">
        <v>614</v>
      </c>
      <c r="H1174" s="163" t="s">
        <v>387</v>
      </c>
      <c r="I1174" s="161" t="n">
        <v>100</v>
      </c>
      <c r="J1174" s="156" t="s">
        <v>192</v>
      </c>
      <c r="K1174" s="200" t="n">
        <v>45452.6926736111</v>
      </c>
      <c r="L1174" s="3" t="n">
        <v>79</v>
      </c>
      <c r="M1174" s="3" t="n">
        <v>79</v>
      </c>
      <c r="N1174" s="1" t="n">
        <v>5</v>
      </c>
      <c r="O1174" s="1" t="n">
        <v>32</v>
      </c>
    </row>
    <row r="1175" customFormat="false" ht="14.25" hidden="false" customHeight="false" outlineLevel="0" collapsed="false">
      <c r="A1175" s="1" t="n">
        <v>168</v>
      </c>
      <c r="B1175" s="1" t="s">
        <v>702</v>
      </c>
      <c r="C1175" s="1" t="s">
        <v>703</v>
      </c>
      <c r="D1175" s="1" t="n">
        <v>11197</v>
      </c>
      <c r="E1175" s="1" t="s">
        <v>53</v>
      </c>
      <c r="F1175" s="201" t="n">
        <v>200025888617</v>
      </c>
      <c r="G1175" s="198" t="s">
        <v>614</v>
      </c>
      <c r="H1175" s="163" t="s">
        <v>387</v>
      </c>
      <c r="I1175" s="161" t="n">
        <v>100</v>
      </c>
      <c r="J1175" s="156" t="s">
        <v>192</v>
      </c>
      <c r="K1175" s="200" t="n">
        <v>45452.6930439815</v>
      </c>
      <c r="L1175" s="3" t="n">
        <v>79</v>
      </c>
      <c r="M1175" s="3" t="n">
        <v>79</v>
      </c>
      <c r="N1175" s="1" t="n">
        <v>6</v>
      </c>
      <c r="O1175" s="1" t="n">
        <v>2</v>
      </c>
    </row>
    <row r="1176" customFormat="false" ht="14.25" hidden="false" customHeight="false" outlineLevel="0" collapsed="false">
      <c r="A1176" s="1" t="n">
        <v>175</v>
      </c>
      <c r="B1176" s="1" t="s">
        <v>702</v>
      </c>
      <c r="C1176" s="1" t="s">
        <v>703</v>
      </c>
      <c r="D1176" s="1" t="n">
        <v>11197</v>
      </c>
      <c r="E1176" s="1" t="s">
        <v>53</v>
      </c>
      <c r="F1176" s="201" t="n">
        <v>200025888617</v>
      </c>
      <c r="G1176" s="198" t="s">
        <v>614</v>
      </c>
      <c r="H1176" s="163" t="s">
        <v>387</v>
      </c>
      <c r="I1176" s="161" t="n">
        <v>100</v>
      </c>
      <c r="J1176" s="156" t="s">
        <v>192</v>
      </c>
      <c r="K1176" s="200" t="n">
        <v>45452.7761226852</v>
      </c>
      <c r="L1176" s="3" t="n">
        <v>79</v>
      </c>
      <c r="M1176" s="3" t="n">
        <v>79</v>
      </c>
      <c r="N1176" s="1" t="n">
        <v>7</v>
      </c>
      <c r="O1176" s="1" t="n">
        <v>2</v>
      </c>
    </row>
    <row r="1177" customFormat="false" ht="14.25" hidden="false" customHeight="false" outlineLevel="0" collapsed="false">
      <c r="A1177" s="1" t="n">
        <v>183</v>
      </c>
      <c r="B1177" s="1" t="s">
        <v>702</v>
      </c>
      <c r="C1177" s="1" t="s">
        <v>703</v>
      </c>
      <c r="D1177" s="1" t="n">
        <v>11197</v>
      </c>
      <c r="E1177" s="1" t="s">
        <v>53</v>
      </c>
      <c r="F1177" s="201" t="n">
        <v>200025888617</v>
      </c>
      <c r="G1177" s="198" t="s">
        <v>614</v>
      </c>
      <c r="H1177" s="163" t="s">
        <v>387</v>
      </c>
      <c r="I1177" s="161" t="n">
        <v>100</v>
      </c>
      <c r="J1177" s="156" t="s">
        <v>192</v>
      </c>
      <c r="K1177" s="200" t="n">
        <v>45452.8500462963</v>
      </c>
      <c r="L1177" s="3" t="n">
        <v>79</v>
      </c>
      <c r="M1177" s="3" t="n">
        <v>79</v>
      </c>
      <c r="N1177" s="1" t="n">
        <v>8</v>
      </c>
      <c r="O1177" s="1" t="n">
        <v>4</v>
      </c>
    </row>
    <row r="1178" customFormat="false" ht="14.25" hidden="false" customHeight="false" outlineLevel="0" collapsed="false">
      <c r="A1178" s="1" t="n">
        <v>184</v>
      </c>
      <c r="B1178" s="1" t="s">
        <v>702</v>
      </c>
      <c r="C1178" s="1" t="s">
        <v>703</v>
      </c>
      <c r="D1178" s="1" t="n">
        <v>11197</v>
      </c>
      <c r="E1178" s="1" t="s">
        <v>53</v>
      </c>
      <c r="F1178" s="201" t="n">
        <v>200025888617</v>
      </c>
      <c r="G1178" s="198" t="s">
        <v>614</v>
      </c>
      <c r="H1178" s="163" t="s">
        <v>387</v>
      </c>
      <c r="I1178" s="161" t="n">
        <v>100</v>
      </c>
      <c r="J1178" s="156" t="s">
        <v>192</v>
      </c>
      <c r="K1178" s="200" t="n">
        <v>45452.8503587963</v>
      </c>
      <c r="L1178" s="3" t="n">
        <v>79</v>
      </c>
      <c r="M1178" s="3" t="n">
        <v>79</v>
      </c>
      <c r="N1178" s="1" t="n">
        <v>9</v>
      </c>
      <c r="O1178" s="1" t="n">
        <v>2</v>
      </c>
    </row>
    <row r="1179" customFormat="false" ht="14.25" hidden="false" customHeight="false" outlineLevel="0" collapsed="false">
      <c r="A1179" s="1" t="n">
        <v>185</v>
      </c>
      <c r="B1179" s="1" t="s">
        <v>702</v>
      </c>
      <c r="C1179" s="1" t="s">
        <v>703</v>
      </c>
      <c r="D1179" s="1" t="n">
        <v>11197</v>
      </c>
      <c r="E1179" s="1" t="s">
        <v>53</v>
      </c>
      <c r="F1179" s="201" t="n">
        <v>200025888617</v>
      </c>
      <c r="G1179" s="198" t="s">
        <v>614</v>
      </c>
      <c r="H1179" s="163" t="s">
        <v>387</v>
      </c>
      <c r="I1179" s="161" t="n">
        <v>100</v>
      </c>
      <c r="J1179" s="156" t="s">
        <v>192</v>
      </c>
      <c r="K1179" s="200" t="n">
        <v>45452.8508564815</v>
      </c>
      <c r="L1179" s="3" t="n">
        <v>79</v>
      </c>
      <c r="M1179" s="3" t="n">
        <v>79</v>
      </c>
      <c r="N1179" s="1" t="n">
        <v>10</v>
      </c>
      <c r="O1179" s="1" t="n">
        <v>2</v>
      </c>
    </row>
    <row r="1180" customFormat="false" ht="14.25" hidden="false" customHeight="false" outlineLevel="0" collapsed="false">
      <c r="A1180" s="1" t="n">
        <v>186</v>
      </c>
      <c r="B1180" s="1" t="s">
        <v>702</v>
      </c>
      <c r="C1180" s="1" t="s">
        <v>703</v>
      </c>
      <c r="D1180" s="1" t="n">
        <v>11197</v>
      </c>
      <c r="E1180" s="1" t="s">
        <v>53</v>
      </c>
      <c r="F1180" s="201" t="n">
        <v>200025888617</v>
      </c>
      <c r="G1180" s="198" t="s">
        <v>614</v>
      </c>
      <c r="H1180" s="163" t="s">
        <v>387</v>
      </c>
      <c r="I1180" s="161" t="n">
        <v>100</v>
      </c>
      <c r="J1180" s="156" t="s">
        <v>192</v>
      </c>
      <c r="K1180" s="200" t="n">
        <v>45452.8523958333</v>
      </c>
      <c r="L1180" s="3" t="n">
        <v>79</v>
      </c>
      <c r="M1180" s="3" t="n">
        <v>79</v>
      </c>
      <c r="N1180" s="1" t="n">
        <v>11</v>
      </c>
      <c r="O1180" s="1" t="n">
        <v>1</v>
      </c>
    </row>
    <row r="1181" customFormat="false" ht="14.25" hidden="false" customHeight="false" outlineLevel="0" collapsed="false">
      <c r="A1181" s="1" t="n">
        <v>187</v>
      </c>
      <c r="B1181" s="1" t="s">
        <v>702</v>
      </c>
      <c r="C1181" s="1" t="s">
        <v>703</v>
      </c>
      <c r="D1181" s="1" t="n">
        <v>11197</v>
      </c>
      <c r="E1181" s="1" t="s">
        <v>53</v>
      </c>
      <c r="F1181" s="201" t="n">
        <v>200025888617</v>
      </c>
      <c r="G1181" s="198" t="s">
        <v>614</v>
      </c>
      <c r="H1181" s="163" t="s">
        <v>387</v>
      </c>
      <c r="I1181" s="161" t="n">
        <v>100</v>
      </c>
      <c r="J1181" s="156" t="s">
        <v>192</v>
      </c>
      <c r="K1181" s="200" t="n">
        <v>45452.8842013889</v>
      </c>
      <c r="L1181" s="3" t="n">
        <v>79</v>
      </c>
      <c r="M1181" s="3" t="n">
        <v>79</v>
      </c>
      <c r="N1181" s="1" t="n">
        <v>12</v>
      </c>
      <c r="O1181" s="1" t="n">
        <v>1</v>
      </c>
    </row>
    <row r="1182" customFormat="false" ht="14.25" hidden="false" customHeight="false" outlineLevel="0" collapsed="false">
      <c r="A1182" s="1" t="n">
        <v>188</v>
      </c>
      <c r="B1182" s="1" t="s">
        <v>702</v>
      </c>
      <c r="C1182" s="1" t="s">
        <v>703</v>
      </c>
      <c r="D1182" s="1" t="n">
        <v>11197</v>
      </c>
      <c r="E1182" s="1" t="s">
        <v>53</v>
      </c>
      <c r="F1182" s="201" t="n">
        <v>200025888617</v>
      </c>
      <c r="G1182" s="198" t="s">
        <v>614</v>
      </c>
      <c r="H1182" s="163" t="s">
        <v>387</v>
      </c>
      <c r="I1182" s="161" t="n">
        <v>100</v>
      </c>
      <c r="J1182" s="156" t="s">
        <v>192</v>
      </c>
      <c r="K1182" s="200" t="n">
        <v>45452.8847685185</v>
      </c>
      <c r="L1182" s="3" t="n">
        <v>79</v>
      </c>
      <c r="M1182" s="3" t="n">
        <v>79</v>
      </c>
      <c r="N1182" s="1" t="n">
        <v>13</v>
      </c>
      <c r="O1182" s="1" t="n">
        <v>0</v>
      </c>
    </row>
    <row r="1183" customFormat="false" ht="14.25" hidden="false" customHeight="false" outlineLevel="0" collapsed="false">
      <c r="A1183" s="1" t="n">
        <v>189</v>
      </c>
      <c r="B1183" s="1" t="s">
        <v>702</v>
      </c>
      <c r="C1183" s="1" t="s">
        <v>703</v>
      </c>
      <c r="D1183" s="1" t="n">
        <v>11197</v>
      </c>
      <c r="E1183" s="1" t="s">
        <v>53</v>
      </c>
      <c r="F1183" s="201" t="n">
        <v>200025888617</v>
      </c>
      <c r="G1183" s="198" t="s">
        <v>614</v>
      </c>
      <c r="H1183" s="163" t="s">
        <v>387</v>
      </c>
      <c r="I1183" s="161" t="n">
        <v>100</v>
      </c>
      <c r="J1183" s="156" t="s">
        <v>192</v>
      </c>
      <c r="K1183" s="200" t="n">
        <v>45452.885625</v>
      </c>
      <c r="L1183" s="3" t="n">
        <v>79</v>
      </c>
      <c r="M1183" s="3" t="n">
        <v>79</v>
      </c>
      <c r="N1183" s="1" t="n">
        <v>14</v>
      </c>
      <c r="O1183" s="1" t="n">
        <v>3</v>
      </c>
    </row>
    <row r="1184" customFormat="false" ht="14.25" hidden="false" customHeight="false" outlineLevel="0" collapsed="false">
      <c r="A1184" s="1" t="n">
        <v>198</v>
      </c>
      <c r="B1184" s="1" t="s">
        <v>702</v>
      </c>
      <c r="C1184" s="1" t="s">
        <v>703</v>
      </c>
      <c r="D1184" s="1" t="n">
        <v>11197</v>
      </c>
      <c r="E1184" s="1" t="s">
        <v>53</v>
      </c>
      <c r="F1184" s="201" t="n">
        <v>200025888617</v>
      </c>
      <c r="G1184" s="198" t="s">
        <v>614</v>
      </c>
      <c r="H1184" s="163" t="s">
        <v>387</v>
      </c>
      <c r="I1184" s="161" t="n">
        <v>100</v>
      </c>
      <c r="J1184" s="156" t="s">
        <v>192</v>
      </c>
      <c r="K1184" s="200" t="n">
        <v>45452.9383333333</v>
      </c>
      <c r="L1184" s="3" t="n">
        <v>79</v>
      </c>
      <c r="M1184" s="3" t="n">
        <v>79</v>
      </c>
      <c r="N1184" s="1" t="n">
        <v>15</v>
      </c>
      <c r="O1184" s="1" t="n">
        <v>1</v>
      </c>
    </row>
    <row r="1185" customFormat="false" ht="14.25" hidden="false" customHeight="false" outlineLevel="0" collapsed="false">
      <c r="A1185" s="1" t="n">
        <v>203</v>
      </c>
      <c r="B1185" s="1" t="s">
        <v>702</v>
      </c>
      <c r="C1185" s="1" t="s">
        <v>703</v>
      </c>
      <c r="D1185" s="1" t="n">
        <v>11197</v>
      </c>
      <c r="E1185" s="1" t="s">
        <v>53</v>
      </c>
      <c r="F1185" s="201" t="n">
        <v>200025888617</v>
      </c>
      <c r="G1185" s="198" t="s">
        <v>614</v>
      </c>
      <c r="H1185" s="163" t="s">
        <v>387</v>
      </c>
      <c r="I1185" s="161" t="n">
        <v>100</v>
      </c>
      <c r="J1185" s="156" t="s">
        <v>192</v>
      </c>
      <c r="K1185" s="200" t="n">
        <v>45453.0035648148</v>
      </c>
      <c r="L1185" s="3" t="n">
        <v>79</v>
      </c>
      <c r="M1185" s="3" t="n">
        <v>79</v>
      </c>
      <c r="N1185" s="1" t="n">
        <v>16</v>
      </c>
      <c r="O1185" s="1" t="n">
        <v>1</v>
      </c>
    </row>
    <row r="1186" customFormat="false" ht="14.25" hidden="false" customHeight="false" outlineLevel="0" collapsed="false">
      <c r="A1186" s="1" t="n">
        <v>204</v>
      </c>
      <c r="B1186" s="1" t="s">
        <v>702</v>
      </c>
      <c r="C1186" s="1" t="s">
        <v>703</v>
      </c>
      <c r="D1186" s="1" t="n">
        <v>11197</v>
      </c>
      <c r="E1186" s="1" t="s">
        <v>53</v>
      </c>
      <c r="F1186" s="201" t="n">
        <v>200025888617</v>
      </c>
      <c r="G1186" s="198" t="s">
        <v>614</v>
      </c>
      <c r="H1186" s="163" t="s">
        <v>387</v>
      </c>
      <c r="I1186" s="161" t="n">
        <v>100</v>
      </c>
      <c r="J1186" s="156" t="s">
        <v>192</v>
      </c>
      <c r="K1186" s="200" t="n">
        <v>45453.004525463</v>
      </c>
      <c r="L1186" s="3" t="n">
        <v>79</v>
      </c>
      <c r="M1186" s="3" t="n">
        <v>79</v>
      </c>
      <c r="N1186" s="1" t="n">
        <v>17</v>
      </c>
      <c r="O1186" s="1" t="n">
        <v>0</v>
      </c>
    </row>
    <row r="1187" customFormat="false" ht="14.25" hidden="false" customHeight="false" outlineLevel="0" collapsed="false">
      <c r="A1187" s="1" t="n">
        <v>205</v>
      </c>
      <c r="B1187" s="1" t="s">
        <v>702</v>
      </c>
      <c r="C1187" s="1" t="s">
        <v>703</v>
      </c>
      <c r="D1187" s="1" t="n">
        <v>11197</v>
      </c>
      <c r="E1187" s="1" t="s">
        <v>53</v>
      </c>
      <c r="F1187" s="201" t="n">
        <v>200025888617</v>
      </c>
      <c r="G1187" s="198" t="s">
        <v>614</v>
      </c>
      <c r="H1187" s="163" t="s">
        <v>387</v>
      </c>
      <c r="I1187" s="161" t="n">
        <v>100</v>
      </c>
      <c r="J1187" s="156" t="s">
        <v>192</v>
      </c>
      <c r="K1187" s="200" t="n">
        <v>45453.0045486111</v>
      </c>
      <c r="L1187" s="3" t="n">
        <v>79</v>
      </c>
      <c r="M1187" s="3" t="n">
        <v>79</v>
      </c>
      <c r="N1187" s="1" t="n">
        <v>18</v>
      </c>
      <c r="O1187" s="1" t="n">
        <v>0</v>
      </c>
    </row>
    <row r="1188" customFormat="false" ht="14.25" hidden="false" customHeight="false" outlineLevel="0" collapsed="false">
      <c r="A1188" s="1" t="n">
        <v>206</v>
      </c>
      <c r="B1188" s="1" t="s">
        <v>702</v>
      </c>
      <c r="C1188" s="1" t="s">
        <v>703</v>
      </c>
      <c r="D1188" s="1" t="n">
        <v>11197</v>
      </c>
      <c r="E1188" s="1" t="s">
        <v>53</v>
      </c>
      <c r="F1188" s="201" t="n">
        <v>200025888617</v>
      </c>
      <c r="G1188" s="198" t="s">
        <v>614</v>
      </c>
      <c r="H1188" s="163" t="s">
        <v>387</v>
      </c>
      <c r="I1188" s="161" t="n">
        <v>100</v>
      </c>
      <c r="J1188" s="156" t="s">
        <v>192</v>
      </c>
      <c r="K1188" s="200" t="n">
        <v>45453.0062037037</v>
      </c>
      <c r="L1188" s="3" t="n">
        <v>79</v>
      </c>
      <c r="M1188" s="3" t="n">
        <v>79</v>
      </c>
      <c r="N1188" s="1" t="n">
        <v>19</v>
      </c>
      <c r="O1188" s="1" t="n">
        <v>2</v>
      </c>
    </row>
    <row r="1189" customFormat="false" ht="14.25" hidden="false" customHeight="false" outlineLevel="0" collapsed="false">
      <c r="A1189" s="1" t="n">
        <v>186</v>
      </c>
      <c r="B1189" s="1" t="s">
        <v>565</v>
      </c>
      <c r="C1189" s="1" t="s">
        <v>566</v>
      </c>
      <c r="D1189" s="1" t="n">
        <v>11171</v>
      </c>
      <c r="E1189" s="1" t="s">
        <v>55</v>
      </c>
      <c r="F1189" s="198" t="n">
        <v>200025888617</v>
      </c>
      <c r="G1189" s="198" t="s">
        <v>614</v>
      </c>
      <c r="H1189" s="163" t="s">
        <v>387</v>
      </c>
      <c r="I1189" s="161" t="n">
        <v>100</v>
      </c>
      <c r="J1189" s="156" t="s">
        <v>192</v>
      </c>
      <c r="K1189" s="199" t="n">
        <v>45453.013912037</v>
      </c>
      <c r="L1189" s="3" t="n">
        <v>79</v>
      </c>
      <c r="M1189" s="3" t="n">
        <v>79</v>
      </c>
      <c r="N1189" s="1" t="n">
        <v>20</v>
      </c>
      <c r="O1189" s="1" t="n">
        <v>2</v>
      </c>
    </row>
    <row r="1190" customFormat="false" ht="14.25" hidden="false" customHeight="false" outlineLevel="0" collapsed="false">
      <c r="A1190" s="1" t="n">
        <v>187</v>
      </c>
      <c r="B1190" s="1" t="s">
        <v>565</v>
      </c>
      <c r="C1190" s="1" t="s">
        <v>566</v>
      </c>
      <c r="D1190" s="1" t="n">
        <v>11171</v>
      </c>
      <c r="E1190" s="1" t="s">
        <v>55</v>
      </c>
      <c r="F1190" s="198" t="n">
        <v>200025888617</v>
      </c>
      <c r="G1190" s="198" t="s">
        <v>614</v>
      </c>
      <c r="H1190" s="163" t="s">
        <v>387</v>
      </c>
      <c r="I1190" s="161" t="n">
        <v>100</v>
      </c>
      <c r="J1190" s="156" t="s">
        <v>192</v>
      </c>
      <c r="K1190" s="199" t="n">
        <v>45453.0141782407</v>
      </c>
      <c r="L1190" s="3" t="n">
        <v>79</v>
      </c>
      <c r="M1190" s="3" t="n">
        <v>79</v>
      </c>
      <c r="N1190" s="1" t="n">
        <v>21</v>
      </c>
      <c r="O1190" s="1" t="n">
        <v>0</v>
      </c>
    </row>
    <row r="1191" customFormat="false" ht="14.25" hidden="false" customHeight="false" outlineLevel="0" collapsed="false">
      <c r="A1191" s="1" t="n">
        <v>188</v>
      </c>
      <c r="B1191" s="1" t="s">
        <v>565</v>
      </c>
      <c r="C1191" s="1" t="s">
        <v>566</v>
      </c>
      <c r="D1191" s="1" t="n">
        <v>11171</v>
      </c>
      <c r="E1191" s="1" t="s">
        <v>55</v>
      </c>
      <c r="F1191" s="198" t="n">
        <v>200025888617</v>
      </c>
      <c r="G1191" s="198" t="s">
        <v>614</v>
      </c>
      <c r="H1191" s="163" t="s">
        <v>387</v>
      </c>
      <c r="I1191" s="161" t="n">
        <v>100</v>
      </c>
      <c r="J1191" s="156" t="s">
        <v>192</v>
      </c>
      <c r="K1191" s="199" t="n">
        <v>45453.0145023148</v>
      </c>
      <c r="L1191" s="3" t="n">
        <v>79</v>
      </c>
      <c r="M1191" s="3" t="n">
        <v>79</v>
      </c>
      <c r="N1191" s="1" t="n">
        <v>22</v>
      </c>
      <c r="O1191" s="1" t="n">
        <v>1</v>
      </c>
    </row>
    <row r="1192" customFormat="false" ht="14.25" hidden="false" customHeight="false" outlineLevel="0" collapsed="false">
      <c r="A1192" s="1" t="n">
        <v>189</v>
      </c>
      <c r="B1192" s="1" t="s">
        <v>565</v>
      </c>
      <c r="C1192" s="1" t="s">
        <v>566</v>
      </c>
      <c r="D1192" s="1" t="n">
        <v>11171</v>
      </c>
      <c r="E1192" s="1" t="s">
        <v>55</v>
      </c>
      <c r="F1192" s="198" t="n">
        <v>200025888617</v>
      </c>
      <c r="G1192" s="198" t="s">
        <v>614</v>
      </c>
      <c r="H1192" s="163" t="s">
        <v>387</v>
      </c>
      <c r="I1192" s="161" t="n">
        <v>100</v>
      </c>
      <c r="J1192" s="156" t="s">
        <v>192</v>
      </c>
      <c r="K1192" s="199" t="n">
        <v>45453.0146296296</v>
      </c>
      <c r="L1192" s="3" t="n">
        <v>79</v>
      </c>
      <c r="M1192" s="3" t="n">
        <v>79</v>
      </c>
      <c r="N1192" s="1" t="n">
        <v>23</v>
      </c>
      <c r="O1192" s="1" t="n">
        <v>1</v>
      </c>
    </row>
    <row r="1193" customFormat="false" ht="14.25" hidden="false" customHeight="false" outlineLevel="0" collapsed="false">
      <c r="A1193" s="1" t="n">
        <v>190</v>
      </c>
      <c r="B1193" s="1" t="s">
        <v>565</v>
      </c>
      <c r="C1193" s="1" t="s">
        <v>566</v>
      </c>
      <c r="D1193" s="1" t="n">
        <v>11171</v>
      </c>
      <c r="E1193" s="1" t="s">
        <v>55</v>
      </c>
      <c r="F1193" s="198" t="n">
        <v>200025888617</v>
      </c>
      <c r="G1193" s="198" t="s">
        <v>614</v>
      </c>
      <c r="H1193" s="163" t="s">
        <v>387</v>
      </c>
      <c r="I1193" s="161" t="n">
        <v>100</v>
      </c>
      <c r="J1193" s="156" t="s">
        <v>192</v>
      </c>
      <c r="K1193" s="199" t="n">
        <v>45453.0149768519</v>
      </c>
      <c r="L1193" s="3" t="n">
        <v>79</v>
      </c>
      <c r="M1193" s="3" t="n">
        <v>79</v>
      </c>
      <c r="N1193" s="1" t="n">
        <v>24</v>
      </c>
      <c r="O1193" s="1" t="n">
        <v>0</v>
      </c>
    </row>
    <row r="1194" customFormat="false" ht="14.25" hidden="false" customHeight="false" outlineLevel="0" collapsed="false">
      <c r="A1194" s="1" t="n">
        <v>194</v>
      </c>
      <c r="B1194" s="1" t="s">
        <v>565</v>
      </c>
      <c r="C1194" s="1" t="s">
        <v>566</v>
      </c>
      <c r="D1194" s="1" t="n">
        <v>11171</v>
      </c>
      <c r="E1194" s="1" t="s">
        <v>55</v>
      </c>
      <c r="F1194" s="198" t="n">
        <v>200025888617</v>
      </c>
      <c r="G1194" s="198" t="s">
        <v>614</v>
      </c>
      <c r="H1194" s="163" t="s">
        <v>387</v>
      </c>
      <c r="I1194" s="161" t="n">
        <v>100</v>
      </c>
      <c r="J1194" s="156" t="s">
        <v>192</v>
      </c>
      <c r="K1194" s="199" t="n">
        <v>45453.0180208333</v>
      </c>
      <c r="L1194" s="3" t="n">
        <v>79</v>
      </c>
      <c r="M1194" s="3" t="n">
        <v>79</v>
      </c>
      <c r="N1194" s="1" t="n">
        <v>25</v>
      </c>
      <c r="O1194" s="1" t="n">
        <v>0</v>
      </c>
    </row>
    <row r="1195" customFormat="false" ht="14.25" hidden="false" customHeight="false" outlineLevel="0" collapsed="false">
      <c r="A1195" s="1" t="n">
        <v>195</v>
      </c>
      <c r="B1195" s="1" t="s">
        <v>565</v>
      </c>
      <c r="C1195" s="1" t="s">
        <v>566</v>
      </c>
      <c r="D1195" s="1" t="n">
        <v>11171</v>
      </c>
      <c r="E1195" s="1" t="s">
        <v>55</v>
      </c>
      <c r="F1195" s="198" t="n">
        <v>200025888617</v>
      </c>
      <c r="G1195" s="198" t="s">
        <v>614</v>
      </c>
      <c r="H1195" s="163" t="s">
        <v>387</v>
      </c>
      <c r="I1195" s="161" t="n">
        <v>100</v>
      </c>
      <c r="J1195" s="156" t="s">
        <v>192</v>
      </c>
      <c r="K1195" s="199" t="n">
        <v>45453.018125</v>
      </c>
      <c r="L1195" s="3" t="n">
        <v>79</v>
      </c>
      <c r="M1195" s="3" t="n">
        <v>79</v>
      </c>
      <c r="N1195" s="1" t="n">
        <v>26</v>
      </c>
      <c r="O1195" s="1" t="n">
        <v>1</v>
      </c>
    </row>
    <row r="1196" customFormat="false" ht="14.25" hidden="false" customHeight="false" outlineLevel="0" collapsed="false">
      <c r="A1196" s="1" t="n">
        <v>196</v>
      </c>
      <c r="B1196" s="1" t="s">
        <v>565</v>
      </c>
      <c r="C1196" s="1" t="s">
        <v>566</v>
      </c>
      <c r="D1196" s="1" t="n">
        <v>11171</v>
      </c>
      <c r="E1196" s="1" t="s">
        <v>55</v>
      </c>
      <c r="F1196" s="198" t="n">
        <v>200025888617</v>
      </c>
      <c r="G1196" s="198" t="s">
        <v>614</v>
      </c>
      <c r="H1196" s="163" t="s">
        <v>387</v>
      </c>
      <c r="I1196" s="161" t="n">
        <v>100</v>
      </c>
      <c r="J1196" s="156" t="s">
        <v>192</v>
      </c>
      <c r="K1196" s="199" t="n">
        <v>45453.0182523148</v>
      </c>
      <c r="L1196" s="3" t="n">
        <v>79</v>
      </c>
      <c r="M1196" s="3" t="n">
        <v>79</v>
      </c>
      <c r="N1196" s="1" t="n">
        <v>27</v>
      </c>
      <c r="O1196" s="1" t="n">
        <v>0</v>
      </c>
    </row>
    <row r="1197" customFormat="false" ht="14.25" hidden="false" customHeight="false" outlineLevel="0" collapsed="false">
      <c r="A1197" s="1" t="n">
        <v>197</v>
      </c>
      <c r="B1197" s="1" t="s">
        <v>565</v>
      </c>
      <c r="C1197" s="1" t="s">
        <v>566</v>
      </c>
      <c r="D1197" s="1" t="n">
        <v>11171</v>
      </c>
      <c r="E1197" s="1" t="s">
        <v>55</v>
      </c>
      <c r="F1197" s="198" t="n">
        <v>200025888617</v>
      </c>
      <c r="G1197" s="198" t="s">
        <v>614</v>
      </c>
      <c r="H1197" s="163" t="s">
        <v>387</v>
      </c>
      <c r="I1197" s="161" t="n">
        <v>100</v>
      </c>
      <c r="J1197" s="156" t="s">
        <v>192</v>
      </c>
      <c r="K1197" s="199" t="n">
        <v>45453.0182638889</v>
      </c>
      <c r="L1197" s="3" t="n">
        <v>79</v>
      </c>
      <c r="M1197" s="3" t="n">
        <v>79</v>
      </c>
      <c r="N1197" s="1" t="n">
        <v>28</v>
      </c>
      <c r="O1197" s="1" t="n">
        <v>29</v>
      </c>
    </row>
    <row r="1198" customFormat="false" ht="14.25" hidden="false" customHeight="false" outlineLevel="0" collapsed="false">
      <c r="A1198" s="1" t="n">
        <v>198</v>
      </c>
      <c r="B1198" s="1" t="s">
        <v>565</v>
      </c>
      <c r="C1198" s="1" t="s">
        <v>566</v>
      </c>
      <c r="D1198" s="1" t="n">
        <v>11171</v>
      </c>
      <c r="E1198" s="1" t="s">
        <v>55</v>
      </c>
      <c r="F1198" s="198" t="n">
        <v>200025888617</v>
      </c>
      <c r="G1198" s="198" t="s">
        <v>614</v>
      </c>
      <c r="H1198" s="163" t="s">
        <v>387</v>
      </c>
      <c r="I1198" s="161" t="n">
        <v>100</v>
      </c>
      <c r="J1198" s="156" t="s">
        <v>192</v>
      </c>
      <c r="K1198" s="199" t="n">
        <v>45453.018900463</v>
      </c>
      <c r="L1198" s="3" t="n">
        <v>79</v>
      </c>
      <c r="M1198" s="3" t="n">
        <v>79</v>
      </c>
      <c r="N1198" s="1" t="n">
        <v>29</v>
      </c>
      <c r="O1198" s="1" t="n">
        <v>1</v>
      </c>
    </row>
    <row r="1199" customFormat="false" ht="14.25" hidden="false" customHeight="false" outlineLevel="0" collapsed="false">
      <c r="A1199" s="1" t="n">
        <v>199</v>
      </c>
      <c r="B1199" s="1" t="s">
        <v>565</v>
      </c>
      <c r="C1199" s="1" t="s">
        <v>566</v>
      </c>
      <c r="D1199" s="1" t="n">
        <v>11171</v>
      </c>
      <c r="E1199" s="1" t="s">
        <v>55</v>
      </c>
      <c r="F1199" s="198" t="n">
        <v>200025888617</v>
      </c>
      <c r="G1199" s="198" t="s">
        <v>614</v>
      </c>
      <c r="H1199" s="163" t="s">
        <v>387</v>
      </c>
      <c r="I1199" s="161" t="n">
        <v>100</v>
      </c>
      <c r="J1199" s="156" t="s">
        <v>192</v>
      </c>
      <c r="K1199" s="199" t="n">
        <v>45453.0212731482</v>
      </c>
      <c r="L1199" s="3" t="n">
        <v>79</v>
      </c>
      <c r="M1199" s="3" t="n">
        <v>79</v>
      </c>
      <c r="N1199" s="1" t="n">
        <v>30</v>
      </c>
      <c r="O1199" s="1" t="n">
        <v>0</v>
      </c>
    </row>
    <row r="1200" customFormat="false" ht="14.25" hidden="false" customHeight="false" outlineLevel="0" collapsed="false">
      <c r="A1200" s="1" t="n">
        <v>210</v>
      </c>
      <c r="B1200" s="1" t="s">
        <v>702</v>
      </c>
      <c r="C1200" s="1" t="s">
        <v>703</v>
      </c>
      <c r="D1200" s="1" t="n">
        <v>11197</v>
      </c>
      <c r="E1200" s="1" t="s">
        <v>53</v>
      </c>
      <c r="F1200" s="201" t="n">
        <v>200025888617</v>
      </c>
      <c r="G1200" s="198" t="s">
        <v>614</v>
      </c>
      <c r="H1200" s="163" t="s">
        <v>387</v>
      </c>
      <c r="I1200" s="161" t="n">
        <v>100</v>
      </c>
      <c r="J1200" s="156" t="s">
        <v>192</v>
      </c>
      <c r="K1200" s="200" t="n">
        <v>45453.0271527778</v>
      </c>
      <c r="L1200" s="3" t="n">
        <v>79</v>
      </c>
      <c r="M1200" s="3" t="n">
        <v>79</v>
      </c>
      <c r="N1200" s="1" t="n">
        <v>31</v>
      </c>
      <c r="O1200" s="1" t="n">
        <v>0</v>
      </c>
    </row>
    <row r="1201" customFormat="false" ht="14.25" hidden="false" customHeight="false" outlineLevel="0" collapsed="false">
      <c r="A1201" s="1" t="n">
        <v>211</v>
      </c>
      <c r="B1201" s="1" t="s">
        <v>702</v>
      </c>
      <c r="C1201" s="1" t="s">
        <v>703</v>
      </c>
      <c r="D1201" s="1" t="n">
        <v>11197</v>
      </c>
      <c r="E1201" s="1" t="s">
        <v>53</v>
      </c>
      <c r="F1201" s="201" t="n">
        <v>200025888617</v>
      </c>
      <c r="G1201" s="198" t="s">
        <v>614</v>
      </c>
      <c r="H1201" s="163" t="s">
        <v>387</v>
      </c>
      <c r="I1201" s="161" t="n">
        <v>100</v>
      </c>
      <c r="J1201" s="156" t="s">
        <v>192</v>
      </c>
      <c r="K1201" s="200" t="n">
        <v>45453.0275</v>
      </c>
      <c r="L1201" s="3" t="n">
        <v>79</v>
      </c>
      <c r="M1201" s="3" t="n">
        <v>79</v>
      </c>
      <c r="N1201" s="1" t="n">
        <v>32</v>
      </c>
      <c r="O1201" s="1" t="n">
        <v>1</v>
      </c>
    </row>
    <row r="1202" customFormat="false" ht="14.25" hidden="false" customHeight="false" outlineLevel="0" collapsed="false">
      <c r="A1202" s="1" t="n">
        <v>203</v>
      </c>
      <c r="B1202" s="1" t="s">
        <v>565</v>
      </c>
      <c r="C1202" s="1" t="s">
        <v>566</v>
      </c>
      <c r="D1202" s="1" t="n">
        <v>11171</v>
      </c>
      <c r="E1202" s="1" t="s">
        <v>55</v>
      </c>
      <c r="F1202" s="198" t="n">
        <v>200025888617</v>
      </c>
      <c r="G1202" s="198" t="s">
        <v>614</v>
      </c>
      <c r="H1202" s="163" t="s">
        <v>387</v>
      </c>
      <c r="I1202" s="161" t="n">
        <v>100</v>
      </c>
      <c r="J1202" s="156" t="s">
        <v>192</v>
      </c>
      <c r="K1202" s="199" t="n">
        <v>45453.0328587963</v>
      </c>
      <c r="L1202" s="3" t="n">
        <v>79</v>
      </c>
      <c r="M1202" s="3" t="n">
        <v>79</v>
      </c>
      <c r="N1202" s="1" t="n">
        <v>33</v>
      </c>
      <c r="O1202" s="1" t="n">
        <v>20</v>
      </c>
    </row>
    <row r="1203" customFormat="false" ht="14.25" hidden="false" customHeight="false" outlineLevel="0" collapsed="false">
      <c r="A1203" s="1" t="n">
        <v>204</v>
      </c>
      <c r="B1203" s="1" t="s">
        <v>565</v>
      </c>
      <c r="C1203" s="1" t="s">
        <v>566</v>
      </c>
      <c r="D1203" s="1" t="n">
        <v>11171</v>
      </c>
      <c r="E1203" s="1" t="s">
        <v>55</v>
      </c>
      <c r="F1203" s="198" t="n">
        <v>200025888617</v>
      </c>
      <c r="G1203" s="198" t="s">
        <v>614</v>
      </c>
      <c r="H1203" s="163" t="s">
        <v>387</v>
      </c>
      <c r="I1203" s="161" t="n">
        <v>100</v>
      </c>
      <c r="J1203" s="156" t="s">
        <v>192</v>
      </c>
      <c r="K1203" s="199" t="n">
        <v>45453.0330902778</v>
      </c>
      <c r="L1203" s="3" t="n">
        <v>79</v>
      </c>
      <c r="M1203" s="3" t="n">
        <v>79</v>
      </c>
      <c r="N1203" s="1" t="n">
        <v>34</v>
      </c>
      <c r="O1203" s="1" t="n">
        <v>1</v>
      </c>
    </row>
    <row r="1204" customFormat="false" ht="14.25" hidden="false" customHeight="false" outlineLevel="0" collapsed="false">
      <c r="A1204" s="1" t="n">
        <v>205</v>
      </c>
      <c r="B1204" s="1" t="s">
        <v>565</v>
      </c>
      <c r="C1204" s="1" t="s">
        <v>566</v>
      </c>
      <c r="D1204" s="1" t="n">
        <v>11171</v>
      </c>
      <c r="E1204" s="1" t="s">
        <v>55</v>
      </c>
      <c r="F1204" s="198" t="n">
        <v>200025888617</v>
      </c>
      <c r="G1204" s="198" t="s">
        <v>614</v>
      </c>
      <c r="H1204" s="163" t="s">
        <v>387</v>
      </c>
      <c r="I1204" s="161" t="n">
        <v>100</v>
      </c>
      <c r="J1204" s="156" t="s">
        <v>192</v>
      </c>
      <c r="K1204" s="199" t="n">
        <v>45453.0335763889</v>
      </c>
      <c r="L1204" s="3" t="n">
        <v>79</v>
      </c>
      <c r="M1204" s="3" t="n">
        <v>79</v>
      </c>
      <c r="N1204" s="1" t="n">
        <v>35</v>
      </c>
      <c r="O1204" s="1" t="n">
        <v>2</v>
      </c>
    </row>
    <row r="1205" customFormat="false" ht="14.25" hidden="false" customHeight="false" outlineLevel="0" collapsed="false">
      <c r="A1205" s="1" t="n">
        <v>206</v>
      </c>
      <c r="B1205" s="1" t="s">
        <v>565</v>
      </c>
      <c r="C1205" s="1" t="s">
        <v>566</v>
      </c>
      <c r="D1205" s="1" t="n">
        <v>11171</v>
      </c>
      <c r="E1205" s="1" t="s">
        <v>55</v>
      </c>
      <c r="F1205" s="198" t="n">
        <v>200025888617</v>
      </c>
      <c r="G1205" s="198" t="s">
        <v>614</v>
      </c>
      <c r="H1205" s="163" t="s">
        <v>387</v>
      </c>
      <c r="I1205" s="161" t="n">
        <v>100</v>
      </c>
      <c r="J1205" s="156" t="s">
        <v>192</v>
      </c>
      <c r="K1205" s="199" t="n">
        <v>45453.0344791667</v>
      </c>
      <c r="L1205" s="3" t="n">
        <v>79</v>
      </c>
      <c r="M1205" s="3" t="n">
        <v>79</v>
      </c>
      <c r="N1205" s="1" t="n">
        <v>36</v>
      </c>
      <c r="O1205" s="1" t="n">
        <v>1</v>
      </c>
    </row>
    <row r="1206" customFormat="false" ht="14.25" hidden="false" customHeight="false" outlineLevel="0" collapsed="false">
      <c r="A1206" s="1" t="n">
        <v>207</v>
      </c>
      <c r="B1206" s="1" t="s">
        <v>565</v>
      </c>
      <c r="C1206" s="1" t="s">
        <v>566</v>
      </c>
      <c r="D1206" s="1" t="n">
        <v>11171</v>
      </c>
      <c r="E1206" s="1" t="s">
        <v>55</v>
      </c>
      <c r="F1206" s="198" t="n">
        <v>200025888617</v>
      </c>
      <c r="G1206" s="198" t="s">
        <v>614</v>
      </c>
      <c r="H1206" s="163" t="s">
        <v>387</v>
      </c>
      <c r="I1206" s="161" t="n">
        <v>100</v>
      </c>
      <c r="J1206" s="156" t="s">
        <v>192</v>
      </c>
      <c r="K1206" s="199" t="n">
        <v>45453.0993634259</v>
      </c>
      <c r="L1206" s="3" t="n">
        <v>79</v>
      </c>
      <c r="M1206" s="3" t="n">
        <v>79</v>
      </c>
      <c r="N1206" s="1" t="n">
        <v>37</v>
      </c>
      <c r="O1206" s="1" t="n">
        <v>1</v>
      </c>
    </row>
    <row r="1207" customFormat="false" ht="14.25" hidden="false" customHeight="false" outlineLevel="0" collapsed="false">
      <c r="A1207" s="1" t="n">
        <v>208</v>
      </c>
      <c r="B1207" s="1" t="s">
        <v>565</v>
      </c>
      <c r="C1207" s="1" t="s">
        <v>566</v>
      </c>
      <c r="D1207" s="1" t="n">
        <v>11171</v>
      </c>
      <c r="E1207" s="1" t="s">
        <v>55</v>
      </c>
      <c r="F1207" s="198" t="n">
        <v>200025888617</v>
      </c>
      <c r="G1207" s="198" t="s">
        <v>614</v>
      </c>
      <c r="H1207" s="163" t="s">
        <v>387</v>
      </c>
      <c r="I1207" s="161" t="n">
        <v>100</v>
      </c>
      <c r="J1207" s="156" t="s">
        <v>192</v>
      </c>
      <c r="K1207" s="199" t="n">
        <v>45453.1023842593</v>
      </c>
      <c r="L1207" s="3" t="n">
        <v>79</v>
      </c>
      <c r="M1207" s="3" t="n">
        <v>79</v>
      </c>
      <c r="N1207" s="1" t="n">
        <v>38</v>
      </c>
      <c r="O1207" s="1" t="n">
        <v>0</v>
      </c>
    </row>
    <row r="1208" customFormat="false" ht="14.25" hidden="false" customHeight="false" outlineLevel="0" collapsed="false">
      <c r="A1208" s="1" t="n">
        <v>209</v>
      </c>
      <c r="B1208" s="1" t="s">
        <v>565</v>
      </c>
      <c r="C1208" s="1" t="s">
        <v>566</v>
      </c>
      <c r="D1208" s="1" t="n">
        <v>11171</v>
      </c>
      <c r="E1208" s="1" t="s">
        <v>55</v>
      </c>
      <c r="F1208" s="198" t="n">
        <v>200025888617</v>
      </c>
      <c r="G1208" s="198" t="s">
        <v>614</v>
      </c>
      <c r="H1208" s="163" t="s">
        <v>387</v>
      </c>
      <c r="I1208" s="161" t="n">
        <v>100</v>
      </c>
      <c r="J1208" s="156" t="s">
        <v>192</v>
      </c>
      <c r="K1208" s="199" t="n">
        <v>45453.1023842593</v>
      </c>
      <c r="L1208" s="3" t="n">
        <v>79</v>
      </c>
      <c r="M1208" s="3" t="n">
        <v>79</v>
      </c>
      <c r="N1208" s="1" t="n">
        <v>39</v>
      </c>
      <c r="O1208" s="1" t="n">
        <v>1</v>
      </c>
    </row>
    <row r="1209" customFormat="false" ht="14.25" hidden="false" customHeight="false" outlineLevel="0" collapsed="false">
      <c r="A1209" s="1" t="n">
        <v>210</v>
      </c>
      <c r="B1209" s="1" t="s">
        <v>565</v>
      </c>
      <c r="C1209" s="1" t="s">
        <v>566</v>
      </c>
      <c r="D1209" s="1" t="n">
        <v>11171</v>
      </c>
      <c r="E1209" s="1" t="s">
        <v>55</v>
      </c>
      <c r="F1209" s="198" t="n">
        <v>200025888617</v>
      </c>
      <c r="G1209" s="198" t="s">
        <v>614</v>
      </c>
      <c r="H1209" s="163" t="s">
        <v>387</v>
      </c>
      <c r="I1209" s="161" t="n">
        <v>100</v>
      </c>
      <c r="J1209" s="156" t="s">
        <v>192</v>
      </c>
      <c r="K1209" s="199" t="n">
        <v>45453.102650463</v>
      </c>
      <c r="L1209" s="3" t="n">
        <v>79</v>
      </c>
      <c r="M1209" s="3" t="n">
        <v>79</v>
      </c>
      <c r="N1209" s="1" t="n">
        <v>40</v>
      </c>
      <c r="O1209" s="1" t="n">
        <v>2</v>
      </c>
    </row>
    <row r="1210" customFormat="false" ht="14.25" hidden="false" customHeight="false" outlineLevel="0" collapsed="false">
      <c r="A1210" s="1" t="n">
        <v>211</v>
      </c>
      <c r="B1210" s="1" t="s">
        <v>565</v>
      </c>
      <c r="C1210" s="1" t="s">
        <v>566</v>
      </c>
      <c r="D1210" s="1" t="n">
        <v>11171</v>
      </c>
      <c r="E1210" s="1" t="s">
        <v>55</v>
      </c>
      <c r="F1210" s="198" t="n">
        <v>200025888617</v>
      </c>
      <c r="G1210" s="198" t="s">
        <v>614</v>
      </c>
      <c r="H1210" s="163" t="s">
        <v>387</v>
      </c>
      <c r="I1210" s="161" t="n">
        <v>100</v>
      </c>
      <c r="J1210" s="156" t="s">
        <v>192</v>
      </c>
      <c r="K1210" s="199" t="n">
        <v>45453.1028472222</v>
      </c>
      <c r="L1210" s="3" t="n">
        <v>79</v>
      </c>
      <c r="M1210" s="3" t="n">
        <v>79</v>
      </c>
      <c r="N1210" s="1" t="n">
        <v>41</v>
      </c>
      <c r="O1210" s="1" t="n">
        <v>0</v>
      </c>
    </row>
    <row r="1211" customFormat="false" ht="14.25" hidden="false" customHeight="false" outlineLevel="0" collapsed="false">
      <c r="A1211" s="154" t="n">
        <v>96</v>
      </c>
      <c r="B1211" s="154" t="s">
        <v>681</v>
      </c>
      <c r="C1211" s="154" t="s">
        <v>682</v>
      </c>
      <c r="D1211" s="154" t="n">
        <v>11197</v>
      </c>
      <c r="E1211" s="1" t="s">
        <v>53</v>
      </c>
      <c r="F1211" s="202" t="n">
        <v>200025889394</v>
      </c>
      <c r="G1211" s="198" t="s">
        <v>639</v>
      </c>
      <c r="H1211" s="188" t="s">
        <v>513</v>
      </c>
      <c r="I1211" s="203" t="n">
        <v>111</v>
      </c>
      <c r="J1211" s="204" t="s">
        <v>192</v>
      </c>
      <c r="K1211" s="206" t="n">
        <v>45435.7987152778</v>
      </c>
      <c r="L1211" s="3" t="n">
        <v>80</v>
      </c>
      <c r="M1211" s="3" t="n">
        <v>80</v>
      </c>
      <c r="N1211" s="1" t="n">
        <v>1</v>
      </c>
      <c r="O1211" s="154" t="n">
        <v>0</v>
      </c>
    </row>
    <row r="1212" customFormat="false" ht="14.25" hidden="false" customHeight="false" outlineLevel="0" collapsed="false">
      <c r="A1212" s="154" t="n">
        <v>97</v>
      </c>
      <c r="B1212" s="154" t="s">
        <v>681</v>
      </c>
      <c r="C1212" s="154" t="s">
        <v>682</v>
      </c>
      <c r="D1212" s="154" t="n">
        <v>11197</v>
      </c>
      <c r="E1212" s="1" t="s">
        <v>53</v>
      </c>
      <c r="F1212" s="202" t="n">
        <v>200025889394</v>
      </c>
      <c r="G1212" s="198" t="s">
        <v>639</v>
      </c>
      <c r="H1212" s="188" t="s">
        <v>513</v>
      </c>
      <c r="I1212" s="203" t="n">
        <v>111</v>
      </c>
      <c r="J1212" s="204" t="s">
        <v>192</v>
      </c>
      <c r="K1212" s="206" t="n">
        <v>45435.7987152778</v>
      </c>
      <c r="L1212" s="3" t="n">
        <v>80</v>
      </c>
      <c r="M1212" s="3" t="n">
        <v>80</v>
      </c>
      <c r="N1212" s="1" t="n">
        <v>2</v>
      </c>
      <c r="O1212" s="154" t="n">
        <v>0</v>
      </c>
    </row>
    <row r="1213" customFormat="false" ht="14.25" hidden="false" customHeight="false" outlineLevel="0" collapsed="false">
      <c r="A1213" s="154" t="n">
        <v>98</v>
      </c>
      <c r="B1213" s="154" t="s">
        <v>681</v>
      </c>
      <c r="C1213" s="154" t="s">
        <v>682</v>
      </c>
      <c r="D1213" s="154" t="n">
        <v>11197</v>
      </c>
      <c r="E1213" s="1" t="s">
        <v>53</v>
      </c>
      <c r="F1213" s="202" t="n">
        <v>200025889394</v>
      </c>
      <c r="G1213" s="198" t="s">
        <v>639</v>
      </c>
      <c r="H1213" s="188" t="s">
        <v>513</v>
      </c>
      <c r="I1213" s="203" t="n">
        <v>111</v>
      </c>
      <c r="J1213" s="204" t="s">
        <v>192</v>
      </c>
      <c r="K1213" s="205" t="n">
        <v>45435.7987152778</v>
      </c>
      <c r="L1213" s="3" t="n">
        <v>80</v>
      </c>
      <c r="M1213" s="3" t="n">
        <v>80</v>
      </c>
      <c r="N1213" s="1" t="n">
        <v>3</v>
      </c>
      <c r="O1213" s="154" t="n">
        <v>0</v>
      </c>
    </row>
    <row r="1214" customFormat="false" ht="14.25" hidden="false" customHeight="false" outlineLevel="0" collapsed="false">
      <c r="A1214" s="154" t="n">
        <v>99</v>
      </c>
      <c r="B1214" s="154" t="s">
        <v>681</v>
      </c>
      <c r="C1214" s="154" t="s">
        <v>682</v>
      </c>
      <c r="D1214" s="154" t="n">
        <v>11197</v>
      </c>
      <c r="E1214" s="1" t="s">
        <v>53</v>
      </c>
      <c r="F1214" s="202" t="n">
        <v>200025889394</v>
      </c>
      <c r="G1214" s="198" t="s">
        <v>639</v>
      </c>
      <c r="H1214" s="188" t="s">
        <v>513</v>
      </c>
      <c r="I1214" s="203" t="n">
        <v>111</v>
      </c>
      <c r="J1214" s="204" t="s">
        <v>192</v>
      </c>
      <c r="K1214" s="205" t="n">
        <v>45435.7987152778</v>
      </c>
      <c r="L1214" s="3" t="n">
        <v>80</v>
      </c>
      <c r="M1214" s="3" t="n">
        <v>80</v>
      </c>
      <c r="N1214" s="1" t="n">
        <v>4</v>
      </c>
      <c r="O1214" s="154" t="n">
        <v>0</v>
      </c>
    </row>
    <row r="1215" customFormat="false" ht="14.25" hidden="false" customHeight="false" outlineLevel="0" collapsed="false">
      <c r="A1215" s="154" t="n">
        <v>93</v>
      </c>
      <c r="B1215" s="154" t="s">
        <v>681</v>
      </c>
      <c r="C1215" s="154" t="s">
        <v>682</v>
      </c>
      <c r="D1215" s="154" t="n">
        <v>11197</v>
      </c>
      <c r="E1215" s="1" t="s">
        <v>53</v>
      </c>
      <c r="F1215" s="202" t="n">
        <v>200025889440</v>
      </c>
      <c r="G1215" s="198" t="s">
        <v>639</v>
      </c>
      <c r="H1215" s="188" t="s">
        <v>513</v>
      </c>
      <c r="I1215" s="203" t="n">
        <v>111</v>
      </c>
      <c r="J1215" s="204" t="s">
        <v>192</v>
      </c>
      <c r="K1215" s="205" t="n">
        <v>45435.7987152778</v>
      </c>
      <c r="L1215" s="3" t="n">
        <v>80</v>
      </c>
      <c r="M1215" s="3" t="n">
        <v>80</v>
      </c>
      <c r="N1215" s="1" t="n">
        <v>5</v>
      </c>
      <c r="O1215" s="154" t="n">
        <v>0</v>
      </c>
    </row>
    <row r="1216" customFormat="false" ht="14.25" hidden="false" customHeight="false" outlineLevel="0" collapsed="false">
      <c r="A1216" s="1" t="n">
        <v>17</v>
      </c>
      <c r="B1216" s="1" t="s">
        <v>684</v>
      </c>
      <c r="C1216" s="1" t="s">
        <v>685</v>
      </c>
      <c r="D1216" s="1" t="n">
        <v>21296</v>
      </c>
      <c r="E1216" s="1" t="s">
        <v>57</v>
      </c>
      <c r="F1216" s="201" t="n">
        <v>200025889159</v>
      </c>
      <c r="G1216" s="198" t="s">
        <v>639</v>
      </c>
      <c r="H1216" s="163" t="s">
        <v>513</v>
      </c>
      <c r="I1216" s="161" t="n">
        <v>111</v>
      </c>
      <c r="J1216" s="156" t="s">
        <v>192</v>
      </c>
      <c r="K1216" s="200" t="n">
        <v>45450.4976388889</v>
      </c>
      <c r="L1216" s="3" t="n">
        <v>80</v>
      </c>
      <c r="M1216" s="3" t="n">
        <v>80</v>
      </c>
      <c r="N1216" s="1" t="n">
        <v>6</v>
      </c>
      <c r="O1216" s="1" t="n">
        <v>3</v>
      </c>
    </row>
    <row r="1217" customFormat="false" ht="14.25" hidden="false" customHeight="false" outlineLevel="0" collapsed="false">
      <c r="A1217" s="1" t="n">
        <v>59</v>
      </c>
      <c r="B1217" s="1" t="s">
        <v>637</v>
      </c>
      <c r="C1217" s="1" t="s">
        <v>638</v>
      </c>
      <c r="D1217" s="196" t="n">
        <v>2568</v>
      </c>
      <c r="E1217" s="196" t="s">
        <v>51</v>
      </c>
      <c r="F1217" s="198" t="n">
        <v>200025889159</v>
      </c>
      <c r="G1217" s="198" t="s">
        <v>639</v>
      </c>
      <c r="H1217" s="163" t="s">
        <v>513</v>
      </c>
      <c r="I1217" s="161" t="n">
        <v>111</v>
      </c>
      <c r="J1217" s="156" t="s">
        <v>192</v>
      </c>
      <c r="K1217" s="200" t="n">
        <v>45455.4956712963</v>
      </c>
      <c r="L1217" s="3" t="n">
        <v>80</v>
      </c>
      <c r="M1217" s="3" t="n">
        <v>80</v>
      </c>
      <c r="N1217" s="1" t="n">
        <v>7</v>
      </c>
      <c r="O1217" s="1" t="n">
        <v>1</v>
      </c>
    </row>
    <row r="1218" customFormat="false" ht="14.25" hidden="false" customHeight="false" outlineLevel="0" collapsed="false">
      <c r="A1218" s="1" t="n">
        <v>60</v>
      </c>
      <c r="B1218" s="1" t="s">
        <v>637</v>
      </c>
      <c r="C1218" s="1" t="s">
        <v>638</v>
      </c>
      <c r="D1218" s="196" t="n">
        <v>2568</v>
      </c>
      <c r="E1218" s="196" t="s">
        <v>51</v>
      </c>
      <c r="F1218" s="198" t="n">
        <v>200025889159</v>
      </c>
      <c r="G1218" s="198" t="s">
        <v>639</v>
      </c>
      <c r="H1218" s="163" t="s">
        <v>513</v>
      </c>
      <c r="I1218" s="161" t="n">
        <v>111</v>
      </c>
      <c r="J1218" s="156" t="s">
        <v>192</v>
      </c>
      <c r="K1218" s="200" t="n">
        <v>45455.4956828704</v>
      </c>
      <c r="L1218" s="3" t="n">
        <v>80</v>
      </c>
      <c r="M1218" s="3" t="n">
        <v>80</v>
      </c>
      <c r="N1218" s="1" t="n">
        <v>8</v>
      </c>
      <c r="O1218" s="1" t="n">
        <v>0</v>
      </c>
    </row>
    <row r="1219" customFormat="false" ht="14.25" hidden="false" customHeight="false" outlineLevel="0" collapsed="false">
      <c r="A1219" s="1" t="n">
        <v>126</v>
      </c>
      <c r="B1219" s="1" t="s">
        <v>565</v>
      </c>
      <c r="C1219" s="1" t="s">
        <v>566</v>
      </c>
      <c r="D1219" s="196" t="n">
        <v>2568</v>
      </c>
      <c r="E1219" s="196" t="s">
        <v>51</v>
      </c>
      <c r="F1219" s="197" t="s">
        <v>607</v>
      </c>
      <c r="G1219" s="198" t="s">
        <v>608</v>
      </c>
      <c r="H1219" s="163" t="s">
        <v>342</v>
      </c>
      <c r="I1219" s="161" t="n">
        <v>24</v>
      </c>
      <c r="J1219" s="156" t="s">
        <v>192</v>
      </c>
      <c r="K1219" s="199" t="n">
        <v>45435.8646643519</v>
      </c>
      <c r="L1219" s="3" t="n">
        <v>81</v>
      </c>
      <c r="M1219" s="3" t="n">
        <v>81</v>
      </c>
      <c r="N1219" s="1" t="n">
        <v>1</v>
      </c>
      <c r="O1219" s="1" t="n">
        <v>1</v>
      </c>
    </row>
    <row r="1220" customFormat="false" ht="14.25" hidden="false" customHeight="false" outlineLevel="0" collapsed="false">
      <c r="A1220" s="1" t="n">
        <v>105</v>
      </c>
      <c r="B1220" s="1" t="s">
        <v>681</v>
      </c>
      <c r="C1220" s="1" t="s">
        <v>682</v>
      </c>
      <c r="D1220" s="1" t="n">
        <v>11197</v>
      </c>
      <c r="E1220" s="1" t="s">
        <v>53</v>
      </c>
      <c r="F1220" s="201" t="n">
        <v>200025889791</v>
      </c>
      <c r="G1220" s="198" t="s">
        <v>688</v>
      </c>
      <c r="H1220" s="163" t="s">
        <v>510</v>
      </c>
      <c r="I1220" s="161" t="n">
        <v>80</v>
      </c>
      <c r="J1220" s="156" t="s">
        <v>192</v>
      </c>
      <c r="K1220" s="199" t="n">
        <v>45436.1502314815</v>
      </c>
      <c r="L1220" s="3" t="n">
        <v>82</v>
      </c>
      <c r="M1220" s="3" t="n">
        <v>82</v>
      </c>
      <c r="N1220" s="1" t="n">
        <v>1</v>
      </c>
      <c r="O1220" s="1" t="n">
        <v>2</v>
      </c>
    </row>
    <row r="1221" customFormat="false" ht="14.25" hidden="false" customHeight="false" outlineLevel="0" collapsed="false">
      <c r="A1221" s="1" t="n">
        <v>106</v>
      </c>
      <c r="B1221" s="1" t="s">
        <v>681</v>
      </c>
      <c r="C1221" s="1" t="s">
        <v>682</v>
      </c>
      <c r="D1221" s="1" t="n">
        <v>11197</v>
      </c>
      <c r="E1221" s="1" t="s">
        <v>53</v>
      </c>
      <c r="F1221" s="201" t="n">
        <v>200025889791</v>
      </c>
      <c r="G1221" s="198" t="s">
        <v>688</v>
      </c>
      <c r="H1221" s="163" t="s">
        <v>510</v>
      </c>
      <c r="I1221" s="161" t="n">
        <v>80</v>
      </c>
      <c r="J1221" s="156" t="s">
        <v>192</v>
      </c>
      <c r="K1221" s="199" t="n">
        <v>45436.1504398148</v>
      </c>
      <c r="L1221" s="3" t="n">
        <v>82</v>
      </c>
      <c r="M1221" s="3" t="n">
        <v>82</v>
      </c>
      <c r="N1221" s="1" t="n">
        <v>2</v>
      </c>
      <c r="O1221" s="1" t="n">
        <v>0</v>
      </c>
    </row>
    <row r="1222" customFormat="false" ht="14.25" hidden="false" customHeight="false" outlineLevel="0" collapsed="false">
      <c r="A1222" s="1" t="n">
        <v>107</v>
      </c>
      <c r="B1222" s="1" t="s">
        <v>681</v>
      </c>
      <c r="C1222" s="1" t="s">
        <v>682</v>
      </c>
      <c r="D1222" s="1" t="n">
        <v>11197</v>
      </c>
      <c r="E1222" s="1" t="s">
        <v>53</v>
      </c>
      <c r="F1222" s="201" t="n">
        <v>200025889791</v>
      </c>
      <c r="G1222" s="198" t="s">
        <v>688</v>
      </c>
      <c r="H1222" s="163" t="s">
        <v>510</v>
      </c>
      <c r="I1222" s="161" t="n">
        <v>80</v>
      </c>
      <c r="J1222" s="156" t="s">
        <v>192</v>
      </c>
      <c r="K1222" s="199" t="n">
        <v>45436.1514814815</v>
      </c>
      <c r="L1222" s="3" t="n">
        <v>82</v>
      </c>
      <c r="M1222" s="3" t="n">
        <v>82</v>
      </c>
      <c r="N1222" s="1" t="n">
        <v>3</v>
      </c>
      <c r="O1222" s="1" t="n">
        <v>1</v>
      </c>
    </row>
    <row r="1223" customFormat="false" ht="14.25" hidden="false" customHeight="false" outlineLevel="0" collapsed="false">
      <c r="A1223" s="1" t="n">
        <v>108</v>
      </c>
      <c r="B1223" s="1" t="s">
        <v>681</v>
      </c>
      <c r="C1223" s="1" t="s">
        <v>682</v>
      </c>
      <c r="D1223" s="1" t="n">
        <v>11197</v>
      </c>
      <c r="E1223" s="1" t="s">
        <v>53</v>
      </c>
      <c r="F1223" s="201" t="n">
        <v>200025889791</v>
      </c>
      <c r="G1223" s="198" t="s">
        <v>688</v>
      </c>
      <c r="H1223" s="163" t="s">
        <v>510</v>
      </c>
      <c r="I1223" s="161" t="n">
        <v>80</v>
      </c>
      <c r="J1223" s="156" t="s">
        <v>192</v>
      </c>
      <c r="K1223" s="199" t="n">
        <v>45436.1514930556</v>
      </c>
      <c r="L1223" s="3" t="n">
        <v>82</v>
      </c>
      <c r="M1223" s="3" t="n">
        <v>82</v>
      </c>
      <c r="N1223" s="1" t="n">
        <v>4</v>
      </c>
      <c r="O1223" s="1" t="n">
        <v>0</v>
      </c>
    </row>
    <row r="1224" customFormat="false" ht="14.25" hidden="false" customHeight="false" outlineLevel="0" collapsed="false">
      <c r="A1224" s="1" t="n">
        <v>109</v>
      </c>
      <c r="B1224" s="1" t="s">
        <v>681</v>
      </c>
      <c r="C1224" s="1" t="s">
        <v>682</v>
      </c>
      <c r="D1224" s="1" t="n">
        <v>11197</v>
      </c>
      <c r="E1224" s="1" t="s">
        <v>53</v>
      </c>
      <c r="F1224" s="201" t="n">
        <v>200025889791</v>
      </c>
      <c r="G1224" s="198" t="s">
        <v>688</v>
      </c>
      <c r="H1224" s="163" t="s">
        <v>510</v>
      </c>
      <c r="I1224" s="161" t="n">
        <v>80</v>
      </c>
      <c r="J1224" s="156" t="s">
        <v>192</v>
      </c>
      <c r="K1224" s="199" t="n">
        <v>45436.1515162037</v>
      </c>
      <c r="L1224" s="3" t="n">
        <v>82</v>
      </c>
      <c r="M1224" s="3" t="n">
        <v>82</v>
      </c>
      <c r="N1224" s="1" t="n">
        <v>5</v>
      </c>
      <c r="O1224" s="1" t="n">
        <v>39</v>
      </c>
    </row>
    <row r="1225" customFormat="false" ht="14.25" hidden="false" customHeight="false" outlineLevel="0" collapsed="false">
      <c r="A1225" s="1" t="n">
        <v>110</v>
      </c>
      <c r="B1225" s="1" t="s">
        <v>681</v>
      </c>
      <c r="C1225" s="1" t="s">
        <v>682</v>
      </c>
      <c r="D1225" s="1" t="n">
        <v>11197</v>
      </c>
      <c r="E1225" s="1" t="s">
        <v>53</v>
      </c>
      <c r="F1225" s="201" t="n">
        <v>200025889791</v>
      </c>
      <c r="G1225" s="198" t="s">
        <v>688</v>
      </c>
      <c r="H1225" s="163" t="s">
        <v>510</v>
      </c>
      <c r="I1225" s="161" t="n">
        <v>80</v>
      </c>
      <c r="J1225" s="156" t="s">
        <v>192</v>
      </c>
      <c r="K1225" s="199" t="n">
        <v>45436.1519675926</v>
      </c>
      <c r="L1225" s="3" t="n">
        <v>82</v>
      </c>
      <c r="M1225" s="3" t="n">
        <v>82</v>
      </c>
      <c r="N1225" s="1" t="n">
        <v>6</v>
      </c>
      <c r="O1225" s="1" t="n">
        <v>0</v>
      </c>
    </row>
    <row r="1226" customFormat="false" ht="14.25" hidden="false" customHeight="false" outlineLevel="0" collapsed="false">
      <c r="A1226" s="1" t="n">
        <v>111</v>
      </c>
      <c r="B1226" s="1" t="s">
        <v>681</v>
      </c>
      <c r="C1226" s="1" t="s">
        <v>682</v>
      </c>
      <c r="D1226" s="1" t="n">
        <v>11197</v>
      </c>
      <c r="E1226" s="1" t="s">
        <v>53</v>
      </c>
      <c r="F1226" s="201" t="n">
        <v>200025889791</v>
      </c>
      <c r="G1226" s="198" t="s">
        <v>688</v>
      </c>
      <c r="H1226" s="163" t="s">
        <v>510</v>
      </c>
      <c r="I1226" s="161" t="n">
        <v>80</v>
      </c>
      <c r="J1226" s="156" t="s">
        <v>192</v>
      </c>
      <c r="K1226" s="199" t="n">
        <v>45436.1519791667</v>
      </c>
      <c r="L1226" s="3" t="n">
        <v>82</v>
      </c>
      <c r="M1226" s="3" t="n">
        <v>82</v>
      </c>
      <c r="N1226" s="1" t="n">
        <v>7</v>
      </c>
      <c r="O1226" s="1" t="n">
        <v>0</v>
      </c>
    </row>
    <row r="1227" customFormat="false" ht="14.25" hidden="false" customHeight="false" outlineLevel="0" collapsed="false">
      <c r="A1227" s="1" t="n">
        <v>112</v>
      </c>
      <c r="B1227" s="1" t="s">
        <v>681</v>
      </c>
      <c r="C1227" s="1" t="s">
        <v>682</v>
      </c>
      <c r="D1227" s="1" t="n">
        <v>11197</v>
      </c>
      <c r="E1227" s="1" t="s">
        <v>53</v>
      </c>
      <c r="F1227" s="201" t="n">
        <v>200025889791</v>
      </c>
      <c r="G1227" s="198" t="s">
        <v>688</v>
      </c>
      <c r="H1227" s="163" t="s">
        <v>510</v>
      </c>
      <c r="I1227" s="161" t="n">
        <v>80</v>
      </c>
      <c r="J1227" s="156" t="s">
        <v>192</v>
      </c>
      <c r="K1227" s="199" t="n">
        <v>45436.1519907407</v>
      </c>
      <c r="L1227" s="3" t="n">
        <v>82</v>
      </c>
      <c r="M1227" s="3" t="n">
        <v>82</v>
      </c>
      <c r="N1227" s="1" t="n">
        <v>8</v>
      </c>
      <c r="O1227" s="1" t="n">
        <v>0</v>
      </c>
    </row>
    <row r="1228" customFormat="false" ht="14.25" hidden="false" customHeight="false" outlineLevel="0" collapsed="false">
      <c r="A1228" s="1" t="n">
        <v>113</v>
      </c>
      <c r="B1228" s="1" t="s">
        <v>681</v>
      </c>
      <c r="C1228" s="1" t="s">
        <v>682</v>
      </c>
      <c r="D1228" s="1" t="n">
        <v>11197</v>
      </c>
      <c r="E1228" s="1" t="s">
        <v>53</v>
      </c>
      <c r="F1228" s="201" t="n">
        <v>200025889791</v>
      </c>
      <c r="G1228" s="198" t="s">
        <v>688</v>
      </c>
      <c r="H1228" s="163" t="s">
        <v>510</v>
      </c>
      <c r="I1228" s="161" t="n">
        <v>80</v>
      </c>
      <c r="J1228" s="156" t="s">
        <v>192</v>
      </c>
      <c r="K1228" s="199" t="n">
        <v>45436.1527546296</v>
      </c>
      <c r="L1228" s="3" t="n">
        <v>82</v>
      </c>
      <c r="M1228" s="3" t="n">
        <v>82</v>
      </c>
      <c r="N1228" s="1" t="n">
        <v>9</v>
      </c>
      <c r="O1228" s="1" t="n">
        <v>3</v>
      </c>
    </row>
    <row r="1229" customFormat="false" ht="14.25" hidden="false" customHeight="false" outlineLevel="0" collapsed="false">
      <c r="A1229" s="1" t="n">
        <v>114</v>
      </c>
      <c r="B1229" s="1" t="s">
        <v>681</v>
      </c>
      <c r="C1229" s="1" t="s">
        <v>682</v>
      </c>
      <c r="D1229" s="1" t="n">
        <v>11197</v>
      </c>
      <c r="E1229" s="1" t="s">
        <v>53</v>
      </c>
      <c r="F1229" s="201" t="n">
        <v>200025889791</v>
      </c>
      <c r="G1229" s="198" t="s">
        <v>688</v>
      </c>
      <c r="H1229" s="163" t="s">
        <v>510</v>
      </c>
      <c r="I1229" s="161" t="n">
        <v>80</v>
      </c>
      <c r="J1229" s="156" t="s">
        <v>192</v>
      </c>
      <c r="K1229" s="199" t="n">
        <v>45436.1541319444</v>
      </c>
      <c r="L1229" s="3" t="n">
        <v>82</v>
      </c>
      <c r="M1229" s="3" t="n">
        <v>82</v>
      </c>
      <c r="N1229" s="1" t="n">
        <v>10</v>
      </c>
      <c r="O1229" s="1" t="n">
        <v>1</v>
      </c>
    </row>
    <row r="1230" customFormat="false" ht="14.25" hidden="false" customHeight="false" outlineLevel="0" collapsed="false">
      <c r="A1230" s="1" t="n">
        <v>115</v>
      </c>
      <c r="B1230" s="1" t="s">
        <v>681</v>
      </c>
      <c r="C1230" s="1" t="s">
        <v>682</v>
      </c>
      <c r="D1230" s="1" t="n">
        <v>11197</v>
      </c>
      <c r="E1230" s="1" t="s">
        <v>53</v>
      </c>
      <c r="F1230" s="201" t="n">
        <v>200025889791</v>
      </c>
      <c r="G1230" s="198" t="s">
        <v>688</v>
      </c>
      <c r="H1230" s="163" t="s">
        <v>510</v>
      </c>
      <c r="I1230" s="161" t="n">
        <v>80</v>
      </c>
      <c r="J1230" s="156" t="s">
        <v>192</v>
      </c>
      <c r="K1230" s="199" t="n">
        <v>45436.1553703704</v>
      </c>
      <c r="L1230" s="3" t="n">
        <v>82</v>
      </c>
      <c r="M1230" s="3" t="n">
        <v>82</v>
      </c>
      <c r="N1230" s="1" t="n">
        <v>11</v>
      </c>
      <c r="O1230" s="1" t="n">
        <v>1</v>
      </c>
    </row>
    <row r="1231" customFormat="false" ht="14.25" hidden="false" customHeight="false" outlineLevel="0" collapsed="false">
      <c r="A1231" s="1" t="n">
        <v>176</v>
      </c>
      <c r="B1231" s="1" t="s">
        <v>702</v>
      </c>
      <c r="C1231" s="1" t="s">
        <v>703</v>
      </c>
      <c r="D1231" s="1" t="n">
        <v>11197</v>
      </c>
      <c r="E1231" s="1" t="s">
        <v>53</v>
      </c>
      <c r="F1231" s="201" t="n">
        <v>200025889791</v>
      </c>
      <c r="G1231" s="198" t="s">
        <v>688</v>
      </c>
      <c r="H1231" s="163" t="s">
        <v>510</v>
      </c>
      <c r="I1231" s="161" t="n">
        <v>80</v>
      </c>
      <c r="J1231" s="156" t="s">
        <v>192</v>
      </c>
      <c r="K1231" s="200" t="n">
        <v>45452.8081712963</v>
      </c>
      <c r="L1231" s="3" t="n">
        <v>82</v>
      </c>
      <c r="M1231" s="3" t="n">
        <v>82</v>
      </c>
      <c r="N1231" s="1" t="n">
        <v>12</v>
      </c>
      <c r="O1231" s="1" t="n">
        <v>40</v>
      </c>
    </row>
    <row r="1232" customFormat="false" ht="14.25" hidden="false" customHeight="false" outlineLevel="0" collapsed="false">
      <c r="A1232" s="1" t="n">
        <v>177</v>
      </c>
      <c r="B1232" s="1" t="s">
        <v>702</v>
      </c>
      <c r="C1232" s="1" t="s">
        <v>703</v>
      </c>
      <c r="D1232" s="1" t="n">
        <v>11197</v>
      </c>
      <c r="E1232" s="1" t="s">
        <v>53</v>
      </c>
      <c r="F1232" s="201" t="n">
        <v>200025889791</v>
      </c>
      <c r="G1232" s="198" t="s">
        <v>688</v>
      </c>
      <c r="H1232" s="163" t="s">
        <v>510</v>
      </c>
      <c r="I1232" s="161" t="n">
        <v>80</v>
      </c>
      <c r="J1232" s="156" t="s">
        <v>192</v>
      </c>
      <c r="K1232" s="200" t="n">
        <v>45452.8088310185</v>
      </c>
      <c r="L1232" s="3" t="n">
        <v>82</v>
      </c>
      <c r="M1232" s="3" t="n">
        <v>82</v>
      </c>
      <c r="N1232" s="1" t="n">
        <v>13</v>
      </c>
      <c r="O1232" s="1" t="n">
        <v>1</v>
      </c>
    </row>
    <row r="1233" customFormat="false" ht="14.25" hidden="false" customHeight="false" outlineLevel="0" collapsed="false">
      <c r="A1233" s="1" t="n">
        <v>178</v>
      </c>
      <c r="B1233" s="1" t="s">
        <v>702</v>
      </c>
      <c r="C1233" s="1" t="s">
        <v>703</v>
      </c>
      <c r="D1233" s="1" t="n">
        <v>11197</v>
      </c>
      <c r="E1233" s="1" t="s">
        <v>53</v>
      </c>
      <c r="F1233" s="201" t="n">
        <v>200025889791</v>
      </c>
      <c r="G1233" s="198" t="s">
        <v>688</v>
      </c>
      <c r="H1233" s="163" t="s">
        <v>510</v>
      </c>
      <c r="I1233" s="161" t="n">
        <v>80</v>
      </c>
      <c r="J1233" s="156" t="s">
        <v>192</v>
      </c>
      <c r="K1233" s="200" t="n">
        <v>45452.8088541667</v>
      </c>
      <c r="L1233" s="3" t="n">
        <v>82</v>
      </c>
      <c r="M1233" s="3" t="n">
        <v>82</v>
      </c>
      <c r="N1233" s="1" t="n">
        <v>14</v>
      </c>
      <c r="O1233" s="1" t="n">
        <v>0</v>
      </c>
    </row>
    <row r="1234" customFormat="false" ht="14.25" hidden="false" customHeight="false" outlineLevel="0" collapsed="false">
      <c r="A1234" s="1" t="n">
        <v>179</v>
      </c>
      <c r="B1234" s="1" t="s">
        <v>702</v>
      </c>
      <c r="C1234" s="1" t="s">
        <v>703</v>
      </c>
      <c r="D1234" s="1" t="n">
        <v>11197</v>
      </c>
      <c r="E1234" s="1" t="s">
        <v>53</v>
      </c>
      <c r="F1234" s="201" t="n">
        <v>200025889791</v>
      </c>
      <c r="G1234" s="198" t="s">
        <v>688</v>
      </c>
      <c r="H1234" s="163" t="s">
        <v>510</v>
      </c>
      <c r="I1234" s="161" t="n">
        <v>80</v>
      </c>
      <c r="J1234" s="156" t="s">
        <v>192</v>
      </c>
      <c r="K1234" s="200" t="n">
        <v>45452.8095023148</v>
      </c>
      <c r="L1234" s="3" t="n">
        <v>82</v>
      </c>
      <c r="M1234" s="3" t="n">
        <v>82</v>
      </c>
      <c r="N1234" s="1" t="n">
        <v>15</v>
      </c>
      <c r="O1234" s="1" t="n">
        <v>2</v>
      </c>
    </row>
    <row r="1235" customFormat="false" ht="14.25" hidden="false" customHeight="false" outlineLevel="0" collapsed="false">
      <c r="A1235" s="1" t="n">
        <v>180</v>
      </c>
      <c r="B1235" s="1" t="s">
        <v>702</v>
      </c>
      <c r="C1235" s="1" t="s">
        <v>703</v>
      </c>
      <c r="D1235" s="1" t="n">
        <v>11197</v>
      </c>
      <c r="E1235" s="1" t="s">
        <v>53</v>
      </c>
      <c r="F1235" s="201" t="n">
        <v>200025889791</v>
      </c>
      <c r="G1235" s="198" t="s">
        <v>688</v>
      </c>
      <c r="H1235" s="163" t="s">
        <v>510</v>
      </c>
      <c r="I1235" s="161" t="n">
        <v>80</v>
      </c>
      <c r="J1235" s="156" t="s">
        <v>192</v>
      </c>
      <c r="K1235" s="200" t="n">
        <v>45452.8485532407</v>
      </c>
      <c r="L1235" s="3" t="n">
        <v>82</v>
      </c>
      <c r="M1235" s="3" t="n">
        <v>82</v>
      </c>
      <c r="N1235" s="1" t="n">
        <v>16</v>
      </c>
      <c r="O1235" s="1" t="n">
        <v>0</v>
      </c>
    </row>
    <row r="1236" customFormat="false" ht="14.25" hidden="false" customHeight="false" outlineLevel="0" collapsed="false">
      <c r="A1236" s="1" t="n">
        <v>181</v>
      </c>
      <c r="B1236" s="1" t="s">
        <v>702</v>
      </c>
      <c r="C1236" s="1" t="s">
        <v>703</v>
      </c>
      <c r="D1236" s="1" t="n">
        <v>11197</v>
      </c>
      <c r="E1236" s="1" t="s">
        <v>53</v>
      </c>
      <c r="F1236" s="201" t="n">
        <v>200025889791</v>
      </c>
      <c r="G1236" s="198" t="s">
        <v>688</v>
      </c>
      <c r="H1236" s="163" t="s">
        <v>510</v>
      </c>
      <c r="I1236" s="161" t="n">
        <v>80</v>
      </c>
      <c r="J1236" s="156" t="s">
        <v>192</v>
      </c>
      <c r="K1236" s="200" t="n">
        <v>45452.8488078704</v>
      </c>
      <c r="L1236" s="3" t="n">
        <v>82</v>
      </c>
      <c r="M1236" s="3" t="n">
        <v>82</v>
      </c>
      <c r="N1236" s="1" t="n">
        <v>17</v>
      </c>
      <c r="O1236" s="1" t="n">
        <v>0</v>
      </c>
    </row>
    <row r="1237" customFormat="false" ht="14.25" hidden="false" customHeight="false" outlineLevel="0" collapsed="false">
      <c r="A1237" s="1" t="n">
        <v>182</v>
      </c>
      <c r="B1237" s="1" t="s">
        <v>702</v>
      </c>
      <c r="C1237" s="1" t="s">
        <v>703</v>
      </c>
      <c r="D1237" s="1" t="n">
        <v>11197</v>
      </c>
      <c r="E1237" s="1" t="s">
        <v>53</v>
      </c>
      <c r="F1237" s="201" t="n">
        <v>200025889791</v>
      </c>
      <c r="G1237" s="198" t="s">
        <v>688</v>
      </c>
      <c r="H1237" s="163" t="s">
        <v>510</v>
      </c>
      <c r="I1237" s="161" t="n">
        <v>80</v>
      </c>
      <c r="J1237" s="156" t="s">
        <v>192</v>
      </c>
      <c r="K1237" s="200" t="n">
        <v>45452.8488194444</v>
      </c>
      <c r="L1237" s="3" t="n">
        <v>82</v>
      </c>
      <c r="M1237" s="3" t="n">
        <v>82</v>
      </c>
      <c r="N1237" s="1" t="n">
        <v>18</v>
      </c>
      <c r="O1237" s="1" t="n">
        <v>0</v>
      </c>
    </row>
    <row r="1238" customFormat="false" ht="14.25" hidden="false" customHeight="false" outlineLevel="0" collapsed="false">
      <c r="A1238" s="1" t="n">
        <v>170</v>
      </c>
      <c r="B1238" s="1" t="s">
        <v>565</v>
      </c>
      <c r="C1238" s="1" t="s">
        <v>566</v>
      </c>
      <c r="D1238" s="1" t="n">
        <v>11171</v>
      </c>
      <c r="E1238" s="1" t="s">
        <v>55</v>
      </c>
      <c r="F1238" s="198" t="n">
        <v>200025889791</v>
      </c>
      <c r="G1238" s="198" t="s">
        <v>688</v>
      </c>
      <c r="H1238" s="163" t="s">
        <v>510</v>
      </c>
      <c r="I1238" s="161" t="n">
        <v>80</v>
      </c>
      <c r="J1238" s="156" t="s">
        <v>192</v>
      </c>
      <c r="K1238" s="199" t="n">
        <v>45452.8612037037</v>
      </c>
      <c r="L1238" s="3" t="n">
        <v>82</v>
      </c>
      <c r="M1238" s="3" t="n">
        <v>82</v>
      </c>
      <c r="N1238" s="1" t="n">
        <v>19</v>
      </c>
      <c r="O1238" s="1" t="n">
        <v>2</v>
      </c>
    </row>
    <row r="1239" customFormat="false" ht="14.25" hidden="false" customHeight="false" outlineLevel="0" collapsed="false">
      <c r="A1239" s="1" t="n">
        <v>171</v>
      </c>
      <c r="B1239" s="1" t="s">
        <v>565</v>
      </c>
      <c r="C1239" s="1" t="s">
        <v>566</v>
      </c>
      <c r="D1239" s="1" t="n">
        <v>11171</v>
      </c>
      <c r="E1239" s="1" t="s">
        <v>55</v>
      </c>
      <c r="F1239" s="198" t="n">
        <v>200025889791</v>
      </c>
      <c r="G1239" s="198" t="s">
        <v>688</v>
      </c>
      <c r="H1239" s="163" t="s">
        <v>510</v>
      </c>
      <c r="I1239" s="161" t="n">
        <v>80</v>
      </c>
      <c r="J1239" s="156" t="s">
        <v>192</v>
      </c>
      <c r="K1239" s="199" t="n">
        <v>45452.8646643519</v>
      </c>
      <c r="L1239" s="3" t="n">
        <v>82</v>
      </c>
      <c r="M1239" s="3" t="n">
        <v>82</v>
      </c>
      <c r="N1239" s="1" t="n">
        <v>20</v>
      </c>
      <c r="O1239" s="1" t="n">
        <v>0</v>
      </c>
    </row>
    <row r="1240" customFormat="false" ht="14.25" hidden="false" customHeight="false" outlineLevel="0" collapsed="false">
      <c r="A1240" s="1" t="n">
        <v>172</v>
      </c>
      <c r="B1240" s="1" t="s">
        <v>565</v>
      </c>
      <c r="C1240" s="1" t="s">
        <v>566</v>
      </c>
      <c r="D1240" s="1" t="n">
        <v>11171</v>
      </c>
      <c r="E1240" s="1" t="s">
        <v>55</v>
      </c>
      <c r="F1240" s="198" t="n">
        <v>200025889791</v>
      </c>
      <c r="G1240" s="198" t="s">
        <v>688</v>
      </c>
      <c r="H1240" s="163" t="s">
        <v>510</v>
      </c>
      <c r="I1240" s="161" t="n">
        <v>80</v>
      </c>
      <c r="J1240" s="156" t="s">
        <v>192</v>
      </c>
      <c r="K1240" s="199" t="n">
        <v>45452.866087963</v>
      </c>
      <c r="L1240" s="3" t="n">
        <v>82</v>
      </c>
      <c r="M1240" s="3" t="n">
        <v>82</v>
      </c>
      <c r="N1240" s="1" t="n">
        <v>21</v>
      </c>
      <c r="O1240" s="1" t="n">
        <v>0</v>
      </c>
    </row>
    <row r="1241" customFormat="false" ht="14.25" hidden="false" customHeight="false" outlineLevel="0" collapsed="false">
      <c r="A1241" s="1" t="n">
        <v>173</v>
      </c>
      <c r="B1241" s="1" t="s">
        <v>565</v>
      </c>
      <c r="C1241" s="1" t="s">
        <v>566</v>
      </c>
      <c r="D1241" s="1" t="n">
        <v>11171</v>
      </c>
      <c r="E1241" s="1" t="s">
        <v>55</v>
      </c>
      <c r="F1241" s="198" t="n">
        <v>200025889791</v>
      </c>
      <c r="G1241" s="198" t="s">
        <v>688</v>
      </c>
      <c r="H1241" s="163" t="s">
        <v>510</v>
      </c>
      <c r="I1241" s="161" t="n">
        <v>80</v>
      </c>
      <c r="J1241" s="156" t="s">
        <v>192</v>
      </c>
      <c r="K1241" s="199" t="n">
        <v>45452.8661111111</v>
      </c>
      <c r="L1241" s="3" t="n">
        <v>82</v>
      </c>
      <c r="M1241" s="3" t="n">
        <v>82</v>
      </c>
      <c r="N1241" s="1" t="n">
        <v>22</v>
      </c>
      <c r="O1241" s="1" t="n">
        <v>0</v>
      </c>
    </row>
    <row r="1242" customFormat="false" ht="14.25" hidden="false" customHeight="false" outlineLevel="0" collapsed="false">
      <c r="A1242" s="1" t="n">
        <v>175</v>
      </c>
      <c r="B1242" s="1" t="s">
        <v>565</v>
      </c>
      <c r="C1242" s="1" t="s">
        <v>566</v>
      </c>
      <c r="D1242" s="1" t="n">
        <v>11171</v>
      </c>
      <c r="E1242" s="1" t="s">
        <v>55</v>
      </c>
      <c r="F1242" s="198" t="n">
        <v>200025889791</v>
      </c>
      <c r="G1242" s="198" t="s">
        <v>688</v>
      </c>
      <c r="H1242" s="163" t="s">
        <v>510</v>
      </c>
      <c r="I1242" s="161" t="n">
        <v>80</v>
      </c>
      <c r="J1242" s="156" t="s">
        <v>192</v>
      </c>
      <c r="K1242" s="199" t="n">
        <v>45452.8917476852</v>
      </c>
      <c r="L1242" s="3" t="n">
        <v>82</v>
      </c>
      <c r="M1242" s="3" t="n">
        <v>82</v>
      </c>
      <c r="N1242" s="1" t="n">
        <v>23</v>
      </c>
      <c r="O1242" s="1" t="n">
        <v>1</v>
      </c>
    </row>
    <row r="1243" customFormat="false" ht="14.25" hidden="false" customHeight="false" outlineLevel="0" collapsed="false">
      <c r="A1243" s="1" t="n">
        <v>190</v>
      </c>
      <c r="B1243" s="1" t="s">
        <v>702</v>
      </c>
      <c r="C1243" s="1" t="s">
        <v>703</v>
      </c>
      <c r="D1243" s="1" t="n">
        <v>11197</v>
      </c>
      <c r="E1243" s="1" t="s">
        <v>53</v>
      </c>
      <c r="F1243" s="201" t="n">
        <v>200025889791</v>
      </c>
      <c r="G1243" s="198" t="s">
        <v>688</v>
      </c>
      <c r="H1243" s="163" t="s">
        <v>510</v>
      </c>
      <c r="I1243" s="161" t="n">
        <v>80</v>
      </c>
      <c r="J1243" s="156" t="s">
        <v>192</v>
      </c>
      <c r="K1243" s="200" t="n">
        <v>45452.911712963</v>
      </c>
      <c r="L1243" s="3" t="n">
        <v>82</v>
      </c>
      <c r="M1243" s="3" t="n">
        <v>82</v>
      </c>
      <c r="N1243" s="1" t="n">
        <v>24</v>
      </c>
      <c r="O1243" s="1" t="n">
        <v>2</v>
      </c>
    </row>
    <row r="1244" customFormat="false" ht="14.25" hidden="false" customHeight="false" outlineLevel="0" collapsed="false">
      <c r="A1244" s="1" t="n">
        <v>191</v>
      </c>
      <c r="B1244" s="1" t="s">
        <v>702</v>
      </c>
      <c r="C1244" s="1" t="s">
        <v>703</v>
      </c>
      <c r="D1244" s="1" t="n">
        <v>11197</v>
      </c>
      <c r="E1244" s="1" t="s">
        <v>53</v>
      </c>
      <c r="F1244" s="201" t="n">
        <v>200025889791</v>
      </c>
      <c r="G1244" s="198" t="s">
        <v>688</v>
      </c>
      <c r="H1244" s="163" t="s">
        <v>510</v>
      </c>
      <c r="I1244" s="161" t="n">
        <v>80</v>
      </c>
      <c r="J1244" s="156" t="s">
        <v>192</v>
      </c>
      <c r="K1244" s="200" t="n">
        <v>45452.912337963</v>
      </c>
      <c r="L1244" s="3" t="n">
        <v>82</v>
      </c>
      <c r="M1244" s="3" t="n">
        <v>82</v>
      </c>
      <c r="N1244" s="1" t="n">
        <v>25</v>
      </c>
      <c r="O1244" s="1" t="n">
        <v>1</v>
      </c>
    </row>
    <row r="1245" customFormat="false" ht="14.25" hidden="false" customHeight="false" outlineLevel="0" collapsed="false">
      <c r="A1245" s="1" t="n">
        <v>192</v>
      </c>
      <c r="B1245" s="1" t="s">
        <v>702</v>
      </c>
      <c r="C1245" s="1" t="s">
        <v>703</v>
      </c>
      <c r="D1245" s="1" t="n">
        <v>11197</v>
      </c>
      <c r="E1245" s="1" t="s">
        <v>53</v>
      </c>
      <c r="F1245" s="201" t="n">
        <v>200025889791</v>
      </c>
      <c r="G1245" s="198" t="s">
        <v>688</v>
      </c>
      <c r="H1245" s="163" t="s">
        <v>510</v>
      </c>
      <c r="I1245" s="161" t="n">
        <v>80</v>
      </c>
      <c r="J1245" s="156" t="s">
        <v>192</v>
      </c>
      <c r="K1245" s="200" t="n">
        <v>45452.9123611111</v>
      </c>
      <c r="L1245" s="3" t="n">
        <v>82</v>
      </c>
      <c r="M1245" s="3" t="n">
        <v>82</v>
      </c>
      <c r="N1245" s="1" t="n">
        <v>26</v>
      </c>
      <c r="O1245" s="1" t="n">
        <v>0</v>
      </c>
    </row>
    <row r="1246" customFormat="false" ht="14.25" hidden="false" customHeight="false" outlineLevel="0" collapsed="false">
      <c r="A1246" s="1" t="n">
        <v>193</v>
      </c>
      <c r="B1246" s="1" t="s">
        <v>702</v>
      </c>
      <c r="C1246" s="1" t="s">
        <v>703</v>
      </c>
      <c r="D1246" s="1" t="n">
        <v>11197</v>
      </c>
      <c r="E1246" s="1" t="s">
        <v>53</v>
      </c>
      <c r="F1246" s="201" t="n">
        <v>200025889791</v>
      </c>
      <c r="G1246" s="198" t="s">
        <v>688</v>
      </c>
      <c r="H1246" s="163" t="s">
        <v>510</v>
      </c>
      <c r="I1246" s="161" t="n">
        <v>80</v>
      </c>
      <c r="J1246" s="156" t="s">
        <v>192</v>
      </c>
      <c r="K1246" s="200" t="n">
        <v>45452.9123726852</v>
      </c>
      <c r="L1246" s="3" t="n">
        <v>82</v>
      </c>
      <c r="M1246" s="3" t="n">
        <v>82</v>
      </c>
      <c r="N1246" s="1" t="n">
        <v>27</v>
      </c>
      <c r="O1246" s="1" t="n">
        <v>0</v>
      </c>
    </row>
    <row r="1247" customFormat="false" ht="14.25" hidden="false" customHeight="false" outlineLevel="0" collapsed="false">
      <c r="A1247" s="1" t="n">
        <v>194</v>
      </c>
      <c r="B1247" s="1" t="s">
        <v>702</v>
      </c>
      <c r="C1247" s="1" t="s">
        <v>703</v>
      </c>
      <c r="D1247" s="1" t="n">
        <v>11197</v>
      </c>
      <c r="E1247" s="1" t="s">
        <v>53</v>
      </c>
      <c r="F1247" s="201" t="n">
        <v>200025889791</v>
      </c>
      <c r="G1247" s="198" t="s">
        <v>688</v>
      </c>
      <c r="H1247" s="163" t="s">
        <v>510</v>
      </c>
      <c r="I1247" s="161" t="n">
        <v>80</v>
      </c>
      <c r="J1247" s="156" t="s">
        <v>192</v>
      </c>
      <c r="K1247" s="200" t="n">
        <v>45452.9127662037</v>
      </c>
      <c r="L1247" s="3" t="n">
        <v>82</v>
      </c>
      <c r="M1247" s="3" t="n">
        <v>82</v>
      </c>
      <c r="N1247" s="1" t="n">
        <v>28</v>
      </c>
      <c r="O1247" s="1" t="n">
        <v>2</v>
      </c>
    </row>
    <row r="1248" customFormat="false" ht="14.25" hidden="false" customHeight="false" outlineLevel="0" collapsed="false">
      <c r="A1248" s="1" t="n">
        <v>195</v>
      </c>
      <c r="B1248" s="1" t="s">
        <v>702</v>
      </c>
      <c r="C1248" s="1" t="s">
        <v>703</v>
      </c>
      <c r="D1248" s="1" t="n">
        <v>11197</v>
      </c>
      <c r="E1248" s="1" t="s">
        <v>53</v>
      </c>
      <c r="F1248" s="201" t="n">
        <v>200025889791</v>
      </c>
      <c r="G1248" s="198" t="s">
        <v>688</v>
      </c>
      <c r="H1248" s="163" t="s">
        <v>510</v>
      </c>
      <c r="I1248" s="161" t="n">
        <v>80</v>
      </c>
      <c r="J1248" s="156" t="s">
        <v>192</v>
      </c>
      <c r="K1248" s="200" t="n">
        <v>45452.9130787037</v>
      </c>
      <c r="L1248" s="3" t="n">
        <v>82</v>
      </c>
      <c r="M1248" s="3" t="n">
        <v>82</v>
      </c>
      <c r="N1248" s="1" t="n">
        <v>29</v>
      </c>
      <c r="O1248" s="1" t="n">
        <v>1</v>
      </c>
    </row>
    <row r="1249" customFormat="false" ht="14.25" hidden="false" customHeight="false" outlineLevel="0" collapsed="false">
      <c r="A1249" s="1" t="n">
        <v>196</v>
      </c>
      <c r="B1249" s="1" t="s">
        <v>702</v>
      </c>
      <c r="C1249" s="1" t="s">
        <v>703</v>
      </c>
      <c r="D1249" s="1" t="n">
        <v>11197</v>
      </c>
      <c r="E1249" s="1" t="s">
        <v>53</v>
      </c>
      <c r="F1249" s="201" t="n">
        <v>200025889791</v>
      </c>
      <c r="G1249" s="198" t="s">
        <v>688</v>
      </c>
      <c r="H1249" s="163" t="s">
        <v>510</v>
      </c>
      <c r="I1249" s="161" t="n">
        <v>80</v>
      </c>
      <c r="J1249" s="156" t="s">
        <v>192</v>
      </c>
      <c r="K1249" s="200" t="n">
        <v>45452.9132291667</v>
      </c>
      <c r="L1249" s="3" t="n">
        <v>82</v>
      </c>
      <c r="M1249" s="3" t="n">
        <v>82</v>
      </c>
      <c r="N1249" s="1" t="n">
        <v>30</v>
      </c>
      <c r="O1249" s="1" t="n">
        <v>0</v>
      </c>
    </row>
    <row r="1250" customFormat="false" ht="14.25" hidden="false" customHeight="false" outlineLevel="0" collapsed="false">
      <c r="A1250" s="1" t="n">
        <v>197</v>
      </c>
      <c r="B1250" s="1" t="s">
        <v>702</v>
      </c>
      <c r="C1250" s="1" t="s">
        <v>703</v>
      </c>
      <c r="D1250" s="1" t="n">
        <v>11197</v>
      </c>
      <c r="E1250" s="1" t="s">
        <v>53</v>
      </c>
      <c r="F1250" s="201" t="n">
        <v>200025889791</v>
      </c>
      <c r="G1250" s="198" t="s">
        <v>688</v>
      </c>
      <c r="H1250" s="163" t="s">
        <v>510</v>
      </c>
      <c r="I1250" s="161" t="n">
        <v>80</v>
      </c>
      <c r="J1250" s="156" t="s">
        <v>192</v>
      </c>
      <c r="K1250" s="200" t="n">
        <v>45452.9132291667</v>
      </c>
      <c r="L1250" s="3" t="n">
        <v>82</v>
      </c>
      <c r="M1250" s="3" t="n">
        <v>82</v>
      </c>
      <c r="N1250" s="1" t="n">
        <v>31</v>
      </c>
      <c r="O1250" s="1" t="n">
        <v>1</v>
      </c>
    </row>
    <row r="1251" customFormat="false" ht="14.25" hidden="false" customHeight="false" outlineLevel="0" collapsed="false">
      <c r="A1251" s="1" t="n">
        <v>207</v>
      </c>
      <c r="B1251" s="1" t="s">
        <v>702</v>
      </c>
      <c r="C1251" s="1" t="s">
        <v>703</v>
      </c>
      <c r="D1251" s="1" t="n">
        <v>11197</v>
      </c>
      <c r="E1251" s="1" t="s">
        <v>53</v>
      </c>
      <c r="F1251" s="201" t="n">
        <v>200025889791</v>
      </c>
      <c r="G1251" s="198" t="s">
        <v>688</v>
      </c>
      <c r="H1251" s="163" t="s">
        <v>510</v>
      </c>
      <c r="I1251" s="161" t="n">
        <v>80</v>
      </c>
      <c r="J1251" s="156" t="s">
        <v>192</v>
      </c>
      <c r="K1251" s="200" t="n">
        <v>45453.0175231482</v>
      </c>
      <c r="L1251" s="3" t="n">
        <v>82</v>
      </c>
      <c r="M1251" s="3" t="n">
        <v>82</v>
      </c>
      <c r="N1251" s="1" t="n">
        <v>32</v>
      </c>
      <c r="O1251" s="1" t="n">
        <v>1</v>
      </c>
    </row>
    <row r="1252" customFormat="false" ht="14.25" hidden="false" customHeight="false" outlineLevel="0" collapsed="false">
      <c r="A1252" s="1" t="n">
        <v>208</v>
      </c>
      <c r="B1252" s="1" t="s">
        <v>702</v>
      </c>
      <c r="C1252" s="1" t="s">
        <v>703</v>
      </c>
      <c r="D1252" s="1" t="n">
        <v>11197</v>
      </c>
      <c r="E1252" s="1" t="s">
        <v>53</v>
      </c>
      <c r="F1252" s="201" t="n">
        <v>200025889791</v>
      </c>
      <c r="G1252" s="198" t="s">
        <v>688</v>
      </c>
      <c r="H1252" s="163" t="s">
        <v>510</v>
      </c>
      <c r="I1252" s="161" t="n">
        <v>80</v>
      </c>
      <c r="J1252" s="156" t="s">
        <v>192</v>
      </c>
      <c r="K1252" s="200" t="n">
        <v>45453.0175347222</v>
      </c>
      <c r="L1252" s="3" t="n">
        <v>82</v>
      </c>
      <c r="M1252" s="3" t="n">
        <v>82</v>
      </c>
      <c r="N1252" s="1" t="n">
        <v>33</v>
      </c>
      <c r="O1252" s="1" t="n">
        <v>0</v>
      </c>
    </row>
    <row r="1253" customFormat="false" ht="14.25" hidden="false" customHeight="false" outlineLevel="0" collapsed="false">
      <c r="A1253" s="1" t="n">
        <v>209</v>
      </c>
      <c r="B1253" s="1" t="s">
        <v>702</v>
      </c>
      <c r="C1253" s="1" t="s">
        <v>703</v>
      </c>
      <c r="D1253" s="1" t="n">
        <v>11197</v>
      </c>
      <c r="E1253" s="1" t="s">
        <v>53</v>
      </c>
      <c r="F1253" s="201" t="n">
        <v>200025889791</v>
      </c>
      <c r="G1253" s="198" t="s">
        <v>688</v>
      </c>
      <c r="H1253" s="163" t="s">
        <v>510</v>
      </c>
      <c r="I1253" s="161" t="n">
        <v>80</v>
      </c>
      <c r="J1253" s="156" t="s">
        <v>192</v>
      </c>
      <c r="K1253" s="200" t="n">
        <v>45453.0175462963</v>
      </c>
      <c r="L1253" s="3" t="n">
        <v>82</v>
      </c>
      <c r="M1253" s="3" t="n">
        <v>82</v>
      </c>
      <c r="N1253" s="1" t="n">
        <v>34</v>
      </c>
      <c r="O1253" s="1" t="n">
        <v>1</v>
      </c>
    </row>
    <row r="1254" customFormat="false" ht="14.25" hidden="false" customHeight="false" outlineLevel="0" collapsed="false">
      <c r="A1254" s="1" t="n">
        <v>214</v>
      </c>
      <c r="B1254" s="1" t="s">
        <v>702</v>
      </c>
      <c r="C1254" s="1" t="s">
        <v>703</v>
      </c>
      <c r="D1254" s="1" t="n">
        <v>11197</v>
      </c>
      <c r="E1254" s="1" t="s">
        <v>53</v>
      </c>
      <c r="F1254" s="201" t="n">
        <v>200025889791</v>
      </c>
      <c r="G1254" s="198" t="s">
        <v>688</v>
      </c>
      <c r="H1254" s="163" t="s">
        <v>510</v>
      </c>
      <c r="I1254" s="161" t="n">
        <v>80</v>
      </c>
      <c r="J1254" s="156" t="s">
        <v>192</v>
      </c>
      <c r="K1254" s="200" t="n">
        <v>45453.1038541667</v>
      </c>
      <c r="L1254" s="3" t="n">
        <v>82</v>
      </c>
      <c r="M1254" s="3" t="n">
        <v>82</v>
      </c>
      <c r="N1254" s="1" t="n">
        <v>35</v>
      </c>
      <c r="O1254" s="1" t="n">
        <v>0</v>
      </c>
    </row>
    <row r="1255" customFormat="false" ht="14.25" hidden="false" customHeight="false" outlineLevel="0" collapsed="false">
      <c r="A1255" s="1" t="n">
        <v>215</v>
      </c>
      <c r="B1255" s="1" t="s">
        <v>702</v>
      </c>
      <c r="C1255" s="1" t="s">
        <v>703</v>
      </c>
      <c r="D1255" s="1" t="n">
        <v>11197</v>
      </c>
      <c r="E1255" s="1" t="s">
        <v>53</v>
      </c>
      <c r="F1255" s="201" t="n">
        <v>200025889791</v>
      </c>
      <c r="G1255" s="198" t="s">
        <v>688</v>
      </c>
      <c r="H1255" s="163" t="s">
        <v>510</v>
      </c>
      <c r="I1255" s="161" t="n">
        <v>80</v>
      </c>
      <c r="J1255" s="156" t="s">
        <v>192</v>
      </c>
      <c r="K1255" s="200" t="n">
        <v>45453.1043865741</v>
      </c>
      <c r="L1255" s="3" t="n">
        <v>82</v>
      </c>
      <c r="M1255" s="3" t="n">
        <v>82</v>
      </c>
      <c r="N1255" s="1" t="n">
        <v>36</v>
      </c>
      <c r="O1255" s="1" t="n">
        <v>0</v>
      </c>
    </row>
    <row r="1256" customFormat="false" ht="14.25" hidden="false" customHeight="false" outlineLevel="0" collapsed="false">
      <c r="A1256" s="1" t="n">
        <v>216</v>
      </c>
      <c r="B1256" s="1" t="s">
        <v>702</v>
      </c>
      <c r="C1256" s="1" t="s">
        <v>703</v>
      </c>
      <c r="D1256" s="1" t="n">
        <v>11197</v>
      </c>
      <c r="E1256" s="1" t="s">
        <v>53</v>
      </c>
      <c r="F1256" s="201" t="n">
        <v>200025889791</v>
      </c>
      <c r="G1256" s="198" t="s">
        <v>688</v>
      </c>
      <c r="H1256" s="163" t="s">
        <v>510</v>
      </c>
      <c r="I1256" s="161" t="n">
        <v>80</v>
      </c>
      <c r="J1256" s="156" t="s">
        <v>192</v>
      </c>
      <c r="K1256" s="200" t="n">
        <v>45453.1043981482</v>
      </c>
      <c r="L1256" s="3" t="n">
        <v>82</v>
      </c>
      <c r="M1256" s="3" t="n">
        <v>82</v>
      </c>
      <c r="N1256" s="1" t="n">
        <v>37</v>
      </c>
      <c r="O1256" s="1" t="n">
        <v>0</v>
      </c>
    </row>
    <row r="1257" customFormat="false" ht="14.25" hidden="false" customHeight="false" outlineLevel="0" collapsed="false">
      <c r="A1257" s="1" t="n">
        <v>217</v>
      </c>
      <c r="B1257" s="1" t="s">
        <v>702</v>
      </c>
      <c r="C1257" s="1" t="s">
        <v>703</v>
      </c>
      <c r="D1257" s="1" t="n">
        <v>11197</v>
      </c>
      <c r="E1257" s="1" t="s">
        <v>53</v>
      </c>
      <c r="F1257" s="201" t="n">
        <v>200025889791</v>
      </c>
      <c r="G1257" s="198" t="s">
        <v>688</v>
      </c>
      <c r="H1257" s="163" t="s">
        <v>510</v>
      </c>
      <c r="I1257" s="161" t="n">
        <v>80</v>
      </c>
      <c r="J1257" s="156" t="s">
        <v>192</v>
      </c>
      <c r="K1257" s="200" t="n">
        <v>45453.1045601852</v>
      </c>
      <c r="L1257" s="3" t="n">
        <v>82</v>
      </c>
      <c r="M1257" s="3" t="n">
        <v>82</v>
      </c>
      <c r="N1257" s="1" t="n">
        <v>38</v>
      </c>
      <c r="O1257" s="1" t="n">
        <v>25</v>
      </c>
    </row>
    <row r="1258" customFormat="false" ht="14.25" hidden="false" customHeight="false" outlineLevel="0" collapsed="false">
      <c r="A1258" s="1" t="n">
        <v>218</v>
      </c>
      <c r="B1258" s="1" t="s">
        <v>702</v>
      </c>
      <c r="C1258" s="1" t="s">
        <v>703</v>
      </c>
      <c r="D1258" s="1" t="n">
        <v>11197</v>
      </c>
      <c r="E1258" s="1" t="s">
        <v>53</v>
      </c>
      <c r="F1258" s="201" t="n">
        <v>200025889791</v>
      </c>
      <c r="G1258" s="198" t="s">
        <v>688</v>
      </c>
      <c r="H1258" s="163" t="s">
        <v>510</v>
      </c>
      <c r="I1258" s="161" t="n">
        <v>80</v>
      </c>
      <c r="J1258" s="156" t="s">
        <v>192</v>
      </c>
      <c r="K1258" s="200" t="n">
        <v>45453.1058449074</v>
      </c>
      <c r="L1258" s="3" t="n">
        <v>82</v>
      </c>
      <c r="M1258" s="3" t="n">
        <v>82</v>
      </c>
      <c r="N1258" s="1" t="n">
        <v>39</v>
      </c>
      <c r="O1258" s="1" t="n">
        <v>2</v>
      </c>
    </row>
    <row r="1259" customFormat="false" ht="14.25" hidden="false" customHeight="false" outlineLevel="0" collapsed="false">
      <c r="A1259" s="1" t="n">
        <v>217</v>
      </c>
      <c r="B1259" s="1" t="s">
        <v>565</v>
      </c>
      <c r="C1259" s="1" t="s">
        <v>566</v>
      </c>
      <c r="D1259" s="1" t="n">
        <v>11171</v>
      </c>
      <c r="E1259" s="1" t="s">
        <v>55</v>
      </c>
      <c r="F1259" s="198" t="n">
        <v>200025889791</v>
      </c>
      <c r="G1259" s="198" t="s">
        <v>688</v>
      </c>
      <c r="H1259" s="163" t="s">
        <v>510</v>
      </c>
      <c r="I1259" s="161" t="n">
        <v>80</v>
      </c>
      <c r="J1259" s="156" t="s">
        <v>192</v>
      </c>
      <c r="K1259" s="199" t="n">
        <v>45453.2722685185</v>
      </c>
      <c r="L1259" s="3" t="n">
        <v>82</v>
      </c>
      <c r="M1259" s="3" t="n">
        <v>82</v>
      </c>
      <c r="N1259" s="1" t="n">
        <v>40</v>
      </c>
      <c r="O1259" s="1" t="n">
        <v>2</v>
      </c>
    </row>
    <row r="1260" customFormat="false" ht="14.25" hidden="false" customHeight="false" outlineLevel="0" collapsed="false">
      <c r="A1260" s="1" t="n">
        <v>218</v>
      </c>
      <c r="B1260" s="1" t="s">
        <v>565</v>
      </c>
      <c r="C1260" s="1" t="s">
        <v>566</v>
      </c>
      <c r="D1260" s="1" t="n">
        <v>11171</v>
      </c>
      <c r="E1260" s="1" t="s">
        <v>55</v>
      </c>
      <c r="F1260" s="198" t="n">
        <v>200025889791</v>
      </c>
      <c r="G1260" s="198" t="s">
        <v>688</v>
      </c>
      <c r="H1260" s="163" t="s">
        <v>510</v>
      </c>
      <c r="I1260" s="161" t="n">
        <v>80</v>
      </c>
      <c r="J1260" s="156" t="s">
        <v>192</v>
      </c>
      <c r="K1260" s="199" t="n">
        <v>45453.2725694444</v>
      </c>
      <c r="L1260" s="3" t="n">
        <v>82</v>
      </c>
      <c r="M1260" s="3" t="n">
        <v>82</v>
      </c>
      <c r="N1260" s="1" t="n">
        <v>41</v>
      </c>
      <c r="O1260" s="1" t="n">
        <v>1</v>
      </c>
    </row>
    <row r="1261" customFormat="false" ht="14.25" hidden="false" customHeight="false" outlineLevel="0" collapsed="false">
      <c r="A1261" s="1" t="n">
        <v>228</v>
      </c>
      <c r="B1261" s="1" t="s">
        <v>565</v>
      </c>
      <c r="C1261" s="1" t="s">
        <v>566</v>
      </c>
      <c r="D1261" s="1" t="n">
        <v>11171</v>
      </c>
      <c r="E1261" s="1" t="s">
        <v>55</v>
      </c>
      <c r="F1261" s="198" t="n">
        <v>200025889791</v>
      </c>
      <c r="G1261" s="198" t="s">
        <v>688</v>
      </c>
      <c r="H1261" s="163" t="s">
        <v>510</v>
      </c>
      <c r="I1261" s="161" t="n">
        <v>80</v>
      </c>
      <c r="J1261" s="156" t="s">
        <v>192</v>
      </c>
      <c r="K1261" s="199" t="n">
        <v>45453.3289351852</v>
      </c>
      <c r="L1261" s="3" t="n">
        <v>82</v>
      </c>
      <c r="M1261" s="3" t="n">
        <v>82</v>
      </c>
      <c r="N1261" s="1" t="n">
        <v>42</v>
      </c>
      <c r="O1261" s="1" t="n">
        <v>1</v>
      </c>
    </row>
    <row r="1262" customFormat="false" ht="14.25" hidden="false" customHeight="false" outlineLevel="0" collapsed="false">
      <c r="A1262" s="1" t="n">
        <v>22</v>
      </c>
      <c r="B1262" s="1" t="s">
        <v>684</v>
      </c>
      <c r="C1262" s="1" t="s">
        <v>685</v>
      </c>
      <c r="D1262" s="1" t="n">
        <v>21296</v>
      </c>
      <c r="E1262" s="1" t="s">
        <v>57</v>
      </c>
      <c r="F1262" s="201" t="n">
        <v>200025889791</v>
      </c>
      <c r="G1262" s="198" t="s">
        <v>688</v>
      </c>
      <c r="H1262" s="163" t="s">
        <v>510</v>
      </c>
      <c r="I1262" s="161" t="n">
        <v>80</v>
      </c>
      <c r="J1262" s="156" t="s">
        <v>192</v>
      </c>
      <c r="K1262" s="200" t="n">
        <v>45453.6422453704</v>
      </c>
      <c r="L1262" s="3" t="n">
        <v>82</v>
      </c>
      <c r="M1262" s="3" t="n">
        <v>82</v>
      </c>
      <c r="N1262" s="1" t="n">
        <v>43</v>
      </c>
      <c r="O1262" s="1" t="n">
        <v>0</v>
      </c>
    </row>
    <row r="1263" customFormat="false" ht="14.25" hidden="false" customHeight="false" outlineLevel="0" collapsed="false">
      <c r="A1263" s="1" t="n">
        <v>23</v>
      </c>
      <c r="B1263" s="1" t="s">
        <v>684</v>
      </c>
      <c r="C1263" s="1" t="s">
        <v>685</v>
      </c>
      <c r="D1263" s="1" t="n">
        <v>21296</v>
      </c>
      <c r="E1263" s="1" t="s">
        <v>57</v>
      </c>
      <c r="F1263" s="201" t="n">
        <v>200025889791</v>
      </c>
      <c r="G1263" s="198" t="s">
        <v>688</v>
      </c>
      <c r="H1263" s="163" t="s">
        <v>510</v>
      </c>
      <c r="I1263" s="161" t="n">
        <v>80</v>
      </c>
      <c r="J1263" s="156" t="s">
        <v>192</v>
      </c>
      <c r="K1263" s="200" t="n">
        <v>45453.6422453704</v>
      </c>
      <c r="L1263" s="3" t="n">
        <v>82</v>
      </c>
      <c r="M1263" s="3" t="n">
        <v>82</v>
      </c>
      <c r="N1263" s="1" t="n">
        <v>44</v>
      </c>
      <c r="O1263" s="1" t="n">
        <v>5</v>
      </c>
    </row>
    <row r="1264" customFormat="false" ht="14.25" hidden="false" customHeight="false" outlineLevel="0" collapsed="false">
      <c r="A1264" s="1" t="n">
        <v>24</v>
      </c>
      <c r="B1264" s="1" t="s">
        <v>684</v>
      </c>
      <c r="C1264" s="1" t="s">
        <v>685</v>
      </c>
      <c r="D1264" s="1" t="n">
        <v>21296</v>
      </c>
      <c r="E1264" s="1" t="s">
        <v>57</v>
      </c>
      <c r="F1264" s="201" t="n">
        <v>200025889791</v>
      </c>
      <c r="G1264" s="198" t="s">
        <v>688</v>
      </c>
      <c r="H1264" s="163" t="s">
        <v>510</v>
      </c>
      <c r="I1264" s="161" t="n">
        <v>80</v>
      </c>
      <c r="J1264" s="156" t="s">
        <v>192</v>
      </c>
      <c r="K1264" s="200" t="n">
        <v>45453.6427893519</v>
      </c>
      <c r="L1264" s="3" t="n">
        <v>82</v>
      </c>
      <c r="M1264" s="3" t="n">
        <v>82</v>
      </c>
      <c r="N1264" s="1" t="n">
        <v>45</v>
      </c>
      <c r="O1264" s="1" t="n">
        <v>1</v>
      </c>
    </row>
    <row r="1265" customFormat="false" ht="14.25" hidden="false" customHeight="false" outlineLevel="0" collapsed="false">
      <c r="A1265" s="1" t="n">
        <v>26</v>
      </c>
      <c r="B1265" s="1" t="s">
        <v>684</v>
      </c>
      <c r="C1265" s="1" t="s">
        <v>685</v>
      </c>
      <c r="D1265" s="1" t="n">
        <v>21296</v>
      </c>
      <c r="E1265" s="1" t="s">
        <v>57</v>
      </c>
      <c r="F1265" s="201" t="n">
        <v>200025889791</v>
      </c>
      <c r="G1265" s="198" t="s">
        <v>688</v>
      </c>
      <c r="H1265" s="163" t="s">
        <v>510</v>
      </c>
      <c r="I1265" s="161" t="n">
        <v>80</v>
      </c>
      <c r="J1265" s="156" t="s">
        <v>192</v>
      </c>
      <c r="K1265" s="200" t="n">
        <v>45453.6572106482</v>
      </c>
      <c r="L1265" s="3" t="n">
        <v>82</v>
      </c>
      <c r="M1265" s="3" t="n">
        <v>82</v>
      </c>
      <c r="N1265" s="1" t="n">
        <v>46</v>
      </c>
      <c r="O1265" s="1" t="n">
        <v>1</v>
      </c>
    </row>
    <row r="1266" customFormat="false" ht="14.25" hidden="false" customHeight="false" outlineLevel="0" collapsed="false">
      <c r="A1266" s="1" t="n">
        <v>27</v>
      </c>
      <c r="B1266" s="1" t="s">
        <v>684</v>
      </c>
      <c r="C1266" s="1" t="s">
        <v>685</v>
      </c>
      <c r="D1266" s="1" t="n">
        <v>21296</v>
      </c>
      <c r="E1266" s="1" t="s">
        <v>57</v>
      </c>
      <c r="F1266" s="201" t="n">
        <v>200025889791</v>
      </c>
      <c r="G1266" s="198" t="s">
        <v>688</v>
      </c>
      <c r="H1266" s="163" t="s">
        <v>510</v>
      </c>
      <c r="I1266" s="161" t="n">
        <v>80</v>
      </c>
      <c r="J1266" s="156" t="s">
        <v>192</v>
      </c>
      <c r="K1266" s="200" t="n">
        <v>45453.6572337963</v>
      </c>
      <c r="L1266" s="3" t="n">
        <v>82</v>
      </c>
      <c r="M1266" s="3" t="n">
        <v>82</v>
      </c>
      <c r="N1266" s="1" t="n">
        <v>47</v>
      </c>
      <c r="O1266" s="1" t="n">
        <v>0</v>
      </c>
    </row>
    <row r="1267" customFormat="false" ht="14.25" hidden="false" customHeight="false" outlineLevel="0" collapsed="false">
      <c r="A1267" s="1" t="n">
        <v>28</v>
      </c>
      <c r="B1267" s="1" t="s">
        <v>684</v>
      </c>
      <c r="C1267" s="1" t="s">
        <v>685</v>
      </c>
      <c r="D1267" s="1" t="n">
        <v>21296</v>
      </c>
      <c r="E1267" s="1" t="s">
        <v>57</v>
      </c>
      <c r="F1267" s="201" t="n">
        <v>200025889791</v>
      </c>
      <c r="G1267" s="198" t="s">
        <v>688</v>
      </c>
      <c r="H1267" s="163" t="s">
        <v>510</v>
      </c>
      <c r="I1267" s="161" t="n">
        <v>80</v>
      </c>
      <c r="J1267" s="156" t="s">
        <v>192</v>
      </c>
      <c r="K1267" s="200" t="n">
        <v>45453.6582291667</v>
      </c>
      <c r="L1267" s="3" t="n">
        <v>82</v>
      </c>
      <c r="M1267" s="3" t="n">
        <v>82</v>
      </c>
      <c r="N1267" s="1" t="n">
        <v>48</v>
      </c>
      <c r="O1267" s="1" t="n">
        <v>1</v>
      </c>
    </row>
    <row r="1268" customFormat="false" ht="14.25" hidden="false" customHeight="false" outlineLevel="0" collapsed="false">
      <c r="A1268" s="1" t="n">
        <v>283</v>
      </c>
      <c r="B1268" s="1" t="s">
        <v>702</v>
      </c>
      <c r="C1268" s="1" t="s">
        <v>703</v>
      </c>
      <c r="D1268" s="1" t="n">
        <v>11197</v>
      </c>
      <c r="E1268" s="1" t="s">
        <v>53</v>
      </c>
      <c r="F1268" s="201" t="n">
        <v>200025888910</v>
      </c>
      <c r="G1268" s="198" t="s">
        <v>688</v>
      </c>
      <c r="H1268" s="163" t="s">
        <v>510</v>
      </c>
      <c r="I1268" s="161" t="n">
        <v>80</v>
      </c>
      <c r="J1268" s="156" t="s">
        <v>192</v>
      </c>
      <c r="K1268" s="200" t="n">
        <v>45453.6582638889</v>
      </c>
      <c r="L1268" s="3" t="n">
        <v>82</v>
      </c>
      <c r="M1268" s="3" t="n">
        <v>82</v>
      </c>
      <c r="N1268" s="1" t="n">
        <v>49</v>
      </c>
      <c r="O1268" s="1" t="n">
        <v>1</v>
      </c>
    </row>
    <row r="1269" customFormat="false" ht="14.25" hidden="false" customHeight="false" outlineLevel="0" collapsed="false">
      <c r="A1269" s="1" t="n">
        <v>30</v>
      </c>
      <c r="B1269" s="1" t="s">
        <v>684</v>
      </c>
      <c r="C1269" s="1" t="s">
        <v>685</v>
      </c>
      <c r="D1269" s="1" t="n">
        <v>21296</v>
      </c>
      <c r="E1269" s="1" t="s">
        <v>57</v>
      </c>
      <c r="F1269" s="201" t="n">
        <v>200025889791</v>
      </c>
      <c r="G1269" s="198" t="s">
        <v>688</v>
      </c>
      <c r="H1269" s="163" t="s">
        <v>510</v>
      </c>
      <c r="I1269" s="161" t="n">
        <v>80</v>
      </c>
      <c r="J1269" s="156" t="s">
        <v>192</v>
      </c>
      <c r="K1269" s="200" t="n">
        <v>45453.6587384259</v>
      </c>
      <c r="L1269" s="3" t="n">
        <v>82</v>
      </c>
      <c r="M1269" s="3" t="n">
        <v>82</v>
      </c>
      <c r="N1269" s="1" t="n">
        <v>50</v>
      </c>
      <c r="O1269" s="1" t="n">
        <v>2</v>
      </c>
    </row>
    <row r="1270" customFormat="false" ht="14.25" hidden="false" customHeight="false" outlineLevel="0" collapsed="false">
      <c r="A1270" s="1" t="n">
        <v>156</v>
      </c>
      <c r="B1270" s="1" t="s">
        <v>565</v>
      </c>
      <c r="C1270" s="1" t="s">
        <v>566</v>
      </c>
      <c r="D1270" s="196" t="n">
        <v>2568</v>
      </c>
      <c r="E1270" s="196" t="s">
        <v>51</v>
      </c>
      <c r="F1270" s="197" t="s">
        <v>611</v>
      </c>
      <c r="G1270" s="198" t="s">
        <v>612</v>
      </c>
      <c r="H1270" s="163" t="s">
        <v>333</v>
      </c>
      <c r="I1270" s="161" t="n">
        <v>21</v>
      </c>
      <c r="J1270" s="156" t="s">
        <v>192</v>
      </c>
      <c r="K1270" s="199" t="n">
        <v>45436.1617476852</v>
      </c>
      <c r="L1270" s="3" t="n">
        <v>83</v>
      </c>
      <c r="M1270" s="3" t="n">
        <v>83</v>
      </c>
      <c r="N1270" s="1" t="n">
        <v>1</v>
      </c>
      <c r="O1270" s="1" t="n">
        <v>0</v>
      </c>
    </row>
    <row r="1271" customFormat="false" ht="14.25" hidden="false" customHeight="false" outlineLevel="0" collapsed="false">
      <c r="A1271" s="1" t="n">
        <v>157</v>
      </c>
      <c r="B1271" s="1" t="s">
        <v>565</v>
      </c>
      <c r="C1271" s="1" t="s">
        <v>566</v>
      </c>
      <c r="D1271" s="196" t="n">
        <v>2568</v>
      </c>
      <c r="E1271" s="196" t="s">
        <v>51</v>
      </c>
      <c r="F1271" s="197" t="s">
        <v>611</v>
      </c>
      <c r="G1271" s="198" t="s">
        <v>612</v>
      </c>
      <c r="H1271" s="163" t="s">
        <v>333</v>
      </c>
      <c r="I1271" s="161" t="n">
        <v>21</v>
      </c>
      <c r="J1271" s="156" t="s">
        <v>192</v>
      </c>
      <c r="K1271" s="199" t="n">
        <v>45436.1637037037</v>
      </c>
      <c r="L1271" s="3" t="n">
        <v>83</v>
      </c>
      <c r="M1271" s="3" t="n">
        <v>83</v>
      </c>
      <c r="N1271" s="1" t="n">
        <v>2</v>
      </c>
      <c r="O1271" s="1" t="n">
        <v>2</v>
      </c>
    </row>
    <row r="1272" customFormat="false" ht="14.25" hidden="false" customHeight="false" outlineLevel="0" collapsed="false">
      <c r="A1272" s="1" t="n">
        <v>158</v>
      </c>
      <c r="B1272" s="1" t="s">
        <v>565</v>
      </c>
      <c r="C1272" s="1" t="s">
        <v>566</v>
      </c>
      <c r="D1272" s="196" t="n">
        <v>2568</v>
      </c>
      <c r="E1272" s="196" t="s">
        <v>51</v>
      </c>
      <c r="F1272" s="197" t="s">
        <v>611</v>
      </c>
      <c r="G1272" s="198" t="s">
        <v>612</v>
      </c>
      <c r="H1272" s="163" t="s">
        <v>333</v>
      </c>
      <c r="I1272" s="161" t="n">
        <v>21</v>
      </c>
      <c r="J1272" s="156" t="s">
        <v>192</v>
      </c>
      <c r="K1272" s="199" t="n">
        <v>45436.1653703704</v>
      </c>
      <c r="L1272" s="3" t="n">
        <v>83</v>
      </c>
      <c r="M1272" s="3" t="n">
        <v>83</v>
      </c>
      <c r="N1272" s="1" t="n">
        <v>3</v>
      </c>
      <c r="O1272" s="1" t="n">
        <v>1</v>
      </c>
    </row>
    <row r="1273" customFormat="false" ht="14.25" hidden="false" customHeight="false" outlineLevel="0" collapsed="false">
      <c r="A1273" s="1" t="n">
        <v>159</v>
      </c>
      <c r="B1273" s="1" t="s">
        <v>565</v>
      </c>
      <c r="C1273" s="1" t="s">
        <v>566</v>
      </c>
      <c r="D1273" s="196" t="n">
        <v>2568</v>
      </c>
      <c r="E1273" s="196" t="s">
        <v>51</v>
      </c>
      <c r="F1273" s="197" t="s">
        <v>611</v>
      </c>
      <c r="G1273" s="198" t="s">
        <v>612</v>
      </c>
      <c r="H1273" s="163" t="s">
        <v>333</v>
      </c>
      <c r="I1273" s="161" t="n">
        <v>21</v>
      </c>
      <c r="J1273" s="156" t="s">
        <v>192</v>
      </c>
      <c r="K1273" s="199" t="n">
        <v>45436.1663194444</v>
      </c>
      <c r="L1273" s="3" t="n">
        <v>83</v>
      </c>
      <c r="M1273" s="3" t="n">
        <v>83</v>
      </c>
      <c r="N1273" s="1" t="n">
        <v>4</v>
      </c>
      <c r="O1273" s="1" t="n">
        <v>1</v>
      </c>
    </row>
    <row r="1274" customFormat="false" ht="14.25" hidden="false" customHeight="false" outlineLevel="0" collapsed="false">
      <c r="A1274" s="1" t="n">
        <v>160</v>
      </c>
      <c r="B1274" s="1" t="s">
        <v>565</v>
      </c>
      <c r="C1274" s="1" t="s">
        <v>566</v>
      </c>
      <c r="D1274" s="196" t="n">
        <v>2568</v>
      </c>
      <c r="E1274" s="196" t="s">
        <v>51</v>
      </c>
      <c r="F1274" s="197" t="s">
        <v>611</v>
      </c>
      <c r="G1274" s="198" t="s">
        <v>612</v>
      </c>
      <c r="H1274" s="163" t="s">
        <v>333</v>
      </c>
      <c r="I1274" s="161" t="n">
        <v>21</v>
      </c>
      <c r="J1274" s="156" t="s">
        <v>192</v>
      </c>
      <c r="K1274" s="199" t="n">
        <v>45436.166875</v>
      </c>
      <c r="L1274" s="3" t="n">
        <v>83</v>
      </c>
      <c r="M1274" s="3" t="n">
        <v>83</v>
      </c>
      <c r="N1274" s="1" t="n">
        <v>5</v>
      </c>
      <c r="O1274" s="1" t="n">
        <v>1</v>
      </c>
    </row>
    <row r="1275" customFormat="false" ht="14.25" hidden="false" customHeight="false" outlineLevel="0" collapsed="false">
      <c r="A1275" s="1" t="n">
        <v>161</v>
      </c>
      <c r="B1275" s="1" t="s">
        <v>565</v>
      </c>
      <c r="C1275" s="1" t="s">
        <v>566</v>
      </c>
      <c r="D1275" s="196" t="n">
        <v>2568</v>
      </c>
      <c r="E1275" s="196" t="s">
        <v>51</v>
      </c>
      <c r="F1275" s="197" t="s">
        <v>611</v>
      </c>
      <c r="G1275" s="198" t="s">
        <v>612</v>
      </c>
      <c r="H1275" s="163" t="s">
        <v>333</v>
      </c>
      <c r="I1275" s="161" t="n">
        <v>21</v>
      </c>
      <c r="J1275" s="156" t="s">
        <v>192</v>
      </c>
      <c r="K1275" s="199" t="n">
        <v>45436.1685648148</v>
      </c>
      <c r="L1275" s="3" t="n">
        <v>83</v>
      </c>
      <c r="M1275" s="3" t="n">
        <v>83</v>
      </c>
      <c r="N1275" s="1" t="n">
        <v>6</v>
      </c>
      <c r="O1275" s="1" t="n">
        <v>1</v>
      </c>
    </row>
    <row r="1276" customFormat="false" ht="14.25" hidden="false" customHeight="false" outlineLevel="0" collapsed="false">
      <c r="A1276" s="1" t="n">
        <v>162</v>
      </c>
      <c r="B1276" s="1" t="s">
        <v>565</v>
      </c>
      <c r="C1276" s="1" t="s">
        <v>566</v>
      </c>
      <c r="D1276" s="196" t="n">
        <v>2568</v>
      </c>
      <c r="E1276" s="196" t="s">
        <v>51</v>
      </c>
      <c r="F1276" s="197" t="s">
        <v>611</v>
      </c>
      <c r="G1276" s="198" t="s">
        <v>612</v>
      </c>
      <c r="H1276" s="163" t="s">
        <v>333</v>
      </c>
      <c r="I1276" s="161" t="n">
        <v>21</v>
      </c>
      <c r="J1276" s="156" t="s">
        <v>192</v>
      </c>
      <c r="K1276" s="199" t="n">
        <v>45436.168587963</v>
      </c>
      <c r="L1276" s="3" t="n">
        <v>83</v>
      </c>
      <c r="M1276" s="3" t="n">
        <v>83</v>
      </c>
      <c r="N1276" s="1" t="n">
        <v>7</v>
      </c>
      <c r="O1276" s="1" t="n">
        <v>0</v>
      </c>
    </row>
    <row r="1277" customFormat="false" ht="14.25" hidden="false" customHeight="false" outlineLevel="0" collapsed="false">
      <c r="A1277" s="1" t="n">
        <v>163</v>
      </c>
      <c r="B1277" s="1" t="s">
        <v>565</v>
      </c>
      <c r="C1277" s="1" t="s">
        <v>566</v>
      </c>
      <c r="D1277" s="196" t="n">
        <v>2568</v>
      </c>
      <c r="E1277" s="196" t="s">
        <v>51</v>
      </c>
      <c r="F1277" s="197" t="s">
        <v>611</v>
      </c>
      <c r="G1277" s="198" t="s">
        <v>612</v>
      </c>
      <c r="H1277" s="163" t="s">
        <v>333</v>
      </c>
      <c r="I1277" s="161" t="n">
        <v>21</v>
      </c>
      <c r="J1277" s="156" t="s">
        <v>192</v>
      </c>
      <c r="K1277" s="199" t="n">
        <v>45436.1700347222</v>
      </c>
      <c r="L1277" s="3" t="n">
        <v>83</v>
      </c>
      <c r="M1277" s="3" t="n">
        <v>83</v>
      </c>
      <c r="N1277" s="1" t="n">
        <v>8</v>
      </c>
      <c r="O1277" s="1" t="n">
        <v>1</v>
      </c>
    </row>
    <row r="1278" customFormat="false" ht="14.25" hidden="false" customHeight="false" outlineLevel="0" collapsed="false">
      <c r="A1278" s="1" t="n">
        <v>164</v>
      </c>
      <c r="B1278" s="1" t="s">
        <v>565</v>
      </c>
      <c r="C1278" s="1" t="s">
        <v>566</v>
      </c>
      <c r="D1278" s="196" t="n">
        <v>2568</v>
      </c>
      <c r="E1278" s="196" t="s">
        <v>51</v>
      </c>
      <c r="F1278" s="197" t="s">
        <v>611</v>
      </c>
      <c r="G1278" s="198" t="s">
        <v>612</v>
      </c>
      <c r="H1278" s="163" t="s">
        <v>333</v>
      </c>
      <c r="I1278" s="161" t="n">
        <v>21</v>
      </c>
      <c r="J1278" s="156" t="s">
        <v>192</v>
      </c>
      <c r="K1278" s="199" t="n">
        <v>45436.1700462963</v>
      </c>
      <c r="L1278" s="3" t="n">
        <v>83</v>
      </c>
      <c r="M1278" s="3" t="n">
        <v>83</v>
      </c>
      <c r="N1278" s="1" t="n">
        <v>9</v>
      </c>
      <c r="O1278" s="1" t="n">
        <v>1</v>
      </c>
    </row>
    <row r="1279" customFormat="false" ht="14.25" hidden="false" customHeight="false" outlineLevel="0" collapsed="false">
      <c r="A1279" s="1" t="n">
        <v>165</v>
      </c>
      <c r="B1279" s="1" t="s">
        <v>565</v>
      </c>
      <c r="C1279" s="1" t="s">
        <v>566</v>
      </c>
      <c r="D1279" s="196" t="n">
        <v>2568</v>
      </c>
      <c r="E1279" s="196" t="s">
        <v>51</v>
      </c>
      <c r="F1279" s="197" t="s">
        <v>611</v>
      </c>
      <c r="G1279" s="198" t="s">
        <v>612</v>
      </c>
      <c r="H1279" s="163" t="s">
        <v>333</v>
      </c>
      <c r="I1279" s="161" t="n">
        <v>21</v>
      </c>
      <c r="J1279" s="156" t="s">
        <v>192</v>
      </c>
      <c r="K1279" s="199" t="n">
        <v>45436.1711805556</v>
      </c>
      <c r="L1279" s="3" t="n">
        <v>83</v>
      </c>
      <c r="M1279" s="3" t="n">
        <v>83</v>
      </c>
      <c r="N1279" s="1" t="n">
        <v>10</v>
      </c>
      <c r="O1279" s="1" t="n">
        <v>0</v>
      </c>
    </row>
    <row r="1280" customFormat="false" ht="14.25" hidden="false" customHeight="false" outlineLevel="0" collapsed="false">
      <c r="A1280" s="1" t="n">
        <v>166</v>
      </c>
      <c r="B1280" s="1" t="s">
        <v>565</v>
      </c>
      <c r="C1280" s="1" t="s">
        <v>566</v>
      </c>
      <c r="D1280" s="196" t="n">
        <v>2568</v>
      </c>
      <c r="E1280" s="196" t="s">
        <v>51</v>
      </c>
      <c r="F1280" s="197" t="s">
        <v>611</v>
      </c>
      <c r="G1280" s="198" t="s">
        <v>612</v>
      </c>
      <c r="H1280" s="163" t="s">
        <v>333</v>
      </c>
      <c r="I1280" s="161" t="n">
        <v>21</v>
      </c>
      <c r="J1280" s="156" t="s">
        <v>192</v>
      </c>
      <c r="K1280" s="199" t="n">
        <v>45436.1729976852</v>
      </c>
      <c r="L1280" s="3" t="n">
        <v>83</v>
      </c>
      <c r="M1280" s="3" t="n">
        <v>83</v>
      </c>
      <c r="N1280" s="1" t="n">
        <v>11</v>
      </c>
      <c r="O1280" s="1" t="n">
        <v>1</v>
      </c>
    </row>
    <row r="1281" customFormat="false" ht="14.25" hidden="false" customHeight="false" outlineLevel="0" collapsed="false">
      <c r="A1281" s="1" t="n">
        <v>167</v>
      </c>
      <c r="B1281" s="1" t="s">
        <v>565</v>
      </c>
      <c r="C1281" s="1" t="s">
        <v>566</v>
      </c>
      <c r="D1281" s="196" t="n">
        <v>2568</v>
      </c>
      <c r="E1281" s="196" t="s">
        <v>51</v>
      </c>
      <c r="F1281" s="197" t="s">
        <v>611</v>
      </c>
      <c r="G1281" s="198" t="s">
        <v>612</v>
      </c>
      <c r="H1281" s="163" t="s">
        <v>333</v>
      </c>
      <c r="I1281" s="161" t="n">
        <v>21</v>
      </c>
      <c r="J1281" s="156" t="s">
        <v>192</v>
      </c>
      <c r="K1281" s="199" t="n">
        <v>45436.1730092593</v>
      </c>
      <c r="L1281" s="3" t="n">
        <v>83</v>
      </c>
      <c r="M1281" s="3" t="n">
        <v>83</v>
      </c>
      <c r="N1281" s="1" t="n">
        <v>12</v>
      </c>
      <c r="O1281" s="1" t="n">
        <v>0</v>
      </c>
    </row>
    <row r="1282" customFormat="false" ht="14.25" hidden="false" customHeight="false" outlineLevel="0" collapsed="false">
      <c r="A1282" s="1" t="n">
        <v>168</v>
      </c>
      <c r="B1282" s="1" t="s">
        <v>565</v>
      </c>
      <c r="C1282" s="1" t="s">
        <v>566</v>
      </c>
      <c r="D1282" s="196" t="n">
        <v>2568</v>
      </c>
      <c r="E1282" s="196" t="s">
        <v>51</v>
      </c>
      <c r="F1282" s="197" t="s">
        <v>611</v>
      </c>
      <c r="G1282" s="198" t="s">
        <v>612</v>
      </c>
      <c r="H1282" s="163" t="s">
        <v>333</v>
      </c>
      <c r="I1282" s="161" t="n">
        <v>21</v>
      </c>
      <c r="J1282" s="156" t="s">
        <v>192</v>
      </c>
      <c r="K1282" s="199" t="n">
        <v>45436.1730208333</v>
      </c>
      <c r="L1282" s="3" t="n">
        <v>83</v>
      </c>
      <c r="M1282" s="3" t="n">
        <v>83</v>
      </c>
      <c r="N1282" s="1" t="n">
        <v>13</v>
      </c>
      <c r="O1282" s="1" t="n">
        <v>1</v>
      </c>
    </row>
    <row r="1283" customFormat="false" ht="14.25" hidden="false" customHeight="false" outlineLevel="0" collapsed="false">
      <c r="A1283" s="1" t="n">
        <v>170</v>
      </c>
      <c r="B1283" s="1" t="s">
        <v>565</v>
      </c>
      <c r="C1283" s="1" t="s">
        <v>566</v>
      </c>
      <c r="D1283" s="196" t="n">
        <v>2568</v>
      </c>
      <c r="E1283" s="196" t="s">
        <v>51</v>
      </c>
      <c r="F1283" s="197" t="s">
        <v>611</v>
      </c>
      <c r="G1283" s="198" t="s">
        <v>612</v>
      </c>
      <c r="H1283" s="163" t="s">
        <v>333</v>
      </c>
      <c r="I1283" s="161" t="n">
        <v>21</v>
      </c>
      <c r="J1283" s="156" t="s">
        <v>192</v>
      </c>
      <c r="K1283" s="199" t="n">
        <v>45436.1822337963</v>
      </c>
      <c r="L1283" s="3" t="n">
        <v>83</v>
      </c>
      <c r="M1283" s="3" t="n">
        <v>83</v>
      </c>
      <c r="N1283" s="1" t="n">
        <v>14</v>
      </c>
      <c r="O1283" s="1" t="n">
        <v>1</v>
      </c>
    </row>
    <row r="1284" customFormat="false" ht="14.25" hidden="false" customHeight="false" outlineLevel="0" collapsed="false">
      <c r="A1284" s="1" t="n">
        <v>171</v>
      </c>
      <c r="B1284" s="1" t="s">
        <v>565</v>
      </c>
      <c r="C1284" s="1" t="s">
        <v>566</v>
      </c>
      <c r="D1284" s="196" t="n">
        <v>2568</v>
      </c>
      <c r="E1284" s="196" t="s">
        <v>51</v>
      </c>
      <c r="F1284" s="197" t="s">
        <v>611</v>
      </c>
      <c r="G1284" s="198" t="s">
        <v>612</v>
      </c>
      <c r="H1284" s="163" t="s">
        <v>333</v>
      </c>
      <c r="I1284" s="161" t="n">
        <v>21</v>
      </c>
      <c r="J1284" s="156" t="s">
        <v>192</v>
      </c>
      <c r="K1284" s="199" t="n">
        <v>45436.1827314815</v>
      </c>
      <c r="L1284" s="3" t="n">
        <v>83</v>
      </c>
      <c r="M1284" s="3" t="n">
        <v>83</v>
      </c>
      <c r="N1284" s="1" t="n">
        <v>15</v>
      </c>
      <c r="O1284" s="1" t="n">
        <v>1</v>
      </c>
    </row>
    <row r="1285" customFormat="false" ht="14.25" hidden="false" customHeight="false" outlineLevel="0" collapsed="false">
      <c r="A1285" s="1" t="n">
        <v>81</v>
      </c>
      <c r="B1285" s="1" t="s">
        <v>565</v>
      </c>
      <c r="C1285" s="1" t="s">
        <v>566</v>
      </c>
      <c r="D1285" s="1" t="n">
        <v>11171</v>
      </c>
      <c r="E1285" s="1" t="s">
        <v>55</v>
      </c>
      <c r="F1285" s="198" t="n">
        <v>200025889163</v>
      </c>
      <c r="G1285" s="198" t="s">
        <v>612</v>
      </c>
      <c r="H1285" s="163" t="s">
        <v>333</v>
      </c>
      <c r="I1285" s="161" t="n">
        <v>21</v>
      </c>
      <c r="J1285" s="156" t="s">
        <v>192</v>
      </c>
      <c r="K1285" s="199" t="n">
        <v>45452.4423726852</v>
      </c>
      <c r="L1285" s="3" t="n">
        <v>83</v>
      </c>
      <c r="M1285" s="3" t="n">
        <v>83</v>
      </c>
      <c r="N1285" s="1" t="n">
        <v>16</v>
      </c>
      <c r="O1285" s="1" t="n">
        <v>1</v>
      </c>
    </row>
    <row r="1286" customFormat="false" ht="14.25" hidden="false" customHeight="false" outlineLevel="0" collapsed="false">
      <c r="A1286" s="1" t="n">
        <v>82</v>
      </c>
      <c r="B1286" s="1" t="s">
        <v>565</v>
      </c>
      <c r="C1286" s="1" t="s">
        <v>566</v>
      </c>
      <c r="D1286" s="1" t="n">
        <v>11171</v>
      </c>
      <c r="E1286" s="1" t="s">
        <v>55</v>
      </c>
      <c r="F1286" s="198" t="n">
        <v>200025889163</v>
      </c>
      <c r="G1286" s="198" t="s">
        <v>612</v>
      </c>
      <c r="H1286" s="163" t="s">
        <v>333</v>
      </c>
      <c r="I1286" s="161" t="n">
        <v>21</v>
      </c>
      <c r="J1286" s="156" t="s">
        <v>192</v>
      </c>
      <c r="K1286" s="199" t="n">
        <v>45452.4522337963</v>
      </c>
      <c r="L1286" s="3" t="n">
        <v>83</v>
      </c>
      <c r="M1286" s="3" t="n">
        <v>83</v>
      </c>
      <c r="N1286" s="1" t="n">
        <v>17</v>
      </c>
      <c r="O1286" s="1" t="n">
        <v>2</v>
      </c>
    </row>
    <row r="1287" customFormat="false" ht="14.25" hidden="false" customHeight="false" outlineLevel="0" collapsed="false">
      <c r="A1287" s="1" t="n">
        <v>89</v>
      </c>
      <c r="B1287" s="1" t="s">
        <v>565</v>
      </c>
      <c r="C1287" s="1" t="s">
        <v>566</v>
      </c>
      <c r="D1287" s="1" t="n">
        <v>11171</v>
      </c>
      <c r="E1287" s="1" t="s">
        <v>55</v>
      </c>
      <c r="F1287" s="198" t="n">
        <v>200025889163</v>
      </c>
      <c r="G1287" s="198" t="s">
        <v>612</v>
      </c>
      <c r="H1287" s="163" t="s">
        <v>333</v>
      </c>
      <c r="I1287" s="161" t="n">
        <v>21</v>
      </c>
      <c r="J1287" s="156" t="s">
        <v>192</v>
      </c>
      <c r="K1287" s="199" t="n">
        <v>45452.4612962963</v>
      </c>
      <c r="L1287" s="3" t="n">
        <v>83</v>
      </c>
      <c r="M1287" s="3" t="n">
        <v>83</v>
      </c>
      <c r="N1287" s="1" t="n">
        <v>18</v>
      </c>
      <c r="O1287" s="1" t="n">
        <v>1</v>
      </c>
    </row>
    <row r="1288" customFormat="false" ht="14.25" hidden="false" customHeight="false" outlineLevel="0" collapsed="false">
      <c r="A1288" s="1" t="n">
        <v>90</v>
      </c>
      <c r="B1288" s="1" t="s">
        <v>565</v>
      </c>
      <c r="C1288" s="1" t="s">
        <v>566</v>
      </c>
      <c r="D1288" s="1" t="n">
        <v>11171</v>
      </c>
      <c r="E1288" s="1" t="s">
        <v>55</v>
      </c>
      <c r="F1288" s="198" t="n">
        <v>200025889163</v>
      </c>
      <c r="G1288" s="198" t="s">
        <v>612</v>
      </c>
      <c r="H1288" s="163" t="s">
        <v>333</v>
      </c>
      <c r="I1288" s="161" t="n">
        <v>21</v>
      </c>
      <c r="J1288" s="156" t="s">
        <v>192</v>
      </c>
      <c r="K1288" s="199" t="n">
        <v>45452.4613078704</v>
      </c>
      <c r="L1288" s="3" t="n">
        <v>83</v>
      </c>
      <c r="M1288" s="3" t="n">
        <v>83</v>
      </c>
      <c r="N1288" s="1" t="n">
        <v>19</v>
      </c>
      <c r="O1288" s="1" t="n">
        <v>1</v>
      </c>
    </row>
    <row r="1289" customFormat="false" ht="14.25" hidden="false" customHeight="false" outlineLevel="0" collapsed="false">
      <c r="A1289" s="1" t="n">
        <v>95</v>
      </c>
      <c r="B1289" s="1" t="s">
        <v>565</v>
      </c>
      <c r="C1289" s="1" t="s">
        <v>566</v>
      </c>
      <c r="D1289" s="1" t="n">
        <v>11171</v>
      </c>
      <c r="E1289" s="1" t="s">
        <v>55</v>
      </c>
      <c r="F1289" s="198" t="n">
        <v>200025889163</v>
      </c>
      <c r="G1289" s="198" t="s">
        <v>612</v>
      </c>
      <c r="H1289" s="163" t="s">
        <v>333</v>
      </c>
      <c r="I1289" s="161" t="n">
        <v>21</v>
      </c>
      <c r="J1289" s="156" t="s">
        <v>192</v>
      </c>
      <c r="K1289" s="199" t="n">
        <v>45452.468587963</v>
      </c>
      <c r="L1289" s="3" t="n">
        <v>83</v>
      </c>
      <c r="M1289" s="3" t="n">
        <v>83</v>
      </c>
      <c r="N1289" s="1" t="n">
        <v>20</v>
      </c>
      <c r="O1289" s="1" t="n">
        <v>2</v>
      </c>
    </row>
    <row r="1290" customFormat="false" ht="14.25" hidden="false" customHeight="false" outlineLevel="0" collapsed="false">
      <c r="A1290" s="1" t="n">
        <v>97</v>
      </c>
      <c r="B1290" s="1" t="s">
        <v>565</v>
      </c>
      <c r="C1290" s="1" t="s">
        <v>566</v>
      </c>
      <c r="D1290" s="1" t="n">
        <v>11171</v>
      </c>
      <c r="E1290" s="1" t="s">
        <v>55</v>
      </c>
      <c r="F1290" s="198" t="n">
        <v>200025889163</v>
      </c>
      <c r="G1290" s="198" t="s">
        <v>612</v>
      </c>
      <c r="H1290" s="163" t="s">
        <v>333</v>
      </c>
      <c r="I1290" s="161" t="n">
        <v>21</v>
      </c>
      <c r="J1290" s="156" t="s">
        <v>192</v>
      </c>
      <c r="K1290" s="199" t="n">
        <v>45452.4867824074</v>
      </c>
      <c r="L1290" s="3" t="n">
        <v>83</v>
      </c>
      <c r="M1290" s="3" t="n">
        <v>83</v>
      </c>
      <c r="N1290" s="1" t="n">
        <v>21</v>
      </c>
      <c r="O1290" s="1" t="n">
        <v>2</v>
      </c>
    </row>
    <row r="1291" customFormat="false" ht="14.25" hidden="false" customHeight="false" outlineLevel="0" collapsed="false">
      <c r="A1291" s="1" t="n">
        <v>98</v>
      </c>
      <c r="B1291" s="1" t="s">
        <v>565</v>
      </c>
      <c r="C1291" s="1" t="s">
        <v>566</v>
      </c>
      <c r="D1291" s="1" t="n">
        <v>11171</v>
      </c>
      <c r="E1291" s="1" t="s">
        <v>55</v>
      </c>
      <c r="F1291" s="198" t="n">
        <v>200025889163</v>
      </c>
      <c r="G1291" s="198" t="s">
        <v>612</v>
      </c>
      <c r="H1291" s="163" t="s">
        <v>333</v>
      </c>
      <c r="I1291" s="161" t="n">
        <v>21</v>
      </c>
      <c r="J1291" s="156" t="s">
        <v>192</v>
      </c>
      <c r="K1291" s="199" t="n">
        <v>45452.4868171296</v>
      </c>
      <c r="L1291" s="3" t="n">
        <v>83</v>
      </c>
      <c r="M1291" s="3" t="n">
        <v>83</v>
      </c>
      <c r="N1291" s="1" t="n">
        <v>22</v>
      </c>
      <c r="O1291" s="1" t="n">
        <v>0</v>
      </c>
    </row>
    <row r="1292" customFormat="false" ht="14.25" hidden="false" customHeight="false" outlineLevel="0" collapsed="false">
      <c r="A1292" s="1" t="n">
        <v>112</v>
      </c>
      <c r="B1292" s="1" t="s">
        <v>565</v>
      </c>
      <c r="C1292" s="1" t="s">
        <v>566</v>
      </c>
      <c r="D1292" s="1" t="n">
        <v>11171</v>
      </c>
      <c r="E1292" s="1" t="s">
        <v>55</v>
      </c>
      <c r="F1292" s="198" t="n">
        <v>200025889163</v>
      </c>
      <c r="G1292" s="198" t="s">
        <v>612</v>
      </c>
      <c r="H1292" s="163" t="s">
        <v>333</v>
      </c>
      <c r="I1292" s="161" t="n">
        <v>21</v>
      </c>
      <c r="J1292" s="156" t="s">
        <v>192</v>
      </c>
      <c r="K1292" s="199" t="n">
        <v>45452.5207523148</v>
      </c>
      <c r="L1292" s="3" t="n">
        <v>83</v>
      </c>
      <c r="M1292" s="3" t="n">
        <v>83</v>
      </c>
      <c r="N1292" s="1" t="n">
        <v>23</v>
      </c>
      <c r="O1292" s="1" t="n">
        <v>2</v>
      </c>
    </row>
    <row r="1293" customFormat="false" ht="14.25" hidden="false" customHeight="false" outlineLevel="0" collapsed="false">
      <c r="A1293" s="1" t="n">
        <v>113</v>
      </c>
      <c r="B1293" s="1" t="s">
        <v>565</v>
      </c>
      <c r="C1293" s="1" t="s">
        <v>566</v>
      </c>
      <c r="D1293" s="1" t="n">
        <v>11171</v>
      </c>
      <c r="E1293" s="1" t="s">
        <v>55</v>
      </c>
      <c r="F1293" s="198" t="n">
        <v>200025889163</v>
      </c>
      <c r="G1293" s="198" t="s">
        <v>612</v>
      </c>
      <c r="H1293" s="163" t="s">
        <v>333</v>
      </c>
      <c r="I1293" s="161" t="n">
        <v>21</v>
      </c>
      <c r="J1293" s="156" t="s">
        <v>192</v>
      </c>
      <c r="K1293" s="199" t="n">
        <v>45452.5212615741</v>
      </c>
      <c r="L1293" s="3" t="n">
        <v>83</v>
      </c>
      <c r="M1293" s="3" t="n">
        <v>83</v>
      </c>
      <c r="N1293" s="1" t="n">
        <v>24</v>
      </c>
      <c r="O1293" s="1" t="n">
        <v>1</v>
      </c>
    </row>
    <row r="1294" customFormat="false" ht="14.25" hidden="false" customHeight="false" outlineLevel="0" collapsed="false">
      <c r="A1294" s="1" t="n">
        <v>125</v>
      </c>
      <c r="B1294" s="1" t="s">
        <v>565</v>
      </c>
      <c r="C1294" s="1" t="s">
        <v>566</v>
      </c>
      <c r="D1294" s="1" t="n">
        <v>11171</v>
      </c>
      <c r="E1294" s="1" t="s">
        <v>55</v>
      </c>
      <c r="F1294" s="198" t="n">
        <v>200025889163</v>
      </c>
      <c r="G1294" s="198" t="s">
        <v>612</v>
      </c>
      <c r="H1294" s="163" t="s">
        <v>333</v>
      </c>
      <c r="I1294" s="161" t="n">
        <v>21</v>
      </c>
      <c r="J1294" s="156" t="s">
        <v>192</v>
      </c>
      <c r="K1294" s="199" t="n">
        <v>45452.6025810185</v>
      </c>
      <c r="L1294" s="3" t="n">
        <v>83</v>
      </c>
      <c r="M1294" s="3" t="n">
        <v>83</v>
      </c>
      <c r="N1294" s="1" t="n">
        <v>25</v>
      </c>
      <c r="O1294" s="1" t="n">
        <v>2</v>
      </c>
    </row>
    <row r="1295" customFormat="false" ht="14.25" hidden="false" customHeight="false" outlineLevel="0" collapsed="false">
      <c r="A1295" s="1" t="n">
        <v>126</v>
      </c>
      <c r="B1295" s="1" t="s">
        <v>565</v>
      </c>
      <c r="C1295" s="1" t="s">
        <v>566</v>
      </c>
      <c r="D1295" s="1" t="n">
        <v>11171</v>
      </c>
      <c r="E1295" s="1" t="s">
        <v>55</v>
      </c>
      <c r="F1295" s="198" t="n">
        <v>200025889163</v>
      </c>
      <c r="G1295" s="198" t="s">
        <v>612</v>
      </c>
      <c r="H1295" s="163" t="s">
        <v>333</v>
      </c>
      <c r="I1295" s="161" t="n">
        <v>21</v>
      </c>
      <c r="J1295" s="156" t="s">
        <v>192</v>
      </c>
      <c r="K1295" s="199" t="n">
        <v>45452.6158449074</v>
      </c>
      <c r="L1295" s="3" t="n">
        <v>83</v>
      </c>
      <c r="M1295" s="3" t="n">
        <v>83</v>
      </c>
      <c r="N1295" s="1" t="n">
        <v>26</v>
      </c>
      <c r="O1295" s="1" t="n">
        <v>1</v>
      </c>
    </row>
    <row r="1296" customFormat="false" ht="14.25" hidden="false" customHeight="false" outlineLevel="0" collapsed="false">
      <c r="A1296" s="1" t="n">
        <v>127</v>
      </c>
      <c r="B1296" s="1" t="s">
        <v>565</v>
      </c>
      <c r="C1296" s="1" t="s">
        <v>566</v>
      </c>
      <c r="D1296" s="1" t="n">
        <v>11171</v>
      </c>
      <c r="E1296" s="1" t="s">
        <v>55</v>
      </c>
      <c r="F1296" s="198" t="n">
        <v>200025889163</v>
      </c>
      <c r="G1296" s="198" t="s">
        <v>612</v>
      </c>
      <c r="H1296" s="163" t="s">
        <v>333</v>
      </c>
      <c r="I1296" s="161" t="n">
        <v>21</v>
      </c>
      <c r="J1296" s="156" t="s">
        <v>192</v>
      </c>
      <c r="K1296" s="199" t="n">
        <v>45452.6407291667</v>
      </c>
      <c r="L1296" s="3" t="n">
        <v>83</v>
      </c>
      <c r="M1296" s="3" t="n">
        <v>83</v>
      </c>
      <c r="N1296" s="1" t="n">
        <v>27</v>
      </c>
      <c r="O1296" s="1" t="n">
        <v>2</v>
      </c>
    </row>
    <row r="1297" customFormat="false" ht="14.25" hidden="false" customHeight="false" outlineLevel="0" collapsed="false">
      <c r="A1297" s="1" t="n">
        <v>128</v>
      </c>
      <c r="B1297" s="1" t="s">
        <v>565</v>
      </c>
      <c r="C1297" s="1" t="s">
        <v>566</v>
      </c>
      <c r="D1297" s="1" t="n">
        <v>11171</v>
      </c>
      <c r="E1297" s="1" t="s">
        <v>55</v>
      </c>
      <c r="F1297" s="198" t="n">
        <v>200025889163</v>
      </c>
      <c r="G1297" s="198" t="s">
        <v>612</v>
      </c>
      <c r="H1297" s="163" t="s">
        <v>333</v>
      </c>
      <c r="I1297" s="161" t="n">
        <v>21</v>
      </c>
      <c r="J1297" s="156" t="s">
        <v>192</v>
      </c>
      <c r="K1297" s="199" t="n">
        <v>45452.6586342593</v>
      </c>
      <c r="L1297" s="3" t="n">
        <v>83</v>
      </c>
      <c r="M1297" s="3" t="n">
        <v>83</v>
      </c>
      <c r="N1297" s="1" t="n">
        <v>28</v>
      </c>
      <c r="O1297" s="1" t="n">
        <v>0</v>
      </c>
    </row>
    <row r="1298" customFormat="false" ht="14.25" hidden="false" customHeight="false" outlineLevel="0" collapsed="false">
      <c r="A1298" s="1" t="n">
        <v>129</v>
      </c>
      <c r="B1298" s="1" t="s">
        <v>565</v>
      </c>
      <c r="C1298" s="1" t="s">
        <v>566</v>
      </c>
      <c r="D1298" s="1" t="n">
        <v>11171</v>
      </c>
      <c r="E1298" s="1" t="s">
        <v>55</v>
      </c>
      <c r="F1298" s="198" t="n">
        <v>200025889163</v>
      </c>
      <c r="G1298" s="198" t="s">
        <v>612</v>
      </c>
      <c r="H1298" s="163" t="s">
        <v>333</v>
      </c>
      <c r="I1298" s="161" t="n">
        <v>21</v>
      </c>
      <c r="J1298" s="156" t="s">
        <v>192</v>
      </c>
      <c r="K1298" s="199" t="n">
        <v>45452.6586458333</v>
      </c>
      <c r="L1298" s="3" t="n">
        <v>83</v>
      </c>
      <c r="M1298" s="3" t="n">
        <v>83</v>
      </c>
      <c r="N1298" s="1" t="n">
        <v>29</v>
      </c>
      <c r="O1298" s="1" t="n">
        <v>0</v>
      </c>
    </row>
    <row r="1299" customFormat="false" ht="14.25" hidden="false" customHeight="false" outlineLevel="0" collapsed="false">
      <c r="A1299" s="1" t="n">
        <v>130</v>
      </c>
      <c r="B1299" s="1" t="s">
        <v>565</v>
      </c>
      <c r="C1299" s="1" t="s">
        <v>566</v>
      </c>
      <c r="D1299" s="1" t="n">
        <v>11171</v>
      </c>
      <c r="E1299" s="1" t="s">
        <v>55</v>
      </c>
      <c r="F1299" s="198" t="n">
        <v>200025889163</v>
      </c>
      <c r="G1299" s="198" t="s">
        <v>612</v>
      </c>
      <c r="H1299" s="163" t="s">
        <v>333</v>
      </c>
      <c r="I1299" s="161" t="n">
        <v>21</v>
      </c>
      <c r="J1299" s="156" t="s">
        <v>192</v>
      </c>
      <c r="K1299" s="199" t="n">
        <v>45452.6610416667</v>
      </c>
      <c r="L1299" s="3" t="n">
        <v>83</v>
      </c>
      <c r="M1299" s="3" t="n">
        <v>83</v>
      </c>
      <c r="N1299" s="1" t="n">
        <v>30</v>
      </c>
      <c r="O1299" s="1" t="n">
        <v>2</v>
      </c>
    </row>
    <row r="1300" customFormat="false" ht="14.25" hidden="false" customHeight="false" outlineLevel="0" collapsed="false">
      <c r="A1300" s="1" t="n">
        <v>131</v>
      </c>
      <c r="B1300" s="1" t="s">
        <v>565</v>
      </c>
      <c r="C1300" s="1" t="s">
        <v>566</v>
      </c>
      <c r="D1300" s="1" t="n">
        <v>11171</v>
      </c>
      <c r="E1300" s="1" t="s">
        <v>55</v>
      </c>
      <c r="F1300" s="198" t="n">
        <v>200025889163</v>
      </c>
      <c r="G1300" s="198" t="s">
        <v>612</v>
      </c>
      <c r="H1300" s="163" t="s">
        <v>333</v>
      </c>
      <c r="I1300" s="161" t="n">
        <v>21</v>
      </c>
      <c r="J1300" s="156" t="s">
        <v>192</v>
      </c>
      <c r="K1300" s="199" t="n">
        <v>45452.6611689815</v>
      </c>
      <c r="L1300" s="3" t="n">
        <v>83</v>
      </c>
      <c r="M1300" s="3" t="n">
        <v>83</v>
      </c>
      <c r="N1300" s="1" t="n">
        <v>31</v>
      </c>
      <c r="O1300" s="1" t="n">
        <v>0</v>
      </c>
    </row>
    <row r="1301" customFormat="false" ht="14.25" hidden="false" customHeight="false" outlineLevel="0" collapsed="false">
      <c r="A1301" s="1" t="n">
        <v>132</v>
      </c>
      <c r="B1301" s="1" t="s">
        <v>565</v>
      </c>
      <c r="C1301" s="1" t="s">
        <v>566</v>
      </c>
      <c r="D1301" s="1" t="n">
        <v>11171</v>
      </c>
      <c r="E1301" s="1" t="s">
        <v>55</v>
      </c>
      <c r="F1301" s="198" t="n">
        <v>200025889163</v>
      </c>
      <c r="G1301" s="198" t="s">
        <v>612</v>
      </c>
      <c r="H1301" s="163" t="s">
        <v>333</v>
      </c>
      <c r="I1301" s="161" t="n">
        <v>21</v>
      </c>
      <c r="J1301" s="156" t="s">
        <v>192</v>
      </c>
      <c r="K1301" s="199" t="n">
        <v>45452.6623032407</v>
      </c>
      <c r="L1301" s="3" t="n">
        <v>83</v>
      </c>
      <c r="M1301" s="3" t="n">
        <v>83</v>
      </c>
      <c r="N1301" s="1" t="n">
        <v>32</v>
      </c>
      <c r="O1301" s="1" t="n">
        <v>3</v>
      </c>
    </row>
    <row r="1302" customFormat="false" ht="14.25" hidden="false" customHeight="false" outlineLevel="0" collapsed="false">
      <c r="A1302" s="1" t="n">
        <v>133</v>
      </c>
      <c r="B1302" s="1" t="s">
        <v>565</v>
      </c>
      <c r="C1302" s="1" t="s">
        <v>566</v>
      </c>
      <c r="D1302" s="1" t="n">
        <v>11171</v>
      </c>
      <c r="E1302" s="1" t="s">
        <v>55</v>
      </c>
      <c r="F1302" s="198" t="n">
        <v>200025889163</v>
      </c>
      <c r="G1302" s="198" t="s">
        <v>612</v>
      </c>
      <c r="H1302" s="163" t="s">
        <v>333</v>
      </c>
      <c r="I1302" s="161" t="n">
        <v>21</v>
      </c>
      <c r="J1302" s="156" t="s">
        <v>192</v>
      </c>
      <c r="K1302" s="199" t="n">
        <v>45452.6624074074</v>
      </c>
      <c r="L1302" s="3" t="n">
        <v>83</v>
      </c>
      <c r="M1302" s="3" t="n">
        <v>83</v>
      </c>
      <c r="N1302" s="1" t="n">
        <v>33</v>
      </c>
      <c r="O1302" s="1" t="n">
        <v>1</v>
      </c>
    </row>
    <row r="1303" customFormat="false" ht="14.25" hidden="false" customHeight="false" outlineLevel="0" collapsed="false">
      <c r="A1303" s="1" t="n">
        <v>134</v>
      </c>
      <c r="B1303" s="1" t="s">
        <v>565</v>
      </c>
      <c r="C1303" s="1" t="s">
        <v>566</v>
      </c>
      <c r="D1303" s="1" t="n">
        <v>11171</v>
      </c>
      <c r="E1303" s="1" t="s">
        <v>55</v>
      </c>
      <c r="F1303" s="198" t="n">
        <v>200025889163</v>
      </c>
      <c r="G1303" s="198" t="s">
        <v>612</v>
      </c>
      <c r="H1303" s="163" t="s">
        <v>333</v>
      </c>
      <c r="I1303" s="161" t="n">
        <v>21</v>
      </c>
      <c r="J1303" s="156" t="s">
        <v>192</v>
      </c>
      <c r="K1303" s="199" t="n">
        <v>45452.6642013889</v>
      </c>
      <c r="L1303" s="3" t="n">
        <v>83</v>
      </c>
      <c r="M1303" s="3" t="n">
        <v>83</v>
      </c>
      <c r="N1303" s="1" t="n">
        <v>34</v>
      </c>
      <c r="O1303" s="1" t="n">
        <v>1</v>
      </c>
    </row>
    <row r="1304" customFormat="false" ht="14.25" hidden="false" customHeight="false" outlineLevel="0" collapsed="false">
      <c r="A1304" s="1" t="n">
        <v>135</v>
      </c>
      <c r="B1304" s="1" t="s">
        <v>565</v>
      </c>
      <c r="C1304" s="1" t="s">
        <v>566</v>
      </c>
      <c r="D1304" s="1" t="n">
        <v>11171</v>
      </c>
      <c r="E1304" s="1" t="s">
        <v>55</v>
      </c>
      <c r="F1304" s="198" t="n">
        <v>200025889163</v>
      </c>
      <c r="G1304" s="198" t="s">
        <v>612</v>
      </c>
      <c r="H1304" s="163" t="s">
        <v>333</v>
      </c>
      <c r="I1304" s="161" t="n">
        <v>21</v>
      </c>
      <c r="J1304" s="156" t="s">
        <v>192</v>
      </c>
      <c r="K1304" s="199" t="n">
        <v>45452.6643287037</v>
      </c>
      <c r="L1304" s="3" t="n">
        <v>83</v>
      </c>
      <c r="M1304" s="3" t="n">
        <v>83</v>
      </c>
      <c r="N1304" s="1" t="n">
        <v>35</v>
      </c>
      <c r="O1304" s="1" t="n">
        <v>3</v>
      </c>
    </row>
    <row r="1305" customFormat="false" ht="14.25" hidden="false" customHeight="false" outlineLevel="0" collapsed="false">
      <c r="A1305" s="1" t="n">
        <v>136</v>
      </c>
      <c r="B1305" s="1" t="s">
        <v>565</v>
      </c>
      <c r="C1305" s="1" t="s">
        <v>566</v>
      </c>
      <c r="D1305" s="1" t="n">
        <v>11171</v>
      </c>
      <c r="E1305" s="1" t="s">
        <v>55</v>
      </c>
      <c r="F1305" s="198" t="n">
        <v>200025889163</v>
      </c>
      <c r="G1305" s="198" t="s">
        <v>612</v>
      </c>
      <c r="H1305" s="163" t="s">
        <v>333</v>
      </c>
      <c r="I1305" s="161" t="n">
        <v>21</v>
      </c>
      <c r="J1305" s="156" t="s">
        <v>192</v>
      </c>
      <c r="K1305" s="199" t="n">
        <v>45452.710775463</v>
      </c>
      <c r="L1305" s="3" t="n">
        <v>83</v>
      </c>
      <c r="M1305" s="3" t="n">
        <v>83</v>
      </c>
      <c r="N1305" s="1" t="n">
        <v>36</v>
      </c>
      <c r="O1305" s="1" t="n">
        <v>2</v>
      </c>
    </row>
    <row r="1306" customFormat="false" ht="14.25" hidden="false" customHeight="false" outlineLevel="0" collapsed="false">
      <c r="A1306" s="1" t="n">
        <v>147</v>
      </c>
      <c r="B1306" s="1" t="s">
        <v>565</v>
      </c>
      <c r="C1306" s="1" t="s">
        <v>566</v>
      </c>
      <c r="D1306" s="1" t="n">
        <v>11171</v>
      </c>
      <c r="E1306" s="1" t="s">
        <v>55</v>
      </c>
      <c r="F1306" s="198" t="n">
        <v>200025889163</v>
      </c>
      <c r="G1306" s="198" t="s">
        <v>612</v>
      </c>
      <c r="H1306" s="163" t="s">
        <v>333</v>
      </c>
      <c r="I1306" s="161" t="n">
        <v>21</v>
      </c>
      <c r="J1306" s="156" t="s">
        <v>192</v>
      </c>
      <c r="K1306" s="199" t="n">
        <v>45452.7455555556</v>
      </c>
      <c r="L1306" s="3" t="n">
        <v>83</v>
      </c>
      <c r="M1306" s="3" t="n">
        <v>83</v>
      </c>
      <c r="N1306" s="1" t="n">
        <v>37</v>
      </c>
      <c r="O1306" s="1" t="n">
        <v>2</v>
      </c>
    </row>
    <row r="1307" customFormat="false" ht="14.25" hidden="false" customHeight="false" outlineLevel="0" collapsed="false">
      <c r="A1307" s="1" t="n">
        <v>154</v>
      </c>
      <c r="B1307" s="1" t="s">
        <v>565</v>
      </c>
      <c r="C1307" s="1" t="s">
        <v>566</v>
      </c>
      <c r="D1307" s="1" t="n">
        <v>11171</v>
      </c>
      <c r="E1307" s="1" t="s">
        <v>55</v>
      </c>
      <c r="F1307" s="198" t="n">
        <v>200025889163</v>
      </c>
      <c r="G1307" s="198" t="s">
        <v>612</v>
      </c>
      <c r="H1307" s="163" t="s">
        <v>333</v>
      </c>
      <c r="I1307" s="161" t="n">
        <v>21</v>
      </c>
      <c r="J1307" s="156" t="s">
        <v>192</v>
      </c>
      <c r="K1307" s="199" t="n">
        <v>45452.7982291667</v>
      </c>
      <c r="L1307" s="3" t="n">
        <v>83</v>
      </c>
      <c r="M1307" s="3" t="n">
        <v>83</v>
      </c>
      <c r="N1307" s="1" t="n">
        <v>38</v>
      </c>
      <c r="O1307" s="1" t="n">
        <v>2</v>
      </c>
    </row>
    <row r="1308" customFormat="false" ht="14.25" hidden="false" customHeight="false" outlineLevel="0" collapsed="false">
      <c r="A1308" s="1" t="n">
        <v>155</v>
      </c>
      <c r="B1308" s="1" t="s">
        <v>565</v>
      </c>
      <c r="C1308" s="1" t="s">
        <v>566</v>
      </c>
      <c r="D1308" s="1" t="n">
        <v>11171</v>
      </c>
      <c r="E1308" s="1" t="s">
        <v>55</v>
      </c>
      <c r="F1308" s="198" t="n">
        <v>200025889163</v>
      </c>
      <c r="G1308" s="198" t="s">
        <v>612</v>
      </c>
      <c r="H1308" s="163" t="s">
        <v>333</v>
      </c>
      <c r="I1308" s="161" t="n">
        <v>21</v>
      </c>
      <c r="J1308" s="156" t="s">
        <v>192</v>
      </c>
      <c r="K1308" s="199" t="n">
        <v>45452.8227662037</v>
      </c>
      <c r="L1308" s="3" t="n">
        <v>83</v>
      </c>
      <c r="M1308" s="3" t="n">
        <v>83</v>
      </c>
      <c r="N1308" s="1" t="n">
        <v>39</v>
      </c>
      <c r="O1308" s="1" t="n">
        <v>2</v>
      </c>
    </row>
    <row r="1309" customFormat="false" ht="14.25" hidden="false" customHeight="false" outlineLevel="0" collapsed="false">
      <c r="A1309" s="1" t="n">
        <v>156</v>
      </c>
      <c r="B1309" s="1" t="s">
        <v>565</v>
      </c>
      <c r="C1309" s="1" t="s">
        <v>566</v>
      </c>
      <c r="D1309" s="1" t="n">
        <v>11171</v>
      </c>
      <c r="E1309" s="1" t="s">
        <v>55</v>
      </c>
      <c r="F1309" s="198" t="n">
        <v>200025889163</v>
      </c>
      <c r="G1309" s="198" t="s">
        <v>612</v>
      </c>
      <c r="H1309" s="163" t="s">
        <v>333</v>
      </c>
      <c r="I1309" s="161" t="n">
        <v>21</v>
      </c>
      <c r="J1309" s="156" t="s">
        <v>192</v>
      </c>
      <c r="K1309" s="199" t="n">
        <v>45452.8235069444</v>
      </c>
      <c r="L1309" s="3" t="n">
        <v>83</v>
      </c>
      <c r="M1309" s="3" t="n">
        <v>83</v>
      </c>
      <c r="N1309" s="1" t="n">
        <v>40</v>
      </c>
      <c r="O1309" s="1" t="n">
        <v>3</v>
      </c>
    </row>
    <row r="1310" customFormat="false" ht="14.25" hidden="false" customHeight="false" outlineLevel="0" collapsed="false">
      <c r="A1310" s="1" t="n">
        <v>157</v>
      </c>
      <c r="B1310" s="1" t="s">
        <v>565</v>
      </c>
      <c r="C1310" s="1" t="s">
        <v>566</v>
      </c>
      <c r="D1310" s="1" t="n">
        <v>11171</v>
      </c>
      <c r="E1310" s="1" t="s">
        <v>55</v>
      </c>
      <c r="F1310" s="198" t="n">
        <v>200025889163</v>
      </c>
      <c r="G1310" s="198" t="s">
        <v>612</v>
      </c>
      <c r="H1310" s="163" t="s">
        <v>333</v>
      </c>
      <c r="I1310" s="161" t="n">
        <v>21</v>
      </c>
      <c r="J1310" s="156" t="s">
        <v>192</v>
      </c>
      <c r="K1310" s="199" t="n">
        <v>45452.8246064815</v>
      </c>
      <c r="L1310" s="3" t="n">
        <v>83</v>
      </c>
      <c r="M1310" s="3" t="n">
        <v>83</v>
      </c>
      <c r="N1310" s="1" t="n">
        <v>41</v>
      </c>
      <c r="O1310" s="1" t="n">
        <v>1</v>
      </c>
    </row>
    <row r="1311" customFormat="false" ht="14.25" hidden="false" customHeight="false" outlineLevel="0" collapsed="false">
      <c r="A1311" s="1" t="n">
        <v>158</v>
      </c>
      <c r="B1311" s="1" t="s">
        <v>565</v>
      </c>
      <c r="C1311" s="1" t="s">
        <v>566</v>
      </c>
      <c r="D1311" s="1" t="n">
        <v>11171</v>
      </c>
      <c r="E1311" s="1" t="s">
        <v>55</v>
      </c>
      <c r="F1311" s="198" t="n">
        <v>200025889163</v>
      </c>
      <c r="G1311" s="198" t="s">
        <v>612</v>
      </c>
      <c r="H1311" s="163" t="s">
        <v>333</v>
      </c>
      <c r="I1311" s="161" t="n">
        <v>21</v>
      </c>
      <c r="J1311" s="156" t="s">
        <v>192</v>
      </c>
      <c r="K1311" s="199" t="n">
        <v>45452.8259375</v>
      </c>
      <c r="L1311" s="3" t="n">
        <v>83</v>
      </c>
      <c r="M1311" s="3" t="n">
        <v>83</v>
      </c>
      <c r="N1311" s="1" t="n">
        <v>42</v>
      </c>
      <c r="O1311" s="1" t="n">
        <v>2</v>
      </c>
    </row>
    <row r="1312" customFormat="false" ht="14.25" hidden="false" customHeight="false" outlineLevel="0" collapsed="false">
      <c r="A1312" s="1" t="n">
        <v>166</v>
      </c>
      <c r="B1312" s="1" t="s">
        <v>565</v>
      </c>
      <c r="C1312" s="1" t="s">
        <v>566</v>
      </c>
      <c r="D1312" s="1" t="n">
        <v>11171</v>
      </c>
      <c r="E1312" s="1" t="s">
        <v>55</v>
      </c>
      <c r="F1312" s="198" t="n">
        <v>200025889163</v>
      </c>
      <c r="G1312" s="198" t="s">
        <v>612</v>
      </c>
      <c r="H1312" s="163" t="s">
        <v>333</v>
      </c>
      <c r="I1312" s="161" t="n">
        <v>21</v>
      </c>
      <c r="J1312" s="156" t="s">
        <v>192</v>
      </c>
      <c r="K1312" s="199" t="n">
        <v>45452.8510532407</v>
      </c>
      <c r="L1312" s="3" t="n">
        <v>83</v>
      </c>
      <c r="M1312" s="3" t="n">
        <v>83</v>
      </c>
      <c r="N1312" s="1" t="n">
        <v>43</v>
      </c>
      <c r="O1312" s="1" t="n">
        <v>2</v>
      </c>
    </row>
    <row r="1313" customFormat="false" ht="14.25" hidden="false" customHeight="false" outlineLevel="0" collapsed="false">
      <c r="A1313" s="1" t="n">
        <v>167</v>
      </c>
      <c r="B1313" s="1" t="s">
        <v>565</v>
      </c>
      <c r="C1313" s="1" t="s">
        <v>566</v>
      </c>
      <c r="D1313" s="1" t="n">
        <v>11171</v>
      </c>
      <c r="E1313" s="1" t="s">
        <v>55</v>
      </c>
      <c r="F1313" s="198" t="n">
        <v>200025889163</v>
      </c>
      <c r="G1313" s="198" t="s">
        <v>612</v>
      </c>
      <c r="H1313" s="163" t="s">
        <v>333</v>
      </c>
      <c r="I1313" s="161" t="n">
        <v>21</v>
      </c>
      <c r="J1313" s="156" t="s">
        <v>192</v>
      </c>
      <c r="K1313" s="199" t="n">
        <v>45452.8515162037</v>
      </c>
      <c r="L1313" s="3" t="n">
        <v>83</v>
      </c>
      <c r="M1313" s="3" t="n">
        <v>83</v>
      </c>
      <c r="N1313" s="1" t="n">
        <v>44</v>
      </c>
      <c r="O1313" s="1" t="n">
        <v>3</v>
      </c>
    </row>
    <row r="1314" customFormat="false" ht="14.25" hidden="false" customHeight="false" outlineLevel="0" collapsed="false">
      <c r="A1314" s="1" t="n">
        <v>168</v>
      </c>
      <c r="B1314" s="1" t="s">
        <v>565</v>
      </c>
      <c r="C1314" s="1" t="s">
        <v>566</v>
      </c>
      <c r="D1314" s="1" t="n">
        <v>11171</v>
      </c>
      <c r="E1314" s="1" t="s">
        <v>55</v>
      </c>
      <c r="F1314" s="198" t="n">
        <v>200025889163</v>
      </c>
      <c r="G1314" s="198" t="s">
        <v>612</v>
      </c>
      <c r="H1314" s="163" t="s">
        <v>333</v>
      </c>
      <c r="I1314" s="161" t="n">
        <v>21</v>
      </c>
      <c r="J1314" s="156" t="s">
        <v>192</v>
      </c>
      <c r="K1314" s="199" t="n">
        <v>45452.8516319444</v>
      </c>
      <c r="L1314" s="3" t="n">
        <v>83</v>
      </c>
      <c r="M1314" s="3" t="n">
        <v>83</v>
      </c>
      <c r="N1314" s="1" t="n">
        <v>45</v>
      </c>
      <c r="O1314" s="1" t="n">
        <v>2</v>
      </c>
    </row>
    <row r="1315" customFormat="false" ht="14.25" hidden="false" customHeight="false" outlineLevel="0" collapsed="false">
      <c r="A1315" s="1" t="n">
        <v>169</v>
      </c>
      <c r="B1315" s="1" t="s">
        <v>565</v>
      </c>
      <c r="C1315" s="1" t="s">
        <v>566</v>
      </c>
      <c r="D1315" s="1" t="n">
        <v>11171</v>
      </c>
      <c r="E1315" s="1" t="s">
        <v>55</v>
      </c>
      <c r="F1315" s="198" t="n">
        <v>200025889163</v>
      </c>
      <c r="G1315" s="198" t="s">
        <v>612</v>
      </c>
      <c r="H1315" s="163" t="s">
        <v>333</v>
      </c>
      <c r="I1315" s="161" t="n">
        <v>21</v>
      </c>
      <c r="J1315" s="156" t="s">
        <v>192</v>
      </c>
      <c r="K1315" s="199" t="n">
        <v>45452.8525115741</v>
      </c>
      <c r="L1315" s="3" t="n">
        <v>83</v>
      </c>
      <c r="M1315" s="3" t="n">
        <v>83</v>
      </c>
      <c r="N1315" s="1" t="n">
        <v>46</v>
      </c>
      <c r="O1315" s="1" t="n">
        <v>0</v>
      </c>
    </row>
    <row r="1316" customFormat="false" ht="14.25" hidden="false" customHeight="false" outlineLevel="0" collapsed="false">
      <c r="A1316" s="1" t="n">
        <v>174</v>
      </c>
      <c r="B1316" s="1" t="s">
        <v>565</v>
      </c>
      <c r="C1316" s="1" t="s">
        <v>566</v>
      </c>
      <c r="D1316" s="1" t="n">
        <v>11171</v>
      </c>
      <c r="E1316" s="1" t="s">
        <v>55</v>
      </c>
      <c r="F1316" s="198" t="n">
        <v>200025889163</v>
      </c>
      <c r="G1316" s="198" t="s">
        <v>612</v>
      </c>
      <c r="H1316" s="163" t="s">
        <v>333</v>
      </c>
      <c r="I1316" s="161" t="n">
        <v>21</v>
      </c>
      <c r="J1316" s="156" t="s">
        <v>192</v>
      </c>
      <c r="K1316" s="199" t="n">
        <v>45452.8702893519</v>
      </c>
      <c r="L1316" s="3" t="n">
        <v>83</v>
      </c>
      <c r="M1316" s="3" t="n">
        <v>83</v>
      </c>
      <c r="N1316" s="1" t="n">
        <v>47</v>
      </c>
      <c r="O1316" s="1" t="n">
        <v>2</v>
      </c>
    </row>
    <row r="1317" customFormat="false" ht="14.25" hidden="false" customHeight="false" outlineLevel="0" collapsed="false">
      <c r="A1317" s="1" t="n">
        <v>176</v>
      </c>
      <c r="B1317" s="1" t="s">
        <v>565</v>
      </c>
      <c r="C1317" s="1" t="s">
        <v>566</v>
      </c>
      <c r="D1317" s="1" t="n">
        <v>11171</v>
      </c>
      <c r="E1317" s="1" t="s">
        <v>55</v>
      </c>
      <c r="F1317" s="198" t="n">
        <v>200025889163</v>
      </c>
      <c r="G1317" s="198" t="s">
        <v>612</v>
      </c>
      <c r="H1317" s="163" t="s">
        <v>333</v>
      </c>
      <c r="I1317" s="161" t="n">
        <v>21</v>
      </c>
      <c r="J1317" s="156" t="s">
        <v>192</v>
      </c>
      <c r="K1317" s="199" t="n">
        <v>45452.8957407407</v>
      </c>
      <c r="L1317" s="3" t="n">
        <v>83</v>
      </c>
      <c r="M1317" s="3" t="n">
        <v>83</v>
      </c>
      <c r="N1317" s="1" t="n">
        <v>48</v>
      </c>
      <c r="O1317" s="1" t="n">
        <v>2</v>
      </c>
    </row>
    <row r="1318" customFormat="false" ht="14.25" hidden="false" customHeight="false" outlineLevel="0" collapsed="false">
      <c r="A1318" s="1" t="n">
        <v>177</v>
      </c>
      <c r="B1318" s="1" t="s">
        <v>565</v>
      </c>
      <c r="C1318" s="1" t="s">
        <v>566</v>
      </c>
      <c r="D1318" s="1" t="n">
        <v>11171</v>
      </c>
      <c r="E1318" s="1" t="s">
        <v>55</v>
      </c>
      <c r="F1318" s="198" t="n">
        <v>200025889163</v>
      </c>
      <c r="G1318" s="198" t="s">
        <v>612</v>
      </c>
      <c r="H1318" s="163" t="s">
        <v>333</v>
      </c>
      <c r="I1318" s="161" t="n">
        <v>21</v>
      </c>
      <c r="J1318" s="156" t="s">
        <v>192</v>
      </c>
      <c r="K1318" s="199" t="n">
        <v>45452.9284375</v>
      </c>
      <c r="L1318" s="3" t="n">
        <v>83</v>
      </c>
      <c r="M1318" s="3" t="n">
        <v>83</v>
      </c>
      <c r="N1318" s="1" t="n">
        <v>49</v>
      </c>
      <c r="O1318" s="1" t="n">
        <v>1</v>
      </c>
    </row>
    <row r="1319" customFormat="false" ht="14.25" hidden="false" customHeight="false" outlineLevel="0" collapsed="false">
      <c r="A1319" s="1" t="n">
        <v>178</v>
      </c>
      <c r="B1319" s="1" t="s">
        <v>565</v>
      </c>
      <c r="C1319" s="1" t="s">
        <v>566</v>
      </c>
      <c r="D1319" s="1" t="n">
        <v>11171</v>
      </c>
      <c r="E1319" s="1" t="s">
        <v>55</v>
      </c>
      <c r="F1319" s="198" t="n">
        <v>200025889163</v>
      </c>
      <c r="G1319" s="198" t="s">
        <v>612</v>
      </c>
      <c r="H1319" s="163" t="s">
        <v>333</v>
      </c>
      <c r="I1319" s="161" t="n">
        <v>21</v>
      </c>
      <c r="J1319" s="156" t="s">
        <v>192</v>
      </c>
      <c r="K1319" s="199" t="n">
        <v>45452.9459143519</v>
      </c>
      <c r="L1319" s="3" t="n">
        <v>83</v>
      </c>
      <c r="M1319" s="3" t="n">
        <v>83</v>
      </c>
      <c r="N1319" s="1" t="n">
        <v>50</v>
      </c>
      <c r="O1319" s="1" t="n">
        <v>3</v>
      </c>
    </row>
    <row r="1320" customFormat="false" ht="14.25" hidden="false" customHeight="false" outlineLevel="0" collapsed="false">
      <c r="A1320" s="1" t="n">
        <v>179</v>
      </c>
      <c r="B1320" s="1" t="s">
        <v>565</v>
      </c>
      <c r="C1320" s="1" t="s">
        <v>566</v>
      </c>
      <c r="D1320" s="1" t="n">
        <v>11171</v>
      </c>
      <c r="E1320" s="1" t="s">
        <v>55</v>
      </c>
      <c r="F1320" s="198" t="n">
        <v>200025889163</v>
      </c>
      <c r="G1320" s="198" t="s">
        <v>612</v>
      </c>
      <c r="H1320" s="163" t="s">
        <v>333</v>
      </c>
      <c r="I1320" s="161" t="n">
        <v>21</v>
      </c>
      <c r="J1320" s="156" t="s">
        <v>192</v>
      </c>
      <c r="K1320" s="199" t="n">
        <v>45452.9467939815</v>
      </c>
      <c r="L1320" s="3" t="n">
        <v>83</v>
      </c>
      <c r="M1320" s="3" t="n">
        <v>83</v>
      </c>
      <c r="N1320" s="1" t="n">
        <v>51</v>
      </c>
      <c r="O1320" s="1" t="n">
        <v>1</v>
      </c>
    </row>
    <row r="1321" customFormat="false" ht="14.25" hidden="false" customHeight="false" outlineLevel="0" collapsed="false">
      <c r="A1321" s="1" t="n">
        <v>181</v>
      </c>
      <c r="B1321" s="1" t="s">
        <v>565</v>
      </c>
      <c r="C1321" s="1" t="s">
        <v>566</v>
      </c>
      <c r="D1321" s="1" t="n">
        <v>11171</v>
      </c>
      <c r="E1321" s="1" t="s">
        <v>55</v>
      </c>
      <c r="F1321" s="198" t="n">
        <v>200025889163</v>
      </c>
      <c r="G1321" s="198" t="s">
        <v>612</v>
      </c>
      <c r="H1321" s="163" t="s">
        <v>333</v>
      </c>
      <c r="I1321" s="161" t="n">
        <v>21</v>
      </c>
      <c r="J1321" s="156" t="s">
        <v>192</v>
      </c>
      <c r="K1321" s="199" t="n">
        <v>45452.9936342593</v>
      </c>
      <c r="L1321" s="3" t="n">
        <v>83</v>
      </c>
      <c r="M1321" s="3" t="n">
        <v>83</v>
      </c>
      <c r="N1321" s="1" t="n">
        <v>52</v>
      </c>
      <c r="O1321" s="1" t="n">
        <v>3</v>
      </c>
    </row>
    <row r="1322" customFormat="false" ht="14.25" hidden="false" customHeight="false" outlineLevel="0" collapsed="false">
      <c r="A1322" s="1" t="n">
        <v>182</v>
      </c>
      <c r="B1322" s="1" t="s">
        <v>565</v>
      </c>
      <c r="C1322" s="1" t="s">
        <v>566</v>
      </c>
      <c r="D1322" s="1" t="n">
        <v>11171</v>
      </c>
      <c r="E1322" s="1" t="s">
        <v>55</v>
      </c>
      <c r="F1322" s="198" t="n">
        <v>200025889163</v>
      </c>
      <c r="G1322" s="198" t="s">
        <v>612</v>
      </c>
      <c r="H1322" s="163" t="s">
        <v>333</v>
      </c>
      <c r="I1322" s="161" t="n">
        <v>21</v>
      </c>
      <c r="J1322" s="156" t="s">
        <v>192</v>
      </c>
      <c r="K1322" s="199" t="n">
        <v>45452.9945601852</v>
      </c>
      <c r="L1322" s="3" t="n">
        <v>83</v>
      </c>
      <c r="M1322" s="3" t="n">
        <v>83</v>
      </c>
      <c r="N1322" s="1" t="n">
        <v>53</v>
      </c>
      <c r="O1322" s="1" t="n">
        <v>1</v>
      </c>
    </row>
    <row r="1323" customFormat="false" ht="14.25" hidden="false" customHeight="false" outlineLevel="0" collapsed="false">
      <c r="A1323" s="1" t="n">
        <v>183</v>
      </c>
      <c r="B1323" s="1" t="s">
        <v>565</v>
      </c>
      <c r="C1323" s="1" t="s">
        <v>566</v>
      </c>
      <c r="D1323" s="1" t="n">
        <v>11171</v>
      </c>
      <c r="E1323" s="1" t="s">
        <v>55</v>
      </c>
      <c r="F1323" s="198" t="n">
        <v>200025889163</v>
      </c>
      <c r="G1323" s="198" t="s">
        <v>612</v>
      </c>
      <c r="H1323" s="163" t="s">
        <v>333</v>
      </c>
      <c r="I1323" s="161" t="n">
        <v>21</v>
      </c>
      <c r="J1323" s="156" t="s">
        <v>192</v>
      </c>
      <c r="K1323" s="199" t="n">
        <v>45452.9963425926</v>
      </c>
      <c r="L1323" s="3" t="n">
        <v>83</v>
      </c>
      <c r="M1323" s="3" t="n">
        <v>83</v>
      </c>
      <c r="N1323" s="1" t="n">
        <v>54</v>
      </c>
      <c r="O1323" s="1" t="n">
        <v>2</v>
      </c>
    </row>
    <row r="1324" customFormat="false" ht="14.25" hidden="false" customHeight="false" outlineLevel="0" collapsed="false">
      <c r="A1324" s="1" t="n">
        <v>191</v>
      </c>
      <c r="B1324" s="1" t="s">
        <v>565</v>
      </c>
      <c r="C1324" s="1" t="s">
        <v>566</v>
      </c>
      <c r="D1324" s="1" t="n">
        <v>11171</v>
      </c>
      <c r="E1324" s="1" t="s">
        <v>55</v>
      </c>
      <c r="F1324" s="198" t="n">
        <v>200025889163</v>
      </c>
      <c r="G1324" s="198" t="s">
        <v>612</v>
      </c>
      <c r="H1324" s="163" t="s">
        <v>333</v>
      </c>
      <c r="I1324" s="161" t="n">
        <v>21</v>
      </c>
      <c r="J1324" s="156" t="s">
        <v>192</v>
      </c>
      <c r="K1324" s="199" t="n">
        <v>45453.0166435185</v>
      </c>
      <c r="L1324" s="3" t="n">
        <v>83</v>
      </c>
      <c r="M1324" s="3" t="n">
        <v>83</v>
      </c>
      <c r="N1324" s="1" t="n">
        <v>55</v>
      </c>
      <c r="O1324" s="1" t="n">
        <v>1</v>
      </c>
    </row>
    <row r="1325" customFormat="false" ht="14.25" hidden="false" customHeight="false" outlineLevel="0" collapsed="false">
      <c r="A1325" s="1" t="n">
        <v>192</v>
      </c>
      <c r="B1325" s="1" t="s">
        <v>565</v>
      </c>
      <c r="C1325" s="1" t="s">
        <v>566</v>
      </c>
      <c r="D1325" s="1" t="n">
        <v>11171</v>
      </c>
      <c r="E1325" s="1" t="s">
        <v>55</v>
      </c>
      <c r="F1325" s="198" t="n">
        <v>200025889163</v>
      </c>
      <c r="G1325" s="198" t="s">
        <v>612</v>
      </c>
      <c r="H1325" s="163" t="s">
        <v>333</v>
      </c>
      <c r="I1325" s="161" t="n">
        <v>21</v>
      </c>
      <c r="J1325" s="156" t="s">
        <v>192</v>
      </c>
      <c r="K1325" s="199" t="n">
        <v>45453.0166550926</v>
      </c>
      <c r="L1325" s="3" t="n">
        <v>83</v>
      </c>
      <c r="M1325" s="3" t="n">
        <v>83</v>
      </c>
      <c r="N1325" s="1" t="n">
        <v>56</v>
      </c>
      <c r="O1325" s="10" t="n">
        <v>58</v>
      </c>
    </row>
    <row r="1326" customFormat="false" ht="14.25" hidden="false" customHeight="false" outlineLevel="0" collapsed="false">
      <c r="A1326" s="1" t="n">
        <v>193</v>
      </c>
      <c r="B1326" s="1" t="s">
        <v>565</v>
      </c>
      <c r="C1326" s="1" t="s">
        <v>566</v>
      </c>
      <c r="D1326" s="1" t="n">
        <v>11171</v>
      </c>
      <c r="E1326" s="1" t="s">
        <v>55</v>
      </c>
      <c r="F1326" s="198" t="n">
        <v>200025889163</v>
      </c>
      <c r="G1326" s="198" t="s">
        <v>612</v>
      </c>
      <c r="H1326" s="163" t="s">
        <v>333</v>
      </c>
      <c r="I1326" s="161" t="n">
        <v>21</v>
      </c>
      <c r="J1326" s="156" t="s">
        <v>192</v>
      </c>
      <c r="K1326" s="199" t="n">
        <v>45453.0174189815</v>
      </c>
      <c r="L1326" s="3" t="n">
        <v>83</v>
      </c>
      <c r="M1326" s="3" t="n">
        <v>83</v>
      </c>
      <c r="N1326" s="1" t="n">
        <v>57</v>
      </c>
      <c r="O1326" s="1" t="n">
        <v>1</v>
      </c>
    </row>
    <row r="1327" customFormat="false" ht="14.25" hidden="false" customHeight="false" outlineLevel="0" collapsed="false">
      <c r="A1327" s="1" t="n">
        <v>200</v>
      </c>
      <c r="B1327" s="1" t="s">
        <v>565</v>
      </c>
      <c r="C1327" s="1" t="s">
        <v>566</v>
      </c>
      <c r="D1327" s="1" t="n">
        <v>11171</v>
      </c>
      <c r="E1327" s="1" t="s">
        <v>55</v>
      </c>
      <c r="F1327" s="198" t="n">
        <v>200025889163</v>
      </c>
      <c r="G1327" s="198" t="s">
        <v>612</v>
      </c>
      <c r="H1327" s="163" t="s">
        <v>333</v>
      </c>
      <c r="I1327" s="161" t="n">
        <v>21</v>
      </c>
      <c r="J1327" s="156" t="s">
        <v>192</v>
      </c>
      <c r="K1327" s="199" t="n">
        <v>45453.0229513889</v>
      </c>
      <c r="L1327" s="3" t="n">
        <v>83</v>
      </c>
      <c r="M1327" s="3" t="n">
        <v>83</v>
      </c>
      <c r="N1327" s="1" t="n">
        <v>58</v>
      </c>
      <c r="O1327" s="1" t="n">
        <v>1</v>
      </c>
    </row>
    <row r="1328" customFormat="false" ht="14.25" hidden="false" customHeight="false" outlineLevel="0" collapsed="false">
      <c r="A1328" s="1" t="n">
        <v>201</v>
      </c>
      <c r="B1328" s="1" t="s">
        <v>565</v>
      </c>
      <c r="C1328" s="1" t="s">
        <v>566</v>
      </c>
      <c r="D1328" s="1" t="n">
        <v>11171</v>
      </c>
      <c r="E1328" s="1" t="s">
        <v>55</v>
      </c>
      <c r="F1328" s="198" t="n">
        <v>200025889163</v>
      </c>
      <c r="G1328" s="198" t="s">
        <v>612</v>
      </c>
      <c r="H1328" s="163" t="s">
        <v>333</v>
      </c>
      <c r="I1328" s="161" t="n">
        <v>21</v>
      </c>
      <c r="J1328" s="156" t="s">
        <v>192</v>
      </c>
      <c r="K1328" s="199" t="n">
        <v>45453.0235185185</v>
      </c>
      <c r="L1328" s="3" t="n">
        <v>83</v>
      </c>
      <c r="M1328" s="3" t="n">
        <v>83</v>
      </c>
      <c r="N1328" s="1" t="n">
        <v>59</v>
      </c>
      <c r="O1328" s="1" t="n">
        <v>1</v>
      </c>
    </row>
    <row r="1329" customFormat="false" ht="14.25" hidden="false" customHeight="false" outlineLevel="0" collapsed="false">
      <c r="A1329" s="1" t="n">
        <v>202</v>
      </c>
      <c r="B1329" s="1" t="s">
        <v>565</v>
      </c>
      <c r="C1329" s="1" t="s">
        <v>566</v>
      </c>
      <c r="D1329" s="1" t="n">
        <v>11171</v>
      </c>
      <c r="E1329" s="1" t="s">
        <v>55</v>
      </c>
      <c r="F1329" s="198" t="n">
        <v>200025889163</v>
      </c>
      <c r="G1329" s="198" t="s">
        <v>612</v>
      </c>
      <c r="H1329" s="163" t="s">
        <v>333</v>
      </c>
      <c r="I1329" s="161" t="n">
        <v>21</v>
      </c>
      <c r="J1329" s="156" t="s">
        <v>192</v>
      </c>
      <c r="K1329" s="199" t="n">
        <v>45453.0236342593</v>
      </c>
      <c r="L1329" s="3" t="n">
        <v>83</v>
      </c>
      <c r="M1329" s="3" t="n">
        <v>83</v>
      </c>
      <c r="N1329" s="1" t="n">
        <v>60</v>
      </c>
      <c r="O1329" s="1" t="n">
        <v>1</v>
      </c>
    </row>
    <row r="1330" customFormat="false" ht="14.25" hidden="false" customHeight="false" outlineLevel="0" collapsed="false">
      <c r="A1330" s="1" t="n">
        <v>214</v>
      </c>
      <c r="B1330" s="1" t="s">
        <v>565</v>
      </c>
      <c r="C1330" s="1" t="s">
        <v>566</v>
      </c>
      <c r="D1330" s="1" t="n">
        <v>11171</v>
      </c>
      <c r="E1330" s="1" t="s">
        <v>55</v>
      </c>
      <c r="F1330" s="198" t="n">
        <v>200025889163</v>
      </c>
      <c r="G1330" s="198" t="s">
        <v>612</v>
      </c>
      <c r="H1330" s="163" t="s">
        <v>333</v>
      </c>
      <c r="I1330" s="161" t="n">
        <v>21</v>
      </c>
      <c r="J1330" s="156" t="s">
        <v>192</v>
      </c>
      <c r="K1330" s="199" t="n">
        <v>45453.2628819444</v>
      </c>
      <c r="L1330" s="3" t="n">
        <v>83</v>
      </c>
      <c r="M1330" s="3" t="n">
        <v>83</v>
      </c>
      <c r="N1330" s="1" t="n">
        <v>61</v>
      </c>
      <c r="O1330" s="1" t="n">
        <v>1</v>
      </c>
    </row>
    <row r="1331" customFormat="false" ht="14.25" hidden="false" customHeight="false" outlineLevel="0" collapsed="false">
      <c r="A1331" s="1" t="n">
        <v>215</v>
      </c>
      <c r="B1331" s="1" t="s">
        <v>565</v>
      </c>
      <c r="C1331" s="1" t="s">
        <v>566</v>
      </c>
      <c r="D1331" s="1" t="n">
        <v>11171</v>
      </c>
      <c r="E1331" s="1" t="s">
        <v>55</v>
      </c>
      <c r="F1331" s="198" t="n">
        <v>200025889163</v>
      </c>
      <c r="G1331" s="198" t="s">
        <v>612</v>
      </c>
      <c r="H1331" s="163" t="s">
        <v>333</v>
      </c>
      <c r="I1331" s="161" t="n">
        <v>21</v>
      </c>
      <c r="J1331" s="156" t="s">
        <v>192</v>
      </c>
      <c r="K1331" s="199" t="n">
        <v>45453.2628935185</v>
      </c>
      <c r="L1331" s="3" t="n">
        <v>83</v>
      </c>
      <c r="M1331" s="3" t="n">
        <v>83</v>
      </c>
      <c r="N1331" s="1" t="n">
        <v>62</v>
      </c>
      <c r="O1331" s="1" t="n">
        <v>1</v>
      </c>
    </row>
    <row r="1332" customFormat="false" ht="14.25" hidden="false" customHeight="false" outlineLevel="0" collapsed="false">
      <c r="A1332" s="1" t="n">
        <v>216</v>
      </c>
      <c r="B1332" s="1" t="s">
        <v>565</v>
      </c>
      <c r="C1332" s="1" t="s">
        <v>566</v>
      </c>
      <c r="D1332" s="1" t="n">
        <v>11171</v>
      </c>
      <c r="E1332" s="1" t="s">
        <v>55</v>
      </c>
      <c r="F1332" s="198" t="n">
        <v>200025889163</v>
      </c>
      <c r="G1332" s="198" t="s">
        <v>612</v>
      </c>
      <c r="H1332" s="163" t="s">
        <v>333</v>
      </c>
      <c r="I1332" s="161" t="n">
        <v>21</v>
      </c>
      <c r="J1332" s="156" t="s">
        <v>192</v>
      </c>
      <c r="K1332" s="199" t="n">
        <v>45453.2630208333</v>
      </c>
      <c r="L1332" s="3" t="n">
        <v>83</v>
      </c>
      <c r="M1332" s="3" t="n">
        <v>83</v>
      </c>
      <c r="N1332" s="1" t="n">
        <v>63</v>
      </c>
      <c r="O1332" s="1" t="n">
        <v>0</v>
      </c>
    </row>
    <row r="1333" customFormat="false" ht="14.25" hidden="false" customHeight="false" outlineLevel="0" collapsed="false">
      <c r="A1333" s="1" t="n">
        <v>221</v>
      </c>
      <c r="B1333" s="1" t="s">
        <v>565</v>
      </c>
      <c r="C1333" s="1" t="s">
        <v>566</v>
      </c>
      <c r="D1333" s="1" t="n">
        <v>11171</v>
      </c>
      <c r="E1333" s="1" t="s">
        <v>55</v>
      </c>
      <c r="F1333" s="198" t="n">
        <v>200025889163</v>
      </c>
      <c r="G1333" s="198" t="s">
        <v>612</v>
      </c>
      <c r="H1333" s="163" t="s">
        <v>333</v>
      </c>
      <c r="I1333" s="161" t="n">
        <v>21</v>
      </c>
      <c r="J1333" s="156" t="s">
        <v>192</v>
      </c>
      <c r="K1333" s="199" t="n">
        <v>45453.3245949074</v>
      </c>
      <c r="L1333" s="3" t="n">
        <v>83</v>
      </c>
      <c r="M1333" s="3" t="n">
        <v>83</v>
      </c>
      <c r="N1333" s="1" t="n">
        <v>64</v>
      </c>
      <c r="O1333" s="1" t="n">
        <v>1</v>
      </c>
    </row>
    <row r="1334" customFormat="false" ht="14.25" hidden="false" customHeight="false" outlineLevel="0" collapsed="false">
      <c r="A1334" s="1" t="n">
        <v>222</v>
      </c>
      <c r="B1334" s="1" t="s">
        <v>565</v>
      </c>
      <c r="C1334" s="1" t="s">
        <v>566</v>
      </c>
      <c r="D1334" s="1" t="n">
        <v>11171</v>
      </c>
      <c r="E1334" s="1" t="s">
        <v>55</v>
      </c>
      <c r="F1334" s="198" t="n">
        <v>200025889163</v>
      </c>
      <c r="G1334" s="198" t="s">
        <v>612</v>
      </c>
      <c r="H1334" s="163" t="s">
        <v>333</v>
      </c>
      <c r="I1334" s="161" t="n">
        <v>21</v>
      </c>
      <c r="J1334" s="156" t="s">
        <v>192</v>
      </c>
      <c r="K1334" s="199" t="n">
        <v>45453.3251967593</v>
      </c>
      <c r="L1334" s="3" t="n">
        <v>83</v>
      </c>
      <c r="M1334" s="3" t="n">
        <v>83</v>
      </c>
      <c r="N1334" s="1" t="n">
        <v>65</v>
      </c>
      <c r="O1334" s="1" t="n">
        <v>3</v>
      </c>
    </row>
    <row r="1335" customFormat="false" ht="14.25" hidden="false" customHeight="false" outlineLevel="0" collapsed="false">
      <c r="A1335" s="1" t="n">
        <v>116</v>
      </c>
      <c r="B1335" s="1" t="s">
        <v>681</v>
      </c>
      <c r="C1335" s="1" t="s">
        <v>682</v>
      </c>
      <c r="D1335" s="1" t="n">
        <v>11197</v>
      </c>
      <c r="E1335" s="1" t="s">
        <v>53</v>
      </c>
      <c r="F1335" s="201" t="n">
        <v>200025889154</v>
      </c>
      <c r="G1335" s="198" t="s">
        <v>641</v>
      </c>
      <c r="H1335" s="172" t="n">
        <v>91178</v>
      </c>
      <c r="I1335" s="170" t="n">
        <v>34</v>
      </c>
      <c r="J1335" s="169" t="s">
        <v>192</v>
      </c>
      <c r="K1335" s="200" t="n">
        <v>45436.699224537</v>
      </c>
      <c r="L1335" s="3" t="n">
        <v>84</v>
      </c>
      <c r="M1335" s="3" t="n">
        <v>84</v>
      </c>
      <c r="N1335" s="1" t="n">
        <v>1</v>
      </c>
      <c r="O1335" s="1" t="n">
        <v>1</v>
      </c>
    </row>
    <row r="1336" customFormat="false" ht="14.25" hidden="false" customHeight="false" outlineLevel="0" collapsed="false">
      <c r="A1336" s="1" t="n">
        <v>117</v>
      </c>
      <c r="B1336" s="1" t="s">
        <v>681</v>
      </c>
      <c r="C1336" s="1" t="s">
        <v>682</v>
      </c>
      <c r="D1336" s="1" t="n">
        <v>11197</v>
      </c>
      <c r="E1336" s="1" t="s">
        <v>53</v>
      </c>
      <c r="F1336" s="201" t="n">
        <v>200025889154</v>
      </c>
      <c r="G1336" s="198" t="s">
        <v>641</v>
      </c>
      <c r="H1336" s="172" t="n">
        <v>91178</v>
      </c>
      <c r="I1336" s="170" t="n">
        <v>34</v>
      </c>
      <c r="J1336" s="169" t="s">
        <v>192</v>
      </c>
      <c r="K1336" s="200" t="n">
        <v>45436.6997453704</v>
      </c>
      <c r="L1336" s="3" t="n">
        <v>84</v>
      </c>
      <c r="M1336" s="3" t="n">
        <v>84</v>
      </c>
      <c r="N1336" s="1" t="n">
        <v>2</v>
      </c>
      <c r="O1336" s="1" t="n">
        <v>0</v>
      </c>
    </row>
    <row r="1337" customFormat="false" ht="14.25" hidden="false" customHeight="false" outlineLevel="0" collapsed="false">
      <c r="A1337" s="1" t="n">
        <v>118</v>
      </c>
      <c r="B1337" s="1" t="s">
        <v>681</v>
      </c>
      <c r="C1337" s="1" t="s">
        <v>682</v>
      </c>
      <c r="D1337" s="1" t="n">
        <v>11197</v>
      </c>
      <c r="E1337" s="1" t="s">
        <v>53</v>
      </c>
      <c r="F1337" s="201" t="n">
        <v>200025889154</v>
      </c>
      <c r="G1337" s="198" t="s">
        <v>641</v>
      </c>
      <c r="H1337" s="172" t="n">
        <v>91178</v>
      </c>
      <c r="I1337" s="170" t="n">
        <v>34</v>
      </c>
      <c r="J1337" s="169" t="s">
        <v>192</v>
      </c>
      <c r="K1337" s="200" t="n">
        <v>45436.7264583333</v>
      </c>
      <c r="L1337" s="3" t="n">
        <v>84</v>
      </c>
      <c r="M1337" s="3" t="n">
        <v>84</v>
      </c>
      <c r="N1337" s="1" t="n">
        <v>3</v>
      </c>
      <c r="O1337" s="1" t="n">
        <v>1</v>
      </c>
    </row>
    <row r="1338" customFormat="false" ht="14.25" hidden="false" customHeight="false" outlineLevel="0" collapsed="false">
      <c r="A1338" s="1" t="n">
        <v>226</v>
      </c>
      <c r="B1338" s="1" t="s">
        <v>621</v>
      </c>
      <c r="C1338" s="1" t="s">
        <v>622</v>
      </c>
      <c r="D1338" s="1" t="n">
        <v>11171</v>
      </c>
      <c r="E1338" s="1" t="s">
        <v>55</v>
      </c>
      <c r="F1338" s="201" t="n">
        <v>200025889154</v>
      </c>
      <c r="G1338" s="198" t="s">
        <v>641</v>
      </c>
      <c r="H1338" s="172" t="n">
        <v>91178</v>
      </c>
      <c r="I1338" s="170" t="n">
        <v>34</v>
      </c>
      <c r="J1338" s="169" t="s">
        <v>192</v>
      </c>
      <c r="K1338" s="200" t="n">
        <v>45436.7791782407</v>
      </c>
      <c r="L1338" s="3" t="n">
        <v>84</v>
      </c>
      <c r="M1338" s="3" t="n">
        <v>84</v>
      </c>
      <c r="N1338" s="1" t="n">
        <v>4</v>
      </c>
      <c r="O1338" s="1" t="n">
        <v>5</v>
      </c>
    </row>
    <row r="1339" customFormat="false" ht="14.25" hidden="false" customHeight="false" outlineLevel="0" collapsed="false">
      <c r="A1339" s="1" t="n">
        <v>227</v>
      </c>
      <c r="B1339" s="1" t="s">
        <v>621</v>
      </c>
      <c r="C1339" s="1" t="s">
        <v>622</v>
      </c>
      <c r="D1339" s="1" t="n">
        <v>11171</v>
      </c>
      <c r="E1339" s="1" t="s">
        <v>55</v>
      </c>
      <c r="F1339" s="201" t="n">
        <v>200025889154</v>
      </c>
      <c r="G1339" s="198" t="s">
        <v>641</v>
      </c>
      <c r="H1339" s="172" t="n">
        <v>91178</v>
      </c>
      <c r="I1339" s="170" t="n">
        <v>34</v>
      </c>
      <c r="J1339" s="169" t="s">
        <v>192</v>
      </c>
      <c r="K1339" s="200" t="n">
        <v>45436.7806828704</v>
      </c>
      <c r="L1339" s="3" t="n">
        <v>84</v>
      </c>
      <c r="M1339" s="3" t="n">
        <v>84</v>
      </c>
      <c r="N1339" s="1" t="n">
        <v>5</v>
      </c>
      <c r="O1339" s="1" t="n">
        <v>2</v>
      </c>
    </row>
    <row r="1340" customFormat="false" ht="14.25" hidden="false" customHeight="false" outlineLevel="0" collapsed="false">
      <c r="A1340" s="1" t="n">
        <v>228</v>
      </c>
      <c r="B1340" s="1" t="s">
        <v>621</v>
      </c>
      <c r="C1340" s="1" t="s">
        <v>622</v>
      </c>
      <c r="D1340" s="1" t="n">
        <v>11171</v>
      </c>
      <c r="E1340" s="1" t="s">
        <v>55</v>
      </c>
      <c r="F1340" s="201" t="n">
        <v>200025889154</v>
      </c>
      <c r="G1340" s="198" t="s">
        <v>641</v>
      </c>
      <c r="H1340" s="172" t="n">
        <v>91178</v>
      </c>
      <c r="I1340" s="170" t="n">
        <v>34</v>
      </c>
      <c r="J1340" s="169" t="s">
        <v>192</v>
      </c>
      <c r="K1340" s="200" t="n">
        <v>45436.7813773148</v>
      </c>
      <c r="L1340" s="3" t="n">
        <v>84</v>
      </c>
      <c r="M1340" s="3" t="n">
        <v>84</v>
      </c>
      <c r="N1340" s="1" t="n">
        <v>6</v>
      </c>
      <c r="O1340" s="1" t="n">
        <v>9</v>
      </c>
    </row>
    <row r="1341" customFormat="false" ht="14.25" hidden="false" customHeight="false" outlineLevel="0" collapsed="false">
      <c r="A1341" s="1" t="n">
        <v>229</v>
      </c>
      <c r="B1341" s="1" t="s">
        <v>621</v>
      </c>
      <c r="C1341" s="1" t="s">
        <v>622</v>
      </c>
      <c r="D1341" s="1" t="n">
        <v>11171</v>
      </c>
      <c r="E1341" s="1" t="s">
        <v>55</v>
      </c>
      <c r="F1341" s="201" t="n">
        <v>200025889154</v>
      </c>
      <c r="G1341" s="198" t="s">
        <v>641</v>
      </c>
      <c r="H1341" s="172" t="n">
        <v>91178</v>
      </c>
      <c r="I1341" s="170" t="n">
        <v>34</v>
      </c>
      <c r="J1341" s="169" t="s">
        <v>192</v>
      </c>
      <c r="K1341" s="200" t="n">
        <v>45436.8488657407</v>
      </c>
      <c r="L1341" s="3" t="n">
        <v>84</v>
      </c>
      <c r="M1341" s="3" t="n">
        <v>84</v>
      </c>
      <c r="N1341" s="1" t="n">
        <v>7</v>
      </c>
      <c r="O1341" s="1" t="n">
        <v>2</v>
      </c>
    </row>
    <row r="1342" customFormat="false" ht="14.25" hidden="false" customHeight="false" outlineLevel="0" collapsed="false">
      <c r="A1342" s="1" t="n">
        <v>230</v>
      </c>
      <c r="B1342" s="1" t="s">
        <v>621</v>
      </c>
      <c r="C1342" s="1" t="s">
        <v>622</v>
      </c>
      <c r="D1342" s="1" t="n">
        <v>11171</v>
      </c>
      <c r="E1342" s="1" t="s">
        <v>55</v>
      </c>
      <c r="F1342" s="201" t="n">
        <v>200025889154</v>
      </c>
      <c r="G1342" s="198" t="s">
        <v>641</v>
      </c>
      <c r="H1342" s="172" t="n">
        <v>91178</v>
      </c>
      <c r="I1342" s="170" t="n">
        <v>34</v>
      </c>
      <c r="J1342" s="169" t="s">
        <v>192</v>
      </c>
      <c r="K1342" s="200" t="n">
        <v>45436.9282523148</v>
      </c>
      <c r="L1342" s="3" t="n">
        <v>84</v>
      </c>
      <c r="M1342" s="3" t="n">
        <v>84</v>
      </c>
      <c r="N1342" s="1" t="n">
        <v>8</v>
      </c>
      <c r="O1342" s="1" t="n">
        <v>2</v>
      </c>
    </row>
    <row r="1343" customFormat="false" ht="14.25" hidden="false" customHeight="false" outlineLevel="0" collapsed="false">
      <c r="A1343" s="1" t="n">
        <v>231</v>
      </c>
      <c r="B1343" s="1" t="s">
        <v>621</v>
      </c>
      <c r="C1343" s="1" t="s">
        <v>622</v>
      </c>
      <c r="D1343" s="1" t="n">
        <v>11171</v>
      </c>
      <c r="E1343" s="1" t="s">
        <v>55</v>
      </c>
      <c r="F1343" s="201" t="n">
        <v>200025889154</v>
      </c>
      <c r="G1343" s="198" t="s">
        <v>641</v>
      </c>
      <c r="H1343" s="172" t="n">
        <v>91178</v>
      </c>
      <c r="I1343" s="170" t="n">
        <v>34</v>
      </c>
      <c r="J1343" s="169" t="s">
        <v>192</v>
      </c>
      <c r="K1343" s="200" t="n">
        <v>45436.9336111111</v>
      </c>
      <c r="L1343" s="3" t="n">
        <v>84</v>
      </c>
      <c r="M1343" s="3" t="n">
        <v>84</v>
      </c>
      <c r="N1343" s="1" t="n">
        <v>9</v>
      </c>
      <c r="O1343" s="1" t="n">
        <v>5</v>
      </c>
    </row>
    <row r="1344" customFormat="false" ht="14.25" hidden="false" customHeight="false" outlineLevel="0" collapsed="false">
      <c r="A1344" s="1" t="n">
        <v>232</v>
      </c>
      <c r="B1344" s="1" t="s">
        <v>621</v>
      </c>
      <c r="C1344" s="1" t="s">
        <v>622</v>
      </c>
      <c r="D1344" s="1" t="n">
        <v>11171</v>
      </c>
      <c r="E1344" s="1" t="s">
        <v>55</v>
      </c>
      <c r="F1344" s="201" t="n">
        <v>200025889154</v>
      </c>
      <c r="G1344" s="198" t="s">
        <v>641</v>
      </c>
      <c r="H1344" s="172" t="n">
        <v>91178</v>
      </c>
      <c r="I1344" s="170" t="n">
        <v>34</v>
      </c>
      <c r="J1344" s="169" t="s">
        <v>192</v>
      </c>
      <c r="K1344" s="200" t="n">
        <v>45436.9355092593</v>
      </c>
      <c r="L1344" s="3" t="n">
        <v>84</v>
      </c>
      <c r="M1344" s="3" t="n">
        <v>84</v>
      </c>
      <c r="N1344" s="1" t="n">
        <v>10</v>
      </c>
      <c r="O1344" s="1" t="n">
        <v>2</v>
      </c>
    </row>
    <row r="1345" customFormat="false" ht="14.25" hidden="false" customHeight="false" outlineLevel="0" collapsed="false">
      <c r="A1345" s="1" t="n">
        <v>233</v>
      </c>
      <c r="B1345" s="1" t="s">
        <v>621</v>
      </c>
      <c r="C1345" s="1" t="s">
        <v>622</v>
      </c>
      <c r="D1345" s="1" t="n">
        <v>11171</v>
      </c>
      <c r="E1345" s="1" t="s">
        <v>55</v>
      </c>
      <c r="F1345" s="201" t="n">
        <v>200025889154</v>
      </c>
      <c r="G1345" s="198" t="s">
        <v>641</v>
      </c>
      <c r="H1345" s="172" t="n">
        <v>91178</v>
      </c>
      <c r="I1345" s="170" t="n">
        <v>34</v>
      </c>
      <c r="J1345" s="169" t="s">
        <v>192</v>
      </c>
      <c r="K1345" s="200" t="n">
        <v>45436.9558912037</v>
      </c>
      <c r="L1345" s="3" t="n">
        <v>84</v>
      </c>
      <c r="M1345" s="3" t="n">
        <v>84</v>
      </c>
      <c r="N1345" s="1" t="n">
        <v>11</v>
      </c>
      <c r="O1345" s="1" t="n">
        <v>2</v>
      </c>
    </row>
    <row r="1346" customFormat="false" ht="14.25" hidden="false" customHeight="false" outlineLevel="0" collapsed="false">
      <c r="A1346" s="1" t="n">
        <v>177</v>
      </c>
      <c r="B1346" s="1" t="s">
        <v>565</v>
      </c>
      <c r="C1346" s="1" t="s">
        <v>566</v>
      </c>
      <c r="D1346" s="196" t="n">
        <v>11197</v>
      </c>
      <c r="E1346" s="1" t="s">
        <v>53</v>
      </c>
      <c r="F1346" s="198" t="n">
        <v>200025889154</v>
      </c>
      <c r="G1346" s="198" t="s">
        <v>641</v>
      </c>
      <c r="H1346" s="172" t="n">
        <v>91178</v>
      </c>
      <c r="I1346" s="170" t="n">
        <v>34</v>
      </c>
      <c r="J1346" s="169" t="s">
        <v>192</v>
      </c>
      <c r="K1346" s="199" t="n">
        <v>45436.9966203704</v>
      </c>
      <c r="L1346" s="3" t="n">
        <v>84</v>
      </c>
      <c r="M1346" s="3" t="n">
        <v>84</v>
      </c>
      <c r="N1346" s="1" t="n">
        <v>12</v>
      </c>
      <c r="O1346" s="1" t="n">
        <v>1</v>
      </c>
    </row>
    <row r="1347" customFormat="false" ht="14.25" hidden="false" customHeight="false" outlineLevel="0" collapsed="false">
      <c r="A1347" s="1" t="n">
        <v>178</v>
      </c>
      <c r="B1347" s="1" t="s">
        <v>565</v>
      </c>
      <c r="C1347" s="1" t="s">
        <v>566</v>
      </c>
      <c r="D1347" s="196" t="n">
        <v>11197</v>
      </c>
      <c r="E1347" s="1" t="s">
        <v>53</v>
      </c>
      <c r="F1347" s="198" t="n">
        <v>200025889154</v>
      </c>
      <c r="G1347" s="198" t="s">
        <v>641</v>
      </c>
      <c r="H1347" s="172" t="n">
        <v>91178</v>
      </c>
      <c r="I1347" s="170" t="n">
        <v>34</v>
      </c>
      <c r="J1347" s="169" t="s">
        <v>192</v>
      </c>
      <c r="K1347" s="199" t="n">
        <v>45436.999849537</v>
      </c>
      <c r="L1347" s="3" t="n">
        <v>84</v>
      </c>
      <c r="M1347" s="3" t="n">
        <v>84</v>
      </c>
      <c r="N1347" s="1" t="n">
        <v>13</v>
      </c>
      <c r="O1347" s="1" t="n">
        <v>0</v>
      </c>
    </row>
    <row r="1348" customFormat="false" ht="14.25" hidden="false" customHeight="false" outlineLevel="0" collapsed="false">
      <c r="A1348" s="1" t="n">
        <v>179</v>
      </c>
      <c r="B1348" s="1" t="s">
        <v>565</v>
      </c>
      <c r="C1348" s="1" t="s">
        <v>566</v>
      </c>
      <c r="D1348" s="196" t="n">
        <v>11197</v>
      </c>
      <c r="E1348" s="1" t="s">
        <v>53</v>
      </c>
      <c r="F1348" s="198" t="n">
        <v>200025889154</v>
      </c>
      <c r="G1348" s="198" t="s">
        <v>641</v>
      </c>
      <c r="H1348" s="172" t="n">
        <v>91178</v>
      </c>
      <c r="I1348" s="170" t="n">
        <v>34</v>
      </c>
      <c r="J1348" s="169" t="s">
        <v>192</v>
      </c>
      <c r="K1348" s="199" t="n">
        <v>45437.0001273148</v>
      </c>
      <c r="L1348" s="3" t="n">
        <v>84</v>
      </c>
      <c r="M1348" s="3" t="n">
        <v>84</v>
      </c>
      <c r="N1348" s="1" t="n">
        <v>14</v>
      </c>
      <c r="O1348" s="1" t="n">
        <v>1</v>
      </c>
    </row>
    <row r="1349" customFormat="false" ht="14.25" hidden="false" customHeight="false" outlineLevel="0" collapsed="false">
      <c r="A1349" s="1" t="n">
        <v>180</v>
      </c>
      <c r="B1349" s="1" t="s">
        <v>565</v>
      </c>
      <c r="C1349" s="1" t="s">
        <v>566</v>
      </c>
      <c r="D1349" s="196" t="n">
        <v>11197</v>
      </c>
      <c r="E1349" s="1" t="s">
        <v>53</v>
      </c>
      <c r="F1349" s="198" t="n">
        <v>200025889154</v>
      </c>
      <c r="G1349" s="198" t="s">
        <v>641</v>
      </c>
      <c r="H1349" s="172" t="n">
        <v>91178</v>
      </c>
      <c r="I1349" s="170" t="n">
        <v>34</v>
      </c>
      <c r="J1349" s="169" t="s">
        <v>192</v>
      </c>
      <c r="K1349" s="199" t="n">
        <v>45437.000150463</v>
      </c>
      <c r="L1349" s="3" t="n">
        <v>84</v>
      </c>
      <c r="M1349" s="3" t="n">
        <v>84</v>
      </c>
      <c r="N1349" s="1" t="n">
        <v>15</v>
      </c>
      <c r="O1349" s="10" t="n">
        <v>296</v>
      </c>
    </row>
    <row r="1350" customFormat="false" ht="14.25" hidden="false" customHeight="false" outlineLevel="0" collapsed="false">
      <c r="A1350" s="1" t="n">
        <v>181</v>
      </c>
      <c r="B1350" s="1" t="s">
        <v>565</v>
      </c>
      <c r="C1350" s="1" t="s">
        <v>566</v>
      </c>
      <c r="D1350" s="196" t="n">
        <v>11197</v>
      </c>
      <c r="E1350" s="1" t="s">
        <v>53</v>
      </c>
      <c r="F1350" s="198" t="n">
        <v>200025889154</v>
      </c>
      <c r="G1350" s="198" t="s">
        <v>641</v>
      </c>
      <c r="H1350" s="172" t="n">
        <v>91178</v>
      </c>
      <c r="I1350" s="170" t="n">
        <v>34</v>
      </c>
      <c r="J1350" s="169" t="s">
        <v>192</v>
      </c>
      <c r="K1350" s="199" t="n">
        <v>45437.0084953704</v>
      </c>
      <c r="L1350" s="3" t="n">
        <v>84</v>
      </c>
      <c r="M1350" s="3" t="n">
        <v>84</v>
      </c>
      <c r="N1350" s="1" t="n">
        <v>16</v>
      </c>
      <c r="O1350" s="1" t="n">
        <v>2</v>
      </c>
    </row>
    <row r="1351" customFormat="false" ht="14.25" hidden="false" customHeight="false" outlineLevel="0" collapsed="false">
      <c r="A1351" s="1" t="n">
        <v>182</v>
      </c>
      <c r="B1351" s="1" t="s">
        <v>565</v>
      </c>
      <c r="C1351" s="1" t="s">
        <v>566</v>
      </c>
      <c r="D1351" s="196" t="n">
        <v>11197</v>
      </c>
      <c r="E1351" s="1" t="s">
        <v>53</v>
      </c>
      <c r="F1351" s="198" t="n">
        <v>200025889154</v>
      </c>
      <c r="G1351" s="198" t="s">
        <v>641</v>
      </c>
      <c r="H1351" s="172" t="n">
        <v>91178</v>
      </c>
      <c r="I1351" s="170" t="n">
        <v>34</v>
      </c>
      <c r="J1351" s="169" t="s">
        <v>192</v>
      </c>
      <c r="K1351" s="199" t="n">
        <v>45437.0099652778</v>
      </c>
      <c r="L1351" s="3" t="n">
        <v>84</v>
      </c>
      <c r="M1351" s="3" t="n">
        <v>84</v>
      </c>
      <c r="N1351" s="1" t="n">
        <v>17</v>
      </c>
      <c r="O1351" s="1" t="n">
        <v>1</v>
      </c>
    </row>
    <row r="1352" customFormat="false" ht="14.25" hidden="false" customHeight="false" outlineLevel="0" collapsed="false">
      <c r="A1352" s="1" t="n">
        <v>85</v>
      </c>
      <c r="B1352" s="1" t="s">
        <v>684</v>
      </c>
      <c r="C1352" s="1" t="s">
        <v>685</v>
      </c>
      <c r="D1352" s="1" t="n">
        <v>21296</v>
      </c>
      <c r="E1352" s="1" t="s">
        <v>57</v>
      </c>
      <c r="F1352" s="201" t="n">
        <v>200025889154</v>
      </c>
      <c r="G1352" s="198" t="s">
        <v>641</v>
      </c>
      <c r="H1352" s="172" t="n">
        <v>91178</v>
      </c>
      <c r="I1352" s="170" t="n">
        <v>34</v>
      </c>
      <c r="J1352" s="169" t="s">
        <v>192</v>
      </c>
      <c r="K1352" s="200" t="n">
        <v>45454.6458564815</v>
      </c>
      <c r="L1352" s="3" t="n">
        <v>84</v>
      </c>
      <c r="M1352" s="3" t="n">
        <v>84</v>
      </c>
      <c r="N1352" s="1" t="n">
        <v>18</v>
      </c>
      <c r="O1352" s="1" t="n">
        <v>1</v>
      </c>
    </row>
    <row r="1353" customFormat="false" ht="14.25" hidden="false" customHeight="false" outlineLevel="0" collapsed="false">
      <c r="A1353" s="1" t="n">
        <v>86</v>
      </c>
      <c r="B1353" s="1" t="s">
        <v>684</v>
      </c>
      <c r="C1353" s="1" t="s">
        <v>685</v>
      </c>
      <c r="D1353" s="1" t="n">
        <v>21296</v>
      </c>
      <c r="E1353" s="1" t="s">
        <v>57</v>
      </c>
      <c r="F1353" s="201" t="n">
        <v>200025889154</v>
      </c>
      <c r="G1353" s="198" t="s">
        <v>641</v>
      </c>
      <c r="H1353" s="172" t="n">
        <v>91178</v>
      </c>
      <c r="I1353" s="170" t="n">
        <v>34</v>
      </c>
      <c r="J1353" s="169" t="s">
        <v>192</v>
      </c>
      <c r="K1353" s="200" t="n">
        <v>45454.6458796296</v>
      </c>
      <c r="L1353" s="3" t="n">
        <v>84</v>
      </c>
      <c r="M1353" s="3" t="n">
        <v>84</v>
      </c>
      <c r="N1353" s="1" t="n">
        <v>19</v>
      </c>
      <c r="O1353" s="1" t="n">
        <v>3</v>
      </c>
    </row>
    <row r="1354" customFormat="false" ht="14.25" hidden="false" customHeight="false" outlineLevel="0" collapsed="false">
      <c r="A1354" s="1" t="n">
        <v>87</v>
      </c>
      <c r="B1354" s="1" t="s">
        <v>684</v>
      </c>
      <c r="C1354" s="1" t="s">
        <v>685</v>
      </c>
      <c r="D1354" s="1" t="n">
        <v>21296</v>
      </c>
      <c r="E1354" s="1" t="s">
        <v>57</v>
      </c>
      <c r="F1354" s="201" t="n">
        <v>200025889154</v>
      </c>
      <c r="G1354" s="198" t="s">
        <v>641</v>
      </c>
      <c r="H1354" s="172" t="n">
        <v>91178</v>
      </c>
      <c r="I1354" s="170" t="n">
        <v>34</v>
      </c>
      <c r="J1354" s="169" t="s">
        <v>192</v>
      </c>
      <c r="K1354" s="200" t="n">
        <v>45454.6473958333</v>
      </c>
      <c r="L1354" s="3" t="n">
        <v>84</v>
      </c>
      <c r="M1354" s="3" t="n">
        <v>84</v>
      </c>
      <c r="N1354" s="1" t="n">
        <v>20</v>
      </c>
      <c r="O1354" s="1" t="n">
        <v>1</v>
      </c>
    </row>
    <row r="1355" customFormat="false" ht="14.25" hidden="false" customHeight="false" outlineLevel="0" collapsed="false">
      <c r="A1355" s="1" t="n">
        <v>88</v>
      </c>
      <c r="B1355" s="1" t="s">
        <v>684</v>
      </c>
      <c r="C1355" s="1" t="s">
        <v>685</v>
      </c>
      <c r="D1355" s="1" t="n">
        <v>21296</v>
      </c>
      <c r="E1355" s="1" t="s">
        <v>57</v>
      </c>
      <c r="F1355" s="201" t="n">
        <v>200025889154</v>
      </c>
      <c r="G1355" s="198" t="s">
        <v>641</v>
      </c>
      <c r="H1355" s="172" t="n">
        <v>91178</v>
      </c>
      <c r="I1355" s="170" t="n">
        <v>34</v>
      </c>
      <c r="J1355" s="169" t="s">
        <v>192</v>
      </c>
      <c r="K1355" s="200" t="n">
        <v>45454.6474074074</v>
      </c>
      <c r="L1355" s="3" t="n">
        <v>84</v>
      </c>
      <c r="M1355" s="3" t="n">
        <v>84</v>
      </c>
      <c r="N1355" s="1" t="n">
        <v>21</v>
      </c>
      <c r="O1355" s="1" t="n">
        <v>1</v>
      </c>
    </row>
    <row r="1356" customFormat="false" ht="14.25" hidden="false" customHeight="false" outlineLevel="0" collapsed="false">
      <c r="A1356" s="1" t="n">
        <v>89</v>
      </c>
      <c r="B1356" s="1" t="s">
        <v>684</v>
      </c>
      <c r="C1356" s="1" t="s">
        <v>685</v>
      </c>
      <c r="D1356" s="1" t="n">
        <v>21296</v>
      </c>
      <c r="E1356" s="1" t="s">
        <v>57</v>
      </c>
      <c r="F1356" s="201" t="n">
        <v>200025889154</v>
      </c>
      <c r="G1356" s="198" t="s">
        <v>641</v>
      </c>
      <c r="H1356" s="172" t="n">
        <v>91178</v>
      </c>
      <c r="I1356" s="170" t="n">
        <v>34</v>
      </c>
      <c r="J1356" s="169" t="s">
        <v>192</v>
      </c>
      <c r="K1356" s="200" t="n">
        <v>45454.6474189815</v>
      </c>
      <c r="L1356" s="3" t="n">
        <v>84</v>
      </c>
      <c r="M1356" s="3" t="n">
        <v>84</v>
      </c>
      <c r="N1356" s="1" t="n">
        <v>22</v>
      </c>
      <c r="O1356" s="1" t="n">
        <v>1</v>
      </c>
    </row>
    <row r="1357" customFormat="false" ht="14.25" hidden="false" customHeight="false" outlineLevel="0" collapsed="false">
      <c r="A1357" s="1" t="n">
        <v>90</v>
      </c>
      <c r="B1357" s="1" t="s">
        <v>684</v>
      </c>
      <c r="C1357" s="1" t="s">
        <v>685</v>
      </c>
      <c r="D1357" s="1" t="n">
        <v>21296</v>
      </c>
      <c r="E1357" s="1" t="s">
        <v>57</v>
      </c>
      <c r="F1357" s="201" t="n">
        <v>200025889154</v>
      </c>
      <c r="G1357" s="198" t="s">
        <v>641</v>
      </c>
      <c r="H1357" s="172" t="n">
        <v>91178</v>
      </c>
      <c r="I1357" s="170" t="n">
        <v>34</v>
      </c>
      <c r="J1357" s="169" t="s">
        <v>192</v>
      </c>
      <c r="K1357" s="200" t="n">
        <v>45454.6478472222</v>
      </c>
      <c r="L1357" s="3" t="n">
        <v>84</v>
      </c>
      <c r="M1357" s="3" t="n">
        <v>84</v>
      </c>
      <c r="N1357" s="1" t="n">
        <v>23</v>
      </c>
      <c r="O1357" s="1" t="n">
        <v>1</v>
      </c>
    </row>
    <row r="1358" customFormat="false" ht="14.25" hidden="false" customHeight="false" outlineLevel="0" collapsed="false">
      <c r="A1358" s="1" t="n">
        <v>91</v>
      </c>
      <c r="B1358" s="1" t="s">
        <v>684</v>
      </c>
      <c r="C1358" s="1" t="s">
        <v>685</v>
      </c>
      <c r="D1358" s="1" t="n">
        <v>21296</v>
      </c>
      <c r="E1358" s="1" t="s">
        <v>57</v>
      </c>
      <c r="F1358" s="201" t="n">
        <v>200025889154</v>
      </c>
      <c r="G1358" s="198" t="s">
        <v>641</v>
      </c>
      <c r="H1358" s="172" t="n">
        <v>91178</v>
      </c>
      <c r="I1358" s="170" t="n">
        <v>34</v>
      </c>
      <c r="J1358" s="169" t="s">
        <v>192</v>
      </c>
      <c r="K1358" s="200" t="n">
        <v>45454.6478703704</v>
      </c>
      <c r="L1358" s="3" t="n">
        <v>84</v>
      </c>
      <c r="M1358" s="3" t="n">
        <v>84</v>
      </c>
      <c r="N1358" s="1" t="n">
        <v>24</v>
      </c>
      <c r="O1358" s="1" t="n">
        <v>0</v>
      </c>
    </row>
    <row r="1359" customFormat="false" ht="14.25" hidden="false" customHeight="false" outlineLevel="0" collapsed="false">
      <c r="A1359" s="1" t="n">
        <v>92</v>
      </c>
      <c r="B1359" s="1" t="s">
        <v>684</v>
      </c>
      <c r="C1359" s="1" t="s">
        <v>685</v>
      </c>
      <c r="D1359" s="1" t="n">
        <v>21296</v>
      </c>
      <c r="E1359" s="1" t="s">
        <v>57</v>
      </c>
      <c r="F1359" s="201" t="n">
        <v>200025889154</v>
      </c>
      <c r="G1359" s="198" t="s">
        <v>641</v>
      </c>
      <c r="H1359" s="172" t="n">
        <v>91178</v>
      </c>
      <c r="I1359" s="170" t="n">
        <v>34</v>
      </c>
      <c r="J1359" s="169" t="s">
        <v>192</v>
      </c>
      <c r="K1359" s="200" t="n">
        <v>45454.6478819444</v>
      </c>
      <c r="L1359" s="3" t="n">
        <v>84</v>
      </c>
      <c r="M1359" s="3" t="n">
        <v>84</v>
      </c>
      <c r="N1359" s="1" t="n">
        <v>25</v>
      </c>
      <c r="O1359" s="1" t="n">
        <v>2</v>
      </c>
    </row>
    <row r="1360" customFormat="false" ht="14.25" hidden="false" customHeight="false" outlineLevel="0" collapsed="false">
      <c r="A1360" s="1" t="n">
        <v>93</v>
      </c>
      <c r="B1360" s="1" t="s">
        <v>684</v>
      </c>
      <c r="C1360" s="1" t="s">
        <v>685</v>
      </c>
      <c r="D1360" s="1" t="n">
        <v>21296</v>
      </c>
      <c r="E1360" s="1" t="s">
        <v>57</v>
      </c>
      <c r="F1360" s="201" t="n">
        <v>200025889154</v>
      </c>
      <c r="G1360" s="198" t="s">
        <v>641</v>
      </c>
      <c r="H1360" s="172" t="n">
        <v>91178</v>
      </c>
      <c r="I1360" s="170" t="n">
        <v>34</v>
      </c>
      <c r="J1360" s="169" t="s">
        <v>192</v>
      </c>
      <c r="K1360" s="200" t="n">
        <v>45454.6484375</v>
      </c>
      <c r="L1360" s="3" t="n">
        <v>84</v>
      </c>
      <c r="M1360" s="3" t="n">
        <v>84</v>
      </c>
      <c r="N1360" s="1" t="n">
        <v>26</v>
      </c>
      <c r="O1360" s="10" t="n">
        <v>356</v>
      </c>
    </row>
    <row r="1361" customFormat="false" ht="14.25" hidden="false" customHeight="false" outlineLevel="0" collapsed="false">
      <c r="A1361" s="1" t="n">
        <v>94</v>
      </c>
      <c r="B1361" s="1" t="s">
        <v>684</v>
      </c>
      <c r="C1361" s="1" t="s">
        <v>685</v>
      </c>
      <c r="D1361" s="1" t="n">
        <v>21296</v>
      </c>
      <c r="E1361" s="1" t="s">
        <v>57</v>
      </c>
      <c r="F1361" s="201" t="n">
        <v>200025889154</v>
      </c>
      <c r="G1361" s="198" t="s">
        <v>641</v>
      </c>
      <c r="H1361" s="172" t="n">
        <v>91178</v>
      </c>
      <c r="I1361" s="170" t="n">
        <v>34</v>
      </c>
      <c r="J1361" s="169" t="s">
        <v>192</v>
      </c>
      <c r="K1361" s="200" t="n">
        <v>45454.7037268519</v>
      </c>
      <c r="L1361" s="3" t="n">
        <v>84</v>
      </c>
      <c r="M1361" s="3" t="n">
        <v>84</v>
      </c>
      <c r="N1361" s="1" t="n">
        <v>27</v>
      </c>
      <c r="O1361" s="1" t="n">
        <v>2</v>
      </c>
    </row>
    <row r="1362" customFormat="false" ht="14.25" hidden="false" customHeight="false" outlineLevel="0" collapsed="false">
      <c r="A1362" s="1" t="n">
        <v>95</v>
      </c>
      <c r="B1362" s="1" t="s">
        <v>684</v>
      </c>
      <c r="C1362" s="1" t="s">
        <v>685</v>
      </c>
      <c r="D1362" s="1" t="n">
        <v>21296</v>
      </c>
      <c r="E1362" s="1" t="s">
        <v>57</v>
      </c>
      <c r="F1362" s="201" t="n">
        <v>200025889154</v>
      </c>
      <c r="G1362" s="198" t="s">
        <v>641</v>
      </c>
      <c r="H1362" s="172" t="n">
        <v>91178</v>
      </c>
      <c r="I1362" s="170" t="n">
        <v>34</v>
      </c>
      <c r="J1362" s="169" t="s">
        <v>192</v>
      </c>
      <c r="K1362" s="200" t="n">
        <v>45454.70375</v>
      </c>
      <c r="L1362" s="3" t="n">
        <v>84</v>
      </c>
      <c r="M1362" s="3" t="n">
        <v>84</v>
      </c>
      <c r="N1362" s="1" t="n">
        <v>28</v>
      </c>
      <c r="O1362" s="1" t="n">
        <v>0</v>
      </c>
    </row>
    <row r="1363" customFormat="false" ht="14.25" hidden="false" customHeight="false" outlineLevel="0" collapsed="false">
      <c r="A1363" s="1" t="n">
        <v>96</v>
      </c>
      <c r="B1363" s="1" t="s">
        <v>684</v>
      </c>
      <c r="C1363" s="1" t="s">
        <v>685</v>
      </c>
      <c r="D1363" s="1" t="n">
        <v>21296</v>
      </c>
      <c r="E1363" s="1" t="s">
        <v>57</v>
      </c>
      <c r="F1363" s="201" t="n">
        <v>200025889154</v>
      </c>
      <c r="G1363" s="198" t="s">
        <v>641</v>
      </c>
      <c r="H1363" s="172" t="n">
        <v>91178</v>
      </c>
      <c r="I1363" s="170" t="n">
        <v>34</v>
      </c>
      <c r="J1363" s="169" t="s">
        <v>192</v>
      </c>
      <c r="K1363" s="200" t="n">
        <v>45454.7037615741</v>
      </c>
      <c r="L1363" s="3" t="n">
        <v>84</v>
      </c>
      <c r="M1363" s="3" t="n">
        <v>84</v>
      </c>
      <c r="N1363" s="1" t="n">
        <v>29</v>
      </c>
      <c r="O1363" s="1" t="n">
        <v>0</v>
      </c>
    </row>
    <row r="1364" customFormat="false" ht="14.25" hidden="false" customHeight="false" outlineLevel="0" collapsed="false">
      <c r="A1364" s="1" t="n">
        <v>97</v>
      </c>
      <c r="B1364" s="1" t="s">
        <v>684</v>
      </c>
      <c r="C1364" s="1" t="s">
        <v>685</v>
      </c>
      <c r="D1364" s="1" t="n">
        <v>21296</v>
      </c>
      <c r="E1364" s="1" t="s">
        <v>57</v>
      </c>
      <c r="F1364" s="201" t="n">
        <v>200025889154</v>
      </c>
      <c r="G1364" s="198" t="s">
        <v>641</v>
      </c>
      <c r="H1364" s="172" t="n">
        <v>91178</v>
      </c>
      <c r="I1364" s="170" t="n">
        <v>34</v>
      </c>
      <c r="J1364" s="169" t="s">
        <v>192</v>
      </c>
      <c r="K1364" s="200" t="n">
        <v>45454.7037731482</v>
      </c>
      <c r="L1364" s="3" t="n">
        <v>84</v>
      </c>
      <c r="M1364" s="3" t="n">
        <v>84</v>
      </c>
      <c r="N1364" s="1" t="n">
        <v>30</v>
      </c>
      <c r="O1364" s="1" t="n">
        <v>0</v>
      </c>
    </row>
    <row r="1365" customFormat="false" ht="14.25" hidden="false" customHeight="false" outlineLevel="0" collapsed="false">
      <c r="A1365" s="1" t="n">
        <v>98</v>
      </c>
      <c r="B1365" s="1" t="s">
        <v>684</v>
      </c>
      <c r="C1365" s="1" t="s">
        <v>685</v>
      </c>
      <c r="D1365" s="1" t="n">
        <v>21296</v>
      </c>
      <c r="E1365" s="1" t="s">
        <v>57</v>
      </c>
      <c r="F1365" s="201" t="n">
        <v>200025889154</v>
      </c>
      <c r="G1365" s="198" t="s">
        <v>641</v>
      </c>
      <c r="H1365" s="172" t="n">
        <v>91178</v>
      </c>
      <c r="I1365" s="170" t="n">
        <v>34</v>
      </c>
      <c r="J1365" s="169" t="s">
        <v>192</v>
      </c>
      <c r="K1365" s="200" t="n">
        <v>45454.704375</v>
      </c>
      <c r="L1365" s="3" t="n">
        <v>84</v>
      </c>
      <c r="M1365" s="3" t="n">
        <v>84</v>
      </c>
      <c r="N1365" s="1" t="n">
        <v>31</v>
      </c>
      <c r="O1365" s="1" t="n">
        <v>1</v>
      </c>
    </row>
    <row r="1366" customFormat="false" ht="14.25" hidden="false" customHeight="false" outlineLevel="0" collapsed="false">
      <c r="A1366" s="1" t="n">
        <v>99</v>
      </c>
      <c r="B1366" s="1" t="s">
        <v>684</v>
      </c>
      <c r="C1366" s="1" t="s">
        <v>685</v>
      </c>
      <c r="D1366" s="1" t="n">
        <v>21296</v>
      </c>
      <c r="E1366" s="1" t="s">
        <v>57</v>
      </c>
      <c r="F1366" s="201" t="n">
        <v>200025889154</v>
      </c>
      <c r="G1366" s="198" t="s">
        <v>641</v>
      </c>
      <c r="H1366" s="172" t="n">
        <v>91178</v>
      </c>
      <c r="I1366" s="170" t="n">
        <v>34</v>
      </c>
      <c r="J1366" s="169" t="s">
        <v>192</v>
      </c>
      <c r="K1366" s="200" t="n">
        <v>45454.7043981482</v>
      </c>
      <c r="L1366" s="3" t="n">
        <v>84</v>
      </c>
      <c r="M1366" s="3" t="n">
        <v>84</v>
      </c>
      <c r="N1366" s="1" t="n">
        <v>32</v>
      </c>
      <c r="O1366" s="1" t="n">
        <v>1</v>
      </c>
    </row>
    <row r="1367" customFormat="false" ht="14.25" hidden="false" customHeight="false" outlineLevel="0" collapsed="false">
      <c r="A1367" s="1" t="n">
        <v>100</v>
      </c>
      <c r="B1367" s="1" t="s">
        <v>684</v>
      </c>
      <c r="C1367" s="1" t="s">
        <v>685</v>
      </c>
      <c r="D1367" s="1" t="n">
        <v>21296</v>
      </c>
      <c r="E1367" s="1" t="s">
        <v>57</v>
      </c>
      <c r="F1367" s="201" t="n">
        <v>200025889154</v>
      </c>
      <c r="G1367" s="198" t="s">
        <v>641</v>
      </c>
      <c r="H1367" s="172" t="n">
        <v>91178</v>
      </c>
      <c r="I1367" s="170" t="n">
        <v>34</v>
      </c>
      <c r="J1367" s="169" t="s">
        <v>192</v>
      </c>
      <c r="K1367" s="200" t="n">
        <v>45454.7049652778</v>
      </c>
      <c r="L1367" s="3" t="n">
        <v>84</v>
      </c>
      <c r="M1367" s="3" t="n">
        <v>84</v>
      </c>
      <c r="N1367" s="1" t="n">
        <v>33</v>
      </c>
      <c r="O1367" s="1" t="n">
        <v>3</v>
      </c>
    </row>
    <row r="1368" customFormat="false" ht="14.25" hidden="false" customHeight="false" outlineLevel="0" collapsed="false">
      <c r="A1368" s="1" t="n">
        <v>101</v>
      </c>
      <c r="B1368" s="1" t="s">
        <v>684</v>
      </c>
      <c r="C1368" s="1" t="s">
        <v>685</v>
      </c>
      <c r="D1368" s="1" t="n">
        <v>21296</v>
      </c>
      <c r="E1368" s="1" t="s">
        <v>57</v>
      </c>
      <c r="F1368" s="201" t="n">
        <v>200025889154</v>
      </c>
      <c r="G1368" s="198" t="s">
        <v>641</v>
      </c>
      <c r="H1368" s="172" t="n">
        <v>91178</v>
      </c>
      <c r="I1368" s="170" t="n">
        <v>34</v>
      </c>
      <c r="J1368" s="169" t="s">
        <v>192</v>
      </c>
      <c r="K1368" s="200" t="n">
        <v>45454.7070023148</v>
      </c>
      <c r="L1368" s="3" t="n">
        <v>84</v>
      </c>
      <c r="M1368" s="3" t="n">
        <v>84</v>
      </c>
      <c r="N1368" s="1" t="n">
        <v>34</v>
      </c>
      <c r="O1368" s="1" t="n">
        <v>0</v>
      </c>
    </row>
    <row r="1369" customFormat="false" ht="14.25" hidden="false" customHeight="false" outlineLevel="0" collapsed="false">
      <c r="A1369" s="1" t="n">
        <v>102</v>
      </c>
      <c r="B1369" s="1" t="s">
        <v>684</v>
      </c>
      <c r="C1369" s="1" t="s">
        <v>685</v>
      </c>
      <c r="D1369" s="1" t="n">
        <v>21296</v>
      </c>
      <c r="E1369" s="1" t="s">
        <v>57</v>
      </c>
      <c r="F1369" s="201" t="n">
        <v>200025889154</v>
      </c>
      <c r="G1369" s="198" t="s">
        <v>641</v>
      </c>
      <c r="H1369" s="172" t="n">
        <v>91178</v>
      </c>
      <c r="I1369" s="170" t="n">
        <v>34</v>
      </c>
      <c r="J1369" s="169" t="s">
        <v>192</v>
      </c>
      <c r="K1369" s="200" t="n">
        <v>45454.7072453704</v>
      </c>
      <c r="L1369" s="3" t="n">
        <v>84</v>
      </c>
      <c r="M1369" s="3" t="n">
        <v>84</v>
      </c>
      <c r="N1369" s="1" t="n">
        <v>35</v>
      </c>
      <c r="O1369" s="1" t="n">
        <v>0</v>
      </c>
    </row>
    <row r="1370" customFormat="false" ht="14.25" hidden="false" customHeight="false" outlineLevel="0" collapsed="false">
      <c r="A1370" s="1" t="n">
        <v>103</v>
      </c>
      <c r="B1370" s="1" t="s">
        <v>684</v>
      </c>
      <c r="C1370" s="1" t="s">
        <v>685</v>
      </c>
      <c r="D1370" s="1" t="n">
        <v>21296</v>
      </c>
      <c r="E1370" s="1" t="s">
        <v>57</v>
      </c>
      <c r="F1370" s="201" t="n">
        <v>200025889154</v>
      </c>
      <c r="G1370" s="198" t="s">
        <v>641</v>
      </c>
      <c r="H1370" s="172" t="n">
        <v>91178</v>
      </c>
      <c r="I1370" s="170" t="n">
        <v>34</v>
      </c>
      <c r="J1370" s="169" t="s">
        <v>192</v>
      </c>
      <c r="K1370" s="200" t="n">
        <v>45454.7072453704</v>
      </c>
      <c r="L1370" s="3" t="n">
        <v>84</v>
      </c>
      <c r="M1370" s="3" t="n">
        <v>84</v>
      </c>
      <c r="N1370" s="1" t="n">
        <v>36</v>
      </c>
      <c r="O1370" s="1" t="n">
        <v>1</v>
      </c>
    </row>
    <row r="1371" customFormat="false" ht="14.25" hidden="false" customHeight="false" outlineLevel="0" collapsed="false">
      <c r="A1371" s="1" t="n">
        <v>104</v>
      </c>
      <c r="B1371" s="1" t="s">
        <v>684</v>
      </c>
      <c r="C1371" s="1" t="s">
        <v>685</v>
      </c>
      <c r="D1371" s="1" t="n">
        <v>21296</v>
      </c>
      <c r="E1371" s="1" t="s">
        <v>57</v>
      </c>
      <c r="F1371" s="201" t="n">
        <v>200025889154</v>
      </c>
      <c r="G1371" s="198" t="s">
        <v>641</v>
      </c>
      <c r="H1371" s="172" t="n">
        <v>91178</v>
      </c>
      <c r="I1371" s="170" t="n">
        <v>34</v>
      </c>
      <c r="J1371" s="169" t="s">
        <v>192</v>
      </c>
      <c r="K1371" s="200" t="n">
        <v>45454.7082060185</v>
      </c>
      <c r="L1371" s="3" t="n">
        <v>84</v>
      </c>
      <c r="M1371" s="3" t="n">
        <v>84</v>
      </c>
      <c r="N1371" s="1" t="n">
        <v>37</v>
      </c>
      <c r="O1371" s="1" t="n">
        <v>0</v>
      </c>
    </row>
    <row r="1372" customFormat="false" ht="14.25" hidden="false" customHeight="false" outlineLevel="0" collapsed="false">
      <c r="A1372" s="1" t="n">
        <v>105</v>
      </c>
      <c r="B1372" s="1" t="s">
        <v>684</v>
      </c>
      <c r="C1372" s="1" t="s">
        <v>685</v>
      </c>
      <c r="D1372" s="1" t="n">
        <v>21296</v>
      </c>
      <c r="E1372" s="1" t="s">
        <v>57</v>
      </c>
      <c r="F1372" s="201" t="n">
        <v>200025889154</v>
      </c>
      <c r="G1372" s="198" t="s">
        <v>641</v>
      </c>
      <c r="H1372" s="172" t="n">
        <v>91178</v>
      </c>
      <c r="I1372" s="170" t="n">
        <v>34</v>
      </c>
      <c r="J1372" s="169" t="s">
        <v>192</v>
      </c>
      <c r="K1372" s="200" t="n">
        <v>45454.7082175926</v>
      </c>
      <c r="L1372" s="3" t="n">
        <v>84</v>
      </c>
      <c r="M1372" s="3" t="n">
        <v>84</v>
      </c>
      <c r="N1372" s="1" t="n">
        <v>38</v>
      </c>
      <c r="O1372" s="1" t="n">
        <v>1</v>
      </c>
    </row>
    <row r="1373" customFormat="false" ht="14.25" hidden="false" customHeight="false" outlineLevel="0" collapsed="false">
      <c r="A1373" s="1" t="n">
        <v>113</v>
      </c>
      <c r="B1373" s="1" t="s">
        <v>684</v>
      </c>
      <c r="C1373" s="1" t="s">
        <v>685</v>
      </c>
      <c r="D1373" s="1" t="n">
        <v>21296</v>
      </c>
      <c r="E1373" s="1" t="s">
        <v>57</v>
      </c>
      <c r="F1373" s="201" t="n">
        <v>200025889154</v>
      </c>
      <c r="G1373" s="198" t="s">
        <v>641</v>
      </c>
      <c r="H1373" s="172" t="n">
        <v>91178</v>
      </c>
      <c r="I1373" s="170" t="n">
        <v>34</v>
      </c>
      <c r="J1373" s="169" t="s">
        <v>192</v>
      </c>
      <c r="K1373" s="200" t="n">
        <v>45454.8396180556</v>
      </c>
      <c r="L1373" s="3" t="n">
        <v>84</v>
      </c>
      <c r="M1373" s="3" t="n">
        <v>84</v>
      </c>
      <c r="N1373" s="1" t="n">
        <v>39</v>
      </c>
      <c r="O1373" s="1" t="n">
        <v>1</v>
      </c>
    </row>
    <row r="1374" customFormat="false" ht="14.25" hidden="false" customHeight="false" outlineLevel="0" collapsed="false">
      <c r="A1374" s="1" t="n">
        <v>114</v>
      </c>
      <c r="B1374" s="1" t="s">
        <v>684</v>
      </c>
      <c r="C1374" s="1" t="s">
        <v>685</v>
      </c>
      <c r="D1374" s="1" t="n">
        <v>21296</v>
      </c>
      <c r="E1374" s="1" t="s">
        <v>57</v>
      </c>
      <c r="F1374" s="201" t="n">
        <v>200025889154</v>
      </c>
      <c r="G1374" s="198" t="s">
        <v>641</v>
      </c>
      <c r="H1374" s="172" t="n">
        <v>91178</v>
      </c>
      <c r="I1374" s="170" t="n">
        <v>34</v>
      </c>
      <c r="J1374" s="169" t="s">
        <v>192</v>
      </c>
      <c r="K1374" s="200" t="n">
        <v>45454.8396296296</v>
      </c>
      <c r="L1374" s="3" t="n">
        <v>84</v>
      </c>
      <c r="M1374" s="3" t="n">
        <v>84</v>
      </c>
      <c r="N1374" s="1" t="n">
        <v>40</v>
      </c>
      <c r="O1374" s="1" t="n">
        <v>3</v>
      </c>
    </row>
    <row r="1375" customFormat="false" ht="14.25" hidden="false" customHeight="false" outlineLevel="0" collapsed="false">
      <c r="A1375" s="1" t="n">
        <v>115</v>
      </c>
      <c r="B1375" s="1" t="s">
        <v>684</v>
      </c>
      <c r="C1375" s="1" t="s">
        <v>685</v>
      </c>
      <c r="D1375" s="1" t="n">
        <v>21296</v>
      </c>
      <c r="E1375" s="1" t="s">
        <v>57</v>
      </c>
      <c r="F1375" s="201" t="n">
        <v>200025889154</v>
      </c>
      <c r="G1375" s="198" t="s">
        <v>641</v>
      </c>
      <c r="H1375" s="172" t="n">
        <v>91178</v>
      </c>
      <c r="I1375" s="170" t="n">
        <v>34</v>
      </c>
      <c r="J1375" s="169" t="s">
        <v>192</v>
      </c>
      <c r="K1375" s="200" t="n">
        <v>45454.8400925926</v>
      </c>
      <c r="L1375" s="3" t="n">
        <v>84</v>
      </c>
      <c r="M1375" s="3" t="n">
        <v>84</v>
      </c>
      <c r="N1375" s="1" t="n">
        <v>41</v>
      </c>
      <c r="O1375" s="1" t="n">
        <v>0</v>
      </c>
    </row>
    <row r="1376" customFormat="false" ht="14.25" hidden="false" customHeight="false" outlineLevel="0" collapsed="false">
      <c r="A1376" s="1" t="n">
        <v>116</v>
      </c>
      <c r="B1376" s="1" t="s">
        <v>684</v>
      </c>
      <c r="C1376" s="1" t="s">
        <v>685</v>
      </c>
      <c r="D1376" s="1" t="n">
        <v>21296</v>
      </c>
      <c r="E1376" s="1" t="s">
        <v>57</v>
      </c>
      <c r="F1376" s="201" t="n">
        <v>200025889154</v>
      </c>
      <c r="G1376" s="198" t="s">
        <v>641</v>
      </c>
      <c r="H1376" s="172" t="n">
        <v>91178</v>
      </c>
      <c r="I1376" s="170" t="n">
        <v>34</v>
      </c>
      <c r="J1376" s="169" t="s">
        <v>192</v>
      </c>
      <c r="K1376" s="200" t="n">
        <v>45454.8401041667</v>
      </c>
      <c r="L1376" s="3" t="n">
        <v>84</v>
      </c>
      <c r="M1376" s="3" t="n">
        <v>84</v>
      </c>
      <c r="N1376" s="1" t="n">
        <v>42</v>
      </c>
      <c r="O1376" s="1" t="n">
        <v>0</v>
      </c>
    </row>
    <row r="1377" customFormat="false" ht="14.25" hidden="false" customHeight="false" outlineLevel="0" collapsed="false">
      <c r="A1377" s="1" t="n">
        <v>117</v>
      </c>
      <c r="B1377" s="1" t="s">
        <v>684</v>
      </c>
      <c r="C1377" s="1" t="s">
        <v>685</v>
      </c>
      <c r="D1377" s="1" t="n">
        <v>21296</v>
      </c>
      <c r="E1377" s="1" t="s">
        <v>57</v>
      </c>
      <c r="F1377" s="201" t="n">
        <v>200025889154</v>
      </c>
      <c r="G1377" s="198" t="s">
        <v>641</v>
      </c>
      <c r="H1377" s="172" t="n">
        <v>91178</v>
      </c>
      <c r="I1377" s="170" t="n">
        <v>34</v>
      </c>
      <c r="J1377" s="169" t="s">
        <v>192</v>
      </c>
      <c r="K1377" s="200" t="n">
        <v>45454.8402662037</v>
      </c>
      <c r="L1377" s="3" t="n">
        <v>84</v>
      </c>
      <c r="M1377" s="3" t="n">
        <v>84</v>
      </c>
      <c r="N1377" s="1" t="n">
        <v>43</v>
      </c>
      <c r="O1377" s="1" t="n">
        <v>1</v>
      </c>
    </row>
    <row r="1378" customFormat="false" ht="14.25" hidden="false" customHeight="false" outlineLevel="0" collapsed="false">
      <c r="A1378" s="1" t="n">
        <v>118</v>
      </c>
      <c r="B1378" s="1" t="s">
        <v>684</v>
      </c>
      <c r="C1378" s="1" t="s">
        <v>685</v>
      </c>
      <c r="D1378" s="1" t="n">
        <v>21296</v>
      </c>
      <c r="E1378" s="1" t="s">
        <v>57</v>
      </c>
      <c r="F1378" s="201" t="n">
        <v>200025889154</v>
      </c>
      <c r="G1378" s="198" t="s">
        <v>641</v>
      </c>
      <c r="H1378" s="172" t="n">
        <v>91178</v>
      </c>
      <c r="I1378" s="170" t="n">
        <v>34</v>
      </c>
      <c r="J1378" s="169" t="s">
        <v>192</v>
      </c>
      <c r="K1378" s="200" t="n">
        <v>45454.8402893519</v>
      </c>
      <c r="L1378" s="3" t="n">
        <v>84</v>
      </c>
      <c r="M1378" s="3" t="n">
        <v>84</v>
      </c>
      <c r="N1378" s="1" t="n">
        <v>44</v>
      </c>
      <c r="O1378" s="1" t="n">
        <v>1</v>
      </c>
    </row>
    <row r="1379" customFormat="false" ht="14.25" hidden="false" customHeight="false" outlineLevel="0" collapsed="false">
      <c r="A1379" s="1" t="n">
        <v>119</v>
      </c>
      <c r="B1379" s="1" t="s">
        <v>684</v>
      </c>
      <c r="C1379" s="1" t="s">
        <v>685</v>
      </c>
      <c r="D1379" s="1" t="n">
        <v>21296</v>
      </c>
      <c r="E1379" s="1" t="s">
        <v>57</v>
      </c>
      <c r="F1379" s="201" t="n">
        <v>200025889154</v>
      </c>
      <c r="G1379" s="198" t="s">
        <v>641</v>
      </c>
      <c r="H1379" s="172" t="n">
        <v>91178</v>
      </c>
      <c r="I1379" s="170" t="n">
        <v>34</v>
      </c>
      <c r="J1379" s="169" t="s">
        <v>192</v>
      </c>
      <c r="K1379" s="200" t="n">
        <v>45454.8403009259</v>
      </c>
      <c r="L1379" s="3" t="n">
        <v>84</v>
      </c>
      <c r="M1379" s="3" t="n">
        <v>84</v>
      </c>
      <c r="N1379" s="1" t="n">
        <v>45</v>
      </c>
      <c r="O1379" s="1" t="n">
        <v>0</v>
      </c>
    </row>
    <row r="1380" customFormat="false" ht="14.25" hidden="false" customHeight="false" outlineLevel="0" collapsed="false">
      <c r="A1380" s="1" t="n">
        <v>120</v>
      </c>
      <c r="B1380" s="1" t="s">
        <v>684</v>
      </c>
      <c r="C1380" s="1" t="s">
        <v>685</v>
      </c>
      <c r="D1380" s="1" t="n">
        <v>21296</v>
      </c>
      <c r="E1380" s="1" t="s">
        <v>57</v>
      </c>
      <c r="F1380" s="201" t="n">
        <v>200025889154</v>
      </c>
      <c r="G1380" s="198" t="s">
        <v>641</v>
      </c>
      <c r="H1380" s="172" t="n">
        <v>91178</v>
      </c>
      <c r="I1380" s="170" t="n">
        <v>34</v>
      </c>
      <c r="J1380" s="169" t="s">
        <v>192</v>
      </c>
      <c r="K1380" s="200" t="n">
        <v>45454.9048263889</v>
      </c>
      <c r="L1380" s="3" t="n">
        <v>84</v>
      </c>
      <c r="M1380" s="3" t="n">
        <v>84</v>
      </c>
      <c r="N1380" s="1" t="n">
        <v>46</v>
      </c>
      <c r="O1380" s="1" t="n">
        <v>0</v>
      </c>
    </row>
    <row r="1381" customFormat="false" ht="14.25" hidden="false" customHeight="false" outlineLevel="0" collapsed="false">
      <c r="A1381" s="1" t="n">
        <v>130</v>
      </c>
      <c r="B1381" s="1" t="s">
        <v>684</v>
      </c>
      <c r="C1381" s="1" t="s">
        <v>685</v>
      </c>
      <c r="D1381" s="1" t="n">
        <v>21296</v>
      </c>
      <c r="E1381" s="1" t="s">
        <v>57</v>
      </c>
      <c r="F1381" s="201" t="n">
        <v>200025889154</v>
      </c>
      <c r="G1381" s="198" t="s">
        <v>641</v>
      </c>
      <c r="H1381" s="172" t="n">
        <v>91178</v>
      </c>
      <c r="I1381" s="170" t="n">
        <v>34</v>
      </c>
      <c r="J1381" s="169" t="s">
        <v>192</v>
      </c>
      <c r="K1381" s="200" t="n">
        <v>45455.3333217593</v>
      </c>
      <c r="L1381" s="3" t="n">
        <v>84</v>
      </c>
      <c r="M1381" s="3" t="n">
        <v>84</v>
      </c>
      <c r="N1381" s="1" t="n">
        <v>47</v>
      </c>
      <c r="O1381" s="1" t="n">
        <v>1</v>
      </c>
    </row>
    <row r="1382" customFormat="false" ht="14.25" hidden="false" customHeight="false" outlineLevel="0" collapsed="false">
      <c r="A1382" s="1" t="n">
        <v>280</v>
      </c>
      <c r="B1382" s="1" t="s">
        <v>565</v>
      </c>
      <c r="C1382" s="1" t="s">
        <v>566</v>
      </c>
      <c r="D1382" s="1" t="n">
        <v>11197</v>
      </c>
      <c r="E1382" s="1" t="s">
        <v>53</v>
      </c>
      <c r="F1382" s="198" t="n">
        <v>200025889154</v>
      </c>
      <c r="G1382" s="198" t="s">
        <v>641</v>
      </c>
      <c r="H1382" s="172" t="n">
        <v>91178</v>
      </c>
      <c r="I1382" s="170" t="n">
        <v>34</v>
      </c>
      <c r="J1382" s="169" t="s">
        <v>192</v>
      </c>
      <c r="K1382" s="199" t="n">
        <v>45455.4822106482</v>
      </c>
      <c r="L1382" s="3" t="n">
        <v>84</v>
      </c>
      <c r="M1382" s="3" t="n">
        <v>84</v>
      </c>
      <c r="N1382" s="1" t="n">
        <v>48</v>
      </c>
      <c r="O1382" s="1" t="n">
        <v>0</v>
      </c>
    </row>
    <row r="1383" customFormat="false" ht="14.25" hidden="false" customHeight="false" outlineLevel="0" collapsed="false">
      <c r="A1383" s="1" t="n">
        <v>281</v>
      </c>
      <c r="B1383" s="1" t="s">
        <v>565</v>
      </c>
      <c r="C1383" s="1" t="s">
        <v>566</v>
      </c>
      <c r="D1383" s="1" t="n">
        <v>11197</v>
      </c>
      <c r="E1383" s="1" t="s">
        <v>53</v>
      </c>
      <c r="F1383" s="198" t="n">
        <v>200025889154</v>
      </c>
      <c r="G1383" s="198" t="s">
        <v>641</v>
      </c>
      <c r="H1383" s="172" t="n">
        <v>91178</v>
      </c>
      <c r="I1383" s="170" t="n">
        <v>34</v>
      </c>
      <c r="J1383" s="169" t="s">
        <v>192</v>
      </c>
      <c r="K1383" s="199" t="n">
        <v>45455.4822222222</v>
      </c>
      <c r="L1383" s="3" t="n">
        <v>84</v>
      </c>
      <c r="M1383" s="3" t="n">
        <v>84</v>
      </c>
      <c r="N1383" s="1" t="n">
        <v>49</v>
      </c>
      <c r="O1383" s="1" t="n">
        <v>0</v>
      </c>
    </row>
    <row r="1384" customFormat="false" ht="14.25" hidden="false" customHeight="false" outlineLevel="0" collapsed="false">
      <c r="A1384" s="1" t="n">
        <v>282</v>
      </c>
      <c r="B1384" s="1" t="s">
        <v>565</v>
      </c>
      <c r="C1384" s="1" t="s">
        <v>566</v>
      </c>
      <c r="D1384" s="1" t="n">
        <v>11197</v>
      </c>
      <c r="E1384" s="1" t="s">
        <v>53</v>
      </c>
      <c r="F1384" s="198" t="n">
        <v>200025889154</v>
      </c>
      <c r="G1384" s="198" t="s">
        <v>641</v>
      </c>
      <c r="H1384" s="172" t="n">
        <v>91178</v>
      </c>
      <c r="I1384" s="170" t="n">
        <v>34</v>
      </c>
      <c r="J1384" s="169" t="s">
        <v>192</v>
      </c>
      <c r="K1384" s="199" t="n">
        <v>45455.4822222222</v>
      </c>
      <c r="L1384" s="3" t="n">
        <v>84</v>
      </c>
      <c r="M1384" s="3" t="n">
        <v>84</v>
      </c>
      <c r="N1384" s="1" t="n">
        <v>50</v>
      </c>
      <c r="O1384" s="1" t="n">
        <v>0</v>
      </c>
    </row>
    <row r="1385" customFormat="false" ht="14.25" hidden="false" customHeight="false" outlineLevel="0" collapsed="false">
      <c r="A1385" s="1" t="n">
        <v>283</v>
      </c>
      <c r="B1385" s="1" t="s">
        <v>565</v>
      </c>
      <c r="C1385" s="1" t="s">
        <v>566</v>
      </c>
      <c r="D1385" s="1" t="n">
        <v>11197</v>
      </c>
      <c r="E1385" s="1" t="s">
        <v>53</v>
      </c>
      <c r="F1385" s="198" t="n">
        <v>200025889154</v>
      </c>
      <c r="G1385" s="198" t="s">
        <v>641</v>
      </c>
      <c r="H1385" s="172" t="n">
        <v>91178</v>
      </c>
      <c r="I1385" s="170" t="n">
        <v>34</v>
      </c>
      <c r="J1385" s="169" t="s">
        <v>192</v>
      </c>
      <c r="K1385" s="199" t="n">
        <v>45455.4822453704</v>
      </c>
      <c r="L1385" s="3" t="n">
        <v>84</v>
      </c>
      <c r="M1385" s="3" t="n">
        <v>84</v>
      </c>
      <c r="N1385" s="1" t="n">
        <v>51</v>
      </c>
      <c r="O1385" s="1" t="n">
        <v>1</v>
      </c>
    </row>
    <row r="1386" customFormat="false" ht="14.25" hidden="false" customHeight="false" outlineLevel="0" collapsed="false">
      <c r="A1386" s="1" t="n">
        <v>284</v>
      </c>
      <c r="B1386" s="1" t="s">
        <v>565</v>
      </c>
      <c r="C1386" s="1" t="s">
        <v>566</v>
      </c>
      <c r="D1386" s="1" t="n">
        <v>11197</v>
      </c>
      <c r="E1386" s="1" t="s">
        <v>53</v>
      </c>
      <c r="F1386" s="198" t="n">
        <v>200025889154</v>
      </c>
      <c r="G1386" s="198" t="s">
        <v>641</v>
      </c>
      <c r="H1386" s="172" t="n">
        <v>91178</v>
      </c>
      <c r="I1386" s="170" t="n">
        <v>34</v>
      </c>
      <c r="J1386" s="169" t="s">
        <v>192</v>
      </c>
      <c r="K1386" s="199" t="n">
        <v>45455.4825810185</v>
      </c>
      <c r="L1386" s="3" t="n">
        <v>84</v>
      </c>
      <c r="M1386" s="3" t="n">
        <v>84</v>
      </c>
      <c r="N1386" s="1" t="n">
        <v>52</v>
      </c>
      <c r="O1386" s="1" t="n">
        <v>1</v>
      </c>
    </row>
    <row r="1387" customFormat="false" ht="14.25" hidden="false" customHeight="false" outlineLevel="0" collapsed="false">
      <c r="A1387" s="1" t="n">
        <v>285</v>
      </c>
      <c r="B1387" s="1" t="s">
        <v>565</v>
      </c>
      <c r="C1387" s="1" t="s">
        <v>566</v>
      </c>
      <c r="D1387" s="1" t="n">
        <v>11197</v>
      </c>
      <c r="E1387" s="1" t="s">
        <v>53</v>
      </c>
      <c r="F1387" s="198" t="n">
        <v>200025889154</v>
      </c>
      <c r="G1387" s="198" t="s">
        <v>641</v>
      </c>
      <c r="H1387" s="172" t="n">
        <v>91178</v>
      </c>
      <c r="I1387" s="170" t="n">
        <v>34</v>
      </c>
      <c r="J1387" s="169" t="s">
        <v>192</v>
      </c>
      <c r="K1387" s="199" t="n">
        <v>45455.4955555556</v>
      </c>
      <c r="L1387" s="3" t="n">
        <v>84</v>
      </c>
      <c r="M1387" s="3" t="n">
        <v>84</v>
      </c>
      <c r="N1387" s="1" t="n">
        <v>53</v>
      </c>
      <c r="O1387" s="1" t="n">
        <v>1</v>
      </c>
    </row>
    <row r="1388" customFormat="false" ht="14.25" hidden="false" customHeight="false" outlineLevel="0" collapsed="false">
      <c r="A1388" s="1" t="n">
        <v>286</v>
      </c>
      <c r="B1388" s="1" t="s">
        <v>565</v>
      </c>
      <c r="C1388" s="1" t="s">
        <v>566</v>
      </c>
      <c r="D1388" s="1" t="n">
        <v>11197</v>
      </c>
      <c r="E1388" s="1" t="s">
        <v>53</v>
      </c>
      <c r="F1388" s="198" t="n">
        <v>200025889154</v>
      </c>
      <c r="G1388" s="198" t="s">
        <v>641</v>
      </c>
      <c r="H1388" s="172" t="n">
        <v>91178</v>
      </c>
      <c r="I1388" s="170" t="n">
        <v>34</v>
      </c>
      <c r="J1388" s="169" t="s">
        <v>192</v>
      </c>
      <c r="K1388" s="199" t="n">
        <v>45455.4957407407</v>
      </c>
      <c r="L1388" s="3" t="n">
        <v>84</v>
      </c>
      <c r="M1388" s="3" t="n">
        <v>84</v>
      </c>
      <c r="N1388" s="1" t="n">
        <v>54</v>
      </c>
      <c r="O1388" s="1" t="n">
        <v>1</v>
      </c>
    </row>
    <row r="1389" customFormat="false" ht="14.25" hidden="false" customHeight="false" outlineLevel="0" collapsed="false">
      <c r="A1389" s="1" t="n">
        <v>288</v>
      </c>
      <c r="B1389" s="1" t="s">
        <v>565</v>
      </c>
      <c r="C1389" s="1" t="s">
        <v>566</v>
      </c>
      <c r="D1389" s="1" t="n">
        <v>11197</v>
      </c>
      <c r="E1389" s="1" t="s">
        <v>53</v>
      </c>
      <c r="F1389" s="198" t="n">
        <v>200025889154</v>
      </c>
      <c r="G1389" s="198" t="s">
        <v>641</v>
      </c>
      <c r="H1389" s="172" t="n">
        <v>91178</v>
      </c>
      <c r="I1389" s="170" t="n">
        <v>34</v>
      </c>
      <c r="J1389" s="169" t="s">
        <v>192</v>
      </c>
      <c r="K1389" s="199" t="n">
        <v>45455.5987847222</v>
      </c>
      <c r="L1389" s="3" t="n">
        <v>84</v>
      </c>
      <c r="M1389" s="3" t="n">
        <v>84</v>
      </c>
      <c r="N1389" s="1" t="n">
        <v>55</v>
      </c>
      <c r="O1389" s="10" t="n">
        <v>92</v>
      </c>
    </row>
    <row r="1390" customFormat="false" ht="14.25" hidden="false" customHeight="false" outlineLevel="0" collapsed="false">
      <c r="A1390" s="1" t="n">
        <v>289</v>
      </c>
      <c r="B1390" s="1" t="s">
        <v>565</v>
      </c>
      <c r="C1390" s="1" t="s">
        <v>566</v>
      </c>
      <c r="D1390" s="1" t="n">
        <v>11197</v>
      </c>
      <c r="E1390" s="1" t="s">
        <v>53</v>
      </c>
      <c r="F1390" s="198" t="n">
        <v>200025889154</v>
      </c>
      <c r="G1390" s="198" t="s">
        <v>641</v>
      </c>
      <c r="H1390" s="172" t="n">
        <v>91178</v>
      </c>
      <c r="I1390" s="170" t="n">
        <v>34</v>
      </c>
      <c r="J1390" s="169" t="s">
        <v>192</v>
      </c>
      <c r="K1390" s="199" t="n">
        <v>45455.599849537</v>
      </c>
      <c r="L1390" s="3" t="n">
        <v>84</v>
      </c>
      <c r="M1390" s="3" t="n">
        <v>84</v>
      </c>
      <c r="N1390" s="1" t="n">
        <v>56</v>
      </c>
      <c r="O1390" s="1" t="n">
        <v>0</v>
      </c>
    </row>
    <row r="1391" customFormat="false" ht="14.25" hidden="false" customHeight="false" outlineLevel="0" collapsed="false">
      <c r="A1391" s="1" t="n">
        <v>290</v>
      </c>
      <c r="B1391" s="1" t="s">
        <v>565</v>
      </c>
      <c r="C1391" s="1" t="s">
        <v>566</v>
      </c>
      <c r="D1391" s="1" t="n">
        <v>11197</v>
      </c>
      <c r="E1391" s="1" t="s">
        <v>53</v>
      </c>
      <c r="F1391" s="198" t="n">
        <v>200025889154</v>
      </c>
      <c r="G1391" s="198" t="s">
        <v>641</v>
      </c>
      <c r="H1391" s="172" t="n">
        <v>91178</v>
      </c>
      <c r="I1391" s="170" t="n">
        <v>34</v>
      </c>
      <c r="J1391" s="169" t="s">
        <v>192</v>
      </c>
      <c r="K1391" s="199" t="n">
        <v>45455.5998611111</v>
      </c>
      <c r="L1391" s="3" t="n">
        <v>84</v>
      </c>
      <c r="M1391" s="3" t="n">
        <v>84</v>
      </c>
      <c r="N1391" s="1" t="n">
        <v>57</v>
      </c>
      <c r="O1391" s="1" t="n">
        <v>0</v>
      </c>
    </row>
    <row r="1392" customFormat="false" ht="14.25" hidden="false" customHeight="false" outlineLevel="0" collapsed="false">
      <c r="A1392" s="1" t="n">
        <v>291</v>
      </c>
      <c r="B1392" s="1" t="s">
        <v>565</v>
      </c>
      <c r="C1392" s="1" t="s">
        <v>566</v>
      </c>
      <c r="D1392" s="1" t="n">
        <v>11197</v>
      </c>
      <c r="E1392" s="1" t="s">
        <v>53</v>
      </c>
      <c r="F1392" s="198" t="n">
        <v>200025889154</v>
      </c>
      <c r="G1392" s="198" t="s">
        <v>641</v>
      </c>
      <c r="H1392" s="172" t="n">
        <v>91178</v>
      </c>
      <c r="I1392" s="170" t="n">
        <v>34</v>
      </c>
      <c r="J1392" s="169" t="s">
        <v>192</v>
      </c>
      <c r="K1392" s="199" t="n">
        <v>45455.5998611111</v>
      </c>
      <c r="L1392" s="3" t="n">
        <v>84</v>
      </c>
      <c r="M1392" s="3" t="n">
        <v>84</v>
      </c>
      <c r="N1392" s="1" t="n">
        <v>58</v>
      </c>
      <c r="O1392" s="1" t="n">
        <v>3</v>
      </c>
    </row>
    <row r="1393" customFormat="false" ht="14.25" hidden="false" customHeight="false" outlineLevel="0" collapsed="false">
      <c r="A1393" s="1" t="n">
        <v>292</v>
      </c>
      <c r="B1393" s="1" t="s">
        <v>565</v>
      </c>
      <c r="C1393" s="1" t="s">
        <v>566</v>
      </c>
      <c r="D1393" s="1" t="n">
        <v>11197</v>
      </c>
      <c r="E1393" s="1" t="s">
        <v>53</v>
      </c>
      <c r="F1393" s="198" t="n">
        <v>200025889154</v>
      </c>
      <c r="G1393" s="198" t="s">
        <v>641</v>
      </c>
      <c r="H1393" s="172" t="n">
        <v>91178</v>
      </c>
      <c r="I1393" s="170" t="n">
        <v>34</v>
      </c>
      <c r="J1393" s="169" t="s">
        <v>192</v>
      </c>
      <c r="K1393" s="199" t="n">
        <v>45455.6035069445</v>
      </c>
      <c r="L1393" s="3" t="n">
        <v>84</v>
      </c>
      <c r="M1393" s="3" t="n">
        <v>84</v>
      </c>
      <c r="N1393" s="1" t="n">
        <v>59</v>
      </c>
      <c r="O1393" s="1" t="n">
        <v>1</v>
      </c>
    </row>
    <row r="1394" customFormat="false" ht="14.25" hidden="false" customHeight="false" outlineLevel="0" collapsed="false">
      <c r="A1394" s="1" t="n">
        <v>62</v>
      </c>
      <c r="B1394" s="1" t="s">
        <v>637</v>
      </c>
      <c r="C1394" s="1" t="s">
        <v>638</v>
      </c>
      <c r="D1394" s="196" t="n">
        <v>2568</v>
      </c>
      <c r="E1394" s="196" t="s">
        <v>51</v>
      </c>
      <c r="F1394" s="198" t="n">
        <v>200025889154</v>
      </c>
      <c r="G1394" s="198" t="s">
        <v>641</v>
      </c>
      <c r="H1394" s="172" t="n">
        <v>91178</v>
      </c>
      <c r="I1394" s="170" t="n">
        <v>34</v>
      </c>
      <c r="J1394" s="169" t="s">
        <v>192</v>
      </c>
      <c r="K1394" s="200" t="n">
        <v>45455.6119328704</v>
      </c>
      <c r="L1394" s="3" t="n">
        <v>84</v>
      </c>
      <c r="M1394" s="3" t="n">
        <v>84</v>
      </c>
      <c r="N1394" s="1" t="n">
        <v>60</v>
      </c>
      <c r="O1394" s="1" t="n">
        <v>0</v>
      </c>
    </row>
    <row r="1395" customFormat="false" ht="14.25" hidden="false" customHeight="false" outlineLevel="0" collapsed="false">
      <c r="A1395" s="1" t="n">
        <v>63</v>
      </c>
      <c r="B1395" s="1" t="s">
        <v>637</v>
      </c>
      <c r="C1395" s="1" t="s">
        <v>638</v>
      </c>
      <c r="D1395" s="196" t="n">
        <v>2568</v>
      </c>
      <c r="E1395" s="196" t="s">
        <v>51</v>
      </c>
      <c r="F1395" s="198" t="n">
        <v>200025889154</v>
      </c>
      <c r="G1395" s="198" t="s">
        <v>641</v>
      </c>
      <c r="H1395" s="172" t="n">
        <v>91178</v>
      </c>
      <c r="I1395" s="170" t="n">
        <v>34</v>
      </c>
      <c r="J1395" s="169" t="s">
        <v>192</v>
      </c>
      <c r="K1395" s="200" t="n">
        <v>45455.6119444444</v>
      </c>
      <c r="L1395" s="3" t="n">
        <v>84</v>
      </c>
      <c r="M1395" s="3" t="n">
        <v>84</v>
      </c>
      <c r="N1395" s="1" t="n">
        <v>61</v>
      </c>
      <c r="O1395" s="1" t="n">
        <v>1</v>
      </c>
    </row>
    <row r="1396" customFormat="false" ht="14.25" hidden="false" customHeight="false" outlineLevel="0" collapsed="false">
      <c r="A1396" s="1" t="n">
        <v>64</v>
      </c>
      <c r="B1396" s="1" t="s">
        <v>637</v>
      </c>
      <c r="C1396" s="1" t="s">
        <v>638</v>
      </c>
      <c r="D1396" s="196" t="n">
        <v>2568</v>
      </c>
      <c r="E1396" s="196" t="s">
        <v>51</v>
      </c>
      <c r="F1396" s="198" t="n">
        <v>200025889154</v>
      </c>
      <c r="G1396" s="198" t="s">
        <v>641</v>
      </c>
      <c r="H1396" s="172" t="n">
        <v>91178</v>
      </c>
      <c r="I1396" s="170" t="n">
        <v>34</v>
      </c>
      <c r="J1396" s="169" t="s">
        <v>192</v>
      </c>
      <c r="K1396" s="200" t="n">
        <v>45455.6121064815</v>
      </c>
      <c r="L1396" s="3" t="n">
        <v>84</v>
      </c>
      <c r="M1396" s="3" t="n">
        <v>84</v>
      </c>
      <c r="N1396" s="1" t="n">
        <v>62</v>
      </c>
      <c r="O1396" s="1" t="n">
        <v>2</v>
      </c>
    </row>
    <row r="1397" customFormat="false" ht="14.25" hidden="false" customHeight="false" outlineLevel="0" collapsed="false">
      <c r="A1397" s="1" t="n">
        <v>65</v>
      </c>
      <c r="B1397" s="1" t="s">
        <v>637</v>
      </c>
      <c r="C1397" s="1" t="s">
        <v>638</v>
      </c>
      <c r="D1397" s="196" t="n">
        <v>2568</v>
      </c>
      <c r="E1397" s="196" t="s">
        <v>51</v>
      </c>
      <c r="F1397" s="198" t="n">
        <v>200025889154</v>
      </c>
      <c r="G1397" s="198" t="s">
        <v>641</v>
      </c>
      <c r="H1397" s="172" t="n">
        <v>91178</v>
      </c>
      <c r="I1397" s="170" t="n">
        <v>34</v>
      </c>
      <c r="J1397" s="169" t="s">
        <v>192</v>
      </c>
      <c r="K1397" s="200" t="n">
        <v>45455.6122685185</v>
      </c>
      <c r="L1397" s="3" t="n">
        <v>84</v>
      </c>
      <c r="M1397" s="3" t="n">
        <v>84</v>
      </c>
      <c r="N1397" s="1" t="n">
        <v>63</v>
      </c>
      <c r="O1397" s="1" t="n">
        <v>0</v>
      </c>
    </row>
    <row r="1398" customFormat="false" ht="14.25" hidden="false" customHeight="false" outlineLevel="0" collapsed="false">
      <c r="A1398" s="1" t="n">
        <v>66</v>
      </c>
      <c r="B1398" s="1" t="s">
        <v>637</v>
      </c>
      <c r="C1398" s="1" t="s">
        <v>638</v>
      </c>
      <c r="D1398" s="196" t="n">
        <v>2568</v>
      </c>
      <c r="E1398" s="196" t="s">
        <v>51</v>
      </c>
      <c r="F1398" s="198" t="n">
        <v>200025889154</v>
      </c>
      <c r="G1398" s="198" t="s">
        <v>641</v>
      </c>
      <c r="H1398" s="172" t="n">
        <v>91178</v>
      </c>
      <c r="I1398" s="170" t="n">
        <v>34</v>
      </c>
      <c r="J1398" s="169" t="s">
        <v>192</v>
      </c>
      <c r="K1398" s="200" t="n">
        <v>45455.612349537</v>
      </c>
      <c r="L1398" s="3" t="n">
        <v>84</v>
      </c>
      <c r="M1398" s="3" t="n">
        <v>84</v>
      </c>
      <c r="N1398" s="1" t="n">
        <v>64</v>
      </c>
      <c r="O1398" s="1" t="n">
        <v>3</v>
      </c>
    </row>
    <row r="1399" customFormat="false" ht="14.25" hidden="false" customHeight="false" outlineLevel="0" collapsed="false">
      <c r="A1399" s="1" t="n">
        <v>67</v>
      </c>
      <c r="B1399" s="1" t="s">
        <v>637</v>
      </c>
      <c r="C1399" s="1" t="s">
        <v>638</v>
      </c>
      <c r="D1399" s="196" t="n">
        <v>2568</v>
      </c>
      <c r="E1399" s="196" t="s">
        <v>51</v>
      </c>
      <c r="F1399" s="198" t="n">
        <v>200025889154</v>
      </c>
      <c r="G1399" s="198" t="s">
        <v>641</v>
      </c>
      <c r="H1399" s="172" t="n">
        <v>91178</v>
      </c>
      <c r="I1399" s="170" t="n">
        <v>34</v>
      </c>
      <c r="J1399" s="169" t="s">
        <v>192</v>
      </c>
      <c r="K1399" s="200" t="n">
        <v>45455.6124421296</v>
      </c>
      <c r="L1399" s="3" t="n">
        <v>84</v>
      </c>
      <c r="M1399" s="3" t="n">
        <v>84</v>
      </c>
      <c r="N1399" s="1" t="n">
        <v>65</v>
      </c>
      <c r="O1399" s="1" t="n">
        <v>1</v>
      </c>
    </row>
    <row r="1400" customFormat="false" ht="14.25" hidden="false" customHeight="false" outlineLevel="0" collapsed="false">
      <c r="A1400" s="1" t="n">
        <v>68</v>
      </c>
      <c r="B1400" s="1" t="s">
        <v>637</v>
      </c>
      <c r="C1400" s="1" t="s">
        <v>638</v>
      </c>
      <c r="D1400" s="196" t="n">
        <v>2568</v>
      </c>
      <c r="E1400" s="196" t="s">
        <v>51</v>
      </c>
      <c r="F1400" s="198" t="n">
        <v>200025889154</v>
      </c>
      <c r="G1400" s="198" t="s">
        <v>641</v>
      </c>
      <c r="H1400" s="172" t="n">
        <v>91178</v>
      </c>
      <c r="I1400" s="170" t="n">
        <v>34</v>
      </c>
      <c r="J1400" s="169" t="s">
        <v>192</v>
      </c>
      <c r="K1400" s="200" t="n">
        <v>45455.6127199074</v>
      </c>
      <c r="L1400" s="3" t="n">
        <v>84</v>
      </c>
      <c r="M1400" s="3" t="n">
        <v>84</v>
      </c>
      <c r="N1400" s="1" t="n">
        <v>66</v>
      </c>
      <c r="O1400" s="1" t="n">
        <v>1</v>
      </c>
    </row>
    <row r="1401" customFormat="false" ht="14.25" hidden="false" customHeight="false" outlineLevel="0" collapsed="false">
      <c r="A1401" s="1" t="n">
        <v>69</v>
      </c>
      <c r="B1401" s="1" t="s">
        <v>637</v>
      </c>
      <c r="C1401" s="1" t="s">
        <v>638</v>
      </c>
      <c r="D1401" s="196" t="n">
        <v>2568</v>
      </c>
      <c r="E1401" s="196" t="s">
        <v>51</v>
      </c>
      <c r="F1401" s="198" t="n">
        <v>200025889154</v>
      </c>
      <c r="G1401" s="198" t="s">
        <v>641</v>
      </c>
      <c r="H1401" s="172" t="n">
        <v>91178</v>
      </c>
      <c r="I1401" s="170" t="n">
        <v>34</v>
      </c>
      <c r="J1401" s="169" t="s">
        <v>192</v>
      </c>
      <c r="K1401" s="200" t="n">
        <v>45455.6233449074</v>
      </c>
      <c r="L1401" s="3" t="n">
        <v>84</v>
      </c>
      <c r="M1401" s="3" t="n">
        <v>84</v>
      </c>
      <c r="N1401" s="1" t="n">
        <v>67</v>
      </c>
      <c r="O1401" s="1" t="n">
        <v>1</v>
      </c>
    </row>
    <row r="1402" customFormat="false" ht="14.25" hidden="false" customHeight="false" outlineLevel="0" collapsed="false">
      <c r="A1402" s="1" t="n">
        <v>70</v>
      </c>
      <c r="B1402" s="1" t="s">
        <v>637</v>
      </c>
      <c r="C1402" s="1" t="s">
        <v>638</v>
      </c>
      <c r="D1402" s="196" t="n">
        <v>2568</v>
      </c>
      <c r="E1402" s="196" t="s">
        <v>51</v>
      </c>
      <c r="F1402" s="201" t="n">
        <v>200025889154</v>
      </c>
      <c r="G1402" s="198" t="s">
        <v>641</v>
      </c>
      <c r="H1402" s="172" t="n">
        <v>91178</v>
      </c>
      <c r="I1402" s="170" t="n">
        <v>34</v>
      </c>
      <c r="J1402" s="169" t="s">
        <v>192</v>
      </c>
      <c r="K1402" s="200" t="n">
        <v>45455.6233680556</v>
      </c>
      <c r="L1402" s="3" t="n">
        <v>84</v>
      </c>
      <c r="M1402" s="3" t="n">
        <v>84</v>
      </c>
      <c r="N1402" s="1" t="n">
        <v>68</v>
      </c>
      <c r="O1402" s="1" t="n">
        <v>46</v>
      </c>
    </row>
    <row r="1403" customFormat="false" ht="14.25" hidden="false" customHeight="false" outlineLevel="0" collapsed="false">
      <c r="A1403" s="1" t="n">
        <v>49</v>
      </c>
      <c r="B1403" s="1" t="s">
        <v>643</v>
      </c>
      <c r="C1403" s="1" t="s">
        <v>644</v>
      </c>
      <c r="D1403" s="1" t="n">
        <v>11171</v>
      </c>
      <c r="E1403" s="1" t="s">
        <v>55</v>
      </c>
      <c r="F1403" s="201" t="n">
        <v>200025889154</v>
      </c>
      <c r="G1403" s="198" t="s">
        <v>641</v>
      </c>
      <c r="H1403" s="172" t="n">
        <v>91178</v>
      </c>
      <c r="I1403" s="170" t="n">
        <v>34</v>
      </c>
      <c r="J1403" s="169" t="s">
        <v>192</v>
      </c>
      <c r="K1403" s="200" t="n">
        <v>45456.4455208333</v>
      </c>
      <c r="L1403" s="3" t="n">
        <v>84</v>
      </c>
      <c r="M1403" s="3" t="n">
        <v>84</v>
      </c>
      <c r="N1403" s="1" t="n">
        <v>69</v>
      </c>
      <c r="O1403" s="1" t="n">
        <v>0</v>
      </c>
    </row>
    <row r="1404" customFormat="false" ht="14.25" hidden="false" customHeight="false" outlineLevel="0" collapsed="false">
      <c r="A1404" s="1" t="n">
        <v>50</v>
      </c>
      <c r="B1404" s="1" t="s">
        <v>643</v>
      </c>
      <c r="C1404" s="1" t="s">
        <v>644</v>
      </c>
      <c r="D1404" s="1" t="n">
        <v>11171</v>
      </c>
      <c r="E1404" s="1" t="s">
        <v>55</v>
      </c>
      <c r="F1404" s="201" t="n">
        <v>200025889154</v>
      </c>
      <c r="G1404" s="198" t="s">
        <v>641</v>
      </c>
      <c r="H1404" s="172" t="n">
        <v>91178</v>
      </c>
      <c r="I1404" s="170" t="n">
        <v>34</v>
      </c>
      <c r="J1404" s="169" t="s">
        <v>192</v>
      </c>
      <c r="K1404" s="200" t="n">
        <v>45456.4474305556</v>
      </c>
      <c r="L1404" s="3" t="n">
        <v>84</v>
      </c>
      <c r="M1404" s="3" t="n">
        <v>84</v>
      </c>
      <c r="N1404" s="1" t="n">
        <v>70</v>
      </c>
      <c r="O1404" s="1" t="n">
        <v>0</v>
      </c>
    </row>
    <row r="1405" customFormat="false" ht="14.25" hidden="false" customHeight="false" outlineLevel="0" collapsed="false">
      <c r="A1405" s="1" t="n">
        <v>52</v>
      </c>
      <c r="B1405" s="1" t="s">
        <v>643</v>
      </c>
      <c r="C1405" s="1" t="s">
        <v>644</v>
      </c>
      <c r="D1405" s="1" t="n">
        <v>11171</v>
      </c>
      <c r="E1405" s="1" t="s">
        <v>55</v>
      </c>
      <c r="F1405" s="201" t="n">
        <v>200025889154</v>
      </c>
      <c r="G1405" s="198" t="s">
        <v>641</v>
      </c>
      <c r="H1405" s="172" t="n">
        <v>91178</v>
      </c>
      <c r="I1405" s="170" t="n">
        <v>34</v>
      </c>
      <c r="J1405" s="169" t="s">
        <v>192</v>
      </c>
      <c r="K1405" s="200" t="n">
        <v>45456.4608680556</v>
      </c>
      <c r="L1405" s="3" t="n">
        <v>84</v>
      </c>
      <c r="M1405" s="3" t="n">
        <v>84</v>
      </c>
      <c r="N1405" s="1" t="n">
        <v>71</v>
      </c>
      <c r="O1405" s="1" t="n">
        <v>0</v>
      </c>
    </row>
    <row r="1406" customFormat="false" ht="14.25" hidden="false" customHeight="false" outlineLevel="0" collapsed="false">
      <c r="A1406" s="1" t="n">
        <v>234</v>
      </c>
      <c r="B1406" s="1" t="s">
        <v>621</v>
      </c>
      <c r="C1406" s="1" t="s">
        <v>622</v>
      </c>
      <c r="D1406" s="1" t="n">
        <v>11171</v>
      </c>
      <c r="E1406" s="1" t="s">
        <v>55</v>
      </c>
      <c r="F1406" s="201" t="n">
        <v>200025888228</v>
      </c>
      <c r="G1406" s="198" t="s">
        <v>680</v>
      </c>
      <c r="H1406" s="163" t="s">
        <v>282</v>
      </c>
      <c r="I1406" s="161" t="n">
        <v>106</v>
      </c>
      <c r="J1406" s="156" t="s">
        <v>192</v>
      </c>
      <c r="K1406" s="200" t="n">
        <v>45437.1995023148</v>
      </c>
      <c r="L1406" s="3" t="n">
        <v>85</v>
      </c>
      <c r="M1406" s="3" t="n">
        <v>85</v>
      </c>
      <c r="N1406" s="1" t="n">
        <v>1</v>
      </c>
      <c r="O1406" s="1" t="n">
        <v>4</v>
      </c>
    </row>
    <row r="1407" customFormat="false" ht="14.25" hidden="false" customHeight="false" outlineLevel="0" collapsed="false">
      <c r="A1407" s="1" t="n">
        <v>235</v>
      </c>
      <c r="B1407" s="1" t="s">
        <v>621</v>
      </c>
      <c r="C1407" s="1" t="s">
        <v>622</v>
      </c>
      <c r="D1407" s="1" t="n">
        <v>11171</v>
      </c>
      <c r="E1407" s="1" t="s">
        <v>55</v>
      </c>
      <c r="F1407" s="201" t="n">
        <v>200025888228</v>
      </c>
      <c r="G1407" s="198" t="s">
        <v>680</v>
      </c>
      <c r="H1407" s="163" t="s">
        <v>282</v>
      </c>
      <c r="I1407" s="161" t="n">
        <v>106</v>
      </c>
      <c r="J1407" s="156" t="s">
        <v>192</v>
      </c>
      <c r="K1407" s="200" t="n">
        <v>45437.2010069444</v>
      </c>
      <c r="L1407" s="3" t="n">
        <v>85</v>
      </c>
      <c r="M1407" s="3" t="n">
        <v>85</v>
      </c>
      <c r="N1407" s="1" t="n">
        <v>2</v>
      </c>
      <c r="O1407" s="1" t="n">
        <v>4</v>
      </c>
    </row>
    <row r="1408" customFormat="false" ht="14.25" hidden="false" customHeight="false" outlineLevel="0" collapsed="false">
      <c r="A1408" s="1" t="n">
        <v>236</v>
      </c>
      <c r="B1408" s="1" t="s">
        <v>621</v>
      </c>
      <c r="C1408" s="1" t="s">
        <v>622</v>
      </c>
      <c r="D1408" s="1" t="n">
        <v>11171</v>
      </c>
      <c r="E1408" s="1" t="s">
        <v>55</v>
      </c>
      <c r="F1408" s="201" t="n">
        <v>200025888228</v>
      </c>
      <c r="G1408" s="198" t="s">
        <v>680</v>
      </c>
      <c r="H1408" s="163" t="s">
        <v>282</v>
      </c>
      <c r="I1408" s="161" t="n">
        <v>106</v>
      </c>
      <c r="J1408" s="156" t="s">
        <v>192</v>
      </c>
      <c r="K1408" s="200" t="n">
        <v>45437.2059259259</v>
      </c>
      <c r="L1408" s="3" t="n">
        <v>85</v>
      </c>
      <c r="M1408" s="3" t="n">
        <v>85</v>
      </c>
      <c r="N1408" s="1" t="n">
        <v>3</v>
      </c>
      <c r="O1408" s="1" t="n">
        <v>3</v>
      </c>
    </row>
    <row r="1409" customFormat="false" ht="14.25" hidden="false" customHeight="false" outlineLevel="0" collapsed="false">
      <c r="A1409" s="1" t="n">
        <v>237</v>
      </c>
      <c r="B1409" s="1" t="s">
        <v>621</v>
      </c>
      <c r="C1409" s="1" t="s">
        <v>622</v>
      </c>
      <c r="D1409" s="1" t="n">
        <v>11171</v>
      </c>
      <c r="E1409" s="1" t="s">
        <v>55</v>
      </c>
      <c r="F1409" s="201" t="n">
        <v>200025888228</v>
      </c>
      <c r="G1409" s="198" t="s">
        <v>680</v>
      </c>
      <c r="H1409" s="163" t="s">
        <v>282</v>
      </c>
      <c r="I1409" s="161" t="n">
        <v>106</v>
      </c>
      <c r="J1409" s="156" t="s">
        <v>192</v>
      </c>
      <c r="K1409" s="200" t="n">
        <v>45437.2088541667</v>
      </c>
      <c r="L1409" s="3" t="n">
        <v>85</v>
      </c>
      <c r="M1409" s="3" t="n">
        <v>85</v>
      </c>
      <c r="N1409" s="1" t="n">
        <v>4</v>
      </c>
      <c r="O1409" s="1" t="n">
        <v>2</v>
      </c>
    </row>
    <row r="1410" customFormat="false" ht="14.25" hidden="false" customHeight="false" outlineLevel="0" collapsed="false">
      <c r="A1410" s="1" t="n">
        <v>56</v>
      </c>
      <c r="B1410" s="1" t="s">
        <v>684</v>
      </c>
      <c r="C1410" s="1" t="s">
        <v>685</v>
      </c>
      <c r="D1410" s="1" t="n">
        <v>21296</v>
      </c>
      <c r="E1410" s="1" t="s">
        <v>57</v>
      </c>
      <c r="F1410" s="201" t="n">
        <v>200025888228</v>
      </c>
      <c r="G1410" s="198" t="s">
        <v>680</v>
      </c>
      <c r="H1410" s="163" t="s">
        <v>282</v>
      </c>
      <c r="I1410" s="161" t="n">
        <v>106</v>
      </c>
      <c r="J1410" s="156" t="s">
        <v>192</v>
      </c>
      <c r="K1410" s="200" t="n">
        <v>45454.1398842593</v>
      </c>
      <c r="L1410" s="3" t="n">
        <v>85</v>
      </c>
      <c r="M1410" s="3" t="n">
        <v>85</v>
      </c>
      <c r="N1410" s="1" t="n">
        <v>5</v>
      </c>
      <c r="O1410" s="1" t="n">
        <v>0</v>
      </c>
    </row>
    <row r="1411" customFormat="false" ht="14.25" hidden="false" customHeight="false" outlineLevel="0" collapsed="false">
      <c r="A1411" s="1" t="n">
        <v>57</v>
      </c>
      <c r="B1411" s="1" t="s">
        <v>684</v>
      </c>
      <c r="C1411" s="1" t="s">
        <v>685</v>
      </c>
      <c r="D1411" s="1" t="n">
        <v>21296</v>
      </c>
      <c r="E1411" s="1" t="s">
        <v>57</v>
      </c>
      <c r="F1411" s="201" t="n">
        <v>200025888228</v>
      </c>
      <c r="G1411" s="198" t="s">
        <v>680</v>
      </c>
      <c r="H1411" s="163" t="s">
        <v>282</v>
      </c>
      <c r="I1411" s="161" t="n">
        <v>106</v>
      </c>
      <c r="J1411" s="156" t="s">
        <v>192</v>
      </c>
      <c r="K1411" s="200" t="n">
        <v>45454.1418634259</v>
      </c>
      <c r="L1411" s="3" t="n">
        <v>85</v>
      </c>
      <c r="M1411" s="3" t="n">
        <v>85</v>
      </c>
      <c r="N1411" s="1" t="n">
        <v>6</v>
      </c>
      <c r="O1411" s="1" t="n">
        <v>1</v>
      </c>
    </row>
    <row r="1412" customFormat="false" ht="14.25" hidden="false" customHeight="false" outlineLevel="0" collapsed="false">
      <c r="A1412" s="1" t="n">
        <v>70</v>
      </c>
      <c r="B1412" s="1" t="s">
        <v>684</v>
      </c>
      <c r="C1412" s="1" t="s">
        <v>685</v>
      </c>
      <c r="D1412" s="1" t="n">
        <v>21296</v>
      </c>
      <c r="E1412" s="1" t="s">
        <v>57</v>
      </c>
      <c r="F1412" s="201" t="n">
        <v>200025888228</v>
      </c>
      <c r="G1412" s="198" t="s">
        <v>680</v>
      </c>
      <c r="H1412" s="163" t="s">
        <v>282</v>
      </c>
      <c r="I1412" s="161" t="n">
        <v>106</v>
      </c>
      <c r="J1412" s="156" t="s">
        <v>192</v>
      </c>
      <c r="K1412" s="200" t="n">
        <v>45454.2735300926</v>
      </c>
      <c r="L1412" s="3" t="n">
        <v>85</v>
      </c>
      <c r="M1412" s="3" t="n">
        <v>85</v>
      </c>
      <c r="N1412" s="1" t="n">
        <v>7</v>
      </c>
      <c r="O1412" s="1" t="n">
        <v>1</v>
      </c>
    </row>
    <row r="1413" customFormat="false" ht="14.25" hidden="false" customHeight="false" outlineLevel="0" collapsed="false">
      <c r="A1413" s="1" t="n">
        <v>71</v>
      </c>
      <c r="B1413" s="1" t="s">
        <v>684</v>
      </c>
      <c r="C1413" s="1" t="s">
        <v>685</v>
      </c>
      <c r="D1413" s="1" t="n">
        <v>21296</v>
      </c>
      <c r="E1413" s="1" t="s">
        <v>57</v>
      </c>
      <c r="F1413" s="201" t="n">
        <v>200025888228</v>
      </c>
      <c r="G1413" s="198" t="s">
        <v>680</v>
      </c>
      <c r="H1413" s="163" t="s">
        <v>282</v>
      </c>
      <c r="I1413" s="161" t="n">
        <v>106</v>
      </c>
      <c r="J1413" s="156" t="s">
        <v>192</v>
      </c>
      <c r="K1413" s="200" t="n">
        <v>45454.2753935185</v>
      </c>
      <c r="L1413" s="3" t="n">
        <v>85</v>
      </c>
      <c r="M1413" s="3" t="n">
        <v>85</v>
      </c>
      <c r="N1413" s="1" t="n">
        <v>8</v>
      </c>
      <c r="O1413" s="1" t="n">
        <v>0</v>
      </c>
    </row>
    <row r="1414" customFormat="false" ht="14.25" hidden="false" customHeight="false" outlineLevel="0" collapsed="false">
      <c r="A1414" s="1" t="n">
        <v>77</v>
      </c>
      <c r="B1414" s="1" t="s">
        <v>684</v>
      </c>
      <c r="C1414" s="1" t="s">
        <v>685</v>
      </c>
      <c r="D1414" s="1" t="n">
        <v>21296</v>
      </c>
      <c r="E1414" s="1" t="s">
        <v>57</v>
      </c>
      <c r="F1414" s="201" t="n">
        <v>200025888228</v>
      </c>
      <c r="G1414" s="198" t="s">
        <v>680</v>
      </c>
      <c r="H1414" s="163" t="s">
        <v>282</v>
      </c>
      <c r="I1414" s="161" t="n">
        <v>106</v>
      </c>
      <c r="J1414" s="156" t="s">
        <v>192</v>
      </c>
      <c r="K1414" s="200" t="n">
        <v>45454.4263541667</v>
      </c>
      <c r="L1414" s="3" t="n">
        <v>85</v>
      </c>
      <c r="M1414" s="3" t="n">
        <v>85</v>
      </c>
      <c r="N1414" s="1" t="n">
        <v>9</v>
      </c>
      <c r="O1414" s="1" t="n">
        <v>1</v>
      </c>
    </row>
    <row r="1415" customFormat="false" ht="14.25" hidden="false" customHeight="false" outlineLevel="0" collapsed="false">
      <c r="A1415" s="1" t="n">
        <v>78</v>
      </c>
      <c r="B1415" s="1" t="s">
        <v>684</v>
      </c>
      <c r="C1415" s="1" t="s">
        <v>685</v>
      </c>
      <c r="D1415" s="1" t="n">
        <v>21296</v>
      </c>
      <c r="E1415" s="1" t="s">
        <v>57</v>
      </c>
      <c r="F1415" s="201" t="n">
        <v>200025888228</v>
      </c>
      <c r="G1415" s="198" t="s">
        <v>680</v>
      </c>
      <c r="H1415" s="163" t="s">
        <v>282</v>
      </c>
      <c r="I1415" s="161" t="n">
        <v>106</v>
      </c>
      <c r="J1415" s="156" t="s">
        <v>192</v>
      </c>
      <c r="K1415" s="200" t="n">
        <v>45454.4263773148</v>
      </c>
      <c r="L1415" s="3" t="n">
        <v>85</v>
      </c>
      <c r="M1415" s="3" t="n">
        <v>85</v>
      </c>
      <c r="N1415" s="1" t="n">
        <v>10</v>
      </c>
      <c r="O1415" s="1" t="n">
        <v>0</v>
      </c>
    </row>
    <row r="1416" customFormat="false" ht="14.25" hidden="false" customHeight="false" outlineLevel="0" collapsed="false">
      <c r="A1416" s="1" t="n">
        <v>119</v>
      </c>
      <c r="B1416" s="1" t="s">
        <v>681</v>
      </c>
      <c r="C1416" s="1" t="s">
        <v>682</v>
      </c>
      <c r="D1416" s="1" t="n">
        <v>11171</v>
      </c>
      <c r="E1416" s="1" t="s">
        <v>55</v>
      </c>
      <c r="F1416" s="201" t="n">
        <v>200025889212</v>
      </c>
      <c r="G1416" s="198" t="s">
        <v>683</v>
      </c>
      <c r="H1416" s="163" t="s">
        <v>519</v>
      </c>
      <c r="I1416" s="161" t="n">
        <v>112</v>
      </c>
      <c r="J1416" s="156" t="s">
        <v>192</v>
      </c>
      <c r="K1416" s="200" t="n">
        <v>45437.5852199074</v>
      </c>
      <c r="L1416" s="3" t="n">
        <v>86</v>
      </c>
      <c r="M1416" s="3" t="n">
        <v>86</v>
      </c>
      <c r="N1416" s="1" t="n">
        <v>1</v>
      </c>
      <c r="O1416" s="1" t="n">
        <v>0</v>
      </c>
    </row>
    <row r="1417" customFormat="false" ht="14.25" hidden="false" customHeight="false" outlineLevel="0" collapsed="false">
      <c r="A1417" s="1" t="n">
        <v>298</v>
      </c>
      <c r="B1417" s="1" t="s">
        <v>565</v>
      </c>
      <c r="C1417" s="1" t="s">
        <v>566</v>
      </c>
      <c r="D1417" s="208" t="n">
        <v>11197</v>
      </c>
      <c r="E1417" s="1" t="s">
        <v>53</v>
      </c>
      <c r="F1417" s="198" t="n">
        <v>200025889212</v>
      </c>
      <c r="G1417" s="198" t="s">
        <v>683</v>
      </c>
      <c r="H1417" s="163" t="s">
        <v>519</v>
      </c>
      <c r="I1417" s="161" t="n">
        <v>112</v>
      </c>
      <c r="J1417" s="156" t="s">
        <v>192</v>
      </c>
      <c r="K1417" s="199" t="n">
        <v>45458.4418287037</v>
      </c>
      <c r="L1417" s="3" t="n">
        <v>86</v>
      </c>
      <c r="M1417" s="3" t="n">
        <v>86</v>
      </c>
      <c r="N1417" s="1" t="n">
        <v>2</v>
      </c>
      <c r="O1417" s="1" t="n">
        <v>0</v>
      </c>
    </row>
    <row r="1418" customFormat="false" ht="14.25" hidden="false" customHeight="false" outlineLevel="0" collapsed="false">
      <c r="A1418" s="1" t="n">
        <v>299</v>
      </c>
      <c r="B1418" s="1" t="s">
        <v>565</v>
      </c>
      <c r="C1418" s="1" t="s">
        <v>566</v>
      </c>
      <c r="D1418" s="208" t="n">
        <v>11197</v>
      </c>
      <c r="E1418" s="1" t="s">
        <v>53</v>
      </c>
      <c r="F1418" s="198" t="n">
        <v>200025889212</v>
      </c>
      <c r="G1418" s="198" t="s">
        <v>683</v>
      </c>
      <c r="H1418" s="163" t="s">
        <v>519</v>
      </c>
      <c r="I1418" s="161" t="n">
        <v>112</v>
      </c>
      <c r="J1418" s="156" t="s">
        <v>192</v>
      </c>
      <c r="K1418" s="199" t="n">
        <v>45458.4418287037</v>
      </c>
      <c r="L1418" s="3" t="n">
        <v>86</v>
      </c>
      <c r="M1418" s="3" t="n">
        <v>86</v>
      </c>
      <c r="N1418" s="1" t="n">
        <v>3</v>
      </c>
      <c r="O1418" s="10" t="n">
        <v>8547</v>
      </c>
    </row>
    <row r="1419" customFormat="false" ht="14.25" hidden="false" customHeight="false" outlineLevel="0" collapsed="false">
      <c r="A1419" s="1" t="n">
        <v>300</v>
      </c>
      <c r="B1419" s="1" t="s">
        <v>565</v>
      </c>
      <c r="C1419" s="1" t="s">
        <v>566</v>
      </c>
      <c r="D1419" s="208" t="n">
        <v>11197</v>
      </c>
      <c r="E1419" s="1" t="s">
        <v>53</v>
      </c>
      <c r="F1419" s="198" t="n">
        <v>200025889212</v>
      </c>
      <c r="G1419" s="198" t="s">
        <v>683</v>
      </c>
      <c r="H1419" s="163" t="s">
        <v>519</v>
      </c>
      <c r="I1419" s="161" t="n">
        <v>112</v>
      </c>
      <c r="J1419" s="156" t="s">
        <v>192</v>
      </c>
      <c r="K1419" s="199" t="n">
        <v>45459.4581828704</v>
      </c>
      <c r="L1419" s="3" t="n">
        <v>86</v>
      </c>
      <c r="M1419" s="3" t="n">
        <v>86</v>
      </c>
      <c r="N1419" s="1" t="n">
        <v>4</v>
      </c>
      <c r="O1419" s="10" t="n">
        <v>6117</v>
      </c>
    </row>
    <row r="1420" customFormat="false" ht="14.25" hidden="false" customHeight="false" outlineLevel="0" collapsed="false">
      <c r="A1420" s="1" t="n">
        <v>13</v>
      </c>
      <c r="B1420" s="1" t="s">
        <v>643</v>
      </c>
      <c r="C1420" s="1" t="s">
        <v>644</v>
      </c>
      <c r="D1420" s="1" t="n">
        <v>11197</v>
      </c>
      <c r="E1420" s="1" t="s">
        <v>53</v>
      </c>
      <c r="F1420" s="201" t="n">
        <v>200025888194</v>
      </c>
      <c r="G1420" s="198" t="s">
        <v>701</v>
      </c>
      <c r="H1420" s="163" t="s">
        <v>230</v>
      </c>
      <c r="I1420" s="161" t="n">
        <v>33</v>
      </c>
      <c r="J1420" s="156" t="s">
        <v>192</v>
      </c>
      <c r="K1420" s="200" t="n">
        <v>45443.483125</v>
      </c>
      <c r="L1420" s="3" t="n">
        <v>87</v>
      </c>
      <c r="M1420" s="3" t="n">
        <v>87</v>
      </c>
      <c r="N1420" s="1" t="n">
        <v>1</v>
      </c>
      <c r="O1420" s="1" t="n">
        <v>0</v>
      </c>
    </row>
    <row r="1421" customFormat="false" ht="14.25" hidden="false" customHeight="false" outlineLevel="0" collapsed="false">
      <c r="A1421" s="1" t="n">
        <v>11</v>
      </c>
      <c r="B1421" s="1" t="s">
        <v>684</v>
      </c>
      <c r="C1421" s="1" t="s">
        <v>685</v>
      </c>
      <c r="D1421" s="1" t="n">
        <v>11171</v>
      </c>
      <c r="E1421" s="1" t="s">
        <v>55</v>
      </c>
      <c r="F1421" s="201" t="n">
        <v>200025888708</v>
      </c>
      <c r="G1421" s="198" t="s">
        <v>686</v>
      </c>
      <c r="H1421" s="163" t="s">
        <v>424</v>
      </c>
      <c r="I1421" s="161" t="n">
        <v>104</v>
      </c>
      <c r="J1421" s="156" t="s">
        <v>192</v>
      </c>
      <c r="K1421" s="200" t="n">
        <v>45445.5759837963</v>
      </c>
      <c r="L1421" s="3" t="n">
        <v>88</v>
      </c>
      <c r="M1421" s="3" t="n">
        <v>88</v>
      </c>
      <c r="N1421" s="1" t="n">
        <v>1</v>
      </c>
      <c r="O1421" s="1" t="n">
        <v>1</v>
      </c>
    </row>
    <row r="1422" customFormat="false" ht="14.25" hidden="false" customHeight="false" outlineLevel="0" collapsed="false">
      <c r="A1422" s="1" t="n">
        <v>19</v>
      </c>
      <c r="B1422" s="1" t="s">
        <v>643</v>
      </c>
      <c r="C1422" s="1" t="s">
        <v>644</v>
      </c>
      <c r="D1422" s="1" t="n">
        <v>11171</v>
      </c>
      <c r="E1422" s="1" t="s">
        <v>55</v>
      </c>
      <c r="F1422" s="201" t="n">
        <v>200025889149</v>
      </c>
      <c r="G1422" s="198" t="s">
        <v>687</v>
      </c>
      <c r="H1422" s="163" t="s">
        <v>459</v>
      </c>
      <c r="I1422" s="161" t="n">
        <v>53</v>
      </c>
      <c r="J1422" s="156" t="s">
        <v>192</v>
      </c>
      <c r="K1422" s="200" t="n">
        <v>45447.6194560185</v>
      </c>
      <c r="L1422" s="3" t="n">
        <v>89</v>
      </c>
      <c r="M1422" s="3" t="n">
        <v>89</v>
      </c>
      <c r="N1422" s="1" t="n">
        <v>1</v>
      </c>
      <c r="O1422" s="1" t="n">
        <v>2</v>
      </c>
    </row>
    <row r="1423" customFormat="false" ht="14.25" hidden="false" customHeight="false" outlineLevel="0" collapsed="false">
      <c r="A1423" s="1" t="n">
        <v>20</v>
      </c>
      <c r="B1423" s="1" t="s">
        <v>643</v>
      </c>
      <c r="C1423" s="1" t="s">
        <v>644</v>
      </c>
      <c r="D1423" s="1" t="n">
        <v>11171</v>
      </c>
      <c r="E1423" s="1" t="s">
        <v>55</v>
      </c>
      <c r="F1423" s="201" t="n">
        <v>200025889149</v>
      </c>
      <c r="G1423" s="198" t="s">
        <v>687</v>
      </c>
      <c r="H1423" s="163" t="s">
        <v>459</v>
      </c>
      <c r="I1423" s="161" t="n">
        <v>53</v>
      </c>
      <c r="J1423" s="156" t="s">
        <v>192</v>
      </c>
      <c r="K1423" s="200" t="n">
        <v>45447.6204398148</v>
      </c>
      <c r="L1423" s="3" t="n">
        <v>89</v>
      </c>
      <c r="M1423" s="3" t="n">
        <v>89</v>
      </c>
      <c r="N1423" s="1" t="n">
        <v>2</v>
      </c>
      <c r="O1423" s="1" t="n">
        <v>1</v>
      </c>
    </row>
    <row r="1424" customFormat="false" ht="14.25" hidden="false" customHeight="false" outlineLevel="0" collapsed="false">
      <c r="A1424" s="1" t="n">
        <v>21</v>
      </c>
      <c r="B1424" s="1" t="s">
        <v>643</v>
      </c>
      <c r="C1424" s="1" t="s">
        <v>644</v>
      </c>
      <c r="D1424" s="1" t="n">
        <v>11171</v>
      </c>
      <c r="E1424" s="1" t="s">
        <v>55</v>
      </c>
      <c r="F1424" s="201" t="n">
        <v>200025889149</v>
      </c>
      <c r="G1424" s="198" t="s">
        <v>687</v>
      </c>
      <c r="H1424" s="163" t="s">
        <v>459</v>
      </c>
      <c r="I1424" s="161" t="n">
        <v>53</v>
      </c>
      <c r="J1424" s="156" t="s">
        <v>192</v>
      </c>
      <c r="K1424" s="200" t="n">
        <v>45447.6209953704</v>
      </c>
      <c r="L1424" s="3" t="n">
        <v>89</v>
      </c>
      <c r="M1424" s="3" t="n">
        <v>89</v>
      </c>
      <c r="N1424" s="1" t="n">
        <v>3</v>
      </c>
      <c r="O1424" s="1" t="n">
        <v>2</v>
      </c>
    </row>
    <row r="1425" customFormat="false" ht="14.25" hidden="false" customHeight="false" outlineLevel="0" collapsed="false">
      <c r="A1425" s="1" t="n">
        <v>22</v>
      </c>
      <c r="B1425" s="1" t="s">
        <v>643</v>
      </c>
      <c r="C1425" s="1" t="s">
        <v>644</v>
      </c>
      <c r="D1425" s="1" t="n">
        <v>11171</v>
      </c>
      <c r="E1425" s="1" t="s">
        <v>55</v>
      </c>
      <c r="F1425" s="201" t="n">
        <v>200025889149</v>
      </c>
      <c r="G1425" s="198" t="s">
        <v>687</v>
      </c>
      <c r="H1425" s="163" t="s">
        <v>459</v>
      </c>
      <c r="I1425" s="161" t="n">
        <v>53</v>
      </c>
      <c r="J1425" s="156" t="s">
        <v>192</v>
      </c>
      <c r="K1425" s="200" t="n">
        <v>45447.6215393519</v>
      </c>
      <c r="L1425" s="3" t="n">
        <v>89</v>
      </c>
      <c r="M1425" s="3" t="n">
        <v>89</v>
      </c>
      <c r="N1425" s="1" t="n">
        <v>4</v>
      </c>
      <c r="O1425" s="1" t="n">
        <v>2</v>
      </c>
    </row>
    <row r="1426" customFormat="false" ht="14.25" hidden="false" customHeight="false" outlineLevel="0" collapsed="false">
      <c r="A1426" s="1" t="n">
        <v>23</v>
      </c>
      <c r="B1426" s="1" t="s">
        <v>643</v>
      </c>
      <c r="C1426" s="1" t="s">
        <v>644</v>
      </c>
      <c r="D1426" s="1" t="n">
        <v>11171</v>
      </c>
      <c r="E1426" s="1" t="s">
        <v>55</v>
      </c>
      <c r="F1426" s="201" t="n">
        <v>200025889149</v>
      </c>
      <c r="G1426" s="198" t="s">
        <v>687</v>
      </c>
      <c r="H1426" s="163" t="s">
        <v>459</v>
      </c>
      <c r="I1426" s="161" t="n">
        <v>53</v>
      </c>
      <c r="J1426" s="156" t="s">
        <v>192</v>
      </c>
      <c r="K1426" s="200" t="n">
        <v>45447.7995486111</v>
      </c>
      <c r="L1426" s="3" t="n">
        <v>89</v>
      </c>
      <c r="M1426" s="3" t="n">
        <v>89</v>
      </c>
      <c r="N1426" s="1" t="n">
        <v>5</v>
      </c>
      <c r="O1426" s="1" t="n">
        <v>2</v>
      </c>
    </row>
    <row r="1427" customFormat="false" ht="14.25" hidden="false" customHeight="false" outlineLevel="0" collapsed="false">
      <c r="A1427" s="1" t="n">
        <v>24</v>
      </c>
      <c r="B1427" s="1" t="s">
        <v>643</v>
      </c>
      <c r="C1427" s="1" t="s">
        <v>644</v>
      </c>
      <c r="D1427" s="1" t="n">
        <v>11171</v>
      </c>
      <c r="E1427" s="1" t="s">
        <v>55</v>
      </c>
      <c r="F1427" s="201" t="n">
        <v>200025889149</v>
      </c>
      <c r="G1427" s="198" t="s">
        <v>687</v>
      </c>
      <c r="H1427" s="163" t="s">
        <v>459</v>
      </c>
      <c r="I1427" s="161" t="n">
        <v>53</v>
      </c>
      <c r="J1427" s="156" t="s">
        <v>192</v>
      </c>
      <c r="K1427" s="200" t="n">
        <v>45447.7997800926</v>
      </c>
      <c r="L1427" s="3" t="n">
        <v>89</v>
      </c>
      <c r="M1427" s="3" t="n">
        <v>89</v>
      </c>
      <c r="N1427" s="1" t="n">
        <v>6</v>
      </c>
      <c r="O1427" s="1" t="n">
        <v>2</v>
      </c>
    </row>
    <row r="1428" customFormat="false" ht="14.25" hidden="false" customHeight="false" outlineLevel="0" collapsed="false">
      <c r="A1428" s="1" t="n">
        <v>26</v>
      </c>
      <c r="B1428" s="1" t="s">
        <v>643</v>
      </c>
      <c r="C1428" s="1" t="s">
        <v>644</v>
      </c>
      <c r="D1428" s="1" t="n">
        <v>11171</v>
      </c>
      <c r="E1428" s="1" t="s">
        <v>55</v>
      </c>
      <c r="F1428" s="201" t="n">
        <v>200025889149</v>
      </c>
      <c r="G1428" s="198" t="s">
        <v>687</v>
      </c>
      <c r="H1428" s="163" t="s">
        <v>459</v>
      </c>
      <c r="I1428" s="161" t="n">
        <v>53</v>
      </c>
      <c r="J1428" s="156" t="s">
        <v>192</v>
      </c>
      <c r="K1428" s="200" t="n">
        <v>45447.8024421296</v>
      </c>
      <c r="L1428" s="3" t="n">
        <v>89</v>
      </c>
      <c r="M1428" s="3" t="n">
        <v>89</v>
      </c>
      <c r="N1428" s="1" t="n">
        <v>7</v>
      </c>
      <c r="O1428" s="1" t="n">
        <v>1</v>
      </c>
    </row>
    <row r="1429" customFormat="false" ht="14.25" hidden="false" customHeight="false" outlineLevel="0" collapsed="false">
      <c r="A1429" s="1" t="n">
        <v>27</v>
      </c>
      <c r="B1429" s="1" t="s">
        <v>643</v>
      </c>
      <c r="C1429" s="1" t="s">
        <v>644</v>
      </c>
      <c r="D1429" s="1" t="n">
        <v>11171</v>
      </c>
      <c r="E1429" s="1" t="s">
        <v>55</v>
      </c>
      <c r="F1429" s="201" t="n">
        <v>200025889149</v>
      </c>
      <c r="G1429" s="198" t="s">
        <v>687</v>
      </c>
      <c r="H1429" s="163" t="s">
        <v>459</v>
      </c>
      <c r="I1429" s="161" t="n">
        <v>53</v>
      </c>
      <c r="J1429" s="156" t="s">
        <v>192</v>
      </c>
      <c r="K1429" s="200" t="n">
        <v>45447.8771296296</v>
      </c>
      <c r="L1429" s="3" t="n">
        <v>89</v>
      </c>
      <c r="M1429" s="3" t="n">
        <v>89</v>
      </c>
      <c r="N1429" s="1" t="n">
        <v>8</v>
      </c>
      <c r="O1429" s="1" t="n">
        <v>2</v>
      </c>
    </row>
    <row r="1430" customFormat="false" ht="14.25" hidden="false" customHeight="false" outlineLevel="0" collapsed="false">
      <c r="A1430" s="1" t="n">
        <v>28</v>
      </c>
      <c r="B1430" s="1" t="s">
        <v>643</v>
      </c>
      <c r="C1430" s="1" t="s">
        <v>644</v>
      </c>
      <c r="D1430" s="1" t="n">
        <v>11171</v>
      </c>
      <c r="E1430" s="1" t="s">
        <v>55</v>
      </c>
      <c r="F1430" s="201" t="n">
        <v>200025889149</v>
      </c>
      <c r="G1430" s="198" t="s">
        <v>687</v>
      </c>
      <c r="H1430" s="163" t="s">
        <v>459</v>
      </c>
      <c r="I1430" s="161" t="n">
        <v>53</v>
      </c>
      <c r="J1430" s="156" t="s">
        <v>192</v>
      </c>
      <c r="K1430" s="200" t="n">
        <v>45447.8777662037</v>
      </c>
      <c r="L1430" s="3" t="n">
        <v>89</v>
      </c>
      <c r="M1430" s="3" t="n">
        <v>89</v>
      </c>
      <c r="N1430" s="1" t="n">
        <v>9</v>
      </c>
      <c r="O1430" s="1" t="n">
        <v>2</v>
      </c>
    </row>
    <row r="1431" customFormat="false" ht="14.25" hidden="false" customHeight="false" outlineLevel="0" collapsed="false">
      <c r="A1431" s="1" t="n">
        <v>29</v>
      </c>
      <c r="B1431" s="1" t="s">
        <v>643</v>
      </c>
      <c r="C1431" s="1" t="s">
        <v>644</v>
      </c>
      <c r="D1431" s="1" t="n">
        <v>11171</v>
      </c>
      <c r="E1431" s="1" t="s">
        <v>55</v>
      </c>
      <c r="F1431" s="201" t="n">
        <v>200025889149</v>
      </c>
      <c r="G1431" s="198" t="s">
        <v>687</v>
      </c>
      <c r="H1431" s="163" t="s">
        <v>459</v>
      </c>
      <c r="I1431" s="161" t="n">
        <v>53</v>
      </c>
      <c r="J1431" s="156" t="s">
        <v>192</v>
      </c>
      <c r="K1431" s="200" t="n">
        <v>45447.8830671296</v>
      </c>
      <c r="L1431" s="3" t="n">
        <v>89</v>
      </c>
      <c r="M1431" s="3" t="n">
        <v>89</v>
      </c>
      <c r="N1431" s="1" t="n">
        <v>10</v>
      </c>
      <c r="O1431" s="1" t="n">
        <v>1</v>
      </c>
    </row>
    <row r="1432" customFormat="false" ht="14.25" hidden="false" customHeight="false" outlineLevel="0" collapsed="false">
      <c r="A1432" s="1" t="n">
        <v>30</v>
      </c>
      <c r="B1432" s="1" t="s">
        <v>643</v>
      </c>
      <c r="C1432" s="1" t="s">
        <v>644</v>
      </c>
      <c r="D1432" s="1" t="n">
        <v>11171</v>
      </c>
      <c r="E1432" s="1" t="s">
        <v>55</v>
      </c>
      <c r="F1432" s="201" t="n">
        <v>200025889149</v>
      </c>
      <c r="G1432" s="198" t="s">
        <v>687</v>
      </c>
      <c r="H1432" s="163" t="s">
        <v>459</v>
      </c>
      <c r="I1432" s="161" t="n">
        <v>53</v>
      </c>
      <c r="J1432" s="156" t="s">
        <v>192</v>
      </c>
      <c r="K1432" s="200" t="n">
        <v>45447.8830787037</v>
      </c>
      <c r="L1432" s="3" t="n">
        <v>89</v>
      </c>
      <c r="M1432" s="3" t="n">
        <v>89</v>
      </c>
      <c r="N1432" s="1" t="n">
        <v>11</v>
      </c>
      <c r="O1432" s="1" t="n">
        <v>2</v>
      </c>
    </row>
    <row r="1433" customFormat="false" ht="14.25" hidden="false" customHeight="false" outlineLevel="0" collapsed="false">
      <c r="A1433" s="1" t="n">
        <v>31</v>
      </c>
      <c r="B1433" s="1" t="s">
        <v>643</v>
      </c>
      <c r="C1433" s="1" t="s">
        <v>644</v>
      </c>
      <c r="D1433" s="1" t="n">
        <v>11171</v>
      </c>
      <c r="E1433" s="1" t="s">
        <v>55</v>
      </c>
      <c r="F1433" s="201" t="n">
        <v>200025889149</v>
      </c>
      <c r="G1433" s="198" t="s">
        <v>687</v>
      </c>
      <c r="H1433" s="163" t="s">
        <v>459</v>
      </c>
      <c r="I1433" s="161" t="n">
        <v>53</v>
      </c>
      <c r="J1433" s="156" t="s">
        <v>192</v>
      </c>
      <c r="K1433" s="200" t="n">
        <v>45447.8831134259</v>
      </c>
      <c r="L1433" s="3" t="n">
        <v>89</v>
      </c>
      <c r="M1433" s="3" t="n">
        <v>89</v>
      </c>
      <c r="N1433" s="1" t="n">
        <v>12</v>
      </c>
      <c r="O1433" s="1" t="n">
        <v>2</v>
      </c>
    </row>
    <row r="1434" customFormat="false" ht="14.25" hidden="false" customHeight="false" outlineLevel="0" collapsed="false">
      <c r="A1434" s="1" t="n">
        <v>32</v>
      </c>
      <c r="B1434" s="1" t="s">
        <v>643</v>
      </c>
      <c r="C1434" s="1" t="s">
        <v>644</v>
      </c>
      <c r="D1434" s="1" t="n">
        <v>11171</v>
      </c>
      <c r="E1434" s="1" t="s">
        <v>55</v>
      </c>
      <c r="F1434" s="201" t="n">
        <v>200025889149</v>
      </c>
      <c r="G1434" s="198" t="s">
        <v>687</v>
      </c>
      <c r="H1434" s="163" t="s">
        <v>459</v>
      </c>
      <c r="I1434" s="161" t="n">
        <v>53</v>
      </c>
      <c r="J1434" s="156" t="s">
        <v>192</v>
      </c>
      <c r="K1434" s="200" t="n">
        <v>45447.9740162037</v>
      </c>
      <c r="L1434" s="3" t="n">
        <v>89</v>
      </c>
      <c r="M1434" s="3" t="n">
        <v>89</v>
      </c>
      <c r="N1434" s="1" t="n">
        <v>13</v>
      </c>
      <c r="O1434" s="1" t="n">
        <v>2</v>
      </c>
    </row>
    <row r="1435" customFormat="false" ht="14.25" hidden="false" customHeight="false" outlineLevel="0" collapsed="false">
      <c r="A1435" s="1" t="n">
        <v>33</v>
      </c>
      <c r="B1435" s="1" t="s">
        <v>643</v>
      </c>
      <c r="C1435" s="1" t="s">
        <v>644</v>
      </c>
      <c r="D1435" s="1" t="n">
        <v>11171</v>
      </c>
      <c r="E1435" s="1" t="s">
        <v>55</v>
      </c>
      <c r="F1435" s="201" t="n">
        <v>200025889149</v>
      </c>
      <c r="G1435" s="198" t="s">
        <v>687</v>
      </c>
      <c r="H1435" s="163" t="s">
        <v>459</v>
      </c>
      <c r="I1435" s="161" t="n">
        <v>53</v>
      </c>
      <c r="J1435" s="156" t="s">
        <v>192</v>
      </c>
      <c r="K1435" s="200" t="n">
        <v>45447.9883333333</v>
      </c>
      <c r="L1435" s="3" t="n">
        <v>89</v>
      </c>
      <c r="M1435" s="3" t="n">
        <v>89</v>
      </c>
      <c r="N1435" s="1" t="n">
        <v>14</v>
      </c>
      <c r="O1435" s="1" t="n">
        <v>5</v>
      </c>
    </row>
    <row r="1436" customFormat="false" ht="14.25" hidden="false" customHeight="false" outlineLevel="0" collapsed="false">
      <c r="A1436" s="1" t="n">
        <v>34</v>
      </c>
      <c r="B1436" s="1" t="s">
        <v>643</v>
      </c>
      <c r="C1436" s="1" t="s">
        <v>644</v>
      </c>
      <c r="D1436" s="1" t="n">
        <v>11171</v>
      </c>
      <c r="E1436" s="1" t="s">
        <v>55</v>
      </c>
      <c r="F1436" s="201" t="n">
        <v>200025889149</v>
      </c>
      <c r="G1436" s="198" t="s">
        <v>687</v>
      </c>
      <c r="H1436" s="163" t="s">
        <v>459</v>
      </c>
      <c r="I1436" s="161" t="n">
        <v>53</v>
      </c>
      <c r="J1436" s="156" t="s">
        <v>192</v>
      </c>
      <c r="K1436" s="200" t="n">
        <v>45447.9921296296</v>
      </c>
      <c r="L1436" s="3" t="n">
        <v>89</v>
      </c>
      <c r="M1436" s="3" t="n">
        <v>89</v>
      </c>
      <c r="N1436" s="1" t="n">
        <v>15</v>
      </c>
      <c r="O1436" s="1" t="n">
        <v>1</v>
      </c>
    </row>
    <row r="1437" customFormat="false" ht="14.25" hidden="false" customHeight="false" outlineLevel="0" collapsed="false">
      <c r="A1437" s="1" t="n">
        <v>35</v>
      </c>
      <c r="B1437" s="1" t="s">
        <v>643</v>
      </c>
      <c r="C1437" s="1" t="s">
        <v>644</v>
      </c>
      <c r="D1437" s="1" t="n">
        <v>11171</v>
      </c>
      <c r="E1437" s="1" t="s">
        <v>55</v>
      </c>
      <c r="F1437" s="201" t="n">
        <v>200025889149</v>
      </c>
      <c r="G1437" s="198" t="s">
        <v>687</v>
      </c>
      <c r="H1437" s="163" t="s">
        <v>459</v>
      </c>
      <c r="I1437" s="161" t="n">
        <v>53</v>
      </c>
      <c r="J1437" s="156" t="s">
        <v>192</v>
      </c>
      <c r="K1437" s="200" t="n">
        <v>45447.9921412037</v>
      </c>
      <c r="L1437" s="3" t="n">
        <v>89</v>
      </c>
      <c r="M1437" s="3" t="n">
        <v>89</v>
      </c>
      <c r="N1437" s="1" t="n">
        <v>16</v>
      </c>
      <c r="O1437" s="1" t="n">
        <v>2</v>
      </c>
    </row>
    <row r="1438" customFormat="false" ht="14.25" hidden="false" customHeight="false" outlineLevel="0" collapsed="false">
      <c r="A1438" s="1" t="n">
        <v>36</v>
      </c>
      <c r="B1438" s="1" t="s">
        <v>643</v>
      </c>
      <c r="C1438" s="1" t="s">
        <v>644</v>
      </c>
      <c r="D1438" s="1" t="n">
        <v>11171</v>
      </c>
      <c r="E1438" s="1" t="s">
        <v>55</v>
      </c>
      <c r="F1438" s="201" t="n">
        <v>200025889149</v>
      </c>
      <c r="G1438" s="198" t="s">
        <v>687</v>
      </c>
      <c r="H1438" s="163" t="s">
        <v>459</v>
      </c>
      <c r="I1438" s="161" t="n">
        <v>53</v>
      </c>
      <c r="J1438" s="156" t="s">
        <v>192</v>
      </c>
      <c r="K1438" s="200" t="n">
        <v>45447.9952546296</v>
      </c>
      <c r="L1438" s="3" t="n">
        <v>89</v>
      </c>
      <c r="M1438" s="3" t="n">
        <v>89</v>
      </c>
      <c r="N1438" s="1" t="n">
        <v>17</v>
      </c>
      <c r="O1438" s="1" t="n">
        <v>1</v>
      </c>
    </row>
    <row r="1439" customFormat="false" ht="14.25" hidden="false" customHeight="false" outlineLevel="0" collapsed="false">
      <c r="A1439" s="1" t="n">
        <v>37</v>
      </c>
      <c r="B1439" s="1" t="s">
        <v>643</v>
      </c>
      <c r="C1439" s="1" t="s">
        <v>644</v>
      </c>
      <c r="D1439" s="1" t="n">
        <v>11171</v>
      </c>
      <c r="E1439" s="1" t="s">
        <v>55</v>
      </c>
      <c r="F1439" s="201" t="n">
        <v>200025889149</v>
      </c>
      <c r="G1439" s="198" t="s">
        <v>687</v>
      </c>
      <c r="H1439" s="163" t="s">
        <v>459</v>
      </c>
      <c r="I1439" s="161" t="n">
        <v>53</v>
      </c>
      <c r="J1439" s="156" t="s">
        <v>192</v>
      </c>
      <c r="K1439" s="200" t="n">
        <v>45448.116412037</v>
      </c>
      <c r="L1439" s="3" t="n">
        <v>89</v>
      </c>
      <c r="M1439" s="3" t="n">
        <v>89</v>
      </c>
      <c r="N1439" s="1" t="n">
        <v>18</v>
      </c>
      <c r="O1439" s="1" t="n">
        <v>0</v>
      </c>
    </row>
    <row r="1440" customFormat="false" ht="14.25" hidden="false" customHeight="false" outlineLevel="0" collapsed="false">
      <c r="A1440" s="1" t="n">
        <v>38</v>
      </c>
      <c r="B1440" s="1" t="s">
        <v>643</v>
      </c>
      <c r="C1440" s="1" t="s">
        <v>644</v>
      </c>
      <c r="D1440" s="1" t="n">
        <v>11171</v>
      </c>
      <c r="E1440" s="1" t="s">
        <v>55</v>
      </c>
      <c r="F1440" s="201" t="n">
        <v>200025889149</v>
      </c>
      <c r="G1440" s="198" t="s">
        <v>687</v>
      </c>
      <c r="H1440" s="163" t="s">
        <v>459</v>
      </c>
      <c r="I1440" s="161" t="n">
        <v>53</v>
      </c>
      <c r="J1440" s="156" t="s">
        <v>192</v>
      </c>
      <c r="K1440" s="200" t="n">
        <v>45448.1192476852</v>
      </c>
      <c r="L1440" s="3" t="n">
        <v>89</v>
      </c>
      <c r="M1440" s="3" t="n">
        <v>89</v>
      </c>
      <c r="N1440" s="1" t="n">
        <v>19</v>
      </c>
      <c r="O1440" s="1" t="n">
        <v>1</v>
      </c>
    </row>
    <row r="1441" customFormat="false" ht="14.25" hidden="false" customHeight="false" outlineLevel="0" collapsed="false">
      <c r="A1441" s="1" t="n">
        <v>39</v>
      </c>
      <c r="B1441" s="1" t="s">
        <v>643</v>
      </c>
      <c r="C1441" s="1" t="s">
        <v>644</v>
      </c>
      <c r="D1441" s="1" t="n">
        <v>11171</v>
      </c>
      <c r="E1441" s="1" t="s">
        <v>55</v>
      </c>
      <c r="F1441" s="201" t="n">
        <v>200025889149</v>
      </c>
      <c r="G1441" s="198" t="s">
        <v>687</v>
      </c>
      <c r="H1441" s="163" t="s">
        <v>459</v>
      </c>
      <c r="I1441" s="161" t="n">
        <v>53</v>
      </c>
      <c r="J1441" s="156" t="s">
        <v>192</v>
      </c>
      <c r="K1441" s="200" t="n">
        <v>45448.1210532407</v>
      </c>
      <c r="L1441" s="3" t="n">
        <v>89</v>
      </c>
      <c r="M1441" s="3" t="n">
        <v>89</v>
      </c>
      <c r="N1441" s="1" t="n">
        <v>20</v>
      </c>
      <c r="O1441" s="1" t="n">
        <v>1</v>
      </c>
    </row>
    <row r="1442" customFormat="false" ht="14.25" hidden="false" customHeight="false" outlineLevel="0" collapsed="false">
      <c r="A1442" s="1" t="n">
        <v>40</v>
      </c>
      <c r="B1442" s="1" t="s">
        <v>643</v>
      </c>
      <c r="C1442" s="1" t="s">
        <v>644</v>
      </c>
      <c r="D1442" s="1" t="n">
        <v>11171</v>
      </c>
      <c r="E1442" s="1" t="s">
        <v>55</v>
      </c>
      <c r="F1442" s="201" t="n">
        <v>200025889149</v>
      </c>
      <c r="G1442" s="198" t="s">
        <v>687</v>
      </c>
      <c r="H1442" s="163" t="s">
        <v>459</v>
      </c>
      <c r="I1442" s="161" t="n">
        <v>53</v>
      </c>
      <c r="J1442" s="156" t="s">
        <v>192</v>
      </c>
      <c r="K1442" s="200" t="n">
        <v>45448.1210763889</v>
      </c>
      <c r="L1442" s="3" t="n">
        <v>89</v>
      </c>
      <c r="M1442" s="3" t="n">
        <v>89</v>
      </c>
      <c r="N1442" s="1" t="n">
        <v>21</v>
      </c>
      <c r="O1442" s="1" t="n">
        <v>2</v>
      </c>
    </row>
    <row r="1443" customFormat="false" ht="14.25" hidden="false" customHeight="false" outlineLevel="0" collapsed="false">
      <c r="A1443" s="1" t="n">
        <v>41</v>
      </c>
      <c r="B1443" s="1" t="s">
        <v>643</v>
      </c>
      <c r="C1443" s="1" t="s">
        <v>644</v>
      </c>
      <c r="D1443" s="1" t="n">
        <v>11171</v>
      </c>
      <c r="E1443" s="1" t="s">
        <v>55</v>
      </c>
      <c r="F1443" s="201" t="n">
        <v>200025889149</v>
      </c>
      <c r="G1443" s="198" t="s">
        <v>687</v>
      </c>
      <c r="H1443" s="163" t="s">
        <v>459</v>
      </c>
      <c r="I1443" s="161" t="n">
        <v>53</v>
      </c>
      <c r="J1443" s="156" t="s">
        <v>192</v>
      </c>
      <c r="K1443" s="200" t="n">
        <v>45448.2337847222</v>
      </c>
      <c r="L1443" s="3" t="n">
        <v>89</v>
      </c>
      <c r="M1443" s="3" t="n">
        <v>89</v>
      </c>
      <c r="N1443" s="1" t="n">
        <v>22</v>
      </c>
      <c r="O1443" s="1" t="n">
        <v>21</v>
      </c>
    </row>
    <row r="1444" customFormat="false" ht="14.25" hidden="false" customHeight="false" outlineLevel="0" collapsed="false">
      <c r="A1444" s="1" t="n">
        <v>18</v>
      </c>
      <c r="B1444" s="1" t="s">
        <v>624</v>
      </c>
      <c r="C1444" s="1" t="s">
        <v>625</v>
      </c>
      <c r="D1444" s="196" t="n">
        <v>2568</v>
      </c>
      <c r="E1444" s="196" t="s">
        <v>51</v>
      </c>
      <c r="F1444" s="201" t="n">
        <v>200025888995</v>
      </c>
      <c r="G1444" s="198" t="s">
        <v>628</v>
      </c>
      <c r="H1444" s="163" t="s">
        <v>483</v>
      </c>
      <c r="I1444" s="161" t="n">
        <v>67</v>
      </c>
      <c r="J1444" s="156" t="s">
        <v>192</v>
      </c>
      <c r="K1444" s="200" t="n">
        <v>45450.9187037037</v>
      </c>
      <c r="L1444" s="3" t="n">
        <v>90</v>
      </c>
      <c r="M1444" s="3" t="n">
        <v>90</v>
      </c>
      <c r="N1444" s="1" t="n">
        <v>1</v>
      </c>
      <c r="O1444" s="201" t="n">
        <v>30</v>
      </c>
    </row>
    <row r="1445" customFormat="false" ht="14.25" hidden="false" customHeight="false" outlineLevel="0" collapsed="false">
      <c r="A1445" s="1" t="n">
        <v>19</v>
      </c>
      <c r="B1445" s="1" t="s">
        <v>624</v>
      </c>
      <c r="C1445" s="1" t="s">
        <v>625</v>
      </c>
      <c r="D1445" s="196" t="n">
        <v>2568</v>
      </c>
      <c r="E1445" s="196" t="s">
        <v>51</v>
      </c>
      <c r="F1445" s="201" t="n">
        <v>200025888995</v>
      </c>
      <c r="G1445" s="198" t="s">
        <v>628</v>
      </c>
      <c r="H1445" s="163" t="s">
        <v>483</v>
      </c>
      <c r="I1445" s="161" t="n">
        <v>67</v>
      </c>
      <c r="J1445" s="156" t="s">
        <v>192</v>
      </c>
      <c r="K1445" s="200" t="n">
        <v>45450.9401157407</v>
      </c>
      <c r="L1445" s="3" t="n">
        <v>90</v>
      </c>
      <c r="M1445" s="3" t="n">
        <v>90</v>
      </c>
      <c r="N1445" s="1" t="n">
        <v>2</v>
      </c>
      <c r="O1445" s="201" t="n">
        <v>0</v>
      </c>
    </row>
    <row r="1446" customFormat="false" ht="14.25" hidden="false" customHeight="false" outlineLevel="0" collapsed="false">
      <c r="A1446" s="1" t="n">
        <v>20</v>
      </c>
      <c r="B1446" s="1" t="s">
        <v>624</v>
      </c>
      <c r="C1446" s="1" t="s">
        <v>625</v>
      </c>
      <c r="D1446" s="196" t="n">
        <v>2568</v>
      </c>
      <c r="E1446" s="196" t="s">
        <v>51</v>
      </c>
      <c r="F1446" s="201" t="n">
        <v>200025888995</v>
      </c>
      <c r="G1446" s="198" t="s">
        <v>628</v>
      </c>
      <c r="H1446" s="163" t="s">
        <v>483</v>
      </c>
      <c r="I1446" s="161" t="n">
        <v>67</v>
      </c>
      <c r="J1446" s="156" t="s">
        <v>192</v>
      </c>
      <c r="K1446" s="200" t="n">
        <v>45450.9989351852</v>
      </c>
      <c r="L1446" s="3" t="n">
        <v>90</v>
      </c>
      <c r="M1446" s="3" t="n">
        <v>90</v>
      </c>
      <c r="N1446" s="1" t="n">
        <v>3</v>
      </c>
      <c r="O1446" s="201" t="n">
        <v>0</v>
      </c>
    </row>
    <row r="1447" customFormat="false" ht="14.25" hidden="false" customHeight="false" outlineLevel="0" collapsed="false">
      <c r="A1447" s="1" t="n">
        <v>21</v>
      </c>
      <c r="B1447" s="1" t="s">
        <v>624</v>
      </c>
      <c r="C1447" s="1" t="s">
        <v>625</v>
      </c>
      <c r="D1447" s="196" t="n">
        <v>2568</v>
      </c>
      <c r="E1447" s="196" t="s">
        <v>51</v>
      </c>
      <c r="F1447" s="201" t="n">
        <v>200025888995</v>
      </c>
      <c r="G1447" s="198" t="s">
        <v>628</v>
      </c>
      <c r="H1447" s="163" t="s">
        <v>483</v>
      </c>
      <c r="I1447" s="161" t="n">
        <v>67</v>
      </c>
      <c r="J1447" s="156" t="s">
        <v>192</v>
      </c>
      <c r="K1447" s="200" t="n">
        <v>45451.0272222222</v>
      </c>
      <c r="L1447" s="3" t="n">
        <v>90</v>
      </c>
      <c r="M1447" s="3" t="n">
        <v>90</v>
      </c>
      <c r="N1447" s="1" t="n">
        <v>4</v>
      </c>
      <c r="O1447" s="201" t="n">
        <v>0</v>
      </c>
    </row>
    <row r="1448" customFormat="false" ht="14.25" hidden="false" customHeight="false" outlineLevel="0" collapsed="false">
      <c r="A1448" s="1" t="n">
        <v>22</v>
      </c>
      <c r="B1448" s="1" t="s">
        <v>624</v>
      </c>
      <c r="C1448" s="1" t="s">
        <v>625</v>
      </c>
      <c r="D1448" s="196" t="n">
        <v>2568</v>
      </c>
      <c r="E1448" s="196" t="s">
        <v>51</v>
      </c>
      <c r="F1448" s="201" t="n">
        <v>200025888995</v>
      </c>
      <c r="G1448" s="198" t="s">
        <v>628</v>
      </c>
      <c r="H1448" s="163" t="s">
        <v>483</v>
      </c>
      <c r="I1448" s="161" t="n">
        <v>67</v>
      </c>
      <c r="J1448" s="156" t="s">
        <v>192</v>
      </c>
      <c r="K1448" s="200" t="n">
        <v>45451.0677777778</v>
      </c>
      <c r="L1448" s="3" t="n">
        <v>90</v>
      </c>
      <c r="M1448" s="3" t="n">
        <v>90</v>
      </c>
      <c r="N1448" s="1" t="n">
        <v>5</v>
      </c>
      <c r="O1448" s="201" t="n">
        <v>1</v>
      </c>
    </row>
    <row r="1449" customFormat="false" ht="14.25" hidden="false" customHeight="false" outlineLevel="0" collapsed="false">
      <c r="A1449" s="1" t="n">
        <v>23</v>
      </c>
      <c r="B1449" s="1" t="s">
        <v>624</v>
      </c>
      <c r="C1449" s="1" t="s">
        <v>625</v>
      </c>
      <c r="D1449" s="196" t="n">
        <v>2568</v>
      </c>
      <c r="E1449" s="196" t="s">
        <v>51</v>
      </c>
      <c r="F1449" s="201" t="n">
        <v>200025888995</v>
      </c>
      <c r="G1449" s="198" t="s">
        <v>628</v>
      </c>
      <c r="H1449" s="163" t="s">
        <v>483</v>
      </c>
      <c r="I1449" s="161" t="n">
        <v>67</v>
      </c>
      <c r="J1449" s="156" t="s">
        <v>192</v>
      </c>
      <c r="K1449" s="200" t="n">
        <v>45451.1184143519</v>
      </c>
      <c r="L1449" s="3" t="n">
        <v>90</v>
      </c>
      <c r="M1449" s="3" t="n">
        <v>90</v>
      </c>
      <c r="N1449" s="1" t="n">
        <v>6</v>
      </c>
      <c r="O1449" s="201" t="n">
        <v>0</v>
      </c>
    </row>
    <row r="1450" customFormat="false" ht="14.25" hidden="false" customHeight="false" outlineLevel="0" collapsed="false">
      <c r="A1450" s="1" t="n">
        <v>24</v>
      </c>
      <c r="B1450" s="1" t="s">
        <v>624</v>
      </c>
      <c r="C1450" s="1" t="s">
        <v>625</v>
      </c>
      <c r="D1450" s="196" t="n">
        <v>2568</v>
      </c>
      <c r="E1450" s="196" t="s">
        <v>51</v>
      </c>
      <c r="F1450" s="201" t="n">
        <v>200025888995</v>
      </c>
      <c r="G1450" s="198" t="s">
        <v>628</v>
      </c>
      <c r="H1450" s="163" t="s">
        <v>483</v>
      </c>
      <c r="I1450" s="161" t="n">
        <v>67</v>
      </c>
      <c r="J1450" s="156" t="s">
        <v>192</v>
      </c>
      <c r="K1450" s="200" t="n">
        <v>45451.1562962963</v>
      </c>
      <c r="L1450" s="3" t="n">
        <v>90</v>
      </c>
      <c r="M1450" s="3" t="n">
        <v>90</v>
      </c>
      <c r="N1450" s="1" t="n">
        <v>7</v>
      </c>
      <c r="O1450" s="1" t="n">
        <v>0</v>
      </c>
    </row>
    <row r="1451" customFormat="false" ht="14.25" hidden="false" customHeight="false" outlineLevel="0" collapsed="false">
      <c r="A1451" s="1" t="n">
        <v>25</v>
      </c>
      <c r="B1451" s="1" t="s">
        <v>624</v>
      </c>
      <c r="C1451" s="1" t="s">
        <v>625</v>
      </c>
      <c r="D1451" s="196" t="n">
        <v>2568</v>
      </c>
      <c r="E1451" s="196" t="s">
        <v>51</v>
      </c>
      <c r="F1451" s="201" t="n">
        <v>200025888995</v>
      </c>
      <c r="G1451" s="198" t="s">
        <v>628</v>
      </c>
      <c r="H1451" s="163" t="s">
        <v>483</v>
      </c>
      <c r="I1451" s="161" t="n">
        <v>67</v>
      </c>
      <c r="J1451" s="156" t="s">
        <v>192</v>
      </c>
      <c r="K1451" s="200" t="n">
        <v>45451.2814351852</v>
      </c>
      <c r="L1451" s="3" t="n">
        <v>90</v>
      </c>
      <c r="M1451" s="3" t="n">
        <v>90</v>
      </c>
      <c r="N1451" s="1" t="n">
        <v>8</v>
      </c>
      <c r="O1451" s="1" t="n">
        <v>1</v>
      </c>
    </row>
    <row r="1452" customFormat="false" ht="14.25" hidden="false" customHeight="false" outlineLevel="0" collapsed="false">
      <c r="A1452" s="1" t="n">
        <v>26</v>
      </c>
      <c r="B1452" s="1" t="s">
        <v>624</v>
      </c>
      <c r="C1452" s="1" t="s">
        <v>625</v>
      </c>
      <c r="D1452" s="196" t="n">
        <v>2568</v>
      </c>
      <c r="E1452" s="196" t="s">
        <v>51</v>
      </c>
      <c r="F1452" s="201" t="n">
        <v>200025888995</v>
      </c>
      <c r="G1452" s="198" t="s">
        <v>628</v>
      </c>
      <c r="H1452" s="163" t="s">
        <v>483</v>
      </c>
      <c r="I1452" s="161" t="n">
        <v>67</v>
      </c>
      <c r="J1452" s="156" t="s">
        <v>192</v>
      </c>
      <c r="K1452" s="200" t="n">
        <v>45451.2814467593</v>
      </c>
      <c r="L1452" s="3" t="n">
        <v>90</v>
      </c>
      <c r="M1452" s="3" t="n">
        <v>90</v>
      </c>
      <c r="N1452" s="1" t="n">
        <v>9</v>
      </c>
      <c r="O1452" s="1" t="n">
        <v>0</v>
      </c>
    </row>
    <row r="1453" customFormat="false" ht="14.25" hidden="false" customHeight="false" outlineLevel="0" collapsed="false">
      <c r="A1453" s="1" t="n">
        <v>27</v>
      </c>
      <c r="B1453" s="1" t="s">
        <v>624</v>
      </c>
      <c r="C1453" s="1" t="s">
        <v>625</v>
      </c>
      <c r="D1453" s="196" t="n">
        <v>2568</v>
      </c>
      <c r="E1453" s="196" t="s">
        <v>51</v>
      </c>
      <c r="F1453" s="201" t="n">
        <v>200025888995</v>
      </c>
      <c r="G1453" s="198" t="s">
        <v>628</v>
      </c>
      <c r="H1453" s="163" t="s">
        <v>483</v>
      </c>
      <c r="I1453" s="161" t="n">
        <v>67</v>
      </c>
      <c r="J1453" s="156" t="s">
        <v>192</v>
      </c>
      <c r="K1453" s="200" t="n">
        <v>45451.2814583333</v>
      </c>
      <c r="L1453" s="3" t="n">
        <v>90</v>
      </c>
      <c r="M1453" s="3" t="n">
        <v>90</v>
      </c>
      <c r="N1453" s="1" t="n">
        <v>10</v>
      </c>
      <c r="O1453" s="1" t="n">
        <v>0</v>
      </c>
    </row>
    <row r="1454" customFormat="false" ht="14.25" hidden="false" customHeight="false" outlineLevel="0" collapsed="false">
      <c r="A1454" s="1" t="n">
        <v>28</v>
      </c>
      <c r="B1454" s="1" t="s">
        <v>624</v>
      </c>
      <c r="C1454" s="1" t="s">
        <v>625</v>
      </c>
      <c r="D1454" s="196" t="n">
        <v>2568</v>
      </c>
      <c r="E1454" s="196" t="s">
        <v>51</v>
      </c>
      <c r="F1454" s="201" t="n">
        <v>200025888995</v>
      </c>
      <c r="G1454" s="198" t="s">
        <v>628</v>
      </c>
      <c r="H1454" s="163" t="s">
        <v>483</v>
      </c>
      <c r="I1454" s="161" t="n">
        <v>67</v>
      </c>
      <c r="J1454" s="156" t="s">
        <v>192</v>
      </c>
      <c r="K1454" s="200" t="n">
        <v>45451.3648958333</v>
      </c>
      <c r="L1454" s="3" t="n">
        <v>90</v>
      </c>
      <c r="M1454" s="3" t="n">
        <v>90</v>
      </c>
      <c r="N1454" s="1" t="n">
        <v>11</v>
      </c>
      <c r="O1454" s="1" t="n">
        <v>1</v>
      </c>
    </row>
    <row r="1455" customFormat="false" ht="14.25" hidden="false" customHeight="false" outlineLevel="0" collapsed="false">
      <c r="A1455" s="1" t="n">
        <v>29</v>
      </c>
      <c r="B1455" s="1" t="s">
        <v>624</v>
      </c>
      <c r="C1455" s="1" t="s">
        <v>625</v>
      </c>
      <c r="D1455" s="196" t="n">
        <v>2568</v>
      </c>
      <c r="E1455" s="196" t="s">
        <v>51</v>
      </c>
      <c r="F1455" s="201" t="n">
        <v>200025888995</v>
      </c>
      <c r="G1455" s="198" t="s">
        <v>628</v>
      </c>
      <c r="H1455" s="163" t="s">
        <v>483</v>
      </c>
      <c r="I1455" s="161" t="n">
        <v>67</v>
      </c>
      <c r="J1455" s="156" t="s">
        <v>192</v>
      </c>
      <c r="K1455" s="200" t="n">
        <v>45451.3649305556</v>
      </c>
      <c r="L1455" s="3" t="n">
        <v>90</v>
      </c>
      <c r="M1455" s="3" t="n">
        <v>90</v>
      </c>
      <c r="N1455" s="1" t="n">
        <v>12</v>
      </c>
      <c r="O1455" s="1" t="n">
        <v>1</v>
      </c>
    </row>
    <row r="1456" customFormat="false" ht="14.25" hidden="false" customHeight="false" outlineLevel="0" collapsed="false">
      <c r="A1456" s="1" t="n">
        <v>30</v>
      </c>
      <c r="B1456" s="1" t="s">
        <v>624</v>
      </c>
      <c r="C1456" s="1" t="s">
        <v>625</v>
      </c>
      <c r="D1456" s="196" t="n">
        <v>2568</v>
      </c>
      <c r="E1456" s="196" t="s">
        <v>51</v>
      </c>
      <c r="F1456" s="201" t="n">
        <v>200025888995</v>
      </c>
      <c r="G1456" s="198" t="s">
        <v>628</v>
      </c>
      <c r="H1456" s="163" t="s">
        <v>483</v>
      </c>
      <c r="I1456" s="161" t="n">
        <v>67</v>
      </c>
      <c r="J1456" s="156" t="s">
        <v>192</v>
      </c>
      <c r="K1456" s="200" t="n">
        <v>45451.4232407407</v>
      </c>
      <c r="L1456" s="3" t="n">
        <v>90</v>
      </c>
      <c r="M1456" s="3" t="n">
        <v>90</v>
      </c>
      <c r="N1456" s="1" t="n">
        <v>13</v>
      </c>
      <c r="O1456" s="1" t="n">
        <v>0</v>
      </c>
    </row>
    <row r="1457" customFormat="false" ht="14.25" hidden="false" customHeight="false" outlineLevel="0" collapsed="false">
      <c r="A1457" s="1" t="n">
        <v>16</v>
      </c>
      <c r="B1457" s="1" t="s">
        <v>637</v>
      </c>
      <c r="C1457" s="1" t="s">
        <v>638</v>
      </c>
      <c r="D1457" s="1" t="n">
        <v>21296</v>
      </c>
      <c r="E1457" s="1" t="s">
        <v>57</v>
      </c>
      <c r="F1457" s="198" t="n">
        <v>200025888995</v>
      </c>
      <c r="G1457" s="198" t="s">
        <v>628</v>
      </c>
      <c r="H1457" s="163" t="s">
        <v>483</v>
      </c>
      <c r="I1457" s="161" t="n">
        <v>67</v>
      </c>
      <c r="J1457" s="156" t="s">
        <v>192</v>
      </c>
      <c r="K1457" s="200" t="n">
        <v>45451.5655439815</v>
      </c>
      <c r="L1457" s="3" t="n">
        <v>90</v>
      </c>
      <c r="M1457" s="3" t="n">
        <v>90</v>
      </c>
      <c r="N1457" s="1" t="n">
        <v>14</v>
      </c>
      <c r="O1457" s="1" t="n">
        <v>0</v>
      </c>
    </row>
    <row r="1458" customFormat="false" ht="14.25" hidden="false" customHeight="false" outlineLevel="0" collapsed="false">
      <c r="A1458" s="1" t="n">
        <v>17</v>
      </c>
      <c r="B1458" s="1" t="s">
        <v>637</v>
      </c>
      <c r="C1458" s="1" t="s">
        <v>638</v>
      </c>
      <c r="D1458" s="1" t="n">
        <v>21296</v>
      </c>
      <c r="E1458" s="1" t="s">
        <v>57</v>
      </c>
      <c r="F1458" s="201" t="n">
        <v>200025888995</v>
      </c>
      <c r="G1458" s="198" t="s">
        <v>628</v>
      </c>
      <c r="H1458" s="163" t="s">
        <v>483</v>
      </c>
      <c r="I1458" s="161" t="n">
        <v>67</v>
      </c>
      <c r="J1458" s="156" t="s">
        <v>192</v>
      </c>
      <c r="K1458" s="200" t="n">
        <v>45451.5655439815</v>
      </c>
      <c r="L1458" s="3" t="n">
        <v>90</v>
      </c>
      <c r="M1458" s="3" t="n">
        <v>90</v>
      </c>
      <c r="N1458" s="1" t="n">
        <v>15</v>
      </c>
      <c r="O1458" s="1" t="n">
        <v>0</v>
      </c>
    </row>
    <row r="1459" customFormat="false" ht="14.25" hidden="false" customHeight="false" outlineLevel="0" collapsed="false">
      <c r="A1459" s="1" t="n">
        <v>18</v>
      </c>
      <c r="B1459" s="1" t="s">
        <v>637</v>
      </c>
      <c r="C1459" s="1" t="s">
        <v>638</v>
      </c>
      <c r="D1459" s="1" t="n">
        <v>21296</v>
      </c>
      <c r="E1459" s="1" t="s">
        <v>57</v>
      </c>
      <c r="F1459" s="201" t="n">
        <v>200025888995</v>
      </c>
      <c r="G1459" s="198" t="s">
        <v>628</v>
      </c>
      <c r="H1459" s="163" t="s">
        <v>483</v>
      </c>
      <c r="I1459" s="161" t="n">
        <v>67</v>
      </c>
      <c r="J1459" s="156" t="s">
        <v>192</v>
      </c>
      <c r="K1459" s="200" t="n">
        <v>45451.5655555556</v>
      </c>
      <c r="L1459" s="3" t="n">
        <v>90</v>
      </c>
      <c r="M1459" s="3" t="n">
        <v>90</v>
      </c>
      <c r="N1459" s="1" t="n">
        <v>16</v>
      </c>
      <c r="O1459" s="1" t="n">
        <v>1</v>
      </c>
    </row>
    <row r="1460" customFormat="false" ht="14.25" hidden="false" customHeight="false" outlineLevel="0" collapsed="false">
      <c r="A1460" s="1" t="n">
        <v>41</v>
      </c>
      <c r="B1460" s="1" t="s">
        <v>624</v>
      </c>
      <c r="C1460" s="1" t="s">
        <v>625</v>
      </c>
      <c r="D1460" s="196" t="n">
        <v>2568</v>
      </c>
      <c r="E1460" s="196" t="s">
        <v>51</v>
      </c>
      <c r="F1460" s="201" t="n">
        <v>200025888995</v>
      </c>
      <c r="G1460" s="198" t="s">
        <v>628</v>
      </c>
      <c r="H1460" s="163" t="s">
        <v>483</v>
      </c>
      <c r="I1460" s="161" t="n">
        <v>67</v>
      </c>
      <c r="J1460" s="156" t="s">
        <v>192</v>
      </c>
      <c r="K1460" s="200" t="n">
        <v>45451.5659722222</v>
      </c>
      <c r="L1460" s="3" t="n">
        <v>90</v>
      </c>
      <c r="M1460" s="3" t="n">
        <v>90</v>
      </c>
      <c r="N1460" s="1" t="n">
        <v>17</v>
      </c>
      <c r="O1460" s="1" t="n">
        <v>1</v>
      </c>
    </row>
    <row r="1461" customFormat="false" ht="14.25" hidden="false" customHeight="false" outlineLevel="0" collapsed="false">
      <c r="A1461" s="1" t="n">
        <v>19</v>
      </c>
      <c r="B1461" s="1" t="s">
        <v>637</v>
      </c>
      <c r="C1461" s="1" t="s">
        <v>638</v>
      </c>
      <c r="D1461" s="1" t="n">
        <v>21296</v>
      </c>
      <c r="E1461" s="1" t="s">
        <v>57</v>
      </c>
      <c r="F1461" s="201" t="n">
        <v>200025888995</v>
      </c>
      <c r="G1461" s="198" t="s">
        <v>628</v>
      </c>
      <c r="H1461" s="163" t="s">
        <v>483</v>
      </c>
      <c r="I1461" s="161" t="n">
        <v>67</v>
      </c>
      <c r="J1461" s="156" t="s">
        <v>192</v>
      </c>
      <c r="K1461" s="200" t="n">
        <v>45451.5699884259</v>
      </c>
      <c r="L1461" s="3" t="n">
        <v>90</v>
      </c>
      <c r="M1461" s="3" t="n">
        <v>90</v>
      </c>
      <c r="N1461" s="1" t="n">
        <v>18</v>
      </c>
      <c r="O1461" s="1" t="n">
        <v>1</v>
      </c>
    </row>
    <row r="1462" customFormat="false" ht="14.25" hidden="false" customHeight="false" outlineLevel="0" collapsed="false">
      <c r="A1462" s="1" t="n">
        <v>20</v>
      </c>
      <c r="B1462" s="1" t="s">
        <v>637</v>
      </c>
      <c r="C1462" s="1" t="s">
        <v>638</v>
      </c>
      <c r="D1462" s="1" t="n">
        <v>21296</v>
      </c>
      <c r="E1462" s="1" t="s">
        <v>57</v>
      </c>
      <c r="F1462" s="201" t="n">
        <v>200025888995</v>
      </c>
      <c r="G1462" s="198" t="s">
        <v>628</v>
      </c>
      <c r="H1462" s="163" t="s">
        <v>483</v>
      </c>
      <c r="I1462" s="161" t="n">
        <v>67</v>
      </c>
      <c r="J1462" s="156" t="s">
        <v>192</v>
      </c>
      <c r="K1462" s="200" t="n">
        <v>45451.57</v>
      </c>
      <c r="L1462" s="3" t="n">
        <v>90</v>
      </c>
      <c r="M1462" s="3" t="n">
        <v>90</v>
      </c>
      <c r="N1462" s="1" t="n">
        <v>19</v>
      </c>
      <c r="O1462" s="1" t="n">
        <v>1</v>
      </c>
    </row>
    <row r="1463" customFormat="false" ht="14.25" hidden="false" customHeight="false" outlineLevel="0" collapsed="false">
      <c r="A1463" s="1" t="n">
        <v>21</v>
      </c>
      <c r="B1463" s="1" t="s">
        <v>637</v>
      </c>
      <c r="C1463" s="1" t="s">
        <v>638</v>
      </c>
      <c r="D1463" s="1" t="n">
        <v>21296</v>
      </c>
      <c r="E1463" s="1" t="s">
        <v>57</v>
      </c>
      <c r="F1463" s="201" t="n">
        <v>200025888995</v>
      </c>
      <c r="G1463" s="198" t="s">
        <v>628</v>
      </c>
      <c r="H1463" s="163" t="s">
        <v>483</v>
      </c>
      <c r="I1463" s="161" t="n">
        <v>67</v>
      </c>
      <c r="J1463" s="156" t="s">
        <v>192</v>
      </c>
      <c r="K1463" s="200" t="n">
        <v>45451.6068287037</v>
      </c>
      <c r="L1463" s="3" t="n">
        <v>90</v>
      </c>
      <c r="M1463" s="3" t="n">
        <v>90</v>
      </c>
      <c r="N1463" s="1" t="n">
        <v>20</v>
      </c>
      <c r="O1463" s="10" t="n">
        <v>5707</v>
      </c>
    </row>
    <row r="1464" customFormat="false" ht="14.25" hidden="false" customHeight="false" outlineLevel="0" collapsed="false">
      <c r="A1464" s="1" t="n">
        <v>22</v>
      </c>
      <c r="B1464" s="1" t="s">
        <v>637</v>
      </c>
      <c r="C1464" s="1" t="s">
        <v>638</v>
      </c>
      <c r="D1464" s="1" t="n">
        <v>21296</v>
      </c>
      <c r="E1464" s="1" t="s">
        <v>57</v>
      </c>
      <c r="F1464" s="201" t="n">
        <v>200025888995</v>
      </c>
      <c r="G1464" s="198" t="s">
        <v>628</v>
      </c>
      <c r="H1464" s="163" t="s">
        <v>483</v>
      </c>
      <c r="I1464" s="161" t="n">
        <v>67</v>
      </c>
      <c r="J1464" s="156" t="s">
        <v>192</v>
      </c>
      <c r="K1464" s="200" t="n">
        <v>45451.6728819445</v>
      </c>
      <c r="L1464" s="3" t="n">
        <v>90</v>
      </c>
      <c r="M1464" s="3" t="n">
        <v>90</v>
      </c>
      <c r="N1464" s="1" t="n">
        <v>21</v>
      </c>
      <c r="O1464" s="1" t="n">
        <v>1</v>
      </c>
    </row>
    <row r="1465" customFormat="false" ht="14.25" hidden="false" customHeight="false" outlineLevel="0" collapsed="false">
      <c r="A1465" s="1" t="n">
        <v>23</v>
      </c>
      <c r="B1465" s="1" t="s">
        <v>637</v>
      </c>
      <c r="C1465" s="1" t="s">
        <v>638</v>
      </c>
      <c r="D1465" s="1" t="n">
        <v>21296</v>
      </c>
      <c r="E1465" s="1" t="s">
        <v>57</v>
      </c>
      <c r="F1465" s="201" t="n">
        <v>200025888995</v>
      </c>
      <c r="G1465" s="198" t="s">
        <v>628</v>
      </c>
      <c r="H1465" s="163" t="s">
        <v>483</v>
      </c>
      <c r="I1465" s="161" t="n">
        <v>67</v>
      </c>
      <c r="J1465" s="156" t="s">
        <v>192</v>
      </c>
      <c r="K1465" s="200" t="n">
        <v>45451.6728935185</v>
      </c>
      <c r="L1465" s="3" t="n">
        <v>90</v>
      </c>
      <c r="M1465" s="3" t="n">
        <v>90</v>
      </c>
      <c r="N1465" s="1" t="n">
        <v>22</v>
      </c>
      <c r="O1465" s="1" t="n">
        <v>1</v>
      </c>
    </row>
    <row r="1466" customFormat="false" ht="14.25" hidden="false" customHeight="false" outlineLevel="0" collapsed="false">
      <c r="A1466" s="1" t="n">
        <v>24</v>
      </c>
      <c r="B1466" s="1" t="s">
        <v>637</v>
      </c>
      <c r="C1466" s="1" t="s">
        <v>638</v>
      </c>
      <c r="D1466" s="1" t="n">
        <v>21296</v>
      </c>
      <c r="E1466" s="1" t="s">
        <v>57</v>
      </c>
      <c r="F1466" s="201" t="n">
        <v>200025888995</v>
      </c>
      <c r="G1466" s="198" t="s">
        <v>628</v>
      </c>
      <c r="H1466" s="163" t="s">
        <v>483</v>
      </c>
      <c r="I1466" s="161" t="n">
        <v>67</v>
      </c>
      <c r="J1466" s="156" t="s">
        <v>192</v>
      </c>
      <c r="K1466" s="200" t="n">
        <v>45451.6729050926</v>
      </c>
      <c r="L1466" s="3" t="n">
        <v>90</v>
      </c>
      <c r="M1466" s="3" t="n">
        <v>90</v>
      </c>
      <c r="N1466" s="1" t="n">
        <v>23</v>
      </c>
      <c r="O1466" s="1" t="n">
        <v>1</v>
      </c>
    </row>
    <row r="1467" customFormat="false" ht="14.25" hidden="false" customHeight="false" outlineLevel="0" collapsed="false">
      <c r="A1467" s="1" t="n">
        <v>25</v>
      </c>
      <c r="B1467" s="1" t="s">
        <v>637</v>
      </c>
      <c r="C1467" s="1" t="s">
        <v>638</v>
      </c>
      <c r="D1467" s="1" t="n">
        <v>21296</v>
      </c>
      <c r="E1467" s="1" t="s">
        <v>57</v>
      </c>
      <c r="F1467" s="201" t="n">
        <v>200025888995</v>
      </c>
      <c r="G1467" s="198" t="s">
        <v>628</v>
      </c>
      <c r="H1467" s="163" t="s">
        <v>483</v>
      </c>
      <c r="I1467" s="161" t="n">
        <v>67</v>
      </c>
      <c r="J1467" s="156" t="s">
        <v>192</v>
      </c>
      <c r="K1467" s="200" t="n">
        <v>45451.7208101852</v>
      </c>
      <c r="L1467" s="3" t="n">
        <v>90</v>
      </c>
      <c r="M1467" s="3" t="n">
        <v>90</v>
      </c>
      <c r="N1467" s="1" t="n">
        <v>24</v>
      </c>
      <c r="O1467" s="1" t="n">
        <v>1</v>
      </c>
    </row>
    <row r="1468" customFormat="false" ht="14.25" hidden="false" customHeight="false" outlineLevel="0" collapsed="false">
      <c r="A1468" s="1" t="n">
        <v>26</v>
      </c>
      <c r="B1468" s="1" t="s">
        <v>637</v>
      </c>
      <c r="C1468" s="1" t="s">
        <v>638</v>
      </c>
      <c r="D1468" s="1" t="n">
        <v>21296</v>
      </c>
      <c r="E1468" s="1" t="s">
        <v>57</v>
      </c>
      <c r="F1468" s="201" t="n">
        <v>200025888995</v>
      </c>
      <c r="G1468" s="198" t="s">
        <v>628</v>
      </c>
      <c r="H1468" s="163" t="s">
        <v>483</v>
      </c>
      <c r="I1468" s="161" t="n">
        <v>67</v>
      </c>
      <c r="J1468" s="156" t="s">
        <v>192</v>
      </c>
      <c r="K1468" s="200" t="n">
        <v>45451.7208333333</v>
      </c>
      <c r="L1468" s="3" t="n">
        <v>90</v>
      </c>
      <c r="M1468" s="3" t="n">
        <v>90</v>
      </c>
      <c r="N1468" s="1" t="n">
        <v>25</v>
      </c>
      <c r="O1468" s="1" t="n">
        <v>1</v>
      </c>
    </row>
    <row r="1469" customFormat="false" ht="14.25" hidden="false" customHeight="false" outlineLevel="0" collapsed="false">
      <c r="A1469" s="1" t="n">
        <v>27</v>
      </c>
      <c r="B1469" s="1" t="s">
        <v>637</v>
      </c>
      <c r="C1469" s="1" t="s">
        <v>638</v>
      </c>
      <c r="D1469" s="1" t="n">
        <v>21296</v>
      </c>
      <c r="E1469" s="1" t="s">
        <v>57</v>
      </c>
      <c r="F1469" s="201" t="n">
        <v>200025888995</v>
      </c>
      <c r="G1469" s="198" t="s">
        <v>628</v>
      </c>
      <c r="H1469" s="163" t="s">
        <v>483</v>
      </c>
      <c r="I1469" s="161" t="n">
        <v>67</v>
      </c>
      <c r="J1469" s="156" t="s">
        <v>192</v>
      </c>
      <c r="K1469" s="200" t="n">
        <v>45451.7216666667</v>
      </c>
      <c r="L1469" s="3" t="n">
        <v>90</v>
      </c>
      <c r="M1469" s="3" t="n">
        <v>90</v>
      </c>
      <c r="N1469" s="1" t="n">
        <v>26</v>
      </c>
      <c r="O1469" s="1" t="n">
        <v>1</v>
      </c>
    </row>
    <row r="1470" customFormat="false" ht="14.25" hidden="false" customHeight="false" outlineLevel="0" collapsed="false">
      <c r="A1470" s="1" t="n">
        <v>28</v>
      </c>
      <c r="B1470" s="1" t="s">
        <v>637</v>
      </c>
      <c r="C1470" s="1" t="s">
        <v>638</v>
      </c>
      <c r="D1470" s="1" t="n">
        <v>21296</v>
      </c>
      <c r="E1470" s="1" t="s">
        <v>57</v>
      </c>
      <c r="F1470" s="201" t="n">
        <v>200025888995</v>
      </c>
      <c r="G1470" s="198" t="s">
        <v>628</v>
      </c>
      <c r="H1470" s="163" t="s">
        <v>483</v>
      </c>
      <c r="I1470" s="161" t="n">
        <v>67</v>
      </c>
      <c r="J1470" s="156" t="s">
        <v>192</v>
      </c>
      <c r="K1470" s="200" t="n">
        <v>45451.7216898148</v>
      </c>
      <c r="L1470" s="3" t="n">
        <v>90</v>
      </c>
      <c r="M1470" s="3" t="n">
        <v>90</v>
      </c>
      <c r="N1470" s="1" t="n">
        <v>27</v>
      </c>
      <c r="O1470" s="1" t="n">
        <v>0</v>
      </c>
    </row>
    <row r="1471" customFormat="false" ht="14.25" hidden="false" customHeight="false" outlineLevel="0" collapsed="false">
      <c r="A1471" s="1" t="n">
        <v>68</v>
      </c>
      <c r="B1471" s="1" t="s">
        <v>565</v>
      </c>
      <c r="C1471" s="1" t="s">
        <v>566</v>
      </c>
      <c r="D1471" s="1" t="n">
        <v>11171</v>
      </c>
      <c r="E1471" s="1" t="s">
        <v>55</v>
      </c>
      <c r="F1471" s="198" t="n">
        <v>200025888995</v>
      </c>
      <c r="G1471" s="198" t="s">
        <v>628</v>
      </c>
      <c r="H1471" s="163" t="s">
        <v>483</v>
      </c>
      <c r="I1471" s="161" t="n">
        <v>67</v>
      </c>
      <c r="J1471" s="156" t="s">
        <v>192</v>
      </c>
      <c r="K1471" s="199" t="n">
        <v>45452.3809722222</v>
      </c>
      <c r="L1471" s="3" t="n">
        <v>90</v>
      </c>
      <c r="M1471" s="3" t="n">
        <v>90</v>
      </c>
      <c r="N1471" s="1" t="n">
        <v>28</v>
      </c>
      <c r="O1471" s="1" t="n">
        <v>2</v>
      </c>
    </row>
    <row r="1472" customFormat="false" ht="14.25" hidden="false" customHeight="false" outlineLevel="0" collapsed="false">
      <c r="A1472" s="1" t="n">
        <v>69</v>
      </c>
      <c r="B1472" s="1" t="s">
        <v>565</v>
      </c>
      <c r="C1472" s="1" t="s">
        <v>566</v>
      </c>
      <c r="D1472" s="1" t="n">
        <v>11171</v>
      </c>
      <c r="E1472" s="1" t="s">
        <v>55</v>
      </c>
      <c r="F1472" s="198" t="n">
        <v>200025888995</v>
      </c>
      <c r="G1472" s="198" t="s">
        <v>628</v>
      </c>
      <c r="H1472" s="163" t="s">
        <v>483</v>
      </c>
      <c r="I1472" s="161" t="n">
        <v>67</v>
      </c>
      <c r="J1472" s="156" t="s">
        <v>192</v>
      </c>
      <c r="K1472" s="199" t="n">
        <v>45452.3809953704</v>
      </c>
      <c r="L1472" s="3" t="n">
        <v>90</v>
      </c>
      <c r="M1472" s="3" t="n">
        <v>90</v>
      </c>
      <c r="N1472" s="1" t="n">
        <v>29</v>
      </c>
      <c r="O1472" s="1" t="n">
        <v>0</v>
      </c>
    </row>
    <row r="1473" customFormat="false" ht="14.25" hidden="false" customHeight="false" outlineLevel="0" collapsed="false">
      <c r="A1473" s="1" t="n">
        <v>70</v>
      </c>
      <c r="B1473" s="1" t="s">
        <v>565</v>
      </c>
      <c r="C1473" s="1" t="s">
        <v>566</v>
      </c>
      <c r="D1473" s="1" t="n">
        <v>11171</v>
      </c>
      <c r="E1473" s="1" t="s">
        <v>55</v>
      </c>
      <c r="F1473" s="198" t="n">
        <v>200025888995</v>
      </c>
      <c r="G1473" s="198" t="s">
        <v>628</v>
      </c>
      <c r="H1473" s="163" t="s">
        <v>483</v>
      </c>
      <c r="I1473" s="161" t="n">
        <v>67</v>
      </c>
      <c r="J1473" s="156" t="s">
        <v>192</v>
      </c>
      <c r="K1473" s="199" t="n">
        <v>45452.3809953704</v>
      </c>
      <c r="L1473" s="3" t="n">
        <v>90</v>
      </c>
      <c r="M1473" s="3" t="n">
        <v>90</v>
      </c>
      <c r="N1473" s="1" t="n">
        <v>30</v>
      </c>
      <c r="O1473" s="1" t="n">
        <v>1</v>
      </c>
    </row>
    <row r="1474" customFormat="false" ht="14.25" hidden="false" customHeight="false" outlineLevel="0" collapsed="false">
      <c r="A1474" s="1" t="n">
        <v>32</v>
      </c>
      <c r="B1474" s="1" t="s">
        <v>637</v>
      </c>
      <c r="C1474" s="1" t="s">
        <v>638</v>
      </c>
      <c r="D1474" s="1" t="n">
        <v>21296</v>
      </c>
      <c r="E1474" s="1" t="s">
        <v>57</v>
      </c>
      <c r="F1474" s="201" t="n">
        <v>200025888181</v>
      </c>
      <c r="G1474" s="198" t="s">
        <v>631</v>
      </c>
      <c r="H1474" s="163" t="s">
        <v>215</v>
      </c>
      <c r="I1474" s="161" t="n">
        <v>115</v>
      </c>
      <c r="J1474" s="156" t="s">
        <v>192</v>
      </c>
      <c r="K1474" s="200" t="n">
        <v>45452.277337963</v>
      </c>
      <c r="L1474" s="3" t="n">
        <v>91</v>
      </c>
      <c r="M1474" s="3" t="n">
        <v>91</v>
      </c>
      <c r="N1474" s="1" t="n">
        <v>1</v>
      </c>
      <c r="O1474" s="1" t="n">
        <v>0</v>
      </c>
    </row>
    <row r="1475" customFormat="false" ht="14.25" hidden="false" customHeight="false" outlineLevel="0" collapsed="false">
      <c r="A1475" s="1" t="n">
        <v>33</v>
      </c>
      <c r="B1475" s="1" t="s">
        <v>637</v>
      </c>
      <c r="C1475" s="1" t="s">
        <v>638</v>
      </c>
      <c r="D1475" s="1" t="n">
        <v>21296</v>
      </c>
      <c r="E1475" s="1" t="s">
        <v>57</v>
      </c>
      <c r="F1475" s="201" t="n">
        <v>200025888181</v>
      </c>
      <c r="G1475" s="198" t="s">
        <v>631</v>
      </c>
      <c r="H1475" s="163" t="s">
        <v>215</v>
      </c>
      <c r="I1475" s="161" t="n">
        <v>115</v>
      </c>
      <c r="J1475" s="156" t="s">
        <v>192</v>
      </c>
      <c r="K1475" s="200" t="n">
        <v>45452.2781018519</v>
      </c>
      <c r="L1475" s="3" t="n">
        <v>91</v>
      </c>
      <c r="M1475" s="3" t="n">
        <v>91</v>
      </c>
      <c r="N1475" s="1" t="n">
        <v>2</v>
      </c>
      <c r="O1475" s="1" t="n">
        <v>1</v>
      </c>
    </row>
    <row r="1476" customFormat="false" ht="14.25" hidden="false" customHeight="false" outlineLevel="0" collapsed="false">
      <c r="A1476" s="1" t="n">
        <v>48</v>
      </c>
      <c r="B1476" s="1" t="s">
        <v>624</v>
      </c>
      <c r="C1476" s="1" t="s">
        <v>625</v>
      </c>
      <c r="D1476" s="196" t="n">
        <v>2568</v>
      </c>
      <c r="E1476" s="196" t="s">
        <v>51</v>
      </c>
      <c r="F1476" s="201" t="n">
        <v>200025888181</v>
      </c>
      <c r="G1476" s="198" t="s">
        <v>631</v>
      </c>
      <c r="H1476" s="163" t="s">
        <v>215</v>
      </c>
      <c r="I1476" s="161" t="n">
        <v>115</v>
      </c>
      <c r="J1476" s="156" t="s">
        <v>192</v>
      </c>
      <c r="K1476" s="200" t="n">
        <v>45452.2856828704</v>
      </c>
      <c r="L1476" s="3" t="n">
        <v>91</v>
      </c>
      <c r="M1476" s="3" t="n">
        <v>91</v>
      </c>
      <c r="N1476" s="1" t="n">
        <v>3</v>
      </c>
      <c r="O1476" s="1" t="n">
        <v>1</v>
      </c>
    </row>
    <row r="1477" customFormat="false" ht="14.25" hidden="false" customHeight="false" outlineLevel="0" collapsed="false">
      <c r="A1477" s="1" t="n">
        <v>49</v>
      </c>
      <c r="B1477" s="1" t="s">
        <v>624</v>
      </c>
      <c r="C1477" s="1" t="s">
        <v>625</v>
      </c>
      <c r="D1477" s="196" t="n">
        <v>2568</v>
      </c>
      <c r="E1477" s="196" t="s">
        <v>51</v>
      </c>
      <c r="F1477" s="201" t="n">
        <v>200025888181</v>
      </c>
      <c r="G1477" s="198" t="s">
        <v>631</v>
      </c>
      <c r="H1477" s="163" t="s">
        <v>215</v>
      </c>
      <c r="I1477" s="161" t="n">
        <v>115</v>
      </c>
      <c r="J1477" s="156" t="s">
        <v>192</v>
      </c>
      <c r="K1477" s="200" t="n">
        <v>45452.2900578704</v>
      </c>
      <c r="L1477" s="3" t="n">
        <v>91</v>
      </c>
      <c r="M1477" s="3" t="n">
        <v>91</v>
      </c>
      <c r="N1477" s="1" t="n">
        <v>4</v>
      </c>
      <c r="O1477" s="1" t="n">
        <v>1</v>
      </c>
    </row>
    <row r="1478" customFormat="false" ht="14.25" hidden="false" customHeight="false" outlineLevel="0" collapsed="false">
      <c r="A1478" s="1" t="n">
        <v>79</v>
      </c>
      <c r="B1478" s="1" t="s">
        <v>565</v>
      </c>
      <c r="C1478" s="1" t="s">
        <v>566</v>
      </c>
      <c r="D1478" s="1" t="n">
        <v>11171</v>
      </c>
      <c r="E1478" s="1" t="s">
        <v>55</v>
      </c>
      <c r="F1478" s="198" t="n">
        <v>200025888181</v>
      </c>
      <c r="G1478" s="198" t="s">
        <v>631</v>
      </c>
      <c r="H1478" s="163" t="s">
        <v>215</v>
      </c>
      <c r="I1478" s="161" t="n">
        <v>115</v>
      </c>
      <c r="J1478" s="156" t="s">
        <v>192</v>
      </c>
      <c r="K1478" s="199" t="n">
        <v>45452.4097569444</v>
      </c>
      <c r="L1478" s="3" t="n">
        <v>91</v>
      </c>
      <c r="M1478" s="3" t="n">
        <v>91</v>
      </c>
      <c r="N1478" s="1" t="n">
        <v>5</v>
      </c>
      <c r="O1478" s="1" t="n">
        <v>0</v>
      </c>
    </row>
    <row r="1479" customFormat="false" ht="14.25" hidden="false" customHeight="false" outlineLevel="0" collapsed="false">
      <c r="A1479" s="1" t="n">
        <v>83</v>
      </c>
      <c r="B1479" s="1" t="s">
        <v>565</v>
      </c>
      <c r="C1479" s="1" t="s">
        <v>566</v>
      </c>
      <c r="D1479" s="1" t="n">
        <v>11171</v>
      </c>
      <c r="E1479" s="1" t="s">
        <v>55</v>
      </c>
      <c r="F1479" s="198" t="n">
        <v>200025888181</v>
      </c>
      <c r="G1479" s="198" t="s">
        <v>631</v>
      </c>
      <c r="H1479" s="163" t="s">
        <v>215</v>
      </c>
      <c r="I1479" s="161" t="n">
        <v>115</v>
      </c>
      <c r="J1479" s="156" t="s">
        <v>192</v>
      </c>
      <c r="K1479" s="199" t="n">
        <v>45452.4552777778</v>
      </c>
      <c r="L1479" s="3" t="n">
        <v>91</v>
      </c>
      <c r="M1479" s="3" t="n">
        <v>91</v>
      </c>
      <c r="N1479" s="1" t="n">
        <v>6</v>
      </c>
      <c r="O1479" s="1" t="n">
        <v>1</v>
      </c>
    </row>
    <row r="1480" customFormat="false" ht="14.25" hidden="false" customHeight="false" outlineLevel="0" collapsed="false">
      <c r="A1480" s="1" t="n">
        <v>84</v>
      </c>
      <c r="B1480" s="1" t="s">
        <v>565</v>
      </c>
      <c r="C1480" s="1" t="s">
        <v>566</v>
      </c>
      <c r="D1480" s="1" t="n">
        <v>11171</v>
      </c>
      <c r="E1480" s="1" t="s">
        <v>55</v>
      </c>
      <c r="F1480" s="198" t="n">
        <v>200025888181</v>
      </c>
      <c r="G1480" s="198" t="s">
        <v>631</v>
      </c>
      <c r="H1480" s="163" t="s">
        <v>215</v>
      </c>
      <c r="I1480" s="161" t="n">
        <v>115</v>
      </c>
      <c r="J1480" s="156" t="s">
        <v>192</v>
      </c>
      <c r="K1480" s="199" t="n">
        <v>45452.4553009259</v>
      </c>
      <c r="L1480" s="3" t="n">
        <v>91</v>
      </c>
      <c r="M1480" s="3" t="n">
        <v>91</v>
      </c>
      <c r="N1480" s="1" t="n">
        <v>7</v>
      </c>
      <c r="O1480" s="1" t="n">
        <v>0</v>
      </c>
    </row>
    <row r="1481" customFormat="false" ht="14.25" hidden="false" customHeight="false" outlineLevel="0" collapsed="false">
      <c r="A1481" s="1" t="n">
        <v>85</v>
      </c>
      <c r="B1481" s="1" t="s">
        <v>565</v>
      </c>
      <c r="C1481" s="1" t="s">
        <v>566</v>
      </c>
      <c r="D1481" s="1" t="n">
        <v>11171</v>
      </c>
      <c r="E1481" s="1" t="s">
        <v>55</v>
      </c>
      <c r="F1481" s="198" t="n">
        <v>200025888181</v>
      </c>
      <c r="G1481" s="198" t="s">
        <v>631</v>
      </c>
      <c r="H1481" s="163" t="s">
        <v>215</v>
      </c>
      <c r="I1481" s="161" t="n">
        <v>115</v>
      </c>
      <c r="J1481" s="156" t="s">
        <v>192</v>
      </c>
      <c r="K1481" s="199" t="n">
        <v>45452.4565625</v>
      </c>
      <c r="L1481" s="3" t="n">
        <v>91</v>
      </c>
      <c r="M1481" s="3" t="n">
        <v>91</v>
      </c>
      <c r="N1481" s="1" t="n">
        <v>8</v>
      </c>
      <c r="O1481" s="1" t="n">
        <v>2</v>
      </c>
    </row>
    <row r="1482" customFormat="false" ht="14.25" hidden="false" customHeight="false" outlineLevel="0" collapsed="false">
      <c r="A1482" s="1" t="n">
        <v>86</v>
      </c>
      <c r="B1482" s="1" t="s">
        <v>565</v>
      </c>
      <c r="C1482" s="1" t="s">
        <v>566</v>
      </c>
      <c r="D1482" s="1" t="n">
        <v>11171</v>
      </c>
      <c r="E1482" s="1" t="s">
        <v>55</v>
      </c>
      <c r="F1482" s="198" t="n">
        <v>200025888181</v>
      </c>
      <c r="G1482" s="198" t="s">
        <v>631</v>
      </c>
      <c r="H1482" s="163" t="s">
        <v>215</v>
      </c>
      <c r="I1482" s="161" t="n">
        <v>115</v>
      </c>
      <c r="J1482" s="156" t="s">
        <v>192</v>
      </c>
      <c r="K1482" s="199" t="n">
        <v>45452.4575810185</v>
      </c>
      <c r="L1482" s="3" t="n">
        <v>91</v>
      </c>
      <c r="M1482" s="3" t="n">
        <v>91</v>
      </c>
      <c r="N1482" s="1" t="n">
        <v>9</v>
      </c>
      <c r="O1482" s="1" t="n">
        <v>1</v>
      </c>
    </row>
    <row r="1483" customFormat="false" ht="14.25" hidden="false" customHeight="false" outlineLevel="0" collapsed="false">
      <c r="A1483" s="1" t="n">
        <v>113</v>
      </c>
      <c r="B1483" s="1" t="s">
        <v>702</v>
      </c>
      <c r="C1483" s="1" t="s">
        <v>703</v>
      </c>
      <c r="D1483" s="1" t="n">
        <v>11197</v>
      </c>
      <c r="E1483" s="1" t="s">
        <v>53</v>
      </c>
      <c r="F1483" s="201" t="n">
        <v>200025888181</v>
      </c>
      <c r="G1483" s="198" t="s">
        <v>631</v>
      </c>
      <c r="H1483" s="163" t="s">
        <v>215</v>
      </c>
      <c r="I1483" s="161" t="n">
        <v>115</v>
      </c>
      <c r="J1483" s="156" t="s">
        <v>192</v>
      </c>
      <c r="K1483" s="200" t="n">
        <v>45452.4583333333</v>
      </c>
      <c r="L1483" s="3" t="n">
        <v>91</v>
      </c>
      <c r="M1483" s="3" t="n">
        <v>91</v>
      </c>
      <c r="N1483" s="1" t="n">
        <v>10</v>
      </c>
      <c r="O1483" s="1" t="n">
        <v>1</v>
      </c>
    </row>
    <row r="1484" customFormat="false" ht="14.25" hidden="false" customHeight="false" outlineLevel="0" collapsed="false">
      <c r="A1484" s="1" t="n">
        <v>114</v>
      </c>
      <c r="B1484" s="1" t="s">
        <v>702</v>
      </c>
      <c r="C1484" s="1" t="s">
        <v>703</v>
      </c>
      <c r="D1484" s="1" t="n">
        <v>11197</v>
      </c>
      <c r="E1484" s="1" t="s">
        <v>53</v>
      </c>
      <c r="F1484" s="201" t="n">
        <v>200025888181</v>
      </c>
      <c r="G1484" s="198" t="s">
        <v>631</v>
      </c>
      <c r="H1484" s="163" t="s">
        <v>215</v>
      </c>
      <c r="I1484" s="161" t="n">
        <v>115</v>
      </c>
      <c r="J1484" s="156" t="s">
        <v>192</v>
      </c>
      <c r="K1484" s="200" t="n">
        <v>45452.4587152778</v>
      </c>
      <c r="L1484" s="3" t="n">
        <v>91</v>
      </c>
      <c r="M1484" s="3" t="n">
        <v>91</v>
      </c>
      <c r="N1484" s="1" t="n">
        <v>11</v>
      </c>
      <c r="O1484" s="1" t="n">
        <v>2</v>
      </c>
    </row>
    <row r="1485" customFormat="false" ht="14.25" hidden="false" customHeight="false" outlineLevel="0" collapsed="false">
      <c r="A1485" s="1" t="n">
        <v>115</v>
      </c>
      <c r="B1485" s="1" t="s">
        <v>702</v>
      </c>
      <c r="C1485" s="1" t="s">
        <v>703</v>
      </c>
      <c r="D1485" s="1" t="n">
        <v>11197</v>
      </c>
      <c r="E1485" s="1" t="s">
        <v>53</v>
      </c>
      <c r="F1485" s="201" t="n">
        <v>200025888181</v>
      </c>
      <c r="G1485" s="198" t="s">
        <v>631</v>
      </c>
      <c r="H1485" s="163" t="s">
        <v>215</v>
      </c>
      <c r="I1485" s="161" t="n">
        <v>115</v>
      </c>
      <c r="J1485" s="156" t="s">
        <v>192</v>
      </c>
      <c r="K1485" s="200" t="n">
        <v>45452.4590393519</v>
      </c>
      <c r="L1485" s="3" t="n">
        <v>91</v>
      </c>
      <c r="M1485" s="3" t="n">
        <v>91</v>
      </c>
      <c r="N1485" s="1" t="n">
        <v>12</v>
      </c>
      <c r="O1485" s="1" t="n">
        <v>6</v>
      </c>
    </row>
    <row r="1486" customFormat="false" ht="14.25" hidden="false" customHeight="false" outlineLevel="0" collapsed="false">
      <c r="A1486" s="1" t="n">
        <v>116</v>
      </c>
      <c r="B1486" s="1" t="s">
        <v>702</v>
      </c>
      <c r="C1486" s="1" t="s">
        <v>703</v>
      </c>
      <c r="D1486" s="1" t="n">
        <v>11197</v>
      </c>
      <c r="E1486" s="1" t="s">
        <v>53</v>
      </c>
      <c r="F1486" s="201" t="n">
        <v>200025888181</v>
      </c>
      <c r="G1486" s="198" t="s">
        <v>631</v>
      </c>
      <c r="H1486" s="163" t="s">
        <v>215</v>
      </c>
      <c r="I1486" s="161" t="n">
        <v>115</v>
      </c>
      <c r="J1486" s="156" t="s">
        <v>192</v>
      </c>
      <c r="K1486" s="200" t="n">
        <v>45452.4598611111</v>
      </c>
      <c r="L1486" s="3" t="n">
        <v>91</v>
      </c>
      <c r="M1486" s="3" t="n">
        <v>91</v>
      </c>
      <c r="N1486" s="1" t="n">
        <v>13</v>
      </c>
      <c r="O1486" s="1" t="n">
        <v>2</v>
      </c>
    </row>
    <row r="1487" customFormat="false" ht="14.25" hidden="false" customHeight="false" outlineLevel="0" collapsed="false">
      <c r="A1487" s="1" t="n">
        <v>99</v>
      </c>
      <c r="B1487" s="1" t="s">
        <v>565</v>
      </c>
      <c r="C1487" s="1" t="s">
        <v>566</v>
      </c>
      <c r="D1487" s="1" t="n">
        <v>11171</v>
      </c>
      <c r="E1487" s="1" t="s">
        <v>55</v>
      </c>
      <c r="F1487" s="198" t="n">
        <v>200025888181</v>
      </c>
      <c r="G1487" s="198" t="s">
        <v>631</v>
      </c>
      <c r="H1487" s="163" t="s">
        <v>215</v>
      </c>
      <c r="I1487" s="161" t="n">
        <v>115</v>
      </c>
      <c r="J1487" s="156" t="s">
        <v>192</v>
      </c>
      <c r="K1487" s="199" t="n">
        <v>45452.4921296296</v>
      </c>
      <c r="L1487" s="3" t="n">
        <v>91</v>
      </c>
      <c r="M1487" s="3" t="n">
        <v>91</v>
      </c>
      <c r="N1487" s="1" t="n">
        <v>14</v>
      </c>
      <c r="O1487" s="1" t="n">
        <v>1</v>
      </c>
    </row>
    <row r="1488" customFormat="false" ht="14.25" hidden="false" customHeight="false" outlineLevel="0" collapsed="false">
      <c r="A1488" s="1" t="n">
        <v>100</v>
      </c>
      <c r="B1488" s="1" t="s">
        <v>565</v>
      </c>
      <c r="C1488" s="1" t="s">
        <v>566</v>
      </c>
      <c r="D1488" s="1" t="n">
        <v>11171</v>
      </c>
      <c r="E1488" s="1" t="s">
        <v>55</v>
      </c>
      <c r="F1488" s="198" t="n">
        <v>200025888181</v>
      </c>
      <c r="G1488" s="198" t="s">
        <v>631</v>
      </c>
      <c r="H1488" s="163" t="s">
        <v>215</v>
      </c>
      <c r="I1488" s="161" t="n">
        <v>115</v>
      </c>
      <c r="J1488" s="156" t="s">
        <v>192</v>
      </c>
      <c r="K1488" s="199" t="n">
        <v>45452.4946412037</v>
      </c>
      <c r="L1488" s="3" t="n">
        <v>91</v>
      </c>
      <c r="M1488" s="3" t="n">
        <v>91</v>
      </c>
      <c r="N1488" s="1" t="n">
        <v>15</v>
      </c>
      <c r="O1488" s="1" t="n">
        <v>1</v>
      </c>
    </row>
    <row r="1489" customFormat="false" ht="14.25" hidden="false" customHeight="false" outlineLevel="0" collapsed="false">
      <c r="A1489" s="1" t="n">
        <v>101</v>
      </c>
      <c r="B1489" s="1" t="s">
        <v>565</v>
      </c>
      <c r="C1489" s="1" t="s">
        <v>566</v>
      </c>
      <c r="D1489" s="1" t="n">
        <v>11171</v>
      </c>
      <c r="E1489" s="1" t="s">
        <v>55</v>
      </c>
      <c r="F1489" s="198" t="n">
        <v>200025888181</v>
      </c>
      <c r="G1489" s="198" t="s">
        <v>631</v>
      </c>
      <c r="H1489" s="163" t="s">
        <v>215</v>
      </c>
      <c r="I1489" s="161" t="n">
        <v>115</v>
      </c>
      <c r="J1489" s="156" t="s">
        <v>192</v>
      </c>
      <c r="K1489" s="199" t="n">
        <v>45452.4957523148</v>
      </c>
      <c r="L1489" s="3" t="n">
        <v>91</v>
      </c>
      <c r="M1489" s="3" t="n">
        <v>91</v>
      </c>
      <c r="N1489" s="1" t="n">
        <v>16</v>
      </c>
      <c r="O1489" s="1" t="n">
        <v>1</v>
      </c>
    </row>
    <row r="1490" customFormat="false" ht="14.25" hidden="false" customHeight="false" outlineLevel="0" collapsed="false">
      <c r="A1490" s="1" t="n">
        <v>102</v>
      </c>
      <c r="B1490" s="1" t="s">
        <v>565</v>
      </c>
      <c r="C1490" s="1" t="s">
        <v>566</v>
      </c>
      <c r="D1490" s="1" t="n">
        <v>11171</v>
      </c>
      <c r="E1490" s="1" t="s">
        <v>55</v>
      </c>
      <c r="F1490" s="198" t="n">
        <v>200025888181</v>
      </c>
      <c r="G1490" s="198" t="s">
        <v>631</v>
      </c>
      <c r="H1490" s="163" t="s">
        <v>215</v>
      </c>
      <c r="I1490" s="161" t="n">
        <v>115</v>
      </c>
      <c r="J1490" s="156" t="s">
        <v>192</v>
      </c>
      <c r="K1490" s="199" t="n">
        <v>45452.4959259259</v>
      </c>
      <c r="L1490" s="3" t="n">
        <v>91</v>
      </c>
      <c r="M1490" s="3" t="n">
        <v>91</v>
      </c>
      <c r="N1490" s="1" t="n">
        <v>17</v>
      </c>
      <c r="O1490" s="1" t="n">
        <v>1</v>
      </c>
    </row>
    <row r="1491" customFormat="false" ht="14.25" hidden="false" customHeight="false" outlineLevel="0" collapsed="false">
      <c r="A1491" s="1" t="n">
        <v>103</v>
      </c>
      <c r="B1491" s="1" t="s">
        <v>565</v>
      </c>
      <c r="C1491" s="1" t="s">
        <v>566</v>
      </c>
      <c r="D1491" s="1" t="n">
        <v>11171</v>
      </c>
      <c r="E1491" s="1" t="s">
        <v>55</v>
      </c>
      <c r="F1491" s="198" t="n">
        <v>200025888181</v>
      </c>
      <c r="G1491" s="198" t="s">
        <v>631</v>
      </c>
      <c r="H1491" s="163" t="s">
        <v>215</v>
      </c>
      <c r="I1491" s="161" t="n">
        <v>115</v>
      </c>
      <c r="J1491" s="156" t="s">
        <v>192</v>
      </c>
      <c r="K1491" s="199" t="n">
        <v>45452.4960416667</v>
      </c>
      <c r="L1491" s="3" t="n">
        <v>91</v>
      </c>
      <c r="M1491" s="3" t="n">
        <v>91</v>
      </c>
      <c r="N1491" s="1" t="n">
        <v>18</v>
      </c>
      <c r="O1491" s="1" t="n">
        <v>1</v>
      </c>
    </row>
    <row r="1492" customFormat="false" ht="14.25" hidden="false" customHeight="false" outlineLevel="0" collapsed="false">
      <c r="A1492" s="1" t="n">
        <v>105</v>
      </c>
      <c r="B1492" s="1" t="s">
        <v>565</v>
      </c>
      <c r="C1492" s="1" t="s">
        <v>566</v>
      </c>
      <c r="D1492" s="1" t="n">
        <v>11171</v>
      </c>
      <c r="E1492" s="1" t="s">
        <v>55</v>
      </c>
      <c r="F1492" s="198" t="n">
        <v>200025888181</v>
      </c>
      <c r="G1492" s="198" t="s">
        <v>631</v>
      </c>
      <c r="H1492" s="163" t="s">
        <v>215</v>
      </c>
      <c r="I1492" s="161" t="n">
        <v>115</v>
      </c>
      <c r="J1492" s="156" t="s">
        <v>192</v>
      </c>
      <c r="K1492" s="199" t="n">
        <v>45452.5016550926</v>
      </c>
      <c r="L1492" s="3" t="n">
        <v>91</v>
      </c>
      <c r="M1492" s="3" t="n">
        <v>91</v>
      </c>
      <c r="N1492" s="1" t="n">
        <v>19</v>
      </c>
      <c r="O1492" s="1" t="n">
        <v>2</v>
      </c>
    </row>
    <row r="1493" customFormat="false" ht="14.25" hidden="false" customHeight="false" outlineLevel="0" collapsed="false">
      <c r="A1493" s="1" t="n">
        <v>106</v>
      </c>
      <c r="B1493" s="1" t="s">
        <v>565</v>
      </c>
      <c r="C1493" s="1" t="s">
        <v>566</v>
      </c>
      <c r="D1493" s="1" t="n">
        <v>11171</v>
      </c>
      <c r="E1493" s="1" t="s">
        <v>55</v>
      </c>
      <c r="F1493" s="198" t="n">
        <v>200025888181</v>
      </c>
      <c r="G1493" s="198" t="s">
        <v>631</v>
      </c>
      <c r="H1493" s="163" t="s">
        <v>215</v>
      </c>
      <c r="I1493" s="161" t="n">
        <v>115</v>
      </c>
      <c r="J1493" s="156" t="s">
        <v>192</v>
      </c>
      <c r="K1493" s="199" t="n">
        <v>45452.501875</v>
      </c>
      <c r="L1493" s="3" t="n">
        <v>91</v>
      </c>
      <c r="M1493" s="3" t="n">
        <v>91</v>
      </c>
      <c r="N1493" s="1" t="n">
        <v>20</v>
      </c>
      <c r="O1493" s="1" t="n">
        <v>1</v>
      </c>
    </row>
    <row r="1494" customFormat="false" ht="14.25" hidden="false" customHeight="false" outlineLevel="0" collapsed="false">
      <c r="A1494" s="1" t="n">
        <v>107</v>
      </c>
      <c r="B1494" s="1" t="s">
        <v>565</v>
      </c>
      <c r="C1494" s="1" t="s">
        <v>566</v>
      </c>
      <c r="D1494" s="1" t="n">
        <v>11171</v>
      </c>
      <c r="E1494" s="1" t="s">
        <v>55</v>
      </c>
      <c r="F1494" s="198" t="n">
        <v>200025888181</v>
      </c>
      <c r="G1494" s="198" t="s">
        <v>631</v>
      </c>
      <c r="H1494" s="163" t="s">
        <v>215</v>
      </c>
      <c r="I1494" s="161" t="n">
        <v>115</v>
      </c>
      <c r="J1494" s="156" t="s">
        <v>192</v>
      </c>
      <c r="K1494" s="199" t="n">
        <v>45452.5041203704</v>
      </c>
      <c r="L1494" s="3" t="n">
        <v>91</v>
      </c>
      <c r="M1494" s="3" t="n">
        <v>91</v>
      </c>
      <c r="N1494" s="1" t="n">
        <v>21</v>
      </c>
      <c r="O1494" s="1" t="n">
        <v>1</v>
      </c>
    </row>
    <row r="1495" customFormat="false" ht="14.25" hidden="false" customHeight="false" outlineLevel="0" collapsed="false">
      <c r="A1495" s="1" t="n">
        <v>108</v>
      </c>
      <c r="B1495" s="1" t="s">
        <v>565</v>
      </c>
      <c r="C1495" s="1" t="s">
        <v>566</v>
      </c>
      <c r="D1495" s="1" t="n">
        <v>11171</v>
      </c>
      <c r="E1495" s="1" t="s">
        <v>55</v>
      </c>
      <c r="F1495" s="198" t="n">
        <v>200025888181</v>
      </c>
      <c r="G1495" s="198" t="s">
        <v>631</v>
      </c>
      <c r="H1495" s="163" t="s">
        <v>215</v>
      </c>
      <c r="I1495" s="161" t="n">
        <v>115</v>
      </c>
      <c r="J1495" s="156" t="s">
        <v>192</v>
      </c>
      <c r="K1495" s="199" t="n">
        <v>45452.5042592593</v>
      </c>
      <c r="L1495" s="3" t="n">
        <v>91</v>
      </c>
      <c r="M1495" s="3" t="n">
        <v>91</v>
      </c>
      <c r="N1495" s="1" t="n">
        <v>22</v>
      </c>
      <c r="O1495" s="1" t="n">
        <v>1</v>
      </c>
    </row>
    <row r="1496" customFormat="false" ht="14.25" hidden="false" customHeight="false" outlineLevel="0" collapsed="false">
      <c r="A1496" s="1" t="n">
        <v>109</v>
      </c>
      <c r="B1496" s="1" t="s">
        <v>565</v>
      </c>
      <c r="C1496" s="1" t="s">
        <v>566</v>
      </c>
      <c r="D1496" s="1" t="n">
        <v>11171</v>
      </c>
      <c r="E1496" s="1" t="s">
        <v>55</v>
      </c>
      <c r="F1496" s="198" t="n">
        <v>200025888181</v>
      </c>
      <c r="G1496" s="198" t="s">
        <v>631</v>
      </c>
      <c r="H1496" s="163" t="s">
        <v>215</v>
      </c>
      <c r="I1496" s="161" t="n">
        <v>115</v>
      </c>
      <c r="J1496" s="156" t="s">
        <v>192</v>
      </c>
      <c r="K1496" s="199" t="n">
        <v>45452.504375</v>
      </c>
      <c r="L1496" s="3" t="n">
        <v>91</v>
      </c>
      <c r="M1496" s="3" t="n">
        <v>91</v>
      </c>
      <c r="N1496" s="1" t="n">
        <v>23</v>
      </c>
      <c r="O1496" s="1" t="n">
        <v>1</v>
      </c>
    </row>
    <row r="1497" customFormat="false" ht="14.25" hidden="false" customHeight="false" outlineLevel="0" collapsed="false">
      <c r="A1497" s="1" t="n">
        <v>110</v>
      </c>
      <c r="B1497" s="1" t="s">
        <v>565</v>
      </c>
      <c r="C1497" s="1" t="s">
        <v>566</v>
      </c>
      <c r="D1497" s="1" t="n">
        <v>11171</v>
      </c>
      <c r="E1497" s="1" t="s">
        <v>55</v>
      </c>
      <c r="F1497" s="198" t="n">
        <v>200025888181</v>
      </c>
      <c r="G1497" s="198" t="s">
        <v>631</v>
      </c>
      <c r="H1497" s="163" t="s">
        <v>215</v>
      </c>
      <c r="I1497" s="161" t="n">
        <v>115</v>
      </c>
      <c r="J1497" s="156" t="s">
        <v>192</v>
      </c>
      <c r="K1497" s="199" t="n">
        <v>45452.5049421296</v>
      </c>
      <c r="L1497" s="3" t="n">
        <v>91</v>
      </c>
      <c r="M1497" s="3" t="n">
        <v>91</v>
      </c>
      <c r="N1497" s="1" t="n">
        <v>24</v>
      </c>
      <c r="O1497" s="1" t="n">
        <v>2</v>
      </c>
    </row>
    <row r="1498" customFormat="false" ht="14.25" hidden="false" customHeight="false" outlineLevel="0" collapsed="false">
      <c r="A1498" s="1" t="n">
        <v>111</v>
      </c>
      <c r="B1498" s="1" t="s">
        <v>565</v>
      </c>
      <c r="C1498" s="1" t="s">
        <v>566</v>
      </c>
      <c r="D1498" s="1" t="n">
        <v>11171</v>
      </c>
      <c r="E1498" s="1" t="s">
        <v>55</v>
      </c>
      <c r="F1498" s="198" t="n">
        <v>200025888181</v>
      </c>
      <c r="G1498" s="198" t="s">
        <v>631</v>
      </c>
      <c r="H1498" s="163" t="s">
        <v>215</v>
      </c>
      <c r="I1498" s="161" t="n">
        <v>115</v>
      </c>
      <c r="J1498" s="156" t="s">
        <v>192</v>
      </c>
      <c r="K1498" s="199" t="n">
        <v>45452.5064814815</v>
      </c>
      <c r="L1498" s="3" t="n">
        <v>91</v>
      </c>
      <c r="M1498" s="3" t="n">
        <v>91</v>
      </c>
      <c r="N1498" s="1" t="n">
        <v>25</v>
      </c>
      <c r="O1498" s="1" t="n">
        <v>1</v>
      </c>
    </row>
    <row r="1499" customFormat="false" ht="14.25" hidden="false" customHeight="false" outlineLevel="0" collapsed="false">
      <c r="A1499" s="1" t="n">
        <v>124</v>
      </c>
      <c r="B1499" s="1" t="s">
        <v>702</v>
      </c>
      <c r="C1499" s="1" t="s">
        <v>703</v>
      </c>
      <c r="D1499" s="1" t="n">
        <v>11197</v>
      </c>
      <c r="E1499" s="1" t="s">
        <v>53</v>
      </c>
      <c r="F1499" s="201" t="n">
        <v>200025888181</v>
      </c>
      <c r="G1499" s="198" t="s">
        <v>631</v>
      </c>
      <c r="H1499" s="163" t="s">
        <v>215</v>
      </c>
      <c r="I1499" s="161" t="n">
        <v>115</v>
      </c>
      <c r="J1499" s="156" t="s">
        <v>192</v>
      </c>
      <c r="K1499" s="200" t="n">
        <v>45452.5247106482</v>
      </c>
      <c r="L1499" s="3" t="n">
        <v>91</v>
      </c>
      <c r="M1499" s="3" t="n">
        <v>91</v>
      </c>
      <c r="N1499" s="1" t="n">
        <v>26</v>
      </c>
      <c r="O1499" s="1" t="n">
        <v>1</v>
      </c>
    </row>
    <row r="1500" customFormat="false" ht="14.25" hidden="false" customHeight="false" outlineLevel="0" collapsed="false">
      <c r="A1500" s="1" t="n">
        <v>118</v>
      </c>
      <c r="B1500" s="1" t="s">
        <v>565</v>
      </c>
      <c r="C1500" s="1" t="s">
        <v>566</v>
      </c>
      <c r="D1500" s="1" t="n">
        <v>11171</v>
      </c>
      <c r="E1500" s="1" t="s">
        <v>55</v>
      </c>
      <c r="F1500" s="198" t="n">
        <v>200025888181</v>
      </c>
      <c r="G1500" s="198" t="s">
        <v>631</v>
      </c>
      <c r="H1500" s="163" t="s">
        <v>215</v>
      </c>
      <c r="I1500" s="161" t="n">
        <v>115</v>
      </c>
      <c r="J1500" s="156" t="s">
        <v>192</v>
      </c>
      <c r="K1500" s="199" t="n">
        <v>45452.5572337963</v>
      </c>
      <c r="L1500" s="3" t="n">
        <v>91</v>
      </c>
      <c r="M1500" s="3" t="n">
        <v>91</v>
      </c>
      <c r="N1500" s="1" t="n">
        <v>27</v>
      </c>
      <c r="O1500" s="1" t="n">
        <v>1</v>
      </c>
    </row>
    <row r="1501" customFormat="false" ht="14.25" hidden="false" customHeight="false" outlineLevel="0" collapsed="false">
      <c r="A1501" s="1" t="n">
        <v>138</v>
      </c>
      <c r="B1501" s="1" t="s">
        <v>702</v>
      </c>
      <c r="C1501" s="1" t="s">
        <v>703</v>
      </c>
      <c r="D1501" s="1" t="n">
        <v>11197</v>
      </c>
      <c r="E1501" s="1" t="s">
        <v>53</v>
      </c>
      <c r="F1501" s="201" t="n">
        <v>200025888181</v>
      </c>
      <c r="G1501" s="198" t="s">
        <v>631</v>
      </c>
      <c r="H1501" s="163" t="s">
        <v>215</v>
      </c>
      <c r="I1501" s="161" t="n">
        <v>115</v>
      </c>
      <c r="J1501" s="156" t="s">
        <v>192</v>
      </c>
      <c r="K1501" s="200" t="n">
        <v>45452.5620717593</v>
      </c>
      <c r="L1501" s="3" t="n">
        <v>91</v>
      </c>
      <c r="M1501" s="3" t="n">
        <v>91</v>
      </c>
      <c r="N1501" s="1" t="n">
        <v>28</v>
      </c>
      <c r="O1501" s="1" t="n">
        <v>1</v>
      </c>
    </row>
    <row r="1502" customFormat="false" ht="14.25" hidden="false" customHeight="false" outlineLevel="0" collapsed="false">
      <c r="A1502" s="1" t="n">
        <v>139</v>
      </c>
      <c r="B1502" s="1" t="s">
        <v>702</v>
      </c>
      <c r="C1502" s="1" t="s">
        <v>703</v>
      </c>
      <c r="D1502" s="1" t="n">
        <v>11197</v>
      </c>
      <c r="E1502" s="1" t="s">
        <v>53</v>
      </c>
      <c r="F1502" s="201" t="n">
        <v>200025888181</v>
      </c>
      <c r="G1502" s="198" t="s">
        <v>631</v>
      </c>
      <c r="H1502" s="163" t="s">
        <v>215</v>
      </c>
      <c r="I1502" s="161" t="n">
        <v>115</v>
      </c>
      <c r="J1502" s="156" t="s">
        <v>192</v>
      </c>
      <c r="K1502" s="200" t="n">
        <v>45452.5628819445</v>
      </c>
      <c r="L1502" s="3" t="n">
        <v>91</v>
      </c>
      <c r="M1502" s="3" t="n">
        <v>91</v>
      </c>
      <c r="N1502" s="1" t="n">
        <v>29</v>
      </c>
      <c r="O1502" s="1" t="n">
        <v>1</v>
      </c>
    </row>
    <row r="1503" customFormat="false" ht="14.25" hidden="false" customHeight="false" outlineLevel="0" collapsed="false">
      <c r="A1503" s="1" t="n">
        <v>140</v>
      </c>
      <c r="B1503" s="1" t="s">
        <v>702</v>
      </c>
      <c r="C1503" s="1" t="s">
        <v>703</v>
      </c>
      <c r="D1503" s="1" t="n">
        <v>11197</v>
      </c>
      <c r="E1503" s="1" t="s">
        <v>53</v>
      </c>
      <c r="F1503" s="201" t="n">
        <v>200025888181</v>
      </c>
      <c r="G1503" s="198" t="s">
        <v>631</v>
      </c>
      <c r="H1503" s="163" t="s">
        <v>215</v>
      </c>
      <c r="I1503" s="161" t="n">
        <v>115</v>
      </c>
      <c r="J1503" s="156" t="s">
        <v>192</v>
      </c>
      <c r="K1503" s="200" t="n">
        <v>45452.5628935185</v>
      </c>
      <c r="L1503" s="3" t="n">
        <v>91</v>
      </c>
      <c r="M1503" s="3" t="n">
        <v>91</v>
      </c>
      <c r="N1503" s="1" t="n">
        <v>30</v>
      </c>
      <c r="O1503" s="1" t="n">
        <v>1</v>
      </c>
    </row>
    <row r="1504" customFormat="false" ht="14.25" hidden="false" customHeight="false" outlineLevel="0" collapsed="false">
      <c r="A1504" s="1" t="n">
        <v>141</v>
      </c>
      <c r="B1504" s="1" t="s">
        <v>702</v>
      </c>
      <c r="C1504" s="1" t="s">
        <v>703</v>
      </c>
      <c r="D1504" s="1" t="n">
        <v>11197</v>
      </c>
      <c r="E1504" s="1" t="s">
        <v>53</v>
      </c>
      <c r="F1504" s="201" t="n">
        <v>200025888181</v>
      </c>
      <c r="G1504" s="198" t="s">
        <v>631</v>
      </c>
      <c r="H1504" s="163" t="s">
        <v>215</v>
      </c>
      <c r="I1504" s="161" t="n">
        <v>115</v>
      </c>
      <c r="J1504" s="156" t="s">
        <v>192</v>
      </c>
      <c r="K1504" s="200" t="n">
        <v>45452.5632407407</v>
      </c>
      <c r="L1504" s="3" t="n">
        <v>91</v>
      </c>
      <c r="M1504" s="3" t="n">
        <v>91</v>
      </c>
      <c r="N1504" s="1" t="n">
        <v>31</v>
      </c>
      <c r="O1504" s="1" t="n">
        <v>2</v>
      </c>
    </row>
    <row r="1505" customFormat="false" ht="14.25" hidden="false" customHeight="false" outlineLevel="0" collapsed="false">
      <c r="A1505" s="1" t="n">
        <v>142</v>
      </c>
      <c r="B1505" s="1" t="s">
        <v>702</v>
      </c>
      <c r="C1505" s="1" t="s">
        <v>703</v>
      </c>
      <c r="D1505" s="1" t="n">
        <v>11197</v>
      </c>
      <c r="E1505" s="1" t="s">
        <v>53</v>
      </c>
      <c r="F1505" s="201" t="n">
        <v>200025888181</v>
      </c>
      <c r="G1505" s="198" t="s">
        <v>631</v>
      </c>
      <c r="H1505" s="163" t="s">
        <v>215</v>
      </c>
      <c r="I1505" s="161" t="n">
        <v>115</v>
      </c>
      <c r="J1505" s="156" t="s">
        <v>192</v>
      </c>
      <c r="K1505" s="200" t="n">
        <v>45452.5640393519</v>
      </c>
      <c r="L1505" s="3" t="n">
        <v>91</v>
      </c>
      <c r="M1505" s="3" t="n">
        <v>91</v>
      </c>
      <c r="N1505" s="1" t="n">
        <v>32</v>
      </c>
      <c r="O1505" s="1" t="n">
        <v>3</v>
      </c>
    </row>
    <row r="1506" customFormat="false" ht="14.25" hidden="false" customHeight="false" outlineLevel="0" collapsed="false">
      <c r="A1506" s="1" t="n">
        <v>143</v>
      </c>
      <c r="B1506" s="1" t="s">
        <v>702</v>
      </c>
      <c r="C1506" s="1" t="s">
        <v>703</v>
      </c>
      <c r="D1506" s="1" t="n">
        <v>11197</v>
      </c>
      <c r="E1506" s="1" t="s">
        <v>53</v>
      </c>
      <c r="F1506" s="201" t="n">
        <v>200025888181</v>
      </c>
      <c r="G1506" s="198" t="s">
        <v>631</v>
      </c>
      <c r="H1506" s="163" t="s">
        <v>215</v>
      </c>
      <c r="I1506" s="161" t="n">
        <v>115</v>
      </c>
      <c r="J1506" s="156" t="s">
        <v>192</v>
      </c>
      <c r="K1506" s="200" t="n">
        <v>45452.5654861111</v>
      </c>
      <c r="L1506" s="3" t="n">
        <v>91</v>
      </c>
      <c r="M1506" s="3" t="n">
        <v>91</v>
      </c>
      <c r="N1506" s="1" t="n">
        <v>33</v>
      </c>
      <c r="O1506" s="1" t="n">
        <v>2</v>
      </c>
    </row>
    <row r="1507" customFormat="false" ht="14.25" hidden="false" customHeight="false" outlineLevel="0" collapsed="false">
      <c r="A1507" s="1" t="n">
        <v>144</v>
      </c>
      <c r="B1507" s="1" t="s">
        <v>702</v>
      </c>
      <c r="C1507" s="1" t="s">
        <v>703</v>
      </c>
      <c r="D1507" s="1" t="n">
        <v>11197</v>
      </c>
      <c r="E1507" s="1" t="s">
        <v>53</v>
      </c>
      <c r="F1507" s="201" t="n">
        <v>200025888181</v>
      </c>
      <c r="G1507" s="198" t="s">
        <v>631</v>
      </c>
      <c r="H1507" s="163" t="s">
        <v>215</v>
      </c>
      <c r="I1507" s="161" t="n">
        <v>115</v>
      </c>
      <c r="J1507" s="156" t="s">
        <v>192</v>
      </c>
      <c r="K1507" s="200" t="n">
        <v>45452.5659027778</v>
      </c>
      <c r="L1507" s="3" t="n">
        <v>91</v>
      </c>
      <c r="M1507" s="3" t="n">
        <v>91</v>
      </c>
      <c r="N1507" s="1" t="n">
        <v>34</v>
      </c>
      <c r="O1507" s="1" t="n">
        <v>2</v>
      </c>
    </row>
    <row r="1508" customFormat="false" ht="14.25" hidden="false" customHeight="false" outlineLevel="0" collapsed="false">
      <c r="A1508" s="1" t="n">
        <v>146</v>
      </c>
      <c r="B1508" s="1" t="s">
        <v>702</v>
      </c>
      <c r="C1508" s="1" t="s">
        <v>703</v>
      </c>
      <c r="D1508" s="1" t="n">
        <v>11197</v>
      </c>
      <c r="E1508" s="1" t="s">
        <v>53</v>
      </c>
      <c r="F1508" s="201" t="n">
        <v>200025888181</v>
      </c>
      <c r="G1508" s="198" t="s">
        <v>631</v>
      </c>
      <c r="H1508" s="163" t="s">
        <v>215</v>
      </c>
      <c r="I1508" s="161" t="n">
        <v>115</v>
      </c>
      <c r="J1508" s="156" t="s">
        <v>192</v>
      </c>
      <c r="K1508" s="200" t="n">
        <v>45452.6187847222</v>
      </c>
      <c r="L1508" s="3" t="n">
        <v>91</v>
      </c>
      <c r="M1508" s="3" t="n">
        <v>91</v>
      </c>
      <c r="N1508" s="1" t="n">
        <v>35</v>
      </c>
      <c r="O1508" s="1" t="n">
        <v>1</v>
      </c>
    </row>
    <row r="1509" customFormat="false" ht="14.25" hidden="false" customHeight="false" outlineLevel="0" collapsed="false">
      <c r="A1509" s="1" t="n">
        <v>147</v>
      </c>
      <c r="B1509" s="1" t="s">
        <v>702</v>
      </c>
      <c r="C1509" s="1" t="s">
        <v>703</v>
      </c>
      <c r="D1509" s="1" t="n">
        <v>11197</v>
      </c>
      <c r="E1509" s="1" t="s">
        <v>53</v>
      </c>
      <c r="F1509" s="201" t="n">
        <v>200025888181</v>
      </c>
      <c r="G1509" s="198" t="s">
        <v>631</v>
      </c>
      <c r="H1509" s="163" t="s">
        <v>215</v>
      </c>
      <c r="I1509" s="161" t="n">
        <v>115</v>
      </c>
      <c r="J1509" s="156" t="s">
        <v>192</v>
      </c>
      <c r="K1509" s="200" t="n">
        <v>45452.6198958333</v>
      </c>
      <c r="L1509" s="3" t="n">
        <v>91</v>
      </c>
      <c r="M1509" s="3" t="n">
        <v>91</v>
      </c>
      <c r="N1509" s="1" t="n">
        <v>36</v>
      </c>
      <c r="O1509" s="1" t="n">
        <v>2</v>
      </c>
    </row>
    <row r="1510" customFormat="false" ht="14.25" hidden="false" customHeight="false" outlineLevel="0" collapsed="false">
      <c r="A1510" s="1" t="n">
        <v>148</v>
      </c>
      <c r="B1510" s="1" t="s">
        <v>702</v>
      </c>
      <c r="C1510" s="1" t="s">
        <v>703</v>
      </c>
      <c r="D1510" s="1" t="n">
        <v>11197</v>
      </c>
      <c r="E1510" s="1" t="s">
        <v>53</v>
      </c>
      <c r="F1510" s="201" t="n">
        <v>200025888181</v>
      </c>
      <c r="G1510" s="198" t="s">
        <v>631</v>
      </c>
      <c r="H1510" s="163" t="s">
        <v>215</v>
      </c>
      <c r="I1510" s="161" t="n">
        <v>115</v>
      </c>
      <c r="J1510" s="156" t="s">
        <v>192</v>
      </c>
      <c r="K1510" s="200" t="n">
        <v>45452.6201851852</v>
      </c>
      <c r="L1510" s="3" t="n">
        <v>91</v>
      </c>
      <c r="M1510" s="3" t="n">
        <v>91</v>
      </c>
      <c r="N1510" s="1" t="n">
        <v>37</v>
      </c>
      <c r="O1510" s="1" t="n">
        <v>1</v>
      </c>
    </row>
    <row r="1511" customFormat="false" ht="14.25" hidden="false" customHeight="false" outlineLevel="0" collapsed="false">
      <c r="A1511" s="1" t="n">
        <v>149</v>
      </c>
      <c r="B1511" s="1" t="s">
        <v>702</v>
      </c>
      <c r="C1511" s="1" t="s">
        <v>703</v>
      </c>
      <c r="D1511" s="1" t="n">
        <v>11197</v>
      </c>
      <c r="E1511" s="1" t="s">
        <v>53</v>
      </c>
      <c r="F1511" s="201" t="n">
        <v>200025888181</v>
      </c>
      <c r="G1511" s="198" t="s">
        <v>631</v>
      </c>
      <c r="H1511" s="163" t="s">
        <v>215</v>
      </c>
      <c r="I1511" s="161" t="n">
        <v>115</v>
      </c>
      <c r="J1511" s="156" t="s">
        <v>192</v>
      </c>
      <c r="K1511" s="200" t="n">
        <v>45452.6206134259</v>
      </c>
      <c r="L1511" s="3" t="n">
        <v>91</v>
      </c>
      <c r="M1511" s="3" t="n">
        <v>91</v>
      </c>
      <c r="N1511" s="1" t="n">
        <v>38</v>
      </c>
      <c r="O1511" s="1" t="n">
        <v>1</v>
      </c>
    </row>
    <row r="1512" customFormat="false" ht="14.25" hidden="false" customHeight="false" outlineLevel="0" collapsed="false">
      <c r="A1512" s="1" t="n">
        <v>150</v>
      </c>
      <c r="B1512" s="1" t="s">
        <v>702</v>
      </c>
      <c r="C1512" s="1" t="s">
        <v>703</v>
      </c>
      <c r="D1512" s="1" t="n">
        <v>11197</v>
      </c>
      <c r="E1512" s="1" t="s">
        <v>53</v>
      </c>
      <c r="F1512" s="201" t="n">
        <v>200025888181</v>
      </c>
      <c r="G1512" s="198" t="s">
        <v>631</v>
      </c>
      <c r="H1512" s="163" t="s">
        <v>215</v>
      </c>
      <c r="I1512" s="161" t="n">
        <v>115</v>
      </c>
      <c r="J1512" s="156" t="s">
        <v>192</v>
      </c>
      <c r="K1512" s="200" t="n">
        <v>45452.6208449074</v>
      </c>
      <c r="L1512" s="3" t="n">
        <v>91</v>
      </c>
      <c r="M1512" s="3" t="n">
        <v>91</v>
      </c>
      <c r="N1512" s="1" t="n">
        <v>39</v>
      </c>
      <c r="O1512" s="1" t="n">
        <v>2</v>
      </c>
    </row>
    <row r="1513" customFormat="false" ht="14.25" hidden="false" customHeight="false" outlineLevel="0" collapsed="false">
      <c r="A1513" s="1" t="n">
        <v>151</v>
      </c>
      <c r="B1513" s="1" t="s">
        <v>702</v>
      </c>
      <c r="C1513" s="1" t="s">
        <v>703</v>
      </c>
      <c r="D1513" s="1" t="n">
        <v>11197</v>
      </c>
      <c r="E1513" s="1" t="s">
        <v>53</v>
      </c>
      <c r="F1513" s="201" t="n">
        <v>200025888181</v>
      </c>
      <c r="G1513" s="198" t="s">
        <v>631</v>
      </c>
      <c r="H1513" s="163" t="s">
        <v>215</v>
      </c>
      <c r="I1513" s="161" t="n">
        <v>115</v>
      </c>
      <c r="J1513" s="156" t="s">
        <v>192</v>
      </c>
      <c r="K1513" s="200" t="n">
        <v>45452.6209490741</v>
      </c>
      <c r="L1513" s="3" t="n">
        <v>91</v>
      </c>
      <c r="M1513" s="3" t="n">
        <v>91</v>
      </c>
      <c r="N1513" s="1" t="n">
        <v>40</v>
      </c>
      <c r="O1513" s="1" t="n">
        <v>1</v>
      </c>
    </row>
    <row r="1514" customFormat="false" ht="14.25" hidden="false" customHeight="false" outlineLevel="0" collapsed="false">
      <c r="A1514" s="1" t="n">
        <v>152</v>
      </c>
      <c r="B1514" s="1" t="s">
        <v>702</v>
      </c>
      <c r="C1514" s="1" t="s">
        <v>703</v>
      </c>
      <c r="D1514" s="1" t="n">
        <v>11197</v>
      </c>
      <c r="E1514" s="1" t="s">
        <v>53</v>
      </c>
      <c r="F1514" s="201" t="n">
        <v>200025888181</v>
      </c>
      <c r="G1514" s="198" t="s">
        <v>631</v>
      </c>
      <c r="H1514" s="163" t="s">
        <v>215</v>
      </c>
      <c r="I1514" s="161" t="n">
        <v>115</v>
      </c>
      <c r="J1514" s="156" t="s">
        <v>192</v>
      </c>
      <c r="K1514" s="200" t="n">
        <v>45452.6209722222</v>
      </c>
      <c r="L1514" s="3" t="n">
        <v>91</v>
      </c>
      <c r="M1514" s="3" t="n">
        <v>91</v>
      </c>
      <c r="N1514" s="1" t="n">
        <v>41</v>
      </c>
      <c r="O1514" s="1" t="n">
        <v>2</v>
      </c>
    </row>
    <row r="1515" customFormat="false" ht="14.25" hidden="false" customHeight="false" outlineLevel="0" collapsed="false">
      <c r="A1515" s="1" t="n">
        <v>153</v>
      </c>
      <c r="B1515" s="1" t="s">
        <v>702</v>
      </c>
      <c r="C1515" s="1" t="s">
        <v>703</v>
      </c>
      <c r="D1515" s="1" t="n">
        <v>11197</v>
      </c>
      <c r="E1515" s="1" t="s">
        <v>53</v>
      </c>
      <c r="F1515" s="201" t="n">
        <v>200025888181</v>
      </c>
      <c r="G1515" s="198" t="s">
        <v>631</v>
      </c>
      <c r="H1515" s="163" t="s">
        <v>215</v>
      </c>
      <c r="I1515" s="161" t="n">
        <v>115</v>
      </c>
      <c r="J1515" s="156" t="s">
        <v>192</v>
      </c>
      <c r="K1515" s="200" t="n">
        <v>45452.6217361111</v>
      </c>
      <c r="L1515" s="3" t="n">
        <v>91</v>
      </c>
      <c r="M1515" s="3" t="n">
        <v>91</v>
      </c>
      <c r="N1515" s="1" t="n">
        <v>42</v>
      </c>
      <c r="O1515" s="1" t="n">
        <v>2</v>
      </c>
    </row>
    <row r="1516" customFormat="false" ht="14.25" hidden="false" customHeight="false" outlineLevel="0" collapsed="false">
      <c r="A1516" s="1" t="n">
        <v>154</v>
      </c>
      <c r="B1516" s="1" t="s">
        <v>702</v>
      </c>
      <c r="C1516" s="1" t="s">
        <v>703</v>
      </c>
      <c r="D1516" s="1" t="n">
        <v>11197</v>
      </c>
      <c r="E1516" s="1" t="s">
        <v>53</v>
      </c>
      <c r="F1516" s="201" t="n">
        <v>200025888181</v>
      </c>
      <c r="G1516" s="198" t="s">
        <v>631</v>
      </c>
      <c r="H1516" s="163" t="s">
        <v>215</v>
      </c>
      <c r="I1516" s="161" t="n">
        <v>115</v>
      </c>
      <c r="J1516" s="156" t="s">
        <v>192</v>
      </c>
      <c r="K1516" s="200" t="n">
        <v>45452.6224768519</v>
      </c>
      <c r="L1516" s="3" t="n">
        <v>91</v>
      </c>
      <c r="M1516" s="3" t="n">
        <v>91</v>
      </c>
      <c r="N1516" s="1" t="n">
        <v>43</v>
      </c>
      <c r="O1516" s="1" t="n">
        <v>1</v>
      </c>
    </row>
    <row r="1517" customFormat="false" ht="14.25" hidden="false" customHeight="false" outlineLevel="0" collapsed="false">
      <c r="A1517" s="1" t="n">
        <v>155</v>
      </c>
      <c r="B1517" s="1" t="s">
        <v>702</v>
      </c>
      <c r="C1517" s="1" t="s">
        <v>703</v>
      </c>
      <c r="D1517" s="1" t="n">
        <v>11197</v>
      </c>
      <c r="E1517" s="1" t="s">
        <v>53</v>
      </c>
      <c r="F1517" s="201" t="n">
        <v>200025888181</v>
      </c>
      <c r="G1517" s="198" t="s">
        <v>631</v>
      </c>
      <c r="H1517" s="163" t="s">
        <v>215</v>
      </c>
      <c r="I1517" s="161" t="n">
        <v>115</v>
      </c>
      <c r="J1517" s="156" t="s">
        <v>192</v>
      </c>
      <c r="K1517" s="200" t="n">
        <v>45452.6232060185</v>
      </c>
      <c r="L1517" s="3" t="n">
        <v>91</v>
      </c>
      <c r="M1517" s="3" t="n">
        <v>91</v>
      </c>
      <c r="N1517" s="1" t="n">
        <v>44</v>
      </c>
      <c r="O1517" s="1" t="n">
        <v>0</v>
      </c>
    </row>
    <row r="1518" customFormat="false" ht="14.25" hidden="false" customHeight="false" outlineLevel="0" collapsed="false">
      <c r="A1518" s="1" t="n">
        <v>156</v>
      </c>
      <c r="B1518" s="1" t="s">
        <v>702</v>
      </c>
      <c r="C1518" s="1" t="s">
        <v>703</v>
      </c>
      <c r="D1518" s="1" t="n">
        <v>11197</v>
      </c>
      <c r="E1518" s="1" t="s">
        <v>53</v>
      </c>
      <c r="F1518" s="201" t="n">
        <v>200025888181</v>
      </c>
      <c r="G1518" s="198" t="s">
        <v>631</v>
      </c>
      <c r="H1518" s="163" t="s">
        <v>215</v>
      </c>
      <c r="I1518" s="161" t="n">
        <v>115</v>
      </c>
      <c r="J1518" s="156" t="s">
        <v>192</v>
      </c>
      <c r="K1518" s="200" t="n">
        <v>45452.6235069444</v>
      </c>
      <c r="L1518" s="3" t="n">
        <v>91</v>
      </c>
      <c r="M1518" s="3" t="n">
        <v>91</v>
      </c>
      <c r="N1518" s="1" t="n">
        <v>45</v>
      </c>
      <c r="O1518" s="1" t="n">
        <v>1</v>
      </c>
    </row>
    <row r="1519" customFormat="false" ht="14.25" hidden="false" customHeight="false" outlineLevel="0" collapsed="false">
      <c r="A1519" s="1" t="n">
        <v>157</v>
      </c>
      <c r="B1519" s="1" t="s">
        <v>702</v>
      </c>
      <c r="C1519" s="1" t="s">
        <v>703</v>
      </c>
      <c r="D1519" s="1" t="n">
        <v>11197</v>
      </c>
      <c r="E1519" s="1" t="s">
        <v>53</v>
      </c>
      <c r="F1519" s="201" t="n">
        <v>200025888181</v>
      </c>
      <c r="G1519" s="198" t="s">
        <v>631</v>
      </c>
      <c r="H1519" s="163" t="s">
        <v>215</v>
      </c>
      <c r="I1519" s="161" t="n">
        <v>115</v>
      </c>
      <c r="J1519" s="156" t="s">
        <v>192</v>
      </c>
      <c r="K1519" s="200" t="n">
        <v>45452.6244444444</v>
      </c>
      <c r="L1519" s="3" t="n">
        <v>91</v>
      </c>
      <c r="M1519" s="3" t="n">
        <v>91</v>
      </c>
      <c r="N1519" s="1" t="n">
        <v>46</v>
      </c>
      <c r="O1519" s="1" t="n">
        <v>0</v>
      </c>
    </row>
    <row r="1520" customFormat="false" ht="14.25" hidden="false" customHeight="false" outlineLevel="0" collapsed="false">
      <c r="A1520" s="1" t="n">
        <v>158</v>
      </c>
      <c r="B1520" s="1" t="s">
        <v>702</v>
      </c>
      <c r="C1520" s="1" t="s">
        <v>703</v>
      </c>
      <c r="D1520" s="1" t="n">
        <v>11197</v>
      </c>
      <c r="E1520" s="1" t="s">
        <v>53</v>
      </c>
      <c r="F1520" s="201" t="n">
        <v>200025888181</v>
      </c>
      <c r="G1520" s="198" t="s">
        <v>631</v>
      </c>
      <c r="H1520" s="163" t="s">
        <v>215</v>
      </c>
      <c r="I1520" s="161" t="n">
        <v>115</v>
      </c>
      <c r="J1520" s="156" t="s">
        <v>192</v>
      </c>
      <c r="K1520" s="200" t="n">
        <v>45452.6244560185</v>
      </c>
      <c r="L1520" s="3" t="n">
        <v>91</v>
      </c>
      <c r="M1520" s="3" t="n">
        <v>91</v>
      </c>
      <c r="N1520" s="1" t="n">
        <v>47</v>
      </c>
      <c r="O1520" s="1" t="n">
        <v>0</v>
      </c>
    </row>
    <row r="1521" customFormat="false" ht="14.25" hidden="false" customHeight="false" outlineLevel="0" collapsed="false">
      <c r="A1521" s="1" t="n">
        <v>160</v>
      </c>
      <c r="B1521" s="1" t="s">
        <v>702</v>
      </c>
      <c r="C1521" s="1" t="s">
        <v>703</v>
      </c>
      <c r="D1521" s="1" t="n">
        <v>11197</v>
      </c>
      <c r="E1521" s="1" t="s">
        <v>53</v>
      </c>
      <c r="F1521" s="201" t="n">
        <v>200025888181</v>
      </c>
      <c r="G1521" s="198" t="s">
        <v>631</v>
      </c>
      <c r="H1521" s="163" t="s">
        <v>215</v>
      </c>
      <c r="I1521" s="161" t="n">
        <v>115</v>
      </c>
      <c r="J1521" s="156" t="s">
        <v>192</v>
      </c>
      <c r="K1521" s="200" t="n">
        <v>45452.6772453704</v>
      </c>
      <c r="L1521" s="3" t="n">
        <v>91</v>
      </c>
      <c r="M1521" s="3" t="n">
        <v>91</v>
      </c>
      <c r="N1521" s="1" t="n">
        <v>48</v>
      </c>
      <c r="O1521" s="1" t="n">
        <v>1</v>
      </c>
    </row>
    <row r="1522" customFormat="false" ht="14.25" hidden="false" customHeight="false" outlineLevel="0" collapsed="false">
      <c r="A1522" s="1" t="n">
        <v>161</v>
      </c>
      <c r="B1522" s="1" t="s">
        <v>702</v>
      </c>
      <c r="C1522" s="1" t="s">
        <v>703</v>
      </c>
      <c r="D1522" s="1" t="n">
        <v>11197</v>
      </c>
      <c r="E1522" s="1" t="s">
        <v>53</v>
      </c>
      <c r="F1522" s="201" t="n">
        <v>200025888181</v>
      </c>
      <c r="G1522" s="198" t="s">
        <v>631</v>
      </c>
      <c r="H1522" s="163" t="s">
        <v>215</v>
      </c>
      <c r="I1522" s="161" t="n">
        <v>115</v>
      </c>
      <c r="J1522" s="156" t="s">
        <v>192</v>
      </c>
      <c r="K1522" s="200" t="n">
        <v>45452.6778703704</v>
      </c>
      <c r="L1522" s="3" t="n">
        <v>91</v>
      </c>
      <c r="M1522" s="3" t="n">
        <v>91</v>
      </c>
      <c r="N1522" s="1" t="n">
        <v>49</v>
      </c>
      <c r="O1522" s="1" t="n">
        <v>2</v>
      </c>
    </row>
    <row r="1523" customFormat="false" ht="14.25" hidden="false" customHeight="false" outlineLevel="0" collapsed="false">
      <c r="A1523" s="1" t="n">
        <v>162</v>
      </c>
      <c r="B1523" s="1" t="s">
        <v>702</v>
      </c>
      <c r="C1523" s="1" t="s">
        <v>703</v>
      </c>
      <c r="D1523" s="1" t="n">
        <v>11197</v>
      </c>
      <c r="E1523" s="1" t="s">
        <v>53</v>
      </c>
      <c r="F1523" s="201" t="n">
        <v>200025888181</v>
      </c>
      <c r="G1523" s="198" t="s">
        <v>631</v>
      </c>
      <c r="H1523" s="163" t="s">
        <v>215</v>
      </c>
      <c r="I1523" s="161" t="n">
        <v>115</v>
      </c>
      <c r="J1523" s="156" t="s">
        <v>192</v>
      </c>
      <c r="K1523" s="200" t="n">
        <v>45452.6778935185</v>
      </c>
      <c r="L1523" s="3" t="n">
        <v>91</v>
      </c>
      <c r="M1523" s="3" t="n">
        <v>91</v>
      </c>
      <c r="N1523" s="1" t="n">
        <v>50</v>
      </c>
      <c r="O1523" s="1" t="n">
        <v>1</v>
      </c>
    </row>
    <row r="1524" customFormat="false" ht="14.25" hidden="false" customHeight="false" outlineLevel="0" collapsed="false">
      <c r="A1524" s="1" t="n">
        <v>163</v>
      </c>
      <c r="B1524" s="1" t="s">
        <v>702</v>
      </c>
      <c r="C1524" s="1" t="s">
        <v>703</v>
      </c>
      <c r="D1524" s="1" t="n">
        <v>11197</v>
      </c>
      <c r="E1524" s="1" t="s">
        <v>53</v>
      </c>
      <c r="F1524" s="201" t="n">
        <v>200025888181</v>
      </c>
      <c r="G1524" s="198" t="s">
        <v>631</v>
      </c>
      <c r="H1524" s="163" t="s">
        <v>215</v>
      </c>
      <c r="I1524" s="161" t="n">
        <v>115</v>
      </c>
      <c r="J1524" s="156" t="s">
        <v>192</v>
      </c>
      <c r="K1524" s="200" t="n">
        <v>45452.6779166667</v>
      </c>
      <c r="L1524" s="3" t="n">
        <v>91</v>
      </c>
      <c r="M1524" s="3" t="n">
        <v>91</v>
      </c>
      <c r="N1524" s="1" t="n">
        <v>51</v>
      </c>
      <c r="O1524" s="1" t="n">
        <v>0</v>
      </c>
    </row>
    <row r="1525" customFormat="false" ht="14.25" hidden="false" customHeight="false" outlineLevel="0" collapsed="false">
      <c r="A1525" s="1" t="n">
        <v>165</v>
      </c>
      <c r="B1525" s="1" t="s">
        <v>702</v>
      </c>
      <c r="C1525" s="1" t="s">
        <v>703</v>
      </c>
      <c r="D1525" s="1" t="n">
        <v>11197</v>
      </c>
      <c r="E1525" s="1" t="s">
        <v>53</v>
      </c>
      <c r="F1525" s="201" t="n">
        <v>200025888181</v>
      </c>
      <c r="G1525" s="198" t="s">
        <v>631</v>
      </c>
      <c r="H1525" s="163" t="s">
        <v>215</v>
      </c>
      <c r="I1525" s="161" t="n">
        <v>115</v>
      </c>
      <c r="J1525" s="156" t="s">
        <v>192</v>
      </c>
      <c r="K1525" s="200" t="n">
        <v>45452.6905555556</v>
      </c>
      <c r="L1525" s="3" t="n">
        <v>91</v>
      </c>
      <c r="M1525" s="3" t="n">
        <v>91</v>
      </c>
      <c r="N1525" s="1" t="n">
        <v>52</v>
      </c>
      <c r="O1525" s="1" t="n">
        <v>2</v>
      </c>
    </row>
    <row r="1526" customFormat="false" ht="14.25" hidden="false" customHeight="false" outlineLevel="0" collapsed="false">
      <c r="A1526" s="1" t="n">
        <v>169</v>
      </c>
      <c r="B1526" s="1" t="s">
        <v>702</v>
      </c>
      <c r="C1526" s="1" t="s">
        <v>703</v>
      </c>
      <c r="D1526" s="1" t="n">
        <v>11197</v>
      </c>
      <c r="E1526" s="1" t="s">
        <v>53</v>
      </c>
      <c r="F1526" s="201" t="n">
        <v>200025888181</v>
      </c>
      <c r="G1526" s="198" t="s">
        <v>631</v>
      </c>
      <c r="H1526" s="163" t="s">
        <v>215</v>
      </c>
      <c r="I1526" s="161" t="n">
        <v>115</v>
      </c>
      <c r="J1526" s="156" t="s">
        <v>192</v>
      </c>
      <c r="K1526" s="200" t="n">
        <v>45452.7213078704</v>
      </c>
      <c r="L1526" s="3" t="n">
        <v>91</v>
      </c>
      <c r="M1526" s="3" t="n">
        <v>91</v>
      </c>
      <c r="N1526" s="1" t="n">
        <v>53</v>
      </c>
      <c r="O1526" s="1" t="n">
        <v>1</v>
      </c>
    </row>
    <row r="1527" customFormat="false" ht="14.25" hidden="false" customHeight="false" outlineLevel="0" collapsed="false">
      <c r="A1527" s="1" t="n">
        <v>170</v>
      </c>
      <c r="B1527" s="1" t="s">
        <v>702</v>
      </c>
      <c r="C1527" s="1" t="s">
        <v>703</v>
      </c>
      <c r="D1527" s="1" t="n">
        <v>11197</v>
      </c>
      <c r="E1527" s="1" t="s">
        <v>53</v>
      </c>
      <c r="F1527" s="201" t="n">
        <v>200025888181</v>
      </c>
      <c r="G1527" s="198" t="s">
        <v>631</v>
      </c>
      <c r="H1527" s="163" t="s">
        <v>215</v>
      </c>
      <c r="I1527" s="161" t="n">
        <v>115</v>
      </c>
      <c r="J1527" s="156" t="s">
        <v>192</v>
      </c>
      <c r="K1527" s="200" t="n">
        <v>45452.7215162037</v>
      </c>
      <c r="L1527" s="3" t="n">
        <v>91</v>
      </c>
      <c r="M1527" s="3" t="n">
        <v>91</v>
      </c>
      <c r="N1527" s="1" t="n">
        <v>54</v>
      </c>
      <c r="O1527" s="1" t="n">
        <v>1</v>
      </c>
    </row>
    <row r="1528" customFormat="false" ht="14.25" hidden="false" customHeight="false" outlineLevel="0" collapsed="false">
      <c r="A1528" s="1" t="n">
        <v>171</v>
      </c>
      <c r="B1528" s="1" t="s">
        <v>702</v>
      </c>
      <c r="C1528" s="1" t="s">
        <v>703</v>
      </c>
      <c r="D1528" s="1" t="n">
        <v>11197</v>
      </c>
      <c r="E1528" s="1" t="s">
        <v>53</v>
      </c>
      <c r="F1528" s="201" t="n">
        <v>200025888181</v>
      </c>
      <c r="G1528" s="198" t="s">
        <v>631</v>
      </c>
      <c r="H1528" s="163" t="s">
        <v>215</v>
      </c>
      <c r="I1528" s="161" t="n">
        <v>115</v>
      </c>
      <c r="J1528" s="156" t="s">
        <v>192</v>
      </c>
      <c r="K1528" s="200" t="n">
        <v>45452.722650463</v>
      </c>
      <c r="L1528" s="3" t="n">
        <v>91</v>
      </c>
      <c r="M1528" s="3" t="n">
        <v>91</v>
      </c>
      <c r="N1528" s="1" t="n">
        <v>55</v>
      </c>
      <c r="O1528" s="1" t="n">
        <v>1</v>
      </c>
    </row>
    <row r="1529" customFormat="false" ht="14.25" hidden="false" customHeight="false" outlineLevel="0" collapsed="false">
      <c r="A1529" s="1" t="n">
        <v>172</v>
      </c>
      <c r="B1529" s="1" t="s">
        <v>702</v>
      </c>
      <c r="C1529" s="1" t="s">
        <v>703</v>
      </c>
      <c r="D1529" s="1" t="n">
        <v>11197</v>
      </c>
      <c r="E1529" s="1" t="s">
        <v>53</v>
      </c>
      <c r="F1529" s="201" t="n">
        <v>200025888181</v>
      </c>
      <c r="G1529" s="198" t="s">
        <v>631</v>
      </c>
      <c r="H1529" s="163" t="s">
        <v>215</v>
      </c>
      <c r="I1529" s="161" t="n">
        <v>115</v>
      </c>
      <c r="J1529" s="156" t="s">
        <v>192</v>
      </c>
      <c r="K1529" s="200" t="n">
        <v>45452.7226736111</v>
      </c>
      <c r="L1529" s="3" t="n">
        <v>91</v>
      </c>
      <c r="M1529" s="3" t="n">
        <v>91</v>
      </c>
      <c r="N1529" s="1" t="n">
        <v>56</v>
      </c>
      <c r="O1529" s="1" t="n">
        <v>0</v>
      </c>
    </row>
    <row r="1530" customFormat="false" ht="14.25" hidden="false" customHeight="false" outlineLevel="0" collapsed="false">
      <c r="A1530" s="1" t="n">
        <v>173</v>
      </c>
      <c r="B1530" s="1" t="s">
        <v>702</v>
      </c>
      <c r="C1530" s="1" t="s">
        <v>703</v>
      </c>
      <c r="D1530" s="1" t="n">
        <v>11197</v>
      </c>
      <c r="E1530" s="1" t="s">
        <v>53</v>
      </c>
      <c r="F1530" s="201" t="n">
        <v>200025888181</v>
      </c>
      <c r="G1530" s="198" t="s">
        <v>631</v>
      </c>
      <c r="H1530" s="163" t="s">
        <v>215</v>
      </c>
      <c r="I1530" s="161" t="n">
        <v>115</v>
      </c>
      <c r="J1530" s="156" t="s">
        <v>192</v>
      </c>
      <c r="K1530" s="200" t="n">
        <v>45452.7226851852</v>
      </c>
      <c r="L1530" s="3" t="n">
        <v>91</v>
      </c>
      <c r="M1530" s="3" t="n">
        <v>91</v>
      </c>
      <c r="N1530" s="1" t="n">
        <v>57</v>
      </c>
      <c r="O1530" s="1" t="n">
        <v>2</v>
      </c>
    </row>
    <row r="1531" customFormat="false" ht="14.25" hidden="false" customHeight="false" outlineLevel="0" collapsed="false">
      <c r="A1531" s="1" t="n">
        <v>140</v>
      </c>
      <c r="B1531" s="1" t="s">
        <v>565</v>
      </c>
      <c r="C1531" s="1" t="s">
        <v>566</v>
      </c>
      <c r="D1531" s="1" t="n">
        <v>11171</v>
      </c>
      <c r="E1531" s="1" t="s">
        <v>55</v>
      </c>
      <c r="F1531" s="198" t="n">
        <v>200025888181</v>
      </c>
      <c r="G1531" s="198" t="s">
        <v>631</v>
      </c>
      <c r="H1531" s="163" t="s">
        <v>215</v>
      </c>
      <c r="I1531" s="161" t="n">
        <v>115</v>
      </c>
      <c r="J1531" s="156" t="s">
        <v>192</v>
      </c>
      <c r="K1531" s="199" t="n">
        <v>45452.732962963</v>
      </c>
      <c r="L1531" s="3" t="n">
        <v>91</v>
      </c>
      <c r="M1531" s="3" t="n">
        <v>91</v>
      </c>
      <c r="N1531" s="1" t="n">
        <v>58</v>
      </c>
      <c r="O1531" s="1" t="n">
        <v>1</v>
      </c>
    </row>
    <row r="1532" customFormat="false" ht="14.25" hidden="false" customHeight="false" outlineLevel="0" collapsed="false">
      <c r="A1532" s="1" t="n">
        <v>148</v>
      </c>
      <c r="B1532" s="1" t="s">
        <v>565</v>
      </c>
      <c r="C1532" s="1" t="s">
        <v>566</v>
      </c>
      <c r="D1532" s="1" t="n">
        <v>11171</v>
      </c>
      <c r="E1532" s="1" t="s">
        <v>55</v>
      </c>
      <c r="F1532" s="198" t="n">
        <v>200025888181</v>
      </c>
      <c r="G1532" s="198" t="s">
        <v>631</v>
      </c>
      <c r="H1532" s="163" t="s">
        <v>215</v>
      </c>
      <c r="I1532" s="161" t="n">
        <v>115</v>
      </c>
      <c r="J1532" s="156" t="s">
        <v>192</v>
      </c>
      <c r="K1532" s="199" t="n">
        <v>45452.7889351852</v>
      </c>
      <c r="L1532" s="3" t="n">
        <v>91</v>
      </c>
      <c r="M1532" s="3" t="n">
        <v>91</v>
      </c>
      <c r="N1532" s="1" t="n">
        <v>59</v>
      </c>
      <c r="O1532" s="1" t="n">
        <v>0</v>
      </c>
    </row>
    <row r="1533" customFormat="false" ht="14.25" hidden="false" customHeight="false" outlineLevel="0" collapsed="false">
      <c r="A1533" s="1" t="n">
        <v>149</v>
      </c>
      <c r="B1533" s="1" t="s">
        <v>565</v>
      </c>
      <c r="C1533" s="1" t="s">
        <v>566</v>
      </c>
      <c r="D1533" s="1" t="n">
        <v>11171</v>
      </c>
      <c r="E1533" s="1" t="s">
        <v>55</v>
      </c>
      <c r="F1533" s="198" t="n">
        <v>200025888181</v>
      </c>
      <c r="G1533" s="198" t="s">
        <v>631</v>
      </c>
      <c r="H1533" s="163" t="s">
        <v>215</v>
      </c>
      <c r="I1533" s="161" t="n">
        <v>115</v>
      </c>
      <c r="J1533" s="156" t="s">
        <v>192</v>
      </c>
      <c r="K1533" s="199" t="n">
        <v>45452.7889467593</v>
      </c>
      <c r="L1533" s="3" t="n">
        <v>91</v>
      </c>
      <c r="M1533" s="3" t="n">
        <v>91</v>
      </c>
      <c r="N1533" s="1" t="n">
        <v>60</v>
      </c>
      <c r="O1533" s="1" t="n">
        <v>1</v>
      </c>
    </row>
    <row r="1534" customFormat="false" ht="14.25" hidden="false" customHeight="false" outlineLevel="0" collapsed="false">
      <c r="A1534" s="1" t="n">
        <v>150</v>
      </c>
      <c r="B1534" s="1" t="s">
        <v>565</v>
      </c>
      <c r="C1534" s="1" t="s">
        <v>566</v>
      </c>
      <c r="D1534" s="1" t="n">
        <v>11171</v>
      </c>
      <c r="E1534" s="1" t="s">
        <v>55</v>
      </c>
      <c r="F1534" s="198" t="n">
        <v>200025888181</v>
      </c>
      <c r="G1534" s="198" t="s">
        <v>631</v>
      </c>
      <c r="H1534" s="163" t="s">
        <v>215</v>
      </c>
      <c r="I1534" s="161" t="n">
        <v>115</v>
      </c>
      <c r="J1534" s="156" t="s">
        <v>192</v>
      </c>
      <c r="K1534" s="199" t="n">
        <v>45452.7894560185</v>
      </c>
      <c r="L1534" s="3" t="n">
        <v>91</v>
      </c>
      <c r="M1534" s="3" t="n">
        <v>91</v>
      </c>
      <c r="N1534" s="1" t="n">
        <v>61</v>
      </c>
      <c r="O1534" s="1" t="n">
        <v>1</v>
      </c>
    </row>
    <row r="1535" customFormat="false" ht="14.25" hidden="false" customHeight="false" outlineLevel="0" collapsed="false">
      <c r="A1535" s="1" t="n">
        <v>164</v>
      </c>
      <c r="B1535" s="1" t="s">
        <v>565</v>
      </c>
      <c r="C1535" s="1" t="s">
        <v>566</v>
      </c>
      <c r="D1535" s="1" t="n">
        <v>11171</v>
      </c>
      <c r="E1535" s="1" t="s">
        <v>55</v>
      </c>
      <c r="F1535" s="198" t="n">
        <v>200025888181</v>
      </c>
      <c r="G1535" s="198" t="s">
        <v>631</v>
      </c>
      <c r="H1535" s="163" t="s">
        <v>215</v>
      </c>
      <c r="I1535" s="161" t="n">
        <v>115</v>
      </c>
      <c r="J1535" s="156" t="s">
        <v>192</v>
      </c>
      <c r="K1535" s="199" t="n">
        <v>45452.8498148148</v>
      </c>
      <c r="L1535" s="3" t="n">
        <v>91</v>
      </c>
      <c r="M1535" s="3" t="n">
        <v>91</v>
      </c>
      <c r="N1535" s="1" t="n">
        <v>62</v>
      </c>
      <c r="O1535" s="1" t="n">
        <v>1</v>
      </c>
    </row>
    <row r="1536" customFormat="false" ht="14.25" hidden="false" customHeight="false" outlineLevel="0" collapsed="false">
      <c r="A1536" s="1" t="n">
        <v>165</v>
      </c>
      <c r="B1536" s="1" t="s">
        <v>565</v>
      </c>
      <c r="C1536" s="1" t="s">
        <v>566</v>
      </c>
      <c r="D1536" s="1" t="n">
        <v>11171</v>
      </c>
      <c r="E1536" s="1" t="s">
        <v>55</v>
      </c>
      <c r="F1536" s="198" t="n">
        <v>200025888181</v>
      </c>
      <c r="G1536" s="198" t="s">
        <v>631</v>
      </c>
      <c r="H1536" s="163" t="s">
        <v>215</v>
      </c>
      <c r="I1536" s="161" t="n">
        <v>115</v>
      </c>
      <c r="J1536" s="156" t="s">
        <v>192</v>
      </c>
      <c r="K1536" s="199" t="n">
        <v>45452.8499074074</v>
      </c>
      <c r="L1536" s="3" t="n">
        <v>91</v>
      </c>
      <c r="M1536" s="3" t="n">
        <v>91</v>
      </c>
      <c r="N1536" s="1" t="n">
        <v>63</v>
      </c>
      <c r="O1536" s="1" t="n">
        <v>1</v>
      </c>
    </row>
    <row r="1537" customFormat="false" ht="14.25" hidden="false" customHeight="false" outlineLevel="0" collapsed="false">
      <c r="A1537" s="1" t="n">
        <v>180</v>
      </c>
      <c r="B1537" s="1" t="s">
        <v>565</v>
      </c>
      <c r="C1537" s="1" t="s">
        <v>566</v>
      </c>
      <c r="D1537" s="1" t="n">
        <v>11171</v>
      </c>
      <c r="E1537" s="1" t="s">
        <v>55</v>
      </c>
      <c r="F1537" s="198" t="n">
        <v>200025889098</v>
      </c>
      <c r="G1537" s="198" t="s">
        <v>689</v>
      </c>
      <c r="H1537" s="163" t="s">
        <v>433</v>
      </c>
      <c r="I1537" s="161" t="n">
        <v>46</v>
      </c>
      <c r="J1537" s="156" t="s">
        <v>192</v>
      </c>
      <c r="K1537" s="199" t="n">
        <v>45452.9536805556</v>
      </c>
      <c r="L1537" s="3" t="n">
        <v>92</v>
      </c>
      <c r="M1537" s="3" t="n">
        <v>92</v>
      </c>
      <c r="N1537" s="1" t="n">
        <v>1</v>
      </c>
      <c r="O1537" s="1" t="n">
        <v>2</v>
      </c>
    </row>
    <row r="1538" customFormat="false" ht="14.25" hidden="false" customHeight="false" outlineLevel="0" collapsed="false">
      <c r="A1538" s="1" t="n">
        <v>202</v>
      </c>
      <c r="B1538" s="1" t="s">
        <v>702</v>
      </c>
      <c r="C1538" s="1" t="s">
        <v>703</v>
      </c>
      <c r="D1538" s="1" t="n">
        <v>11197</v>
      </c>
      <c r="E1538" s="1" t="s">
        <v>53</v>
      </c>
      <c r="F1538" s="201" t="n">
        <v>200025889098</v>
      </c>
      <c r="G1538" s="198" t="s">
        <v>689</v>
      </c>
      <c r="H1538" s="163" t="s">
        <v>433</v>
      </c>
      <c r="I1538" s="161" t="n">
        <v>46</v>
      </c>
      <c r="J1538" s="156" t="s">
        <v>192</v>
      </c>
      <c r="K1538" s="200" t="n">
        <v>45452.9717592593</v>
      </c>
      <c r="L1538" s="3" t="n">
        <v>92</v>
      </c>
      <c r="M1538" s="3" t="n">
        <v>92</v>
      </c>
      <c r="N1538" s="1" t="n">
        <v>2</v>
      </c>
      <c r="O1538" s="1" t="n">
        <v>0</v>
      </c>
    </row>
    <row r="1539" customFormat="false" ht="14.25" hidden="false" customHeight="false" outlineLevel="0" collapsed="false">
      <c r="A1539" s="1" t="n">
        <v>184</v>
      </c>
      <c r="B1539" s="1" t="s">
        <v>565</v>
      </c>
      <c r="C1539" s="1" t="s">
        <v>566</v>
      </c>
      <c r="D1539" s="1" t="n">
        <v>11171</v>
      </c>
      <c r="E1539" s="1" t="s">
        <v>55</v>
      </c>
      <c r="F1539" s="198" t="n">
        <v>200025889098</v>
      </c>
      <c r="G1539" s="198" t="s">
        <v>689</v>
      </c>
      <c r="H1539" s="163" t="s">
        <v>433</v>
      </c>
      <c r="I1539" s="161" t="n">
        <v>46</v>
      </c>
      <c r="J1539" s="156" t="s">
        <v>192</v>
      </c>
      <c r="K1539" s="199" t="n">
        <v>45453.0024884259</v>
      </c>
      <c r="L1539" s="3" t="n">
        <v>92</v>
      </c>
      <c r="M1539" s="3" t="n">
        <v>92</v>
      </c>
      <c r="N1539" s="1" t="n">
        <v>3</v>
      </c>
      <c r="O1539" s="1" t="n">
        <v>0</v>
      </c>
    </row>
    <row r="1540" customFormat="false" ht="14.25" hidden="false" customHeight="false" outlineLevel="0" collapsed="false">
      <c r="A1540" s="1" t="n">
        <v>212</v>
      </c>
      <c r="B1540" s="1" t="s">
        <v>702</v>
      </c>
      <c r="C1540" s="1" t="s">
        <v>703</v>
      </c>
      <c r="D1540" s="1" t="n">
        <v>11197</v>
      </c>
      <c r="E1540" s="1" t="s">
        <v>53</v>
      </c>
      <c r="F1540" s="201" t="n">
        <v>200025889098</v>
      </c>
      <c r="G1540" s="198" t="s">
        <v>689</v>
      </c>
      <c r="H1540" s="163" t="s">
        <v>433</v>
      </c>
      <c r="I1540" s="161" t="n">
        <v>46</v>
      </c>
      <c r="J1540" s="156" t="s">
        <v>192</v>
      </c>
      <c r="K1540" s="200" t="n">
        <v>45453.0499189815</v>
      </c>
      <c r="L1540" s="3" t="n">
        <v>92</v>
      </c>
      <c r="M1540" s="3" t="n">
        <v>92</v>
      </c>
      <c r="N1540" s="1" t="n">
        <v>4</v>
      </c>
      <c r="O1540" s="1" t="n">
        <v>2</v>
      </c>
    </row>
    <row r="1541" customFormat="false" ht="14.25" hidden="false" customHeight="false" outlineLevel="0" collapsed="false">
      <c r="A1541" s="1" t="n">
        <v>213</v>
      </c>
      <c r="B1541" s="1" t="s">
        <v>702</v>
      </c>
      <c r="C1541" s="1" t="s">
        <v>703</v>
      </c>
      <c r="D1541" s="1" t="n">
        <v>11197</v>
      </c>
      <c r="E1541" s="1" t="s">
        <v>53</v>
      </c>
      <c r="F1541" s="201" t="n">
        <v>200025889098</v>
      </c>
      <c r="G1541" s="198" t="s">
        <v>689</v>
      </c>
      <c r="H1541" s="163" t="s">
        <v>433</v>
      </c>
      <c r="I1541" s="161" t="n">
        <v>46</v>
      </c>
      <c r="J1541" s="156" t="s">
        <v>192</v>
      </c>
      <c r="K1541" s="200" t="n">
        <v>45453.050474537</v>
      </c>
      <c r="L1541" s="3" t="n">
        <v>92</v>
      </c>
      <c r="M1541" s="3" t="n">
        <v>92</v>
      </c>
      <c r="N1541" s="1" t="n">
        <v>5</v>
      </c>
      <c r="O1541" s="1" t="n">
        <v>2</v>
      </c>
    </row>
    <row r="1542" customFormat="false" ht="14.25" hidden="false" customHeight="false" outlineLevel="0" collapsed="false">
      <c r="A1542" s="1" t="n">
        <v>212</v>
      </c>
      <c r="B1542" s="1" t="s">
        <v>565</v>
      </c>
      <c r="C1542" s="1" t="s">
        <v>566</v>
      </c>
      <c r="D1542" s="1" t="n">
        <v>11171</v>
      </c>
      <c r="E1542" s="1" t="s">
        <v>55</v>
      </c>
      <c r="F1542" s="198" t="n">
        <v>200025889098</v>
      </c>
      <c r="G1542" s="198" t="s">
        <v>689</v>
      </c>
      <c r="H1542" s="163" t="s">
        <v>433</v>
      </c>
      <c r="I1542" s="161" t="n">
        <v>46</v>
      </c>
      <c r="J1542" s="156" t="s">
        <v>192</v>
      </c>
      <c r="K1542" s="199" t="n">
        <v>45453.1071990741</v>
      </c>
      <c r="L1542" s="3" t="n">
        <v>92</v>
      </c>
      <c r="M1542" s="3" t="n">
        <v>92</v>
      </c>
      <c r="N1542" s="1" t="n">
        <v>6</v>
      </c>
      <c r="O1542" s="1" t="n">
        <v>2</v>
      </c>
    </row>
    <row r="1543" customFormat="false" ht="14.25" hidden="false" customHeight="false" outlineLevel="0" collapsed="false">
      <c r="A1543" s="1" t="n">
        <v>219</v>
      </c>
      <c r="B1543" s="1" t="s">
        <v>702</v>
      </c>
      <c r="C1543" s="1" t="s">
        <v>703</v>
      </c>
      <c r="D1543" s="1" t="n">
        <v>11197</v>
      </c>
      <c r="E1543" s="1" t="s">
        <v>53</v>
      </c>
      <c r="F1543" s="201" t="n">
        <v>200025889098</v>
      </c>
      <c r="G1543" s="198" t="s">
        <v>689</v>
      </c>
      <c r="H1543" s="163" t="s">
        <v>433</v>
      </c>
      <c r="I1543" s="161" t="n">
        <v>46</v>
      </c>
      <c r="J1543" s="156" t="s">
        <v>192</v>
      </c>
      <c r="K1543" s="200" t="n">
        <v>45453.1086111111</v>
      </c>
      <c r="L1543" s="3" t="n">
        <v>92</v>
      </c>
      <c r="M1543" s="3" t="n">
        <v>92</v>
      </c>
      <c r="N1543" s="1" t="n">
        <v>7</v>
      </c>
      <c r="O1543" s="1" t="n">
        <v>1</v>
      </c>
    </row>
    <row r="1544" customFormat="false" ht="14.25" hidden="false" customHeight="false" outlineLevel="0" collapsed="false">
      <c r="A1544" s="1" t="n">
        <v>220</v>
      </c>
      <c r="B1544" s="1" t="s">
        <v>702</v>
      </c>
      <c r="C1544" s="1" t="s">
        <v>703</v>
      </c>
      <c r="D1544" s="1" t="n">
        <v>11197</v>
      </c>
      <c r="E1544" s="1" t="s">
        <v>53</v>
      </c>
      <c r="F1544" s="201" t="n">
        <v>200025889098</v>
      </c>
      <c r="G1544" s="198" t="s">
        <v>689</v>
      </c>
      <c r="H1544" s="163" t="s">
        <v>433</v>
      </c>
      <c r="I1544" s="161" t="n">
        <v>46</v>
      </c>
      <c r="J1544" s="156" t="s">
        <v>192</v>
      </c>
      <c r="K1544" s="200" t="n">
        <v>45453.1481944444</v>
      </c>
      <c r="L1544" s="3" t="n">
        <v>92</v>
      </c>
      <c r="M1544" s="3" t="n">
        <v>92</v>
      </c>
      <c r="N1544" s="1" t="n">
        <v>8</v>
      </c>
      <c r="O1544" s="1" t="n">
        <v>2</v>
      </c>
    </row>
    <row r="1545" customFormat="false" ht="14.25" hidden="false" customHeight="false" outlineLevel="0" collapsed="false">
      <c r="A1545" s="1" t="n">
        <v>221</v>
      </c>
      <c r="B1545" s="1" t="s">
        <v>702</v>
      </c>
      <c r="C1545" s="1" t="s">
        <v>703</v>
      </c>
      <c r="D1545" s="1" t="n">
        <v>11197</v>
      </c>
      <c r="E1545" s="1" t="s">
        <v>53</v>
      </c>
      <c r="F1545" s="201" t="n">
        <v>200025889098</v>
      </c>
      <c r="G1545" s="198" t="s">
        <v>689</v>
      </c>
      <c r="H1545" s="163" t="s">
        <v>433</v>
      </c>
      <c r="I1545" s="161" t="n">
        <v>46</v>
      </c>
      <c r="J1545" s="156" t="s">
        <v>192</v>
      </c>
      <c r="K1545" s="200" t="n">
        <v>45453.1486226852</v>
      </c>
      <c r="L1545" s="3" t="n">
        <v>92</v>
      </c>
      <c r="M1545" s="3" t="n">
        <v>92</v>
      </c>
      <c r="N1545" s="1" t="n">
        <v>9</v>
      </c>
      <c r="O1545" s="1" t="n">
        <v>2</v>
      </c>
    </row>
    <row r="1546" customFormat="false" ht="14.25" hidden="false" customHeight="false" outlineLevel="0" collapsed="false">
      <c r="A1546" s="1" t="n">
        <v>222</v>
      </c>
      <c r="B1546" s="1" t="s">
        <v>702</v>
      </c>
      <c r="C1546" s="1" t="s">
        <v>703</v>
      </c>
      <c r="D1546" s="1" t="n">
        <v>11197</v>
      </c>
      <c r="E1546" s="1" t="s">
        <v>53</v>
      </c>
      <c r="F1546" s="201" t="n">
        <v>200025889098</v>
      </c>
      <c r="G1546" s="198" t="s">
        <v>689</v>
      </c>
      <c r="H1546" s="163" t="s">
        <v>433</v>
      </c>
      <c r="I1546" s="161" t="n">
        <v>46</v>
      </c>
      <c r="J1546" s="156" t="s">
        <v>192</v>
      </c>
      <c r="K1546" s="200" t="n">
        <v>45453.2121180556</v>
      </c>
      <c r="L1546" s="3" t="n">
        <v>92</v>
      </c>
      <c r="M1546" s="3" t="n">
        <v>92</v>
      </c>
      <c r="N1546" s="1" t="n">
        <v>10</v>
      </c>
      <c r="O1546" s="1" t="n">
        <v>6</v>
      </c>
    </row>
    <row r="1547" customFormat="false" ht="14.25" hidden="false" customHeight="false" outlineLevel="0" collapsed="false">
      <c r="A1547" s="1" t="n">
        <v>244</v>
      </c>
      <c r="B1547" s="1" t="s">
        <v>565</v>
      </c>
      <c r="C1547" s="1" t="s">
        <v>566</v>
      </c>
      <c r="D1547" s="1" t="n">
        <v>11171</v>
      </c>
      <c r="E1547" s="1" t="s">
        <v>55</v>
      </c>
      <c r="F1547" s="198" t="n">
        <v>200025888839</v>
      </c>
      <c r="G1547" s="198" t="s">
        <v>690</v>
      </c>
      <c r="H1547" s="163" t="s">
        <v>297</v>
      </c>
      <c r="I1547" s="161" t="n">
        <v>14</v>
      </c>
      <c r="J1547" s="156" t="s">
        <v>192</v>
      </c>
      <c r="K1547" s="199" t="n">
        <v>45453.4102083333</v>
      </c>
      <c r="L1547" s="3" t="n">
        <v>93</v>
      </c>
      <c r="M1547" s="3" t="n">
        <v>93</v>
      </c>
      <c r="N1547" s="1" t="n">
        <v>1</v>
      </c>
      <c r="O1547" s="1" t="n">
        <v>0</v>
      </c>
    </row>
    <row r="1548" customFormat="false" ht="14.25" hidden="false" customHeight="false" outlineLevel="0" collapsed="false">
      <c r="A1548" s="1" t="n">
        <v>245</v>
      </c>
      <c r="B1548" s="1" t="s">
        <v>565</v>
      </c>
      <c r="C1548" s="1" t="s">
        <v>566</v>
      </c>
      <c r="D1548" s="1" t="n">
        <v>11171</v>
      </c>
      <c r="E1548" s="1" t="s">
        <v>55</v>
      </c>
      <c r="F1548" s="198" t="n">
        <v>200025888839</v>
      </c>
      <c r="G1548" s="198" t="s">
        <v>690</v>
      </c>
      <c r="H1548" s="163" t="s">
        <v>297</v>
      </c>
      <c r="I1548" s="161" t="n">
        <v>14</v>
      </c>
      <c r="J1548" s="156" t="s">
        <v>192</v>
      </c>
      <c r="K1548" s="199" t="n">
        <v>45453.4105555556</v>
      </c>
      <c r="L1548" s="3" t="n">
        <v>93</v>
      </c>
      <c r="M1548" s="3" t="n">
        <v>93</v>
      </c>
      <c r="N1548" s="1" t="n">
        <v>2</v>
      </c>
      <c r="O1548" s="1" t="n">
        <v>1</v>
      </c>
    </row>
    <row r="1549" customFormat="false" ht="14.25" hidden="false" customHeight="false" outlineLevel="0" collapsed="false">
      <c r="A1549" s="1" t="n">
        <v>251</v>
      </c>
      <c r="B1549" s="1" t="s">
        <v>565</v>
      </c>
      <c r="C1549" s="1" t="s">
        <v>566</v>
      </c>
      <c r="D1549" s="1" t="n">
        <v>11171</v>
      </c>
      <c r="E1549" s="1" t="s">
        <v>55</v>
      </c>
      <c r="F1549" s="198" t="n">
        <v>200025888839</v>
      </c>
      <c r="G1549" s="198" t="s">
        <v>690</v>
      </c>
      <c r="H1549" s="163" t="s">
        <v>297</v>
      </c>
      <c r="I1549" s="161" t="n">
        <v>14</v>
      </c>
      <c r="J1549" s="156" t="s">
        <v>192</v>
      </c>
      <c r="K1549" s="199" t="n">
        <v>45453.4684722222</v>
      </c>
      <c r="L1549" s="3" t="n">
        <v>93</v>
      </c>
      <c r="M1549" s="3" t="n">
        <v>93</v>
      </c>
      <c r="N1549" s="1" t="n">
        <v>3</v>
      </c>
      <c r="O1549" s="1" t="n">
        <v>3</v>
      </c>
    </row>
    <row r="1550" customFormat="false" ht="14.25" hidden="false" customHeight="false" outlineLevel="0" collapsed="false">
      <c r="A1550" s="1" t="n">
        <v>252</v>
      </c>
      <c r="B1550" s="1" t="s">
        <v>565</v>
      </c>
      <c r="C1550" s="1" t="s">
        <v>566</v>
      </c>
      <c r="D1550" s="1" t="n">
        <v>11171</v>
      </c>
      <c r="E1550" s="1" t="s">
        <v>55</v>
      </c>
      <c r="F1550" s="198" t="n">
        <v>200025888839</v>
      </c>
      <c r="G1550" s="198" t="s">
        <v>690</v>
      </c>
      <c r="H1550" s="163" t="s">
        <v>297</v>
      </c>
      <c r="I1550" s="161" t="n">
        <v>14</v>
      </c>
      <c r="J1550" s="156" t="s">
        <v>192</v>
      </c>
      <c r="K1550" s="199" t="n">
        <v>45453.4687962963</v>
      </c>
      <c r="L1550" s="3" t="n">
        <v>93</v>
      </c>
      <c r="M1550" s="3" t="n">
        <v>93</v>
      </c>
      <c r="N1550" s="1" t="n">
        <v>4</v>
      </c>
      <c r="O1550" s="1" t="n">
        <v>0</v>
      </c>
    </row>
    <row r="1551" customFormat="false" ht="14.25" hidden="false" customHeight="false" outlineLevel="0" collapsed="false">
      <c r="A1551" s="1" t="n">
        <v>245</v>
      </c>
      <c r="B1551" s="1" t="s">
        <v>702</v>
      </c>
      <c r="C1551" s="1" t="s">
        <v>703</v>
      </c>
      <c r="D1551" s="1" t="n">
        <v>11197</v>
      </c>
      <c r="E1551" s="1" t="s">
        <v>53</v>
      </c>
      <c r="F1551" s="201" t="n">
        <v>200025888839</v>
      </c>
      <c r="G1551" s="198" t="s">
        <v>690</v>
      </c>
      <c r="H1551" s="163" t="s">
        <v>297</v>
      </c>
      <c r="I1551" s="161" t="n">
        <v>14</v>
      </c>
      <c r="J1551" s="156" t="s">
        <v>192</v>
      </c>
      <c r="K1551" s="200" t="n">
        <v>45453.4752777778</v>
      </c>
      <c r="L1551" s="3" t="n">
        <v>93</v>
      </c>
      <c r="M1551" s="3" t="n">
        <v>93</v>
      </c>
      <c r="N1551" s="1" t="n">
        <v>5</v>
      </c>
      <c r="O1551" s="1" t="n">
        <v>1</v>
      </c>
    </row>
    <row r="1552" customFormat="false" ht="14.25" hidden="false" customHeight="false" outlineLevel="0" collapsed="false">
      <c r="A1552" s="1" t="n">
        <v>246</v>
      </c>
      <c r="B1552" s="1" t="s">
        <v>702</v>
      </c>
      <c r="C1552" s="1" t="s">
        <v>703</v>
      </c>
      <c r="D1552" s="1" t="n">
        <v>11197</v>
      </c>
      <c r="E1552" s="1" t="s">
        <v>53</v>
      </c>
      <c r="F1552" s="201" t="n">
        <v>200025888839</v>
      </c>
      <c r="G1552" s="198" t="s">
        <v>690</v>
      </c>
      <c r="H1552" s="163" t="s">
        <v>297</v>
      </c>
      <c r="I1552" s="161" t="n">
        <v>14</v>
      </c>
      <c r="J1552" s="156" t="s">
        <v>192</v>
      </c>
      <c r="K1552" s="200" t="n">
        <v>45453.4755324074</v>
      </c>
      <c r="L1552" s="3" t="n">
        <v>93</v>
      </c>
      <c r="M1552" s="3" t="n">
        <v>93</v>
      </c>
      <c r="N1552" s="1" t="n">
        <v>6</v>
      </c>
      <c r="O1552" s="1" t="n">
        <v>1</v>
      </c>
    </row>
    <row r="1553" customFormat="false" ht="14.25" hidden="false" customHeight="false" outlineLevel="0" collapsed="false">
      <c r="A1553" s="1" t="n">
        <v>247</v>
      </c>
      <c r="B1553" s="1" t="s">
        <v>702</v>
      </c>
      <c r="C1553" s="1" t="s">
        <v>703</v>
      </c>
      <c r="D1553" s="1" t="n">
        <v>11197</v>
      </c>
      <c r="E1553" s="1" t="s">
        <v>53</v>
      </c>
      <c r="F1553" s="201" t="n">
        <v>200025888839</v>
      </c>
      <c r="G1553" s="198" t="s">
        <v>690</v>
      </c>
      <c r="H1553" s="163" t="s">
        <v>297</v>
      </c>
      <c r="I1553" s="161" t="n">
        <v>14</v>
      </c>
      <c r="J1553" s="156" t="s">
        <v>192</v>
      </c>
      <c r="K1553" s="200" t="n">
        <v>45453.4755555556</v>
      </c>
      <c r="L1553" s="3" t="n">
        <v>93</v>
      </c>
      <c r="M1553" s="3" t="n">
        <v>93</v>
      </c>
      <c r="N1553" s="1" t="n">
        <v>7</v>
      </c>
      <c r="O1553" s="1" t="n">
        <v>0</v>
      </c>
    </row>
    <row r="1554" customFormat="false" ht="14.25" hidden="false" customHeight="false" outlineLevel="0" collapsed="false">
      <c r="A1554" s="1" t="n">
        <v>248</v>
      </c>
      <c r="B1554" s="1" t="s">
        <v>702</v>
      </c>
      <c r="C1554" s="1" t="s">
        <v>703</v>
      </c>
      <c r="D1554" s="1" t="n">
        <v>11197</v>
      </c>
      <c r="E1554" s="1" t="s">
        <v>53</v>
      </c>
      <c r="F1554" s="201" t="n">
        <v>200025888839</v>
      </c>
      <c r="G1554" s="198" t="s">
        <v>690</v>
      </c>
      <c r="H1554" s="163" t="s">
        <v>297</v>
      </c>
      <c r="I1554" s="161" t="n">
        <v>14</v>
      </c>
      <c r="J1554" s="156" t="s">
        <v>192</v>
      </c>
      <c r="K1554" s="200" t="n">
        <v>45453.500474537</v>
      </c>
      <c r="L1554" s="3" t="n">
        <v>93</v>
      </c>
      <c r="M1554" s="3" t="n">
        <v>93</v>
      </c>
      <c r="N1554" s="1" t="n">
        <v>8</v>
      </c>
      <c r="O1554" s="1" t="n">
        <v>0</v>
      </c>
    </row>
    <row r="1555" customFormat="false" ht="14.25" hidden="false" customHeight="false" outlineLevel="0" collapsed="false">
      <c r="A1555" s="1" t="n">
        <v>249</v>
      </c>
      <c r="B1555" s="1" t="s">
        <v>702</v>
      </c>
      <c r="C1555" s="1" t="s">
        <v>703</v>
      </c>
      <c r="D1555" s="1" t="n">
        <v>11197</v>
      </c>
      <c r="E1555" s="1" t="s">
        <v>53</v>
      </c>
      <c r="F1555" s="201" t="n">
        <v>200025888839</v>
      </c>
      <c r="G1555" s="198" t="s">
        <v>690</v>
      </c>
      <c r="H1555" s="163" t="s">
        <v>297</v>
      </c>
      <c r="I1555" s="161" t="n">
        <v>14</v>
      </c>
      <c r="J1555" s="156" t="s">
        <v>192</v>
      </c>
      <c r="K1555" s="200" t="n">
        <v>45453.500474537</v>
      </c>
      <c r="L1555" s="3" t="n">
        <v>93</v>
      </c>
      <c r="M1555" s="3" t="n">
        <v>93</v>
      </c>
      <c r="N1555" s="1" t="n">
        <v>9</v>
      </c>
      <c r="O1555" s="207" t="n">
        <v>60</v>
      </c>
    </row>
    <row r="1556" customFormat="false" ht="14.25" hidden="false" customHeight="false" outlineLevel="0" collapsed="false">
      <c r="A1556" s="1" t="n">
        <v>250</v>
      </c>
      <c r="B1556" s="1" t="s">
        <v>702</v>
      </c>
      <c r="C1556" s="1" t="s">
        <v>703</v>
      </c>
      <c r="D1556" s="1" t="n">
        <v>11197</v>
      </c>
      <c r="E1556" s="1" t="s">
        <v>53</v>
      </c>
      <c r="F1556" s="201" t="n">
        <v>200025888839</v>
      </c>
      <c r="G1556" s="198" t="s">
        <v>690</v>
      </c>
      <c r="H1556" s="163" t="s">
        <v>297</v>
      </c>
      <c r="I1556" s="161" t="n">
        <v>14</v>
      </c>
      <c r="J1556" s="156" t="s">
        <v>192</v>
      </c>
      <c r="K1556" s="200" t="n">
        <v>45453.501412037</v>
      </c>
      <c r="L1556" s="3" t="n">
        <v>93</v>
      </c>
      <c r="M1556" s="3" t="n">
        <v>93</v>
      </c>
      <c r="N1556" s="1" t="n">
        <v>10</v>
      </c>
      <c r="O1556" s="1" t="n">
        <v>1</v>
      </c>
    </row>
    <row r="1557" customFormat="false" ht="14.25" hidden="false" customHeight="false" outlineLevel="0" collapsed="false">
      <c r="A1557" s="1" t="n">
        <v>269</v>
      </c>
      <c r="B1557" s="1" t="s">
        <v>565</v>
      </c>
      <c r="C1557" s="1" t="s">
        <v>566</v>
      </c>
      <c r="D1557" s="1" t="n">
        <v>11171</v>
      </c>
      <c r="E1557" s="1" t="s">
        <v>55</v>
      </c>
      <c r="F1557" s="198" t="n">
        <v>200025888839</v>
      </c>
      <c r="G1557" s="198" t="s">
        <v>690</v>
      </c>
      <c r="H1557" s="163" t="s">
        <v>297</v>
      </c>
      <c r="I1557" s="161" t="n">
        <v>14</v>
      </c>
      <c r="J1557" s="156" t="s">
        <v>192</v>
      </c>
      <c r="K1557" s="199" t="n">
        <v>45453.5355671296</v>
      </c>
      <c r="L1557" s="3" t="n">
        <v>93</v>
      </c>
      <c r="M1557" s="3" t="n">
        <v>93</v>
      </c>
      <c r="N1557" s="1" t="n">
        <v>11</v>
      </c>
      <c r="O1557" s="1" t="n">
        <v>1</v>
      </c>
    </row>
    <row r="1558" customFormat="false" ht="14.25" hidden="false" customHeight="false" outlineLevel="0" collapsed="false">
      <c r="A1558" s="1" t="n">
        <v>271</v>
      </c>
      <c r="B1558" s="1" t="s">
        <v>565</v>
      </c>
      <c r="C1558" s="1" t="s">
        <v>566</v>
      </c>
      <c r="D1558" s="1" t="n">
        <v>11171</v>
      </c>
      <c r="E1558" s="1" t="s">
        <v>55</v>
      </c>
      <c r="F1558" s="198" t="n">
        <v>200025888839</v>
      </c>
      <c r="G1558" s="198" t="s">
        <v>690</v>
      </c>
      <c r="H1558" s="163" t="s">
        <v>297</v>
      </c>
      <c r="I1558" s="161" t="n">
        <v>14</v>
      </c>
      <c r="J1558" s="156" t="s">
        <v>192</v>
      </c>
      <c r="K1558" s="199" t="n">
        <v>45453.5492708333</v>
      </c>
      <c r="L1558" s="3" t="n">
        <v>93</v>
      </c>
      <c r="M1558" s="3" t="n">
        <v>93</v>
      </c>
      <c r="N1558" s="1" t="n">
        <v>12</v>
      </c>
      <c r="O1558" s="1" t="n">
        <v>0</v>
      </c>
    </row>
    <row r="1559" customFormat="false" ht="14.25" hidden="false" customHeight="false" outlineLevel="0" collapsed="false">
      <c r="A1559" s="1" t="n">
        <v>272</v>
      </c>
      <c r="B1559" s="1" t="s">
        <v>565</v>
      </c>
      <c r="C1559" s="1" t="s">
        <v>566</v>
      </c>
      <c r="D1559" s="1" t="n">
        <v>11171</v>
      </c>
      <c r="E1559" s="1" t="s">
        <v>55</v>
      </c>
      <c r="F1559" s="198" t="n">
        <v>200025888839</v>
      </c>
      <c r="G1559" s="198" t="s">
        <v>690</v>
      </c>
      <c r="H1559" s="163" t="s">
        <v>297</v>
      </c>
      <c r="I1559" s="161" t="n">
        <v>14</v>
      </c>
      <c r="J1559" s="156" t="s">
        <v>192</v>
      </c>
      <c r="K1559" s="199" t="n">
        <v>45453.5492939815</v>
      </c>
      <c r="L1559" s="3" t="n">
        <v>93</v>
      </c>
      <c r="M1559" s="3" t="n">
        <v>93</v>
      </c>
      <c r="N1559" s="1" t="n">
        <v>13</v>
      </c>
      <c r="O1559" s="1" t="n">
        <v>0</v>
      </c>
    </row>
    <row r="1560" customFormat="false" ht="14.25" hidden="false" customHeight="false" outlineLevel="0" collapsed="false">
      <c r="A1560" s="1" t="n">
        <v>273</v>
      </c>
      <c r="B1560" s="1" t="s">
        <v>565</v>
      </c>
      <c r="C1560" s="1" t="s">
        <v>566</v>
      </c>
      <c r="D1560" s="1" t="n">
        <v>11171</v>
      </c>
      <c r="E1560" s="1" t="s">
        <v>55</v>
      </c>
      <c r="F1560" s="198" t="n">
        <v>200025888839</v>
      </c>
      <c r="G1560" s="198" t="s">
        <v>690</v>
      </c>
      <c r="H1560" s="163" t="s">
        <v>297</v>
      </c>
      <c r="I1560" s="161" t="n">
        <v>14</v>
      </c>
      <c r="J1560" s="156" t="s">
        <v>192</v>
      </c>
      <c r="K1560" s="199" t="n">
        <v>45453.5506828704</v>
      </c>
      <c r="L1560" s="3" t="n">
        <v>93</v>
      </c>
      <c r="M1560" s="3" t="n">
        <v>93</v>
      </c>
      <c r="N1560" s="1" t="n">
        <v>14</v>
      </c>
      <c r="O1560" s="1" t="n">
        <v>1</v>
      </c>
    </row>
    <row r="1561" customFormat="false" ht="14.25" hidden="false" customHeight="false" outlineLevel="0" collapsed="false">
      <c r="A1561" s="1" t="n">
        <v>274</v>
      </c>
      <c r="B1561" s="1" t="s">
        <v>565</v>
      </c>
      <c r="C1561" s="1" t="s">
        <v>566</v>
      </c>
      <c r="D1561" s="1" t="n">
        <v>11171</v>
      </c>
      <c r="E1561" s="1" t="s">
        <v>55</v>
      </c>
      <c r="F1561" s="198" t="n">
        <v>200025888839</v>
      </c>
      <c r="G1561" s="198" t="s">
        <v>690</v>
      </c>
      <c r="H1561" s="163" t="s">
        <v>297</v>
      </c>
      <c r="I1561" s="161" t="n">
        <v>14</v>
      </c>
      <c r="J1561" s="156" t="s">
        <v>192</v>
      </c>
      <c r="K1561" s="199" t="n">
        <v>45453.5507060185</v>
      </c>
      <c r="L1561" s="3" t="n">
        <v>93</v>
      </c>
      <c r="M1561" s="3" t="n">
        <v>93</v>
      </c>
      <c r="N1561" s="1" t="n">
        <v>15</v>
      </c>
      <c r="O1561" s="10" t="n">
        <v>675</v>
      </c>
    </row>
    <row r="1562" customFormat="false" ht="14.25" hidden="false" customHeight="false" outlineLevel="0" collapsed="false">
      <c r="A1562" s="1" t="n">
        <v>269</v>
      </c>
      <c r="B1562" s="1" t="s">
        <v>702</v>
      </c>
      <c r="C1562" s="1" t="s">
        <v>703</v>
      </c>
      <c r="D1562" s="1" t="n">
        <v>11197</v>
      </c>
      <c r="E1562" s="1" t="s">
        <v>53</v>
      </c>
      <c r="F1562" s="201" t="n">
        <v>200025888839</v>
      </c>
      <c r="G1562" s="198" t="s">
        <v>690</v>
      </c>
      <c r="H1562" s="163" t="s">
        <v>297</v>
      </c>
      <c r="I1562" s="161" t="n">
        <v>14</v>
      </c>
      <c r="J1562" s="156" t="s">
        <v>192</v>
      </c>
      <c r="K1562" s="200" t="n">
        <v>45453.5555324074</v>
      </c>
      <c r="L1562" s="3" t="n">
        <v>93</v>
      </c>
      <c r="M1562" s="3" t="n">
        <v>93</v>
      </c>
      <c r="N1562" s="1" t="n">
        <v>16</v>
      </c>
      <c r="O1562" s="1" t="n">
        <v>2</v>
      </c>
    </row>
    <row r="1563" customFormat="false" ht="14.25" hidden="false" customHeight="false" outlineLevel="0" collapsed="false">
      <c r="A1563" s="1" t="n">
        <v>270</v>
      </c>
      <c r="B1563" s="1" t="s">
        <v>702</v>
      </c>
      <c r="C1563" s="1" t="s">
        <v>703</v>
      </c>
      <c r="D1563" s="1" t="n">
        <v>11197</v>
      </c>
      <c r="E1563" s="1" t="s">
        <v>53</v>
      </c>
      <c r="F1563" s="201" t="n">
        <v>200025888839</v>
      </c>
      <c r="G1563" s="198" t="s">
        <v>690</v>
      </c>
      <c r="H1563" s="163" t="s">
        <v>297</v>
      </c>
      <c r="I1563" s="161" t="n">
        <v>14</v>
      </c>
      <c r="J1563" s="156" t="s">
        <v>192</v>
      </c>
      <c r="K1563" s="200" t="n">
        <v>45453.5559259259</v>
      </c>
      <c r="L1563" s="3" t="n">
        <v>93</v>
      </c>
      <c r="M1563" s="3" t="n">
        <v>93</v>
      </c>
      <c r="N1563" s="1" t="n">
        <v>17</v>
      </c>
      <c r="O1563" s="1" t="n">
        <v>2</v>
      </c>
    </row>
    <row r="1564" customFormat="false" ht="14.25" hidden="false" customHeight="false" outlineLevel="0" collapsed="false">
      <c r="A1564" s="1" t="n">
        <v>39</v>
      </c>
      <c r="B1564" s="1" t="s">
        <v>684</v>
      </c>
      <c r="C1564" s="1" t="s">
        <v>685</v>
      </c>
      <c r="D1564" s="1" t="n">
        <v>21296</v>
      </c>
      <c r="E1564" s="1" t="s">
        <v>57</v>
      </c>
      <c r="F1564" s="201" t="n">
        <v>200025888839</v>
      </c>
      <c r="G1564" s="198" t="s">
        <v>690</v>
      </c>
      <c r="H1564" s="163" t="s">
        <v>297</v>
      </c>
      <c r="I1564" s="161" t="n">
        <v>14</v>
      </c>
      <c r="J1564" s="156" t="s">
        <v>192</v>
      </c>
      <c r="K1564" s="200" t="n">
        <v>45453.8043981481</v>
      </c>
      <c r="L1564" s="3" t="n">
        <v>93</v>
      </c>
      <c r="M1564" s="3" t="n">
        <v>93</v>
      </c>
      <c r="N1564" s="1" t="n">
        <v>18</v>
      </c>
      <c r="O1564" s="10" t="n">
        <v>924</v>
      </c>
    </row>
    <row r="1565" customFormat="false" ht="14.25" hidden="false" customHeight="false" outlineLevel="0" collapsed="false">
      <c r="A1565" s="1" t="n">
        <v>41</v>
      </c>
      <c r="B1565" s="1" t="s">
        <v>684</v>
      </c>
      <c r="C1565" s="1" t="s">
        <v>685</v>
      </c>
      <c r="D1565" s="1" t="n">
        <v>21296</v>
      </c>
      <c r="E1565" s="1" t="s">
        <v>57</v>
      </c>
      <c r="F1565" s="201" t="n">
        <v>200025888839</v>
      </c>
      <c r="G1565" s="198" t="s">
        <v>690</v>
      </c>
      <c r="H1565" s="163" t="s">
        <v>297</v>
      </c>
      <c r="I1565" s="161" t="n">
        <v>14</v>
      </c>
      <c r="J1565" s="156" t="s">
        <v>192</v>
      </c>
      <c r="K1565" s="200" t="n">
        <v>45453.8680902778</v>
      </c>
      <c r="L1565" s="3" t="n">
        <v>93</v>
      </c>
      <c r="M1565" s="3" t="n">
        <v>93</v>
      </c>
      <c r="N1565" s="1" t="n">
        <v>19</v>
      </c>
      <c r="O1565" s="1" t="n">
        <v>0</v>
      </c>
    </row>
    <row r="1566" customFormat="false" ht="14.25" hidden="false" customHeight="false" outlineLevel="0" collapsed="false">
      <c r="A1566" s="1" t="n">
        <v>42</v>
      </c>
      <c r="B1566" s="1" t="s">
        <v>684</v>
      </c>
      <c r="C1566" s="1" t="s">
        <v>685</v>
      </c>
      <c r="D1566" s="1" t="n">
        <v>21296</v>
      </c>
      <c r="E1566" s="1" t="s">
        <v>57</v>
      </c>
      <c r="F1566" s="201" t="n">
        <v>200025888839</v>
      </c>
      <c r="G1566" s="198" t="s">
        <v>690</v>
      </c>
      <c r="H1566" s="163" t="s">
        <v>297</v>
      </c>
      <c r="I1566" s="161" t="n">
        <v>14</v>
      </c>
      <c r="J1566" s="156" t="s">
        <v>192</v>
      </c>
      <c r="K1566" s="200" t="n">
        <v>45453.8690277778</v>
      </c>
      <c r="L1566" s="3" t="n">
        <v>93</v>
      </c>
      <c r="M1566" s="3" t="n">
        <v>93</v>
      </c>
      <c r="N1566" s="1" t="n">
        <v>20</v>
      </c>
      <c r="O1566" s="1" t="n">
        <v>0</v>
      </c>
    </row>
    <row r="1567" customFormat="false" ht="14.25" hidden="false" customHeight="false" outlineLevel="0" collapsed="false">
      <c r="A1567" s="1" t="n">
        <v>43</v>
      </c>
      <c r="B1567" s="1" t="s">
        <v>684</v>
      </c>
      <c r="C1567" s="1" t="s">
        <v>685</v>
      </c>
      <c r="D1567" s="1" t="n">
        <v>21296</v>
      </c>
      <c r="E1567" s="1" t="s">
        <v>57</v>
      </c>
      <c r="F1567" s="201" t="n">
        <v>200025888839</v>
      </c>
      <c r="G1567" s="198" t="s">
        <v>690</v>
      </c>
      <c r="H1567" s="163" t="s">
        <v>297</v>
      </c>
      <c r="I1567" s="161" t="n">
        <v>14</v>
      </c>
      <c r="J1567" s="156" t="s">
        <v>192</v>
      </c>
      <c r="K1567" s="200" t="n">
        <v>45453.8699305556</v>
      </c>
      <c r="L1567" s="3" t="n">
        <v>93</v>
      </c>
      <c r="M1567" s="3" t="n">
        <v>93</v>
      </c>
      <c r="N1567" s="1" t="n">
        <v>21</v>
      </c>
      <c r="O1567" s="1" t="n">
        <v>1</v>
      </c>
    </row>
    <row r="1568" customFormat="false" ht="14.25" hidden="false" customHeight="false" outlineLevel="0" collapsed="false">
      <c r="A1568" s="1" t="n">
        <v>44</v>
      </c>
      <c r="B1568" s="1" t="s">
        <v>684</v>
      </c>
      <c r="C1568" s="1" t="s">
        <v>685</v>
      </c>
      <c r="D1568" s="1" t="n">
        <v>21296</v>
      </c>
      <c r="E1568" s="1" t="s">
        <v>57</v>
      </c>
      <c r="F1568" s="201" t="n">
        <v>200025888839</v>
      </c>
      <c r="G1568" s="198" t="s">
        <v>690</v>
      </c>
      <c r="H1568" s="163" t="s">
        <v>297</v>
      </c>
      <c r="I1568" s="161" t="n">
        <v>14</v>
      </c>
      <c r="J1568" s="156" t="s">
        <v>192</v>
      </c>
      <c r="K1568" s="200" t="n">
        <v>45453.8699537037</v>
      </c>
      <c r="L1568" s="3" t="n">
        <v>93</v>
      </c>
      <c r="M1568" s="3" t="n">
        <v>93</v>
      </c>
      <c r="N1568" s="1" t="n">
        <v>22</v>
      </c>
      <c r="O1568" s="1" t="n">
        <v>0</v>
      </c>
    </row>
    <row r="1569" customFormat="false" ht="14.25" hidden="false" customHeight="false" outlineLevel="0" collapsed="false">
      <c r="A1569" s="1" t="n">
        <v>50</v>
      </c>
      <c r="B1569" s="1" t="s">
        <v>684</v>
      </c>
      <c r="C1569" s="1" t="s">
        <v>685</v>
      </c>
      <c r="D1569" s="1" t="n">
        <v>21296</v>
      </c>
      <c r="E1569" s="1" t="s">
        <v>57</v>
      </c>
      <c r="F1569" s="201" t="n">
        <v>200025888839</v>
      </c>
      <c r="G1569" s="198" t="s">
        <v>690</v>
      </c>
      <c r="H1569" s="163" t="s">
        <v>297</v>
      </c>
      <c r="I1569" s="161" t="n">
        <v>14</v>
      </c>
      <c r="J1569" s="156" t="s">
        <v>192</v>
      </c>
      <c r="K1569" s="200" t="n">
        <v>45453.9428935185</v>
      </c>
      <c r="L1569" s="3" t="n">
        <v>93</v>
      </c>
      <c r="M1569" s="3" t="n">
        <v>93</v>
      </c>
      <c r="N1569" s="1" t="n">
        <v>23</v>
      </c>
      <c r="O1569" s="1" t="n">
        <v>0</v>
      </c>
    </row>
    <row r="1570" customFormat="false" ht="14.25" hidden="false" customHeight="false" outlineLevel="0" collapsed="false">
      <c r="A1570" s="1" t="n">
        <v>51</v>
      </c>
      <c r="B1570" s="1" t="s">
        <v>684</v>
      </c>
      <c r="C1570" s="1" t="s">
        <v>685</v>
      </c>
      <c r="D1570" s="1" t="n">
        <v>21296</v>
      </c>
      <c r="E1570" s="1" t="s">
        <v>57</v>
      </c>
      <c r="F1570" s="201" t="n">
        <v>200025888839</v>
      </c>
      <c r="G1570" s="198" t="s">
        <v>690</v>
      </c>
      <c r="H1570" s="163" t="s">
        <v>297</v>
      </c>
      <c r="I1570" s="161" t="n">
        <v>14</v>
      </c>
      <c r="J1570" s="156" t="s">
        <v>192</v>
      </c>
      <c r="K1570" s="200" t="n">
        <v>45453.9429050926</v>
      </c>
      <c r="L1570" s="3" t="n">
        <v>93</v>
      </c>
      <c r="M1570" s="3" t="n">
        <v>93</v>
      </c>
      <c r="N1570" s="1" t="n">
        <v>24</v>
      </c>
      <c r="O1570" s="10" t="n">
        <v>3476</v>
      </c>
    </row>
    <row r="1571" customFormat="false" ht="14.25" hidden="false" customHeight="false" outlineLevel="0" collapsed="false">
      <c r="A1571" s="1" t="n">
        <v>55</v>
      </c>
      <c r="B1571" s="1" t="s">
        <v>684</v>
      </c>
      <c r="C1571" s="1" t="s">
        <v>685</v>
      </c>
      <c r="D1571" s="1" t="n">
        <v>21296</v>
      </c>
      <c r="E1571" s="1" t="s">
        <v>57</v>
      </c>
      <c r="F1571" s="201" t="n">
        <v>200025888839</v>
      </c>
      <c r="G1571" s="198" t="s">
        <v>690</v>
      </c>
      <c r="H1571" s="163" t="s">
        <v>297</v>
      </c>
      <c r="I1571" s="161" t="n">
        <v>14</v>
      </c>
      <c r="J1571" s="156" t="s">
        <v>192</v>
      </c>
      <c r="K1571" s="200" t="n">
        <v>45454.0633333333</v>
      </c>
      <c r="L1571" s="3" t="n">
        <v>93</v>
      </c>
      <c r="M1571" s="3" t="n">
        <v>93</v>
      </c>
      <c r="N1571" s="1" t="n">
        <v>25</v>
      </c>
      <c r="O1571" s="1" t="n">
        <v>1</v>
      </c>
    </row>
    <row r="1572" customFormat="false" ht="14.25" hidden="false" customHeight="false" outlineLevel="0" collapsed="false">
      <c r="A1572" s="1" t="n">
        <v>58</v>
      </c>
      <c r="B1572" s="1" t="s">
        <v>684</v>
      </c>
      <c r="C1572" s="1" t="s">
        <v>685</v>
      </c>
      <c r="D1572" s="1" t="n">
        <v>21296</v>
      </c>
      <c r="E1572" s="1" t="s">
        <v>57</v>
      </c>
      <c r="F1572" s="201" t="n">
        <v>200025888839</v>
      </c>
      <c r="G1572" s="198" t="s">
        <v>690</v>
      </c>
      <c r="H1572" s="163" t="s">
        <v>297</v>
      </c>
      <c r="I1572" s="161" t="n">
        <v>14</v>
      </c>
      <c r="J1572" s="156" t="s">
        <v>192</v>
      </c>
      <c r="K1572" s="200" t="n">
        <v>45454.2122685185</v>
      </c>
      <c r="L1572" s="3" t="n">
        <v>93</v>
      </c>
      <c r="M1572" s="3" t="n">
        <v>93</v>
      </c>
      <c r="N1572" s="1" t="n">
        <v>26</v>
      </c>
      <c r="O1572" s="10" t="n">
        <v>3962</v>
      </c>
    </row>
    <row r="1573" customFormat="false" ht="14.25" hidden="false" customHeight="false" outlineLevel="0" collapsed="false">
      <c r="A1573" s="1" t="n">
        <v>52</v>
      </c>
      <c r="B1573" s="1" t="s">
        <v>684</v>
      </c>
      <c r="C1573" s="1" t="s">
        <v>685</v>
      </c>
      <c r="D1573" s="1" t="n">
        <v>21296</v>
      </c>
      <c r="E1573" s="1" t="s">
        <v>57</v>
      </c>
      <c r="F1573" s="201" t="n">
        <v>200025888837</v>
      </c>
      <c r="G1573" s="198" t="s">
        <v>714</v>
      </c>
      <c r="H1573" s="163" t="s">
        <v>468</v>
      </c>
      <c r="I1573" s="161" t="n">
        <v>79</v>
      </c>
      <c r="J1573" s="156" t="s">
        <v>192</v>
      </c>
      <c r="K1573" s="200" t="n">
        <v>45453.9971296296</v>
      </c>
      <c r="L1573" s="3" t="n">
        <v>94</v>
      </c>
      <c r="M1573" s="3" t="n">
        <v>94</v>
      </c>
      <c r="N1573" s="1" t="n">
        <v>1</v>
      </c>
      <c r="O1573" s="1" t="n">
        <v>0</v>
      </c>
    </row>
    <row r="1574" customFormat="false" ht="14.25" hidden="false" customHeight="false" outlineLevel="0" collapsed="false">
      <c r="A1574" s="1" t="n">
        <v>53</v>
      </c>
      <c r="B1574" s="1" t="s">
        <v>684</v>
      </c>
      <c r="C1574" s="1" t="s">
        <v>685</v>
      </c>
      <c r="D1574" s="1" t="n">
        <v>21296</v>
      </c>
      <c r="E1574" s="1" t="s">
        <v>57</v>
      </c>
      <c r="F1574" s="201" t="n">
        <v>200025888837</v>
      </c>
      <c r="G1574" s="198" t="s">
        <v>714</v>
      </c>
      <c r="H1574" s="163" t="s">
        <v>468</v>
      </c>
      <c r="I1574" s="161" t="n">
        <v>79</v>
      </c>
      <c r="J1574" s="156" t="s">
        <v>192</v>
      </c>
      <c r="K1574" s="200" t="n">
        <v>45454.0500694444</v>
      </c>
      <c r="L1574" s="3" t="n">
        <v>94</v>
      </c>
      <c r="M1574" s="3" t="n">
        <v>94</v>
      </c>
      <c r="N1574" s="1" t="n">
        <v>2</v>
      </c>
      <c r="O1574" s="1" t="n">
        <v>1</v>
      </c>
    </row>
    <row r="1575" customFormat="false" ht="14.25" hidden="false" customHeight="false" outlineLevel="0" collapsed="false">
      <c r="A1575" s="1" t="n">
        <v>54</v>
      </c>
      <c r="B1575" s="1" t="s">
        <v>684</v>
      </c>
      <c r="C1575" s="1" t="s">
        <v>685</v>
      </c>
      <c r="D1575" s="1" t="n">
        <v>21296</v>
      </c>
      <c r="E1575" s="1" t="s">
        <v>57</v>
      </c>
      <c r="F1575" s="201" t="n">
        <v>200025888837</v>
      </c>
      <c r="G1575" s="198" t="s">
        <v>714</v>
      </c>
      <c r="H1575" s="163" t="s">
        <v>468</v>
      </c>
      <c r="I1575" s="161" t="n">
        <v>79</v>
      </c>
      <c r="J1575" s="156" t="s">
        <v>192</v>
      </c>
      <c r="K1575" s="200" t="n">
        <v>45454.0508449074</v>
      </c>
      <c r="L1575" s="3" t="n">
        <v>94</v>
      </c>
      <c r="M1575" s="3" t="n">
        <v>94</v>
      </c>
      <c r="N1575" s="1" t="n">
        <v>3</v>
      </c>
      <c r="O1575" s="10" t="n">
        <v>246</v>
      </c>
    </row>
    <row r="1576" customFormat="false" ht="14.25" hidden="false" customHeight="false" outlineLevel="0" collapsed="false">
      <c r="A1576" s="1" t="n">
        <v>59</v>
      </c>
      <c r="B1576" s="1" t="s">
        <v>684</v>
      </c>
      <c r="C1576" s="1" t="s">
        <v>685</v>
      </c>
      <c r="D1576" s="1" t="n">
        <v>21296</v>
      </c>
      <c r="E1576" s="1" t="s">
        <v>57</v>
      </c>
      <c r="F1576" s="201" t="n">
        <v>200025888837</v>
      </c>
      <c r="G1576" s="198" t="s">
        <v>714</v>
      </c>
      <c r="H1576" s="163" t="s">
        <v>468</v>
      </c>
      <c r="I1576" s="161" t="n">
        <v>79</v>
      </c>
      <c r="J1576" s="156" t="s">
        <v>192</v>
      </c>
      <c r="K1576" s="200" t="n">
        <v>45454.2581365741</v>
      </c>
      <c r="L1576" s="3" t="n">
        <v>94</v>
      </c>
      <c r="M1576" s="3" t="n">
        <v>94</v>
      </c>
      <c r="N1576" s="1" t="n">
        <v>4</v>
      </c>
      <c r="O1576" s="10" t="n">
        <v>68</v>
      </c>
    </row>
    <row r="1577" customFormat="false" ht="14.25" hidden="false" customHeight="false" outlineLevel="0" collapsed="false">
      <c r="A1577" s="1" t="n">
        <v>60</v>
      </c>
      <c r="B1577" s="1" t="s">
        <v>684</v>
      </c>
      <c r="C1577" s="1" t="s">
        <v>685</v>
      </c>
      <c r="D1577" s="1" t="n">
        <v>21296</v>
      </c>
      <c r="E1577" s="1" t="s">
        <v>57</v>
      </c>
      <c r="F1577" s="201" t="n">
        <v>200025888837</v>
      </c>
      <c r="G1577" s="198" t="s">
        <v>714</v>
      </c>
      <c r="H1577" s="163" t="s">
        <v>468</v>
      </c>
      <c r="I1577" s="161" t="n">
        <v>79</v>
      </c>
      <c r="J1577" s="156" t="s">
        <v>192</v>
      </c>
      <c r="K1577" s="200" t="n">
        <v>45454.2593171296</v>
      </c>
      <c r="L1577" s="3" t="n">
        <v>94</v>
      </c>
      <c r="M1577" s="3" t="n">
        <v>94</v>
      </c>
      <c r="N1577" s="1" t="n">
        <v>5</v>
      </c>
      <c r="O1577" s="1" t="n">
        <v>1</v>
      </c>
    </row>
    <row r="1578" customFormat="false" ht="14.25" hidden="false" customHeight="false" outlineLevel="0" collapsed="false">
      <c r="A1578" s="1" t="n">
        <v>61</v>
      </c>
      <c r="B1578" s="1" t="s">
        <v>684</v>
      </c>
      <c r="C1578" s="1" t="s">
        <v>685</v>
      </c>
      <c r="D1578" s="1" t="n">
        <v>21296</v>
      </c>
      <c r="E1578" s="1" t="s">
        <v>57</v>
      </c>
      <c r="F1578" s="201" t="n">
        <v>200025888837</v>
      </c>
      <c r="G1578" s="198" t="s">
        <v>714</v>
      </c>
      <c r="H1578" s="163" t="s">
        <v>468</v>
      </c>
      <c r="I1578" s="161" t="n">
        <v>79</v>
      </c>
      <c r="J1578" s="156" t="s">
        <v>192</v>
      </c>
      <c r="K1578" s="200" t="n">
        <v>45454.2593287037</v>
      </c>
      <c r="L1578" s="3" t="n">
        <v>94</v>
      </c>
      <c r="M1578" s="3" t="n">
        <v>94</v>
      </c>
      <c r="N1578" s="1" t="n">
        <v>6</v>
      </c>
      <c r="O1578" s="1" t="n">
        <v>0</v>
      </c>
    </row>
    <row r="1579" customFormat="false" ht="14.25" hidden="false" customHeight="false" outlineLevel="0" collapsed="false">
      <c r="A1579" s="1" t="n">
        <v>62</v>
      </c>
      <c r="B1579" s="1" t="s">
        <v>684</v>
      </c>
      <c r="C1579" s="1" t="s">
        <v>685</v>
      </c>
      <c r="D1579" s="1" t="n">
        <v>21296</v>
      </c>
      <c r="E1579" s="1" t="s">
        <v>57</v>
      </c>
      <c r="F1579" s="201" t="n">
        <v>200025888837</v>
      </c>
      <c r="G1579" s="198" t="s">
        <v>714</v>
      </c>
      <c r="H1579" s="163" t="s">
        <v>468</v>
      </c>
      <c r="I1579" s="161" t="n">
        <v>79</v>
      </c>
      <c r="J1579" s="156" t="s">
        <v>192</v>
      </c>
      <c r="K1579" s="200" t="n">
        <v>45454.2593402778</v>
      </c>
      <c r="L1579" s="3" t="n">
        <v>94</v>
      </c>
      <c r="M1579" s="3" t="n">
        <v>94</v>
      </c>
      <c r="N1579" s="1" t="n">
        <v>7</v>
      </c>
      <c r="O1579" s="1" t="n">
        <v>1</v>
      </c>
    </row>
    <row r="1580" customFormat="false" ht="14.25" hidden="false" customHeight="false" outlineLevel="0" collapsed="false">
      <c r="A1580" s="1" t="n">
        <v>63</v>
      </c>
      <c r="B1580" s="1" t="s">
        <v>684</v>
      </c>
      <c r="C1580" s="1" t="s">
        <v>685</v>
      </c>
      <c r="D1580" s="1" t="n">
        <v>21296</v>
      </c>
      <c r="E1580" s="1" t="s">
        <v>57</v>
      </c>
      <c r="F1580" s="201" t="n">
        <v>200025888837</v>
      </c>
      <c r="G1580" s="198" t="s">
        <v>714</v>
      </c>
      <c r="H1580" s="163" t="s">
        <v>468</v>
      </c>
      <c r="I1580" s="161" t="n">
        <v>79</v>
      </c>
      <c r="J1580" s="156" t="s">
        <v>192</v>
      </c>
      <c r="K1580" s="200" t="n">
        <v>45454.2595023148</v>
      </c>
      <c r="L1580" s="3" t="n">
        <v>94</v>
      </c>
      <c r="M1580" s="3" t="n">
        <v>94</v>
      </c>
      <c r="N1580" s="1" t="n">
        <v>8</v>
      </c>
      <c r="O1580" s="1" t="n">
        <v>0</v>
      </c>
    </row>
    <row r="1581" customFormat="false" ht="14.25" hidden="false" customHeight="false" outlineLevel="0" collapsed="false">
      <c r="A1581" s="1" t="n">
        <v>64</v>
      </c>
      <c r="B1581" s="1" t="s">
        <v>684</v>
      </c>
      <c r="C1581" s="1" t="s">
        <v>685</v>
      </c>
      <c r="D1581" s="1" t="n">
        <v>21296</v>
      </c>
      <c r="E1581" s="1" t="s">
        <v>57</v>
      </c>
      <c r="F1581" s="201" t="n">
        <v>200025888837</v>
      </c>
      <c r="G1581" s="198" t="s">
        <v>714</v>
      </c>
      <c r="H1581" s="163" t="s">
        <v>468</v>
      </c>
      <c r="I1581" s="161" t="n">
        <v>79</v>
      </c>
      <c r="J1581" s="156" t="s">
        <v>192</v>
      </c>
      <c r="K1581" s="200" t="n">
        <v>45454.2595138889</v>
      </c>
      <c r="L1581" s="3" t="n">
        <v>94</v>
      </c>
      <c r="M1581" s="3" t="n">
        <v>94</v>
      </c>
      <c r="N1581" s="1" t="n">
        <v>9</v>
      </c>
      <c r="O1581" s="1" t="n">
        <v>19</v>
      </c>
    </row>
    <row r="1582" customFormat="false" ht="14.25" hidden="false" customHeight="false" outlineLevel="0" collapsed="false">
      <c r="A1582" s="1" t="n">
        <v>65</v>
      </c>
      <c r="B1582" s="1" t="s">
        <v>684</v>
      </c>
      <c r="C1582" s="1" t="s">
        <v>685</v>
      </c>
      <c r="D1582" s="1" t="n">
        <v>21296</v>
      </c>
      <c r="E1582" s="1" t="s">
        <v>57</v>
      </c>
      <c r="F1582" s="201" t="n">
        <v>200025888837</v>
      </c>
      <c r="G1582" s="198" t="s">
        <v>714</v>
      </c>
      <c r="H1582" s="163" t="s">
        <v>468</v>
      </c>
      <c r="I1582" s="161" t="n">
        <v>79</v>
      </c>
      <c r="J1582" s="156" t="s">
        <v>192</v>
      </c>
      <c r="K1582" s="200" t="n">
        <v>45454.2597569445</v>
      </c>
      <c r="L1582" s="3" t="n">
        <v>94</v>
      </c>
      <c r="M1582" s="3" t="n">
        <v>94</v>
      </c>
      <c r="N1582" s="1" t="n">
        <v>10</v>
      </c>
      <c r="O1582" s="1" t="n">
        <v>17</v>
      </c>
    </row>
    <row r="1583" customFormat="false" ht="14.25" hidden="false" customHeight="false" outlineLevel="0" collapsed="false">
      <c r="A1583" s="1" t="n">
        <v>66</v>
      </c>
      <c r="B1583" s="1" t="s">
        <v>684</v>
      </c>
      <c r="C1583" s="1" t="s">
        <v>685</v>
      </c>
      <c r="D1583" s="1" t="n">
        <v>21296</v>
      </c>
      <c r="E1583" s="1" t="s">
        <v>57</v>
      </c>
      <c r="F1583" s="201" t="n">
        <v>200025888837</v>
      </c>
      <c r="G1583" s="198" t="s">
        <v>714</v>
      </c>
      <c r="H1583" s="163" t="s">
        <v>468</v>
      </c>
      <c r="I1583" s="161" t="n">
        <v>79</v>
      </c>
      <c r="J1583" s="156" t="s">
        <v>192</v>
      </c>
      <c r="K1583" s="200" t="n">
        <v>45454.2599537037</v>
      </c>
      <c r="L1583" s="3" t="n">
        <v>94</v>
      </c>
      <c r="M1583" s="3" t="n">
        <v>94</v>
      </c>
      <c r="N1583" s="1" t="n">
        <v>11</v>
      </c>
      <c r="O1583" s="1" t="n">
        <v>0</v>
      </c>
    </row>
    <row r="1584" customFormat="false" ht="14.25" hidden="false" customHeight="false" outlineLevel="0" collapsed="false">
      <c r="A1584" s="1" t="n">
        <v>67</v>
      </c>
      <c r="B1584" s="1" t="s">
        <v>684</v>
      </c>
      <c r="C1584" s="1" t="s">
        <v>685</v>
      </c>
      <c r="D1584" s="1" t="n">
        <v>21296</v>
      </c>
      <c r="E1584" s="1" t="s">
        <v>57</v>
      </c>
      <c r="F1584" s="201" t="n">
        <v>200025888837</v>
      </c>
      <c r="G1584" s="198" t="s">
        <v>714</v>
      </c>
      <c r="H1584" s="163" t="s">
        <v>468</v>
      </c>
      <c r="I1584" s="161" t="n">
        <v>79</v>
      </c>
      <c r="J1584" s="156" t="s">
        <v>192</v>
      </c>
      <c r="K1584" s="200" t="n">
        <v>45454.2599652778</v>
      </c>
      <c r="L1584" s="3" t="n">
        <v>94</v>
      </c>
      <c r="M1584" s="3" t="n">
        <v>94</v>
      </c>
      <c r="N1584" s="1" t="n">
        <v>12</v>
      </c>
      <c r="O1584" s="1" t="n">
        <v>0</v>
      </c>
    </row>
    <row r="1585" customFormat="false" ht="14.25" hidden="false" customHeight="false" outlineLevel="0" collapsed="false">
      <c r="A1585" s="1" t="n">
        <v>68</v>
      </c>
      <c r="B1585" s="1" t="s">
        <v>684</v>
      </c>
      <c r="C1585" s="1" t="s">
        <v>685</v>
      </c>
      <c r="D1585" s="1" t="n">
        <v>21296</v>
      </c>
      <c r="E1585" s="1" t="s">
        <v>57</v>
      </c>
      <c r="F1585" s="201" t="n">
        <v>200025888837</v>
      </c>
      <c r="G1585" s="198" t="s">
        <v>714</v>
      </c>
      <c r="H1585" s="163" t="s">
        <v>468</v>
      </c>
      <c r="I1585" s="161" t="n">
        <v>79</v>
      </c>
      <c r="J1585" s="156" t="s">
        <v>192</v>
      </c>
      <c r="K1585" s="200" t="n">
        <v>45454.2599768519</v>
      </c>
      <c r="L1585" s="3" t="n">
        <v>94</v>
      </c>
      <c r="M1585" s="3" t="n">
        <v>94</v>
      </c>
      <c r="N1585" s="1" t="n">
        <v>13</v>
      </c>
      <c r="O1585" s="1" t="n">
        <v>1</v>
      </c>
    </row>
    <row r="1586" customFormat="false" ht="14.25" hidden="false" customHeight="false" outlineLevel="0" collapsed="false">
      <c r="A1586" s="1" t="n">
        <v>69</v>
      </c>
      <c r="B1586" s="1" t="s">
        <v>684</v>
      </c>
      <c r="C1586" s="1" t="s">
        <v>685</v>
      </c>
      <c r="D1586" s="1" t="n">
        <v>21296</v>
      </c>
      <c r="E1586" s="1" t="s">
        <v>57</v>
      </c>
      <c r="F1586" s="201" t="n">
        <v>200025888837</v>
      </c>
      <c r="G1586" s="198" t="s">
        <v>714</v>
      </c>
      <c r="H1586" s="163" t="s">
        <v>468</v>
      </c>
      <c r="I1586" s="161" t="n">
        <v>79</v>
      </c>
      <c r="J1586" s="156" t="s">
        <v>192</v>
      </c>
      <c r="K1586" s="200" t="n">
        <v>45454.2606944444</v>
      </c>
      <c r="L1586" s="3" t="n">
        <v>94</v>
      </c>
      <c r="M1586" s="3" t="n">
        <v>94</v>
      </c>
      <c r="N1586" s="1" t="n">
        <v>14</v>
      </c>
      <c r="O1586" s="1" t="n">
        <v>0</v>
      </c>
    </row>
    <row r="1587" customFormat="false" ht="14.25" hidden="false" customHeight="false" outlineLevel="0" collapsed="false">
      <c r="A1587" s="1" t="n">
        <v>75</v>
      </c>
      <c r="B1587" s="1" t="s">
        <v>684</v>
      </c>
      <c r="C1587" s="1" t="s">
        <v>685</v>
      </c>
      <c r="D1587" s="1" t="n">
        <v>21296</v>
      </c>
      <c r="E1587" s="1" t="s">
        <v>57</v>
      </c>
      <c r="F1587" s="201" t="n">
        <v>200025888837</v>
      </c>
      <c r="G1587" s="198" t="s">
        <v>714</v>
      </c>
      <c r="H1587" s="163" t="s">
        <v>468</v>
      </c>
      <c r="I1587" s="161" t="n">
        <v>79</v>
      </c>
      <c r="J1587" s="156" t="s">
        <v>192</v>
      </c>
      <c r="K1587" s="200" t="n">
        <v>45454.421087963</v>
      </c>
      <c r="L1587" s="3" t="n">
        <v>94</v>
      </c>
      <c r="M1587" s="3" t="n">
        <v>94</v>
      </c>
      <c r="N1587" s="1" t="n">
        <v>15</v>
      </c>
      <c r="O1587" s="1" t="n">
        <v>1</v>
      </c>
    </row>
    <row r="1588" customFormat="false" ht="14.25" hidden="false" customHeight="false" outlineLevel="0" collapsed="false">
      <c r="A1588" s="1" t="n">
        <v>76</v>
      </c>
      <c r="B1588" s="1" t="s">
        <v>684</v>
      </c>
      <c r="C1588" s="1" t="s">
        <v>685</v>
      </c>
      <c r="D1588" s="1" t="n">
        <v>21296</v>
      </c>
      <c r="E1588" s="1" t="s">
        <v>57</v>
      </c>
      <c r="F1588" s="201" t="n">
        <v>200025888837</v>
      </c>
      <c r="G1588" s="198" t="s">
        <v>714</v>
      </c>
      <c r="H1588" s="163" t="s">
        <v>468</v>
      </c>
      <c r="I1588" s="161" t="n">
        <v>79</v>
      </c>
      <c r="J1588" s="156" t="s">
        <v>192</v>
      </c>
      <c r="K1588" s="200" t="n">
        <v>45454.4211111111</v>
      </c>
      <c r="L1588" s="3" t="n">
        <v>94</v>
      </c>
      <c r="M1588" s="3" t="n">
        <v>94</v>
      </c>
      <c r="N1588" s="1" t="n">
        <v>16</v>
      </c>
      <c r="O1588" s="1" t="n">
        <v>33</v>
      </c>
    </row>
    <row r="1589" customFormat="false" ht="14.25" hidden="false" customHeight="false" outlineLevel="0" collapsed="false">
      <c r="A1589" s="1" t="n">
        <v>71</v>
      </c>
      <c r="B1589" s="1" t="s">
        <v>637</v>
      </c>
      <c r="C1589" s="1" t="s">
        <v>638</v>
      </c>
      <c r="D1589" s="196" t="n">
        <v>2568</v>
      </c>
      <c r="E1589" s="196" t="s">
        <v>51</v>
      </c>
      <c r="F1589" s="201" t="n">
        <v>200025889770</v>
      </c>
      <c r="G1589" s="198" t="s">
        <v>642</v>
      </c>
      <c r="H1589" s="163" t="s">
        <v>501</v>
      </c>
      <c r="I1589" s="161" t="n">
        <v>77</v>
      </c>
      <c r="J1589" s="156" t="s">
        <v>192</v>
      </c>
      <c r="K1589" s="200" t="n">
        <v>45457.0119675926</v>
      </c>
      <c r="L1589" s="3" t="n">
        <v>95</v>
      </c>
      <c r="M1589" s="3" t="n">
        <v>95</v>
      </c>
      <c r="N1589" s="1" t="n">
        <v>1</v>
      </c>
      <c r="O1589" s="1" t="n">
        <v>2</v>
      </c>
    </row>
    <row r="1590" customFormat="false" ht="14.25" hidden="false" customHeight="false" outlineLevel="0" collapsed="false">
      <c r="A1590" s="1" t="n">
        <v>72</v>
      </c>
      <c r="B1590" s="1" t="s">
        <v>637</v>
      </c>
      <c r="C1590" s="1" t="s">
        <v>638</v>
      </c>
      <c r="D1590" s="196" t="n">
        <v>2568</v>
      </c>
      <c r="E1590" s="196" t="s">
        <v>51</v>
      </c>
      <c r="F1590" s="201" t="n">
        <v>200025889770</v>
      </c>
      <c r="G1590" s="198" t="s">
        <v>642</v>
      </c>
      <c r="H1590" s="163" t="s">
        <v>501</v>
      </c>
      <c r="I1590" s="161" t="n">
        <v>77</v>
      </c>
      <c r="J1590" s="156" t="s">
        <v>192</v>
      </c>
      <c r="K1590" s="200" t="n">
        <v>45457.0119907407</v>
      </c>
      <c r="L1590" s="3" t="n">
        <v>95</v>
      </c>
      <c r="M1590" s="3" t="n">
        <v>95</v>
      </c>
      <c r="N1590" s="1" t="n">
        <v>2</v>
      </c>
      <c r="O1590" s="1" t="n">
        <v>1</v>
      </c>
    </row>
    <row r="1591" customFormat="false" ht="14.25" hidden="false" customHeight="false" outlineLevel="0" collapsed="false">
      <c r="A1591" s="1" t="n">
        <v>73</v>
      </c>
      <c r="B1591" s="1" t="s">
        <v>637</v>
      </c>
      <c r="C1591" s="1" t="s">
        <v>638</v>
      </c>
      <c r="D1591" s="196" t="n">
        <v>2568</v>
      </c>
      <c r="E1591" s="196" t="s">
        <v>51</v>
      </c>
      <c r="F1591" s="201" t="n">
        <v>200025889770</v>
      </c>
      <c r="G1591" s="198" t="s">
        <v>642</v>
      </c>
      <c r="H1591" s="163" t="s">
        <v>501</v>
      </c>
      <c r="I1591" s="161" t="n">
        <v>77</v>
      </c>
      <c r="J1591" s="156" t="s">
        <v>192</v>
      </c>
      <c r="K1591" s="200" t="n">
        <v>45457.0201157407</v>
      </c>
      <c r="L1591" s="3" t="n">
        <v>95</v>
      </c>
      <c r="M1591" s="3" t="n">
        <v>95</v>
      </c>
      <c r="N1591" s="1" t="n">
        <v>3</v>
      </c>
      <c r="O1591" s="1" t="n">
        <v>2</v>
      </c>
    </row>
    <row r="1592" customFormat="false" ht="14.25" hidden="false" customHeight="false" outlineLevel="0" collapsed="false">
      <c r="A1592" s="1" t="n">
        <v>74</v>
      </c>
      <c r="B1592" s="1" t="s">
        <v>637</v>
      </c>
      <c r="C1592" s="1" t="s">
        <v>638</v>
      </c>
      <c r="D1592" s="196" t="n">
        <v>2568</v>
      </c>
      <c r="E1592" s="196" t="s">
        <v>51</v>
      </c>
      <c r="F1592" s="201" t="n">
        <v>200025889770</v>
      </c>
      <c r="G1592" s="198" t="s">
        <v>642</v>
      </c>
      <c r="H1592" s="163" t="s">
        <v>501</v>
      </c>
      <c r="I1592" s="161" t="n">
        <v>77</v>
      </c>
      <c r="J1592" s="156" t="s">
        <v>192</v>
      </c>
      <c r="K1592" s="200" t="n">
        <v>45457.0443865741</v>
      </c>
      <c r="L1592" s="3" t="n">
        <v>95</v>
      </c>
      <c r="M1592" s="3" t="n">
        <v>95</v>
      </c>
      <c r="N1592" s="1" t="n">
        <v>4</v>
      </c>
      <c r="O1592" s="1" t="n">
        <v>2</v>
      </c>
    </row>
    <row r="1593" customFormat="false" ht="14.25" hidden="false" customHeight="false" outlineLevel="0" collapsed="false">
      <c r="A1593" s="1" t="n">
        <v>75</v>
      </c>
      <c r="B1593" s="1" t="s">
        <v>637</v>
      </c>
      <c r="C1593" s="1" t="s">
        <v>638</v>
      </c>
      <c r="D1593" s="196" t="n">
        <v>2568</v>
      </c>
      <c r="E1593" s="196" t="s">
        <v>51</v>
      </c>
      <c r="F1593" s="201" t="n">
        <v>200025889770</v>
      </c>
      <c r="G1593" s="198" t="s">
        <v>642</v>
      </c>
      <c r="H1593" s="163" t="s">
        <v>501</v>
      </c>
      <c r="I1593" s="161" t="n">
        <v>77</v>
      </c>
      <c r="J1593" s="156" t="s">
        <v>192</v>
      </c>
      <c r="K1593" s="200" t="n">
        <v>45457.0446990741</v>
      </c>
      <c r="L1593" s="3" t="n">
        <v>95</v>
      </c>
      <c r="M1593" s="3" t="n">
        <v>95</v>
      </c>
      <c r="N1593" s="1" t="n">
        <v>5</v>
      </c>
      <c r="O1593" s="1" t="n">
        <v>3</v>
      </c>
    </row>
    <row r="1594" customFormat="false" ht="14.25" hidden="false" customHeight="false" outlineLevel="0" collapsed="false">
      <c r="A1594" s="1" t="n">
        <v>76</v>
      </c>
      <c r="B1594" s="1" t="s">
        <v>637</v>
      </c>
      <c r="C1594" s="1" t="s">
        <v>638</v>
      </c>
      <c r="D1594" s="196" t="n">
        <v>2568</v>
      </c>
      <c r="E1594" s="196" t="s">
        <v>51</v>
      </c>
      <c r="F1594" s="201" t="n">
        <v>200025889770</v>
      </c>
      <c r="G1594" s="198" t="s">
        <v>642</v>
      </c>
      <c r="H1594" s="163" t="s">
        <v>501</v>
      </c>
      <c r="I1594" s="161" t="n">
        <v>77</v>
      </c>
      <c r="J1594" s="156" t="s">
        <v>192</v>
      </c>
      <c r="K1594" s="200" t="n">
        <v>45457.0582638889</v>
      </c>
      <c r="L1594" s="3" t="n">
        <v>95</v>
      </c>
      <c r="M1594" s="3" t="n">
        <v>95</v>
      </c>
      <c r="N1594" s="1" t="n">
        <v>6</v>
      </c>
      <c r="O1594" s="1" t="n">
        <v>1</v>
      </c>
    </row>
    <row r="1595" customFormat="false" ht="14.25" hidden="false" customHeight="false" outlineLevel="0" collapsed="false">
      <c r="A1595" s="1" t="n">
        <v>77</v>
      </c>
      <c r="B1595" s="1" t="s">
        <v>637</v>
      </c>
      <c r="C1595" s="1" t="s">
        <v>638</v>
      </c>
      <c r="D1595" s="196" t="n">
        <v>2568</v>
      </c>
      <c r="E1595" s="196" t="s">
        <v>51</v>
      </c>
      <c r="F1595" s="201" t="n">
        <v>200025889770</v>
      </c>
      <c r="G1595" s="198" t="s">
        <v>642</v>
      </c>
      <c r="H1595" s="163" t="s">
        <v>501</v>
      </c>
      <c r="I1595" s="161" t="n">
        <v>77</v>
      </c>
      <c r="J1595" s="156" t="s">
        <v>192</v>
      </c>
      <c r="K1595" s="200" t="n">
        <v>45457.058275463</v>
      </c>
      <c r="L1595" s="3" t="n">
        <v>95</v>
      </c>
      <c r="M1595" s="3" t="n">
        <v>95</v>
      </c>
      <c r="N1595" s="1" t="n">
        <v>7</v>
      </c>
      <c r="O1595" s="1" t="n">
        <v>0</v>
      </c>
    </row>
    <row r="1596" customFormat="false" ht="14.25" hidden="false" customHeight="false" outlineLevel="0" collapsed="false">
      <c r="A1596" s="1" t="n">
        <v>78</v>
      </c>
      <c r="B1596" s="1" t="s">
        <v>637</v>
      </c>
      <c r="C1596" s="1" t="s">
        <v>638</v>
      </c>
      <c r="D1596" s="196" t="n">
        <v>2568</v>
      </c>
      <c r="E1596" s="196" t="s">
        <v>51</v>
      </c>
      <c r="F1596" s="201" t="n">
        <v>200025889770</v>
      </c>
      <c r="G1596" s="198" t="s">
        <v>642</v>
      </c>
      <c r="H1596" s="163" t="s">
        <v>501</v>
      </c>
      <c r="I1596" s="161" t="n">
        <v>77</v>
      </c>
      <c r="J1596" s="156" t="s">
        <v>192</v>
      </c>
      <c r="K1596" s="200" t="n">
        <v>45457.058287037</v>
      </c>
      <c r="L1596" s="3" t="n">
        <v>95</v>
      </c>
      <c r="M1596" s="3" t="n">
        <v>95</v>
      </c>
      <c r="N1596" s="1" t="n">
        <v>8</v>
      </c>
      <c r="O1596" s="1" t="n">
        <v>0</v>
      </c>
    </row>
    <row r="1597" customFormat="false" ht="14.25" hidden="false" customHeight="false" outlineLevel="0" collapsed="false">
      <c r="A1597" s="1" t="n">
        <v>79</v>
      </c>
      <c r="B1597" s="1" t="s">
        <v>637</v>
      </c>
      <c r="C1597" s="1" t="s">
        <v>638</v>
      </c>
      <c r="D1597" s="196" t="n">
        <v>2568</v>
      </c>
      <c r="E1597" s="196" t="s">
        <v>51</v>
      </c>
      <c r="F1597" s="201" t="n">
        <v>200025889770</v>
      </c>
      <c r="G1597" s="198" t="s">
        <v>642</v>
      </c>
      <c r="H1597" s="163" t="s">
        <v>501</v>
      </c>
      <c r="I1597" s="161" t="n">
        <v>77</v>
      </c>
      <c r="J1597" s="156" t="s">
        <v>192</v>
      </c>
      <c r="K1597" s="200" t="n">
        <v>45457.0907175926</v>
      </c>
      <c r="L1597" s="3" t="n">
        <v>95</v>
      </c>
      <c r="M1597" s="3" t="n">
        <v>95</v>
      </c>
      <c r="N1597" s="1" t="n">
        <v>9</v>
      </c>
      <c r="O1597" s="1" t="n">
        <v>1</v>
      </c>
    </row>
    <row r="1598" customFormat="false" ht="14.25" hidden="false" customHeight="false" outlineLevel="0" collapsed="false">
      <c r="A1598" s="1" t="n">
        <v>80</v>
      </c>
      <c r="B1598" s="1" t="s">
        <v>637</v>
      </c>
      <c r="C1598" s="1" t="s">
        <v>638</v>
      </c>
      <c r="D1598" s="196" t="n">
        <v>2568</v>
      </c>
      <c r="E1598" s="196" t="s">
        <v>51</v>
      </c>
      <c r="F1598" s="201" t="n">
        <v>200025889770</v>
      </c>
      <c r="G1598" s="198" t="s">
        <v>642</v>
      </c>
      <c r="H1598" s="163" t="s">
        <v>501</v>
      </c>
      <c r="I1598" s="161" t="n">
        <v>77</v>
      </c>
      <c r="J1598" s="156" t="s">
        <v>192</v>
      </c>
      <c r="K1598" s="200" t="n">
        <v>45457.0912268519</v>
      </c>
      <c r="L1598" s="3" t="n">
        <v>95</v>
      </c>
      <c r="M1598" s="3" t="n">
        <v>95</v>
      </c>
      <c r="N1598" s="1" t="n">
        <v>10</v>
      </c>
      <c r="O1598" s="1" t="n">
        <v>2</v>
      </c>
    </row>
    <row r="1599" customFormat="false" ht="14.25" hidden="false" customHeight="false" outlineLevel="0" collapsed="false">
      <c r="A1599" s="1" t="n">
        <v>81</v>
      </c>
      <c r="B1599" s="1" t="s">
        <v>637</v>
      </c>
      <c r="C1599" s="1" t="s">
        <v>638</v>
      </c>
      <c r="D1599" s="196" t="n">
        <v>2568</v>
      </c>
      <c r="E1599" s="196" t="s">
        <v>51</v>
      </c>
      <c r="F1599" s="201" t="n">
        <v>200025889770</v>
      </c>
      <c r="G1599" s="198" t="s">
        <v>642</v>
      </c>
      <c r="H1599" s="163" t="s">
        <v>501</v>
      </c>
      <c r="I1599" s="161" t="n">
        <v>77</v>
      </c>
      <c r="J1599" s="156" t="s">
        <v>192</v>
      </c>
      <c r="K1599" s="200" t="n">
        <v>45457.1193865741</v>
      </c>
      <c r="L1599" s="3" t="n">
        <v>95</v>
      </c>
      <c r="M1599" s="3" t="n">
        <v>95</v>
      </c>
      <c r="N1599" s="1" t="n">
        <v>11</v>
      </c>
      <c r="O1599" s="1" t="n">
        <v>1</v>
      </c>
    </row>
    <row r="1600" customFormat="false" ht="14.25" hidden="false" customHeight="false" outlineLevel="0" collapsed="false">
      <c r="A1600" s="1" t="n">
        <v>82</v>
      </c>
      <c r="B1600" s="1" t="s">
        <v>637</v>
      </c>
      <c r="C1600" s="1" t="s">
        <v>638</v>
      </c>
      <c r="D1600" s="196" t="n">
        <v>2568</v>
      </c>
      <c r="E1600" s="196" t="s">
        <v>51</v>
      </c>
      <c r="F1600" s="201" t="n">
        <v>200025889770</v>
      </c>
      <c r="G1600" s="198" t="s">
        <v>642</v>
      </c>
      <c r="H1600" s="163" t="s">
        <v>501</v>
      </c>
      <c r="I1600" s="161" t="n">
        <v>77</v>
      </c>
      <c r="J1600" s="156" t="s">
        <v>192</v>
      </c>
      <c r="K1600" s="200" t="n">
        <v>45457.120162037</v>
      </c>
      <c r="L1600" s="3" t="n">
        <v>95</v>
      </c>
      <c r="M1600" s="3" t="n">
        <v>95</v>
      </c>
      <c r="N1600" s="1" t="n">
        <v>12</v>
      </c>
      <c r="O1600" s="1" t="n">
        <v>1</v>
      </c>
    </row>
    <row r="1601" customFormat="false" ht="14.25" hidden="false" customHeight="false" outlineLevel="0" collapsed="false">
      <c r="A1601" s="1" t="n">
        <v>83</v>
      </c>
      <c r="B1601" s="1" t="s">
        <v>637</v>
      </c>
      <c r="C1601" s="1" t="s">
        <v>638</v>
      </c>
      <c r="D1601" s="196" t="n">
        <v>2568</v>
      </c>
      <c r="E1601" s="196" t="s">
        <v>51</v>
      </c>
      <c r="F1601" s="201" t="n">
        <v>200025889770</v>
      </c>
      <c r="G1601" s="198" t="s">
        <v>642</v>
      </c>
      <c r="H1601" s="163" t="s">
        <v>501</v>
      </c>
      <c r="I1601" s="161" t="n">
        <v>77</v>
      </c>
      <c r="J1601" s="156" t="s">
        <v>192</v>
      </c>
      <c r="K1601" s="200" t="n">
        <v>45457.1204976852</v>
      </c>
      <c r="L1601" s="3" t="n">
        <v>95</v>
      </c>
      <c r="M1601" s="3" t="n">
        <v>95</v>
      </c>
      <c r="N1601" s="1" t="n">
        <v>13</v>
      </c>
      <c r="O1601" s="1" t="n">
        <v>3</v>
      </c>
    </row>
    <row r="1602" customFormat="false" ht="14.25" hidden="false" customHeight="false" outlineLevel="0" collapsed="false">
      <c r="A1602" s="1" t="n">
        <v>84</v>
      </c>
      <c r="B1602" s="1" t="s">
        <v>637</v>
      </c>
      <c r="C1602" s="1" t="s">
        <v>638</v>
      </c>
      <c r="D1602" s="196" t="n">
        <v>2568</v>
      </c>
      <c r="E1602" s="196" t="s">
        <v>51</v>
      </c>
      <c r="F1602" s="201" t="n">
        <v>200025889770</v>
      </c>
      <c r="G1602" s="198" t="s">
        <v>642</v>
      </c>
      <c r="H1602" s="163" t="s">
        <v>501</v>
      </c>
      <c r="I1602" s="161" t="n">
        <v>77</v>
      </c>
      <c r="J1602" s="156" t="s">
        <v>192</v>
      </c>
      <c r="K1602" s="200" t="n">
        <v>45457.1508796296</v>
      </c>
      <c r="L1602" s="3" t="n">
        <v>95</v>
      </c>
      <c r="M1602" s="3" t="n">
        <v>95</v>
      </c>
      <c r="N1602" s="1" t="n">
        <v>14</v>
      </c>
      <c r="O1602" s="1" t="n">
        <v>1</v>
      </c>
    </row>
    <row r="1603" customFormat="false" ht="14.25" hidden="false" customHeight="false" outlineLevel="0" collapsed="false">
      <c r="A1603" s="1" t="n">
        <v>85</v>
      </c>
      <c r="B1603" s="1" t="s">
        <v>637</v>
      </c>
      <c r="C1603" s="1" t="s">
        <v>638</v>
      </c>
      <c r="D1603" s="196" t="n">
        <v>2568</v>
      </c>
      <c r="E1603" s="196" t="s">
        <v>51</v>
      </c>
      <c r="F1603" s="201" t="n">
        <v>200025889770</v>
      </c>
      <c r="G1603" s="198" t="s">
        <v>642</v>
      </c>
      <c r="H1603" s="163" t="s">
        <v>501</v>
      </c>
      <c r="I1603" s="161" t="n">
        <v>77</v>
      </c>
      <c r="J1603" s="156" t="s">
        <v>192</v>
      </c>
      <c r="K1603" s="200" t="n">
        <v>45457.1836342593</v>
      </c>
      <c r="L1603" s="3" t="n">
        <v>95</v>
      </c>
      <c r="M1603" s="3" t="n">
        <v>95</v>
      </c>
      <c r="N1603" s="1" t="n">
        <v>15</v>
      </c>
      <c r="O1603" s="1" t="n">
        <v>1</v>
      </c>
    </row>
    <row r="1604" customFormat="false" ht="14.25" hidden="false" customHeight="false" outlineLevel="0" collapsed="false">
      <c r="A1604" s="1" t="n">
        <v>86</v>
      </c>
      <c r="B1604" s="1" t="s">
        <v>637</v>
      </c>
      <c r="C1604" s="1" t="s">
        <v>638</v>
      </c>
      <c r="D1604" s="196" t="n">
        <v>2568</v>
      </c>
      <c r="E1604" s="196" t="s">
        <v>51</v>
      </c>
      <c r="F1604" s="201" t="n">
        <v>200025889770</v>
      </c>
      <c r="G1604" s="198" t="s">
        <v>642</v>
      </c>
      <c r="H1604" s="163" t="s">
        <v>501</v>
      </c>
      <c r="I1604" s="161" t="n">
        <v>77</v>
      </c>
      <c r="J1604" s="156" t="s">
        <v>192</v>
      </c>
      <c r="K1604" s="200" t="n">
        <v>45457.1836574074</v>
      </c>
      <c r="L1604" s="3" t="n">
        <v>95</v>
      </c>
      <c r="M1604" s="3" t="n">
        <v>95</v>
      </c>
      <c r="N1604" s="1" t="n">
        <v>16</v>
      </c>
      <c r="O1604" s="1" t="n">
        <v>0</v>
      </c>
    </row>
    <row r="1605" customFormat="false" ht="14.25" hidden="false" customHeight="false" outlineLevel="0" collapsed="false">
      <c r="A1605" s="1" t="n">
        <v>87</v>
      </c>
      <c r="B1605" s="1" t="s">
        <v>637</v>
      </c>
      <c r="C1605" s="1" t="s">
        <v>638</v>
      </c>
      <c r="D1605" s="196" t="n">
        <v>2568</v>
      </c>
      <c r="E1605" s="196" t="s">
        <v>51</v>
      </c>
      <c r="F1605" s="201" t="n">
        <v>200025889770</v>
      </c>
      <c r="G1605" s="198" t="s">
        <v>642</v>
      </c>
      <c r="H1605" s="163" t="s">
        <v>501</v>
      </c>
      <c r="I1605" s="161" t="n">
        <v>77</v>
      </c>
      <c r="J1605" s="156" t="s">
        <v>192</v>
      </c>
      <c r="K1605" s="200" t="n">
        <v>45457.2302314815</v>
      </c>
      <c r="L1605" s="3" t="n">
        <v>95</v>
      </c>
      <c r="M1605" s="3" t="n">
        <v>95</v>
      </c>
      <c r="N1605" s="1" t="n">
        <v>17</v>
      </c>
      <c r="O1605" s="1" t="n">
        <v>4</v>
      </c>
    </row>
    <row r="1606" customFormat="false" ht="14.25" hidden="false" customHeight="false" outlineLevel="0" collapsed="false">
      <c r="A1606" s="1" t="n">
        <v>88</v>
      </c>
      <c r="B1606" s="1" t="s">
        <v>637</v>
      </c>
      <c r="C1606" s="1" t="s">
        <v>638</v>
      </c>
      <c r="D1606" s="196" t="n">
        <v>2568</v>
      </c>
      <c r="E1606" s="196" t="s">
        <v>51</v>
      </c>
      <c r="F1606" s="201" t="n">
        <v>200025889770</v>
      </c>
      <c r="G1606" s="198" t="s">
        <v>642</v>
      </c>
      <c r="H1606" s="163" t="s">
        <v>501</v>
      </c>
      <c r="I1606" s="161" t="n">
        <v>77</v>
      </c>
      <c r="J1606" s="156" t="s">
        <v>192</v>
      </c>
      <c r="K1606" s="200" t="n">
        <v>45457.2439236111</v>
      </c>
      <c r="L1606" s="3" t="n">
        <v>95</v>
      </c>
      <c r="M1606" s="3" t="n">
        <v>95</v>
      </c>
      <c r="N1606" s="1" t="n">
        <v>18</v>
      </c>
      <c r="O1606" s="1" t="n">
        <v>1</v>
      </c>
    </row>
    <row r="1607" customFormat="false" ht="14.25" hidden="false" customHeight="false" outlineLevel="0" collapsed="false">
      <c r="A1607" s="1" t="n">
        <v>89</v>
      </c>
      <c r="B1607" s="1" t="s">
        <v>637</v>
      </c>
      <c r="C1607" s="1" t="s">
        <v>638</v>
      </c>
      <c r="D1607" s="196" t="n">
        <v>2568</v>
      </c>
      <c r="E1607" s="196" t="s">
        <v>51</v>
      </c>
      <c r="F1607" s="201" t="n">
        <v>200025889770</v>
      </c>
      <c r="G1607" s="198" t="s">
        <v>642</v>
      </c>
      <c r="H1607" s="163" t="s">
        <v>501</v>
      </c>
      <c r="I1607" s="161" t="n">
        <v>77</v>
      </c>
      <c r="J1607" s="156" t="s">
        <v>192</v>
      </c>
      <c r="K1607" s="200" t="n">
        <v>45457.2899537037</v>
      </c>
      <c r="L1607" s="3" t="n">
        <v>95</v>
      </c>
      <c r="M1607" s="3" t="n">
        <v>95</v>
      </c>
      <c r="N1607" s="1" t="n">
        <v>19</v>
      </c>
      <c r="O1607" s="1" t="n">
        <v>1</v>
      </c>
    </row>
    <row r="1608" customFormat="false" ht="14.25" hidden="false" customHeight="false" outlineLevel="0" collapsed="false">
      <c r="A1608" s="1" t="n">
        <v>90</v>
      </c>
      <c r="B1608" s="1" t="s">
        <v>637</v>
      </c>
      <c r="C1608" s="1" t="s">
        <v>638</v>
      </c>
      <c r="D1608" s="196" t="n">
        <v>2568</v>
      </c>
      <c r="E1608" s="196" t="s">
        <v>51</v>
      </c>
      <c r="F1608" s="201" t="n">
        <v>200025889770</v>
      </c>
      <c r="G1608" s="198" t="s">
        <v>642</v>
      </c>
      <c r="H1608" s="163" t="s">
        <v>501</v>
      </c>
      <c r="I1608" s="161" t="n">
        <v>77</v>
      </c>
      <c r="J1608" s="156" t="s">
        <v>192</v>
      </c>
      <c r="K1608" s="200" t="n">
        <v>45457.2899652778</v>
      </c>
      <c r="L1608" s="3" t="n">
        <v>95</v>
      </c>
      <c r="M1608" s="3" t="n">
        <v>95</v>
      </c>
      <c r="N1608" s="1" t="n">
        <v>20</v>
      </c>
      <c r="O1608" s="1" t="n">
        <v>1</v>
      </c>
    </row>
    <row r="1609" customFormat="false" ht="14.25" hidden="false" customHeight="false" outlineLevel="0" collapsed="false">
      <c r="A1609" s="1" t="n">
        <v>55</v>
      </c>
      <c r="B1609" s="1" t="s">
        <v>643</v>
      </c>
      <c r="C1609" s="1" t="s">
        <v>644</v>
      </c>
      <c r="D1609" s="1" t="n">
        <v>11171</v>
      </c>
      <c r="E1609" s="1" t="s">
        <v>55</v>
      </c>
      <c r="F1609" s="201" t="n">
        <v>200025889770</v>
      </c>
      <c r="G1609" s="198" t="s">
        <v>642</v>
      </c>
      <c r="H1609" s="163" t="s">
        <v>501</v>
      </c>
      <c r="I1609" s="161" t="n">
        <v>77</v>
      </c>
      <c r="J1609" s="156" t="s">
        <v>192</v>
      </c>
      <c r="K1609" s="200" t="n">
        <v>45457.4815625</v>
      </c>
      <c r="L1609" s="3" t="n">
        <v>95</v>
      </c>
      <c r="M1609" s="3" t="n">
        <v>95</v>
      </c>
      <c r="N1609" s="1" t="n">
        <v>21</v>
      </c>
      <c r="O1609" s="1" t="n">
        <v>2</v>
      </c>
    </row>
    <row r="1610" customFormat="false" ht="14.25" hidden="false" customHeight="false" outlineLevel="0" collapsed="false">
      <c r="A1610" s="1" t="n">
        <v>56</v>
      </c>
      <c r="B1610" s="1" t="s">
        <v>643</v>
      </c>
      <c r="C1610" s="1" t="s">
        <v>644</v>
      </c>
      <c r="D1610" s="1" t="n">
        <v>11171</v>
      </c>
      <c r="E1610" s="1" t="s">
        <v>55</v>
      </c>
      <c r="F1610" s="201" t="n">
        <v>200025889770</v>
      </c>
      <c r="G1610" s="198" t="s">
        <v>642</v>
      </c>
      <c r="H1610" s="163" t="s">
        <v>501</v>
      </c>
      <c r="I1610" s="161" t="n">
        <v>77</v>
      </c>
      <c r="J1610" s="156" t="s">
        <v>192</v>
      </c>
      <c r="K1610" s="200" t="n">
        <v>45457.4816087963</v>
      </c>
      <c r="L1610" s="3" t="n">
        <v>95</v>
      </c>
      <c r="M1610" s="3" t="n">
        <v>95</v>
      </c>
      <c r="N1610" s="1" t="n">
        <v>22</v>
      </c>
      <c r="O1610" s="1" t="n">
        <v>0</v>
      </c>
    </row>
    <row r="1611" customFormat="false" ht="14.25" hidden="false" customHeight="false" outlineLevel="0" collapsed="false">
      <c r="A1611" s="1" t="n">
        <v>57</v>
      </c>
      <c r="B1611" s="1" t="s">
        <v>643</v>
      </c>
      <c r="C1611" s="1" t="s">
        <v>644</v>
      </c>
      <c r="D1611" s="1" t="n">
        <v>11171</v>
      </c>
      <c r="E1611" s="1" t="s">
        <v>55</v>
      </c>
      <c r="F1611" s="201" t="n">
        <v>200025889770</v>
      </c>
      <c r="G1611" s="198" t="s">
        <v>642</v>
      </c>
      <c r="H1611" s="163" t="s">
        <v>501</v>
      </c>
      <c r="I1611" s="161" t="n">
        <v>77</v>
      </c>
      <c r="J1611" s="156" t="s">
        <v>192</v>
      </c>
      <c r="K1611" s="200" t="n">
        <v>45457.4843402778</v>
      </c>
      <c r="L1611" s="3" t="n">
        <v>95</v>
      </c>
      <c r="M1611" s="3" t="n">
        <v>95</v>
      </c>
      <c r="N1611" s="1" t="n">
        <v>23</v>
      </c>
      <c r="O1611" s="1" t="n">
        <v>3</v>
      </c>
    </row>
    <row r="1612" customFormat="false" ht="14.25" hidden="false" customHeight="false" outlineLevel="0" collapsed="false">
      <c r="A1612" s="1" t="n">
        <v>58</v>
      </c>
      <c r="B1612" s="1" t="s">
        <v>643</v>
      </c>
      <c r="C1612" s="1" t="s">
        <v>644</v>
      </c>
      <c r="D1612" s="1" t="n">
        <v>11171</v>
      </c>
      <c r="E1612" s="1" t="s">
        <v>55</v>
      </c>
      <c r="F1612" s="201" t="n">
        <v>200025889770</v>
      </c>
      <c r="G1612" s="198" t="s">
        <v>642</v>
      </c>
      <c r="H1612" s="163" t="s">
        <v>501</v>
      </c>
      <c r="I1612" s="161" t="n">
        <v>77</v>
      </c>
      <c r="J1612" s="156" t="s">
        <v>192</v>
      </c>
      <c r="K1612" s="200" t="n">
        <v>45457.4861226852</v>
      </c>
      <c r="L1612" s="3" t="n">
        <v>95</v>
      </c>
      <c r="M1612" s="3" t="n">
        <v>95</v>
      </c>
      <c r="N1612" s="1" t="n">
        <v>24</v>
      </c>
      <c r="O1612" s="1" t="n">
        <v>1</v>
      </c>
    </row>
    <row r="1613" customFormat="false" ht="14.25" hidden="false" customHeight="false" outlineLevel="0" collapsed="false">
      <c r="A1613" s="1" t="n">
        <v>59</v>
      </c>
      <c r="B1613" s="1" t="s">
        <v>643</v>
      </c>
      <c r="C1613" s="1" t="s">
        <v>644</v>
      </c>
      <c r="D1613" s="1" t="n">
        <v>11171</v>
      </c>
      <c r="E1613" s="1" t="s">
        <v>55</v>
      </c>
      <c r="F1613" s="201" t="n">
        <v>200025889770</v>
      </c>
      <c r="G1613" s="198" t="s">
        <v>642</v>
      </c>
      <c r="H1613" s="163" t="s">
        <v>501</v>
      </c>
      <c r="I1613" s="161" t="n">
        <v>77</v>
      </c>
      <c r="J1613" s="156" t="s">
        <v>192</v>
      </c>
      <c r="K1613" s="200" t="n">
        <v>45457.4950810185</v>
      </c>
      <c r="L1613" s="3" t="n">
        <v>95</v>
      </c>
      <c r="M1613" s="3" t="n">
        <v>95</v>
      </c>
      <c r="N1613" s="1" t="n">
        <v>25</v>
      </c>
      <c r="O1613" s="1" t="n">
        <v>1</v>
      </c>
    </row>
    <row r="1614" customFormat="false" ht="14.25" hidden="false" customHeight="false" outlineLevel="0" collapsed="false">
      <c r="A1614" s="1" t="n">
        <v>60</v>
      </c>
      <c r="B1614" s="1" t="s">
        <v>643</v>
      </c>
      <c r="C1614" s="1" t="s">
        <v>644</v>
      </c>
      <c r="D1614" s="1" t="n">
        <v>11171</v>
      </c>
      <c r="E1614" s="1" t="s">
        <v>55</v>
      </c>
      <c r="F1614" s="201" t="n">
        <v>200025889770</v>
      </c>
      <c r="G1614" s="198" t="s">
        <v>642</v>
      </c>
      <c r="H1614" s="163" t="s">
        <v>501</v>
      </c>
      <c r="I1614" s="161" t="n">
        <v>77</v>
      </c>
      <c r="J1614" s="156" t="s">
        <v>192</v>
      </c>
      <c r="K1614" s="200" t="n">
        <v>45457.4950925926</v>
      </c>
      <c r="L1614" s="3" t="n">
        <v>95</v>
      </c>
      <c r="M1614" s="3" t="n">
        <v>95</v>
      </c>
      <c r="N1614" s="1" t="n">
        <v>26</v>
      </c>
      <c r="O1614" s="1" t="n">
        <v>0</v>
      </c>
    </row>
    <row r="1615" customFormat="false" ht="14.25" hidden="false" customHeight="false" outlineLevel="0" collapsed="false">
      <c r="A1615" s="1" t="n">
        <v>61</v>
      </c>
      <c r="B1615" s="1" t="s">
        <v>643</v>
      </c>
      <c r="C1615" s="1" t="s">
        <v>644</v>
      </c>
      <c r="D1615" s="1" t="n">
        <v>11171</v>
      </c>
      <c r="E1615" s="1" t="s">
        <v>55</v>
      </c>
      <c r="F1615" s="201" t="n">
        <v>200025889770</v>
      </c>
      <c r="G1615" s="198" t="s">
        <v>642</v>
      </c>
      <c r="H1615" s="163" t="s">
        <v>501</v>
      </c>
      <c r="I1615" s="161" t="n">
        <v>77</v>
      </c>
      <c r="J1615" s="156" t="s">
        <v>192</v>
      </c>
      <c r="K1615" s="200" t="n">
        <v>45457.4951041667</v>
      </c>
      <c r="L1615" s="3" t="n">
        <v>95</v>
      </c>
      <c r="M1615" s="3" t="n">
        <v>95</v>
      </c>
      <c r="N1615" s="1" t="n">
        <v>27</v>
      </c>
      <c r="O1615" s="1" t="n">
        <v>0</v>
      </c>
    </row>
    <row r="1616" customFormat="false" ht="14.25" hidden="false" customHeight="false" outlineLevel="0" collapsed="false">
      <c r="A1616" s="1" t="n">
        <v>62</v>
      </c>
      <c r="B1616" s="1" t="s">
        <v>643</v>
      </c>
      <c r="C1616" s="1" t="s">
        <v>644</v>
      </c>
      <c r="D1616" s="1" t="n">
        <v>11171</v>
      </c>
      <c r="E1616" s="1" t="s">
        <v>55</v>
      </c>
      <c r="F1616" s="201" t="n">
        <v>200025889770</v>
      </c>
      <c r="G1616" s="198" t="s">
        <v>642</v>
      </c>
      <c r="H1616" s="163" t="s">
        <v>501</v>
      </c>
      <c r="I1616" s="161" t="n">
        <v>77</v>
      </c>
      <c r="J1616" s="156" t="s">
        <v>192</v>
      </c>
      <c r="K1616" s="200" t="n">
        <v>45457.5044328704</v>
      </c>
      <c r="L1616" s="3" t="n">
        <v>95</v>
      </c>
      <c r="M1616" s="3" t="n">
        <v>95</v>
      </c>
      <c r="N1616" s="1" t="n">
        <v>28</v>
      </c>
      <c r="O1616" s="1" t="n">
        <v>1</v>
      </c>
    </row>
    <row r="1617" customFormat="false" ht="14.25" hidden="false" customHeight="false" outlineLevel="0" collapsed="false">
      <c r="A1617" s="1" t="n">
        <v>63</v>
      </c>
      <c r="B1617" s="1" t="s">
        <v>643</v>
      </c>
      <c r="C1617" s="1" t="s">
        <v>644</v>
      </c>
      <c r="D1617" s="1" t="n">
        <v>11171</v>
      </c>
      <c r="E1617" s="1" t="s">
        <v>55</v>
      </c>
      <c r="F1617" s="201" t="n">
        <v>200025889770</v>
      </c>
      <c r="G1617" s="198" t="s">
        <v>642</v>
      </c>
      <c r="H1617" s="163" t="s">
        <v>501</v>
      </c>
      <c r="I1617" s="161" t="n">
        <v>77</v>
      </c>
      <c r="J1617" s="156" t="s">
        <v>192</v>
      </c>
      <c r="K1617" s="200" t="n">
        <v>45457.5167013889</v>
      </c>
      <c r="L1617" s="3" t="n">
        <v>95</v>
      </c>
      <c r="M1617" s="3" t="n">
        <v>95</v>
      </c>
      <c r="N1617" s="1" t="n">
        <v>29</v>
      </c>
      <c r="O1617" s="1" t="n">
        <v>2</v>
      </c>
    </row>
    <row r="1618" customFormat="false" ht="14.25" hidden="false" customHeight="false" outlineLevel="0" collapsed="false">
      <c r="A1618" s="1" t="n">
        <v>64</v>
      </c>
      <c r="B1618" s="1" t="s">
        <v>643</v>
      </c>
      <c r="C1618" s="1" t="s">
        <v>644</v>
      </c>
      <c r="D1618" s="1" t="n">
        <v>11171</v>
      </c>
      <c r="E1618" s="1" t="s">
        <v>55</v>
      </c>
      <c r="F1618" s="201" t="n">
        <v>200025889770</v>
      </c>
      <c r="G1618" s="198" t="s">
        <v>642</v>
      </c>
      <c r="H1618" s="163" t="s">
        <v>501</v>
      </c>
      <c r="I1618" s="161" t="n">
        <v>77</v>
      </c>
      <c r="J1618" s="156" t="s">
        <v>192</v>
      </c>
      <c r="K1618" s="200" t="n">
        <v>45457.5170833333</v>
      </c>
      <c r="L1618" s="3" t="n">
        <v>95</v>
      </c>
      <c r="M1618" s="3" t="n">
        <v>95</v>
      </c>
      <c r="N1618" s="1" t="n">
        <v>30</v>
      </c>
      <c r="O1618" s="1" t="n">
        <v>2</v>
      </c>
    </row>
    <row r="1619" customFormat="false" ht="14.25" hidden="false" customHeight="false" outlineLevel="0" collapsed="false">
      <c r="A1619" s="1" t="n">
        <v>65</v>
      </c>
      <c r="B1619" s="1" t="s">
        <v>643</v>
      </c>
      <c r="C1619" s="1" t="s">
        <v>644</v>
      </c>
      <c r="D1619" s="1" t="n">
        <v>11171</v>
      </c>
      <c r="E1619" s="1" t="s">
        <v>55</v>
      </c>
      <c r="F1619" s="201" t="n">
        <v>200025889770</v>
      </c>
      <c r="G1619" s="198" t="s">
        <v>642</v>
      </c>
      <c r="H1619" s="163" t="s">
        <v>501</v>
      </c>
      <c r="I1619" s="161" t="n">
        <v>77</v>
      </c>
      <c r="J1619" s="156" t="s">
        <v>192</v>
      </c>
      <c r="K1619" s="200" t="n">
        <v>45457.5175925926</v>
      </c>
      <c r="L1619" s="3" t="n">
        <v>95</v>
      </c>
      <c r="M1619" s="3" t="n">
        <v>95</v>
      </c>
      <c r="N1619" s="1" t="n">
        <v>31</v>
      </c>
      <c r="O1619" s="1" t="n">
        <v>1</v>
      </c>
    </row>
    <row r="1620" customFormat="false" ht="14.25" hidden="false" customHeight="false" outlineLevel="0" collapsed="false">
      <c r="A1620" s="1" t="n">
        <v>66</v>
      </c>
      <c r="B1620" s="1" t="s">
        <v>643</v>
      </c>
      <c r="C1620" s="1" t="s">
        <v>644</v>
      </c>
      <c r="D1620" s="1" t="n">
        <v>11171</v>
      </c>
      <c r="E1620" s="1" t="s">
        <v>55</v>
      </c>
      <c r="F1620" s="201" t="n">
        <v>200025889770</v>
      </c>
      <c r="G1620" s="198" t="s">
        <v>642</v>
      </c>
      <c r="H1620" s="163" t="s">
        <v>501</v>
      </c>
      <c r="I1620" s="161" t="n">
        <v>77</v>
      </c>
      <c r="J1620" s="156" t="s">
        <v>192</v>
      </c>
      <c r="K1620" s="200" t="n">
        <v>45457.5405671296</v>
      </c>
      <c r="L1620" s="3" t="n">
        <v>95</v>
      </c>
      <c r="M1620" s="3" t="n">
        <v>95</v>
      </c>
      <c r="N1620" s="1" t="n">
        <v>32</v>
      </c>
      <c r="O1620" s="1" t="n">
        <v>2</v>
      </c>
    </row>
    <row r="1621" customFormat="false" ht="14.25" hidden="false" customHeight="false" outlineLevel="0" collapsed="false">
      <c r="A1621" s="1" t="n">
        <v>67</v>
      </c>
      <c r="B1621" s="1" t="s">
        <v>643</v>
      </c>
      <c r="C1621" s="1" t="s">
        <v>644</v>
      </c>
      <c r="D1621" s="1" t="n">
        <v>11171</v>
      </c>
      <c r="E1621" s="1" t="s">
        <v>55</v>
      </c>
      <c r="F1621" s="201" t="n">
        <v>200025889770</v>
      </c>
      <c r="G1621" s="198" t="s">
        <v>642</v>
      </c>
      <c r="H1621" s="163" t="s">
        <v>501</v>
      </c>
      <c r="I1621" s="161" t="n">
        <v>77</v>
      </c>
      <c r="J1621" s="156" t="s">
        <v>192</v>
      </c>
      <c r="K1621" s="200" t="n">
        <v>45457.5411342593</v>
      </c>
      <c r="L1621" s="3" t="n">
        <v>95</v>
      </c>
      <c r="M1621" s="3" t="n">
        <v>95</v>
      </c>
      <c r="N1621" s="1" t="n">
        <v>33</v>
      </c>
      <c r="O1621" s="1" t="n">
        <v>3</v>
      </c>
    </row>
    <row r="1622" customFormat="false" ht="14.25" hidden="false" customHeight="false" outlineLevel="0" collapsed="false">
      <c r="A1622" s="1" t="n">
        <v>68</v>
      </c>
      <c r="B1622" s="1" t="s">
        <v>643</v>
      </c>
      <c r="C1622" s="1" t="s">
        <v>644</v>
      </c>
      <c r="D1622" s="1" t="n">
        <v>11171</v>
      </c>
      <c r="E1622" s="1" t="s">
        <v>55</v>
      </c>
      <c r="F1622" s="201" t="n">
        <v>200025889770</v>
      </c>
      <c r="G1622" s="198" t="s">
        <v>642</v>
      </c>
      <c r="H1622" s="163" t="s">
        <v>501</v>
      </c>
      <c r="I1622" s="161" t="n">
        <v>77</v>
      </c>
      <c r="J1622" s="156" t="s">
        <v>192</v>
      </c>
      <c r="K1622" s="200" t="n">
        <v>45457.5679166667</v>
      </c>
      <c r="L1622" s="3" t="n">
        <v>95</v>
      </c>
      <c r="M1622" s="3" t="n">
        <v>95</v>
      </c>
      <c r="N1622" s="1" t="n">
        <v>34</v>
      </c>
      <c r="O1622" s="1" t="n">
        <v>2</v>
      </c>
    </row>
    <row r="1623" customFormat="false" ht="14.25" hidden="false" customHeight="false" outlineLevel="0" collapsed="false">
      <c r="A1623" s="1" t="n">
        <v>69</v>
      </c>
      <c r="B1623" s="1" t="s">
        <v>643</v>
      </c>
      <c r="C1623" s="1" t="s">
        <v>644</v>
      </c>
      <c r="D1623" s="1" t="n">
        <v>11171</v>
      </c>
      <c r="E1623" s="1" t="s">
        <v>55</v>
      </c>
      <c r="F1623" s="201" t="n">
        <v>200025889770</v>
      </c>
      <c r="G1623" s="198" t="s">
        <v>642</v>
      </c>
      <c r="H1623" s="163" t="s">
        <v>501</v>
      </c>
      <c r="I1623" s="161" t="n">
        <v>77</v>
      </c>
      <c r="J1623" s="156" t="s">
        <v>192</v>
      </c>
      <c r="K1623" s="200" t="n">
        <v>45457.5695949074</v>
      </c>
      <c r="L1623" s="3" t="n">
        <v>95</v>
      </c>
      <c r="M1623" s="3" t="n">
        <v>95</v>
      </c>
      <c r="N1623" s="1" t="n">
        <v>35</v>
      </c>
      <c r="O1623" s="1" t="n">
        <v>2</v>
      </c>
    </row>
    <row r="1624" customFormat="false" ht="14.25" hidden="false" customHeight="false" outlineLevel="0" collapsed="false">
      <c r="A1624" s="1" t="n">
        <v>70</v>
      </c>
      <c r="B1624" s="1" t="s">
        <v>643</v>
      </c>
      <c r="C1624" s="1" t="s">
        <v>644</v>
      </c>
      <c r="D1624" s="1" t="n">
        <v>11171</v>
      </c>
      <c r="E1624" s="1" t="s">
        <v>55</v>
      </c>
      <c r="F1624" s="201" t="n">
        <v>200025889770</v>
      </c>
      <c r="G1624" s="198" t="s">
        <v>642</v>
      </c>
      <c r="H1624" s="163" t="s">
        <v>501</v>
      </c>
      <c r="I1624" s="161" t="n">
        <v>77</v>
      </c>
      <c r="J1624" s="156" t="s">
        <v>192</v>
      </c>
      <c r="K1624" s="200" t="n">
        <v>45457.7680092593</v>
      </c>
      <c r="L1624" s="3" t="n">
        <v>95</v>
      </c>
      <c r="M1624" s="3" t="n">
        <v>95</v>
      </c>
      <c r="N1624" s="1" t="n">
        <v>36</v>
      </c>
      <c r="O1624" s="1" t="n">
        <v>3</v>
      </c>
    </row>
    <row r="1625" customFormat="false" ht="14.25" hidden="false" customHeight="false" outlineLevel="0" collapsed="false">
      <c r="A1625" s="1" t="n">
        <v>71</v>
      </c>
      <c r="B1625" s="1" t="s">
        <v>643</v>
      </c>
      <c r="C1625" s="1" t="s">
        <v>644</v>
      </c>
      <c r="D1625" s="1" t="n">
        <v>11171</v>
      </c>
      <c r="E1625" s="1" t="s">
        <v>55</v>
      </c>
      <c r="F1625" s="201" t="n">
        <v>200025889770</v>
      </c>
      <c r="G1625" s="198" t="s">
        <v>642</v>
      </c>
      <c r="H1625" s="163" t="s">
        <v>501</v>
      </c>
      <c r="I1625" s="161" t="n">
        <v>77</v>
      </c>
      <c r="J1625" s="156" t="s">
        <v>192</v>
      </c>
      <c r="K1625" s="200" t="n">
        <v>45457.7682638889</v>
      </c>
      <c r="L1625" s="3" t="n">
        <v>95</v>
      </c>
      <c r="M1625" s="3" t="n">
        <v>95</v>
      </c>
      <c r="N1625" s="1" t="n">
        <v>37</v>
      </c>
      <c r="O1625" s="1" t="n">
        <v>2</v>
      </c>
    </row>
    <row r="1626" customFormat="false" ht="14.25" hidden="false" customHeight="false" outlineLevel="0" collapsed="false">
      <c r="A1626" s="1" t="n">
        <v>72</v>
      </c>
      <c r="B1626" s="1" t="s">
        <v>643</v>
      </c>
      <c r="C1626" s="1" t="s">
        <v>644</v>
      </c>
      <c r="D1626" s="1" t="n">
        <v>11171</v>
      </c>
      <c r="E1626" s="1" t="s">
        <v>55</v>
      </c>
      <c r="F1626" s="201" t="n">
        <v>200025889770</v>
      </c>
      <c r="G1626" s="198" t="s">
        <v>642</v>
      </c>
      <c r="H1626" s="163" t="s">
        <v>501</v>
      </c>
      <c r="I1626" s="161" t="n">
        <v>77</v>
      </c>
      <c r="J1626" s="156" t="s">
        <v>192</v>
      </c>
      <c r="K1626" s="200" t="n">
        <v>45457.7813425926</v>
      </c>
      <c r="L1626" s="3" t="n">
        <v>95</v>
      </c>
      <c r="M1626" s="3" t="n">
        <v>95</v>
      </c>
      <c r="N1626" s="1" t="n">
        <v>38</v>
      </c>
      <c r="O1626" s="1" t="n">
        <v>2</v>
      </c>
    </row>
    <row r="1627" customFormat="false" ht="14.25" hidden="false" customHeight="false" outlineLevel="0" collapsed="false">
      <c r="A1627" s="1" t="n">
        <v>73</v>
      </c>
      <c r="B1627" s="1" t="s">
        <v>643</v>
      </c>
      <c r="C1627" s="1" t="s">
        <v>644</v>
      </c>
      <c r="D1627" s="1" t="n">
        <v>11171</v>
      </c>
      <c r="E1627" s="1" t="s">
        <v>55</v>
      </c>
      <c r="F1627" s="201" t="n">
        <v>200025889770</v>
      </c>
      <c r="G1627" s="198" t="s">
        <v>642</v>
      </c>
      <c r="H1627" s="163" t="s">
        <v>501</v>
      </c>
      <c r="I1627" s="161" t="n">
        <v>77</v>
      </c>
      <c r="J1627" s="156" t="s">
        <v>192</v>
      </c>
      <c r="K1627" s="200" t="n">
        <v>45457.782337963</v>
      </c>
      <c r="L1627" s="3" t="n">
        <v>95</v>
      </c>
      <c r="M1627" s="3" t="n">
        <v>95</v>
      </c>
      <c r="N1627" s="1" t="n">
        <v>39</v>
      </c>
      <c r="O1627" s="1" t="n">
        <v>2</v>
      </c>
    </row>
    <row r="1628" customFormat="false" ht="14.25" hidden="false" customHeight="false" outlineLevel="0" collapsed="false">
      <c r="A1628" s="1" t="n">
        <v>74</v>
      </c>
      <c r="B1628" s="1" t="s">
        <v>643</v>
      </c>
      <c r="C1628" s="1" t="s">
        <v>644</v>
      </c>
      <c r="D1628" s="1" t="n">
        <v>11171</v>
      </c>
      <c r="E1628" s="1" t="s">
        <v>55</v>
      </c>
      <c r="F1628" s="201" t="n">
        <v>200025889770</v>
      </c>
      <c r="G1628" s="198" t="s">
        <v>642</v>
      </c>
      <c r="H1628" s="163" t="s">
        <v>501</v>
      </c>
      <c r="I1628" s="161" t="n">
        <v>77</v>
      </c>
      <c r="J1628" s="156" t="s">
        <v>192</v>
      </c>
      <c r="K1628" s="200" t="n">
        <v>45457.7827314815</v>
      </c>
      <c r="L1628" s="3" t="n">
        <v>95</v>
      </c>
      <c r="M1628" s="3" t="n">
        <v>95</v>
      </c>
      <c r="N1628" s="1" t="n">
        <v>40</v>
      </c>
      <c r="O1628" s="1" t="n">
        <v>1</v>
      </c>
    </row>
    <row r="1629" customFormat="false" ht="14.25" hidden="false" customHeight="false" outlineLevel="0" collapsed="false">
      <c r="A1629" s="1" t="n">
        <v>75</v>
      </c>
      <c r="B1629" s="1" t="s">
        <v>643</v>
      </c>
      <c r="C1629" s="1" t="s">
        <v>644</v>
      </c>
      <c r="D1629" s="1" t="n">
        <v>11171</v>
      </c>
      <c r="E1629" s="1" t="s">
        <v>55</v>
      </c>
      <c r="F1629" s="201" t="n">
        <v>200025889770</v>
      </c>
      <c r="G1629" s="198" t="s">
        <v>642</v>
      </c>
      <c r="H1629" s="163" t="s">
        <v>501</v>
      </c>
      <c r="I1629" s="161" t="n">
        <v>77</v>
      </c>
      <c r="J1629" s="156" t="s">
        <v>192</v>
      </c>
      <c r="K1629" s="200" t="n">
        <v>45457.7827546296</v>
      </c>
      <c r="L1629" s="3" t="n">
        <v>95</v>
      </c>
      <c r="M1629" s="3" t="n">
        <v>95</v>
      </c>
      <c r="N1629" s="1" t="n">
        <v>41</v>
      </c>
      <c r="O1629" s="1" t="n">
        <v>0</v>
      </c>
    </row>
    <row r="1630" customFormat="false" ht="14.25" hidden="false" customHeight="false" outlineLevel="0" collapsed="false">
      <c r="A1630" s="1" t="n">
        <v>76</v>
      </c>
      <c r="B1630" s="1" t="s">
        <v>643</v>
      </c>
      <c r="C1630" s="1" t="s">
        <v>644</v>
      </c>
      <c r="D1630" s="1" t="n">
        <v>11171</v>
      </c>
      <c r="E1630" s="1" t="s">
        <v>55</v>
      </c>
      <c r="F1630" s="201" t="n">
        <v>200025889770</v>
      </c>
      <c r="G1630" s="198" t="s">
        <v>642</v>
      </c>
      <c r="H1630" s="163" t="s">
        <v>501</v>
      </c>
      <c r="I1630" s="161" t="n">
        <v>77</v>
      </c>
      <c r="J1630" s="156" t="s">
        <v>192</v>
      </c>
      <c r="K1630" s="200" t="n">
        <v>45457.7830555556</v>
      </c>
      <c r="L1630" s="3" t="n">
        <v>95</v>
      </c>
      <c r="M1630" s="3" t="n">
        <v>95</v>
      </c>
      <c r="N1630" s="1" t="n">
        <v>42</v>
      </c>
      <c r="O1630" s="1" t="n">
        <v>2</v>
      </c>
    </row>
    <row r="1631" customFormat="false" ht="14.25" hidden="false" customHeight="false" outlineLevel="0" collapsed="false">
      <c r="A1631" s="1" t="n">
        <v>77</v>
      </c>
      <c r="B1631" s="1" t="s">
        <v>643</v>
      </c>
      <c r="C1631" s="1" t="s">
        <v>644</v>
      </c>
      <c r="D1631" s="1" t="n">
        <v>11171</v>
      </c>
      <c r="E1631" s="1" t="s">
        <v>55</v>
      </c>
      <c r="F1631" s="201" t="n">
        <v>200025889770</v>
      </c>
      <c r="G1631" s="198" t="s">
        <v>642</v>
      </c>
      <c r="H1631" s="163" t="s">
        <v>501</v>
      </c>
      <c r="I1631" s="161" t="n">
        <v>77</v>
      </c>
      <c r="J1631" s="156" t="s">
        <v>192</v>
      </c>
      <c r="K1631" s="200" t="n">
        <v>45457.7838541667</v>
      </c>
      <c r="L1631" s="3" t="n">
        <v>95</v>
      </c>
      <c r="M1631" s="3" t="n">
        <v>95</v>
      </c>
      <c r="N1631" s="1" t="n">
        <v>43</v>
      </c>
      <c r="O1631" s="1" t="n">
        <v>1</v>
      </c>
    </row>
    <row r="1632" customFormat="false" ht="14.25" hidden="false" customHeight="false" outlineLevel="0" collapsed="false">
      <c r="A1632" s="1" t="n">
        <v>78</v>
      </c>
      <c r="B1632" s="1" t="s">
        <v>643</v>
      </c>
      <c r="C1632" s="1" t="s">
        <v>644</v>
      </c>
      <c r="D1632" s="1" t="n">
        <v>11171</v>
      </c>
      <c r="E1632" s="1" t="s">
        <v>55</v>
      </c>
      <c r="F1632" s="201" t="n">
        <v>200025889770</v>
      </c>
      <c r="G1632" s="198" t="s">
        <v>642</v>
      </c>
      <c r="H1632" s="163" t="s">
        <v>501</v>
      </c>
      <c r="I1632" s="161" t="n">
        <v>77</v>
      </c>
      <c r="J1632" s="156" t="s">
        <v>192</v>
      </c>
      <c r="K1632" s="200" t="n">
        <v>45457.7838773148</v>
      </c>
      <c r="L1632" s="3" t="n">
        <v>95</v>
      </c>
      <c r="M1632" s="3" t="n">
        <v>95</v>
      </c>
      <c r="N1632" s="1" t="n">
        <v>44</v>
      </c>
      <c r="O1632" s="1" t="n">
        <v>0</v>
      </c>
    </row>
    <row r="1633" customFormat="false" ht="14.25" hidden="false" customHeight="false" outlineLevel="0" collapsed="false">
      <c r="A1633" s="1" t="n">
        <v>79</v>
      </c>
      <c r="B1633" s="1" t="s">
        <v>643</v>
      </c>
      <c r="C1633" s="1" t="s">
        <v>644</v>
      </c>
      <c r="D1633" s="1" t="n">
        <v>11171</v>
      </c>
      <c r="E1633" s="1" t="s">
        <v>55</v>
      </c>
      <c r="F1633" s="201" t="n">
        <v>200025889770</v>
      </c>
      <c r="G1633" s="198" t="s">
        <v>642</v>
      </c>
      <c r="H1633" s="163" t="s">
        <v>501</v>
      </c>
      <c r="I1633" s="161" t="n">
        <v>77</v>
      </c>
      <c r="J1633" s="156" t="s">
        <v>192</v>
      </c>
      <c r="K1633" s="200" t="n">
        <v>45457.784212963</v>
      </c>
      <c r="L1633" s="3" t="n">
        <v>95</v>
      </c>
      <c r="M1633" s="3" t="n">
        <v>95</v>
      </c>
      <c r="N1633" s="1" t="n">
        <v>45</v>
      </c>
      <c r="O1633" s="1" t="n">
        <v>2</v>
      </c>
    </row>
    <row r="1634" customFormat="false" ht="14.25" hidden="false" customHeight="false" outlineLevel="0" collapsed="false">
      <c r="A1634" s="1" t="n">
        <v>80</v>
      </c>
      <c r="B1634" s="1" t="s">
        <v>643</v>
      </c>
      <c r="C1634" s="1" t="s">
        <v>644</v>
      </c>
      <c r="D1634" s="1" t="n">
        <v>11171</v>
      </c>
      <c r="E1634" s="1" t="s">
        <v>55</v>
      </c>
      <c r="F1634" s="201" t="n">
        <v>200025889770</v>
      </c>
      <c r="G1634" s="198" t="s">
        <v>642</v>
      </c>
      <c r="H1634" s="163" t="s">
        <v>501</v>
      </c>
      <c r="I1634" s="161" t="n">
        <v>77</v>
      </c>
      <c r="J1634" s="156" t="s">
        <v>192</v>
      </c>
      <c r="K1634" s="200" t="n">
        <v>45457.7846180556</v>
      </c>
      <c r="L1634" s="3" t="n">
        <v>95</v>
      </c>
      <c r="M1634" s="3" t="n">
        <v>95</v>
      </c>
      <c r="N1634" s="1" t="n">
        <v>46</v>
      </c>
      <c r="O1634" s="1" t="n">
        <v>1</v>
      </c>
    </row>
    <row r="1635" customFormat="false" ht="14.25" hidden="false" customHeight="false" outlineLevel="0" collapsed="false">
      <c r="A1635" s="1" t="n">
        <v>81</v>
      </c>
      <c r="B1635" s="1" t="s">
        <v>643</v>
      </c>
      <c r="C1635" s="1" t="s">
        <v>644</v>
      </c>
      <c r="D1635" s="1" t="n">
        <v>11171</v>
      </c>
      <c r="E1635" s="1" t="s">
        <v>55</v>
      </c>
      <c r="F1635" s="201" t="n">
        <v>200025889770</v>
      </c>
      <c r="G1635" s="198" t="s">
        <v>642</v>
      </c>
      <c r="H1635" s="163" t="s">
        <v>501</v>
      </c>
      <c r="I1635" s="161" t="n">
        <v>77</v>
      </c>
      <c r="J1635" s="156" t="s">
        <v>192</v>
      </c>
      <c r="K1635" s="200" t="n">
        <v>45457.7846412037</v>
      </c>
      <c r="L1635" s="3" t="n">
        <v>95</v>
      </c>
      <c r="M1635" s="3" t="n">
        <v>95</v>
      </c>
      <c r="N1635" s="1" t="n">
        <v>47</v>
      </c>
      <c r="O1635" s="1" t="n">
        <v>0</v>
      </c>
    </row>
    <row r="1636" customFormat="false" ht="14.25" hidden="false" customHeight="false" outlineLevel="0" collapsed="false">
      <c r="A1636" s="1" t="n">
        <v>82</v>
      </c>
      <c r="B1636" s="1" t="s">
        <v>643</v>
      </c>
      <c r="C1636" s="1" t="s">
        <v>644</v>
      </c>
      <c r="D1636" s="1" t="n">
        <v>11171</v>
      </c>
      <c r="E1636" s="1" t="s">
        <v>55</v>
      </c>
      <c r="F1636" s="201" t="n">
        <v>200025889770</v>
      </c>
      <c r="G1636" s="198" t="s">
        <v>642</v>
      </c>
      <c r="H1636" s="163" t="s">
        <v>501</v>
      </c>
      <c r="I1636" s="161" t="n">
        <v>77</v>
      </c>
      <c r="J1636" s="156" t="s">
        <v>192</v>
      </c>
      <c r="K1636" s="200" t="n">
        <v>45457.7855555556</v>
      </c>
      <c r="L1636" s="3" t="n">
        <v>95</v>
      </c>
      <c r="M1636" s="3" t="n">
        <v>95</v>
      </c>
      <c r="N1636" s="1" t="n">
        <v>48</v>
      </c>
      <c r="O1636" s="1" t="n">
        <v>1</v>
      </c>
    </row>
    <row r="1637" customFormat="false" ht="14.25" hidden="false" customHeight="false" outlineLevel="0" collapsed="false">
      <c r="A1637" s="1" t="n">
        <v>83</v>
      </c>
      <c r="B1637" s="1" t="s">
        <v>643</v>
      </c>
      <c r="C1637" s="1" t="s">
        <v>644</v>
      </c>
      <c r="D1637" s="1" t="n">
        <v>11171</v>
      </c>
      <c r="E1637" s="1" t="s">
        <v>55</v>
      </c>
      <c r="F1637" s="201" t="n">
        <v>200025889770</v>
      </c>
      <c r="G1637" s="198" t="s">
        <v>642</v>
      </c>
      <c r="H1637" s="163" t="s">
        <v>501</v>
      </c>
      <c r="I1637" s="161" t="n">
        <v>77</v>
      </c>
      <c r="J1637" s="156" t="s">
        <v>192</v>
      </c>
      <c r="K1637" s="200" t="n">
        <v>45457.8309953704</v>
      </c>
      <c r="L1637" s="3" t="n">
        <v>95</v>
      </c>
      <c r="M1637" s="3" t="n">
        <v>95</v>
      </c>
      <c r="N1637" s="1" t="n">
        <v>49</v>
      </c>
      <c r="O1637" s="1" t="n">
        <v>1</v>
      </c>
    </row>
    <row r="1638" customFormat="false" ht="14.25" hidden="false" customHeight="false" outlineLevel="0" collapsed="false">
      <c r="A1638" s="1" t="n">
        <v>84</v>
      </c>
      <c r="B1638" s="1" t="s">
        <v>643</v>
      </c>
      <c r="C1638" s="1" t="s">
        <v>644</v>
      </c>
      <c r="D1638" s="1" t="n">
        <v>11171</v>
      </c>
      <c r="E1638" s="1" t="s">
        <v>55</v>
      </c>
      <c r="F1638" s="201" t="n">
        <v>200025889770</v>
      </c>
      <c r="G1638" s="198" t="s">
        <v>642</v>
      </c>
      <c r="H1638" s="163" t="s">
        <v>501</v>
      </c>
      <c r="I1638" s="161" t="n">
        <v>77</v>
      </c>
      <c r="J1638" s="156" t="s">
        <v>192</v>
      </c>
      <c r="K1638" s="200" t="n">
        <v>45457.8314930556</v>
      </c>
      <c r="L1638" s="3" t="n">
        <v>95</v>
      </c>
      <c r="M1638" s="3" t="n">
        <v>95</v>
      </c>
      <c r="N1638" s="1" t="n">
        <v>50</v>
      </c>
      <c r="O1638" s="1" t="n">
        <v>1</v>
      </c>
    </row>
    <row r="1639" customFormat="false" ht="14.25" hidden="false" customHeight="false" outlineLevel="0" collapsed="false">
      <c r="A1639" s="1" t="n">
        <v>85</v>
      </c>
      <c r="B1639" s="1" t="s">
        <v>643</v>
      </c>
      <c r="C1639" s="1" t="s">
        <v>644</v>
      </c>
      <c r="D1639" s="1" t="n">
        <v>11171</v>
      </c>
      <c r="E1639" s="1" t="s">
        <v>55</v>
      </c>
      <c r="F1639" s="201" t="n">
        <v>200025889770</v>
      </c>
      <c r="G1639" s="198" t="s">
        <v>642</v>
      </c>
      <c r="H1639" s="163" t="s">
        <v>501</v>
      </c>
      <c r="I1639" s="161" t="n">
        <v>77</v>
      </c>
      <c r="J1639" s="156" t="s">
        <v>192</v>
      </c>
      <c r="K1639" s="200" t="n">
        <v>45457.8319444444</v>
      </c>
      <c r="L1639" s="3" t="n">
        <v>95</v>
      </c>
      <c r="M1639" s="3" t="n">
        <v>95</v>
      </c>
      <c r="N1639" s="1" t="n">
        <v>51</v>
      </c>
      <c r="O1639" s="1" t="n">
        <v>2</v>
      </c>
    </row>
    <row r="1640" customFormat="false" ht="14.25" hidden="false" customHeight="false" outlineLevel="0" collapsed="false">
      <c r="A1640" s="1" t="n">
        <v>86</v>
      </c>
      <c r="B1640" s="1" t="s">
        <v>643</v>
      </c>
      <c r="C1640" s="1" t="s">
        <v>644</v>
      </c>
      <c r="D1640" s="1" t="n">
        <v>11171</v>
      </c>
      <c r="E1640" s="1" t="s">
        <v>55</v>
      </c>
      <c r="F1640" s="201" t="n">
        <v>200025889246</v>
      </c>
      <c r="G1640" s="198" t="s">
        <v>693</v>
      </c>
      <c r="H1640" s="163" t="s">
        <v>227</v>
      </c>
      <c r="I1640" s="161" t="n">
        <v>6</v>
      </c>
      <c r="J1640" s="156" t="s">
        <v>192</v>
      </c>
      <c r="K1640" s="200" t="n">
        <v>45458.0731018519</v>
      </c>
      <c r="L1640" s="3" t="n">
        <v>96</v>
      </c>
      <c r="M1640" s="3" t="n">
        <v>96</v>
      </c>
      <c r="N1640" s="1" t="n">
        <v>1</v>
      </c>
      <c r="O1640" s="1" t="n">
        <v>2</v>
      </c>
    </row>
    <row r="1641" customFormat="false" ht="14.25" hidden="false" customHeight="false" outlineLevel="0" collapsed="false">
      <c r="A1641" s="1" t="n">
        <v>296</v>
      </c>
      <c r="B1641" s="1" t="s">
        <v>565</v>
      </c>
      <c r="C1641" s="1" t="s">
        <v>566</v>
      </c>
      <c r="D1641" s="208" t="n">
        <v>11197</v>
      </c>
      <c r="E1641" s="1" t="s">
        <v>53</v>
      </c>
      <c r="F1641" s="198" t="n">
        <v>200025889246</v>
      </c>
      <c r="G1641" s="198" t="s">
        <v>693</v>
      </c>
      <c r="H1641" s="163" t="s">
        <v>227</v>
      </c>
      <c r="I1641" s="161" t="n">
        <v>6</v>
      </c>
      <c r="J1641" s="156" t="s">
        <v>192</v>
      </c>
      <c r="K1641" s="199" t="n">
        <v>45458.3689236111</v>
      </c>
      <c r="L1641" s="3" t="n">
        <v>96</v>
      </c>
      <c r="M1641" s="3" t="n">
        <v>96</v>
      </c>
      <c r="N1641" s="1" t="n">
        <v>2</v>
      </c>
      <c r="O1641" s="10" t="n">
        <v>6099</v>
      </c>
    </row>
    <row r="1642" customFormat="false" ht="14.25" hidden="false" customHeight="false" outlineLevel="0" collapsed="false">
      <c r="A1642" s="1" t="n">
        <v>297</v>
      </c>
      <c r="B1642" s="1" t="s">
        <v>565</v>
      </c>
      <c r="C1642" s="1" t="s">
        <v>566</v>
      </c>
      <c r="D1642" s="208" t="n">
        <v>11197</v>
      </c>
      <c r="E1642" s="1" t="s">
        <v>53</v>
      </c>
      <c r="F1642" s="198" t="n">
        <v>200025889246</v>
      </c>
      <c r="G1642" s="198" t="s">
        <v>693</v>
      </c>
      <c r="H1642" s="163" t="s">
        <v>227</v>
      </c>
      <c r="I1642" s="161" t="n">
        <v>6</v>
      </c>
      <c r="J1642" s="156" t="s">
        <v>192</v>
      </c>
      <c r="K1642" s="199" t="n">
        <v>45458.439525463</v>
      </c>
      <c r="L1642" s="3" t="n">
        <v>96</v>
      </c>
      <c r="M1642" s="3" t="n">
        <v>96</v>
      </c>
      <c r="N1642" s="1" t="n">
        <v>3</v>
      </c>
      <c r="O1642" s="1" t="n">
        <v>0</v>
      </c>
    </row>
    <row r="1643" customFormat="false" ht="14.25" hidden="false" customHeight="false" outlineLevel="0" collapsed="false">
      <c r="A1643" s="1" t="n">
        <v>303</v>
      </c>
      <c r="B1643" s="1" t="s">
        <v>565</v>
      </c>
      <c r="C1643" s="1" t="s">
        <v>566</v>
      </c>
      <c r="D1643" s="1" t="n">
        <v>11171</v>
      </c>
      <c r="E1643" s="1" t="s">
        <v>55</v>
      </c>
      <c r="F1643" s="198" t="n">
        <v>200025889267</v>
      </c>
      <c r="G1643" s="198" t="s">
        <v>694</v>
      </c>
      <c r="H1643" s="163" t="s">
        <v>263</v>
      </c>
      <c r="I1643" s="161" t="n">
        <v>10</v>
      </c>
      <c r="J1643" s="156" t="s">
        <v>192</v>
      </c>
      <c r="K1643" s="199" t="n">
        <v>45461.4472337963</v>
      </c>
      <c r="L1643" s="3" t="n">
        <v>97</v>
      </c>
      <c r="M1643" s="3" t="n">
        <v>97</v>
      </c>
      <c r="N1643" s="1" t="n">
        <v>1</v>
      </c>
      <c r="O1643" s="1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XFD22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pane xSplit="6306" ySplit="2025" topLeftCell="BJ1" activePane="bottomRight" state="split"/>
      <selection pane="topLeft" activeCell="A7" activeCellId="0" sqref="A7"/>
      <selection pane="topRight" activeCell="BJ7" activeCellId="0" sqref="BJ7"/>
      <selection pane="bottomLeft" activeCell="A1" activeCellId="0" sqref="A1"/>
      <selection pane="bottomRight" activeCell="BM1" activeCellId="0" sqref="BM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1.44"/>
    <col collapsed="false" customWidth="true" hidden="false" outlineLevel="0" max="2" min="2" style="209" width="11.44"/>
    <col collapsed="false" customWidth="true" hidden="false" outlineLevel="0" max="3" min="3" style="209" width="14.33"/>
    <col collapsed="false" customWidth="true" hidden="false" outlineLevel="0" max="5" min="4" style="209" width="8.11"/>
    <col collapsed="false" customWidth="true" hidden="false" outlineLevel="0" max="6" min="6" style="8" width="8.11"/>
    <col collapsed="false" customWidth="true" hidden="false" outlineLevel="0" max="8" min="7" style="1" width="14.56"/>
    <col collapsed="false" customWidth="true" hidden="false" outlineLevel="0" max="9" min="9" style="1" width="11.89"/>
    <col collapsed="false" customWidth="true" hidden="false" outlineLevel="0" max="10" min="10" style="1" width="7.67"/>
    <col collapsed="false" customWidth="true" hidden="false" outlineLevel="0" max="11" min="11" style="1" width="10.56"/>
    <col collapsed="false" customWidth="true" hidden="false" outlineLevel="0" max="12" min="12" style="210" width="10.44"/>
    <col collapsed="false" customWidth="true" hidden="false" outlineLevel="0" max="14" min="13" style="210" width="8.67"/>
    <col collapsed="false" customWidth="true" hidden="false" outlineLevel="0" max="16" min="15" style="1" width="14.56"/>
    <col collapsed="false" customWidth="true" hidden="false" outlineLevel="0" max="22" min="17" style="1" width="8"/>
    <col collapsed="false" customWidth="true" hidden="false" outlineLevel="0" max="23" min="23" style="8" width="8"/>
    <col collapsed="false" customWidth="true" hidden="false" outlineLevel="0" max="27" min="24" style="1" width="8.67"/>
    <col collapsed="false" customWidth="true" hidden="false" outlineLevel="0" max="28" min="28" style="209" width="11.44"/>
    <col collapsed="false" customWidth="true" hidden="false" outlineLevel="0" max="31" min="30" style="1" width="19.33"/>
    <col collapsed="false" customWidth="true" hidden="false" outlineLevel="0" max="32" min="32" style="1" width="10"/>
    <col collapsed="false" customWidth="true" hidden="false" outlineLevel="0" max="34" min="33" style="1" width="18.88"/>
    <col collapsed="false" customWidth="true" hidden="false" outlineLevel="0" max="35" min="35" style="1" width="10"/>
    <col collapsed="false" customWidth="true" hidden="false" outlineLevel="0" max="36" min="36" style="1" width="12.56"/>
    <col collapsed="false" customWidth="true" hidden="false" outlineLevel="0" max="38" min="37" style="1" width="19"/>
    <col collapsed="false" customWidth="true" hidden="false" outlineLevel="0" max="39" min="39" style="1" width="10"/>
    <col collapsed="false" customWidth="true" hidden="false" outlineLevel="0" max="40" min="40" style="1" width="12.56"/>
    <col collapsed="false" customWidth="true" hidden="false" outlineLevel="0" max="41" min="41" style="1" width="15.66"/>
    <col collapsed="false" customWidth="true" hidden="false" outlineLevel="0" max="42" min="42" style="1" width="12.11"/>
    <col collapsed="false" customWidth="true" hidden="false" outlineLevel="0" max="43" min="43" style="1" width="9.11"/>
    <col collapsed="false" customWidth="true" hidden="false" outlineLevel="0" max="45" min="44" style="1" width="8.44"/>
    <col collapsed="false" customWidth="true" hidden="false" outlineLevel="0" max="46" min="46" style="1" width="16.89"/>
    <col collapsed="false" customWidth="true" hidden="false" outlineLevel="0" max="47" min="47" style="1" width="8.44"/>
    <col collapsed="false" customWidth="true" hidden="false" outlineLevel="0" max="48" min="48" style="1" width="6.88"/>
    <col collapsed="false" customWidth="true" hidden="false" outlineLevel="0" max="50" min="49" style="1" width="19"/>
    <col collapsed="false" customWidth="true" hidden="false" outlineLevel="0" max="51" min="51" style="1" width="6.56"/>
    <col collapsed="false" customWidth="true" hidden="false" outlineLevel="0" max="53" min="52" style="1" width="18.34"/>
    <col collapsed="false" customWidth="true" hidden="false" outlineLevel="0" max="55" min="54" style="1" width="8.11"/>
    <col collapsed="false" customWidth="true" hidden="false" outlineLevel="0" max="57" min="56" style="1" width="18.44"/>
    <col collapsed="false" customWidth="true" hidden="false" outlineLevel="0" max="61" min="58" style="1" width="7.67"/>
    <col collapsed="false" customWidth="true" hidden="false" outlineLevel="0" max="62" min="62" style="1" width="7.44"/>
    <col collapsed="false" customWidth="true" hidden="false" outlineLevel="0" max="63" min="63" style="1" width="9"/>
    <col collapsed="false" customWidth="true" hidden="false" outlineLevel="0" max="64" min="64" style="1" width="6.11"/>
    <col collapsed="false" customWidth="true" hidden="false" outlineLevel="0" max="65" min="65" style="1" width="10"/>
    <col collapsed="false" customWidth="true" hidden="false" outlineLevel="0" max="66" min="66" style="1" width="20.56"/>
    <col collapsed="false" customWidth="true" hidden="false" outlineLevel="0" max="67" min="67" style="1" width="8.88"/>
    <col collapsed="false" customWidth="true" hidden="false" outlineLevel="0" max="68" min="68" style="1" width="11.89"/>
    <col collapsed="false" customWidth="true" hidden="false" outlineLevel="0" max="69" min="69" style="1" width="11.67"/>
    <col collapsed="false" customWidth="true" hidden="false" outlineLevel="0" max="70" min="70" style="1" width="7.33"/>
    <col collapsed="false" customWidth="true" hidden="false" outlineLevel="0" max="71" min="71" style="1" width="8.67"/>
    <col collapsed="false" customWidth="true" hidden="false" outlineLevel="0" max="72" min="72" style="1" width="16.56"/>
    <col collapsed="false" customWidth="true" hidden="false" outlineLevel="0" max="84" min="84" style="1" width="7.56"/>
    <col collapsed="false" customWidth="true" hidden="false" outlineLevel="0" max="86" min="86" style="1" width="7"/>
    <col collapsed="false" customWidth="true" hidden="false" outlineLevel="0" max="89" min="88" style="1" width="11.56"/>
    <col collapsed="false" customWidth="true" hidden="false" outlineLevel="0" max="90" min="90" style="1" width="11.44"/>
    <col collapsed="false" customWidth="true" hidden="false" outlineLevel="0" max="91" min="91" style="1" width="7.67"/>
    <col collapsed="false" customWidth="true" hidden="false" outlineLevel="0" max="93" min="92" style="1" width="11.56"/>
    <col collapsed="false" customWidth="true" hidden="false" outlineLevel="0" max="94" min="94" style="1" width="7.33"/>
    <col collapsed="false" customWidth="true" hidden="false" outlineLevel="0" max="96" min="95" style="1" width="7.56"/>
    <col collapsed="false" customWidth="true" hidden="false" outlineLevel="0" max="97" min="97" style="1" width="13.44"/>
    <col collapsed="false" customWidth="true" hidden="false" outlineLevel="0" max="99" min="98" style="1" width="6.33"/>
    <col collapsed="false" customWidth="true" hidden="false" outlineLevel="0" max="101" min="100" style="1" width="11.56"/>
    <col collapsed="false" customWidth="true" hidden="false" outlineLevel="0" max="102" min="102" style="1" width="12.88"/>
    <col collapsed="false" customWidth="true" hidden="false" outlineLevel="0" max="103" min="103" style="1" width="10"/>
    <col collapsed="false" customWidth="true" hidden="false" outlineLevel="0" max="104" min="104" style="1" width="11.44"/>
    <col collapsed="false" customWidth="true" hidden="false" outlineLevel="0" max="105" min="105" style="209" width="11.44"/>
    <col collapsed="false" customWidth="true" hidden="false" outlineLevel="0" max="106" min="106" style="209" width="8.11"/>
    <col collapsed="false" customWidth="true" hidden="false" outlineLevel="0" max="113" min="113" style="1" width="17.56"/>
    <col collapsed="false" customWidth="true" hidden="false" outlineLevel="0" max="334" min="334" style="1" width="14.56"/>
    <col collapsed="false" customWidth="true" hidden="false" outlineLevel="0" max="335" min="335" style="1" width="8.11"/>
    <col collapsed="false" customWidth="true" hidden="false" outlineLevel="0" max="340" min="337" style="1" width="17.11"/>
    <col collapsed="false" customWidth="true" hidden="false" outlineLevel="0" max="341" min="341" style="1" width="10"/>
    <col collapsed="false" customWidth="true" hidden="false" outlineLevel="0" max="342" min="342" style="1" width="12.56"/>
    <col collapsed="false" customWidth="true" hidden="false" outlineLevel="0" max="590" min="590" style="1" width="14.56"/>
    <col collapsed="false" customWidth="true" hidden="false" outlineLevel="0" max="591" min="591" style="1" width="8.11"/>
    <col collapsed="false" customWidth="true" hidden="false" outlineLevel="0" max="596" min="593" style="1" width="17.11"/>
    <col collapsed="false" customWidth="true" hidden="false" outlineLevel="0" max="597" min="597" style="1" width="10"/>
    <col collapsed="false" customWidth="true" hidden="false" outlineLevel="0" max="598" min="598" style="1" width="12.56"/>
    <col collapsed="false" customWidth="true" hidden="false" outlineLevel="0" max="846" min="846" style="1" width="14.56"/>
    <col collapsed="false" customWidth="true" hidden="false" outlineLevel="0" max="847" min="847" style="1" width="8.11"/>
    <col collapsed="false" customWidth="true" hidden="false" outlineLevel="0" max="852" min="849" style="1" width="17.11"/>
    <col collapsed="false" customWidth="true" hidden="false" outlineLevel="0" max="853" min="853" style="1" width="10"/>
    <col collapsed="false" customWidth="true" hidden="false" outlineLevel="0" max="854" min="854" style="1" width="12.56"/>
    <col collapsed="false" customWidth="true" hidden="false" outlineLevel="0" max="1102" min="1102" style="1" width="14.56"/>
    <col collapsed="false" customWidth="true" hidden="false" outlineLevel="0" max="1103" min="1103" style="1" width="8.11"/>
    <col collapsed="false" customWidth="true" hidden="false" outlineLevel="0" max="1108" min="1105" style="1" width="17.11"/>
    <col collapsed="false" customWidth="true" hidden="false" outlineLevel="0" max="1109" min="1109" style="1" width="10"/>
    <col collapsed="false" customWidth="true" hidden="false" outlineLevel="0" max="1110" min="1110" style="1" width="12.56"/>
    <col collapsed="false" customWidth="true" hidden="false" outlineLevel="0" max="1358" min="1358" style="1" width="14.56"/>
    <col collapsed="false" customWidth="true" hidden="false" outlineLevel="0" max="1359" min="1359" style="1" width="8.11"/>
    <col collapsed="false" customWidth="true" hidden="false" outlineLevel="0" max="1364" min="1361" style="1" width="17.11"/>
    <col collapsed="false" customWidth="true" hidden="false" outlineLevel="0" max="1365" min="1365" style="1" width="10"/>
    <col collapsed="false" customWidth="true" hidden="false" outlineLevel="0" max="1366" min="1366" style="1" width="12.56"/>
    <col collapsed="false" customWidth="true" hidden="false" outlineLevel="0" max="1614" min="1614" style="1" width="14.56"/>
    <col collapsed="false" customWidth="true" hidden="false" outlineLevel="0" max="1615" min="1615" style="1" width="8.11"/>
    <col collapsed="false" customWidth="true" hidden="false" outlineLevel="0" max="1620" min="1617" style="1" width="17.11"/>
    <col collapsed="false" customWidth="true" hidden="false" outlineLevel="0" max="1621" min="1621" style="1" width="10"/>
    <col collapsed="false" customWidth="true" hidden="false" outlineLevel="0" max="1622" min="1622" style="1" width="12.56"/>
    <col collapsed="false" customWidth="true" hidden="false" outlineLevel="0" max="1870" min="1870" style="1" width="14.56"/>
    <col collapsed="false" customWidth="true" hidden="false" outlineLevel="0" max="1871" min="1871" style="1" width="8.11"/>
    <col collapsed="false" customWidth="true" hidden="false" outlineLevel="0" max="1876" min="1873" style="1" width="17.11"/>
    <col collapsed="false" customWidth="true" hidden="false" outlineLevel="0" max="1877" min="1877" style="1" width="10"/>
    <col collapsed="false" customWidth="true" hidden="false" outlineLevel="0" max="1878" min="1878" style="1" width="12.56"/>
    <col collapsed="false" customWidth="true" hidden="false" outlineLevel="0" max="2126" min="2126" style="1" width="14.56"/>
    <col collapsed="false" customWidth="true" hidden="false" outlineLevel="0" max="2127" min="2127" style="1" width="8.11"/>
    <col collapsed="false" customWidth="true" hidden="false" outlineLevel="0" max="2132" min="2129" style="1" width="17.11"/>
    <col collapsed="false" customWidth="true" hidden="false" outlineLevel="0" max="2133" min="2133" style="1" width="10"/>
    <col collapsed="false" customWidth="true" hidden="false" outlineLevel="0" max="2134" min="2134" style="1" width="12.56"/>
    <col collapsed="false" customWidth="true" hidden="false" outlineLevel="0" max="2382" min="2382" style="1" width="14.56"/>
    <col collapsed="false" customWidth="true" hidden="false" outlineLevel="0" max="2383" min="2383" style="1" width="8.11"/>
    <col collapsed="false" customWidth="true" hidden="false" outlineLevel="0" max="2388" min="2385" style="1" width="17.11"/>
    <col collapsed="false" customWidth="true" hidden="false" outlineLevel="0" max="2389" min="2389" style="1" width="10"/>
    <col collapsed="false" customWidth="true" hidden="false" outlineLevel="0" max="2390" min="2390" style="1" width="12.56"/>
    <col collapsed="false" customWidth="true" hidden="false" outlineLevel="0" max="2638" min="2638" style="1" width="14.56"/>
    <col collapsed="false" customWidth="true" hidden="false" outlineLevel="0" max="2639" min="2639" style="1" width="8.11"/>
    <col collapsed="false" customWidth="true" hidden="false" outlineLevel="0" max="2644" min="2641" style="1" width="17.11"/>
    <col collapsed="false" customWidth="true" hidden="false" outlineLevel="0" max="2645" min="2645" style="1" width="10"/>
    <col collapsed="false" customWidth="true" hidden="false" outlineLevel="0" max="2646" min="2646" style="1" width="12.56"/>
    <col collapsed="false" customWidth="true" hidden="false" outlineLevel="0" max="2894" min="2894" style="1" width="14.56"/>
    <col collapsed="false" customWidth="true" hidden="false" outlineLevel="0" max="2895" min="2895" style="1" width="8.11"/>
    <col collapsed="false" customWidth="true" hidden="false" outlineLevel="0" max="2900" min="2897" style="1" width="17.11"/>
    <col collapsed="false" customWidth="true" hidden="false" outlineLevel="0" max="2901" min="2901" style="1" width="10"/>
    <col collapsed="false" customWidth="true" hidden="false" outlineLevel="0" max="2902" min="2902" style="1" width="12.56"/>
    <col collapsed="false" customWidth="true" hidden="false" outlineLevel="0" max="3150" min="3150" style="1" width="14.56"/>
    <col collapsed="false" customWidth="true" hidden="false" outlineLevel="0" max="3151" min="3151" style="1" width="8.11"/>
    <col collapsed="false" customWidth="true" hidden="false" outlineLevel="0" max="3156" min="3153" style="1" width="17.11"/>
    <col collapsed="false" customWidth="true" hidden="false" outlineLevel="0" max="3157" min="3157" style="1" width="10"/>
    <col collapsed="false" customWidth="true" hidden="false" outlineLevel="0" max="3158" min="3158" style="1" width="12.56"/>
    <col collapsed="false" customWidth="true" hidden="false" outlineLevel="0" max="3406" min="3406" style="1" width="14.56"/>
    <col collapsed="false" customWidth="true" hidden="false" outlineLevel="0" max="3407" min="3407" style="1" width="8.11"/>
    <col collapsed="false" customWidth="true" hidden="false" outlineLevel="0" max="3412" min="3409" style="1" width="17.11"/>
    <col collapsed="false" customWidth="true" hidden="false" outlineLevel="0" max="3413" min="3413" style="1" width="10"/>
    <col collapsed="false" customWidth="true" hidden="false" outlineLevel="0" max="3414" min="3414" style="1" width="12.56"/>
    <col collapsed="false" customWidth="true" hidden="false" outlineLevel="0" max="3662" min="3662" style="1" width="14.56"/>
    <col collapsed="false" customWidth="true" hidden="false" outlineLevel="0" max="3663" min="3663" style="1" width="8.11"/>
    <col collapsed="false" customWidth="true" hidden="false" outlineLevel="0" max="3668" min="3665" style="1" width="17.11"/>
    <col collapsed="false" customWidth="true" hidden="false" outlineLevel="0" max="3669" min="3669" style="1" width="10"/>
    <col collapsed="false" customWidth="true" hidden="false" outlineLevel="0" max="3670" min="3670" style="1" width="12.56"/>
    <col collapsed="false" customWidth="true" hidden="false" outlineLevel="0" max="3918" min="3918" style="1" width="14.56"/>
    <col collapsed="false" customWidth="true" hidden="false" outlineLevel="0" max="3919" min="3919" style="1" width="8.11"/>
    <col collapsed="false" customWidth="true" hidden="false" outlineLevel="0" max="3924" min="3921" style="1" width="17.11"/>
    <col collapsed="false" customWidth="true" hidden="false" outlineLevel="0" max="3925" min="3925" style="1" width="10"/>
    <col collapsed="false" customWidth="true" hidden="false" outlineLevel="0" max="3926" min="3926" style="1" width="12.56"/>
    <col collapsed="false" customWidth="true" hidden="false" outlineLevel="0" max="4174" min="4174" style="1" width="14.56"/>
    <col collapsed="false" customWidth="true" hidden="false" outlineLevel="0" max="4175" min="4175" style="1" width="8.11"/>
    <col collapsed="false" customWidth="true" hidden="false" outlineLevel="0" max="4180" min="4177" style="1" width="17.11"/>
    <col collapsed="false" customWidth="true" hidden="false" outlineLevel="0" max="4181" min="4181" style="1" width="10"/>
    <col collapsed="false" customWidth="true" hidden="false" outlineLevel="0" max="4182" min="4182" style="1" width="12.56"/>
    <col collapsed="false" customWidth="true" hidden="false" outlineLevel="0" max="4430" min="4430" style="1" width="14.56"/>
    <col collapsed="false" customWidth="true" hidden="false" outlineLevel="0" max="4431" min="4431" style="1" width="8.11"/>
    <col collapsed="false" customWidth="true" hidden="false" outlineLevel="0" max="4436" min="4433" style="1" width="17.11"/>
    <col collapsed="false" customWidth="true" hidden="false" outlineLevel="0" max="4437" min="4437" style="1" width="10"/>
    <col collapsed="false" customWidth="true" hidden="false" outlineLevel="0" max="4438" min="4438" style="1" width="12.56"/>
    <col collapsed="false" customWidth="true" hidden="false" outlineLevel="0" max="4686" min="4686" style="1" width="14.56"/>
    <col collapsed="false" customWidth="true" hidden="false" outlineLevel="0" max="4687" min="4687" style="1" width="8.11"/>
    <col collapsed="false" customWidth="true" hidden="false" outlineLevel="0" max="4692" min="4689" style="1" width="17.11"/>
    <col collapsed="false" customWidth="true" hidden="false" outlineLevel="0" max="4693" min="4693" style="1" width="10"/>
    <col collapsed="false" customWidth="true" hidden="false" outlineLevel="0" max="4694" min="4694" style="1" width="12.56"/>
    <col collapsed="false" customWidth="true" hidden="false" outlineLevel="0" max="4942" min="4942" style="1" width="14.56"/>
    <col collapsed="false" customWidth="true" hidden="false" outlineLevel="0" max="4943" min="4943" style="1" width="8.11"/>
    <col collapsed="false" customWidth="true" hidden="false" outlineLevel="0" max="4948" min="4945" style="1" width="17.11"/>
    <col collapsed="false" customWidth="true" hidden="false" outlineLevel="0" max="4949" min="4949" style="1" width="10"/>
    <col collapsed="false" customWidth="true" hidden="false" outlineLevel="0" max="4950" min="4950" style="1" width="12.56"/>
    <col collapsed="false" customWidth="true" hidden="false" outlineLevel="0" max="5198" min="5198" style="1" width="14.56"/>
    <col collapsed="false" customWidth="true" hidden="false" outlineLevel="0" max="5199" min="5199" style="1" width="8.11"/>
    <col collapsed="false" customWidth="true" hidden="false" outlineLevel="0" max="5204" min="5201" style="1" width="17.11"/>
    <col collapsed="false" customWidth="true" hidden="false" outlineLevel="0" max="5205" min="5205" style="1" width="10"/>
    <col collapsed="false" customWidth="true" hidden="false" outlineLevel="0" max="5206" min="5206" style="1" width="12.56"/>
    <col collapsed="false" customWidth="true" hidden="false" outlineLevel="0" max="5454" min="5454" style="1" width="14.56"/>
    <col collapsed="false" customWidth="true" hidden="false" outlineLevel="0" max="5455" min="5455" style="1" width="8.11"/>
    <col collapsed="false" customWidth="true" hidden="false" outlineLevel="0" max="5460" min="5457" style="1" width="17.11"/>
    <col collapsed="false" customWidth="true" hidden="false" outlineLevel="0" max="5461" min="5461" style="1" width="10"/>
    <col collapsed="false" customWidth="true" hidden="false" outlineLevel="0" max="5462" min="5462" style="1" width="12.56"/>
    <col collapsed="false" customWidth="true" hidden="false" outlineLevel="0" max="5710" min="5710" style="1" width="14.56"/>
    <col collapsed="false" customWidth="true" hidden="false" outlineLevel="0" max="5711" min="5711" style="1" width="8.11"/>
    <col collapsed="false" customWidth="true" hidden="false" outlineLevel="0" max="5716" min="5713" style="1" width="17.11"/>
    <col collapsed="false" customWidth="true" hidden="false" outlineLevel="0" max="5717" min="5717" style="1" width="10"/>
    <col collapsed="false" customWidth="true" hidden="false" outlineLevel="0" max="5718" min="5718" style="1" width="12.56"/>
    <col collapsed="false" customWidth="true" hidden="false" outlineLevel="0" max="5966" min="5966" style="1" width="14.56"/>
    <col collapsed="false" customWidth="true" hidden="false" outlineLevel="0" max="5967" min="5967" style="1" width="8.11"/>
    <col collapsed="false" customWidth="true" hidden="false" outlineLevel="0" max="5972" min="5969" style="1" width="17.11"/>
    <col collapsed="false" customWidth="true" hidden="false" outlineLevel="0" max="5973" min="5973" style="1" width="10"/>
    <col collapsed="false" customWidth="true" hidden="false" outlineLevel="0" max="5974" min="5974" style="1" width="12.56"/>
    <col collapsed="false" customWidth="true" hidden="false" outlineLevel="0" max="6222" min="6222" style="1" width="14.56"/>
    <col collapsed="false" customWidth="true" hidden="false" outlineLevel="0" max="6223" min="6223" style="1" width="8.11"/>
    <col collapsed="false" customWidth="true" hidden="false" outlineLevel="0" max="6228" min="6225" style="1" width="17.11"/>
    <col collapsed="false" customWidth="true" hidden="false" outlineLevel="0" max="6229" min="6229" style="1" width="10"/>
    <col collapsed="false" customWidth="true" hidden="false" outlineLevel="0" max="6230" min="6230" style="1" width="12.56"/>
    <col collapsed="false" customWidth="true" hidden="false" outlineLevel="0" max="6478" min="6478" style="1" width="14.56"/>
    <col collapsed="false" customWidth="true" hidden="false" outlineLevel="0" max="6479" min="6479" style="1" width="8.11"/>
    <col collapsed="false" customWidth="true" hidden="false" outlineLevel="0" max="6484" min="6481" style="1" width="17.11"/>
    <col collapsed="false" customWidth="true" hidden="false" outlineLevel="0" max="6485" min="6485" style="1" width="10"/>
    <col collapsed="false" customWidth="true" hidden="false" outlineLevel="0" max="6486" min="6486" style="1" width="12.56"/>
    <col collapsed="false" customWidth="true" hidden="false" outlineLevel="0" max="6734" min="6734" style="1" width="14.56"/>
    <col collapsed="false" customWidth="true" hidden="false" outlineLevel="0" max="6735" min="6735" style="1" width="8.11"/>
    <col collapsed="false" customWidth="true" hidden="false" outlineLevel="0" max="6740" min="6737" style="1" width="17.11"/>
    <col collapsed="false" customWidth="true" hidden="false" outlineLevel="0" max="6741" min="6741" style="1" width="10"/>
    <col collapsed="false" customWidth="true" hidden="false" outlineLevel="0" max="6742" min="6742" style="1" width="12.56"/>
    <col collapsed="false" customWidth="true" hidden="false" outlineLevel="0" max="6990" min="6990" style="1" width="14.56"/>
    <col collapsed="false" customWidth="true" hidden="false" outlineLevel="0" max="6991" min="6991" style="1" width="8.11"/>
    <col collapsed="false" customWidth="true" hidden="false" outlineLevel="0" max="6996" min="6993" style="1" width="17.11"/>
    <col collapsed="false" customWidth="true" hidden="false" outlineLevel="0" max="6997" min="6997" style="1" width="10"/>
    <col collapsed="false" customWidth="true" hidden="false" outlineLevel="0" max="6998" min="6998" style="1" width="12.56"/>
    <col collapsed="false" customWidth="true" hidden="false" outlineLevel="0" max="7246" min="7246" style="1" width="14.56"/>
    <col collapsed="false" customWidth="true" hidden="false" outlineLevel="0" max="7247" min="7247" style="1" width="8.11"/>
    <col collapsed="false" customWidth="true" hidden="false" outlineLevel="0" max="7252" min="7249" style="1" width="17.11"/>
    <col collapsed="false" customWidth="true" hidden="false" outlineLevel="0" max="7253" min="7253" style="1" width="10"/>
    <col collapsed="false" customWidth="true" hidden="false" outlineLevel="0" max="7254" min="7254" style="1" width="12.56"/>
    <col collapsed="false" customWidth="true" hidden="false" outlineLevel="0" max="7502" min="7502" style="1" width="14.56"/>
    <col collapsed="false" customWidth="true" hidden="false" outlineLevel="0" max="7503" min="7503" style="1" width="8.11"/>
    <col collapsed="false" customWidth="true" hidden="false" outlineLevel="0" max="7508" min="7505" style="1" width="17.11"/>
    <col collapsed="false" customWidth="true" hidden="false" outlineLevel="0" max="7509" min="7509" style="1" width="10"/>
    <col collapsed="false" customWidth="true" hidden="false" outlineLevel="0" max="7510" min="7510" style="1" width="12.56"/>
    <col collapsed="false" customWidth="true" hidden="false" outlineLevel="0" max="7758" min="7758" style="1" width="14.56"/>
    <col collapsed="false" customWidth="true" hidden="false" outlineLevel="0" max="7759" min="7759" style="1" width="8.11"/>
    <col collapsed="false" customWidth="true" hidden="false" outlineLevel="0" max="7764" min="7761" style="1" width="17.11"/>
    <col collapsed="false" customWidth="true" hidden="false" outlineLevel="0" max="7765" min="7765" style="1" width="10"/>
    <col collapsed="false" customWidth="true" hidden="false" outlineLevel="0" max="7766" min="7766" style="1" width="12.56"/>
    <col collapsed="false" customWidth="true" hidden="false" outlineLevel="0" max="8014" min="8014" style="1" width="14.56"/>
    <col collapsed="false" customWidth="true" hidden="false" outlineLevel="0" max="8015" min="8015" style="1" width="8.11"/>
    <col collapsed="false" customWidth="true" hidden="false" outlineLevel="0" max="8020" min="8017" style="1" width="17.11"/>
    <col collapsed="false" customWidth="true" hidden="false" outlineLevel="0" max="8021" min="8021" style="1" width="10"/>
    <col collapsed="false" customWidth="true" hidden="false" outlineLevel="0" max="8022" min="8022" style="1" width="12.56"/>
    <col collapsed="false" customWidth="true" hidden="false" outlineLevel="0" max="8270" min="8270" style="1" width="14.56"/>
    <col collapsed="false" customWidth="true" hidden="false" outlineLevel="0" max="8271" min="8271" style="1" width="8.11"/>
    <col collapsed="false" customWidth="true" hidden="false" outlineLevel="0" max="8276" min="8273" style="1" width="17.11"/>
    <col collapsed="false" customWidth="true" hidden="false" outlineLevel="0" max="8277" min="8277" style="1" width="10"/>
    <col collapsed="false" customWidth="true" hidden="false" outlineLevel="0" max="8278" min="8278" style="1" width="12.56"/>
    <col collapsed="false" customWidth="true" hidden="false" outlineLevel="0" max="8526" min="8526" style="1" width="14.56"/>
    <col collapsed="false" customWidth="true" hidden="false" outlineLevel="0" max="8527" min="8527" style="1" width="8.11"/>
    <col collapsed="false" customWidth="true" hidden="false" outlineLevel="0" max="8532" min="8529" style="1" width="17.11"/>
    <col collapsed="false" customWidth="true" hidden="false" outlineLevel="0" max="8533" min="8533" style="1" width="10"/>
    <col collapsed="false" customWidth="true" hidden="false" outlineLevel="0" max="8534" min="8534" style="1" width="12.56"/>
    <col collapsed="false" customWidth="true" hidden="false" outlineLevel="0" max="8782" min="8782" style="1" width="14.56"/>
    <col collapsed="false" customWidth="true" hidden="false" outlineLevel="0" max="8783" min="8783" style="1" width="8.11"/>
    <col collapsed="false" customWidth="true" hidden="false" outlineLevel="0" max="8788" min="8785" style="1" width="17.11"/>
    <col collapsed="false" customWidth="true" hidden="false" outlineLevel="0" max="8789" min="8789" style="1" width="10"/>
    <col collapsed="false" customWidth="true" hidden="false" outlineLevel="0" max="8790" min="8790" style="1" width="12.56"/>
    <col collapsed="false" customWidth="true" hidden="false" outlineLevel="0" max="9038" min="9038" style="1" width="14.56"/>
    <col collapsed="false" customWidth="true" hidden="false" outlineLevel="0" max="9039" min="9039" style="1" width="8.11"/>
    <col collapsed="false" customWidth="true" hidden="false" outlineLevel="0" max="9044" min="9041" style="1" width="17.11"/>
    <col collapsed="false" customWidth="true" hidden="false" outlineLevel="0" max="9045" min="9045" style="1" width="10"/>
    <col collapsed="false" customWidth="true" hidden="false" outlineLevel="0" max="9046" min="9046" style="1" width="12.56"/>
    <col collapsed="false" customWidth="true" hidden="false" outlineLevel="0" max="9294" min="9294" style="1" width="14.56"/>
    <col collapsed="false" customWidth="true" hidden="false" outlineLevel="0" max="9295" min="9295" style="1" width="8.11"/>
    <col collapsed="false" customWidth="true" hidden="false" outlineLevel="0" max="9300" min="9297" style="1" width="17.11"/>
    <col collapsed="false" customWidth="true" hidden="false" outlineLevel="0" max="9301" min="9301" style="1" width="10"/>
    <col collapsed="false" customWidth="true" hidden="false" outlineLevel="0" max="9302" min="9302" style="1" width="12.56"/>
    <col collapsed="false" customWidth="true" hidden="false" outlineLevel="0" max="9550" min="9550" style="1" width="14.56"/>
    <col collapsed="false" customWidth="true" hidden="false" outlineLevel="0" max="9551" min="9551" style="1" width="8.11"/>
    <col collapsed="false" customWidth="true" hidden="false" outlineLevel="0" max="9556" min="9553" style="1" width="17.11"/>
    <col collapsed="false" customWidth="true" hidden="false" outlineLevel="0" max="9557" min="9557" style="1" width="10"/>
    <col collapsed="false" customWidth="true" hidden="false" outlineLevel="0" max="9558" min="9558" style="1" width="12.56"/>
    <col collapsed="false" customWidth="true" hidden="false" outlineLevel="0" max="9806" min="9806" style="1" width="14.56"/>
    <col collapsed="false" customWidth="true" hidden="false" outlineLevel="0" max="9807" min="9807" style="1" width="8.11"/>
    <col collapsed="false" customWidth="true" hidden="false" outlineLevel="0" max="9812" min="9809" style="1" width="17.11"/>
    <col collapsed="false" customWidth="true" hidden="false" outlineLevel="0" max="9813" min="9813" style="1" width="10"/>
    <col collapsed="false" customWidth="true" hidden="false" outlineLevel="0" max="9814" min="9814" style="1" width="12.56"/>
    <col collapsed="false" customWidth="true" hidden="false" outlineLevel="0" max="10062" min="10062" style="1" width="14.56"/>
    <col collapsed="false" customWidth="true" hidden="false" outlineLevel="0" max="10063" min="10063" style="1" width="8.11"/>
    <col collapsed="false" customWidth="true" hidden="false" outlineLevel="0" max="10068" min="10065" style="1" width="17.11"/>
    <col collapsed="false" customWidth="true" hidden="false" outlineLevel="0" max="10069" min="10069" style="1" width="10"/>
    <col collapsed="false" customWidth="true" hidden="false" outlineLevel="0" max="10070" min="10070" style="1" width="12.56"/>
    <col collapsed="false" customWidth="true" hidden="false" outlineLevel="0" max="10318" min="10318" style="1" width="14.56"/>
    <col collapsed="false" customWidth="true" hidden="false" outlineLevel="0" max="10319" min="10319" style="1" width="8.11"/>
    <col collapsed="false" customWidth="true" hidden="false" outlineLevel="0" max="10324" min="10321" style="1" width="17.11"/>
    <col collapsed="false" customWidth="true" hidden="false" outlineLevel="0" max="10325" min="10325" style="1" width="10"/>
    <col collapsed="false" customWidth="true" hidden="false" outlineLevel="0" max="10326" min="10326" style="1" width="12.56"/>
    <col collapsed="false" customWidth="true" hidden="false" outlineLevel="0" max="10574" min="10574" style="1" width="14.56"/>
    <col collapsed="false" customWidth="true" hidden="false" outlineLevel="0" max="10575" min="10575" style="1" width="8.11"/>
    <col collapsed="false" customWidth="true" hidden="false" outlineLevel="0" max="10580" min="10577" style="1" width="17.11"/>
    <col collapsed="false" customWidth="true" hidden="false" outlineLevel="0" max="10581" min="10581" style="1" width="10"/>
    <col collapsed="false" customWidth="true" hidden="false" outlineLevel="0" max="10582" min="10582" style="1" width="12.56"/>
    <col collapsed="false" customWidth="true" hidden="false" outlineLevel="0" max="10830" min="10830" style="1" width="14.56"/>
    <col collapsed="false" customWidth="true" hidden="false" outlineLevel="0" max="10831" min="10831" style="1" width="8.11"/>
    <col collapsed="false" customWidth="true" hidden="false" outlineLevel="0" max="10836" min="10833" style="1" width="17.11"/>
    <col collapsed="false" customWidth="true" hidden="false" outlineLevel="0" max="10837" min="10837" style="1" width="10"/>
    <col collapsed="false" customWidth="true" hidden="false" outlineLevel="0" max="10838" min="10838" style="1" width="12.56"/>
    <col collapsed="false" customWidth="true" hidden="false" outlineLevel="0" max="11086" min="11086" style="1" width="14.56"/>
    <col collapsed="false" customWidth="true" hidden="false" outlineLevel="0" max="11087" min="11087" style="1" width="8.11"/>
    <col collapsed="false" customWidth="true" hidden="false" outlineLevel="0" max="11092" min="11089" style="1" width="17.11"/>
    <col collapsed="false" customWidth="true" hidden="false" outlineLevel="0" max="11093" min="11093" style="1" width="10"/>
    <col collapsed="false" customWidth="true" hidden="false" outlineLevel="0" max="11094" min="11094" style="1" width="12.56"/>
    <col collapsed="false" customWidth="true" hidden="false" outlineLevel="0" max="11342" min="11342" style="1" width="14.56"/>
    <col collapsed="false" customWidth="true" hidden="false" outlineLevel="0" max="11343" min="11343" style="1" width="8.11"/>
    <col collapsed="false" customWidth="true" hidden="false" outlineLevel="0" max="11348" min="11345" style="1" width="17.11"/>
    <col collapsed="false" customWidth="true" hidden="false" outlineLevel="0" max="11349" min="11349" style="1" width="10"/>
    <col collapsed="false" customWidth="true" hidden="false" outlineLevel="0" max="11350" min="11350" style="1" width="12.56"/>
    <col collapsed="false" customWidth="true" hidden="false" outlineLevel="0" max="11598" min="11598" style="1" width="14.56"/>
    <col collapsed="false" customWidth="true" hidden="false" outlineLevel="0" max="11599" min="11599" style="1" width="8.11"/>
    <col collapsed="false" customWidth="true" hidden="false" outlineLevel="0" max="11604" min="11601" style="1" width="17.11"/>
    <col collapsed="false" customWidth="true" hidden="false" outlineLevel="0" max="11605" min="11605" style="1" width="10"/>
    <col collapsed="false" customWidth="true" hidden="false" outlineLevel="0" max="11606" min="11606" style="1" width="12.56"/>
    <col collapsed="false" customWidth="true" hidden="false" outlineLevel="0" max="11854" min="11854" style="1" width="14.56"/>
    <col collapsed="false" customWidth="true" hidden="false" outlineLevel="0" max="11855" min="11855" style="1" width="8.11"/>
    <col collapsed="false" customWidth="true" hidden="false" outlineLevel="0" max="11860" min="11857" style="1" width="17.11"/>
    <col collapsed="false" customWidth="true" hidden="false" outlineLevel="0" max="11861" min="11861" style="1" width="10"/>
    <col collapsed="false" customWidth="true" hidden="false" outlineLevel="0" max="11862" min="11862" style="1" width="12.56"/>
    <col collapsed="false" customWidth="true" hidden="false" outlineLevel="0" max="12110" min="12110" style="1" width="14.56"/>
    <col collapsed="false" customWidth="true" hidden="false" outlineLevel="0" max="12111" min="12111" style="1" width="8.11"/>
    <col collapsed="false" customWidth="true" hidden="false" outlineLevel="0" max="12116" min="12113" style="1" width="17.11"/>
    <col collapsed="false" customWidth="true" hidden="false" outlineLevel="0" max="12117" min="12117" style="1" width="10"/>
    <col collapsed="false" customWidth="true" hidden="false" outlineLevel="0" max="12118" min="12118" style="1" width="12.56"/>
    <col collapsed="false" customWidth="true" hidden="false" outlineLevel="0" max="12366" min="12366" style="1" width="14.56"/>
    <col collapsed="false" customWidth="true" hidden="false" outlineLevel="0" max="12367" min="12367" style="1" width="8.11"/>
    <col collapsed="false" customWidth="true" hidden="false" outlineLevel="0" max="12372" min="12369" style="1" width="17.11"/>
    <col collapsed="false" customWidth="true" hidden="false" outlineLevel="0" max="12373" min="12373" style="1" width="10"/>
    <col collapsed="false" customWidth="true" hidden="false" outlineLevel="0" max="12374" min="12374" style="1" width="12.56"/>
    <col collapsed="false" customWidth="true" hidden="false" outlineLevel="0" max="12622" min="12622" style="1" width="14.56"/>
    <col collapsed="false" customWidth="true" hidden="false" outlineLevel="0" max="12623" min="12623" style="1" width="8.11"/>
    <col collapsed="false" customWidth="true" hidden="false" outlineLevel="0" max="12628" min="12625" style="1" width="17.11"/>
    <col collapsed="false" customWidth="true" hidden="false" outlineLevel="0" max="12629" min="12629" style="1" width="10"/>
    <col collapsed="false" customWidth="true" hidden="false" outlineLevel="0" max="12630" min="12630" style="1" width="12.56"/>
    <col collapsed="false" customWidth="true" hidden="false" outlineLevel="0" max="12878" min="12878" style="1" width="14.56"/>
    <col collapsed="false" customWidth="true" hidden="false" outlineLevel="0" max="12879" min="12879" style="1" width="8.11"/>
    <col collapsed="false" customWidth="true" hidden="false" outlineLevel="0" max="12884" min="12881" style="1" width="17.11"/>
    <col collapsed="false" customWidth="true" hidden="false" outlineLevel="0" max="12885" min="12885" style="1" width="10"/>
    <col collapsed="false" customWidth="true" hidden="false" outlineLevel="0" max="12886" min="12886" style="1" width="12.56"/>
    <col collapsed="false" customWidth="true" hidden="false" outlineLevel="0" max="13134" min="13134" style="1" width="14.56"/>
    <col collapsed="false" customWidth="true" hidden="false" outlineLevel="0" max="13135" min="13135" style="1" width="8.11"/>
    <col collapsed="false" customWidth="true" hidden="false" outlineLevel="0" max="13140" min="13137" style="1" width="17.11"/>
    <col collapsed="false" customWidth="true" hidden="false" outlineLevel="0" max="13141" min="13141" style="1" width="10"/>
    <col collapsed="false" customWidth="true" hidden="false" outlineLevel="0" max="13142" min="13142" style="1" width="12.56"/>
    <col collapsed="false" customWidth="true" hidden="false" outlineLevel="0" max="13390" min="13390" style="1" width="14.56"/>
    <col collapsed="false" customWidth="true" hidden="false" outlineLevel="0" max="13391" min="13391" style="1" width="8.11"/>
    <col collapsed="false" customWidth="true" hidden="false" outlineLevel="0" max="13396" min="13393" style="1" width="17.11"/>
    <col collapsed="false" customWidth="true" hidden="false" outlineLevel="0" max="13397" min="13397" style="1" width="10"/>
    <col collapsed="false" customWidth="true" hidden="false" outlineLevel="0" max="13398" min="13398" style="1" width="12.56"/>
    <col collapsed="false" customWidth="true" hidden="false" outlineLevel="0" max="13646" min="13646" style="1" width="14.56"/>
    <col collapsed="false" customWidth="true" hidden="false" outlineLevel="0" max="13647" min="13647" style="1" width="8.11"/>
    <col collapsed="false" customWidth="true" hidden="false" outlineLevel="0" max="13652" min="13649" style="1" width="17.11"/>
    <col collapsed="false" customWidth="true" hidden="false" outlineLevel="0" max="13653" min="13653" style="1" width="10"/>
    <col collapsed="false" customWidth="true" hidden="false" outlineLevel="0" max="13654" min="13654" style="1" width="12.56"/>
    <col collapsed="false" customWidth="true" hidden="false" outlineLevel="0" max="13902" min="13902" style="1" width="14.56"/>
    <col collapsed="false" customWidth="true" hidden="false" outlineLevel="0" max="13903" min="13903" style="1" width="8.11"/>
    <col collapsed="false" customWidth="true" hidden="false" outlineLevel="0" max="13908" min="13905" style="1" width="17.11"/>
    <col collapsed="false" customWidth="true" hidden="false" outlineLevel="0" max="13909" min="13909" style="1" width="10"/>
    <col collapsed="false" customWidth="true" hidden="false" outlineLevel="0" max="13910" min="13910" style="1" width="12.56"/>
    <col collapsed="false" customWidth="true" hidden="false" outlineLevel="0" max="14158" min="14158" style="1" width="14.56"/>
    <col collapsed="false" customWidth="true" hidden="false" outlineLevel="0" max="14159" min="14159" style="1" width="8.11"/>
    <col collapsed="false" customWidth="true" hidden="false" outlineLevel="0" max="14164" min="14161" style="1" width="17.11"/>
    <col collapsed="false" customWidth="true" hidden="false" outlineLevel="0" max="14165" min="14165" style="1" width="10"/>
    <col collapsed="false" customWidth="true" hidden="false" outlineLevel="0" max="14166" min="14166" style="1" width="12.56"/>
    <col collapsed="false" customWidth="true" hidden="false" outlineLevel="0" max="14414" min="14414" style="1" width="14.56"/>
    <col collapsed="false" customWidth="true" hidden="false" outlineLevel="0" max="14415" min="14415" style="1" width="8.11"/>
    <col collapsed="false" customWidth="true" hidden="false" outlineLevel="0" max="14420" min="14417" style="1" width="17.11"/>
    <col collapsed="false" customWidth="true" hidden="false" outlineLevel="0" max="14421" min="14421" style="1" width="10"/>
    <col collapsed="false" customWidth="true" hidden="false" outlineLevel="0" max="14422" min="14422" style="1" width="12.56"/>
    <col collapsed="false" customWidth="true" hidden="false" outlineLevel="0" max="14670" min="14670" style="1" width="14.56"/>
    <col collapsed="false" customWidth="true" hidden="false" outlineLevel="0" max="14671" min="14671" style="1" width="8.11"/>
    <col collapsed="false" customWidth="true" hidden="false" outlineLevel="0" max="14676" min="14673" style="1" width="17.11"/>
    <col collapsed="false" customWidth="true" hidden="false" outlineLevel="0" max="14677" min="14677" style="1" width="10"/>
    <col collapsed="false" customWidth="true" hidden="false" outlineLevel="0" max="14678" min="14678" style="1" width="12.56"/>
    <col collapsed="false" customWidth="true" hidden="false" outlineLevel="0" max="14926" min="14926" style="1" width="14.56"/>
    <col collapsed="false" customWidth="true" hidden="false" outlineLevel="0" max="14927" min="14927" style="1" width="8.11"/>
    <col collapsed="false" customWidth="true" hidden="false" outlineLevel="0" max="14932" min="14929" style="1" width="17.11"/>
    <col collapsed="false" customWidth="true" hidden="false" outlineLevel="0" max="14933" min="14933" style="1" width="10"/>
    <col collapsed="false" customWidth="true" hidden="false" outlineLevel="0" max="14934" min="14934" style="1" width="12.56"/>
    <col collapsed="false" customWidth="true" hidden="false" outlineLevel="0" max="15182" min="15182" style="1" width="14.56"/>
    <col collapsed="false" customWidth="true" hidden="false" outlineLevel="0" max="15183" min="15183" style="1" width="8.11"/>
    <col collapsed="false" customWidth="true" hidden="false" outlineLevel="0" max="15188" min="15185" style="1" width="17.11"/>
    <col collapsed="false" customWidth="true" hidden="false" outlineLevel="0" max="15189" min="15189" style="1" width="10"/>
    <col collapsed="false" customWidth="true" hidden="false" outlineLevel="0" max="15190" min="15190" style="1" width="12.56"/>
    <col collapsed="false" customWidth="true" hidden="false" outlineLevel="0" max="15438" min="15438" style="1" width="14.56"/>
    <col collapsed="false" customWidth="true" hidden="false" outlineLevel="0" max="15439" min="15439" style="1" width="8.11"/>
    <col collapsed="false" customWidth="true" hidden="false" outlineLevel="0" max="15444" min="15441" style="1" width="17.11"/>
    <col collapsed="false" customWidth="true" hidden="false" outlineLevel="0" max="15445" min="15445" style="1" width="10"/>
    <col collapsed="false" customWidth="true" hidden="false" outlineLevel="0" max="15446" min="15446" style="1" width="12.56"/>
    <col collapsed="false" customWidth="true" hidden="false" outlineLevel="0" max="15694" min="15694" style="1" width="14.56"/>
    <col collapsed="false" customWidth="true" hidden="false" outlineLevel="0" max="15695" min="15695" style="1" width="8.11"/>
    <col collapsed="false" customWidth="true" hidden="false" outlineLevel="0" max="15700" min="15697" style="1" width="17.11"/>
    <col collapsed="false" customWidth="true" hidden="false" outlineLevel="0" max="15701" min="15701" style="1" width="10"/>
    <col collapsed="false" customWidth="true" hidden="false" outlineLevel="0" max="15702" min="15702" style="1" width="12.56"/>
    <col collapsed="false" customWidth="true" hidden="false" outlineLevel="0" max="15950" min="15950" style="1" width="14.56"/>
    <col collapsed="false" customWidth="true" hidden="false" outlineLevel="0" max="15951" min="15951" style="1" width="8.11"/>
    <col collapsed="false" customWidth="true" hidden="false" outlineLevel="0" max="15956" min="15953" style="1" width="17.11"/>
    <col collapsed="false" customWidth="true" hidden="false" outlineLevel="0" max="15957" min="15957" style="1" width="10"/>
    <col collapsed="false" customWidth="true" hidden="false" outlineLevel="0" max="15958" min="15958" style="1" width="12.56"/>
    <col collapsed="false" customWidth="true" hidden="false" outlineLevel="0" max="16206" min="16206" style="1" width="14.56"/>
    <col collapsed="false" customWidth="true" hidden="false" outlineLevel="0" max="16207" min="16207" style="1" width="8.11"/>
    <col collapsed="false" customWidth="true" hidden="false" outlineLevel="0" max="16212" min="16209" style="1" width="17.11"/>
    <col collapsed="false" customWidth="true" hidden="false" outlineLevel="0" max="16213" min="16213" style="1" width="10"/>
    <col collapsed="false" customWidth="true" hidden="false" outlineLevel="0" max="16214" min="16214" style="1" width="12.56"/>
  </cols>
  <sheetData>
    <row r="1" customFormat="false" ht="17.25" hidden="false" customHeight="true" outlineLevel="0" collapsed="false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211"/>
      <c r="M1" s="211"/>
      <c r="N1" s="211"/>
      <c r="O1" s="3"/>
      <c r="P1" s="3"/>
      <c r="Q1" s="3"/>
      <c r="R1" s="3"/>
      <c r="S1" s="3"/>
      <c r="T1" s="3"/>
      <c r="U1" s="3"/>
      <c r="V1" s="3"/>
      <c r="W1" s="212"/>
      <c r="X1" s="3"/>
      <c r="Y1" s="3"/>
      <c r="Z1" s="3"/>
      <c r="AA1" s="3"/>
      <c r="AB1" s="3"/>
      <c r="AC1" s="213"/>
      <c r="AD1" s="214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2" t="s">
        <v>0</v>
      </c>
      <c r="DA1" s="3"/>
      <c r="DB1" s="3"/>
      <c r="DC1" s="3"/>
      <c r="DD1" s="3"/>
      <c r="DE1" s="3"/>
      <c r="DF1" s="3"/>
      <c r="DG1" s="3"/>
      <c r="DH1" s="3"/>
      <c r="DI1" s="3"/>
    </row>
    <row r="2" customFormat="false" ht="17.25" hidden="false" customHeight="true" outlineLevel="0" collapsed="false">
      <c r="A2" s="2"/>
      <c r="B2" s="215"/>
      <c r="C2" s="215"/>
      <c r="D2" s="215"/>
      <c r="E2" s="215"/>
      <c r="F2" s="212"/>
      <c r="G2" s="3"/>
      <c r="H2" s="3"/>
      <c r="I2" s="3"/>
      <c r="J2" s="3"/>
      <c r="K2" s="3"/>
      <c r="L2" s="211"/>
      <c r="M2" s="211"/>
      <c r="N2" s="211"/>
      <c r="O2" s="3"/>
      <c r="P2" s="3"/>
      <c r="Q2" s="3"/>
      <c r="R2" s="3"/>
      <c r="S2" s="3"/>
      <c r="T2" s="3"/>
      <c r="U2" s="3"/>
      <c r="V2" s="3"/>
      <c r="W2" s="212"/>
      <c r="X2" s="3"/>
      <c r="Y2" s="3"/>
      <c r="Z2" s="3"/>
      <c r="AA2" s="3"/>
      <c r="AB2" s="215"/>
      <c r="AC2" s="213"/>
      <c r="AD2" s="214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2"/>
      <c r="DA2" s="215"/>
      <c r="DB2" s="215"/>
      <c r="DC2" s="3"/>
      <c r="DD2" s="3"/>
      <c r="DE2" s="3"/>
      <c r="DF2" s="3"/>
      <c r="DG2" s="3"/>
      <c r="DH2" s="3"/>
      <c r="DI2" s="3"/>
    </row>
    <row r="3" customFormat="false" ht="17.25" hidden="false" customHeight="true" outlineLevel="0" collapsed="false">
      <c r="A3" s="216"/>
      <c r="B3" s="216"/>
      <c r="C3" s="216"/>
      <c r="D3" s="216"/>
      <c r="E3" s="216"/>
      <c r="F3" s="217"/>
      <c r="G3" s="217"/>
      <c r="H3" s="217"/>
      <c r="I3" s="217"/>
      <c r="J3" s="217"/>
      <c r="K3" s="217"/>
      <c r="L3" s="218"/>
      <c r="M3" s="218"/>
      <c r="N3" s="218"/>
      <c r="O3" s="217"/>
      <c r="P3" s="217"/>
      <c r="Q3" s="217"/>
      <c r="R3" s="217"/>
      <c r="S3" s="217"/>
      <c r="T3" s="217"/>
      <c r="U3" s="217"/>
      <c r="V3" s="217"/>
      <c r="W3" s="219"/>
      <c r="X3" s="217"/>
      <c r="Y3" s="217"/>
      <c r="Z3" s="217"/>
      <c r="AA3" s="217"/>
      <c r="AB3" s="216"/>
      <c r="AC3" s="220"/>
      <c r="AD3" s="221"/>
      <c r="AE3" s="221" t="n">
        <v>45446</v>
      </c>
      <c r="AF3" s="221" t="n">
        <f aca="false">AE3+140</f>
        <v>45586</v>
      </c>
      <c r="AG3" s="221" t="n">
        <f aca="false">AE3+145</f>
        <v>45591</v>
      </c>
      <c r="AH3" s="221" t="n">
        <f aca="false">AE3+150</f>
        <v>45596</v>
      </c>
      <c r="AI3" s="220"/>
      <c r="AJ3" s="220"/>
      <c r="AK3" s="220"/>
      <c r="AL3" s="221"/>
      <c r="AM3" s="221"/>
      <c r="AN3" s="221"/>
      <c r="AO3" s="221"/>
      <c r="AP3" s="221"/>
      <c r="AQ3" s="221"/>
      <c r="AR3" s="3"/>
      <c r="AS3" s="3"/>
      <c r="AT3" s="222" t="n">
        <v>45435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217"/>
      <c r="BO3" s="3"/>
      <c r="BP3" s="3"/>
      <c r="BQ3" s="222"/>
      <c r="BR3" s="3"/>
      <c r="BS3" s="3"/>
      <c r="BT3" s="3"/>
      <c r="BU3" s="223" t="s">
        <v>721</v>
      </c>
      <c r="BV3" s="224" t="s">
        <v>722</v>
      </c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217"/>
      <c r="CR3" s="217"/>
      <c r="CS3" s="217"/>
      <c r="CT3" s="217"/>
      <c r="CU3" s="217"/>
      <c r="CV3" s="217"/>
      <c r="CW3" s="217"/>
      <c r="CX3" s="217"/>
      <c r="CY3" s="3"/>
      <c r="CZ3" s="216"/>
      <c r="DA3" s="216"/>
      <c r="DB3" s="216"/>
      <c r="DC3" s="3"/>
      <c r="DD3" s="3"/>
      <c r="DE3" s="3"/>
      <c r="DF3" s="3"/>
      <c r="DG3" s="3"/>
      <c r="DH3" s="3"/>
      <c r="DI3" s="3"/>
    </row>
    <row r="4" customFormat="false" ht="17.25" hidden="false" customHeight="true" outlineLevel="0" collapsed="false">
      <c r="A4" s="216"/>
      <c r="B4" s="216"/>
      <c r="C4" s="216"/>
      <c r="D4" s="216"/>
      <c r="E4" s="216"/>
      <c r="F4" s="217"/>
      <c r="G4" s="217"/>
      <c r="H4" s="217"/>
      <c r="I4" s="217"/>
      <c r="J4" s="217"/>
      <c r="K4" s="217"/>
      <c r="L4" s="218"/>
      <c r="M4" s="218"/>
      <c r="N4" s="218"/>
      <c r="O4" s="217"/>
      <c r="P4" s="217"/>
      <c r="Q4" s="217"/>
      <c r="R4" s="217"/>
      <c r="S4" s="217"/>
      <c r="T4" s="217"/>
      <c r="U4" s="217"/>
      <c r="V4" s="217"/>
      <c r="W4" s="219"/>
      <c r="X4" s="217"/>
      <c r="Y4" s="217"/>
      <c r="Z4" s="217"/>
      <c r="AA4" s="217"/>
      <c r="AB4" s="216"/>
      <c r="AC4" s="220"/>
      <c r="AD4" s="221"/>
      <c r="AE4" s="221" t="n">
        <v>45454</v>
      </c>
      <c r="AF4" s="221" t="n">
        <f aca="false">AE4+140</f>
        <v>45594</v>
      </c>
      <c r="AG4" s="221" t="n">
        <f aca="false">AE4+145</f>
        <v>45599</v>
      </c>
      <c r="AH4" s="221" t="n">
        <f aca="false">AE4+150</f>
        <v>45604</v>
      </c>
      <c r="AI4" s="220"/>
      <c r="AJ4" s="221" t="n">
        <v>45446</v>
      </c>
      <c r="AK4" s="221" t="n">
        <f aca="false">AJ4+140</f>
        <v>45586</v>
      </c>
      <c r="AL4" s="221" t="n">
        <f aca="false">AJ4+145</f>
        <v>45591</v>
      </c>
      <c r="AM4" s="221" t="n">
        <f aca="false">AJ4+150</f>
        <v>45596</v>
      </c>
      <c r="AN4" s="221"/>
      <c r="AO4" s="221"/>
      <c r="AP4" s="221"/>
      <c r="AQ4" s="221"/>
      <c r="AR4" s="3"/>
      <c r="AS4" s="3"/>
      <c r="AT4" s="222" t="n">
        <f aca="false">AT3+140</f>
        <v>45575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217"/>
      <c r="BO4" s="3"/>
      <c r="BP4" s="3"/>
      <c r="BQ4" s="225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217"/>
      <c r="CR4" s="217"/>
      <c r="CS4" s="217"/>
      <c r="CT4" s="217"/>
      <c r="CU4" s="217"/>
      <c r="CV4" s="217"/>
      <c r="CW4" s="217"/>
      <c r="CX4" s="217"/>
      <c r="CY4" s="3"/>
      <c r="CZ4" s="216"/>
      <c r="DA4" s="216"/>
      <c r="DB4" s="216"/>
      <c r="DC4" s="3"/>
      <c r="DD4" s="3"/>
      <c r="DE4" s="3"/>
      <c r="DF4" s="3"/>
      <c r="DG4" s="3"/>
      <c r="DH4" s="3"/>
      <c r="DI4" s="3"/>
    </row>
    <row r="5" customFormat="false" ht="17.25" hidden="false" customHeight="true" outlineLevel="0" collapsed="false">
      <c r="A5" s="216" t="s">
        <v>723</v>
      </c>
      <c r="B5" s="216"/>
      <c r="C5" s="216"/>
      <c r="D5" s="216"/>
      <c r="E5" s="216"/>
      <c r="F5" s="220"/>
      <c r="G5" s="220"/>
      <c r="H5" s="220"/>
      <c r="I5" s="220"/>
      <c r="J5" s="220"/>
      <c r="K5" s="220"/>
      <c r="L5" s="218"/>
      <c r="M5" s="218"/>
      <c r="N5" s="218"/>
      <c r="O5" s="220"/>
      <c r="P5" s="220"/>
      <c r="Q5" s="220"/>
      <c r="R5" s="220"/>
      <c r="S5" s="220"/>
      <c r="T5" s="220"/>
      <c r="U5" s="220"/>
      <c r="V5" s="220"/>
      <c r="W5" s="226"/>
      <c r="X5" s="220"/>
      <c r="Y5" s="220"/>
      <c r="Z5" s="220"/>
      <c r="AA5" s="220"/>
      <c r="AB5" s="216"/>
      <c r="AC5" s="220" t="s">
        <v>724</v>
      </c>
      <c r="AD5" s="3"/>
      <c r="AE5" s="221" t="n">
        <v>45451</v>
      </c>
      <c r="AF5" s="221" t="n">
        <f aca="false">AE5+140</f>
        <v>45591</v>
      </c>
      <c r="AG5" s="221" t="n">
        <f aca="false">AE5+145</f>
        <v>45596</v>
      </c>
      <c r="AH5" s="221" t="n">
        <f aca="false">AE5+150</f>
        <v>45601</v>
      </c>
      <c r="AI5" s="220"/>
      <c r="AJ5" s="221" t="n">
        <v>45459</v>
      </c>
      <c r="AK5" s="221" t="n">
        <f aca="false">AJ5+140</f>
        <v>45599</v>
      </c>
      <c r="AL5" s="221" t="n">
        <f aca="false">AJ5+145</f>
        <v>45604</v>
      </c>
      <c r="AM5" s="221" t="n">
        <f aca="false">AJ5+150</f>
        <v>45609</v>
      </c>
      <c r="AN5" s="221"/>
      <c r="AO5" s="221"/>
      <c r="AP5" s="221"/>
      <c r="AQ5" s="221"/>
      <c r="AR5" s="3"/>
      <c r="AS5" s="3"/>
      <c r="AT5" s="222" t="n">
        <f aca="false">AT3+150</f>
        <v>45585</v>
      </c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220"/>
      <c r="BO5" s="3"/>
      <c r="BP5" s="3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220"/>
      <c r="CR5" s="220"/>
      <c r="CS5" s="220"/>
      <c r="CT5" s="220"/>
      <c r="CU5" s="220"/>
      <c r="CV5" s="220"/>
      <c r="CW5" s="220"/>
      <c r="CX5" s="220"/>
      <c r="CY5" s="3"/>
      <c r="CZ5" s="216" t="s">
        <v>723</v>
      </c>
      <c r="DA5" s="216"/>
      <c r="DB5" s="216"/>
      <c r="DC5" s="8"/>
      <c r="DD5" s="8"/>
      <c r="DE5" s="8"/>
      <c r="DF5" s="3"/>
      <c r="DG5" s="3"/>
      <c r="DH5" s="3"/>
      <c r="DI5" s="3"/>
    </row>
    <row r="6" customFormat="false" ht="17.25" hidden="false" customHeight="true" outlineLevel="0" collapsed="false">
      <c r="A6" s="216" t="s">
        <v>725</v>
      </c>
      <c r="B6" s="216"/>
      <c r="C6" s="216"/>
      <c r="D6" s="216"/>
      <c r="E6" s="216"/>
      <c r="F6" s="217"/>
      <c r="G6" s="217"/>
      <c r="H6" s="217"/>
      <c r="I6" s="217"/>
      <c r="J6" s="217"/>
      <c r="K6" s="217"/>
      <c r="L6" s="218"/>
      <c r="M6" s="218"/>
      <c r="N6" s="218"/>
      <c r="O6" s="217"/>
      <c r="P6" s="217"/>
      <c r="Q6" s="217"/>
      <c r="R6" s="217"/>
      <c r="S6" s="217"/>
      <c r="T6" s="217"/>
      <c r="U6" s="217"/>
      <c r="V6" s="217"/>
      <c r="W6" s="219"/>
      <c r="X6" s="217"/>
      <c r="Y6" s="217"/>
      <c r="Z6" s="217"/>
      <c r="AA6" s="217"/>
      <c r="AB6" s="216"/>
      <c r="AC6" s="220" t="s">
        <v>726</v>
      </c>
      <c r="AD6" s="3"/>
      <c r="AE6" s="221" t="n">
        <v>45459</v>
      </c>
      <c r="AF6" s="221" t="n">
        <f aca="false">AE6+140</f>
        <v>45599</v>
      </c>
      <c r="AG6" s="221" t="n">
        <f aca="false">AE6+145</f>
        <v>45604</v>
      </c>
      <c r="AH6" s="221" t="n">
        <f aca="false">AE6+150</f>
        <v>45609</v>
      </c>
      <c r="AI6" s="220"/>
      <c r="AJ6" s="220" t="s">
        <v>727</v>
      </c>
      <c r="AK6" s="220"/>
      <c r="AL6" s="221"/>
      <c r="AM6" s="221"/>
      <c r="AN6" s="221"/>
      <c r="AO6" s="221"/>
      <c r="AP6" s="221"/>
      <c r="AQ6" s="221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228"/>
      <c r="BH6" s="228"/>
      <c r="BI6" s="3"/>
      <c r="BJ6" s="3"/>
      <c r="BK6" s="3"/>
      <c r="BL6" s="3"/>
      <c r="BM6" s="3"/>
      <c r="BN6" s="217"/>
      <c r="BO6" s="3"/>
      <c r="BP6" s="3"/>
      <c r="BQ6" s="227"/>
      <c r="BR6" s="227"/>
      <c r="BS6" s="227"/>
      <c r="BT6" s="227"/>
      <c r="BU6" s="229" t="n">
        <v>-25</v>
      </c>
      <c r="BV6" s="229" t="n">
        <v>-15</v>
      </c>
      <c r="BW6" s="229" t="n">
        <v>0</v>
      </c>
      <c r="BX6" s="229" t="n">
        <f aca="false">BX7*24</f>
        <v>24</v>
      </c>
      <c r="BY6" s="229" t="n">
        <f aca="false">BY7*24</f>
        <v>48</v>
      </c>
      <c r="BZ6" s="229" t="n">
        <f aca="false">BZ7*24</f>
        <v>72</v>
      </c>
      <c r="CA6" s="229" t="n">
        <f aca="false">CA7*24</f>
        <v>96</v>
      </c>
      <c r="CB6" s="229" t="n">
        <f aca="false">CB7*24</f>
        <v>120</v>
      </c>
      <c r="CC6" s="229" t="n">
        <f aca="false">CC7*24</f>
        <v>144</v>
      </c>
      <c r="CD6" s="229" t="n">
        <f aca="false">CD7*24</f>
        <v>168</v>
      </c>
      <c r="CE6" s="229" t="n">
        <f aca="false">CE7*24</f>
        <v>192</v>
      </c>
      <c r="CF6" s="3"/>
      <c r="CG6" s="3"/>
      <c r="CH6" s="3"/>
      <c r="CI6" s="3"/>
      <c r="CJ6" s="3"/>
      <c r="CK6" s="3"/>
      <c r="CL6" s="3"/>
      <c r="CM6" s="230" t="n">
        <f aca="false">SUBTOTAL(3,CM10:CM129)</f>
        <v>118</v>
      </c>
      <c r="CN6" s="3"/>
      <c r="CO6" s="3"/>
      <c r="CP6" s="3"/>
      <c r="CQ6" s="217"/>
      <c r="CR6" s="217"/>
      <c r="CS6" s="217"/>
      <c r="CT6" s="217"/>
      <c r="CU6" s="217"/>
      <c r="CV6" s="217"/>
      <c r="CW6" s="217"/>
      <c r="CX6" s="217"/>
      <c r="CY6" s="3"/>
      <c r="CZ6" s="216" t="s">
        <v>725</v>
      </c>
      <c r="DA6" s="216"/>
      <c r="DB6" s="216"/>
      <c r="DC6" s="8"/>
      <c r="DD6" s="8"/>
      <c r="DE6" s="8"/>
      <c r="DF6" s="3"/>
      <c r="DG6" s="3"/>
      <c r="DH6" s="3"/>
      <c r="DI6" s="3"/>
    </row>
    <row r="7" customFormat="false" ht="15.65" hidden="false" customHeight="true" outlineLevel="0" collapsed="false">
      <c r="A7" s="27"/>
      <c r="B7" s="230" t="n">
        <f aca="false">SUBTOTAL(3,B10:B129)</f>
        <v>120</v>
      </c>
      <c r="F7" s="227"/>
      <c r="G7" s="27"/>
      <c r="H7" s="27"/>
      <c r="I7" s="27"/>
      <c r="J7" s="27"/>
      <c r="K7" s="27"/>
      <c r="L7" s="231"/>
      <c r="M7" s="231"/>
      <c r="N7" s="231"/>
      <c r="O7" s="27"/>
      <c r="P7" s="27"/>
      <c r="Q7" s="27"/>
      <c r="R7" s="27"/>
      <c r="S7" s="27"/>
      <c r="T7" s="27"/>
      <c r="U7" s="27"/>
      <c r="V7" s="27"/>
      <c r="W7" s="227"/>
      <c r="X7" s="27"/>
      <c r="Y7" s="27"/>
      <c r="Z7" s="27"/>
      <c r="AA7" s="27"/>
      <c r="AB7" s="230" t="n">
        <f aca="false">SUBTOTAL(3,AB10:AB129)</f>
        <v>120</v>
      </c>
      <c r="AC7" s="27"/>
      <c r="AD7" s="27"/>
      <c r="AE7" s="27"/>
      <c r="AF7" s="27"/>
      <c r="AG7" s="230" t="n">
        <f aca="false">SUBTOTAL(3,AG10:AG129)</f>
        <v>83</v>
      </c>
      <c r="AH7" s="230" t="n">
        <f aca="false">SUBTOTAL(3,AH10:AH129)</f>
        <v>83</v>
      </c>
      <c r="AI7" s="230" t="n">
        <f aca="false">SUBTOTAL(3,AI10:AI129)</f>
        <v>83</v>
      </c>
      <c r="AJ7" s="27"/>
      <c r="AK7" s="230" t="n">
        <f aca="false">SUBTOTAL(3,AK10:AK129)</f>
        <v>4</v>
      </c>
      <c r="AL7" s="27"/>
      <c r="AM7" s="27"/>
      <c r="AN7" s="27"/>
      <c r="AO7" s="232" t="n">
        <v>45433.3125</v>
      </c>
      <c r="AP7" s="233"/>
      <c r="AQ7" s="233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30" t="n">
        <f aca="false">SUBTOTAL(3,BJ10:BJ129)</f>
        <v>120</v>
      </c>
      <c r="BK7" s="27"/>
      <c r="BL7" s="27"/>
      <c r="BM7" s="27"/>
      <c r="BN7" s="3"/>
      <c r="BO7" s="230"/>
      <c r="BP7" s="230" t="n">
        <f aca="false">SUBTOTAL(3,BP10:BP129)</f>
        <v>120</v>
      </c>
      <c r="BQ7" s="27"/>
      <c r="BR7" s="230" t="n">
        <f aca="false">SUBTOTAL(3,BR10:BR129)</f>
        <v>112</v>
      </c>
      <c r="BS7" s="230"/>
      <c r="BT7" s="230"/>
      <c r="BU7" s="231"/>
      <c r="BV7" s="229" t="n">
        <v>-15</v>
      </c>
      <c r="BW7" s="229" t="n">
        <v>0</v>
      </c>
      <c r="BX7" s="229" t="n">
        <v>1</v>
      </c>
      <c r="BY7" s="229" t="n">
        <v>2</v>
      </c>
      <c r="BZ7" s="229" t="n">
        <v>3</v>
      </c>
      <c r="CA7" s="229" t="n">
        <v>4</v>
      </c>
      <c r="CB7" s="229" t="n">
        <v>5</v>
      </c>
      <c r="CC7" s="229" t="n">
        <v>6</v>
      </c>
      <c r="CD7" s="229" t="n">
        <v>7</v>
      </c>
      <c r="CE7" s="229" t="n">
        <v>8</v>
      </c>
      <c r="CF7" s="227"/>
      <c r="CG7" s="227"/>
      <c r="CH7" s="227"/>
      <c r="CI7" s="227"/>
      <c r="CJ7" s="234" t="s">
        <v>728</v>
      </c>
      <c r="CK7" s="234"/>
      <c r="CL7" s="234"/>
      <c r="CM7" s="234"/>
      <c r="CN7" s="234"/>
      <c r="CO7" s="234"/>
      <c r="CP7" s="234"/>
      <c r="CQ7" s="234"/>
      <c r="CR7" s="230" t="n">
        <f aca="false">SUBTOTAL(3,CR10:CR129)</f>
        <v>109</v>
      </c>
      <c r="CS7" s="235" t="n">
        <v>45433.25</v>
      </c>
      <c r="CT7" s="235"/>
      <c r="CU7" s="235"/>
      <c r="CV7" s="3"/>
      <c r="CW7" s="3"/>
      <c r="CX7" s="3"/>
      <c r="CY7" s="27"/>
      <c r="CZ7" s="27"/>
      <c r="DA7" s="230" t="n">
        <f aca="false">SUBTOTAL(3,DA10:DA129)</f>
        <v>120</v>
      </c>
      <c r="DD7" s="236"/>
      <c r="DE7" s="8"/>
      <c r="DF7" s="8"/>
      <c r="DG7" s="8"/>
      <c r="DH7" s="8"/>
    </row>
    <row r="8" customFormat="false" ht="15.75" hidden="false" customHeight="true" outlineLevel="0" collapsed="false">
      <c r="A8" s="27"/>
      <c r="F8" s="227"/>
      <c r="G8" s="27"/>
      <c r="H8" s="27"/>
      <c r="I8" s="237"/>
      <c r="J8" s="237"/>
      <c r="K8" s="237"/>
      <c r="L8" s="238"/>
      <c r="M8" s="218"/>
      <c r="N8" s="218"/>
      <c r="O8" s="239" t="n">
        <v>45433</v>
      </c>
      <c r="P8" s="27"/>
      <c r="Q8" s="240" t="n">
        <v>45252</v>
      </c>
      <c r="R8" s="240" t="n">
        <v>45279</v>
      </c>
      <c r="S8" s="240" t="n">
        <v>45309</v>
      </c>
      <c r="T8" s="240" t="n">
        <v>45336</v>
      </c>
      <c r="U8" s="240" t="n">
        <v>45364</v>
      </c>
      <c r="V8" s="240" t="n">
        <v>45392</v>
      </c>
      <c r="W8" s="241"/>
      <c r="X8" s="241"/>
      <c r="Y8" s="221"/>
      <c r="Z8" s="221"/>
      <c r="AA8" s="221"/>
      <c r="AC8" s="242" t="s">
        <v>729</v>
      </c>
      <c r="AD8" s="242"/>
      <c r="AE8" s="242"/>
      <c r="AF8" s="242"/>
      <c r="AG8" s="242"/>
      <c r="AH8" s="242"/>
      <c r="AI8" s="242"/>
      <c r="AJ8" s="242"/>
      <c r="AK8" s="242"/>
      <c r="AL8" s="242"/>
      <c r="AM8" s="242"/>
      <c r="AN8" s="242"/>
      <c r="AO8" s="242"/>
      <c r="AP8" s="242"/>
      <c r="AQ8" s="242"/>
      <c r="AR8" s="242"/>
      <c r="AS8" s="242"/>
      <c r="AT8" s="27"/>
      <c r="AU8" s="27"/>
      <c r="AV8" s="243" t="s">
        <v>106</v>
      </c>
      <c r="AW8" s="243"/>
      <c r="AX8" s="243"/>
      <c r="AY8" s="243"/>
      <c r="AZ8" s="243"/>
      <c r="BA8" s="243"/>
      <c r="BB8" s="243"/>
      <c r="BC8" s="243"/>
      <c r="BD8" s="243"/>
      <c r="BE8" s="243"/>
      <c r="BF8" s="243"/>
      <c r="BG8" s="243"/>
      <c r="BH8" s="243"/>
      <c r="BI8" s="243"/>
      <c r="BJ8" s="27"/>
      <c r="BK8" s="27"/>
      <c r="BL8" s="27"/>
      <c r="BM8" s="27"/>
      <c r="BN8" s="235"/>
      <c r="BO8" s="27"/>
      <c r="BP8" s="27"/>
      <c r="BQ8" s="27"/>
      <c r="BR8" s="27"/>
      <c r="BS8" s="27"/>
      <c r="BT8" s="27"/>
      <c r="BU8" s="244" t="n">
        <v>45408</v>
      </c>
      <c r="BV8" s="244" t="n">
        <v>45418</v>
      </c>
      <c r="BW8" s="244" t="n">
        <v>45433</v>
      </c>
      <c r="BX8" s="244" t="n">
        <v>45434</v>
      </c>
      <c r="BY8" s="244" t="n">
        <v>45435</v>
      </c>
      <c r="BZ8" s="244" t="n">
        <v>45436</v>
      </c>
      <c r="CA8" s="244" t="n">
        <v>45437</v>
      </c>
      <c r="CB8" s="244" t="n">
        <v>45438</v>
      </c>
      <c r="CC8" s="244" t="n">
        <v>45439</v>
      </c>
      <c r="CD8" s="244" t="n">
        <v>45440</v>
      </c>
      <c r="CE8" s="244" t="n">
        <v>45441</v>
      </c>
      <c r="CF8" s="240" t="s">
        <v>730</v>
      </c>
      <c r="CG8" s="240"/>
      <c r="CH8" s="245" t="s">
        <v>731</v>
      </c>
      <c r="CI8" s="245"/>
      <c r="CJ8" s="246" t="s">
        <v>732</v>
      </c>
      <c r="CK8" s="246"/>
      <c r="CL8" s="246"/>
      <c r="CM8" s="246"/>
      <c r="CN8" s="246"/>
      <c r="CO8" s="246"/>
      <c r="CP8" s="246"/>
      <c r="CQ8" s="246"/>
      <c r="CR8" s="247" t="s">
        <v>733</v>
      </c>
      <c r="CS8" s="247"/>
      <c r="CT8" s="247"/>
      <c r="CU8" s="247"/>
      <c r="CV8" s="247"/>
      <c r="CW8" s="247"/>
      <c r="CX8" s="247"/>
      <c r="CY8" s="27"/>
      <c r="CZ8" s="27"/>
      <c r="DD8" s="248" t="s">
        <v>734</v>
      </c>
      <c r="DE8" s="248"/>
      <c r="DF8" s="248"/>
      <c r="DG8" s="248"/>
      <c r="DH8" s="248"/>
    </row>
    <row r="9" customFormat="false" ht="53.25" hidden="false" customHeight="true" outlineLevel="0" collapsed="false">
      <c r="A9" s="249" t="s">
        <v>177</v>
      </c>
      <c r="B9" s="250" t="s">
        <v>560</v>
      </c>
      <c r="C9" s="249" t="s">
        <v>735</v>
      </c>
      <c r="D9" s="249" t="s">
        <v>180</v>
      </c>
      <c r="E9" s="249" t="s">
        <v>736</v>
      </c>
      <c r="F9" s="249" t="s">
        <v>737</v>
      </c>
      <c r="G9" s="249" t="s">
        <v>738</v>
      </c>
      <c r="H9" s="249" t="s">
        <v>739</v>
      </c>
      <c r="I9" s="251" t="s">
        <v>740</v>
      </c>
      <c r="J9" s="251" t="s">
        <v>741</v>
      </c>
      <c r="K9" s="251" t="s">
        <v>742</v>
      </c>
      <c r="L9" s="252" t="s">
        <v>743</v>
      </c>
      <c r="M9" s="252" t="s">
        <v>744</v>
      </c>
      <c r="N9" s="252" t="s">
        <v>745</v>
      </c>
      <c r="O9" s="251" t="s">
        <v>746</v>
      </c>
      <c r="P9" s="251" t="s">
        <v>747</v>
      </c>
      <c r="Q9" s="251" t="s">
        <v>748</v>
      </c>
      <c r="R9" s="251" t="s">
        <v>749</v>
      </c>
      <c r="S9" s="251" t="s">
        <v>750</v>
      </c>
      <c r="T9" s="251" t="s">
        <v>751</v>
      </c>
      <c r="U9" s="251" t="s">
        <v>752</v>
      </c>
      <c r="V9" s="251" t="s">
        <v>753</v>
      </c>
      <c r="W9" s="251" t="s">
        <v>754</v>
      </c>
      <c r="X9" s="251"/>
      <c r="Y9" s="240" t="s">
        <v>755</v>
      </c>
      <c r="Z9" s="240"/>
      <c r="AA9" s="240" t="s">
        <v>756</v>
      </c>
      <c r="AB9" s="250" t="s">
        <v>560</v>
      </c>
      <c r="AC9" s="253" t="s">
        <v>757</v>
      </c>
      <c r="AD9" s="253" t="s">
        <v>758</v>
      </c>
      <c r="AE9" s="253" t="s">
        <v>759</v>
      </c>
      <c r="AF9" s="253" t="s">
        <v>760</v>
      </c>
      <c r="AG9" s="253" t="s">
        <v>761</v>
      </c>
      <c r="AH9" s="253" t="s">
        <v>762</v>
      </c>
      <c r="AI9" s="253" t="s">
        <v>760</v>
      </c>
      <c r="AJ9" s="253" t="s">
        <v>763</v>
      </c>
      <c r="AK9" s="253" t="s">
        <v>764</v>
      </c>
      <c r="AL9" s="253" t="s">
        <v>765</v>
      </c>
      <c r="AM9" s="253" t="s">
        <v>760</v>
      </c>
      <c r="AN9" s="253" t="s">
        <v>763</v>
      </c>
      <c r="AO9" s="253" t="s">
        <v>766</v>
      </c>
      <c r="AP9" s="253" t="s">
        <v>767</v>
      </c>
      <c r="AQ9" s="253" t="s">
        <v>768</v>
      </c>
      <c r="AR9" s="253" t="s">
        <v>769</v>
      </c>
      <c r="AS9" s="253" t="s">
        <v>770</v>
      </c>
      <c r="AT9" s="249" t="s">
        <v>771</v>
      </c>
      <c r="AU9" s="249" t="s">
        <v>555</v>
      </c>
      <c r="AV9" s="253" t="s">
        <v>757</v>
      </c>
      <c r="AW9" s="253" t="s">
        <v>758</v>
      </c>
      <c r="AX9" s="253" t="s">
        <v>759</v>
      </c>
      <c r="AY9" s="253" t="s">
        <v>760</v>
      </c>
      <c r="AZ9" s="253" t="s">
        <v>761</v>
      </c>
      <c r="BA9" s="253" t="s">
        <v>762</v>
      </c>
      <c r="BB9" s="253" t="s">
        <v>760</v>
      </c>
      <c r="BC9" s="253" t="s">
        <v>763</v>
      </c>
      <c r="BD9" s="253" t="s">
        <v>772</v>
      </c>
      <c r="BE9" s="253" t="s">
        <v>773</v>
      </c>
      <c r="BF9" s="253" t="s">
        <v>760</v>
      </c>
      <c r="BG9" s="253" t="s">
        <v>763</v>
      </c>
      <c r="BH9" s="253" t="s">
        <v>768</v>
      </c>
      <c r="BI9" s="253" t="s">
        <v>769</v>
      </c>
      <c r="BJ9" s="249" t="s">
        <v>774</v>
      </c>
      <c r="BK9" s="240" t="s">
        <v>775</v>
      </c>
      <c r="BL9" s="240" t="s">
        <v>106</v>
      </c>
      <c r="BM9" s="240" t="s">
        <v>776</v>
      </c>
      <c r="BN9" s="240" t="s">
        <v>777</v>
      </c>
      <c r="BO9" s="240" t="s">
        <v>778</v>
      </c>
      <c r="BP9" s="240" t="s">
        <v>779</v>
      </c>
      <c r="BQ9" s="240" t="s">
        <v>780</v>
      </c>
      <c r="BR9" s="240" t="s">
        <v>781</v>
      </c>
      <c r="BS9" s="240" t="s">
        <v>782</v>
      </c>
      <c r="BT9" s="240" t="s">
        <v>783</v>
      </c>
      <c r="BU9" s="254" t="s">
        <v>784</v>
      </c>
      <c r="BV9" s="254" t="s">
        <v>785</v>
      </c>
      <c r="BW9" s="254" t="s">
        <v>786</v>
      </c>
      <c r="BX9" s="254" t="s">
        <v>787</v>
      </c>
      <c r="BY9" s="254" t="s">
        <v>788</v>
      </c>
      <c r="BZ9" s="254" t="s">
        <v>789</v>
      </c>
      <c r="CA9" s="254" t="s">
        <v>790</v>
      </c>
      <c r="CB9" s="254" t="s">
        <v>791</v>
      </c>
      <c r="CC9" s="254" t="s">
        <v>792</v>
      </c>
      <c r="CD9" s="254" t="s">
        <v>793</v>
      </c>
      <c r="CE9" s="254" t="s">
        <v>794</v>
      </c>
      <c r="CF9" s="240" t="s">
        <v>795</v>
      </c>
      <c r="CG9" s="240" t="s">
        <v>796</v>
      </c>
      <c r="CH9" s="240" t="s">
        <v>795</v>
      </c>
      <c r="CI9" s="245" t="s">
        <v>796</v>
      </c>
      <c r="CJ9" s="255" t="s">
        <v>797</v>
      </c>
      <c r="CK9" s="256" t="s">
        <v>798</v>
      </c>
      <c r="CL9" s="256" t="s">
        <v>799</v>
      </c>
      <c r="CM9" s="256" t="s">
        <v>795</v>
      </c>
      <c r="CN9" s="256" t="s">
        <v>796</v>
      </c>
      <c r="CO9" s="257" t="s">
        <v>800</v>
      </c>
      <c r="CP9" s="256" t="s">
        <v>801</v>
      </c>
      <c r="CQ9" s="258" t="s">
        <v>802</v>
      </c>
      <c r="CR9" s="259" t="s">
        <v>803</v>
      </c>
      <c r="CS9" s="240" t="s">
        <v>804</v>
      </c>
      <c r="CT9" s="240" t="s">
        <v>805</v>
      </c>
      <c r="CU9" s="240" t="s">
        <v>806</v>
      </c>
      <c r="CV9" s="240" t="s">
        <v>807</v>
      </c>
      <c r="CW9" s="240" t="s">
        <v>808</v>
      </c>
      <c r="CX9" s="240" t="s">
        <v>809</v>
      </c>
      <c r="CY9" s="240" t="s">
        <v>776</v>
      </c>
      <c r="CZ9" s="249" t="s">
        <v>177</v>
      </c>
      <c r="DA9" s="250" t="s">
        <v>560</v>
      </c>
      <c r="DB9" s="249" t="s">
        <v>180</v>
      </c>
      <c r="DD9" s="248"/>
      <c r="DE9" s="248"/>
      <c r="DF9" s="248"/>
      <c r="DG9" s="248"/>
      <c r="DH9" s="248"/>
    </row>
    <row r="10" customFormat="false" ht="15.75" hidden="false" customHeight="true" outlineLevel="0" collapsed="false">
      <c r="A10" s="260" t="s">
        <v>185</v>
      </c>
      <c r="B10" s="261" t="n">
        <v>1</v>
      </c>
      <c r="C10" s="262" t="n">
        <v>16262771451</v>
      </c>
      <c r="D10" s="263" t="s">
        <v>186</v>
      </c>
      <c r="E10" s="263" t="s">
        <v>187</v>
      </c>
      <c r="F10" s="262" t="s">
        <v>188</v>
      </c>
      <c r="G10" s="262" t="n">
        <v>88809</v>
      </c>
      <c r="H10" s="264"/>
      <c r="I10" s="265" t="n">
        <v>42657</v>
      </c>
      <c r="J10" s="266" t="n">
        <v>7.60547945205479</v>
      </c>
      <c r="K10" s="265" t="n">
        <v>45206</v>
      </c>
      <c r="L10" s="267" t="n">
        <v>70.6</v>
      </c>
      <c r="M10" s="267" t="n">
        <v>3</v>
      </c>
      <c r="N10" s="267" t="n">
        <v>3</v>
      </c>
      <c r="O10" s="268" t="n">
        <v>227</v>
      </c>
      <c r="P10" s="269" t="n">
        <v>327</v>
      </c>
      <c r="Q10" s="269" t="n">
        <v>2860</v>
      </c>
      <c r="R10" s="269" t="n">
        <v>2262</v>
      </c>
      <c r="S10" s="269" t="n">
        <v>2158</v>
      </c>
      <c r="T10" s="269" t="n">
        <v>1776</v>
      </c>
      <c r="U10" s="269" t="n">
        <v>1344</v>
      </c>
      <c r="V10" s="269" t="n">
        <v>1430</v>
      </c>
      <c r="W10" s="270" t="n">
        <v>-157</v>
      </c>
      <c r="X10" s="271" t="n">
        <f aca="false">EXP(0.585+(0.102*J10)+(0.007*P10)-(0.001*V10)+(0.008*O10)-2.723)</f>
        <v>3.7164128079427</v>
      </c>
      <c r="Y10" s="271" t="n">
        <f aca="false">(X10/(1+X10))</f>
        <v>0.787974454162294</v>
      </c>
      <c r="Z10" s="271" t="n">
        <f aca="false">EXP(1.741+(0.011*P10)-(0.002*V10)+(0.275*J10)-1.952)</f>
        <v>13.7015210102166</v>
      </c>
      <c r="AA10" s="271" t="n">
        <f aca="false">(Z10/(1+Z10))</f>
        <v>0.931979827168559</v>
      </c>
      <c r="AB10" s="261" t="n">
        <v>1</v>
      </c>
      <c r="AC10" s="272"/>
      <c r="AD10" s="273"/>
      <c r="AE10" s="273"/>
      <c r="AF10" s="274"/>
      <c r="AG10" s="273"/>
      <c r="AH10" s="273"/>
      <c r="AI10" s="274"/>
      <c r="AJ10" s="274"/>
      <c r="AK10" s="273"/>
      <c r="AL10" s="273"/>
      <c r="AM10" s="274"/>
      <c r="AN10" s="274"/>
      <c r="AO10" s="274"/>
      <c r="AP10" s="274"/>
      <c r="AQ10" s="272"/>
      <c r="AR10" s="272"/>
      <c r="AS10" s="272" t="s">
        <v>810</v>
      </c>
      <c r="AT10" s="275" t="n">
        <v>45435.625</v>
      </c>
      <c r="AU10" s="276" t="s">
        <v>811</v>
      </c>
      <c r="AV10" s="19" t="n">
        <v>33</v>
      </c>
      <c r="AW10" s="277"/>
      <c r="AX10" s="277"/>
      <c r="AY10" s="277"/>
      <c r="AZ10" s="278" t="n">
        <v>45461.4838078704</v>
      </c>
      <c r="BA10" s="278" t="n">
        <v>45461.4838078704</v>
      </c>
      <c r="BB10" s="279" t="n">
        <f aca="false">(BA10-AZ10)*24</f>
        <v>0</v>
      </c>
      <c r="BC10" s="280" t="n">
        <v>1</v>
      </c>
      <c r="BD10" s="277"/>
      <c r="BE10" s="277"/>
      <c r="BF10" s="277"/>
      <c r="BG10" s="280"/>
      <c r="BH10" s="19" t="n">
        <v>1</v>
      </c>
      <c r="BI10" s="19" t="n">
        <v>1</v>
      </c>
      <c r="BJ10" s="260" t="n">
        <v>1</v>
      </c>
      <c r="BK10" s="260" t="n">
        <v>2</v>
      </c>
      <c r="BL10" s="260"/>
      <c r="BM10" s="273" t="s">
        <v>812</v>
      </c>
      <c r="BN10" s="281" t="s">
        <v>813</v>
      </c>
      <c r="BO10" s="260" t="n">
        <v>2</v>
      </c>
      <c r="BP10" s="265" t="n">
        <v>45586</v>
      </c>
      <c r="BQ10" s="282" t="n">
        <f aca="false">AT10+145</f>
        <v>45580.625</v>
      </c>
      <c r="BR10" s="283" t="n">
        <f aca="false">BP10-AT10</f>
        <v>150.375</v>
      </c>
      <c r="BS10" s="283" t="s">
        <v>35</v>
      </c>
      <c r="BT10" s="281" t="s">
        <v>813</v>
      </c>
      <c r="BU10" s="284" t="n">
        <v>0.38635</v>
      </c>
      <c r="BV10" s="284" t="n">
        <v>0.2</v>
      </c>
      <c r="BW10" s="284" t="n">
        <v>0.53948</v>
      </c>
      <c r="BX10" s="284" t="n">
        <v>0.6</v>
      </c>
      <c r="BY10" s="284" t="n">
        <v>0.71076</v>
      </c>
      <c r="BZ10" s="284" t="n">
        <v>1.1917</v>
      </c>
      <c r="CA10" s="284" t="n">
        <v>1.2411</v>
      </c>
      <c r="CB10" s="284" t="n">
        <v>1.7952</v>
      </c>
      <c r="CC10" s="284" t="n">
        <v>1.8277</v>
      </c>
      <c r="CD10" s="284" t="n">
        <v>2.2142</v>
      </c>
      <c r="CE10" s="284" t="n">
        <v>1.9333</v>
      </c>
      <c r="CF10" s="285" t="s">
        <v>814</v>
      </c>
      <c r="CG10" s="286" t="s">
        <v>815</v>
      </c>
      <c r="CH10" s="287" t="s">
        <v>814</v>
      </c>
      <c r="CI10" s="288" t="s">
        <v>815</v>
      </c>
      <c r="CJ10" s="289" t="n">
        <v>0.487318</v>
      </c>
      <c r="CK10" s="290" t="n">
        <v>0.198803046304628</v>
      </c>
      <c r="CL10" s="290" t="n">
        <v>0.884924092609255</v>
      </c>
      <c r="CM10" s="285" t="s">
        <v>814</v>
      </c>
      <c r="CN10" s="286" t="s">
        <v>815</v>
      </c>
      <c r="CO10" s="291" t="s">
        <v>816</v>
      </c>
      <c r="CP10" s="285" t="s">
        <v>810</v>
      </c>
      <c r="CQ10" s="292" t="n">
        <v>3</v>
      </c>
      <c r="CR10" s="293" t="n">
        <v>48</v>
      </c>
      <c r="CS10" s="294" t="n">
        <f aca="false">$CS$7+(CR10/24)</f>
        <v>45435.25</v>
      </c>
      <c r="CT10" s="295" t="n">
        <v>2</v>
      </c>
      <c r="CU10" s="296" t="n">
        <v>0.18792</v>
      </c>
      <c r="CV10" s="297"/>
      <c r="CW10" s="281" t="s">
        <v>813</v>
      </c>
      <c r="CX10" s="298" t="n">
        <f aca="false">(AT10-CS10)*24</f>
        <v>9</v>
      </c>
      <c r="CY10" s="299" t="s">
        <v>812</v>
      </c>
      <c r="CZ10" s="260" t="s">
        <v>185</v>
      </c>
      <c r="DA10" s="261" t="n">
        <v>1</v>
      </c>
      <c r="DB10" s="263" t="s">
        <v>186</v>
      </c>
      <c r="DD10" s="300" t="s">
        <v>817</v>
      </c>
      <c r="DE10" s="301" t="n">
        <f aca="false">DE11+DE15</f>
        <v>40</v>
      </c>
      <c r="DF10" s="302"/>
      <c r="DG10" s="303"/>
      <c r="DH10" s="303"/>
    </row>
    <row r="11" customFormat="false" ht="15.75" hidden="false" customHeight="true" outlineLevel="0" collapsed="false">
      <c r="A11" s="273" t="s">
        <v>185</v>
      </c>
      <c r="B11" s="304" t="n">
        <v>3</v>
      </c>
      <c r="C11" s="305" t="n">
        <v>16262781157</v>
      </c>
      <c r="D11" s="306" t="s">
        <v>197</v>
      </c>
      <c r="E11" s="306" t="s">
        <v>198</v>
      </c>
      <c r="F11" s="305" t="s">
        <v>199</v>
      </c>
      <c r="G11" s="305" t="n">
        <v>88860</v>
      </c>
      <c r="H11" s="307"/>
      <c r="I11" s="308" t="n">
        <v>43017</v>
      </c>
      <c r="J11" s="309" t="n">
        <v>6.61917808219178</v>
      </c>
      <c r="K11" s="308" t="n">
        <v>45205</v>
      </c>
      <c r="L11" s="310" t="n">
        <v>70.3</v>
      </c>
      <c r="M11" s="310" t="n">
        <v>3</v>
      </c>
      <c r="N11" s="310" t="n">
        <v>4</v>
      </c>
      <c r="O11" s="311" t="n">
        <v>228</v>
      </c>
      <c r="P11" s="312" t="n">
        <v>292</v>
      </c>
      <c r="Q11" s="312" t="n">
        <v>2473</v>
      </c>
      <c r="R11" s="312" t="n">
        <v>1769</v>
      </c>
      <c r="S11" s="312" t="n">
        <v>1590</v>
      </c>
      <c r="T11" s="312" t="n">
        <v>1353</v>
      </c>
      <c r="U11" s="312" t="n">
        <v>1316</v>
      </c>
      <c r="V11" s="312" t="n">
        <v>1201</v>
      </c>
      <c r="W11" s="313" t="n">
        <v>-36</v>
      </c>
      <c r="X11" s="314" t="n">
        <f aca="false">EXP(1.204+(0.102*J11)+(0.007*P11)-(0.001*V11)+(0.008*O11)-2.723)</f>
        <v>6.19136862216322</v>
      </c>
      <c r="Y11" s="314" t="n">
        <f aca="false">(X11/(1+X11))</f>
        <v>0.860944410926443</v>
      </c>
      <c r="Z11" s="314" t="n">
        <f aca="false">EXP(2.859+(0.011*P11)-(0.002*V11)+(0.275*J11)-1.952)</f>
        <v>34.3730893742752</v>
      </c>
      <c r="AA11" s="314" t="n">
        <f aca="false">(Z11/(1+Z11))</f>
        <v>0.97172992187877</v>
      </c>
      <c r="AB11" s="304" t="n">
        <v>3</v>
      </c>
      <c r="AC11" s="273" t="n">
        <v>14</v>
      </c>
      <c r="AD11" s="315"/>
      <c r="AE11" s="315"/>
      <c r="AF11" s="315"/>
      <c r="AG11" s="316" t="n">
        <v>45435.2599768519</v>
      </c>
      <c r="AH11" s="317" t="n">
        <v>45435.6218171296</v>
      </c>
      <c r="AI11" s="309" t="n">
        <f aca="false">(AH11-AG11)*24</f>
        <v>8.68416666666667</v>
      </c>
      <c r="AJ11" s="318" t="n">
        <v>8.68416666670237</v>
      </c>
      <c r="AK11" s="315"/>
      <c r="AL11" s="315"/>
      <c r="AM11" s="315"/>
      <c r="AN11" s="318"/>
      <c r="AO11" s="318" t="n">
        <f aca="false">(AG11-$AO$7)*24</f>
        <v>46.7394444444444</v>
      </c>
      <c r="AP11" s="318" t="n">
        <f aca="false">AO11+35</f>
        <v>81.7394444444444</v>
      </c>
      <c r="AQ11" s="273" t="n">
        <v>2</v>
      </c>
      <c r="AR11" s="273" t="n">
        <v>2</v>
      </c>
      <c r="AS11" s="273" t="s">
        <v>815</v>
      </c>
      <c r="AT11" s="275" t="n">
        <v>45435.625</v>
      </c>
      <c r="AU11" s="319" t="s">
        <v>818</v>
      </c>
      <c r="AV11" s="19"/>
      <c r="AW11" s="277"/>
      <c r="AX11" s="277"/>
      <c r="AY11" s="277"/>
      <c r="AZ11" s="278"/>
      <c r="BA11" s="278"/>
      <c r="BB11" s="279"/>
      <c r="BC11" s="280"/>
      <c r="BD11" s="277"/>
      <c r="BE11" s="277"/>
      <c r="BF11" s="277"/>
      <c r="BG11" s="280"/>
      <c r="BH11" s="19"/>
      <c r="BI11" s="19"/>
      <c r="BJ11" s="260" t="n">
        <v>1</v>
      </c>
      <c r="BK11" s="273" t="n">
        <v>2</v>
      </c>
      <c r="BL11" s="273"/>
      <c r="BM11" s="273" t="s">
        <v>812</v>
      </c>
      <c r="BN11" s="281" t="s">
        <v>819</v>
      </c>
      <c r="BO11" s="273" t="n">
        <v>1</v>
      </c>
      <c r="BP11" s="265" t="n">
        <v>45584</v>
      </c>
      <c r="BQ11" s="282" t="n">
        <f aca="false">AT11+145</f>
        <v>45580.625</v>
      </c>
      <c r="BR11" s="283" t="n">
        <f aca="false">BP11-AT11</f>
        <v>148.375</v>
      </c>
      <c r="BS11" s="283" t="s">
        <v>35</v>
      </c>
      <c r="BT11" s="281" t="s">
        <v>819</v>
      </c>
      <c r="BU11" s="284" t="n">
        <v>0.2</v>
      </c>
      <c r="BV11" s="284" t="n">
        <v>0.2</v>
      </c>
      <c r="BW11" s="284" t="n">
        <v>0.2</v>
      </c>
      <c r="BX11" s="284" t="n">
        <v>0.2</v>
      </c>
      <c r="BY11" s="284" t="n">
        <v>0.2</v>
      </c>
      <c r="BZ11" s="284" t="n">
        <v>0.2</v>
      </c>
      <c r="CA11" s="284" t="n">
        <v>0.2</v>
      </c>
      <c r="CB11" s="284" t="n">
        <v>0.2</v>
      </c>
      <c r="CC11" s="284" t="n">
        <v>1.0815</v>
      </c>
      <c r="CD11" s="284" t="n">
        <v>2.7223</v>
      </c>
      <c r="CE11" s="284" t="n">
        <v>2.6114</v>
      </c>
      <c r="CF11" s="285" t="s">
        <v>814</v>
      </c>
      <c r="CG11" s="286" t="s">
        <v>815</v>
      </c>
      <c r="CH11" s="285" t="s">
        <v>814</v>
      </c>
      <c r="CI11" s="288" t="s">
        <v>815</v>
      </c>
      <c r="CJ11" s="289" t="n">
        <v>0.2</v>
      </c>
      <c r="CK11" s="290" t="n">
        <v>0</v>
      </c>
      <c r="CL11" s="290" t="n">
        <v>0.5</v>
      </c>
      <c r="CM11" s="285" t="s">
        <v>814</v>
      </c>
      <c r="CN11" s="286" t="s">
        <v>815</v>
      </c>
      <c r="CO11" s="291" t="s">
        <v>816</v>
      </c>
      <c r="CP11" s="285" t="s">
        <v>810</v>
      </c>
      <c r="CQ11" s="292" t="n">
        <v>6</v>
      </c>
      <c r="CR11" s="293" t="n">
        <v>48</v>
      </c>
      <c r="CS11" s="294" t="n">
        <f aca="false">$CS$7+(CR11/24)</f>
        <v>45435.25</v>
      </c>
      <c r="CT11" s="295" t="n">
        <v>2.5</v>
      </c>
      <c r="CU11" s="296" t="n">
        <v>0.49099</v>
      </c>
      <c r="CV11" s="297" t="n">
        <f aca="false">(CS11-AG11)*24</f>
        <v>-0.239444444444444</v>
      </c>
      <c r="CW11" s="281" t="s">
        <v>819</v>
      </c>
      <c r="CX11" s="320" t="n">
        <f aca="false">(AT11-CS11)*24</f>
        <v>9</v>
      </c>
      <c r="CY11" s="299" t="s">
        <v>812</v>
      </c>
      <c r="CZ11" s="260" t="s">
        <v>185</v>
      </c>
      <c r="DA11" s="304" t="n">
        <v>3</v>
      </c>
      <c r="DB11" s="306" t="s">
        <v>197</v>
      </c>
      <c r="DD11" s="321" t="s">
        <v>814</v>
      </c>
      <c r="DE11" s="322" t="n">
        <f aca="false">COUNTIF(CM10:CM49,"=NC")</f>
        <v>25</v>
      </c>
      <c r="DF11" s="322" t="n">
        <f aca="false">COUNTIF(CO10:CO49,"=Oui")</f>
        <v>0</v>
      </c>
      <c r="DG11" s="323" t="s">
        <v>820</v>
      </c>
      <c r="DH11" s="323" t="s">
        <v>816</v>
      </c>
      <c r="DI11" s="324" t="e">
        <f aca="false">COUNTIF(#REF!,"=CN")</f>
        <v>#REF!</v>
      </c>
    </row>
    <row r="12" customFormat="false" ht="15.75" hidden="false" customHeight="true" outlineLevel="0" collapsed="false">
      <c r="A12" s="273" t="s">
        <v>185</v>
      </c>
      <c r="B12" s="304" t="n">
        <v>4</v>
      </c>
      <c r="C12" s="305" t="n">
        <v>16262781165</v>
      </c>
      <c r="D12" s="306" t="s">
        <v>206</v>
      </c>
      <c r="E12" s="306" t="s">
        <v>207</v>
      </c>
      <c r="F12" s="305" t="s">
        <v>208</v>
      </c>
      <c r="G12" s="305" t="n">
        <v>88637</v>
      </c>
      <c r="H12" s="307"/>
      <c r="I12" s="308" t="n">
        <v>43017</v>
      </c>
      <c r="J12" s="309" t="n">
        <v>6.61917808219178</v>
      </c>
      <c r="K12" s="308" t="n">
        <v>45221</v>
      </c>
      <c r="L12" s="310" t="n">
        <v>64.4</v>
      </c>
      <c r="M12" s="310" t="n">
        <v>3.25</v>
      </c>
      <c r="N12" s="310" t="n">
        <v>3.25</v>
      </c>
      <c r="O12" s="311" t="n">
        <v>212</v>
      </c>
      <c r="P12" s="312" t="n">
        <v>274</v>
      </c>
      <c r="Q12" s="312" t="n">
        <v>0</v>
      </c>
      <c r="R12" s="312" t="n">
        <v>2610</v>
      </c>
      <c r="S12" s="312" t="n">
        <v>1732</v>
      </c>
      <c r="T12" s="312" t="n">
        <v>1776</v>
      </c>
      <c r="U12" s="312" t="n">
        <v>1204</v>
      </c>
      <c r="V12" s="312" t="n">
        <v>886</v>
      </c>
      <c r="W12" s="313" t="n">
        <v>-78</v>
      </c>
      <c r="X12" s="314" t="n">
        <f aca="false">EXP(1.204+(0.102*J12)+(0.007*P12)-(0.001*V12)+(0.008*O12)-2.723)</f>
        <v>6.58079898582996</v>
      </c>
      <c r="Y12" s="314" t="n">
        <f aca="false">(X12/(1+X12))</f>
        <v>0.868087783112413</v>
      </c>
      <c r="Z12" s="314" t="n">
        <f aca="false">EXP(2.859+(0.011*P12)-(0.002*V12)+(0.275*J12)-1.952)</f>
        <v>52.9460765797678</v>
      </c>
      <c r="AA12" s="314" t="n">
        <f aca="false">(Z12/(1+Z12))</f>
        <v>0.981462970740396</v>
      </c>
      <c r="AB12" s="304" t="n">
        <v>4</v>
      </c>
      <c r="AC12" s="273" t="n">
        <v>15</v>
      </c>
      <c r="AD12" s="317" t="n">
        <v>45435.4538425926</v>
      </c>
      <c r="AE12" s="317" t="n">
        <v>45443.6448726852</v>
      </c>
      <c r="AF12" s="309" t="n">
        <f aca="false">(AE12-AD12)*24</f>
        <v>196.584722222222</v>
      </c>
      <c r="AG12" s="317" t="n">
        <v>45435.4538425926</v>
      </c>
      <c r="AH12" s="317" t="n">
        <v>45435.6160763889</v>
      </c>
      <c r="AI12" s="309" t="n">
        <f aca="false">(AH12-AG12)*24</f>
        <v>3.89361111111111</v>
      </c>
      <c r="AJ12" s="318" t="n">
        <v>3.89361111115431</v>
      </c>
      <c r="AK12" s="317" t="n">
        <v>45443.6448726852</v>
      </c>
      <c r="AL12" s="317" t="n">
        <v>45443.6448726852</v>
      </c>
      <c r="AM12" s="309" t="n">
        <f aca="false">(AL12-AK12)*24</f>
        <v>0</v>
      </c>
      <c r="AN12" s="318" t="n">
        <v>1</v>
      </c>
      <c r="AO12" s="318" t="n">
        <f aca="false">(AG12-$AO$7)*24</f>
        <v>51.3922222222222</v>
      </c>
      <c r="AP12" s="318" t="n">
        <f aca="false">AO12+35</f>
        <v>86.3922222222222</v>
      </c>
      <c r="AQ12" s="273" t="n">
        <v>4</v>
      </c>
      <c r="AR12" s="273" t="n">
        <v>2</v>
      </c>
      <c r="AS12" s="273" t="s">
        <v>815</v>
      </c>
      <c r="AT12" s="275" t="n">
        <v>45435.625</v>
      </c>
      <c r="AU12" s="319" t="s">
        <v>821</v>
      </c>
      <c r="AV12" s="19" t="n">
        <v>15</v>
      </c>
      <c r="AW12" s="277"/>
      <c r="AX12" s="277"/>
      <c r="AY12" s="277"/>
      <c r="AZ12" s="278" t="n">
        <v>45458.4188657407</v>
      </c>
      <c r="BA12" s="278" t="n">
        <v>45458.4188657407</v>
      </c>
      <c r="BB12" s="279" t="n">
        <f aca="false">(BA12-AZ12)*24</f>
        <v>0</v>
      </c>
      <c r="BC12" s="280" t="n">
        <v>1</v>
      </c>
      <c r="BD12" s="277"/>
      <c r="BE12" s="277"/>
      <c r="BF12" s="277"/>
      <c r="BG12" s="280"/>
      <c r="BH12" s="19" t="n">
        <v>1</v>
      </c>
      <c r="BI12" s="19" t="n">
        <v>1</v>
      </c>
      <c r="BJ12" s="260" t="n">
        <v>1</v>
      </c>
      <c r="BK12" s="273" t="n">
        <v>2</v>
      </c>
      <c r="BL12" s="273"/>
      <c r="BM12" s="273" t="s">
        <v>812</v>
      </c>
      <c r="BN12" s="281" t="s">
        <v>819</v>
      </c>
      <c r="BO12" s="273" t="n">
        <v>2</v>
      </c>
      <c r="BP12" s="265" t="n">
        <v>45582</v>
      </c>
      <c r="BQ12" s="282" t="n">
        <f aca="false">AT12+145</f>
        <v>45580.625</v>
      </c>
      <c r="BR12" s="283" t="n">
        <f aca="false">BP12-AT12</f>
        <v>146.375</v>
      </c>
      <c r="BS12" s="283" t="s">
        <v>35</v>
      </c>
      <c r="BT12" s="281" t="s">
        <v>819</v>
      </c>
      <c r="BU12" s="284" t="n">
        <v>1.1561</v>
      </c>
      <c r="BV12" s="284" t="n">
        <v>1.1463</v>
      </c>
      <c r="BW12" s="284" t="n">
        <v>0.2</v>
      </c>
      <c r="BX12" s="284" t="n">
        <v>0.55255</v>
      </c>
      <c r="BY12" s="284" t="n">
        <v>0.73613</v>
      </c>
      <c r="BZ12" s="284" t="n">
        <v>0.53948</v>
      </c>
      <c r="CA12" s="284" t="n">
        <v>0.8544</v>
      </c>
      <c r="CB12" s="284" t="n">
        <v>1.2</v>
      </c>
      <c r="CC12" s="284" t="n">
        <v>1.9561</v>
      </c>
      <c r="CD12" s="284" t="n">
        <v>2.624</v>
      </c>
      <c r="CE12" s="284" t="n">
        <v>2.8731</v>
      </c>
      <c r="CF12" s="285" t="s">
        <v>814</v>
      </c>
      <c r="CG12" s="286" t="s">
        <v>815</v>
      </c>
      <c r="CH12" s="325" t="s">
        <v>55</v>
      </c>
      <c r="CI12" s="326" t="s">
        <v>815</v>
      </c>
      <c r="CJ12" s="289" t="n">
        <v>0.50704</v>
      </c>
      <c r="CK12" s="290" t="n">
        <v>0.223516817711778</v>
      </c>
      <c r="CL12" s="290" t="n">
        <v>0.954073635423555</v>
      </c>
      <c r="CM12" s="325" t="s">
        <v>55</v>
      </c>
      <c r="CN12" s="327" t="s">
        <v>815</v>
      </c>
      <c r="CO12" s="291" t="s">
        <v>816</v>
      </c>
      <c r="CP12" s="285" t="s">
        <v>810</v>
      </c>
      <c r="CQ12" s="292" t="n">
        <v>5</v>
      </c>
      <c r="CR12" s="293" t="n">
        <v>48</v>
      </c>
      <c r="CS12" s="294" t="n">
        <f aca="false">$CS$7+(CR12/24)</f>
        <v>45435.25</v>
      </c>
      <c r="CT12" s="295" t="n">
        <v>2</v>
      </c>
      <c r="CU12" s="296" t="n">
        <v>0.23048</v>
      </c>
      <c r="CV12" s="297" t="n">
        <f aca="false">(CS12-AG12)*24</f>
        <v>-4.89222222224167</v>
      </c>
      <c r="CW12" s="281" t="s">
        <v>819</v>
      </c>
      <c r="CX12" s="320" t="n">
        <f aca="false">(AT12-CS12)*24</f>
        <v>9</v>
      </c>
      <c r="CY12" s="299" t="s">
        <v>812</v>
      </c>
      <c r="CZ12" s="260" t="s">
        <v>185</v>
      </c>
      <c r="DA12" s="304" t="n">
        <v>4</v>
      </c>
      <c r="DB12" s="306" t="s">
        <v>206</v>
      </c>
      <c r="DD12" s="328"/>
      <c r="DE12" s="301"/>
      <c r="DF12" s="301"/>
      <c r="DG12" s="329"/>
      <c r="DH12" s="329" t="s">
        <v>822</v>
      </c>
      <c r="DI12" s="330" t="e">
        <f aca="false">COUNTIF(#REF!,"=CC")</f>
        <v>#REF!</v>
      </c>
    </row>
    <row r="13" customFormat="false" ht="15.75" hidden="false" customHeight="true" outlineLevel="0" collapsed="false">
      <c r="A13" s="273" t="s">
        <v>185</v>
      </c>
      <c r="B13" s="304" t="n">
        <v>5</v>
      </c>
      <c r="C13" s="305" t="n">
        <v>16262781239</v>
      </c>
      <c r="D13" s="306" t="s">
        <v>212</v>
      </c>
      <c r="E13" s="306" t="s">
        <v>213</v>
      </c>
      <c r="F13" s="305" t="s">
        <v>214</v>
      </c>
      <c r="G13" s="305" t="n">
        <v>88264</v>
      </c>
      <c r="H13" s="307"/>
      <c r="I13" s="308" t="n">
        <v>43018</v>
      </c>
      <c r="J13" s="309" t="n">
        <v>6.61643835616438</v>
      </c>
      <c r="K13" s="308" t="n">
        <v>45206</v>
      </c>
      <c r="L13" s="310" t="n">
        <v>83.9</v>
      </c>
      <c r="M13" s="310" t="n">
        <v>3.5</v>
      </c>
      <c r="N13" s="310" t="n">
        <v>4</v>
      </c>
      <c r="O13" s="311" t="n">
        <v>227</v>
      </c>
      <c r="P13" s="312" t="n">
        <v>289</v>
      </c>
      <c r="Q13" s="312" t="n">
        <v>2384</v>
      </c>
      <c r="R13" s="312" t="n">
        <v>1711</v>
      </c>
      <c r="S13" s="312" t="n">
        <v>1732</v>
      </c>
      <c r="T13" s="312" t="n">
        <v>1240</v>
      </c>
      <c r="U13" s="312" t="n">
        <v>1036</v>
      </c>
      <c r="V13" s="312" t="n">
        <v>1086</v>
      </c>
      <c r="W13" s="313" t="n">
        <v>0</v>
      </c>
      <c r="X13" s="314" t="n">
        <f aca="false">EXP(1.204+(0.102*J13)+(0.007*P13)-(0.001*V13)+(0.008*O13)-2.723)</f>
        <v>6.74550739598633</v>
      </c>
      <c r="Y13" s="314" t="n">
        <f aca="false">(X13/(1+X13))</f>
        <v>0.870892899732018</v>
      </c>
      <c r="Z13" s="314" t="n">
        <f aca="false">EXP(2.859+(0.011*P13)-(0.002*V13)+(0.275*J13)-1.952)</f>
        <v>41.826100056816</v>
      </c>
      <c r="AA13" s="314" t="n">
        <f aca="false">(Z13/(1+Z13))</f>
        <v>0.976649753335622</v>
      </c>
      <c r="AB13" s="304" t="n">
        <v>5</v>
      </c>
      <c r="AC13" s="273" t="n">
        <v>2</v>
      </c>
      <c r="AD13" s="315"/>
      <c r="AE13" s="315"/>
      <c r="AF13" s="315"/>
      <c r="AG13" s="316" t="n">
        <v>45434.3279282407</v>
      </c>
      <c r="AH13" s="317" t="n">
        <v>45435.4655555556</v>
      </c>
      <c r="AI13" s="309" t="n">
        <f aca="false">(AH13-AG13)*24</f>
        <v>27.3030555555556</v>
      </c>
      <c r="AJ13" s="318" t="n">
        <v>27.3030555556761</v>
      </c>
      <c r="AK13" s="315"/>
      <c r="AL13" s="315"/>
      <c r="AM13" s="315"/>
      <c r="AN13" s="318"/>
      <c r="AO13" s="318" t="n">
        <f aca="false">(AG13-$AO$7)*24</f>
        <v>24.3702777777778</v>
      </c>
      <c r="AP13" s="318" t="n">
        <f aca="false">AO13+35</f>
        <v>59.3702777777778</v>
      </c>
      <c r="AQ13" s="273" t="n">
        <v>8</v>
      </c>
      <c r="AR13" s="273" t="n">
        <v>2</v>
      </c>
      <c r="AS13" s="273" t="s">
        <v>815</v>
      </c>
      <c r="AT13" s="275" t="n">
        <v>45435.625</v>
      </c>
      <c r="AU13" s="319" t="s">
        <v>818</v>
      </c>
      <c r="AV13" s="19"/>
      <c r="AW13" s="277"/>
      <c r="AX13" s="277"/>
      <c r="AY13" s="277"/>
      <c r="AZ13" s="278"/>
      <c r="BA13" s="278"/>
      <c r="BB13" s="279"/>
      <c r="BC13" s="280"/>
      <c r="BD13" s="277"/>
      <c r="BE13" s="277"/>
      <c r="BF13" s="277"/>
      <c r="BG13" s="280"/>
      <c r="BH13" s="19"/>
      <c r="BI13" s="19"/>
      <c r="BJ13" s="260" t="n">
        <v>1</v>
      </c>
      <c r="BK13" s="273" t="n">
        <v>2</v>
      </c>
      <c r="BL13" s="273"/>
      <c r="BM13" s="273" t="s">
        <v>812</v>
      </c>
      <c r="BN13" s="281" t="s">
        <v>819</v>
      </c>
      <c r="BO13" s="273" t="n">
        <v>1</v>
      </c>
      <c r="BP13" s="265" t="n">
        <v>45586</v>
      </c>
      <c r="BQ13" s="282" t="n">
        <f aca="false">AT13+145</f>
        <v>45580.625</v>
      </c>
      <c r="BR13" s="283" t="n">
        <f aca="false">BP13-AT13</f>
        <v>150.375</v>
      </c>
      <c r="BS13" s="283" t="s">
        <v>35</v>
      </c>
      <c r="BT13" s="281" t="s">
        <v>819</v>
      </c>
      <c r="BU13" s="284" t="n">
        <v>0.2</v>
      </c>
      <c r="BV13" s="331" t="n">
        <v>1.3372</v>
      </c>
      <c r="BW13" s="284" t="n">
        <v>0.2</v>
      </c>
      <c r="BX13" s="284" t="n">
        <v>0.2</v>
      </c>
      <c r="BY13" s="284" t="n">
        <v>0.2</v>
      </c>
      <c r="BZ13" s="284" t="n">
        <v>0.2</v>
      </c>
      <c r="CA13" s="284" t="n">
        <v>0.2</v>
      </c>
      <c r="CB13" s="284" t="n">
        <v>0.2</v>
      </c>
      <c r="CC13" s="331" t="n">
        <v>1.1561</v>
      </c>
      <c r="CD13" s="284" t="n">
        <v>0.25</v>
      </c>
      <c r="CE13" s="284" t="n">
        <v>0.41427</v>
      </c>
      <c r="CF13" s="285" t="s">
        <v>814</v>
      </c>
      <c r="CG13" s="332" t="s">
        <v>810</v>
      </c>
      <c r="CH13" s="325" t="s">
        <v>55</v>
      </c>
      <c r="CI13" s="326" t="s">
        <v>815</v>
      </c>
      <c r="CJ13" s="289" t="n">
        <v>0.2</v>
      </c>
      <c r="CK13" s="290" t="n">
        <v>0</v>
      </c>
      <c r="CL13" s="290" t="n">
        <v>0.5</v>
      </c>
      <c r="CM13" s="325" t="s">
        <v>55</v>
      </c>
      <c r="CN13" s="327" t="s">
        <v>815</v>
      </c>
      <c r="CO13" s="291" t="s">
        <v>822</v>
      </c>
      <c r="CP13" s="285" t="s">
        <v>810</v>
      </c>
      <c r="CQ13" s="292" t="n">
        <v>6</v>
      </c>
      <c r="CR13" s="333" t="n">
        <v>48</v>
      </c>
      <c r="CS13" s="294" t="n">
        <f aca="false">$CS$7+(CR13/24)</f>
        <v>45435.25</v>
      </c>
      <c r="CT13" s="295" t="n">
        <v>2</v>
      </c>
      <c r="CU13" s="296" t="n">
        <v>0.23837</v>
      </c>
      <c r="CV13" s="297" t="n">
        <f aca="false">(CS13-AG13)*24</f>
        <v>22.1297222222222</v>
      </c>
      <c r="CW13" s="281" t="s">
        <v>819</v>
      </c>
      <c r="CX13" s="320" t="n">
        <f aca="false">(AT13-CS13)*24</f>
        <v>9</v>
      </c>
      <c r="CY13" s="299" t="s">
        <v>812</v>
      </c>
      <c r="CZ13" s="260" t="s">
        <v>185</v>
      </c>
      <c r="DA13" s="304" t="n">
        <v>5</v>
      </c>
      <c r="DB13" s="306" t="s">
        <v>212</v>
      </c>
      <c r="DD13" s="328"/>
      <c r="DE13" s="301"/>
      <c r="DF13" s="301"/>
      <c r="DG13" s="329"/>
      <c r="DH13" s="329" t="s">
        <v>823</v>
      </c>
      <c r="DI13" s="330" t="e">
        <f aca="false">COUNTIF(#REF!,"=nd")</f>
        <v>#REF!</v>
      </c>
    </row>
    <row r="14" customFormat="false" ht="15.75" hidden="false" customHeight="true" outlineLevel="0" collapsed="false">
      <c r="A14" s="273" t="s">
        <v>185</v>
      </c>
      <c r="B14" s="304" t="n">
        <v>11</v>
      </c>
      <c r="C14" s="305" t="n">
        <v>16262781521</v>
      </c>
      <c r="D14" s="306" t="s">
        <v>218</v>
      </c>
      <c r="E14" s="306" t="s">
        <v>219</v>
      </c>
      <c r="F14" s="305" t="s">
        <v>220</v>
      </c>
      <c r="G14" s="305" t="n">
        <v>88625</v>
      </c>
      <c r="H14" s="307"/>
      <c r="I14" s="308" t="n">
        <v>43020</v>
      </c>
      <c r="J14" s="309" t="n">
        <v>6.61095890410959</v>
      </c>
      <c r="K14" s="308" t="n">
        <v>45204</v>
      </c>
      <c r="L14" s="310" t="n">
        <v>78.6</v>
      </c>
      <c r="M14" s="310" t="n">
        <v>3.5</v>
      </c>
      <c r="N14" s="310" t="n">
        <v>3</v>
      </c>
      <c r="O14" s="311" t="n">
        <v>229</v>
      </c>
      <c r="P14" s="312" t="n">
        <v>360</v>
      </c>
      <c r="Q14" s="312" t="n">
        <v>2622</v>
      </c>
      <c r="R14" s="312" t="n">
        <v>2349</v>
      </c>
      <c r="S14" s="312" t="n">
        <v>1931</v>
      </c>
      <c r="T14" s="312" t="n">
        <v>1579</v>
      </c>
      <c r="U14" s="312" t="n">
        <v>1400</v>
      </c>
      <c r="V14" s="312" t="n">
        <v>1229</v>
      </c>
      <c r="W14" s="313" t="n">
        <v>-74</v>
      </c>
      <c r="X14" s="314" t="n">
        <f aca="false">EXP(0.585+(0.102*J14)+(0.007*P14)-(0.001*V14)+(0.008*O14)-2.723)</f>
        <v>5.25572420934162</v>
      </c>
      <c r="Y14" s="314" t="n">
        <f aca="false">(X14/(1+X14))</f>
        <v>0.840146405670073</v>
      </c>
      <c r="Z14" s="314" t="n">
        <f aca="false">EXP(1.741+(0.011*P14)-(0.002*V14)+(0.275*J14)-1.952)</f>
        <v>22.398941395844</v>
      </c>
      <c r="AA14" s="314" t="n">
        <f aca="false">(Z14/(1+Z14))</f>
        <v>0.957263023865788</v>
      </c>
      <c r="AB14" s="304" t="n">
        <v>11</v>
      </c>
      <c r="AC14" s="273" t="n">
        <v>9</v>
      </c>
      <c r="AD14" s="315"/>
      <c r="AE14" s="315"/>
      <c r="AF14" s="315"/>
      <c r="AG14" s="316" t="n">
        <v>45434.9305902778</v>
      </c>
      <c r="AH14" s="317" t="n">
        <v>45435.322349537</v>
      </c>
      <c r="AI14" s="309" t="n">
        <f aca="false">(AH14-AG14)*24</f>
        <v>9.40222222222222</v>
      </c>
      <c r="AJ14" s="318" t="n">
        <v>9.40222222229932</v>
      </c>
      <c r="AK14" s="315"/>
      <c r="AL14" s="315"/>
      <c r="AM14" s="315"/>
      <c r="AN14" s="318"/>
      <c r="AO14" s="318" t="n">
        <f aca="false">(AG14-$AO$7)*24</f>
        <v>38.8341666666667</v>
      </c>
      <c r="AP14" s="318" t="n">
        <f aca="false">AO14+35</f>
        <v>73.8341666666667</v>
      </c>
      <c r="AQ14" s="273" t="n">
        <v>20</v>
      </c>
      <c r="AR14" s="273" t="n">
        <v>2</v>
      </c>
      <c r="AS14" s="273" t="s">
        <v>815</v>
      </c>
      <c r="AT14" s="275" t="n">
        <v>45435.625</v>
      </c>
      <c r="AU14" s="319" t="s">
        <v>824</v>
      </c>
      <c r="AV14" s="19"/>
      <c r="AW14" s="277"/>
      <c r="AX14" s="277"/>
      <c r="AY14" s="277"/>
      <c r="AZ14" s="278"/>
      <c r="BA14" s="278"/>
      <c r="BB14" s="279"/>
      <c r="BC14" s="280"/>
      <c r="BD14" s="277"/>
      <c r="BE14" s="277"/>
      <c r="BF14" s="277"/>
      <c r="BG14" s="280"/>
      <c r="BH14" s="19"/>
      <c r="BI14" s="19"/>
      <c r="BJ14" s="260" t="n">
        <v>1</v>
      </c>
      <c r="BK14" s="273" t="n">
        <v>2</v>
      </c>
      <c r="BL14" s="273"/>
      <c r="BM14" s="273" t="s">
        <v>812</v>
      </c>
      <c r="BN14" s="281" t="s">
        <v>819</v>
      </c>
      <c r="BO14" s="273" t="n">
        <v>2</v>
      </c>
      <c r="BP14" s="265" t="n">
        <v>45586</v>
      </c>
      <c r="BQ14" s="282" t="n">
        <f aca="false">AT14+145</f>
        <v>45580.625</v>
      </c>
      <c r="BR14" s="283" t="n">
        <f aca="false">BP14-AT14</f>
        <v>150.375</v>
      </c>
      <c r="BS14" s="283" t="s">
        <v>35</v>
      </c>
      <c r="BT14" s="281" t="s">
        <v>819</v>
      </c>
      <c r="BU14" s="284" t="n">
        <v>0.2</v>
      </c>
      <c r="BV14" s="284" t="n">
        <v>2.173</v>
      </c>
      <c r="BW14" s="284" t="n">
        <v>0.2</v>
      </c>
      <c r="BX14" s="284" t="n">
        <v>0.2</v>
      </c>
      <c r="BY14" s="284" t="n">
        <v>0.2</v>
      </c>
      <c r="BZ14" s="284" t="n">
        <v>0.2</v>
      </c>
      <c r="CA14" s="284" t="n">
        <v>0.2</v>
      </c>
      <c r="CB14" s="284" t="n">
        <v>0.73007</v>
      </c>
      <c r="CC14" s="284" t="n">
        <v>1.4509</v>
      </c>
      <c r="CD14" s="284" t="n">
        <v>2.8912</v>
      </c>
      <c r="CE14" s="284" t="n">
        <v>1.9304</v>
      </c>
      <c r="CF14" s="325" t="s">
        <v>55</v>
      </c>
      <c r="CG14" s="327" t="s">
        <v>815</v>
      </c>
      <c r="CH14" s="325" t="s">
        <v>55</v>
      </c>
      <c r="CI14" s="326" t="s">
        <v>815</v>
      </c>
      <c r="CJ14" s="289" t="n">
        <v>0.2</v>
      </c>
      <c r="CK14" s="290" t="n">
        <v>0</v>
      </c>
      <c r="CL14" s="290" t="n">
        <v>0.5</v>
      </c>
      <c r="CM14" s="325" t="s">
        <v>55</v>
      </c>
      <c r="CN14" s="327" t="s">
        <v>815</v>
      </c>
      <c r="CO14" s="291" t="s">
        <v>816</v>
      </c>
      <c r="CP14" s="285" t="s">
        <v>810</v>
      </c>
      <c r="CQ14" s="292" t="n">
        <v>5</v>
      </c>
      <c r="CR14" s="333" t="n">
        <v>48</v>
      </c>
      <c r="CS14" s="294" t="n">
        <f aca="false">$CS$7+(CR14/24)</f>
        <v>45435.25</v>
      </c>
      <c r="CT14" s="295" t="n">
        <v>2</v>
      </c>
      <c r="CU14" s="296" t="n">
        <v>0.61256</v>
      </c>
      <c r="CV14" s="297" t="n">
        <f aca="false">(CS14-AG14)*24</f>
        <v>7.66583333333333</v>
      </c>
      <c r="CW14" s="281" t="s">
        <v>819</v>
      </c>
      <c r="CX14" s="320" t="n">
        <f aca="false">(AT14-CS14)*24</f>
        <v>9</v>
      </c>
      <c r="CY14" s="299" t="s">
        <v>812</v>
      </c>
      <c r="CZ14" s="260" t="s">
        <v>185</v>
      </c>
      <c r="DA14" s="304" t="n">
        <v>11</v>
      </c>
      <c r="DB14" s="306" t="s">
        <v>218</v>
      </c>
      <c r="DD14" s="328"/>
      <c r="DE14" s="301"/>
      <c r="DF14" s="301" t="n">
        <f aca="false">COUNTIF(CO10:CO49,"=Non")</f>
        <v>0</v>
      </c>
      <c r="DG14" s="329" t="s">
        <v>825</v>
      </c>
      <c r="DH14" s="329"/>
      <c r="DI14" s="334"/>
    </row>
    <row r="15" customFormat="false" ht="15.75" hidden="false" customHeight="true" outlineLevel="0" collapsed="false">
      <c r="A15" s="273" t="s">
        <v>185</v>
      </c>
      <c r="B15" s="304" t="n">
        <v>15</v>
      </c>
      <c r="C15" s="305" t="n">
        <v>16262791251</v>
      </c>
      <c r="D15" s="306" t="s">
        <v>224</v>
      </c>
      <c r="E15" s="306" t="s">
        <v>225</v>
      </c>
      <c r="F15" s="305" t="s">
        <v>226</v>
      </c>
      <c r="G15" s="305" t="n">
        <v>89314</v>
      </c>
      <c r="H15" s="307"/>
      <c r="I15" s="308" t="n">
        <v>43383</v>
      </c>
      <c r="J15" s="309" t="n">
        <v>5.61643835616438</v>
      </c>
      <c r="K15" s="308" t="n">
        <v>45203</v>
      </c>
      <c r="L15" s="310" t="n">
        <v>56.6</v>
      </c>
      <c r="M15" s="310" t="n">
        <v>2.75</v>
      </c>
      <c r="N15" s="310" t="n">
        <v>3</v>
      </c>
      <c r="O15" s="311" t="n">
        <v>230</v>
      </c>
      <c r="P15" s="312" t="n">
        <v>299</v>
      </c>
      <c r="Q15" s="312" t="n">
        <v>1698</v>
      </c>
      <c r="R15" s="312" t="n">
        <v>1653</v>
      </c>
      <c r="S15" s="312" t="n">
        <v>1874</v>
      </c>
      <c r="T15" s="312" t="n">
        <v>1748</v>
      </c>
      <c r="U15" s="312" t="n">
        <v>1568</v>
      </c>
      <c r="V15" s="312" t="n">
        <v>1287</v>
      </c>
      <c r="W15" s="313" t="n">
        <v>-55</v>
      </c>
      <c r="X15" s="314" t="n">
        <f aca="false">EXP(0.585+(0.102*J15)+(0.007*P15)-(0.001*V15)+(0.008*O15)-2.723)</f>
        <v>2.94726231993944</v>
      </c>
      <c r="Y15" s="314" t="n">
        <f aca="false">(X15/(1+X15))</f>
        <v>0.74665985714997</v>
      </c>
      <c r="Z15" s="314" t="n">
        <f aca="false">EXP(1.741+(0.011*P15)-(0.002*V15)+(0.275*J15)-1.952)</f>
        <v>7.75641736596984</v>
      </c>
      <c r="AA15" s="314" t="n">
        <f aca="false">(Z15/(1+Z15))</f>
        <v>0.885798042943189</v>
      </c>
      <c r="AB15" s="304" t="n">
        <v>15</v>
      </c>
      <c r="AC15" s="273"/>
      <c r="AD15" s="315"/>
      <c r="AE15" s="315"/>
      <c r="AF15" s="315"/>
      <c r="AG15" s="316"/>
      <c r="AH15" s="317"/>
      <c r="AI15" s="309"/>
      <c r="AJ15" s="318"/>
      <c r="AK15" s="315"/>
      <c r="AL15" s="315"/>
      <c r="AM15" s="315"/>
      <c r="AN15" s="318"/>
      <c r="AO15" s="318"/>
      <c r="AP15" s="318"/>
      <c r="AQ15" s="273"/>
      <c r="AR15" s="273"/>
      <c r="AS15" s="272" t="s">
        <v>810</v>
      </c>
      <c r="AT15" s="275" t="n">
        <v>45435.625</v>
      </c>
      <c r="AU15" s="319" t="s">
        <v>821</v>
      </c>
      <c r="AV15" s="19" t="n">
        <v>30</v>
      </c>
      <c r="AW15" s="277"/>
      <c r="AX15" s="277"/>
      <c r="AY15" s="277"/>
      <c r="AZ15" s="278" t="n">
        <v>45451.7577083333</v>
      </c>
      <c r="BA15" s="278" t="n">
        <v>45452.397025463</v>
      </c>
      <c r="BB15" s="279" t="n">
        <f aca="false">(BA15-AZ15)*24</f>
        <v>15.3436111111111</v>
      </c>
      <c r="BC15" s="280" t="n">
        <v>15.3436111111077</v>
      </c>
      <c r="BD15" s="277"/>
      <c r="BE15" s="277"/>
      <c r="BF15" s="277"/>
      <c r="BG15" s="280"/>
      <c r="BH15" s="19" t="n">
        <v>126</v>
      </c>
      <c r="BI15" s="19" t="n">
        <v>3</v>
      </c>
      <c r="BJ15" s="273" t="n">
        <v>0</v>
      </c>
      <c r="BK15" s="273"/>
      <c r="BL15" s="273" t="s">
        <v>826</v>
      </c>
      <c r="BM15" s="273" t="s">
        <v>106</v>
      </c>
      <c r="BN15" s="281" t="s">
        <v>819</v>
      </c>
      <c r="BO15" s="260" t="n">
        <v>1</v>
      </c>
      <c r="BP15" s="265" t="n">
        <v>45597</v>
      </c>
      <c r="BQ15" s="282" t="n">
        <f aca="false">AZ15+145</f>
        <v>45596.7577083333</v>
      </c>
      <c r="BR15" s="283" t="n">
        <f aca="false">BP15-AT15</f>
        <v>161.375</v>
      </c>
      <c r="BS15" s="283" t="s">
        <v>106</v>
      </c>
      <c r="BT15" s="294" t="s">
        <v>827</v>
      </c>
      <c r="BU15" s="284" t="n">
        <v>0.2</v>
      </c>
      <c r="BV15" s="284" t="n">
        <v>0.2</v>
      </c>
      <c r="BW15" s="284" t="n">
        <v>0.2</v>
      </c>
      <c r="BX15" s="284" t="n">
        <v>0.2</v>
      </c>
      <c r="BY15" s="284" t="n">
        <v>0.2</v>
      </c>
      <c r="BZ15" s="284" t="n">
        <v>0.2</v>
      </c>
      <c r="CA15" s="284" t="n">
        <v>0.2</v>
      </c>
      <c r="CB15" s="284" t="n">
        <v>0.2</v>
      </c>
      <c r="CC15" s="284" t="n">
        <v>0.2</v>
      </c>
      <c r="CD15" s="284" t="n">
        <v>0.2</v>
      </c>
      <c r="CE15" s="284" t="n">
        <v>0.2</v>
      </c>
      <c r="CF15" s="285" t="s">
        <v>814</v>
      </c>
      <c r="CG15" s="332" t="s">
        <v>810</v>
      </c>
      <c r="CH15" s="285" t="s">
        <v>814</v>
      </c>
      <c r="CI15" s="335" t="s">
        <v>810</v>
      </c>
      <c r="CJ15" s="289" t="n">
        <v>0.2</v>
      </c>
      <c r="CK15" s="290" t="n">
        <v>3.04047097224406E-017</v>
      </c>
      <c r="CL15" s="290" t="n">
        <v>0.5</v>
      </c>
      <c r="CM15" s="285" t="s">
        <v>814</v>
      </c>
      <c r="CN15" s="336" t="s">
        <v>810</v>
      </c>
      <c r="CO15" s="291" t="s">
        <v>828</v>
      </c>
      <c r="CP15" s="285" t="s">
        <v>810</v>
      </c>
      <c r="CQ15" s="337"/>
      <c r="CR15" s="293" t="n">
        <v>60</v>
      </c>
      <c r="CS15" s="294" t="n">
        <f aca="false">$CS$7+(CR15/24)</f>
        <v>45435.75</v>
      </c>
      <c r="CT15" s="295" t="n">
        <v>1.5</v>
      </c>
      <c r="CU15" s="296" t="n">
        <v>0.53168</v>
      </c>
      <c r="CV15" s="297"/>
      <c r="CW15" s="281" t="s">
        <v>813</v>
      </c>
      <c r="CX15" s="320" t="n">
        <f aca="false">(AT15-CS15)*24</f>
        <v>-3</v>
      </c>
      <c r="CY15" s="338" t="s">
        <v>106</v>
      </c>
      <c r="CZ15" s="260" t="s">
        <v>185</v>
      </c>
      <c r="DA15" s="304" t="n">
        <v>15</v>
      </c>
      <c r="DB15" s="306" t="s">
        <v>224</v>
      </c>
      <c r="DD15" s="328" t="s">
        <v>55</v>
      </c>
      <c r="DE15" s="301" t="n">
        <f aca="false">COUNTIF(CM10:CM49,"=C")</f>
        <v>15</v>
      </c>
      <c r="DF15" s="301"/>
      <c r="DG15" s="329"/>
      <c r="DH15" s="329" t="s">
        <v>816</v>
      </c>
      <c r="DI15" s="330" t="e">
        <f aca="false">COUNTIF(#REF!,"=CN")</f>
        <v>#REF!</v>
      </c>
    </row>
    <row r="16" customFormat="false" ht="15.75" hidden="false" customHeight="true" outlineLevel="0" collapsed="false">
      <c r="A16" s="273" t="s">
        <v>185</v>
      </c>
      <c r="B16" s="304" t="n">
        <v>17</v>
      </c>
      <c r="C16" s="305" t="n">
        <v>16262791256</v>
      </c>
      <c r="D16" s="306" t="s">
        <v>233</v>
      </c>
      <c r="E16" s="306" t="s">
        <v>234</v>
      </c>
      <c r="F16" s="305" t="s">
        <v>235</v>
      </c>
      <c r="G16" s="305" t="n">
        <v>89446</v>
      </c>
      <c r="H16" s="307"/>
      <c r="I16" s="308" t="n">
        <v>43383</v>
      </c>
      <c r="J16" s="309" t="n">
        <v>5.61643835616438</v>
      </c>
      <c r="K16" s="308" t="n">
        <v>45203</v>
      </c>
      <c r="L16" s="310" t="n">
        <v>60.7</v>
      </c>
      <c r="M16" s="310" t="n">
        <v>2.75</v>
      </c>
      <c r="N16" s="310" t="n">
        <v>3</v>
      </c>
      <c r="O16" s="311" t="n">
        <v>230</v>
      </c>
      <c r="P16" s="312" t="n">
        <v>280</v>
      </c>
      <c r="Q16" s="312" t="n">
        <v>3367</v>
      </c>
      <c r="R16" s="312" t="n">
        <v>2204</v>
      </c>
      <c r="S16" s="312" t="n">
        <v>1618</v>
      </c>
      <c r="T16" s="312" t="n">
        <v>1833</v>
      </c>
      <c r="U16" s="312" t="n">
        <v>1344</v>
      </c>
      <c r="V16" s="312" t="n">
        <v>1344</v>
      </c>
      <c r="W16" s="313" t="n">
        <v>-172</v>
      </c>
      <c r="X16" s="314" t="n">
        <f aca="false">EXP(0.585+(0.102*J16)+(0.007*P16)-(0.001*V16)+(0.008*O16)-2.723)</f>
        <v>2.43726549560102</v>
      </c>
      <c r="Y16" s="314" t="n">
        <f aca="false">(X16/(1+X16))</f>
        <v>0.709071062075423</v>
      </c>
      <c r="Z16" s="314" t="n">
        <f aca="false">EXP(1.741+(0.011*P16)-(0.002*V16)+(0.275*J16)-1.952)</f>
        <v>5.61544337652742</v>
      </c>
      <c r="AA16" s="314" t="n">
        <f aca="false">(Z16/(1+Z16))</f>
        <v>0.848838551993635</v>
      </c>
      <c r="AB16" s="304" t="n">
        <v>17</v>
      </c>
      <c r="AC16" s="273"/>
      <c r="AD16" s="315"/>
      <c r="AE16" s="315"/>
      <c r="AF16" s="315"/>
      <c r="AG16" s="316"/>
      <c r="AH16" s="317"/>
      <c r="AI16" s="309"/>
      <c r="AJ16" s="318"/>
      <c r="AK16" s="315"/>
      <c r="AL16" s="315"/>
      <c r="AM16" s="315"/>
      <c r="AN16" s="318"/>
      <c r="AO16" s="318"/>
      <c r="AP16" s="318"/>
      <c r="AQ16" s="273"/>
      <c r="AR16" s="273"/>
      <c r="AS16" s="272" t="s">
        <v>810</v>
      </c>
      <c r="AT16" s="275" t="n">
        <v>45435.625</v>
      </c>
      <c r="AU16" s="276" t="s">
        <v>811</v>
      </c>
      <c r="AV16" s="19" t="n">
        <v>29</v>
      </c>
      <c r="AW16" s="278" t="n">
        <v>45446.490462963</v>
      </c>
      <c r="AX16" s="278" t="n">
        <v>45453.6467824074</v>
      </c>
      <c r="AY16" s="279" t="n">
        <f aca="false">(AX16-AW16)*24</f>
        <v>171.751666666667</v>
      </c>
      <c r="AZ16" s="278" t="n">
        <v>45446.490462963</v>
      </c>
      <c r="BA16" s="278" t="n">
        <v>45446.490462963</v>
      </c>
      <c r="BB16" s="279" t="n">
        <f aca="false">(BA16-AZ16)*24</f>
        <v>0</v>
      </c>
      <c r="BC16" s="280" t="n">
        <v>1</v>
      </c>
      <c r="BD16" s="278" t="n">
        <v>45453.6467824074</v>
      </c>
      <c r="BE16" s="278" t="n">
        <v>45453.6467824074</v>
      </c>
      <c r="BF16" s="279" t="n">
        <f aca="false">(BE16-BD16)*24</f>
        <v>0</v>
      </c>
      <c r="BG16" s="280" t="n">
        <v>1</v>
      </c>
      <c r="BH16" s="19" t="n">
        <v>2</v>
      </c>
      <c r="BI16" s="19" t="n">
        <v>2</v>
      </c>
      <c r="BJ16" s="273" t="n">
        <v>0</v>
      </c>
      <c r="BK16" s="273"/>
      <c r="BL16" s="273" t="s">
        <v>826</v>
      </c>
      <c r="BM16" s="273" t="s">
        <v>106</v>
      </c>
      <c r="BN16" s="281" t="s">
        <v>813</v>
      </c>
      <c r="BO16" s="273" t="n">
        <v>1</v>
      </c>
      <c r="BP16" s="265" t="n">
        <v>45603</v>
      </c>
      <c r="BQ16" s="282" t="n">
        <f aca="false">AZ16+145</f>
        <v>45591.490462963</v>
      </c>
      <c r="BR16" s="283" t="n">
        <f aca="false">BP16-AT16</f>
        <v>167.375</v>
      </c>
      <c r="BS16" s="283" t="s">
        <v>106</v>
      </c>
      <c r="BT16" s="281" t="s">
        <v>819</v>
      </c>
      <c r="BU16" s="284" t="n">
        <v>0.2</v>
      </c>
      <c r="BV16" s="331" t="n">
        <v>0.8458</v>
      </c>
      <c r="BW16" s="284" t="n">
        <v>0.2</v>
      </c>
      <c r="BX16" s="284" t="n">
        <v>0.2</v>
      </c>
      <c r="BY16" s="284" t="n">
        <v>0.2</v>
      </c>
      <c r="BZ16" s="284" t="n">
        <v>0.2</v>
      </c>
      <c r="CA16" s="284" t="n">
        <v>0.2</v>
      </c>
      <c r="CB16" s="284" t="n">
        <v>0.2</v>
      </c>
      <c r="CC16" s="284" t="n">
        <v>0.29</v>
      </c>
      <c r="CD16" s="284" t="n">
        <v>0.2</v>
      </c>
      <c r="CE16" s="284" t="n">
        <v>0.2</v>
      </c>
      <c r="CF16" s="285" t="s">
        <v>814</v>
      </c>
      <c r="CG16" s="332" t="s">
        <v>810</v>
      </c>
      <c r="CH16" s="285" t="s">
        <v>814</v>
      </c>
      <c r="CI16" s="335" t="s">
        <v>810</v>
      </c>
      <c r="CJ16" s="289" t="n">
        <v>0.307633333333333</v>
      </c>
      <c r="CK16" s="290" t="n">
        <v>0.263646745981563</v>
      </c>
      <c r="CL16" s="290" t="n">
        <v>0.834926825296459</v>
      </c>
      <c r="CM16" s="285" t="s">
        <v>814</v>
      </c>
      <c r="CN16" s="336" t="s">
        <v>810</v>
      </c>
      <c r="CO16" s="291" t="s">
        <v>828</v>
      </c>
      <c r="CP16" s="285" t="s">
        <v>810</v>
      </c>
      <c r="CQ16" s="337"/>
      <c r="CR16" s="293" t="n">
        <v>72</v>
      </c>
      <c r="CS16" s="294" t="n">
        <f aca="false">$CS$7+(CR16/24)</f>
        <v>45436.25</v>
      </c>
      <c r="CT16" s="295" t="n">
        <v>1</v>
      </c>
      <c r="CU16" s="296" t="n">
        <v>0.21994</v>
      </c>
      <c r="CV16" s="297"/>
      <c r="CW16" s="281" t="s">
        <v>813</v>
      </c>
      <c r="CX16" s="320" t="n">
        <f aca="false">(AT16-CS16)*24</f>
        <v>-15</v>
      </c>
      <c r="CY16" s="338" t="s">
        <v>106</v>
      </c>
      <c r="CZ16" s="260" t="s">
        <v>185</v>
      </c>
      <c r="DA16" s="304" t="n">
        <v>17</v>
      </c>
      <c r="DB16" s="306" t="s">
        <v>233</v>
      </c>
      <c r="DD16" s="339"/>
      <c r="DE16" s="340"/>
      <c r="DF16" s="340"/>
      <c r="DG16" s="341"/>
      <c r="DH16" s="341" t="s">
        <v>823</v>
      </c>
      <c r="DI16" s="342" t="e">
        <f aca="false">COUNTIF(#REF!,"=nd")</f>
        <v>#REF!</v>
      </c>
    </row>
    <row r="17" customFormat="false" ht="15.75" hidden="false" customHeight="true" outlineLevel="0" collapsed="false">
      <c r="A17" s="273" t="s">
        <v>185</v>
      </c>
      <c r="B17" s="304" t="n">
        <v>19</v>
      </c>
      <c r="C17" s="305" t="n">
        <v>16262791323</v>
      </c>
      <c r="D17" s="306" t="s">
        <v>242</v>
      </c>
      <c r="E17" s="306" t="s">
        <v>243</v>
      </c>
      <c r="F17" s="305" t="s">
        <v>244</v>
      </c>
      <c r="G17" s="305" t="n">
        <v>88967</v>
      </c>
      <c r="H17" s="307"/>
      <c r="I17" s="308" t="n">
        <v>43384</v>
      </c>
      <c r="J17" s="309" t="n">
        <v>5.61369863013699</v>
      </c>
      <c r="K17" s="308" t="n">
        <v>45205</v>
      </c>
      <c r="L17" s="310" t="n">
        <v>71.9</v>
      </c>
      <c r="M17" s="310" t="n">
        <v>3.25</v>
      </c>
      <c r="N17" s="310" t="n">
        <v>3.25</v>
      </c>
      <c r="O17" s="311" t="n">
        <v>228</v>
      </c>
      <c r="P17" s="312" t="n">
        <v>254</v>
      </c>
      <c r="Q17" s="312" t="n">
        <v>2235</v>
      </c>
      <c r="R17" s="312" t="n">
        <v>1334</v>
      </c>
      <c r="S17" s="312" t="n">
        <v>1732</v>
      </c>
      <c r="T17" s="312" t="n">
        <v>1635</v>
      </c>
      <c r="U17" s="312" t="n">
        <v>1456</v>
      </c>
      <c r="V17" s="312" t="n">
        <v>1229</v>
      </c>
      <c r="W17" s="313" t="n">
        <v>-308</v>
      </c>
      <c r="X17" s="314" t="n">
        <f aca="false">EXP(1.204+(0.102*J17)+(0.007*P17)-(0.001*V17)+(0.008*O17)-2.723)</f>
        <v>4.16450433058549</v>
      </c>
      <c r="Y17" s="314" t="n">
        <f aca="false">(X17/(1+X17))</f>
        <v>0.806370575763147</v>
      </c>
      <c r="Z17" s="314" t="n">
        <f aca="false">EXP(2.859+(0.011*P17)-(0.002*V17)+(0.275*J17)-1.952)</f>
        <v>16.2284702608802</v>
      </c>
      <c r="AA17" s="314" t="n">
        <f aca="false">(Z17/(1+Z17))</f>
        <v>0.941956541419081</v>
      </c>
      <c r="AB17" s="304" t="n">
        <v>19</v>
      </c>
      <c r="AC17" s="273"/>
      <c r="AD17" s="315"/>
      <c r="AE17" s="315"/>
      <c r="AF17" s="315"/>
      <c r="AG17" s="316"/>
      <c r="AH17" s="317"/>
      <c r="AI17" s="309"/>
      <c r="AJ17" s="318"/>
      <c r="AK17" s="315"/>
      <c r="AL17" s="315"/>
      <c r="AM17" s="315"/>
      <c r="AN17" s="318"/>
      <c r="AO17" s="318"/>
      <c r="AP17" s="318"/>
      <c r="AQ17" s="273"/>
      <c r="AR17" s="273"/>
      <c r="AS17" s="272" t="s">
        <v>810</v>
      </c>
      <c r="AT17" s="275" t="n">
        <v>45435.625</v>
      </c>
      <c r="AU17" s="276" t="s">
        <v>811</v>
      </c>
      <c r="AV17" s="19"/>
      <c r="AW17" s="278"/>
      <c r="AX17" s="278"/>
      <c r="AY17" s="279"/>
      <c r="AZ17" s="278"/>
      <c r="BA17" s="278"/>
      <c r="BB17" s="279"/>
      <c r="BC17" s="280"/>
      <c r="BD17" s="278"/>
      <c r="BE17" s="278"/>
      <c r="BF17" s="279"/>
      <c r="BG17" s="280"/>
      <c r="BH17" s="19"/>
      <c r="BI17" s="19"/>
      <c r="BJ17" s="260" t="n">
        <v>1</v>
      </c>
      <c r="BK17" s="273" t="n">
        <v>2</v>
      </c>
      <c r="BL17" s="273"/>
      <c r="BM17" s="273" t="s">
        <v>812</v>
      </c>
      <c r="BN17" s="281" t="s">
        <v>813</v>
      </c>
      <c r="BO17" s="273" t="n">
        <v>2</v>
      </c>
      <c r="BP17" s="265" t="n">
        <v>45584</v>
      </c>
      <c r="BQ17" s="282" t="n">
        <f aca="false">AT17+145</f>
        <v>45580.625</v>
      </c>
      <c r="BR17" s="283" t="n">
        <f aca="false">BP17-AT17</f>
        <v>148.375</v>
      </c>
      <c r="BS17" s="283" t="s">
        <v>35</v>
      </c>
      <c r="BT17" s="281" t="s">
        <v>813</v>
      </c>
      <c r="BU17" s="284" t="n">
        <v>0.2</v>
      </c>
      <c r="BV17" s="284" t="n">
        <v>0.2</v>
      </c>
      <c r="BW17" s="284" t="n">
        <v>0.2</v>
      </c>
      <c r="BX17" s="284" t="n">
        <v>0.2</v>
      </c>
      <c r="BY17" s="284" t="n">
        <v>0.2</v>
      </c>
      <c r="BZ17" s="284" t="n">
        <v>0.2</v>
      </c>
      <c r="CA17" s="284" t="n">
        <v>0.2</v>
      </c>
      <c r="CB17" s="284" t="n">
        <v>0.2</v>
      </c>
      <c r="CC17" s="284" t="n">
        <v>0.2</v>
      </c>
      <c r="CD17" s="284" t="n">
        <v>0.2</v>
      </c>
      <c r="CE17" s="284" t="n">
        <v>0.2</v>
      </c>
      <c r="CF17" s="285" t="s">
        <v>814</v>
      </c>
      <c r="CG17" s="332" t="s">
        <v>810</v>
      </c>
      <c r="CH17" s="285" t="s">
        <v>814</v>
      </c>
      <c r="CI17" s="335" t="s">
        <v>810</v>
      </c>
      <c r="CJ17" s="289" t="n">
        <v>0.2</v>
      </c>
      <c r="CK17" s="290" t="n">
        <v>0</v>
      </c>
      <c r="CL17" s="290" t="n">
        <v>0.5</v>
      </c>
      <c r="CM17" s="285" t="s">
        <v>814</v>
      </c>
      <c r="CN17" s="336" t="s">
        <v>810</v>
      </c>
      <c r="CO17" s="291" t="s">
        <v>828</v>
      </c>
      <c r="CP17" s="285" t="s">
        <v>810</v>
      </c>
      <c r="CQ17" s="337"/>
      <c r="CR17" s="293" t="n">
        <v>72</v>
      </c>
      <c r="CS17" s="294" t="n">
        <f aca="false">$CS$7+(CR17/24)</f>
        <v>45436.25</v>
      </c>
      <c r="CT17" s="295" t="n">
        <v>1</v>
      </c>
      <c r="CU17" s="296" t="n">
        <v>0.48183</v>
      </c>
      <c r="CV17" s="297"/>
      <c r="CW17" s="281" t="s">
        <v>813</v>
      </c>
      <c r="CX17" s="320" t="n">
        <f aca="false">(AT17-CS17)*24</f>
        <v>-15</v>
      </c>
      <c r="CY17" s="299" t="s">
        <v>812</v>
      </c>
      <c r="CZ17" s="260" t="s">
        <v>185</v>
      </c>
      <c r="DA17" s="304" t="n">
        <v>19</v>
      </c>
      <c r="DB17" s="306" t="s">
        <v>242</v>
      </c>
      <c r="DD17" s="8"/>
      <c r="DE17" s="329"/>
      <c r="DF17" s="343"/>
      <c r="DG17" s="343"/>
      <c r="DH17" s="343"/>
    </row>
    <row r="18" customFormat="false" ht="15.75" hidden="false" customHeight="true" outlineLevel="0" collapsed="false">
      <c r="A18" s="273" t="s">
        <v>185</v>
      </c>
      <c r="B18" s="304" t="n">
        <v>22</v>
      </c>
      <c r="C18" s="305" t="n">
        <v>16262791336</v>
      </c>
      <c r="D18" s="306" t="s">
        <v>251</v>
      </c>
      <c r="E18" s="306" t="s">
        <v>252</v>
      </c>
      <c r="F18" s="305" t="s">
        <v>253</v>
      </c>
      <c r="G18" s="305" t="n">
        <v>89003</v>
      </c>
      <c r="H18" s="307"/>
      <c r="I18" s="308" t="n">
        <v>43384</v>
      </c>
      <c r="J18" s="309" t="n">
        <v>5.61369863013699</v>
      </c>
      <c r="K18" s="308" t="n">
        <v>45205</v>
      </c>
      <c r="L18" s="310" t="n">
        <v>75.3</v>
      </c>
      <c r="M18" s="310" t="n">
        <v>3.75</v>
      </c>
      <c r="N18" s="310" t="n">
        <v>3.75</v>
      </c>
      <c r="O18" s="311" t="n">
        <v>228</v>
      </c>
      <c r="P18" s="312" t="n">
        <v>266</v>
      </c>
      <c r="Q18" s="312" t="n">
        <v>2831</v>
      </c>
      <c r="R18" s="312" t="n">
        <v>2030</v>
      </c>
      <c r="S18" s="312" t="n">
        <v>1988</v>
      </c>
      <c r="T18" s="312" t="n">
        <v>1015</v>
      </c>
      <c r="U18" s="312" t="n">
        <v>1092</v>
      </c>
      <c r="V18" s="312" t="n">
        <v>1315</v>
      </c>
      <c r="W18" s="313" t="n">
        <v>-217</v>
      </c>
      <c r="X18" s="314" t="n">
        <f aca="false">EXP(1.204+(0.102*J18)+(0.007*P18)-(0.001*V18)+(0.008*O18)-2.723)</f>
        <v>4.15618364538308</v>
      </c>
      <c r="Y18" s="314" t="n">
        <f aca="false">(X18/(1+X18))</f>
        <v>0.806058110266221</v>
      </c>
      <c r="Z18" s="314" t="n">
        <f aca="false">EXP(2.859+(0.011*P18)-(0.002*V18)+(0.275*J18)-1.952)</f>
        <v>15.5921428402513</v>
      </c>
      <c r="AA18" s="314" t="n">
        <f aca="false">(Z18/(1+Z18))</f>
        <v>0.939730509215839</v>
      </c>
      <c r="AB18" s="304" t="n">
        <v>22</v>
      </c>
      <c r="AC18" s="273" t="n">
        <v>26</v>
      </c>
      <c r="AD18" s="315"/>
      <c r="AE18" s="315"/>
      <c r="AF18" s="315"/>
      <c r="AG18" s="317" t="n">
        <v>45435.8878240741</v>
      </c>
      <c r="AH18" s="317" t="n">
        <v>45435.8878240741</v>
      </c>
      <c r="AI18" s="309" t="n">
        <f aca="false">(AH18-AG18)*24</f>
        <v>0</v>
      </c>
      <c r="AJ18" s="318" t="n">
        <v>1</v>
      </c>
      <c r="AK18" s="315"/>
      <c r="AL18" s="315"/>
      <c r="AM18" s="315"/>
      <c r="AN18" s="318"/>
      <c r="AO18" s="318" t="n">
        <f aca="false">(AG18-$AO$7)*24</f>
        <v>61.8077777777778</v>
      </c>
      <c r="AP18" s="318" t="n">
        <f aca="false">AO18+35</f>
        <v>96.8077777777778</v>
      </c>
      <c r="AQ18" s="273" t="n">
        <v>1</v>
      </c>
      <c r="AR18" s="273" t="n">
        <v>1</v>
      </c>
      <c r="AS18" s="272" t="s">
        <v>810</v>
      </c>
      <c r="AT18" s="275" t="n">
        <v>45435.625</v>
      </c>
      <c r="AU18" s="276" t="s">
        <v>811</v>
      </c>
      <c r="AV18" s="19" t="n">
        <v>26</v>
      </c>
      <c r="AW18" s="277"/>
      <c r="AX18" s="277"/>
      <c r="AY18" s="277"/>
      <c r="AZ18" s="278" t="n">
        <v>45453.6389699074</v>
      </c>
      <c r="BA18" s="278" t="n">
        <v>45454.3194791667</v>
      </c>
      <c r="BB18" s="279" t="n">
        <f aca="false">(BA18-AZ18)*24</f>
        <v>16.3322222222222</v>
      </c>
      <c r="BC18" s="280" t="n">
        <v>16.3322222222923</v>
      </c>
      <c r="BD18" s="277"/>
      <c r="BE18" s="277"/>
      <c r="BF18" s="277"/>
      <c r="BG18" s="280"/>
      <c r="BH18" s="19" t="n">
        <v>32</v>
      </c>
      <c r="BI18" s="19" t="n">
        <v>1</v>
      </c>
      <c r="BJ18" s="273" t="n">
        <v>0</v>
      </c>
      <c r="BK18" s="273"/>
      <c r="BL18" s="273"/>
      <c r="BM18" s="273" t="s">
        <v>829</v>
      </c>
      <c r="BN18" s="281" t="s">
        <v>827</v>
      </c>
      <c r="BO18" s="273" t="n">
        <v>2</v>
      </c>
      <c r="BP18" s="265" t="n">
        <v>45621</v>
      </c>
      <c r="BQ18" s="282" t="n">
        <f aca="false">AZ18+145</f>
        <v>45598.6389699074</v>
      </c>
      <c r="BR18" s="283" t="n">
        <f aca="false">BP18-AT18</f>
        <v>185.375</v>
      </c>
      <c r="BS18" s="283" t="s">
        <v>830</v>
      </c>
      <c r="BT18" s="281" t="s">
        <v>827</v>
      </c>
      <c r="BU18" s="284" t="n">
        <v>0.2</v>
      </c>
      <c r="BV18" s="284" t="n">
        <v>0.2</v>
      </c>
      <c r="BW18" s="284" t="n">
        <v>0.2</v>
      </c>
      <c r="BX18" s="284" t="n">
        <v>0.2</v>
      </c>
      <c r="BY18" s="284" t="n">
        <v>0.2</v>
      </c>
      <c r="BZ18" s="284" t="n">
        <v>0.2</v>
      </c>
      <c r="CA18" s="284" t="n">
        <v>0.2</v>
      </c>
      <c r="CB18" s="284" t="n">
        <v>0.2</v>
      </c>
      <c r="CC18" s="284" t="n">
        <v>0.99065</v>
      </c>
      <c r="CD18" s="284" t="n">
        <v>1.8938</v>
      </c>
      <c r="CE18" s="284" t="n">
        <v>0.97258</v>
      </c>
      <c r="CF18" s="285" t="s">
        <v>814</v>
      </c>
      <c r="CG18" s="286" t="s">
        <v>815</v>
      </c>
      <c r="CH18" s="285" t="s">
        <v>814</v>
      </c>
      <c r="CI18" s="288" t="s">
        <v>815</v>
      </c>
      <c r="CJ18" s="344" t="n">
        <v>0.2</v>
      </c>
      <c r="CK18" s="345" t="n">
        <v>0</v>
      </c>
      <c r="CL18" s="290" t="n">
        <v>0.5</v>
      </c>
      <c r="CM18" s="285" t="s">
        <v>814</v>
      </c>
      <c r="CN18" s="286" t="s">
        <v>815</v>
      </c>
      <c r="CO18" s="291" t="s">
        <v>816</v>
      </c>
      <c r="CP18" s="285" t="s">
        <v>810</v>
      </c>
      <c r="CQ18" s="292" t="n">
        <v>6</v>
      </c>
      <c r="CR18" s="293" t="n">
        <v>72</v>
      </c>
      <c r="CS18" s="294" t="n">
        <f aca="false">$CS$7+(CR18/24)</f>
        <v>45436.25</v>
      </c>
      <c r="CT18" s="295" t="n">
        <v>1</v>
      </c>
      <c r="CU18" s="296" t="n">
        <v>0.19235</v>
      </c>
      <c r="CV18" s="297" t="n">
        <f aca="false">(CS18-AG18)*24</f>
        <v>8.69222222222222</v>
      </c>
      <c r="CW18" s="281" t="s">
        <v>819</v>
      </c>
      <c r="CX18" s="320" t="n">
        <f aca="false">(AT18-CS18)*24</f>
        <v>-15</v>
      </c>
      <c r="CY18" s="346" t="s">
        <v>829</v>
      </c>
      <c r="CZ18" s="260" t="s">
        <v>185</v>
      </c>
      <c r="DA18" s="304" t="n">
        <v>22</v>
      </c>
      <c r="DB18" s="306" t="s">
        <v>251</v>
      </c>
      <c r="DD18" s="347" t="s">
        <v>831</v>
      </c>
      <c r="DE18" s="329"/>
      <c r="DF18" s="348" t="n">
        <f aca="false">DE15/(DE15+DE11)*100</f>
        <v>37.5</v>
      </c>
      <c r="DG18" s="329"/>
      <c r="DH18" s="349" t="s">
        <v>832</v>
      </c>
      <c r="DI18" s="350" t="e">
        <f aca="false">DI12/(DI11+DI12+DI13)*100</f>
        <v>#REF!</v>
      </c>
    </row>
    <row r="19" customFormat="false" ht="15.75" hidden="false" customHeight="true" outlineLevel="0" collapsed="false">
      <c r="A19" s="273" t="s">
        <v>185</v>
      </c>
      <c r="B19" s="304" t="n">
        <v>25</v>
      </c>
      <c r="C19" s="305" t="n">
        <v>16262791428</v>
      </c>
      <c r="D19" s="306" t="s">
        <v>260</v>
      </c>
      <c r="E19" s="306" t="s">
        <v>261</v>
      </c>
      <c r="F19" s="305" t="s">
        <v>262</v>
      </c>
      <c r="G19" s="305" t="n">
        <v>88512</v>
      </c>
      <c r="H19" s="307"/>
      <c r="I19" s="308" t="n">
        <v>43385</v>
      </c>
      <c r="J19" s="309" t="n">
        <v>5.61095890410959</v>
      </c>
      <c r="K19" s="308" t="n">
        <v>45207</v>
      </c>
      <c r="L19" s="310" t="n">
        <v>74.6</v>
      </c>
      <c r="M19" s="310" t="n">
        <v>3.75</v>
      </c>
      <c r="N19" s="310" t="n">
        <v>3.75</v>
      </c>
      <c r="O19" s="311" t="n">
        <v>226</v>
      </c>
      <c r="P19" s="312" t="n">
        <v>347</v>
      </c>
      <c r="Q19" s="312" t="n">
        <v>3099</v>
      </c>
      <c r="R19" s="312" t="n">
        <v>2175</v>
      </c>
      <c r="S19" s="312" t="n">
        <v>2272</v>
      </c>
      <c r="T19" s="312" t="n">
        <v>2002</v>
      </c>
      <c r="U19" s="312" t="n">
        <v>1708</v>
      </c>
      <c r="V19" s="312" t="n">
        <v>1287</v>
      </c>
      <c r="W19" s="313" t="n">
        <v>1</v>
      </c>
      <c r="X19" s="314" t="n">
        <f aca="false">EXP(1.204+(0.102*J19)+(0.007*P19)-(0.001*V19)+(0.008*O19)-2.723)</f>
        <v>7.41361228381778</v>
      </c>
      <c r="Y19" s="314" t="n">
        <f aca="false">(X19/(1+X19))</f>
        <v>0.881144986687426</v>
      </c>
      <c r="Z19" s="314" t="n">
        <f aca="false">EXP(2.859+(0.011*P19)-(0.002*V19)+(0.275*J19)-1.952)</f>
        <v>40.1657120917725</v>
      </c>
      <c r="AA19" s="314" t="n">
        <f aca="false">(Z19/(1+Z19))</f>
        <v>0.975707938738661</v>
      </c>
      <c r="AB19" s="304" t="n">
        <v>25</v>
      </c>
      <c r="AC19" s="273"/>
      <c r="AD19" s="315"/>
      <c r="AE19" s="315"/>
      <c r="AF19" s="315"/>
      <c r="AG19" s="317"/>
      <c r="AH19" s="317"/>
      <c r="AI19" s="309"/>
      <c r="AJ19" s="318"/>
      <c r="AK19" s="315"/>
      <c r="AL19" s="315"/>
      <c r="AM19" s="315"/>
      <c r="AN19" s="318"/>
      <c r="AO19" s="318"/>
      <c r="AP19" s="318"/>
      <c r="AQ19" s="273"/>
      <c r="AR19" s="273"/>
      <c r="AS19" s="272" t="s">
        <v>810</v>
      </c>
      <c r="AT19" s="275" t="n">
        <v>45435.625</v>
      </c>
      <c r="AU19" s="319" t="s">
        <v>818</v>
      </c>
      <c r="AV19" s="19"/>
      <c r="AW19" s="277"/>
      <c r="AX19" s="277"/>
      <c r="AY19" s="277"/>
      <c r="AZ19" s="278"/>
      <c r="BA19" s="278"/>
      <c r="BB19" s="279"/>
      <c r="BC19" s="280"/>
      <c r="BD19" s="277"/>
      <c r="BE19" s="277"/>
      <c r="BF19" s="277"/>
      <c r="BG19" s="280"/>
      <c r="BH19" s="19"/>
      <c r="BI19" s="19"/>
      <c r="BJ19" s="260" t="n">
        <v>1</v>
      </c>
      <c r="BK19" s="273" t="n">
        <v>2</v>
      </c>
      <c r="BL19" s="273"/>
      <c r="BM19" s="273" t="s">
        <v>812</v>
      </c>
      <c r="BN19" s="281" t="s">
        <v>813</v>
      </c>
      <c r="BO19" s="273" t="n">
        <v>1</v>
      </c>
      <c r="BP19" s="265" t="n">
        <v>45586</v>
      </c>
      <c r="BQ19" s="282" t="n">
        <f aca="false">AT19+145</f>
        <v>45580.625</v>
      </c>
      <c r="BR19" s="283" t="n">
        <f aca="false">BP19-AT19</f>
        <v>150.375</v>
      </c>
      <c r="BS19" s="283" t="s">
        <v>35</v>
      </c>
      <c r="BT19" s="281" t="s">
        <v>813</v>
      </c>
      <c r="BU19" s="284" t="n">
        <v>0.2</v>
      </c>
      <c r="BV19" s="284" t="n">
        <v>1.5343</v>
      </c>
      <c r="BW19" s="284" t="n">
        <v>0.2</v>
      </c>
      <c r="BX19" s="284" t="n">
        <v>0.2</v>
      </c>
      <c r="BY19" s="284" t="n">
        <v>0.2</v>
      </c>
      <c r="BZ19" s="284" t="n">
        <v>0.308875</v>
      </c>
      <c r="CA19" s="284" t="n">
        <v>0.499005</v>
      </c>
      <c r="CB19" s="284" t="n">
        <v>0.989</v>
      </c>
      <c r="CC19" s="284" t="n">
        <v>1.29445</v>
      </c>
      <c r="CD19" s="284" t="n">
        <v>1.6441</v>
      </c>
      <c r="CE19" s="284" t="n">
        <v>1.39865</v>
      </c>
      <c r="CF19" s="325" t="s">
        <v>55</v>
      </c>
      <c r="CG19" s="327" t="s">
        <v>815</v>
      </c>
      <c r="CH19" s="325" t="s">
        <v>55</v>
      </c>
      <c r="CI19" s="326" t="s">
        <v>815</v>
      </c>
      <c r="CJ19" s="289" t="n">
        <v>0.221775</v>
      </c>
      <c r="CK19" s="290" t="n">
        <v>0.0486903802100579</v>
      </c>
      <c r="CL19" s="290" t="n">
        <v>0.319155760420116</v>
      </c>
      <c r="CM19" s="325" t="s">
        <v>55</v>
      </c>
      <c r="CN19" s="327" t="s">
        <v>815</v>
      </c>
      <c r="CO19" s="291" t="s">
        <v>816</v>
      </c>
      <c r="CP19" s="285" t="s">
        <v>810</v>
      </c>
      <c r="CQ19" s="292" t="n">
        <v>4</v>
      </c>
      <c r="CR19" s="333" t="n">
        <v>48</v>
      </c>
      <c r="CS19" s="294" t="n">
        <f aca="false">$CS$7+(CR19/24)</f>
        <v>45435.25</v>
      </c>
      <c r="CT19" s="295" t="n">
        <v>1.5</v>
      </c>
      <c r="CU19" s="296" t="n">
        <v>0.19441</v>
      </c>
      <c r="CV19" s="297"/>
      <c r="CW19" s="281" t="s">
        <v>813</v>
      </c>
      <c r="CX19" s="320" t="n">
        <f aca="false">(AT19-CS19)*24</f>
        <v>9</v>
      </c>
      <c r="CY19" s="299" t="s">
        <v>812</v>
      </c>
      <c r="CZ19" s="260" t="s">
        <v>185</v>
      </c>
      <c r="DA19" s="304" t="n">
        <v>25</v>
      </c>
      <c r="DB19" s="306" t="s">
        <v>260</v>
      </c>
      <c r="DD19" s="351" t="s">
        <v>833</v>
      </c>
      <c r="DE19" s="352"/>
      <c r="DF19" s="353" t="e">
        <f aca="false">DF11/(DF11+DF14)*100</f>
        <v>#DIV/0!</v>
      </c>
      <c r="DG19" s="343"/>
      <c r="DH19" s="343"/>
    </row>
    <row r="20" customFormat="false" ht="15.75" hidden="false" customHeight="true" outlineLevel="0" collapsed="false">
      <c r="A20" s="273" t="s">
        <v>185</v>
      </c>
      <c r="B20" s="304" t="n">
        <v>26</v>
      </c>
      <c r="C20" s="305" t="n">
        <v>16262791446</v>
      </c>
      <c r="D20" s="306" t="s">
        <v>269</v>
      </c>
      <c r="E20" s="306" t="s">
        <v>270</v>
      </c>
      <c r="F20" s="305" t="s">
        <v>271</v>
      </c>
      <c r="G20" s="305" t="n">
        <v>89051</v>
      </c>
      <c r="H20" s="307"/>
      <c r="I20" s="308" t="n">
        <v>43385</v>
      </c>
      <c r="J20" s="309" t="n">
        <v>5.61095890410959</v>
      </c>
      <c r="K20" s="308" t="n">
        <v>45225</v>
      </c>
      <c r="L20" s="310" t="n">
        <v>70.8</v>
      </c>
      <c r="M20" s="310" t="n">
        <v>3</v>
      </c>
      <c r="N20" s="310" t="n">
        <v>3.5</v>
      </c>
      <c r="O20" s="311" t="n">
        <v>208</v>
      </c>
      <c r="P20" s="312" t="n">
        <v>316</v>
      </c>
      <c r="Q20" s="312" t="n">
        <v>0</v>
      </c>
      <c r="R20" s="312" t="n">
        <v>3103</v>
      </c>
      <c r="S20" s="312" t="n">
        <v>2272</v>
      </c>
      <c r="T20" s="312" t="n">
        <v>2002</v>
      </c>
      <c r="U20" s="312" t="n">
        <v>1680</v>
      </c>
      <c r="V20" s="312" t="n">
        <v>943</v>
      </c>
      <c r="W20" s="313" t="n">
        <v>-153</v>
      </c>
      <c r="X20" s="314" t="n">
        <f aca="false">EXP(1.204+(0.102*J20)+(0.007*P20)-(0.001*V20)+(0.008*O20)-2.723)</f>
        <v>7.28864609716724</v>
      </c>
      <c r="Y20" s="314" t="n">
        <f aca="false">(X20/(1+X20))</f>
        <v>0.879353034467021</v>
      </c>
      <c r="Z20" s="314" t="n">
        <f aca="false">EXP(2.859+(0.011*P20)-(0.002*V20)+(0.275*J20)-1.952)</f>
        <v>56.827121253853</v>
      </c>
      <c r="AA20" s="314" t="n">
        <f aca="false">(Z20/(1+Z20))</f>
        <v>0.982707076224491</v>
      </c>
      <c r="AB20" s="304" t="n">
        <v>26</v>
      </c>
      <c r="AC20" s="273" t="n">
        <v>7</v>
      </c>
      <c r="AD20" s="315"/>
      <c r="AE20" s="315"/>
      <c r="AF20" s="315"/>
      <c r="AG20" s="316" t="n">
        <v>45434.8794097222</v>
      </c>
      <c r="AH20" s="317" t="n">
        <v>45435.6718287037</v>
      </c>
      <c r="AI20" s="309" t="n">
        <f aca="false">(AH20-AG20)*24</f>
        <v>19.0180555555556</v>
      </c>
      <c r="AJ20" s="318" t="n">
        <v>19.0180555555271</v>
      </c>
      <c r="AK20" s="315"/>
      <c r="AL20" s="315"/>
      <c r="AM20" s="315"/>
      <c r="AN20" s="318"/>
      <c r="AO20" s="318" t="n">
        <f aca="false">(AG20-$AO$7)*24</f>
        <v>37.6058333333333</v>
      </c>
      <c r="AP20" s="318" t="n">
        <f aca="false">AO20+35</f>
        <v>72.6058333333333</v>
      </c>
      <c r="AQ20" s="273" t="n">
        <v>21</v>
      </c>
      <c r="AR20" s="273" t="n">
        <v>2</v>
      </c>
      <c r="AS20" s="273" t="s">
        <v>815</v>
      </c>
      <c r="AT20" s="275" t="n">
        <v>45435.625</v>
      </c>
      <c r="AU20" s="276" t="s">
        <v>811</v>
      </c>
      <c r="AV20" s="19" t="n">
        <v>7</v>
      </c>
      <c r="AW20" s="277"/>
      <c r="AX20" s="277"/>
      <c r="AY20" s="277"/>
      <c r="AZ20" s="354" t="n">
        <v>45452.3428819444</v>
      </c>
      <c r="BA20" s="278" t="n">
        <v>45453.1313194444</v>
      </c>
      <c r="BB20" s="279" t="n">
        <f aca="false">(BA20-AZ20)*24</f>
        <v>18.9225</v>
      </c>
      <c r="BC20" s="280" t="n">
        <v>18.922499999986</v>
      </c>
      <c r="BD20" s="277"/>
      <c r="BE20" s="277"/>
      <c r="BF20" s="277"/>
      <c r="BG20" s="280"/>
      <c r="BH20" s="19" t="n">
        <v>19</v>
      </c>
      <c r="BI20" s="19" t="n">
        <v>3</v>
      </c>
      <c r="BJ20" s="273" t="n">
        <v>0</v>
      </c>
      <c r="BK20" s="273"/>
      <c r="BL20" s="273" t="s">
        <v>826</v>
      </c>
      <c r="BM20" s="273" t="s">
        <v>106</v>
      </c>
      <c r="BN20" s="281" t="s">
        <v>819</v>
      </c>
      <c r="BO20" s="273" t="n">
        <v>2</v>
      </c>
      <c r="BP20" s="265" t="n">
        <v>45605</v>
      </c>
      <c r="BQ20" s="282" t="n">
        <f aca="false">AZ20+145</f>
        <v>45597.3428819444</v>
      </c>
      <c r="BR20" s="283" t="n">
        <f aca="false">BP20-AT20</f>
        <v>169.375</v>
      </c>
      <c r="BS20" s="283" t="s">
        <v>106</v>
      </c>
      <c r="BT20" s="281" t="s">
        <v>827</v>
      </c>
      <c r="BU20" s="284" t="n">
        <v>0.2</v>
      </c>
      <c r="BV20" s="284" t="n">
        <v>0.29244</v>
      </c>
      <c r="BW20" s="284" t="n">
        <v>0.2</v>
      </c>
      <c r="BX20" s="284" t="n">
        <v>0.34842</v>
      </c>
      <c r="BY20" s="284" t="n">
        <v>0.57489</v>
      </c>
      <c r="BZ20" s="284" t="n">
        <v>0.2</v>
      </c>
      <c r="CA20" s="284" t="n">
        <v>1.1086</v>
      </c>
      <c r="CB20" s="284" t="n">
        <v>1.6372</v>
      </c>
      <c r="CC20" s="284" t="n">
        <v>2.2807</v>
      </c>
      <c r="CD20" s="284" t="n">
        <v>3.1695</v>
      </c>
      <c r="CE20" s="284" t="n">
        <v>3.2198</v>
      </c>
      <c r="CF20" s="285" t="s">
        <v>814</v>
      </c>
      <c r="CG20" s="286" t="s">
        <v>815</v>
      </c>
      <c r="CH20" s="285" t="s">
        <v>814</v>
      </c>
      <c r="CI20" s="288" t="s">
        <v>815</v>
      </c>
      <c r="CJ20" s="289" t="n">
        <v>0.302625</v>
      </c>
      <c r="CK20" s="290" t="n">
        <v>0.14691822102789</v>
      </c>
      <c r="CL20" s="290" t="n">
        <v>0.596461442055781</v>
      </c>
      <c r="CM20" s="285" t="s">
        <v>814</v>
      </c>
      <c r="CN20" s="286" t="s">
        <v>815</v>
      </c>
      <c r="CO20" s="291" t="s">
        <v>816</v>
      </c>
      <c r="CP20" s="285" t="s">
        <v>810</v>
      </c>
      <c r="CQ20" s="292" t="n">
        <v>4</v>
      </c>
      <c r="CR20" s="293" t="n">
        <v>48</v>
      </c>
      <c r="CS20" s="294" t="n">
        <f aca="false">$CS$7+(CR20/24)</f>
        <v>45435.25</v>
      </c>
      <c r="CT20" s="295" t="n">
        <v>2.5</v>
      </c>
      <c r="CU20" s="296" t="n">
        <v>0.84771</v>
      </c>
      <c r="CV20" s="297" t="n">
        <f aca="false">(CS20-AG20)*24</f>
        <v>8.89416666666667</v>
      </c>
      <c r="CW20" s="281" t="s">
        <v>819</v>
      </c>
      <c r="CX20" s="320" t="n">
        <f aca="false">(AT20-CS20)*24</f>
        <v>9</v>
      </c>
      <c r="CY20" s="338" t="s">
        <v>106</v>
      </c>
      <c r="CZ20" s="260" t="s">
        <v>185</v>
      </c>
      <c r="DA20" s="304" t="n">
        <v>26</v>
      </c>
      <c r="DB20" s="306" t="s">
        <v>269</v>
      </c>
      <c r="DD20" s="355" t="s">
        <v>834</v>
      </c>
      <c r="DE20" s="343"/>
      <c r="DF20" s="356" t="n">
        <f aca="false">(DE15+DF11)/(DE15+DF11+DF14)*100</f>
        <v>100</v>
      </c>
      <c r="DG20" s="357" t="n">
        <f aca="false">DE15+DF11</f>
        <v>15</v>
      </c>
      <c r="DH20" s="343"/>
    </row>
    <row r="21" customFormat="false" ht="15.75" hidden="false" customHeight="true" outlineLevel="0" collapsed="false">
      <c r="A21" s="273" t="s">
        <v>185</v>
      </c>
      <c r="B21" s="304" t="n">
        <v>31</v>
      </c>
      <c r="C21" s="305" t="n">
        <v>16262791501</v>
      </c>
      <c r="D21" s="306" t="s">
        <v>276</v>
      </c>
      <c r="E21" s="306" t="s">
        <v>277</v>
      </c>
      <c r="F21" s="305" t="s">
        <v>278</v>
      </c>
      <c r="G21" s="305" t="n">
        <v>88856</v>
      </c>
      <c r="H21" s="307"/>
      <c r="I21" s="308" t="n">
        <v>43385</v>
      </c>
      <c r="J21" s="309" t="n">
        <v>5.61095890410959</v>
      </c>
      <c r="K21" s="308" t="n">
        <v>45238</v>
      </c>
      <c r="L21" s="310" t="n">
        <v>73.6</v>
      </c>
      <c r="M21" s="310" t="n">
        <v>3.5</v>
      </c>
      <c r="N21" s="310" t="n">
        <v>4</v>
      </c>
      <c r="O21" s="311" t="n">
        <v>195</v>
      </c>
      <c r="P21" s="312" t="n">
        <v>279</v>
      </c>
      <c r="Q21" s="312" t="n">
        <v>0</v>
      </c>
      <c r="R21" s="312" t="n">
        <v>2175</v>
      </c>
      <c r="S21" s="312" t="n">
        <v>1874</v>
      </c>
      <c r="T21" s="312" t="n">
        <v>1974</v>
      </c>
      <c r="U21" s="312" t="n">
        <v>1456</v>
      </c>
      <c r="V21" s="312" t="n">
        <v>886</v>
      </c>
      <c r="W21" s="313" t="n">
        <v>0</v>
      </c>
      <c r="X21" s="314" t="n">
        <f aca="false">EXP(1.204+(0.102*J21)+(0.007*P21)-(0.001*V21)+(0.008*O21)-2.723)</f>
        <v>5.36726145990488</v>
      </c>
      <c r="Y21" s="314" t="n">
        <f aca="false">(X21/(1+X21))</f>
        <v>0.842946609575078</v>
      </c>
      <c r="Z21" s="314" t="n">
        <f aca="false">EXP(2.859+(0.011*P21)-(0.002*V21)+(0.275*J21)-1.952)</f>
        <v>42.39429064746</v>
      </c>
      <c r="AA21" s="314" t="n">
        <f aca="false">(Z21/(1+Z21))</f>
        <v>0.976955493797004</v>
      </c>
      <c r="AB21" s="304" t="n">
        <v>31</v>
      </c>
      <c r="AC21" s="273" t="n">
        <v>13</v>
      </c>
      <c r="AD21" s="315"/>
      <c r="AE21" s="315"/>
      <c r="AF21" s="315"/>
      <c r="AG21" s="316" t="n">
        <v>45435.2559490741</v>
      </c>
      <c r="AH21" s="316" t="n">
        <v>45435.2559490741</v>
      </c>
      <c r="AI21" s="309" t="n">
        <f aca="false">(AH21-AG21)*24</f>
        <v>0</v>
      </c>
      <c r="AJ21" s="318" t="n">
        <v>1</v>
      </c>
      <c r="AK21" s="315"/>
      <c r="AL21" s="315"/>
      <c r="AM21" s="315"/>
      <c r="AN21" s="318"/>
      <c r="AO21" s="318" t="n">
        <f aca="false">(AG21-$AO$7)*24</f>
        <v>46.6427777777778</v>
      </c>
      <c r="AP21" s="318" t="n">
        <f aca="false">AO21+35</f>
        <v>81.6427777777778</v>
      </c>
      <c r="AQ21" s="273" t="n">
        <v>1</v>
      </c>
      <c r="AR21" s="273" t="n">
        <v>1</v>
      </c>
      <c r="AS21" s="273" t="s">
        <v>815</v>
      </c>
      <c r="AT21" s="275" t="n">
        <v>45435.625</v>
      </c>
      <c r="AU21" s="276" t="s">
        <v>811</v>
      </c>
      <c r="AV21" s="19"/>
      <c r="AW21" s="277"/>
      <c r="AX21" s="277"/>
      <c r="AY21" s="277"/>
      <c r="AZ21" s="354"/>
      <c r="BA21" s="278"/>
      <c r="BB21" s="279"/>
      <c r="BC21" s="280"/>
      <c r="BD21" s="277"/>
      <c r="BE21" s="277"/>
      <c r="BF21" s="277"/>
      <c r="BG21" s="280"/>
      <c r="BH21" s="19"/>
      <c r="BI21" s="19"/>
      <c r="BJ21" s="260" t="n">
        <v>1</v>
      </c>
      <c r="BK21" s="273" t="n">
        <v>1</v>
      </c>
      <c r="BL21" s="273"/>
      <c r="BM21" s="273" t="s">
        <v>812</v>
      </c>
      <c r="BN21" s="281" t="s">
        <v>819</v>
      </c>
      <c r="BO21" s="273" t="n">
        <v>1</v>
      </c>
      <c r="BP21" s="265" t="n">
        <v>45583</v>
      </c>
      <c r="BQ21" s="282" t="n">
        <f aca="false">AT21+145</f>
        <v>45580.625</v>
      </c>
      <c r="BR21" s="283" t="n">
        <f aca="false">BP21-AT21</f>
        <v>147.375</v>
      </c>
      <c r="BS21" s="283" t="s">
        <v>35</v>
      </c>
      <c r="BT21" s="281" t="s">
        <v>819</v>
      </c>
      <c r="BU21" s="284" t="n">
        <v>0.2</v>
      </c>
      <c r="BV21" s="284" t="n">
        <v>0.2</v>
      </c>
      <c r="BW21" s="284" t="n">
        <v>0.2</v>
      </c>
      <c r="BX21" s="284" t="n">
        <v>0.45699</v>
      </c>
      <c r="BY21" s="284" t="n">
        <v>0.64283</v>
      </c>
      <c r="BZ21" s="284" t="n">
        <v>0.25538</v>
      </c>
      <c r="CA21" s="284" t="n">
        <v>1.0039</v>
      </c>
      <c r="CB21" s="284" t="n">
        <v>0.37911</v>
      </c>
      <c r="CC21" s="284" t="n">
        <v>1.8362</v>
      </c>
      <c r="CD21" s="284" t="n">
        <v>2.2678</v>
      </c>
      <c r="CE21" s="284" t="n">
        <v>1.7</v>
      </c>
      <c r="CF21" s="285" t="s">
        <v>814</v>
      </c>
      <c r="CG21" s="286" t="s">
        <v>815</v>
      </c>
      <c r="CH21" s="285" t="s">
        <v>814</v>
      </c>
      <c r="CI21" s="288" t="s">
        <v>815</v>
      </c>
      <c r="CJ21" s="289" t="n">
        <v>0.325866666666667</v>
      </c>
      <c r="CK21" s="290" t="n">
        <v>0.184474771572339</v>
      </c>
      <c r="CL21" s="290" t="n">
        <v>0.694816209811345</v>
      </c>
      <c r="CM21" s="285" t="s">
        <v>814</v>
      </c>
      <c r="CN21" s="286" t="s">
        <v>815</v>
      </c>
      <c r="CO21" s="291" t="s">
        <v>816</v>
      </c>
      <c r="CP21" s="285" t="s">
        <v>810</v>
      </c>
      <c r="CQ21" s="292" t="n">
        <v>6</v>
      </c>
      <c r="CR21" s="293" t="n">
        <v>48</v>
      </c>
      <c r="CS21" s="294" t="n">
        <f aca="false">$CS$7+(CR21/24)</f>
        <v>45435.25</v>
      </c>
      <c r="CT21" s="295" t="n">
        <v>1.5</v>
      </c>
      <c r="CU21" s="296" t="n">
        <v>0.60631</v>
      </c>
      <c r="CV21" s="297" t="n">
        <f aca="false">(CS21-AG21)*24</f>
        <v>-0.142777777823889</v>
      </c>
      <c r="CW21" s="281" t="s">
        <v>819</v>
      </c>
      <c r="CX21" s="320" t="n">
        <f aca="false">(AT21-CS21)*24</f>
        <v>9</v>
      </c>
      <c r="CY21" s="299" t="s">
        <v>812</v>
      </c>
      <c r="CZ21" s="260" t="s">
        <v>185</v>
      </c>
      <c r="DA21" s="304" t="n">
        <v>31</v>
      </c>
      <c r="DB21" s="306" t="s">
        <v>276</v>
      </c>
      <c r="DD21" s="347" t="s">
        <v>835</v>
      </c>
      <c r="DE21" s="329"/>
      <c r="DF21" s="348" t="n">
        <f aca="false">(DF11/(DE15+DF11+DF14)*100)</f>
        <v>0</v>
      </c>
      <c r="DG21" s="329"/>
      <c r="DH21" s="343"/>
    </row>
    <row r="22" customFormat="false" ht="15.75" hidden="false" customHeight="true" outlineLevel="0" collapsed="false">
      <c r="A22" s="273" t="s">
        <v>185</v>
      </c>
      <c r="B22" s="304" t="n">
        <v>32</v>
      </c>
      <c r="C22" s="305" t="n">
        <v>16262791553</v>
      </c>
      <c r="D22" s="306" t="s">
        <v>285</v>
      </c>
      <c r="E22" s="306" t="s">
        <v>286</v>
      </c>
      <c r="F22" s="305" t="s">
        <v>287</v>
      </c>
      <c r="G22" s="305" t="n">
        <v>88955</v>
      </c>
      <c r="H22" s="307"/>
      <c r="I22" s="308" t="n">
        <v>43386</v>
      </c>
      <c r="J22" s="309" t="n">
        <v>5.60821917808219</v>
      </c>
      <c r="K22" s="308" t="n">
        <v>45205</v>
      </c>
      <c r="L22" s="310" t="n">
        <v>59</v>
      </c>
      <c r="M22" s="310" t="n">
        <v>3</v>
      </c>
      <c r="N22" s="310" t="n">
        <v>2.75</v>
      </c>
      <c r="O22" s="311" t="n">
        <v>228</v>
      </c>
      <c r="P22" s="312" t="n">
        <v>287</v>
      </c>
      <c r="Q22" s="312" t="n">
        <v>2264</v>
      </c>
      <c r="R22" s="312" t="n">
        <v>1769</v>
      </c>
      <c r="S22" s="312" t="n">
        <v>1846</v>
      </c>
      <c r="T22" s="312" t="n">
        <v>1438</v>
      </c>
      <c r="U22" s="312" t="n">
        <v>1204</v>
      </c>
      <c r="V22" s="312" t="n">
        <v>1315</v>
      </c>
      <c r="W22" s="313" t="n">
        <v>-111</v>
      </c>
      <c r="X22" s="314" t="n">
        <f aca="false">EXP(0.585+(0.102*J22)+(0.007*P22)-(0.001*V22)+(0.008*O22)-2.723)</f>
        <v>2.59098563186805</v>
      </c>
      <c r="Y22" s="314" t="n">
        <f aca="false">(X22/(1+X22))</f>
        <v>0.721524923094778</v>
      </c>
      <c r="Z22" s="314" t="n">
        <f aca="false">EXP(1.741+(0.011*P22)-(0.002*V22)+(0.275*J22)-1.952)</f>
        <v>6.41257094493047</v>
      </c>
      <c r="AA22" s="314" t="n">
        <f aca="false">(Z22/(1+Z22))</f>
        <v>0.865094039918241</v>
      </c>
      <c r="AB22" s="304" t="n">
        <v>32</v>
      </c>
      <c r="AC22" s="273" t="n">
        <v>19</v>
      </c>
      <c r="AD22" s="315"/>
      <c r="AE22" s="315"/>
      <c r="AF22" s="315"/>
      <c r="AG22" s="317" t="n">
        <v>45435.6096990741</v>
      </c>
      <c r="AH22" s="317" t="n">
        <v>45435.7361111111</v>
      </c>
      <c r="AI22" s="309" t="n">
        <f aca="false">(AH22-AG22)*24</f>
        <v>3.03388888888889</v>
      </c>
      <c r="AJ22" s="318" t="n">
        <v>3.03388888877817</v>
      </c>
      <c r="AK22" s="315"/>
      <c r="AL22" s="315"/>
      <c r="AM22" s="315"/>
      <c r="AN22" s="318"/>
      <c r="AO22" s="318" t="n">
        <f aca="false">(AG22-$AO$7)*24</f>
        <v>55.1327777777778</v>
      </c>
      <c r="AP22" s="318" t="n">
        <f aca="false">AO22+35</f>
        <v>90.1327777777778</v>
      </c>
      <c r="AQ22" s="273" t="n">
        <v>4</v>
      </c>
      <c r="AR22" s="273" t="n">
        <v>1</v>
      </c>
      <c r="AS22" s="273" t="s">
        <v>815</v>
      </c>
      <c r="AT22" s="275" t="n">
        <v>45435.625</v>
      </c>
      <c r="AU22" s="319" t="s">
        <v>821</v>
      </c>
      <c r="AV22" s="19"/>
      <c r="AW22" s="277"/>
      <c r="AX22" s="277"/>
      <c r="AY22" s="277"/>
      <c r="AZ22" s="354"/>
      <c r="BA22" s="278"/>
      <c r="BB22" s="279"/>
      <c r="BC22" s="280"/>
      <c r="BD22" s="277"/>
      <c r="BE22" s="277"/>
      <c r="BF22" s="277"/>
      <c r="BG22" s="280"/>
      <c r="BH22" s="19"/>
      <c r="BI22" s="19"/>
      <c r="BJ22" s="273" t="n">
        <v>0</v>
      </c>
      <c r="BK22" s="273"/>
      <c r="BL22" s="273"/>
      <c r="BM22" s="273" t="s">
        <v>829</v>
      </c>
      <c r="BN22" s="281" t="s">
        <v>836</v>
      </c>
      <c r="BO22" s="273" t="n">
        <v>1</v>
      </c>
      <c r="BP22" s="265" t="n">
        <v>45629</v>
      </c>
      <c r="BQ22" s="282" t="n">
        <f aca="false">AT22+145</f>
        <v>45580.625</v>
      </c>
      <c r="BR22" s="283" t="n">
        <f aca="false">BP22-AT22</f>
        <v>193.375</v>
      </c>
      <c r="BS22" s="283" t="s">
        <v>830</v>
      </c>
      <c r="BT22" s="281" t="s">
        <v>836</v>
      </c>
      <c r="BU22" s="284" t="n">
        <v>0.2</v>
      </c>
      <c r="BV22" s="284" t="n">
        <v>2.9753</v>
      </c>
      <c r="BW22" s="284" t="n">
        <v>0.2</v>
      </c>
      <c r="BX22" s="284" t="n">
        <v>0.44337</v>
      </c>
      <c r="BY22" s="284" t="n">
        <v>0.50758</v>
      </c>
      <c r="BZ22" s="284" t="n">
        <v>0.63388</v>
      </c>
      <c r="CA22" s="284" t="n">
        <v>0.2</v>
      </c>
      <c r="CB22" s="284" t="n">
        <v>1.1255</v>
      </c>
      <c r="CC22" s="284" t="n">
        <v>1.2727</v>
      </c>
      <c r="CD22" s="284" t="n">
        <v>1.9205</v>
      </c>
      <c r="CE22" s="284" t="n">
        <v>2.1182</v>
      </c>
      <c r="CF22" s="325" t="s">
        <v>55</v>
      </c>
      <c r="CG22" s="327" t="s">
        <v>815</v>
      </c>
      <c r="CH22" s="325" t="s">
        <v>55</v>
      </c>
      <c r="CI22" s="326" t="s">
        <v>815</v>
      </c>
      <c r="CJ22" s="289" t="n">
        <v>0.396966</v>
      </c>
      <c r="CK22" s="290" t="n">
        <v>0.192424168128642</v>
      </c>
      <c r="CL22" s="290" t="n">
        <v>0.781814336257285</v>
      </c>
      <c r="CM22" s="325" t="s">
        <v>55</v>
      </c>
      <c r="CN22" s="327" t="s">
        <v>815</v>
      </c>
      <c r="CO22" s="291" t="s">
        <v>816</v>
      </c>
      <c r="CP22" s="285" t="s">
        <v>810</v>
      </c>
      <c r="CQ22" s="292" t="n">
        <v>5</v>
      </c>
      <c r="CR22" s="333" t="n">
        <v>60</v>
      </c>
      <c r="CS22" s="294" t="n">
        <f aca="false">$CS$7+(CR22/24)</f>
        <v>45435.75</v>
      </c>
      <c r="CT22" s="295" t="n">
        <v>1.5</v>
      </c>
      <c r="CU22" s="296" t="n">
        <v>0.84922</v>
      </c>
      <c r="CV22" s="297" t="n">
        <f aca="false">(CS22-AG22)*24</f>
        <v>3.36722222222222</v>
      </c>
      <c r="CW22" s="281" t="s">
        <v>819</v>
      </c>
      <c r="CX22" s="320" t="n">
        <f aca="false">(AT22-CS22)*24</f>
        <v>-3</v>
      </c>
      <c r="CY22" s="346" t="s">
        <v>829</v>
      </c>
      <c r="CZ22" s="260" t="s">
        <v>185</v>
      </c>
      <c r="DA22" s="304" t="n">
        <v>32</v>
      </c>
      <c r="DB22" s="306" t="s">
        <v>285</v>
      </c>
      <c r="DD22" s="355"/>
      <c r="DE22" s="343"/>
      <c r="DF22" s="356"/>
      <c r="DG22" s="343"/>
      <c r="DH22" s="343"/>
    </row>
    <row r="23" customFormat="false" ht="15.75" hidden="false" customHeight="true" outlineLevel="0" collapsed="false">
      <c r="A23" s="273" t="s">
        <v>185</v>
      </c>
      <c r="B23" s="304" t="n">
        <v>36</v>
      </c>
      <c r="C23" s="305" t="n">
        <v>16262791631</v>
      </c>
      <c r="D23" s="306" t="s">
        <v>294</v>
      </c>
      <c r="E23" s="306" t="s">
        <v>295</v>
      </c>
      <c r="F23" s="305" t="s">
        <v>296</v>
      </c>
      <c r="G23" s="305" t="n">
        <v>89280</v>
      </c>
      <c r="H23" s="307"/>
      <c r="I23" s="308" t="n">
        <v>43387</v>
      </c>
      <c r="J23" s="309" t="n">
        <v>5.60547945205479</v>
      </c>
      <c r="K23" s="308" t="n">
        <v>45208</v>
      </c>
      <c r="L23" s="310" t="n">
        <v>77.6</v>
      </c>
      <c r="M23" s="310" t="n">
        <v>3.5</v>
      </c>
      <c r="N23" s="310" t="n">
        <v>3</v>
      </c>
      <c r="O23" s="311" t="n">
        <v>225</v>
      </c>
      <c r="P23" s="312" t="n">
        <v>293</v>
      </c>
      <c r="Q23" s="312" t="n">
        <v>2115</v>
      </c>
      <c r="R23" s="312" t="n">
        <v>1827</v>
      </c>
      <c r="S23" s="312" t="n">
        <v>1846</v>
      </c>
      <c r="T23" s="312" t="n">
        <v>1494</v>
      </c>
      <c r="U23" s="312" t="n">
        <v>1540</v>
      </c>
      <c r="V23" s="312" t="n">
        <v>1029</v>
      </c>
      <c r="W23" s="313" t="n">
        <v>0</v>
      </c>
      <c r="X23" s="314" t="n">
        <f aca="false">EXP(0.585+(0.102*J23)+(0.007*P23)-(0.001*V23)+(0.008*O23)-2.723)</f>
        <v>3.51050149770046</v>
      </c>
      <c r="Y23" s="314" t="n">
        <f aca="false">(X23/(1+X23))</f>
        <v>0.778295162852774</v>
      </c>
      <c r="Z23" s="314" t="n">
        <f aca="false">EXP(1.741+(0.011*P23)-(0.002*V23)+(0.275*J23)-1.952)</f>
        <v>12.1278789681977</v>
      </c>
      <c r="AA23" s="314" t="n">
        <f aca="false">(Z23/(1+Z23))</f>
        <v>0.923826232522215</v>
      </c>
      <c r="AB23" s="304" t="n">
        <v>36</v>
      </c>
      <c r="AC23" s="273" t="n">
        <v>1</v>
      </c>
      <c r="AD23" s="315"/>
      <c r="AE23" s="315"/>
      <c r="AF23" s="315"/>
      <c r="AG23" s="316" t="n">
        <v>45434.2611111111</v>
      </c>
      <c r="AH23" s="316" t="n">
        <v>45434.2686111111</v>
      </c>
      <c r="AI23" s="309" t="n">
        <f aca="false">(AH23-AG23)*24</f>
        <v>0.18</v>
      </c>
      <c r="AJ23" s="318" t="n">
        <v>1</v>
      </c>
      <c r="AK23" s="315"/>
      <c r="AL23" s="315"/>
      <c r="AM23" s="315"/>
      <c r="AN23" s="318"/>
      <c r="AO23" s="318" t="n">
        <f aca="false">(AG23-$AO$7)*24</f>
        <v>22.7666666666667</v>
      </c>
      <c r="AP23" s="318" t="n">
        <f aca="false">AO23+35</f>
        <v>57.7666666666667</v>
      </c>
      <c r="AQ23" s="273" t="n">
        <v>5</v>
      </c>
      <c r="AR23" s="273" t="n">
        <v>1</v>
      </c>
      <c r="AS23" s="273" t="s">
        <v>815</v>
      </c>
      <c r="AT23" s="275" t="n">
        <v>45435.625</v>
      </c>
      <c r="AU23" s="319" t="s">
        <v>818</v>
      </c>
      <c r="AV23" s="19"/>
      <c r="AW23" s="277"/>
      <c r="AX23" s="277"/>
      <c r="AY23" s="277"/>
      <c r="AZ23" s="354"/>
      <c r="BA23" s="278"/>
      <c r="BB23" s="279"/>
      <c r="BC23" s="280"/>
      <c r="BD23" s="277"/>
      <c r="BE23" s="277"/>
      <c r="BF23" s="277"/>
      <c r="BG23" s="280"/>
      <c r="BH23" s="19"/>
      <c r="BI23" s="19"/>
      <c r="BJ23" s="260" t="n">
        <v>1</v>
      </c>
      <c r="BK23" s="273" t="n">
        <v>2</v>
      </c>
      <c r="BL23" s="273"/>
      <c r="BM23" s="273" t="s">
        <v>812</v>
      </c>
      <c r="BN23" s="281" t="s">
        <v>819</v>
      </c>
      <c r="BO23" s="273" t="n">
        <v>2</v>
      </c>
      <c r="BP23" s="265" t="n">
        <v>45586</v>
      </c>
      <c r="BQ23" s="282" t="n">
        <f aca="false">AT23+145</f>
        <v>45580.625</v>
      </c>
      <c r="BR23" s="283" t="n">
        <f aca="false">BP23-AT23</f>
        <v>150.375</v>
      </c>
      <c r="BS23" s="283" t="s">
        <v>35</v>
      </c>
      <c r="BT23" s="281" t="s">
        <v>819</v>
      </c>
      <c r="BU23" s="284" t="n">
        <v>3.1323</v>
      </c>
      <c r="BV23" s="284" t="n">
        <v>0.829</v>
      </c>
      <c r="BW23" s="284" t="n">
        <v>0.2</v>
      </c>
      <c r="BX23" s="284" t="n">
        <v>0.2</v>
      </c>
      <c r="BY23" s="284" t="n">
        <v>0.65939</v>
      </c>
      <c r="BZ23" s="284" t="n">
        <v>0.84514</v>
      </c>
      <c r="CA23" s="284" t="n">
        <v>1.1</v>
      </c>
      <c r="CB23" s="284" t="n">
        <v>2.1436</v>
      </c>
      <c r="CC23" s="284" t="n">
        <v>2.8471</v>
      </c>
      <c r="CD23" s="284" t="n">
        <v>2.6624</v>
      </c>
      <c r="CE23" s="284" t="n">
        <v>1.7511</v>
      </c>
      <c r="CF23" s="325" t="s">
        <v>55</v>
      </c>
      <c r="CG23" s="327" t="s">
        <v>815</v>
      </c>
      <c r="CH23" s="325" t="s">
        <v>55</v>
      </c>
      <c r="CI23" s="326" t="s">
        <v>815</v>
      </c>
      <c r="CJ23" s="289" t="n">
        <v>0.546706</v>
      </c>
      <c r="CK23" s="290" t="n">
        <v>0.324753960530122</v>
      </c>
      <c r="CL23" s="290" t="n">
        <v>1.19621392106024</v>
      </c>
      <c r="CM23" s="325" t="s">
        <v>55</v>
      </c>
      <c r="CN23" s="327" t="s">
        <v>815</v>
      </c>
      <c r="CO23" s="291" t="s">
        <v>816</v>
      </c>
      <c r="CP23" s="285" t="s">
        <v>810</v>
      </c>
      <c r="CQ23" s="292" t="n">
        <v>5</v>
      </c>
      <c r="CR23" s="333" t="n">
        <v>48</v>
      </c>
      <c r="CS23" s="294" t="n">
        <f aca="false">$CS$7+(CR23/24)</f>
        <v>45435.25</v>
      </c>
      <c r="CT23" s="295" t="n">
        <v>2</v>
      </c>
      <c r="CU23" s="296" t="n">
        <v>0.30764</v>
      </c>
      <c r="CV23" s="297" t="n">
        <f aca="false">(CS23-AG23)*24</f>
        <v>23.7333333333333</v>
      </c>
      <c r="CW23" s="281" t="s">
        <v>819</v>
      </c>
      <c r="CX23" s="320" t="n">
        <f aca="false">(AT23-CS23)*24</f>
        <v>9</v>
      </c>
      <c r="CY23" s="299" t="s">
        <v>812</v>
      </c>
      <c r="CZ23" s="260" t="s">
        <v>185</v>
      </c>
      <c r="DA23" s="304" t="n">
        <v>36</v>
      </c>
      <c r="DB23" s="306" t="s">
        <v>294</v>
      </c>
      <c r="DD23" s="358"/>
      <c r="DE23" s="329"/>
      <c r="DF23" s="329"/>
      <c r="DG23" s="329"/>
      <c r="DH23" s="343"/>
    </row>
    <row r="24" customFormat="false" ht="15.75" hidden="false" customHeight="true" outlineLevel="0" collapsed="false">
      <c r="A24" s="273" t="s">
        <v>185</v>
      </c>
      <c r="B24" s="304" t="n">
        <v>42</v>
      </c>
      <c r="C24" s="305" t="n">
        <v>16262702125</v>
      </c>
      <c r="D24" s="306" t="s">
        <v>266</v>
      </c>
      <c r="E24" s="306" t="s">
        <v>267</v>
      </c>
      <c r="F24" s="305" t="s">
        <v>268</v>
      </c>
      <c r="G24" s="305" t="n">
        <v>88221</v>
      </c>
      <c r="H24" s="307"/>
      <c r="I24" s="308" t="n">
        <v>43743</v>
      </c>
      <c r="J24" s="309" t="n">
        <v>4.63013698630137</v>
      </c>
      <c r="K24" s="308" t="n">
        <v>45206</v>
      </c>
      <c r="L24" s="310" t="n">
        <v>74.6</v>
      </c>
      <c r="M24" s="310" t="n">
        <v>4</v>
      </c>
      <c r="N24" s="310" t="n">
        <v>4</v>
      </c>
      <c r="O24" s="311" t="n">
        <v>227</v>
      </c>
      <c r="P24" s="312" t="n">
        <v>337</v>
      </c>
      <c r="Q24" s="312" t="n">
        <v>3307</v>
      </c>
      <c r="R24" s="312" t="n">
        <v>2407</v>
      </c>
      <c r="S24" s="312" t="n">
        <v>2272</v>
      </c>
      <c r="T24" s="312" t="n">
        <v>1438</v>
      </c>
      <c r="U24" s="312" t="n">
        <v>1456</v>
      </c>
      <c r="V24" s="312" t="n">
        <v>1658</v>
      </c>
      <c r="W24" s="313" t="n">
        <v>-332</v>
      </c>
      <c r="X24" s="314" t="n">
        <f aca="false">EXP(1.204+(0.102*J24)+(0.007*P24)-(0.001*V24)+(0.008*O24)-2.723)</f>
        <v>4.35042687557811</v>
      </c>
      <c r="Y24" s="314" t="n">
        <f aca="false">(X24/(1+X24))</f>
        <v>0.813099024946126</v>
      </c>
      <c r="Z24" s="314" t="n">
        <f aca="false">EXP(2.859+(0.011*P24)-(0.002*V24)+(0.275*J24)-1.952)</f>
        <v>13.0826597640554</v>
      </c>
      <c r="AA24" s="314" t="n">
        <f aca="false">(Z24/(1+Z24))</f>
        <v>0.928990686649094</v>
      </c>
      <c r="AB24" s="304" t="n">
        <v>42</v>
      </c>
      <c r="AC24" s="273" t="n">
        <v>3</v>
      </c>
      <c r="AD24" s="315"/>
      <c r="AE24" s="315"/>
      <c r="AF24" s="315"/>
      <c r="AG24" s="317" t="n">
        <v>45434.5951041667</v>
      </c>
      <c r="AH24" s="317" t="n">
        <v>45435.6835532407</v>
      </c>
      <c r="AI24" s="309" t="n">
        <f aca="false">(AH24-AG24)*24</f>
        <v>26.1227777777778</v>
      </c>
      <c r="AJ24" s="318" t="n">
        <v>26.1227777778986</v>
      </c>
      <c r="AK24" s="315"/>
      <c r="AL24" s="315"/>
      <c r="AM24" s="315"/>
      <c r="AN24" s="318"/>
      <c r="AO24" s="318" t="n">
        <f aca="false">(AG24-$AO$7)*24</f>
        <v>30.7825</v>
      </c>
      <c r="AP24" s="318" t="n">
        <f aca="false">AO24+35</f>
        <v>65.7825</v>
      </c>
      <c r="AQ24" s="273" t="n">
        <v>4</v>
      </c>
      <c r="AR24" s="273" t="n">
        <v>1</v>
      </c>
      <c r="AS24" s="273" t="s">
        <v>815</v>
      </c>
      <c r="AT24" s="275" t="n">
        <v>45435.625</v>
      </c>
      <c r="AU24" s="276" t="s">
        <v>811</v>
      </c>
      <c r="AV24" s="19"/>
      <c r="AW24" s="277"/>
      <c r="AX24" s="277"/>
      <c r="AY24" s="277"/>
      <c r="AZ24" s="354"/>
      <c r="BA24" s="278"/>
      <c r="BB24" s="279"/>
      <c r="BC24" s="280"/>
      <c r="BD24" s="277"/>
      <c r="BE24" s="277"/>
      <c r="BF24" s="277"/>
      <c r="BG24" s="280"/>
      <c r="BH24" s="19"/>
      <c r="BI24" s="19"/>
      <c r="BJ24" s="260" t="n">
        <v>1</v>
      </c>
      <c r="BK24" s="273" t="n">
        <v>2</v>
      </c>
      <c r="BL24" s="273"/>
      <c r="BM24" s="273" t="s">
        <v>812</v>
      </c>
      <c r="BN24" s="281" t="s">
        <v>819</v>
      </c>
      <c r="BO24" s="273" t="n">
        <v>2</v>
      </c>
      <c r="BP24" s="265" t="n">
        <v>45583</v>
      </c>
      <c r="BQ24" s="282" t="n">
        <f aca="false">AT24+145</f>
        <v>45580.625</v>
      </c>
      <c r="BR24" s="283" t="n">
        <f aca="false">BP24-AT24</f>
        <v>147.375</v>
      </c>
      <c r="BS24" s="283" t="s">
        <v>35</v>
      </c>
      <c r="BT24" s="281" t="s">
        <v>819</v>
      </c>
      <c r="BU24" s="284" t="n">
        <v>3.8188</v>
      </c>
      <c r="BV24" s="284" t="n">
        <v>0.44162</v>
      </c>
      <c r="BW24" s="284" t="n">
        <v>0.31</v>
      </c>
      <c r="BX24" s="284" t="n">
        <v>0.3485</v>
      </c>
      <c r="BY24" s="284" t="n">
        <v>0.5018</v>
      </c>
      <c r="BZ24" s="284" t="n">
        <v>0.63711</v>
      </c>
      <c r="CA24" s="284" t="n">
        <v>0.98879</v>
      </c>
      <c r="CB24" s="284" t="n">
        <v>0.80716</v>
      </c>
      <c r="CC24" s="284" t="n">
        <v>2.6338</v>
      </c>
      <c r="CD24" s="284" t="n">
        <v>3.0728</v>
      </c>
      <c r="CE24" s="284" t="n">
        <v>3.3822</v>
      </c>
      <c r="CF24" s="325" t="s">
        <v>55</v>
      </c>
      <c r="CG24" s="327" t="s">
        <v>815</v>
      </c>
      <c r="CH24" s="325" t="s">
        <v>55</v>
      </c>
      <c r="CI24" s="326" t="s">
        <v>815</v>
      </c>
      <c r="CJ24" s="289" t="n">
        <v>0.447806</v>
      </c>
      <c r="CK24" s="290" t="n">
        <v>0.130040184481567</v>
      </c>
      <c r="CL24" s="290" t="n">
        <v>0.707886368963134</v>
      </c>
      <c r="CM24" s="325" t="s">
        <v>55</v>
      </c>
      <c r="CN24" s="327" t="s">
        <v>815</v>
      </c>
      <c r="CO24" s="291" t="s">
        <v>816</v>
      </c>
      <c r="CP24" s="285" t="s">
        <v>810</v>
      </c>
      <c r="CQ24" s="292" t="n">
        <v>4</v>
      </c>
      <c r="CR24" s="333" t="n">
        <v>48</v>
      </c>
      <c r="CS24" s="294" t="n">
        <f aca="false">$CS$7+(CR24/24)</f>
        <v>45435.25</v>
      </c>
      <c r="CT24" s="295" t="n">
        <v>1.5</v>
      </c>
      <c r="CU24" s="296" t="n">
        <v>0.40549</v>
      </c>
      <c r="CV24" s="297" t="n">
        <f aca="false">(CS24-AG24)*24</f>
        <v>15.7175</v>
      </c>
      <c r="CW24" s="281" t="s">
        <v>819</v>
      </c>
      <c r="CX24" s="320" t="n">
        <f aca="false">(AT24-CS24)*24</f>
        <v>9</v>
      </c>
      <c r="CY24" s="299" t="s">
        <v>812</v>
      </c>
      <c r="CZ24" s="260" t="s">
        <v>185</v>
      </c>
      <c r="DA24" s="304" t="n">
        <v>42</v>
      </c>
      <c r="DB24" s="306" t="s">
        <v>266</v>
      </c>
      <c r="DD24" s="300" t="s">
        <v>837</v>
      </c>
      <c r="DE24" s="301" t="e">
        <f aca="false">DE25+DE29</f>
        <v>#REF!</v>
      </c>
      <c r="DF24" s="343"/>
      <c r="DG24" s="343"/>
      <c r="DH24" s="343"/>
    </row>
    <row r="25" customFormat="false" ht="15.75" hidden="false" customHeight="true" outlineLevel="0" collapsed="false">
      <c r="A25" s="273" t="s">
        <v>185</v>
      </c>
      <c r="B25" s="304" t="n">
        <v>45</v>
      </c>
      <c r="C25" s="305" t="n">
        <v>16262702159</v>
      </c>
      <c r="D25" s="306" t="s">
        <v>203</v>
      </c>
      <c r="E25" s="306" t="s">
        <v>204</v>
      </c>
      <c r="F25" s="305" t="s">
        <v>205</v>
      </c>
      <c r="G25" s="305" t="n">
        <v>88174</v>
      </c>
      <c r="H25" s="307"/>
      <c r="I25" s="308" t="n">
        <v>43744</v>
      </c>
      <c r="J25" s="309" t="n">
        <v>4.62739726027397</v>
      </c>
      <c r="K25" s="308" t="n">
        <v>45202</v>
      </c>
      <c r="L25" s="310" t="n">
        <v>77.5</v>
      </c>
      <c r="M25" s="310" t="n">
        <v>3</v>
      </c>
      <c r="N25" s="310" t="n">
        <v>3</v>
      </c>
      <c r="O25" s="311" t="n">
        <v>231</v>
      </c>
      <c r="P25" s="312" t="n">
        <v>337</v>
      </c>
      <c r="Q25" s="312" t="n">
        <v>3069</v>
      </c>
      <c r="R25" s="312" t="n">
        <v>2900</v>
      </c>
      <c r="S25" s="312" t="n">
        <v>2612</v>
      </c>
      <c r="T25" s="312" t="n">
        <v>1889</v>
      </c>
      <c r="U25" s="312" t="n">
        <v>1232</v>
      </c>
      <c r="V25" s="312" t="n">
        <v>1658</v>
      </c>
      <c r="W25" s="313" t="n">
        <v>-33</v>
      </c>
      <c r="X25" s="314" t="n">
        <f aca="false">EXP(0.585+(0.102*J25)+(0.007*P25)-(0.001*V25)+(0.008*O25)-2.723)</f>
        <v>2.41813001537855</v>
      </c>
      <c r="Y25" s="314" t="n">
        <f aca="false">(X25/(1+X25))</f>
        <v>0.707442374777762</v>
      </c>
      <c r="Z25" s="314" t="n">
        <f aca="false">EXP(1.741+(0.011*P25)-(0.002*V25)+(0.275*J25)-1.952)</f>
        <v>4.27393199982638</v>
      </c>
      <c r="AA25" s="314" t="n">
        <f aca="false">(Z25/(1+Z25))</f>
        <v>0.810388150618377</v>
      </c>
      <c r="AB25" s="304" t="n">
        <v>45</v>
      </c>
      <c r="AC25" s="273" t="n">
        <v>21</v>
      </c>
      <c r="AD25" s="315"/>
      <c r="AE25" s="315"/>
      <c r="AF25" s="315"/>
      <c r="AG25" s="317" t="n">
        <v>45435.6732523148</v>
      </c>
      <c r="AH25" s="317" t="n">
        <v>45435.8885069444</v>
      </c>
      <c r="AI25" s="309" t="n">
        <f aca="false">(AH25-AG25)*24</f>
        <v>5.16611111111111</v>
      </c>
      <c r="AJ25" s="318" t="n">
        <v>5.16611111105885</v>
      </c>
      <c r="AK25" s="315"/>
      <c r="AL25" s="315"/>
      <c r="AM25" s="315"/>
      <c r="AN25" s="318"/>
      <c r="AO25" s="318" t="n">
        <f aca="false">(AG25-$AO$7)*24</f>
        <v>56.6580555555556</v>
      </c>
      <c r="AP25" s="318" t="n">
        <f aca="false">AO25+35</f>
        <v>91.6580555555556</v>
      </c>
      <c r="AQ25" s="273" t="n">
        <v>8</v>
      </c>
      <c r="AR25" s="273" t="n">
        <v>2</v>
      </c>
      <c r="AS25" s="272" t="s">
        <v>810</v>
      </c>
      <c r="AT25" s="275" t="n">
        <v>45435.625</v>
      </c>
      <c r="AU25" s="319" t="s">
        <v>838</v>
      </c>
      <c r="AV25" s="19" t="n">
        <v>21</v>
      </c>
      <c r="AW25" s="278" t="n">
        <v>45448.7446296296</v>
      </c>
      <c r="AX25" s="354" t="n">
        <v>45456.4585763889</v>
      </c>
      <c r="AY25" s="279" t="n">
        <f aca="false">(AX25-AW25)*24</f>
        <v>185.134722222222</v>
      </c>
      <c r="AZ25" s="278" t="n">
        <v>45448.7446296296</v>
      </c>
      <c r="BA25" s="278" t="n">
        <v>45448.7446296296</v>
      </c>
      <c r="BB25" s="279" t="n">
        <f aca="false">(BA25-AZ25)*24</f>
        <v>0</v>
      </c>
      <c r="BC25" s="280" t="n">
        <v>1</v>
      </c>
      <c r="BD25" s="354" t="n">
        <v>45456.4585532407</v>
      </c>
      <c r="BE25" s="354" t="n">
        <v>45456.4585763889</v>
      </c>
      <c r="BF25" s="279" t="n">
        <f aca="false">(BE25-BD25)*24</f>
        <v>0.000555555555555556</v>
      </c>
      <c r="BG25" s="280" t="n">
        <v>1</v>
      </c>
      <c r="BH25" s="19" t="n">
        <v>4</v>
      </c>
      <c r="BI25" s="19" t="n">
        <v>2</v>
      </c>
      <c r="BJ25" s="260" t="n">
        <v>1</v>
      </c>
      <c r="BK25" s="273" t="n">
        <v>1</v>
      </c>
      <c r="BL25" s="273"/>
      <c r="BM25" s="273" t="s">
        <v>812</v>
      </c>
      <c r="BN25" s="281" t="s">
        <v>839</v>
      </c>
      <c r="BO25" s="273" t="n">
        <v>2</v>
      </c>
      <c r="BP25" s="265" t="n">
        <v>45581</v>
      </c>
      <c r="BQ25" s="282" t="n">
        <f aca="false">AT25+145</f>
        <v>45580.625</v>
      </c>
      <c r="BR25" s="283" t="n">
        <f aca="false">BP25-AT25</f>
        <v>145.375</v>
      </c>
      <c r="BS25" s="283" t="s">
        <v>35</v>
      </c>
      <c r="BT25" s="281" t="s">
        <v>839</v>
      </c>
      <c r="BU25" s="284" t="n">
        <v>0.2</v>
      </c>
      <c r="BV25" s="284" t="n">
        <v>0.2</v>
      </c>
      <c r="BW25" s="284" t="n">
        <v>0.2</v>
      </c>
      <c r="BX25" s="284" t="n">
        <v>0.2</v>
      </c>
      <c r="BY25" s="284" t="n">
        <v>0.37709</v>
      </c>
      <c r="BZ25" s="284" t="n">
        <v>0.2</v>
      </c>
      <c r="CA25" s="284" t="n">
        <v>0.86175</v>
      </c>
      <c r="CB25" s="284" t="n">
        <v>1.5979</v>
      </c>
      <c r="CC25" s="284" t="n">
        <v>2.0351</v>
      </c>
      <c r="CD25" s="284" t="n">
        <v>3.347</v>
      </c>
      <c r="CE25" s="284" t="n">
        <v>3.4647</v>
      </c>
      <c r="CF25" s="285" t="s">
        <v>814</v>
      </c>
      <c r="CG25" s="286" t="s">
        <v>815</v>
      </c>
      <c r="CH25" s="285" t="s">
        <v>814</v>
      </c>
      <c r="CI25" s="288" t="s">
        <v>815</v>
      </c>
      <c r="CJ25" s="289" t="n">
        <v>0.229515</v>
      </c>
      <c r="CK25" s="290" t="n">
        <v>0.0722966897582456</v>
      </c>
      <c r="CL25" s="290" t="n">
        <v>0.374108379516491</v>
      </c>
      <c r="CM25" s="285" t="s">
        <v>814</v>
      </c>
      <c r="CN25" s="286" t="s">
        <v>815</v>
      </c>
      <c r="CO25" s="291" t="s">
        <v>816</v>
      </c>
      <c r="CP25" s="285" t="s">
        <v>810</v>
      </c>
      <c r="CQ25" s="292" t="n">
        <v>4</v>
      </c>
      <c r="CR25" s="293" t="n">
        <v>60</v>
      </c>
      <c r="CS25" s="294" t="n">
        <f aca="false">$CS$7+(CR25/24)</f>
        <v>45435.75</v>
      </c>
      <c r="CT25" s="295" t="n">
        <v>1.5</v>
      </c>
      <c r="CU25" s="296" t="n">
        <v>0.16742</v>
      </c>
      <c r="CV25" s="297" t="n">
        <f aca="false">(CS25-AG25)*24</f>
        <v>1.84194444444444</v>
      </c>
      <c r="CW25" s="281" t="s">
        <v>819</v>
      </c>
      <c r="CX25" s="320" t="n">
        <f aca="false">(AT25-CS25)*24</f>
        <v>-3</v>
      </c>
      <c r="CY25" s="299" t="s">
        <v>812</v>
      </c>
      <c r="CZ25" s="260" t="s">
        <v>185</v>
      </c>
      <c r="DA25" s="304" t="n">
        <v>45</v>
      </c>
      <c r="DB25" s="306" t="s">
        <v>203</v>
      </c>
      <c r="DD25" s="321" t="s">
        <v>814</v>
      </c>
      <c r="DE25" s="322" t="e">
        <f aca="false">COUNTIF(#REF!,"=NC")</f>
        <v>#REF!</v>
      </c>
      <c r="DF25" s="322" t="e">
        <f aca="false">COUNTIF(#REF!,"=Oui")</f>
        <v>#REF!</v>
      </c>
      <c r="DG25" s="323" t="s">
        <v>820</v>
      </c>
      <c r="DH25" s="323" t="s">
        <v>816</v>
      </c>
      <c r="DI25" s="324" t="e">
        <f aca="false">COUNTIF(#REF!,"=CN")</f>
        <v>#REF!</v>
      </c>
    </row>
    <row r="26" customFormat="false" ht="15.75" hidden="false" customHeight="true" outlineLevel="0" collapsed="false">
      <c r="A26" s="273" t="s">
        <v>185</v>
      </c>
      <c r="B26" s="304" t="n">
        <v>47</v>
      </c>
      <c r="C26" s="305" t="n">
        <v>16262702169</v>
      </c>
      <c r="D26" s="306" t="s">
        <v>309</v>
      </c>
      <c r="E26" s="306" t="s">
        <v>310</v>
      </c>
      <c r="F26" s="305" t="s">
        <v>311</v>
      </c>
      <c r="G26" s="305" t="n">
        <v>89289</v>
      </c>
      <c r="H26" s="307"/>
      <c r="I26" s="308" t="n">
        <v>43744</v>
      </c>
      <c r="J26" s="309" t="n">
        <v>4.62739726027397</v>
      </c>
      <c r="K26" s="308" t="n">
        <v>45204</v>
      </c>
      <c r="L26" s="310" t="n">
        <v>72.2</v>
      </c>
      <c r="M26" s="310" t="n">
        <v>3.75</v>
      </c>
      <c r="N26" s="310" t="n">
        <v>3.5</v>
      </c>
      <c r="O26" s="311" t="n">
        <v>229</v>
      </c>
      <c r="P26" s="312" t="n">
        <v>223</v>
      </c>
      <c r="Q26" s="312" t="n">
        <v>2741</v>
      </c>
      <c r="R26" s="312" t="n">
        <v>1450</v>
      </c>
      <c r="S26" s="312" t="n">
        <v>994</v>
      </c>
      <c r="T26" s="312" t="n">
        <v>930</v>
      </c>
      <c r="U26" s="312" t="n">
        <v>868</v>
      </c>
      <c r="V26" s="312" t="n">
        <v>772</v>
      </c>
      <c r="W26" s="313" t="n">
        <v>0</v>
      </c>
      <c r="X26" s="314" t="n">
        <f aca="false">EXP(1.204+(0.102*J26)+(0.007*P26)-(0.001*V26)+(0.008*O26)-2.723)</f>
        <v>4.82588684777</v>
      </c>
      <c r="Y26" s="314" t="n">
        <f aca="false">(X26/(1+X26))</f>
        <v>0.828352313367917</v>
      </c>
      <c r="Z26" s="314" t="n">
        <f aca="false">EXP(2.859+(0.011*P26)-(0.002*V26)+(0.275*J26)-1.952)</f>
        <v>21.944888595067</v>
      </c>
      <c r="AA26" s="314" t="n">
        <f aca="false">(Z26/(1+Z26))</f>
        <v>0.956417308549714</v>
      </c>
      <c r="AB26" s="304" t="n">
        <v>47</v>
      </c>
      <c r="AC26" s="273" t="n">
        <v>17</v>
      </c>
      <c r="AD26" s="315"/>
      <c r="AE26" s="315"/>
      <c r="AF26" s="315"/>
      <c r="AG26" s="317" t="n">
        <v>45435.4617592593</v>
      </c>
      <c r="AH26" s="317" t="n">
        <v>45435.6110532407</v>
      </c>
      <c r="AI26" s="309" t="n">
        <f aca="false">(AH26-AG26)*24</f>
        <v>3.58305555555556</v>
      </c>
      <c r="AJ26" s="318" t="n">
        <v>3.58305555547122</v>
      </c>
      <c r="AK26" s="315"/>
      <c r="AL26" s="315"/>
      <c r="AM26" s="315"/>
      <c r="AN26" s="318"/>
      <c r="AO26" s="318" t="n">
        <f aca="false">(AG26-$AO$7)*24</f>
        <v>51.5822222222222</v>
      </c>
      <c r="AP26" s="318" t="n">
        <f aca="false">AO26+35</f>
        <v>86.5822222222222</v>
      </c>
      <c r="AQ26" s="273" t="n">
        <v>2</v>
      </c>
      <c r="AR26" s="273" t="n">
        <v>2</v>
      </c>
      <c r="AS26" s="273" t="s">
        <v>815</v>
      </c>
      <c r="AT26" s="275" t="n">
        <v>45435.625</v>
      </c>
      <c r="AU26" s="276" t="s">
        <v>811</v>
      </c>
      <c r="AV26" s="19"/>
      <c r="AW26" s="278"/>
      <c r="AX26" s="354"/>
      <c r="AY26" s="279"/>
      <c r="AZ26" s="278"/>
      <c r="BA26" s="278"/>
      <c r="BB26" s="279"/>
      <c r="BC26" s="280"/>
      <c r="BD26" s="354"/>
      <c r="BE26" s="354"/>
      <c r="BF26" s="279"/>
      <c r="BG26" s="280"/>
      <c r="BH26" s="19"/>
      <c r="BI26" s="19"/>
      <c r="BJ26" s="260" t="n">
        <v>1</v>
      </c>
      <c r="BK26" s="273" t="n">
        <v>2</v>
      </c>
      <c r="BL26" s="273"/>
      <c r="BM26" s="273" t="s">
        <v>812</v>
      </c>
      <c r="BN26" s="281" t="s">
        <v>819</v>
      </c>
      <c r="BO26" s="273" t="n">
        <v>2</v>
      </c>
      <c r="BP26" s="265" t="n">
        <v>45582</v>
      </c>
      <c r="BQ26" s="282" t="n">
        <f aca="false">AT26+145</f>
        <v>45580.625</v>
      </c>
      <c r="BR26" s="283" t="n">
        <f aca="false">BP26-AT26</f>
        <v>146.375</v>
      </c>
      <c r="BS26" s="283" t="s">
        <v>35</v>
      </c>
      <c r="BT26" s="281" t="s">
        <v>819</v>
      </c>
      <c r="BU26" s="284" t="n">
        <v>3.774</v>
      </c>
      <c r="BV26" s="284" t="n">
        <v>2.9334</v>
      </c>
      <c r="BW26" s="284" t="n">
        <v>0.67102</v>
      </c>
      <c r="BX26" s="284" t="n">
        <v>0.35798</v>
      </c>
      <c r="BY26" s="284" t="n">
        <v>0.78418</v>
      </c>
      <c r="BZ26" s="284" t="n">
        <v>0.77462</v>
      </c>
      <c r="CA26" s="284" t="n">
        <v>0.78099</v>
      </c>
      <c r="CB26" s="284" t="n">
        <v>1.5714</v>
      </c>
      <c r="CC26" s="284" t="n">
        <v>2.4333</v>
      </c>
      <c r="CD26" s="284" t="n">
        <v>3.1624</v>
      </c>
      <c r="CE26" s="284" t="n">
        <v>3.6201</v>
      </c>
      <c r="CF26" s="325" t="s">
        <v>55</v>
      </c>
      <c r="CG26" s="327" t="s">
        <v>815</v>
      </c>
      <c r="CH26" s="325" t="s">
        <v>55</v>
      </c>
      <c r="CI26" s="326" t="s">
        <v>815</v>
      </c>
      <c r="CJ26" s="289" t="n">
        <v>0.64695</v>
      </c>
      <c r="CK26" s="290" t="n">
        <v>0.199344532238367</v>
      </c>
      <c r="CL26" s="290" t="n">
        <v>1.04563906447673</v>
      </c>
      <c r="CM26" s="325" t="s">
        <v>55</v>
      </c>
      <c r="CN26" s="327" t="s">
        <v>815</v>
      </c>
      <c r="CO26" s="291" t="s">
        <v>816</v>
      </c>
      <c r="CP26" s="285" t="s">
        <v>810</v>
      </c>
      <c r="CQ26" s="292" t="n">
        <v>5</v>
      </c>
      <c r="CR26" s="333" t="n">
        <v>48</v>
      </c>
      <c r="CS26" s="294" t="n">
        <f aca="false">$CS$7+(CR26/24)</f>
        <v>45435.25</v>
      </c>
      <c r="CT26" s="295" t="n">
        <v>2</v>
      </c>
      <c r="CU26" s="296" t="n">
        <v>0.3369</v>
      </c>
      <c r="CV26" s="297" t="n">
        <f aca="false">(CS26-AG26)*24</f>
        <v>-5.08222222236278</v>
      </c>
      <c r="CW26" s="281" t="s">
        <v>819</v>
      </c>
      <c r="CX26" s="320" t="n">
        <f aca="false">(AT26-CS26)*24</f>
        <v>9</v>
      </c>
      <c r="CY26" s="299" t="s">
        <v>812</v>
      </c>
      <c r="CZ26" s="260" t="s">
        <v>185</v>
      </c>
      <c r="DA26" s="304" t="n">
        <v>47</v>
      </c>
      <c r="DB26" s="306" t="s">
        <v>309</v>
      </c>
      <c r="DD26" s="328"/>
      <c r="DE26" s="301"/>
      <c r="DF26" s="301"/>
      <c r="DG26" s="329"/>
      <c r="DH26" s="329" t="s">
        <v>822</v>
      </c>
      <c r="DI26" s="330" t="e">
        <f aca="false">COUNTIF(#REF!,"=CC")</f>
        <v>#REF!</v>
      </c>
    </row>
    <row r="27" customFormat="false" ht="15.75" hidden="false" customHeight="true" outlineLevel="0" collapsed="false">
      <c r="A27" s="273" t="s">
        <v>185</v>
      </c>
      <c r="B27" s="304" t="n">
        <v>49</v>
      </c>
      <c r="C27" s="305" t="n">
        <v>16262702221</v>
      </c>
      <c r="D27" s="306" t="s">
        <v>315</v>
      </c>
      <c r="E27" s="306" t="s">
        <v>316</v>
      </c>
      <c r="F27" s="305" t="s">
        <v>317</v>
      </c>
      <c r="G27" s="305" t="n">
        <v>89217</v>
      </c>
      <c r="H27" s="307"/>
      <c r="I27" s="308" t="n">
        <v>43745</v>
      </c>
      <c r="J27" s="309" t="n">
        <v>4.62465753424658</v>
      </c>
      <c r="K27" s="308" t="n">
        <v>45204</v>
      </c>
      <c r="L27" s="310" t="n">
        <v>84.4</v>
      </c>
      <c r="M27" s="310" t="n">
        <v>4</v>
      </c>
      <c r="N27" s="310" t="n">
        <v>4</v>
      </c>
      <c r="O27" s="311" t="n">
        <v>229</v>
      </c>
      <c r="P27" s="312" t="n">
        <v>249</v>
      </c>
      <c r="Q27" s="312" t="n">
        <v>2890</v>
      </c>
      <c r="R27" s="312" t="n">
        <v>1827</v>
      </c>
      <c r="S27" s="312" t="n">
        <v>1675</v>
      </c>
      <c r="T27" s="312" t="n">
        <v>1071</v>
      </c>
      <c r="U27" s="312" t="n">
        <v>1176</v>
      </c>
      <c r="V27" s="312" t="n">
        <v>1086</v>
      </c>
      <c r="W27" s="313" t="n">
        <v>-140</v>
      </c>
      <c r="X27" s="314" t="n">
        <f aca="false">EXP(1.204+(0.102*J27)+(0.007*P27)-(0.001*V27)+(0.008*O27)-2.723)</f>
        <v>4.22794081046557</v>
      </c>
      <c r="Y27" s="314" t="n">
        <f aca="false">(X27/(1+X27))</f>
        <v>0.80872009912619</v>
      </c>
      <c r="Z27" s="314" t="n">
        <f aca="false">EXP(2.859+(0.011*P27)-(0.002*V27)+(0.275*J27)-1.952)</f>
        <v>15.5767718698594</v>
      </c>
      <c r="AA27" s="314" t="n">
        <f aca="false">(Z27/(1+Z27))</f>
        <v>0.939674623753601</v>
      </c>
      <c r="AB27" s="304" t="n">
        <v>49</v>
      </c>
      <c r="AC27" s="273" t="n">
        <v>23</v>
      </c>
      <c r="AD27" s="315"/>
      <c r="AE27" s="315"/>
      <c r="AF27" s="315"/>
      <c r="AG27" s="317" t="n">
        <v>45435.7118402778</v>
      </c>
      <c r="AH27" s="317" t="n">
        <v>45435.7118402778</v>
      </c>
      <c r="AI27" s="309" t="n">
        <f aca="false">(AH27-AG27)*24</f>
        <v>0</v>
      </c>
      <c r="AJ27" s="318" t="n">
        <v>1</v>
      </c>
      <c r="AK27" s="315"/>
      <c r="AL27" s="315"/>
      <c r="AM27" s="315"/>
      <c r="AN27" s="318"/>
      <c r="AO27" s="318" t="n">
        <f aca="false">(AG27-$AO$7)*24</f>
        <v>57.5841666666667</v>
      </c>
      <c r="AP27" s="318" t="n">
        <f aca="false">AO27+35</f>
        <v>92.5841666666667</v>
      </c>
      <c r="AQ27" s="273" t="n">
        <v>1</v>
      </c>
      <c r="AR27" s="273" t="n">
        <v>1</v>
      </c>
      <c r="AS27" s="272" t="s">
        <v>810</v>
      </c>
      <c r="AT27" s="275" t="n">
        <v>45435.625</v>
      </c>
      <c r="AU27" s="276" t="s">
        <v>811</v>
      </c>
      <c r="AV27" s="19"/>
      <c r="AW27" s="278"/>
      <c r="AX27" s="354"/>
      <c r="AY27" s="279"/>
      <c r="AZ27" s="278"/>
      <c r="BA27" s="278"/>
      <c r="BB27" s="279"/>
      <c r="BC27" s="280"/>
      <c r="BD27" s="354"/>
      <c r="BE27" s="354"/>
      <c r="BF27" s="279"/>
      <c r="BG27" s="280"/>
      <c r="BH27" s="19"/>
      <c r="BI27" s="19"/>
      <c r="BJ27" s="260" t="n">
        <v>1</v>
      </c>
      <c r="BK27" s="273" t="n">
        <v>2</v>
      </c>
      <c r="BL27" s="273"/>
      <c r="BM27" s="273" t="s">
        <v>812</v>
      </c>
      <c r="BN27" s="281" t="s">
        <v>840</v>
      </c>
      <c r="BO27" s="273" t="n">
        <v>2</v>
      </c>
      <c r="BP27" s="265" t="n">
        <v>45583</v>
      </c>
      <c r="BQ27" s="282" t="n">
        <f aca="false">AT27+145</f>
        <v>45580.625</v>
      </c>
      <c r="BR27" s="283" t="n">
        <f aca="false">BP27-AT27</f>
        <v>147.375</v>
      </c>
      <c r="BS27" s="283" t="s">
        <v>35</v>
      </c>
      <c r="BT27" s="281" t="s">
        <v>840</v>
      </c>
      <c r="BU27" s="284" t="n">
        <v>3.8429</v>
      </c>
      <c r="BV27" s="284" t="n">
        <v>0.57589</v>
      </c>
      <c r="BW27" s="284" t="n">
        <v>0.2</v>
      </c>
      <c r="BX27" s="284" t="n">
        <v>0.80019</v>
      </c>
      <c r="BY27" s="284" t="n">
        <v>0.4579</v>
      </c>
      <c r="BZ27" s="284" t="n">
        <v>0.8034</v>
      </c>
      <c r="CA27" s="284" t="n">
        <v>1.1189</v>
      </c>
      <c r="CB27" s="284" t="n">
        <v>1.2831</v>
      </c>
      <c r="CC27" s="284" t="n">
        <v>2.1013</v>
      </c>
      <c r="CD27" s="284" t="n">
        <v>2.3946</v>
      </c>
      <c r="CE27" s="284" t="n">
        <v>3.4951</v>
      </c>
      <c r="CF27" s="325" t="s">
        <v>55</v>
      </c>
      <c r="CG27" s="327" t="s">
        <v>815</v>
      </c>
      <c r="CH27" s="325" t="s">
        <v>55</v>
      </c>
      <c r="CI27" s="326" t="s">
        <v>815</v>
      </c>
      <c r="CJ27" s="289" t="n">
        <v>0.567476</v>
      </c>
      <c r="CK27" s="290" t="n">
        <v>0.253442422119897</v>
      </c>
      <c r="CL27" s="290" t="n">
        <v>1.07436084423979</v>
      </c>
      <c r="CM27" s="325" t="s">
        <v>55</v>
      </c>
      <c r="CN27" s="327" t="s">
        <v>815</v>
      </c>
      <c r="CO27" s="291" t="s">
        <v>816</v>
      </c>
      <c r="CP27" s="285" t="s">
        <v>810</v>
      </c>
      <c r="CQ27" s="292" t="n">
        <v>4</v>
      </c>
      <c r="CR27" s="333" t="n">
        <v>60</v>
      </c>
      <c r="CS27" s="294" t="n">
        <f aca="false">$CS$7+(CR27/24)</f>
        <v>45435.75</v>
      </c>
      <c r="CT27" s="295" t="n">
        <v>1.5</v>
      </c>
      <c r="CU27" s="296" t="n">
        <v>0.24817</v>
      </c>
      <c r="CV27" s="297" t="n">
        <f aca="false">(CS27-AG27)*24</f>
        <v>0.915833333333334</v>
      </c>
      <c r="CW27" s="281" t="s">
        <v>819</v>
      </c>
      <c r="CX27" s="320" t="n">
        <f aca="false">(AT27-CS27)*24</f>
        <v>-3</v>
      </c>
      <c r="CY27" s="299" t="s">
        <v>812</v>
      </c>
      <c r="CZ27" s="260" t="s">
        <v>185</v>
      </c>
      <c r="DA27" s="304" t="n">
        <v>49</v>
      </c>
      <c r="DB27" s="306" t="s">
        <v>315</v>
      </c>
      <c r="DD27" s="328"/>
      <c r="DE27" s="301"/>
      <c r="DF27" s="301"/>
      <c r="DG27" s="329"/>
      <c r="DH27" s="329" t="s">
        <v>823</v>
      </c>
      <c r="DI27" s="330" t="e">
        <f aca="false">COUNTIF(#REF!,"=nd")</f>
        <v>#REF!</v>
      </c>
    </row>
    <row r="28" customFormat="false" ht="15.75" hidden="false" customHeight="true" outlineLevel="0" collapsed="false">
      <c r="A28" s="273" t="s">
        <v>185</v>
      </c>
      <c r="B28" s="304" t="n">
        <v>55</v>
      </c>
      <c r="C28" s="305" t="n">
        <v>16262702463</v>
      </c>
      <c r="D28" s="306" t="s">
        <v>248</v>
      </c>
      <c r="E28" s="306" t="s">
        <v>249</v>
      </c>
      <c r="F28" s="305" t="s">
        <v>250</v>
      </c>
      <c r="G28" s="305" t="n">
        <v>88205</v>
      </c>
      <c r="H28" s="307"/>
      <c r="I28" s="308" t="n">
        <v>43747</v>
      </c>
      <c r="J28" s="309" t="n">
        <v>4.61917808219178</v>
      </c>
      <c r="K28" s="308" t="n">
        <v>45206</v>
      </c>
      <c r="L28" s="310" t="n">
        <v>82</v>
      </c>
      <c r="M28" s="310" t="n">
        <v>3.25</v>
      </c>
      <c r="N28" s="310" t="n">
        <v>4</v>
      </c>
      <c r="O28" s="311" t="n">
        <v>227</v>
      </c>
      <c r="P28" s="312" t="n">
        <v>311</v>
      </c>
      <c r="Q28" s="312" t="n">
        <v>2771</v>
      </c>
      <c r="R28" s="312" t="n">
        <v>1914</v>
      </c>
      <c r="S28" s="312" t="n">
        <v>1874</v>
      </c>
      <c r="T28" s="312" t="n">
        <v>1607</v>
      </c>
      <c r="U28" s="312" t="n">
        <v>1400</v>
      </c>
      <c r="V28" s="312" t="n">
        <v>1287</v>
      </c>
      <c r="W28" s="313" t="n">
        <v>37</v>
      </c>
      <c r="X28" s="314" t="n">
        <f aca="false">EXP(1.204+(0.102*J28)+(0.007*P28)-(0.001*V28)+(0.008*O28)-2.723)</f>
        <v>5.24962247441967</v>
      </c>
      <c r="Y28" s="314" t="n">
        <f aca="false">(X28/(1+X28))</f>
        <v>0.839990334761324</v>
      </c>
      <c r="Z28" s="314" t="n">
        <f aca="false">EXP(2.859+(0.011*P28)-(0.002*V28)+(0.275*J28)-1.952)</f>
        <v>20.5790583259555</v>
      </c>
      <c r="AA28" s="314" t="n">
        <f aca="false">(Z28/(1+Z28))</f>
        <v>0.953658774868911</v>
      </c>
      <c r="AB28" s="304" t="n">
        <v>55</v>
      </c>
      <c r="AC28" s="273"/>
      <c r="AD28" s="315"/>
      <c r="AE28" s="315"/>
      <c r="AF28" s="315"/>
      <c r="AG28" s="317"/>
      <c r="AH28" s="317"/>
      <c r="AI28" s="309"/>
      <c r="AJ28" s="318"/>
      <c r="AK28" s="315"/>
      <c r="AL28" s="315"/>
      <c r="AM28" s="315"/>
      <c r="AN28" s="318"/>
      <c r="AO28" s="318"/>
      <c r="AP28" s="318"/>
      <c r="AQ28" s="273"/>
      <c r="AR28" s="273"/>
      <c r="AS28" s="272" t="s">
        <v>810</v>
      </c>
      <c r="AT28" s="275" t="n">
        <v>45435.625</v>
      </c>
      <c r="AU28" s="319" t="s">
        <v>818</v>
      </c>
      <c r="AV28" s="19"/>
      <c r="AW28" s="278"/>
      <c r="AX28" s="354"/>
      <c r="AY28" s="279"/>
      <c r="AZ28" s="278"/>
      <c r="BA28" s="278"/>
      <c r="BB28" s="279"/>
      <c r="BC28" s="280"/>
      <c r="BD28" s="354"/>
      <c r="BE28" s="354"/>
      <c r="BF28" s="279"/>
      <c r="BG28" s="280"/>
      <c r="BH28" s="19"/>
      <c r="BI28" s="19"/>
      <c r="BJ28" s="260" t="n">
        <v>1</v>
      </c>
      <c r="BK28" s="273" t="n">
        <v>1</v>
      </c>
      <c r="BL28" s="273"/>
      <c r="BM28" s="273" t="s">
        <v>812</v>
      </c>
      <c r="BN28" s="281" t="s">
        <v>813</v>
      </c>
      <c r="BO28" s="273" t="n">
        <v>1</v>
      </c>
      <c r="BP28" s="265" t="n">
        <v>45586</v>
      </c>
      <c r="BQ28" s="282" t="n">
        <f aca="false">AT28+145</f>
        <v>45580.625</v>
      </c>
      <c r="BR28" s="283" t="n">
        <f aca="false">BP28-AT28</f>
        <v>150.375</v>
      </c>
      <c r="BS28" s="283" t="s">
        <v>35</v>
      </c>
      <c r="BT28" s="281" t="s">
        <v>813</v>
      </c>
      <c r="BU28" s="284" t="n">
        <v>0.48663</v>
      </c>
      <c r="BV28" s="284" t="n">
        <v>0.40603</v>
      </c>
      <c r="BW28" s="284" t="n">
        <v>0.72571</v>
      </c>
      <c r="BX28" s="284" t="n">
        <v>1.0054</v>
      </c>
      <c r="BY28" s="284" t="n">
        <v>0.65966</v>
      </c>
      <c r="BZ28" s="284" t="n">
        <v>0.53317</v>
      </c>
      <c r="CA28" s="284" t="n">
        <v>1.1312</v>
      </c>
      <c r="CB28" s="284" t="n">
        <v>1.3208</v>
      </c>
      <c r="CC28" s="284" t="n">
        <v>2.5191</v>
      </c>
      <c r="CD28" s="284" t="n">
        <v>2.9191</v>
      </c>
      <c r="CE28" s="284" t="n">
        <v>2.9191</v>
      </c>
      <c r="CF28" s="285" t="s">
        <v>814</v>
      </c>
      <c r="CG28" s="286" t="s">
        <v>815</v>
      </c>
      <c r="CH28" s="285" t="s">
        <v>814</v>
      </c>
      <c r="CI28" s="288" t="s">
        <v>815</v>
      </c>
      <c r="CJ28" s="289" t="n">
        <v>0.56224</v>
      </c>
      <c r="CK28" s="290" t="n">
        <v>0.129592243595054</v>
      </c>
      <c r="CL28" s="290" t="n">
        <v>0.821424487190109</v>
      </c>
      <c r="CM28" s="285" t="s">
        <v>814</v>
      </c>
      <c r="CN28" s="286" t="s">
        <v>815</v>
      </c>
      <c r="CO28" s="291" t="s">
        <v>816</v>
      </c>
      <c r="CP28" s="285" t="s">
        <v>810</v>
      </c>
      <c r="CQ28" s="292" t="n">
        <v>4</v>
      </c>
      <c r="CR28" s="293" t="n">
        <v>48</v>
      </c>
      <c r="CS28" s="294" t="n">
        <f aca="false">$CS$7+(CR28/24)</f>
        <v>45435.25</v>
      </c>
      <c r="CT28" s="295" t="n">
        <v>1.5</v>
      </c>
      <c r="CU28" s="296" t="n">
        <v>0.36486</v>
      </c>
      <c r="CV28" s="297"/>
      <c r="CW28" s="281" t="s">
        <v>813</v>
      </c>
      <c r="CX28" s="320" t="n">
        <f aca="false">(AT28-CS28)*24</f>
        <v>9</v>
      </c>
      <c r="CY28" s="299" t="s">
        <v>812</v>
      </c>
      <c r="CZ28" s="260" t="s">
        <v>185</v>
      </c>
      <c r="DA28" s="304" t="n">
        <v>55</v>
      </c>
      <c r="DB28" s="306" t="s">
        <v>248</v>
      </c>
      <c r="DD28" s="328"/>
      <c r="DE28" s="301"/>
      <c r="DF28" s="301" t="e">
        <f aca="false">COUNTIF(#REF!,"=Non")</f>
        <v>#REF!</v>
      </c>
      <c r="DG28" s="329" t="s">
        <v>825</v>
      </c>
      <c r="DH28" s="329"/>
      <c r="DI28" s="334"/>
    </row>
    <row r="29" customFormat="false" ht="15.75" hidden="false" customHeight="true" outlineLevel="0" collapsed="false">
      <c r="A29" s="273" t="s">
        <v>185</v>
      </c>
      <c r="B29" s="304" t="n">
        <v>56</v>
      </c>
      <c r="C29" s="305" t="n">
        <v>16262702484</v>
      </c>
      <c r="D29" s="306" t="s">
        <v>321</v>
      </c>
      <c r="E29" s="306" t="s">
        <v>322</v>
      </c>
      <c r="F29" s="305" t="s">
        <v>323</v>
      </c>
      <c r="G29" s="305" t="n">
        <v>88729</v>
      </c>
      <c r="H29" s="307"/>
      <c r="I29" s="308" t="n">
        <v>43748</v>
      </c>
      <c r="J29" s="309" t="n">
        <v>4.61643835616438</v>
      </c>
      <c r="K29" s="308" t="n">
        <v>45207</v>
      </c>
      <c r="L29" s="310" t="n">
        <v>73.1</v>
      </c>
      <c r="M29" s="310" t="n">
        <v>3.25</v>
      </c>
      <c r="N29" s="310" t="n">
        <v>3</v>
      </c>
      <c r="O29" s="311" t="n">
        <v>226</v>
      </c>
      <c r="P29" s="312" t="n">
        <v>295</v>
      </c>
      <c r="Q29" s="312" t="n">
        <v>3486</v>
      </c>
      <c r="R29" s="312" t="n">
        <v>1972</v>
      </c>
      <c r="S29" s="312" t="n">
        <v>2073</v>
      </c>
      <c r="T29" s="312" t="n">
        <v>1466</v>
      </c>
      <c r="U29" s="312" t="n">
        <v>1316</v>
      </c>
      <c r="V29" s="312" t="n">
        <v>1144</v>
      </c>
      <c r="W29" s="313" t="n">
        <v>-125</v>
      </c>
      <c r="X29" s="314" t="n">
        <f aca="false">EXP(0.585+(0.102*J29)+(0.007*P29)-(0.001*V29)+(0.008*O29)-2.723)</f>
        <v>2.89179296344043</v>
      </c>
      <c r="Y29" s="314" t="n">
        <f aca="false">(X29/(1+X29))</f>
        <v>0.743049024088892</v>
      </c>
      <c r="Z29" s="314" t="n">
        <f aca="false">EXP(1.741+(0.011*P29)-(0.002*V29)+(0.275*J29)-1.952)</f>
        <v>7.50463288584181</v>
      </c>
      <c r="AA29" s="314" t="n">
        <f aca="false">(Z29/(1+Z29))</f>
        <v>0.882417029233001</v>
      </c>
      <c r="AB29" s="304" t="n">
        <v>56</v>
      </c>
      <c r="AC29" s="273" t="n">
        <v>8</v>
      </c>
      <c r="AD29" s="315"/>
      <c r="AE29" s="315"/>
      <c r="AF29" s="315"/>
      <c r="AG29" s="316" t="n">
        <v>45434.9282060185</v>
      </c>
      <c r="AH29" s="316" t="n">
        <v>45435.2713310185</v>
      </c>
      <c r="AI29" s="309" t="n">
        <f aca="false">(AH29-AG29)*24</f>
        <v>8.235</v>
      </c>
      <c r="AJ29" s="318" t="n">
        <v>8.23499999998603</v>
      </c>
      <c r="AK29" s="315"/>
      <c r="AL29" s="315"/>
      <c r="AM29" s="315"/>
      <c r="AN29" s="318"/>
      <c r="AO29" s="318" t="n">
        <f aca="false">(AG29-$AO$7)*24</f>
        <v>38.7769444444444</v>
      </c>
      <c r="AP29" s="318" t="n">
        <f aca="false">AO29+35</f>
        <v>73.7769444444444</v>
      </c>
      <c r="AQ29" s="273" t="n">
        <v>4</v>
      </c>
      <c r="AR29" s="273" t="n">
        <v>1</v>
      </c>
      <c r="AS29" s="273" t="s">
        <v>815</v>
      </c>
      <c r="AT29" s="275" t="n">
        <v>45435.625</v>
      </c>
      <c r="AU29" s="276" t="s">
        <v>811</v>
      </c>
      <c r="AV29" s="19"/>
      <c r="AW29" s="278"/>
      <c r="AX29" s="354"/>
      <c r="AY29" s="279"/>
      <c r="AZ29" s="278"/>
      <c r="BA29" s="278"/>
      <c r="BB29" s="279"/>
      <c r="BC29" s="280"/>
      <c r="BD29" s="354"/>
      <c r="BE29" s="354"/>
      <c r="BF29" s="279"/>
      <c r="BG29" s="280"/>
      <c r="BH29" s="19"/>
      <c r="BI29" s="19"/>
      <c r="BJ29" s="260" t="n">
        <v>1</v>
      </c>
      <c r="BK29" s="273" t="n">
        <v>2</v>
      </c>
      <c r="BL29" s="273"/>
      <c r="BM29" s="273" t="s">
        <v>812</v>
      </c>
      <c r="BN29" s="281" t="s">
        <v>819</v>
      </c>
      <c r="BO29" s="273" t="n">
        <v>2</v>
      </c>
      <c r="BP29" s="265" t="n">
        <v>45583</v>
      </c>
      <c r="BQ29" s="282" t="n">
        <f aca="false">AT29+145</f>
        <v>45580.625</v>
      </c>
      <c r="BR29" s="283" t="n">
        <f aca="false">BP29-AT29</f>
        <v>147.375</v>
      </c>
      <c r="BS29" s="283" t="s">
        <v>35</v>
      </c>
      <c r="BT29" s="281" t="s">
        <v>819</v>
      </c>
      <c r="BU29" s="284" t="n">
        <v>1.2829</v>
      </c>
      <c r="BV29" s="284" t="n">
        <v>2.8087</v>
      </c>
      <c r="BW29" s="284" t="n">
        <v>1.0268</v>
      </c>
      <c r="BX29" s="284" t="n">
        <v>0.69445</v>
      </c>
      <c r="BY29" s="284" t="n">
        <v>0.7639</v>
      </c>
      <c r="BZ29" s="284" t="n">
        <v>0.41352</v>
      </c>
      <c r="CA29" s="284" t="n">
        <v>0.34921</v>
      </c>
      <c r="CB29" s="284" t="n">
        <v>1.0766</v>
      </c>
      <c r="CC29" s="284" t="n">
        <v>2.1009</v>
      </c>
      <c r="CD29" s="284" t="n">
        <v>3.2955</v>
      </c>
      <c r="CE29" s="284" t="n">
        <v>3.7312</v>
      </c>
      <c r="CF29" s="325" t="s">
        <v>55</v>
      </c>
      <c r="CG29" s="327" t="s">
        <v>815</v>
      </c>
      <c r="CH29" s="325" t="s">
        <v>55</v>
      </c>
      <c r="CI29" s="326" t="s">
        <v>815</v>
      </c>
      <c r="CJ29" s="289" t="n">
        <v>0.623956666666667</v>
      </c>
      <c r="CK29" s="290" t="n">
        <v>0.185522286082653</v>
      </c>
      <c r="CL29" s="290" t="n">
        <v>0.995001238831972</v>
      </c>
      <c r="CM29" s="325" t="s">
        <v>55</v>
      </c>
      <c r="CN29" s="327" t="s">
        <v>815</v>
      </c>
      <c r="CO29" s="291" t="s">
        <v>816</v>
      </c>
      <c r="CP29" s="285" t="s">
        <v>815</v>
      </c>
      <c r="CQ29" s="292" t="n">
        <v>5</v>
      </c>
      <c r="CR29" s="333" t="n">
        <v>48</v>
      </c>
      <c r="CS29" s="294" t="n">
        <f aca="false">$CS$7+(CR29/24)</f>
        <v>45435.25</v>
      </c>
      <c r="CT29" s="295" t="n">
        <v>2</v>
      </c>
      <c r="CU29" s="296" t="n">
        <v>0.59328</v>
      </c>
      <c r="CV29" s="297" t="n">
        <f aca="false">(CS29-AG29)*24</f>
        <v>7.72305555555556</v>
      </c>
      <c r="CW29" s="281" t="s">
        <v>819</v>
      </c>
      <c r="CX29" s="320" t="n">
        <f aca="false">(AT29-CS29)*24</f>
        <v>9</v>
      </c>
      <c r="CY29" s="299" t="s">
        <v>812</v>
      </c>
      <c r="CZ29" s="260" t="s">
        <v>185</v>
      </c>
      <c r="DA29" s="304" t="n">
        <v>56</v>
      </c>
      <c r="DB29" s="306" t="s">
        <v>321</v>
      </c>
      <c r="DD29" s="328" t="s">
        <v>55</v>
      </c>
      <c r="DE29" s="301" t="e">
        <f aca="false">COUNTIF(#REF!,"=C")</f>
        <v>#REF!</v>
      </c>
      <c r="DF29" s="301"/>
      <c r="DG29" s="329"/>
      <c r="DH29" s="329" t="s">
        <v>816</v>
      </c>
      <c r="DI29" s="330" t="e">
        <f aca="false">COUNTIF(#REF!,"=CN")</f>
        <v>#REF!</v>
      </c>
    </row>
    <row r="30" customFormat="false" ht="15.75" hidden="false" customHeight="true" outlineLevel="0" collapsed="false">
      <c r="A30" s="273" t="s">
        <v>185</v>
      </c>
      <c r="B30" s="304" t="n">
        <v>60</v>
      </c>
      <c r="C30" s="305" t="n">
        <v>16262702516</v>
      </c>
      <c r="D30" s="306" t="s">
        <v>330</v>
      </c>
      <c r="E30" s="306" t="s">
        <v>331</v>
      </c>
      <c r="F30" s="305" t="s">
        <v>332</v>
      </c>
      <c r="G30" s="305" t="n">
        <v>88682</v>
      </c>
      <c r="H30" s="307"/>
      <c r="I30" s="308" t="n">
        <v>43748</v>
      </c>
      <c r="J30" s="309" t="n">
        <v>4.61643835616438</v>
      </c>
      <c r="K30" s="308" t="n">
        <v>45204</v>
      </c>
      <c r="L30" s="310" t="n">
        <v>71.7</v>
      </c>
      <c r="M30" s="310" t="n">
        <v>3.5</v>
      </c>
      <c r="N30" s="310" t="n">
        <v>3.56</v>
      </c>
      <c r="O30" s="311" t="n">
        <v>229</v>
      </c>
      <c r="P30" s="312" t="n">
        <v>347</v>
      </c>
      <c r="Q30" s="312" t="n">
        <v>2473</v>
      </c>
      <c r="R30" s="312" t="n">
        <v>2117</v>
      </c>
      <c r="S30" s="312" t="n">
        <v>2044</v>
      </c>
      <c r="T30" s="312" t="n">
        <v>1861</v>
      </c>
      <c r="U30" s="312" t="n">
        <v>1568</v>
      </c>
      <c r="V30" s="312" t="n">
        <v>1372</v>
      </c>
      <c r="W30" s="313" t="n">
        <v>-87</v>
      </c>
      <c r="X30" s="314" t="n">
        <f aca="false">EXP(1.204+(0.102*J30)+(0.007*P30)-(0.001*V30)+(0.008*O30)-2.723)</f>
        <v>6.30206093429279</v>
      </c>
      <c r="Y30" s="314" t="n">
        <f aca="false">(X30/(1+X30))</f>
        <v>0.863052361655367</v>
      </c>
      <c r="Z30" s="314" t="n">
        <f aca="false">EXP(2.859+(0.011*P30)-(0.002*V30)+(0.275*J30)-1.952)</f>
        <v>25.7779776495201</v>
      </c>
      <c r="AA30" s="314" t="n">
        <f aca="false">(Z30/(1+Z30))</f>
        <v>0.962655880399619</v>
      </c>
      <c r="AB30" s="304" t="n">
        <v>60</v>
      </c>
      <c r="AC30" s="273"/>
      <c r="AD30" s="315"/>
      <c r="AE30" s="315"/>
      <c r="AF30" s="315"/>
      <c r="AG30" s="316"/>
      <c r="AH30" s="316"/>
      <c r="AI30" s="309"/>
      <c r="AJ30" s="318"/>
      <c r="AK30" s="315"/>
      <c r="AL30" s="315"/>
      <c r="AM30" s="315"/>
      <c r="AN30" s="318"/>
      <c r="AO30" s="318"/>
      <c r="AP30" s="318"/>
      <c r="AQ30" s="273"/>
      <c r="AR30" s="273"/>
      <c r="AS30" s="272" t="s">
        <v>810</v>
      </c>
      <c r="AT30" s="275" t="n">
        <v>45435.625</v>
      </c>
      <c r="AU30" s="319" t="s">
        <v>821</v>
      </c>
      <c r="AV30" s="19"/>
      <c r="AW30" s="278"/>
      <c r="AX30" s="354"/>
      <c r="AY30" s="279"/>
      <c r="AZ30" s="278"/>
      <c r="BA30" s="278"/>
      <c r="BB30" s="279"/>
      <c r="BC30" s="280"/>
      <c r="BD30" s="354"/>
      <c r="BE30" s="354"/>
      <c r="BF30" s="279"/>
      <c r="BG30" s="280"/>
      <c r="BH30" s="19"/>
      <c r="BI30" s="19"/>
      <c r="BJ30" s="260" t="n">
        <v>1</v>
      </c>
      <c r="BK30" s="273" t="n">
        <v>1</v>
      </c>
      <c r="BL30" s="273"/>
      <c r="BM30" s="273" t="s">
        <v>812</v>
      </c>
      <c r="BN30" s="281" t="s">
        <v>813</v>
      </c>
      <c r="BO30" s="273" t="n">
        <v>1</v>
      </c>
      <c r="BP30" s="265" t="n">
        <v>45585</v>
      </c>
      <c r="BQ30" s="282" t="n">
        <f aca="false">AT30+145</f>
        <v>45580.625</v>
      </c>
      <c r="BR30" s="283" t="n">
        <f aca="false">BP30-AT30</f>
        <v>149.375</v>
      </c>
      <c r="BS30" s="283" t="s">
        <v>35</v>
      </c>
      <c r="BT30" s="281" t="s">
        <v>813</v>
      </c>
      <c r="BU30" s="284" t="n">
        <v>2.6787</v>
      </c>
      <c r="BV30" s="284" t="n">
        <v>1.1393</v>
      </c>
      <c r="BW30" s="284" t="n">
        <v>1.0453</v>
      </c>
      <c r="BX30" s="284" t="n">
        <v>0.60278</v>
      </c>
      <c r="BY30" s="284" t="n">
        <v>0.49215</v>
      </c>
      <c r="BZ30" s="284" t="n">
        <v>0.49529</v>
      </c>
      <c r="CA30" s="284" t="n">
        <v>1.178</v>
      </c>
      <c r="CB30" s="284" t="n">
        <v>1.7623</v>
      </c>
      <c r="CC30" s="284" t="n">
        <v>2.1616</v>
      </c>
      <c r="CD30" s="284" t="n">
        <v>2.5095</v>
      </c>
      <c r="CE30" s="284" t="n">
        <v>2.9622</v>
      </c>
      <c r="CF30" s="325" t="s">
        <v>55</v>
      </c>
      <c r="CG30" s="327" t="s">
        <v>815</v>
      </c>
      <c r="CH30" s="325" t="s">
        <v>55</v>
      </c>
      <c r="CI30" s="326" t="s">
        <v>815</v>
      </c>
      <c r="CJ30" s="289" t="n">
        <v>0.530073333333333</v>
      </c>
      <c r="CK30" s="290" t="n">
        <v>0.0629853906341251</v>
      </c>
      <c r="CL30" s="290" t="n">
        <v>0.656044114601583</v>
      </c>
      <c r="CM30" s="325" t="s">
        <v>55</v>
      </c>
      <c r="CN30" s="327" t="s">
        <v>815</v>
      </c>
      <c r="CO30" s="291" t="s">
        <v>816</v>
      </c>
      <c r="CP30" s="285" t="s">
        <v>815</v>
      </c>
      <c r="CQ30" s="292" t="n">
        <v>4</v>
      </c>
      <c r="CR30" s="333" t="n">
        <v>36</v>
      </c>
      <c r="CS30" s="294" t="n">
        <f aca="false">$CS$7+(CR30/24)</f>
        <v>45434.75</v>
      </c>
      <c r="CT30" s="295" t="n">
        <v>2</v>
      </c>
      <c r="CU30" s="296" t="n">
        <v>0.64039</v>
      </c>
      <c r="CV30" s="297"/>
      <c r="CW30" s="281" t="s">
        <v>813</v>
      </c>
      <c r="CX30" s="320" t="n">
        <f aca="false">(AT30-CS30)*24</f>
        <v>21</v>
      </c>
      <c r="CY30" s="299" t="s">
        <v>812</v>
      </c>
      <c r="CZ30" s="260" t="s">
        <v>185</v>
      </c>
      <c r="DA30" s="304" t="n">
        <v>60</v>
      </c>
      <c r="DB30" s="306" t="s">
        <v>330</v>
      </c>
      <c r="DD30" s="339"/>
      <c r="DE30" s="340"/>
      <c r="DF30" s="340"/>
      <c r="DG30" s="341"/>
      <c r="DH30" s="341" t="s">
        <v>823</v>
      </c>
      <c r="DI30" s="342" t="e">
        <f aca="false">COUNTIF(#REF!,"=nd")</f>
        <v>#REF!</v>
      </c>
    </row>
    <row r="31" customFormat="false" ht="15.75" hidden="false" customHeight="true" outlineLevel="0" collapsed="false">
      <c r="A31" s="273" t="s">
        <v>185</v>
      </c>
      <c r="B31" s="304" t="n">
        <v>63</v>
      </c>
      <c r="C31" s="305" t="n">
        <v>16262711141</v>
      </c>
      <c r="D31" s="306" t="s">
        <v>189</v>
      </c>
      <c r="E31" s="306" t="s">
        <v>190</v>
      </c>
      <c r="F31" s="305" t="s">
        <v>191</v>
      </c>
      <c r="G31" s="305" t="n">
        <v>88173</v>
      </c>
      <c r="H31" s="307"/>
      <c r="I31" s="308" t="n">
        <v>44113</v>
      </c>
      <c r="J31" s="309" t="n">
        <v>3.61643835616438</v>
      </c>
      <c r="K31" s="308" t="n">
        <v>45202</v>
      </c>
      <c r="L31" s="310" t="n">
        <v>81.4</v>
      </c>
      <c r="M31" s="310" t="n">
        <v>3.75</v>
      </c>
      <c r="N31" s="310" t="n">
        <v>3.5</v>
      </c>
      <c r="O31" s="311" t="n">
        <v>231</v>
      </c>
      <c r="P31" s="312" t="n">
        <v>281</v>
      </c>
      <c r="Q31" s="312" t="n">
        <v>2682</v>
      </c>
      <c r="R31" s="312" t="n">
        <v>1943</v>
      </c>
      <c r="S31" s="312" t="n">
        <v>1789</v>
      </c>
      <c r="T31" s="312" t="n">
        <v>1522</v>
      </c>
      <c r="U31" s="312" t="n">
        <v>1232</v>
      </c>
      <c r="V31" s="312" t="n">
        <v>1287</v>
      </c>
      <c r="W31" s="313" t="n">
        <v>-189</v>
      </c>
      <c r="X31" s="314" t="n">
        <f aca="false">EXP(1.204+(0.102*J31)+(0.007*P31)-(0.001*V31)+(0.008*O31)-2.723)</f>
        <v>3.96647072166139</v>
      </c>
      <c r="Y31" s="314" t="n">
        <f aca="false">(X31/(1+X31))</f>
        <v>0.79864977444879</v>
      </c>
      <c r="Z31" s="314" t="n">
        <f aca="false">EXP(2.859+(0.011*P31)-(0.002*V31)+(0.275*J31)-1.952)</f>
        <v>11.2292339064903</v>
      </c>
      <c r="AA31" s="314" t="n">
        <f aca="false">(Z31/(1+Z31))</f>
        <v>0.918228728991005</v>
      </c>
      <c r="AB31" s="304" t="n">
        <v>63</v>
      </c>
      <c r="AC31" s="273" t="n">
        <v>10</v>
      </c>
      <c r="AD31" s="315"/>
      <c r="AE31" s="315"/>
      <c r="AF31" s="315"/>
      <c r="AG31" s="316" t="n">
        <v>45435.1121064815</v>
      </c>
      <c r="AH31" s="317" t="n">
        <v>45435.4618518519</v>
      </c>
      <c r="AI31" s="309" t="n">
        <f aca="false">(AH31-AG31)*24</f>
        <v>8.39388888888889</v>
      </c>
      <c r="AJ31" s="318" t="n">
        <v>8.39388888899703</v>
      </c>
      <c r="AK31" s="315"/>
      <c r="AL31" s="315"/>
      <c r="AM31" s="315"/>
      <c r="AN31" s="318"/>
      <c r="AO31" s="318" t="n">
        <f aca="false">(AG31-$AO$7)*24</f>
        <v>43.1905555555556</v>
      </c>
      <c r="AP31" s="318" t="n">
        <f aca="false">AO31+35</f>
        <v>78.1905555555556</v>
      </c>
      <c r="AQ31" s="273" t="n">
        <v>2</v>
      </c>
      <c r="AR31" s="273" t="n">
        <v>2</v>
      </c>
      <c r="AS31" s="273" t="s">
        <v>815</v>
      </c>
      <c r="AT31" s="275" t="n">
        <v>45435.625</v>
      </c>
      <c r="AU31" s="276" t="s">
        <v>811</v>
      </c>
      <c r="AV31" s="19"/>
      <c r="AW31" s="278"/>
      <c r="AX31" s="354"/>
      <c r="AY31" s="279"/>
      <c r="AZ31" s="278"/>
      <c r="BA31" s="278"/>
      <c r="BB31" s="279"/>
      <c r="BC31" s="280"/>
      <c r="BD31" s="354"/>
      <c r="BE31" s="354"/>
      <c r="BF31" s="279"/>
      <c r="BG31" s="280"/>
      <c r="BH31" s="19"/>
      <c r="BI31" s="19"/>
      <c r="BJ31" s="260" t="n">
        <v>1</v>
      </c>
      <c r="BK31" s="273" t="n">
        <v>1</v>
      </c>
      <c r="BL31" s="273"/>
      <c r="BM31" s="273" t="s">
        <v>812</v>
      </c>
      <c r="BN31" s="281" t="s">
        <v>819</v>
      </c>
      <c r="BO31" s="273" t="n">
        <v>1</v>
      </c>
      <c r="BP31" s="265" t="n">
        <v>45581</v>
      </c>
      <c r="BQ31" s="282" t="n">
        <f aca="false">AT31+145</f>
        <v>45580.625</v>
      </c>
      <c r="BR31" s="283" t="n">
        <f aca="false">BP31-AT31</f>
        <v>145.375</v>
      </c>
      <c r="BS31" s="283" t="s">
        <v>35</v>
      </c>
      <c r="BT31" s="281" t="s">
        <v>819</v>
      </c>
      <c r="BU31" s="284" t="n">
        <v>0.2</v>
      </c>
      <c r="BV31" s="284" t="n">
        <v>0.89138</v>
      </c>
      <c r="BW31" s="284" t="n">
        <v>0.75557</v>
      </c>
      <c r="BX31" s="284" t="n">
        <v>0.82949</v>
      </c>
      <c r="BY31" s="284" t="n">
        <v>0.9547</v>
      </c>
      <c r="BZ31" s="284" t="n">
        <v>0.7</v>
      </c>
      <c r="CA31" s="284" t="n">
        <v>1.2573</v>
      </c>
      <c r="CB31" s="284" t="n">
        <v>2.084</v>
      </c>
      <c r="CC31" s="284" t="n">
        <v>3.8152</v>
      </c>
      <c r="CD31" s="284" t="n">
        <v>4.0149</v>
      </c>
      <c r="CE31" s="284" t="n">
        <v>4.6029</v>
      </c>
      <c r="CF31" s="285" t="s">
        <v>814</v>
      </c>
      <c r="CG31" s="286" t="s">
        <v>815</v>
      </c>
      <c r="CH31" s="285" t="s">
        <v>814</v>
      </c>
      <c r="CI31" s="288" t="s">
        <v>815</v>
      </c>
      <c r="CJ31" s="289" t="n">
        <v>0.721856666666667</v>
      </c>
      <c r="CK31" s="290" t="n">
        <v>0.271472943820681</v>
      </c>
      <c r="CL31" s="290" t="n">
        <v>1.26480255430803</v>
      </c>
      <c r="CM31" s="285" t="s">
        <v>814</v>
      </c>
      <c r="CN31" s="286" t="s">
        <v>815</v>
      </c>
      <c r="CO31" s="291" t="s">
        <v>816</v>
      </c>
      <c r="CP31" s="285" t="s">
        <v>810</v>
      </c>
      <c r="CQ31" s="292" t="n">
        <v>4</v>
      </c>
      <c r="CR31" s="293" t="n">
        <v>48</v>
      </c>
      <c r="CS31" s="294" t="n">
        <f aca="false">$CS$7+(CR31/24)</f>
        <v>45435.25</v>
      </c>
      <c r="CT31" s="295" t="n">
        <v>1</v>
      </c>
      <c r="CU31" s="296" t="n">
        <v>0.48541</v>
      </c>
      <c r="CV31" s="297" t="n">
        <f aca="false">(CS31-AG31)*24</f>
        <v>3.30944444444445</v>
      </c>
      <c r="CW31" s="281" t="s">
        <v>819</v>
      </c>
      <c r="CX31" s="320" t="n">
        <f aca="false">(AT31-CS31)*24</f>
        <v>9</v>
      </c>
      <c r="CY31" s="299" t="s">
        <v>812</v>
      </c>
      <c r="CZ31" s="260" t="s">
        <v>185</v>
      </c>
      <c r="DA31" s="304" t="n">
        <v>63</v>
      </c>
      <c r="DB31" s="306" t="s">
        <v>189</v>
      </c>
      <c r="DD31" s="8"/>
      <c r="DE31" s="343"/>
      <c r="DF31" s="343"/>
      <c r="DG31" s="343"/>
      <c r="DH31" s="343"/>
    </row>
    <row r="32" customFormat="false" ht="15.75" hidden="false" customHeight="true" outlineLevel="0" collapsed="false">
      <c r="A32" s="273" t="s">
        <v>185</v>
      </c>
      <c r="B32" s="304" t="n">
        <v>64</v>
      </c>
      <c r="C32" s="305" t="n">
        <v>16262711163</v>
      </c>
      <c r="D32" s="306" t="s">
        <v>336</v>
      </c>
      <c r="E32" s="306" t="s">
        <v>337</v>
      </c>
      <c r="F32" s="305" t="s">
        <v>338</v>
      </c>
      <c r="G32" s="305" t="n">
        <v>88716</v>
      </c>
      <c r="H32" s="307"/>
      <c r="I32" s="308" t="n">
        <v>44113</v>
      </c>
      <c r="J32" s="309" t="n">
        <v>3.61643835616438</v>
      </c>
      <c r="K32" s="308" t="n">
        <v>45204</v>
      </c>
      <c r="L32" s="310" t="n">
        <v>63.9</v>
      </c>
      <c r="M32" s="310" t="n">
        <v>3.25</v>
      </c>
      <c r="N32" s="310" t="n">
        <v>3.25</v>
      </c>
      <c r="O32" s="311" t="n">
        <v>229</v>
      </c>
      <c r="P32" s="312" t="n">
        <v>295</v>
      </c>
      <c r="Q32" s="312" t="n">
        <v>2622</v>
      </c>
      <c r="R32" s="312" t="n">
        <v>2001</v>
      </c>
      <c r="S32" s="312" t="n">
        <v>1363</v>
      </c>
      <c r="T32" s="312" t="n">
        <v>1099</v>
      </c>
      <c r="U32" s="312" t="n">
        <v>503</v>
      </c>
      <c r="V32" s="312" t="n">
        <v>943</v>
      </c>
      <c r="W32" s="313" t="n">
        <v>-248</v>
      </c>
      <c r="X32" s="314" t="n">
        <f aca="false">EXP(1.204+(0.102*J32)+(0.007*P32)-(0.001*V32)+(0.008*O32)-2.723)</f>
        <v>6.07314572589352</v>
      </c>
      <c r="Y32" s="314" t="n">
        <f aca="false">(X32/(1+X32))</f>
        <v>0.858620189834464</v>
      </c>
      <c r="Z32" s="314" t="n">
        <f aca="false">EXP(2.859+(0.011*P32)-(0.002*V32)+(0.275*J32)-1.952)</f>
        <v>26.0631007054875</v>
      </c>
      <c r="AA32" s="314" t="n">
        <f aca="false">(Z32/(1+Z32))</f>
        <v>0.963049319038405</v>
      </c>
      <c r="AB32" s="304" t="n">
        <v>64</v>
      </c>
      <c r="AC32" s="273" t="n">
        <v>16</v>
      </c>
      <c r="AD32" s="315"/>
      <c r="AE32" s="315"/>
      <c r="AF32" s="315"/>
      <c r="AG32" s="317" t="n">
        <v>45435.4549305556</v>
      </c>
      <c r="AH32" s="317" t="n">
        <v>45435.6180671296</v>
      </c>
      <c r="AI32" s="309" t="n">
        <f aca="false">(AH32-AG32)*24</f>
        <v>3.91527777777778</v>
      </c>
      <c r="AJ32" s="318" t="n">
        <v>3.91527777782176</v>
      </c>
      <c r="AK32" s="315"/>
      <c r="AL32" s="315"/>
      <c r="AM32" s="315"/>
      <c r="AN32" s="318"/>
      <c r="AO32" s="318" t="n">
        <f aca="false">(AG32-$AO$7)*24</f>
        <v>51.4183333333333</v>
      </c>
      <c r="AP32" s="318" t="n">
        <f aca="false">AO32+35</f>
        <v>86.4183333333333</v>
      </c>
      <c r="AQ32" s="273" t="n">
        <v>4</v>
      </c>
      <c r="AR32" s="273" t="n">
        <v>1</v>
      </c>
      <c r="AS32" s="273" t="s">
        <v>815</v>
      </c>
      <c r="AT32" s="275" t="n">
        <v>45435.625</v>
      </c>
      <c r="AU32" s="276" t="s">
        <v>811</v>
      </c>
      <c r="AV32" s="19" t="n">
        <v>16</v>
      </c>
      <c r="AW32" s="277"/>
      <c r="AX32" s="277"/>
      <c r="AY32" s="277"/>
      <c r="AZ32" s="278" t="n">
        <v>45461.7336342593</v>
      </c>
      <c r="BA32" s="278" t="n">
        <v>45461.7336342593</v>
      </c>
      <c r="BB32" s="279" t="n">
        <f aca="false">(BA32-AZ32)*24</f>
        <v>0</v>
      </c>
      <c r="BC32" s="280" t="n">
        <v>1</v>
      </c>
      <c r="BD32" s="277"/>
      <c r="BE32" s="277"/>
      <c r="BF32" s="277"/>
      <c r="BG32" s="280"/>
      <c r="BH32" s="19" t="n">
        <v>1</v>
      </c>
      <c r="BI32" s="19" t="n">
        <v>1</v>
      </c>
      <c r="BJ32" s="260" t="n">
        <v>1</v>
      </c>
      <c r="BK32" s="273" t="n">
        <v>2</v>
      </c>
      <c r="BL32" s="273"/>
      <c r="BM32" s="273" t="s">
        <v>812</v>
      </c>
      <c r="BN32" s="281" t="s">
        <v>819</v>
      </c>
      <c r="BO32" s="273" t="n">
        <v>2</v>
      </c>
      <c r="BP32" s="265" t="n">
        <v>45582</v>
      </c>
      <c r="BQ32" s="282" t="n">
        <f aca="false">AT32+145</f>
        <v>45580.625</v>
      </c>
      <c r="BR32" s="283" t="n">
        <f aca="false">BP32-AT32</f>
        <v>146.375</v>
      </c>
      <c r="BS32" s="283" t="s">
        <v>35</v>
      </c>
      <c r="BT32" s="281" t="s">
        <v>819</v>
      </c>
      <c r="BU32" s="284" t="n">
        <v>0.82949</v>
      </c>
      <c r="BV32" s="284" t="n">
        <v>0.55514</v>
      </c>
      <c r="BW32" s="284" t="n">
        <v>0.44516</v>
      </c>
      <c r="BX32" s="284" t="n">
        <v>0.3982</v>
      </c>
      <c r="BY32" s="284" t="n">
        <v>0.27</v>
      </c>
      <c r="BZ32" s="284" t="n">
        <v>0.34165</v>
      </c>
      <c r="CA32" s="284" t="n">
        <v>0.61876</v>
      </c>
      <c r="CB32" s="284" t="n">
        <v>1.1164</v>
      </c>
      <c r="CC32" s="284" t="n">
        <v>1.7421</v>
      </c>
      <c r="CD32" s="284" t="n">
        <v>1.8983</v>
      </c>
      <c r="CE32" s="284" t="n">
        <v>2.4396</v>
      </c>
      <c r="CF32" s="285" t="s">
        <v>814</v>
      </c>
      <c r="CG32" s="286" t="s">
        <v>815</v>
      </c>
      <c r="CH32" s="285" t="s">
        <v>814</v>
      </c>
      <c r="CI32" s="288" t="s">
        <v>815</v>
      </c>
      <c r="CJ32" s="289" t="n">
        <v>0.473273333333333</v>
      </c>
      <c r="CK32" s="290" t="n">
        <v>0.199330669759239</v>
      </c>
      <c r="CL32" s="290" t="n">
        <v>0.871934672851811</v>
      </c>
      <c r="CM32" s="285" t="s">
        <v>814</v>
      </c>
      <c r="CN32" s="286" t="s">
        <v>815</v>
      </c>
      <c r="CO32" s="291" t="s">
        <v>816</v>
      </c>
      <c r="CP32" s="285" t="s">
        <v>810</v>
      </c>
      <c r="CQ32" s="292" t="n">
        <v>5</v>
      </c>
      <c r="CR32" s="293" t="n">
        <v>48</v>
      </c>
      <c r="CS32" s="294" t="n">
        <f aca="false">$CS$7+(CR32/24)</f>
        <v>45435.25</v>
      </c>
      <c r="CT32" s="295" t="n">
        <v>2</v>
      </c>
      <c r="CU32" s="296" t="n">
        <v>0.31337</v>
      </c>
      <c r="CV32" s="297" t="n">
        <f aca="false">(CS32-AG32)*24</f>
        <v>-4.91833333333667</v>
      </c>
      <c r="CW32" s="281" t="s">
        <v>819</v>
      </c>
      <c r="CX32" s="320" t="n">
        <f aca="false">(AT32-CS32)*24</f>
        <v>9</v>
      </c>
      <c r="CY32" s="299" t="s">
        <v>812</v>
      </c>
      <c r="CZ32" s="260" t="s">
        <v>185</v>
      </c>
      <c r="DA32" s="304" t="n">
        <v>64</v>
      </c>
      <c r="DB32" s="306" t="s">
        <v>336</v>
      </c>
      <c r="DD32" s="347" t="s">
        <v>831</v>
      </c>
      <c r="DE32" s="329"/>
      <c r="DF32" s="348" t="e">
        <f aca="false">DE29/(DE29+DE25)*100</f>
        <v>#REF!</v>
      </c>
      <c r="DG32" s="329"/>
      <c r="DH32" s="349" t="s">
        <v>832</v>
      </c>
      <c r="DI32" s="350" t="e">
        <f aca="false">DI26/(DI25+DI26+DI27)*100</f>
        <v>#REF!</v>
      </c>
    </row>
    <row r="33" customFormat="false" ht="15.75" hidden="false" customHeight="true" outlineLevel="0" collapsed="false">
      <c r="A33" s="273" t="s">
        <v>185</v>
      </c>
      <c r="B33" s="304" t="n">
        <v>68</v>
      </c>
      <c r="C33" s="305" t="n">
        <v>16262711232</v>
      </c>
      <c r="D33" s="306" t="s">
        <v>291</v>
      </c>
      <c r="E33" s="306" t="s">
        <v>292</v>
      </c>
      <c r="F33" s="305" t="s">
        <v>293</v>
      </c>
      <c r="G33" s="305" t="n">
        <v>88256</v>
      </c>
      <c r="H33" s="307"/>
      <c r="I33" s="308" t="n">
        <v>44114</v>
      </c>
      <c r="J33" s="309" t="n">
        <v>3.61369863013699</v>
      </c>
      <c r="K33" s="308" t="n">
        <v>45221</v>
      </c>
      <c r="L33" s="310" t="n">
        <v>67.4</v>
      </c>
      <c r="M33" s="310" t="n">
        <v>3</v>
      </c>
      <c r="N33" s="310" t="n">
        <v>3</v>
      </c>
      <c r="O33" s="311" t="n">
        <v>212</v>
      </c>
      <c r="P33" s="312" t="n">
        <v>258</v>
      </c>
      <c r="Q33" s="312" t="n">
        <v>0</v>
      </c>
      <c r="R33" s="312" t="n">
        <v>2030</v>
      </c>
      <c r="S33" s="312" t="n">
        <v>1874</v>
      </c>
      <c r="T33" s="312" t="n">
        <v>1889</v>
      </c>
      <c r="U33" s="312" t="n">
        <v>1568</v>
      </c>
      <c r="V33" s="312" t="n">
        <v>1458</v>
      </c>
      <c r="W33" s="313" t="n">
        <v>0</v>
      </c>
      <c r="X33" s="314" t="n">
        <f aca="false">EXP(0.585+(0.102*J33)+(0.007*P33)-(0.001*V33)+(0.008*O33)-2.723)</f>
        <v>1.31600056242016</v>
      </c>
      <c r="Y33" s="314" t="n">
        <f aca="false">(X33/(1+X33))</f>
        <v>0.56822117566542</v>
      </c>
      <c r="Z33" s="314" t="n">
        <f aca="false">EXP(1.741+(0.011*P33)-(0.002*V33)+(0.275*J33)-1.952)</f>
        <v>2.02337543303403</v>
      </c>
      <c r="AA33" s="314" t="n">
        <f aca="false">(Z33/(1+Z33))</f>
        <v>0.669243856031311</v>
      </c>
      <c r="AB33" s="304" t="n">
        <v>68</v>
      </c>
      <c r="AC33" s="273" t="n">
        <v>12</v>
      </c>
      <c r="AD33" s="315"/>
      <c r="AE33" s="315"/>
      <c r="AF33" s="315"/>
      <c r="AG33" s="317" t="n">
        <v>45435.2000115741</v>
      </c>
      <c r="AH33" s="317" t="n">
        <v>45436.0162037037</v>
      </c>
      <c r="AI33" s="309" t="n">
        <f aca="false">(AH33-AG33)*24</f>
        <v>19.5886111111111</v>
      </c>
      <c r="AJ33" s="318" t="n">
        <v>19.5886111110449</v>
      </c>
      <c r="AK33" s="315"/>
      <c r="AL33" s="315"/>
      <c r="AM33" s="315"/>
      <c r="AN33" s="318"/>
      <c r="AO33" s="318" t="n">
        <f aca="false">(AG33-$AO$7)*24</f>
        <v>45.3002777777778</v>
      </c>
      <c r="AP33" s="318" t="n">
        <f aca="false">AO33+35</f>
        <v>80.3002777777778</v>
      </c>
      <c r="AQ33" s="273" t="n">
        <v>17</v>
      </c>
      <c r="AR33" s="273" t="n">
        <v>2</v>
      </c>
      <c r="AS33" s="273" t="s">
        <v>815</v>
      </c>
      <c r="AT33" s="275" t="n">
        <v>45435.625</v>
      </c>
      <c r="AU33" s="319" t="s">
        <v>838</v>
      </c>
      <c r="AV33" s="19"/>
      <c r="AW33" s="277"/>
      <c r="AX33" s="277"/>
      <c r="AY33" s="277"/>
      <c r="AZ33" s="278"/>
      <c r="BA33" s="278"/>
      <c r="BB33" s="279"/>
      <c r="BC33" s="280"/>
      <c r="BD33" s="277"/>
      <c r="BE33" s="277"/>
      <c r="BF33" s="277"/>
      <c r="BG33" s="280"/>
      <c r="BH33" s="19"/>
      <c r="BI33" s="19"/>
      <c r="BJ33" s="260" t="n">
        <v>1</v>
      </c>
      <c r="BK33" s="273" t="n">
        <v>1</v>
      </c>
      <c r="BL33" s="273"/>
      <c r="BM33" s="273" t="s">
        <v>812</v>
      </c>
      <c r="BN33" s="281" t="s">
        <v>819</v>
      </c>
      <c r="BO33" s="273" t="n">
        <v>2</v>
      </c>
      <c r="BP33" s="265" t="n">
        <v>45584</v>
      </c>
      <c r="BQ33" s="282" t="n">
        <f aca="false">AT33+145</f>
        <v>45580.625</v>
      </c>
      <c r="BR33" s="283" t="n">
        <f aca="false">BP33-AT33</f>
        <v>148.375</v>
      </c>
      <c r="BS33" s="283" t="s">
        <v>35</v>
      </c>
      <c r="BT33" s="281" t="s">
        <v>819</v>
      </c>
      <c r="BU33" s="284" t="n">
        <v>0.2</v>
      </c>
      <c r="BV33" s="284" t="n">
        <v>0.2</v>
      </c>
      <c r="BW33" s="284" t="n">
        <v>0.2</v>
      </c>
      <c r="BX33" s="284" t="n">
        <v>0.2</v>
      </c>
      <c r="BY33" s="284" t="n">
        <v>0.2</v>
      </c>
      <c r="BZ33" s="284" t="n">
        <v>0.2</v>
      </c>
      <c r="CA33" s="284" t="n">
        <v>0.27921</v>
      </c>
      <c r="CB33" s="284" t="n">
        <v>0.37695</v>
      </c>
      <c r="CC33" s="284" t="n">
        <v>1.0098</v>
      </c>
      <c r="CD33" s="284" t="n">
        <v>1.3424</v>
      </c>
      <c r="CE33" s="284" t="n">
        <v>1.5799</v>
      </c>
      <c r="CF33" s="285" t="s">
        <v>814</v>
      </c>
      <c r="CG33" s="286" t="s">
        <v>815</v>
      </c>
      <c r="CH33" s="285" t="s">
        <v>814</v>
      </c>
      <c r="CI33" s="288" t="s">
        <v>815</v>
      </c>
      <c r="CJ33" s="289" t="n">
        <v>0.2</v>
      </c>
      <c r="CK33" s="290" t="n">
        <v>0</v>
      </c>
      <c r="CL33" s="290" t="n">
        <v>0.5</v>
      </c>
      <c r="CM33" s="285" t="s">
        <v>814</v>
      </c>
      <c r="CN33" s="286" t="s">
        <v>815</v>
      </c>
      <c r="CO33" s="291" t="s">
        <v>816</v>
      </c>
      <c r="CP33" s="285" t="s">
        <v>810</v>
      </c>
      <c r="CQ33" s="292" t="n">
        <v>6</v>
      </c>
      <c r="CR33" s="293" t="n">
        <v>48</v>
      </c>
      <c r="CS33" s="294" t="n">
        <f aca="false">$CS$7+(CR33/24)</f>
        <v>45435.25</v>
      </c>
      <c r="CT33" s="295" t="n">
        <v>2</v>
      </c>
      <c r="CU33" s="296" t="n">
        <v>0.59729</v>
      </c>
      <c r="CV33" s="297" t="n">
        <f aca="false">(CS33-AG33)*24</f>
        <v>1.19972222222222</v>
      </c>
      <c r="CW33" s="281" t="s">
        <v>819</v>
      </c>
      <c r="CX33" s="320" t="n">
        <f aca="false">(AT33-CS33)*24</f>
        <v>9</v>
      </c>
      <c r="CY33" s="299" t="s">
        <v>812</v>
      </c>
      <c r="CZ33" s="260" t="s">
        <v>185</v>
      </c>
      <c r="DA33" s="304" t="n">
        <v>68</v>
      </c>
      <c r="DB33" s="306" t="s">
        <v>291</v>
      </c>
      <c r="DD33" s="351" t="s">
        <v>833</v>
      </c>
      <c r="DE33" s="352"/>
      <c r="DF33" s="353" t="e">
        <f aca="false">DF25/(DF25+DF28)*100</f>
        <v>#REF!</v>
      </c>
      <c r="DG33" s="343"/>
      <c r="DH33" s="343"/>
    </row>
    <row r="34" customFormat="false" ht="15.75" hidden="false" customHeight="true" outlineLevel="0" collapsed="false">
      <c r="A34" s="273" t="s">
        <v>185</v>
      </c>
      <c r="B34" s="304" t="n">
        <v>70</v>
      </c>
      <c r="C34" s="305" t="n">
        <v>16262711281</v>
      </c>
      <c r="D34" s="306" t="s">
        <v>348</v>
      </c>
      <c r="E34" s="306" t="s">
        <v>349</v>
      </c>
      <c r="F34" s="305" t="s">
        <v>350</v>
      </c>
      <c r="G34" s="305" t="n">
        <v>88677</v>
      </c>
      <c r="H34" s="307"/>
      <c r="I34" s="308" t="n">
        <v>44115</v>
      </c>
      <c r="J34" s="309" t="n">
        <v>3.61095890410959</v>
      </c>
      <c r="K34" s="308" t="n">
        <v>45202</v>
      </c>
      <c r="L34" s="310" t="n">
        <v>68.8</v>
      </c>
      <c r="M34" s="310" t="n">
        <v>3.75</v>
      </c>
      <c r="N34" s="310" t="n">
        <v>4</v>
      </c>
      <c r="O34" s="311" t="n">
        <v>231</v>
      </c>
      <c r="P34" s="312" t="n">
        <v>246</v>
      </c>
      <c r="Q34" s="312" t="n">
        <v>2533</v>
      </c>
      <c r="R34" s="312" t="n">
        <v>1856</v>
      </c>
      <c r="S34" s="312" t="n">
        <v>1988</v>
      </c>
      <c r="T34" s="312" t="n">
        <v>1240</v>
      </c>
      <c r="U34" s="312" t="n">
        <v>1120</v>
      </c>
      <c r="V34" s="312" t="n">
        <v>1001</v>
      </c>
      <c r="W34" s="313" t="n">
        <v>-21</v>
      </c>
      <c r="X34" s="314" t="n">
        <f aca="false">EXP(1.204+(0.102*J34)+(0.007*P34)-(0.001*V34)+(0.008*O34)-2.723)</f>
        <v>4.13016686051762</v>
      </c>
      <c r="Y34" s="314" t="n">
        <f aca="false">(X34/(1+X34))</f>
        <v>0.805074566346736</v>
      </c>
      <c r="Z34" s="314" t="n">
        <f aca="false">EXP(2.859+(0.011*P34)-(0.002*V34)+(0.275*J34)-1.952)</f>
        <v>13.5178860160553</v>
      </c>
      <c r="AA34" s="314" t="n">
        <f aca="false">(Z34/(1+Z34))</f>
        <v>0.931119448183152</v>
      </c>
      <c r="AB34" s="304" t="n">
        <v>70</v>
      </c>
      <c r="AC34" s="273" t="n">
        <v>18</v>
      </c>
      <c r="AD34" s="315"/>
      <c r="AE34" s="315"/>
      <c r="AF34" s="315"/>
      <c r="AG34" s="317" t="n">
        <v>45435.491400463</v>
      </c>
      <c r="AH34" s="317" t="n">
        <v>45435.491400463</v>
      </c>
      <c r="AI34" s="309" t="n">
        <f aca="false">(AH34-AG34)*24</f>
        <v>0</v>
      </c>
      <c r="AJ34" s="318" t="n">
        <v>1</v>
      </c>
      <c r="AK34" s="315"/>
      <c r="AL34" s="315"/>
      <c r="AM34" s="315"/>
      <c r="AN34" s="318"/>
      <c r="AO34" s="318" t="n">
        <f aca="false">(AG34-$AO$7)*24</f>
        <v>52.2936111111111</v>
      </c>
      <c r="AP34" s="318" t="n">
        <f aca="false">AO34+35</f>
        <v>87.2936111111111</v>
      </c>
      <c r="AQ34" s="273" t="n">
        <v>1</v>
      </c>
      <c r="AR34" s="273" t="n">
        <v>1</v>
      </c>
      <c r="AS34" s="273" t="s">
        <v>815</v>
      </c>
      <c r="AT34" s="275" t="n">
        <v>45435.625</v>
      </c>
      <c r="AU34" s="319" t="s">
        <v>818</v>
      </c>
      <c r="AV34" s="19" t="n">
        <v>18</v>
      </c>
      <c r="AW34" s="277"/>
      <c r="AX34" s="277"/>
      <c r="AY34" s="277"/>
      <c r="AZ34" s="354" t="n">
        <v>45451.2759259259</v>
      </c>
      <c r="BA34" s="354" t="n">
        <v>45451.2759259259</v>
      </c>
      <c r="BB34" s="279" t="n">
        <f aca="false">(BA34-AZ34)*24</f>
        <v>0</v>
      </c>
      <c r="BC34" s="280" t="n">
        <v>1</v>
      </c>
      <c r="BD34" s="277"/>
      <c r="BE34" s="277"/>
      <c r="BF34" s="277"/>
      <c r="BG34" s="280"/>
      <c r="BH34" s="19" t="n">
        <v>1</v>
      </c>
      <c r="BI34" s="19" t="n">
        <v>1</v>
      </c>
      <c r="BJ34" s="260" t="n">
        <v>1</v>
      </c>
      <c r="BK34" s="273" t="n">
        <v>1</v>
      </c>
      <c r="BL34" s="273"/>
      <c r="BM34" s="273" t="s">
        <v>812</v>
      </c>
      <c r="BN34" s="281" t="s">
        <v>819</v>
      </c>
      <c r="BO34" s="273" t="n">
        <v>1</v>
      </c>
      <c r="BP34" s="265" t="n">
        <v>45584</v>
      </c>
      <c r="BQ34" s="282" t="n">
        <f aca="false">AT34+145</f>
        <v>45580.625</v>
      </c>
      <c r="BR34" s="283" t="n">
        <f aca="false">BP34-AT34</f>
        <v>148.375</v>
      </c>
      <c r="BS34" s="283" t="s">
        <v>35</v>
      </c>
      <c r="BT34" s="281" t="s">
        <v>819</v>
      </c>
      <c r="BU34" s="284" t="n">
        <v>1.0271</v>
      </c>
      <c r="BV34" s="284" t="n">
        <v>0.2</v>
      </c>
      <c r="BW34" s="284" t="n">
        <v>0.2</v>
      </c>
      <c r="BX34" s="284" t="n">
        <v>0.2</v>
      </c>
      <c r="BY34" s="284" t="n">
        <v>0.2</v>
      </c>
      <c r="BZ34" s="284" t="n">
        <v>0.2</v>
      </c>
      <c r="CA34" s="284" t="n">
        <v>0.2</v>
      </c>
      <c r="CB34" s="284" t="n">
        <v>0.2</v>
      </c>
      <c r="CC34" s="284" t="n">
        <v>0.97556</v>
      </c>
      <c r="CD34" s="284" t="n">
        <v>0.83756</v>
      </c>
      <c r="CE34" s="284" t="n">
        <v>1.6787</v>
      </c>
      <c r="CF34" s="285" t="s">
        <v>814</v>
      </c>
      <c r="CG34" s="286" t="s">
        <v>815</v>
      </c>
      <c r="CH34" s="325" t="s">
        <v>55</v>
      </c>
      <c r="CI34" s="326" t="s">
        <v>815</v>
      </c>
      <c r="CJ34" s="289" t="n">
        <v>0.2</v>
      </c>
      <c r="CK34" s="290" t="n">
        <v>0</v>
      </c>
      <c r="CL34" s="290" t="n">
        <v>0.5</v>
      </c>
      <c r="CM34" s="325" t="s">
        <v>55</v>
      </c>
      <c r="CN34" s="327" t="s">
        <v>815</v>
      </c>
      <c r="CO34" s="291" t="s">
        <v>816</v>
      </c>
      <c r="CP34" s="285" t="s">
        <v>810</v>
      </c>
      <c r="CQ34" s="292" t="n">
        <v>6</v>
      </c>
      <c r="CR34" s="293" t="n">
        <v>60</v>
      </c>
      <c r="CS34" s="294" t="n">
        <f aca="false">$CS$7+(CR34/24)</f>
        <v>45435.75</v>
      </c>
      <c r="CT34" s="295" t="n">
        <v>1.5</v>
      </c>
      <c r="CU34" s="296" t="n">
        <v>0.27177</v>
      </c>
      <c r="CV34" s="297" t="n">
        <f aca="false">(CS34-AG34)*24</f>
        <v>6.20638888888889</v>
      </c>
      <c r="CW34" s="281" t="s">
        <v>819</v>
      </c>
      <c r="CX34" s="320" t="n">
        <f aca="false">(AT34-CS34)*24</f>
        <v>-3</v>
      </c>
      <c r="CY34" s="299" t="s">
        <v>812</v>
      </c>
      <c r="CZ34" s="260" t="s">
        <v>185</v>
      </c>
      <c r="DA34" s="304" t="n">
        <v>70</v>
      </c>
      <c r="DB34" s="306" t="s">
        <v>348</v>
      </c>
      <c r="DD34" s="347" t="s">
        <v>834</v>
      </c>
      <c r="DE34" s="343"/>
      <c r="DF34" s="356" t="e">
        <f aca="false">(DE29+DF25)/(DE29+DF25+DF28)*100</f>
        <v>#REF!</v>
      </c>
      <c r="DG34" s="301" t="e">
        <f aca="false">DE29+DF25</f>
        <v>#REF!</v>
      </c>
      <c r="DH34" s="343"/>
    </row>
    <row r="35" customFormat="false" ht="15.75" hidden="false" customHeight="true" outlineLevel="0" collapsed="false">
      <c r="A35" s="273" t="s">
        <v>185</v>
      </c>
      <c r="B35" s="304" t="n">
        <v>72</v>
      </c>
      <c r="C35" s="305" t="n">
        <v>16262711299</v>
      </c>
      <c r="D35" s="306" t="s">
        <v>354</v>
      </c>
      <c r="E35" s="306" t="s">
        <v>355</v>
      </c>
      <c r="F35" s="305" t="s">
        <v>356</v>
      </c>
      <c r="G35" s="305" t="n">
        <v>89392</v>
      </c>
      <c r="H35" s="307"/>
      <c r="I35" s="308" t="n">
        <v>44115</v>
      </c>
      <c r="J35" s="309" t="n">
        <v>3.61095890410959</v>
      </c>
      <c r="K35" s="308" t="n">
        <v>45205</v>
      </c>
      <c r="L35" s="310" t="n">
        <v>57.7</v>
      </c>
      <c r="M35" s="310" t="n">
        <v>2.75</v>
      </c>
      <c r="N35" s="310" t="n">
        <v>2.72</v>
      </c>
      <c r="O35" s="311" t="n">
        <v>228</v>
      </c>
      <c r="P35" s="312" t="n">
        <v>279</v>
      </c>
      <c r="Q35" s="312" t="n">
        <v>2831</v>
      </c>
      <c r="R35" s="312" t="n">
        <v>2059</v>
      </c>
      <c r="S35" s="312" t="n">
        <v>2044</v>
      </c>
      <c r="T35" s="312" t="n">
        <v>1635</v>
      </c>
      <c r="U35" s="312" t="n">
        <v>1624</v>
      </c>
      <c r="V35" s="312" t="n">
        <v>1229</v>
      </c>
      <c r="W35" s="313" t="n">
        <v>-36</v>
      </c>
      <c r="X35" s="314" t="n">
        <f aca="false">EXP(0.585+(0.102*J35)+(0.007*P35)-(0.001*V35)+(0.008*O35)-2.723)</f>
        <v>2.1778056955846</v>
      </c>
      <c r="Y35" s="314" t="n">
        <f aca="false">(X35/(1+X35))</f>
        <v>0.685317449902791</v>
      </c>
      <c r="Z35" s="314" t="n">
        <f aca="false">EXP(1.741+(0.011*P35)-(0.002*V35)+(0.275*J35)-1.952)</f>
        <v>4.02696785162415</v>
      </c>
      <c r="AA35" s="314" t="n">
        <f aca="false">(Z35/(1+Z35))</f>
        <v>0.801072927156892</v>
      </c>
      <c r="AB35" s="304" t="n">
        <v>72</v>
      </c>
      <c r="AC35" s="273" t="n">
        <v>20</v>
      </c>
      <c r="AD35" s="315"/>
      <c r="AE35" s="315"/>
      <c r="AF35" s="315"/>
      <c r="AG35" s="317" t="n">
        <v>45435.6723148148</v>
      </c>
      <c r="AH35" s="317" t="n">
        <v>45435.6723148148</v>
      </c>
      <c r="AI35" s="309" t="n">
        <f aca="false">(AH35-AG35)*24</f>
        <v>0</v>
      </c>
      <c r="AJ35" s="318" t="n">
        <v>1</v>
      </c>
      <c r="AK35" s="315"/>
      <c r="AL35" s="315"/>
      <c r="AM35" s="315"/>
      <c r="AN35" s="318"/>
      <c r="AO35" s="318" t="n">
        <f aca="false">(AG35-$AO$7)*24</f>
        <v>56.6355555555556</v>
      </c>
      <c r="AP35" s="318" t="n">
        <f aca="false">AO35+35</f>
        <v>91.6355555555556</v>
      </c>
      <c r="AQ35" s="273" t="n">
        <v>1</v>
      </c>
      <c r="AR35" s="273" t="n">
        <v>1</v>
      </c>
      <c r="AS35" s="272" t="s">
        <v>810</v>
      </c>
      <c r="AT35" s="275" t="n">
        <v>45435.625</v>
      </c>
      <c r="AU35" s="319" t="s">
        <v>821</v>
      </c>
      <c r="AV35" s="19"/>
      <c r="AW35" s="277"/>
      <c r="AX35" s="277"/>
      <c r="AY35" s="277"/>
      <c r="AZ35" s="354"/>
      <c r="BA35" s="354"/>
      <c r="BB35" s="279"/>
      <c r="BC35" s="280"/>
      <c r="BD35" s="277"/>
      <c r="BE35" s="277"/>
      <c r="BF35" s="277"/>
      <c r="BG35" s="280"/>
      <c r="BH35" s="19"/>
      <c r="BI35" s="19"/>
      <c r="BJ35" s="260" t="n">
        <v>1</v>
      </c>
      <c r="BK35" s="273" t="n">
        <v>1</v>
      </c>
      <c r="BL35" s="273"/>
      <c r="BM35" s="273" t="s">
        <v>812</v>
      </c>
      <c r="BN35" s="281" t="s">
        <v>840</v>
      </c>
      <c r="BO35" s="273" t="n">
        <v>1</v>
      </c>
      <c r="BP35" s="265" t="n">
        <v>45584</v>
      </c>
      <c r="BQ35" s="282" t="n">
        <f aca="false">AT35+145</f>
        <v>45580.625</v>
      </c>
      <c r="BR35" s="283" t="n">
        <f aca="false">BP35-AT35</f>
        <v>148.375</v>
      </c>
      <c r="BS35" s="283" t="s">
        <v>35</v>
      </c>
      <c r="BT35" s="281" t="s">
        <v>840</v>
      </c>
      <c r="BU35" s="284" t="n">
        <v>0.2</v>
      </c>
      <c r="BV35" s="284" t="n">
        <v>0.2</v>
      </c>
      <c r="BW35" s="284" t="n">
        <v>0.2</v>
      </c>
      <c r="BX35" s="284" t="n">
        <v>0.2</v>
      </c>
      <c r="BY35" s="284" t="n">
        <v>0.2</v>
      </c>
      <c r="BZ35" s="284" t="n">
        <v>0.34079</v>
      </c>
      <c r="CA35" s="284" t="n">
        <v>0.2</v>
      </c>
      <c r="CB35" s="284" t="n">
        <v>0.5672</v>
      </c>
      <c r="CC35" s="284" t="n">
        <v>2.4305</v>
      </c>
      <c r="CD35" s="284" t="n">
        <v>1.6614</v>
      </c>
      <c r="CE35" s="284" t="n">
        <v>1.9826</v>
      </c>
      <c r="CF35" s="285" t="s">
        <v>814</v>
      </c>
      <c r="CG35" s="286" t="s">
        <v>815</v>
      </c>
      <c r="CH35" s="285" t="s">
        <v>814</v>
      </c>
      <c r="CI35" s="288" t="s">
        <v>815</v>
      </c>
      <c r="CJ35" s="289" t="n">
        <v>0.223465</v>
      </c>
      <c r="CK35" s="290" t="n">
        <v>0.0574772768144074</v>
      </c>
      <c r="CL35" s="290" t="n">
        <v>0.338419553628815</v>
      </c>
      <c r="CM35" s="285" t="s">
        <v>814</v>
      </c>
      <c r="CN35" s="286" t="s">
        <v>815</v>
      </c>
      <c r="CO35" s="291" t="s">
        <v>816</v>
      </c>
      <c r="CP35" s="285" t="s">
        <v>810</v>
      </c>
      <c r="CQ35" s="292" t="n">
        <v>5</v>
      </c>
      <c r="CR35" s="293" t="n">
        <v>48</v>
      </c>
      <c r="CS35" s="294" t="n">
        <f aca="false">$CS$7+(CR35/24)</f>
        <v>45435.25</v>
      </c>
      <c r="CT35" s="295" t="n">
        <v>1</v>
      </c>
      <c r="CU35" s="296" t="n">
        <v>0.29333</v>
      </c>
      <c r="CV35" s="297" t="n">
        <f aca="false">(CS35-AG35)*24</f>
        <v>-10.1355555556011</v>
      </c>
      <c r="CW35" s="281" t="s">
        <v>819</v>
      </c>
      <c r="CX35" s="320" t="n">
        <f aca="false">(AT35-CS35)*24</f>
        <v>9</v>
      </c>
      <c r="CY35" s="299" t="s">
        <v>812</v>
      </c>
      <c r="CZ35" s="260" t="s">
        <v>185</v>
      </c>
      <c r="DA35" s="304" t="n">
        <v>72</v>
      </c>
      <c r="DB35" s="306" t="s">
        <v>354</v>
      </c>
      <c r="DD35" s="347" t="s">
        <v>835</v>
      </c>
      <c r="DE35" s="329"/>
      <c r="DF35" s="348" t="e">
        <f aca="false">(DF25/(DE29+DF25+DF28)*100)</f>
        <v>#REF!</v>
      </c>
      <c r="DG35" s="329"/>
      <c r="DH35" s="343" t="s">
        <v>841</v>
      </c>
    </row>
    <row r="36" customFormat="false" ht="15.75" hidden="false" customHeight="true" outlineLevel="0" collapsed="false">
      <c r="A36" s="273" t="s">
        <v>185</v>
      </c>
      <c r="B36" s="304" t="n">
        <v>73</v>
      </c>
      <c r="C36" s="305" t="n">
        <v>16262711376</v>
      </c>
      <c r="D36" s="306" t="s">
        <v>360</v>
      </c>
      <c r="E36" s="306" t="s">
        <v>361</v>
      </c>
      <c r="F36" s="305" t="s">
        <v>362</v>
      </c>
      <c r="G36" s="305" t="n">
        <v>88916</v>
      </c>
      <c r="H36" s="307"/>
      <c r="I36" s="308" t="n">
        <v>44116</v>
      </c>
      <c r="J36" s="309" t="n">
        <v>3.60821917808219</v>
      </c>
      <c r="K36" s="308" t="n">
        <v>45221</v>
      </c>
      <c r="L36" s="310" t="n">
        <v>94.9</v>
      </c>
      <c r="M36" s="310" t="n">
        <v>4</v>
      </c>
      <c r="N36" s="310" t="n">
        <v>4</v>
      </c>
      <c r="O36" s="311" t="n">
        <v>212</v>
      </c>
      <c r="P36" s="312" t="n">
        <v>297</v>
      </c>
      <c r="Q36" s="312" t="n">
        <v>0</v>
      </c>
      <c r="R36" s="312" t="n">
        <v>1392</v>
      </c>
      <c r="S36" s="312" t="n">
        <v>1476</v>
      </c>
      <c r="T36" s="312" t="n">
        <v>1297</v>
      </c>
      <c r="U36" s="312" t="n">
        <v>1288</v>
      </c>
      <c r="V36" s="312" t="n">
        <v>1372</v>
      </c>
      <c r="W36" s="313" t="n">
        <v>-19</v>
      </c>
      <c r="X36" s="314" t="n">
        <f aca="false">EXP(1.204+(0.102*J36)+(0.007*P36)-(0.001*V36)+(0.008*O36)-2.723)</f>
        <v>3.49746477547996</v>
      </c>
      <c r="Y36" s="314" t="n">
        <f aca="false">(X36/(1+X36))</f>
        <v>0.777652510931943</v>
      </c>
      <c r="Z36" s="314" t="n">
        <f aca="false">EXP(2.859+(0.011*P36)-(0.002*V36)+(0.275*J36)-1.952)</f>
        <v>11.2713067862855</v>
      </c>
      <c r="AA36" s="314" t="n">
        <f aca="false">(Z36/(1+Z36))</f>
        <v>0.918509086488034</v>
      </c>
      <c r="AB36" s="304" t="n">
        <v>73</v>
      </c>
      <c r="AC36" s="273" t="n">
        <v>6</v>
      </c>
      <c r="AD36" s="315"/>
      <c r="AE36" s="315"/>
      <c r="AF36" s="315"/>
      <c r="AG36" s="317" t="n">
        <v>45434.7570949074</v>
      </c>
      <c r="AH36" s="317" t="n">
        <v>45435.320162037</v>
      </c>
      <c r="AI36" s="309" t="n">
        <f aca="false">(AH36-AG36)*24</f>
        <v>13.5136111111111</v>
      </c>
      <c r="AJ36" s="318" t="n">
        <v>13.5136111111497</v>
      </c>
      <c r="AK36" s="315"/>
      <c r="AL36" s="315"/>
      <c r="AM36" s="315"/>
      <c r="AN36" s="318"/>
      <c r="AO36" s="318" t="n">
        <f aca="false">(AG36-$AO$7)*24</f>
        <v>34.6702777777778</v>
      </c>
      <c r="AP36" s="318" t="n">
        <f aca="false">AO36+35</f>
        <v>69.6702777777778</v>
      </c>
      <c r="AQ36" s="273" t="n">
        <v>23</v>
      </c>
      <c r="AR36" s="273" t="n">
        <v>2</v>
      </c>
      <c r="AS36" s="273" t="s">
        <v>815</v>
      </c>
      <c r="AT36" s="275" t="n">
        <v>45435.625</v>
      </c>
      <c r="AU36" s="319" t="s">
        <v>838</v>
      </c>
      <c r="AV36" s="19"/>
      <c r="AW36" s="277"/>
      <c r="AX36" s="277"/>
      <c r="AY36" s="277"/>
      <c r="AZ36" s="354"/>
      <c r="BA36" s="354"/>
      <c r="BB36" s="279"/>
      <c r="BC36" s="280"/>
      <c r="BD36" s="277"/>
      <c r="BE36" s="277"/>
      <c r="BF36" s="277"/>
      <c r="BG36" s="280"/>
      <c r="BH36" s="19"/>
      <c r="BI36" s="19"/>
      <c r="BJ36" s="260" t="n">
        <v>1</v>
      </c>
      <c r="BK36" s="273" t="n">
        <v>2</v>
      </c>
      <c r="BL36" s="273"/>
      <c r="BM36" s="273" t="s">
        <v>812</v>
      </c>
      <c r="BN36" s="281" t="s">
        <v>819</v>
      </c>
      <c r="BO36" s="273" t="n">
        <v>2</v>
      </c>
      <c r="BP36" s="265" t="n">
        <v>45583</v>
      </c>
      <c r="BQ36" s="282" t="n">
        <f aca="false">AT36+145</f>
        <v>45580.625</v>
      </c>
      <c r="BR36" s="283" t="n">
        <f aca="false">BP36-AT36</f>
        <v>147.375</v>
      </c>
      <c r="BS36" s="283" t="s">
        <v>35</v>
      </c>
      <c r="BT36" s="281" t="s">
        <v>819</v>
      </c>
      <c r="BU36" s="284" t="n">
        <v>2.0092</v>
      </c>
      <c r="BV36" s="284" t="n">
        <v>2.7497</v>
      </c>
      <c r="BW36" s="284" t="n">
        <v>0.2</v>
      </c>
      <c r="BX36" s="284" t="n">
        <v>0.2</v>
      </c>
      <c r="BY36" s="284" t="n">
        <v>0.28581</v>
      </c>
      <c r="BZ36" s="284" t="n">
        <v>0.2</v>
      </c>
      <c r="CA36" s="284" t="n">
        <v>0.45571</v>
      </c>
      <c r="CB36" s="284" t="n">
        <v>1.0834</v>
      </c>
      <c r="CC36" s="284" t="n">
        <v>1.7392</v>
      </c>
      <c r="CD36" s="284" t="n">
        <v>2.0746</v>
      </c>
      <c r="CE36" s="284" t="n">
        <v>2.4571</v>
      </c>
      <c r="CF36" s="325" t="s">
        <v>55</v>
      </c>
      <c r="CG36" s="327" t="s">
        <v>815</v>
      </c>
      <c r="CH36" s="325" t="s">
        <v>55</v>
      </c>
      <c r="CI36" s="326" t="s">
        <v>815</v>
      </c>
      <c r="CJ36" s="289" t="n">
        <v>0.2214525</v>
      </c>
      <c r="CK36" s="290" t="n">
        <v>0.0429050000000002</v>
      </c>
      <c r="CL36" s="290" t="n">
        <v>0.3072625</v>
      </c>
      <c r="CM36" s="325" t="s">
        <v>55</v>
      </c>
      <c r="CN36" s="327" t="s">
        <v>815</v>
      </c>
      <c r="CO36" s="291" t="s">
        <v>816</v>
      </c>
      <c r="CP36" s="285" t="s">
        <v>810</v>
      </c>
      <c r="CQ36" s="292" t="n">
        <v>4</v>
      </c>
      <c r="CR36" s="333" t="n">
        <v>48</v>
      </c>
      <c r="CS36" s="294" t="n">
        <f aca="false">$CS$7+(CR36/24)</f>
        <v>45435.25</v>
      </c>
      <c r="CT36" s="295" t="n">
        <v>2</v>
      </c>
      <c r="CU36" s="296" t="n">
        <v>1.095</v>
      </c>
      <c r="CV36" s="297" t="n">
        <f aca="false">(CS36-AG36)*24</f>
        <v>11.8297222222222</v>
      </c>
      <c r="CW36" s="281" t="s">
        <v>819</v>
      </c>
      <c r="CX36" s="320" t="n">
        <f aca="false">(AT36-CS36)*24</f>
        <v>9</v>
      </c>
      <c r="CY36" s="299" t="s">
        <v>812</v>
      </c>
      <c r="CZ36" s="260" t="s">
        <v>185</v>
      </c>
      <c r="DA36" s="304" t="n">
        <v>73</v>
      </c>
      <c r="DB36" s="306" t="s">
        <v>360</v>
      </c>
      <c r="DD36" s="358"/>
      <c r="DE36" s="329"/>
      <c r="DF36" s="329"/>
      <c r="DG36" s="329"/>
      <c r="DH36" s="343"/>
    </row>
    <row r="37" customFormat="false" ht="15.75" hidden="false" customHeight="true" outlineLevel="0" collapsed="false">
      <c r="A37" s="273" t="s">
        <v>185</v>
      </c>
      <c r="B37" s="304" t="n">
        <v>74</v>
      </c>
      <c r="C37" s="305" t="n">
        <v>16262711401</v>
      </c>
      <c r="D37" s="306" t="s">
        <v>369</v>
      </c>
      <c r="E37" s="306" t="s">
        <v>370</v>
      </c>
      <c r="F37" s="305" t="s">
        <v>371</v>
      </c>
      <c r="G37" s="305" t="n">
        <v>88798</v>
      </c>
      <c r="H37" s="307"/>
      <c r="I37" s="308" t="n">
        <v>44116</v>
      </c>
      <c r="J37" s="309" t="n">
        <v>3.60821917808219</v>
      </c>
      <c r="K37" s="308" t="n">
        <v>45221</v>
      </c>
      <c r="L37" s="310" t="n">
        <v>75.5</v>
      </c>
      <c r="M37" s="310" t="n">
        <v>3.75</v>
      </c>
      <c r="N37" s="310" t="n">
        <v>4</v>
      </c>
      <c r="O37" s="311" t="n">
        <v>212</v>
      </c>
      <c r="P37" s="312" t="n">
        <v>254</v>
      </c>
      <c r="Q37" s="312" t="n">
        <v>0</v>
      </c>
      <c r="R37" s="312" t="n">
        <v>1943</v>
      </c>
      <c r="S37" s="312" t="n">
        <v>1647</v>
      </c>
      <c r="T37" s="312" t="n">
        <v>1325</v>
      </c>
      <c r="U37" s="312" t="n">
        <v>1176</v>
      </c>
      <c r="V37" s="312" t="n">
        <v>1086</v>
      </c>
      <c r="W37" s="313" t="n">
        <v>-105</v>
      </c>
      <c r="X37" s="314" t="n">
        <f aca="false">EXP(1.204+(0.102*J37)+(0.007*P37)-(0.001*V37)+(0.008*O37)-2.723)</f>
        <v>3.44539430866645</v>
      </c>
      <c r="Y37" s="314" t="n">
        <f aca="false">(X37/(1+X37))</f>
        <v>0.775048076601334</v>
      </c>
      <c r="Z37" s="314" t="n">
        <f aca="false">EXP(2.859+(0.011*P37)-(0.002*V37)+(0.275*J37)-1.952)</f>
        <v>12.4442699747272</v>
      </c>
      <c r="AA37" s="314" t="n">
        <f aca="false">(Z37/(1+Z37))</f>
        <v>0.925618869460386</v>
      </c>
      <c r="AB37" s="304" t="n">
        <v>74</v>
      </c>
      <c r="AC37" s="273"/>
      <c r="AD37" s="315"/>
      <c r="AE37" s="315"/>
      <c r="AF37" s="315"/>
      <c r="AG37" s="317"/>
      <c r="AH37" s="317"/>
      <c r="AI37" s="309"/>
      <c r="AJ37" s="318"/>
      <c r="AK37" s="315"/>
      <c r="AL37" s="315"/>
      <c r="AM37" s="315"/>
      <c r="AN37" s="318"/>
      <c r="AO37" s="318"/>
      <c r="AP37" s="318"/>
      <c r="AQ37" s="273"/>
      <c r="AR37" s="273"/>
      <c r="AS37" s="272" t="s">
        <v>810</v>
      </c>
      <c r="AT37" s="275" t="n">
        <v>45435.625</v>
      </c>
      <c r="AU37" s="319" t="s">
        <v>818</v>
      </c>
      <c r="AV37" s="19"/>
      <c r="AW37" s="277"/>
      <c r="AX37" s="277"/>
      <c r="AY37" s="277"/>
      <c r="AZ37" s="354"/>
      <c r="BA37" s="354"/>
      <c r="BB37" s="279"/>
      <c r="BC37" s="280"/>
      <c r="BD37" s="277"/>
      <c r="BE37" s="277"/>
      <c r="BF37" s="277"/>
      <c r="BG37" s="280"/>
      <c r="BH37" s="19"/>
      <c r="BI37" s="19"/>
      <c r="BJ37" s="260" t="n">
        <v>1</v>
      </c>
      <c r="BK37" s="273" t="n">
        <v>3</v>
      </c>
      <c r="BL37" s="273"/>
      <c r="BM37" s="273" t="s">
        <v>812</v>
      </c>
      <c r="BN37" s="281" t="s">
        <v>813</v>
      </c>
      <c r="BO37" s="273" t="n">
        <v>2</v>
      </c>
      <c r="BP37" s="265" t="n">
        <v>45583</v>
      </c>
      <c r="BQ37" s="282" t="n">
        <f aca="false">AT37+145</f>
        <v>45580.625</v>
      </c>
      <c r="BR37" s="283" t="n">
        <f aca="false">BP37-AT37</f>
        <v>147.375</v>
      </c>
      <c r="BS37" s="283" t="s">
        <v>35</v>
      </c>
      <c r="BT37" s="281" t="s">
        <v>813</v>
      </c>
      <c r="BU37" s="284" t="n">
        <v>0.2</v>
      </c>
      <c r="BV37" s="284" t="n">
        <v>0.2</v>
      </c>
      <c r="BW37" s="284" t="n">
        <v>0.2</v>
      </c>
      <c r="BX37" s="284" t="n">
        <v>0.2</v>
      </c>
      <c r="BY37" s="284" t="n">
        <v>0.2</v>
      </c>
      <c r="BZ37" s="284" t="n">
        <v>0.2</v>
      </c>
      <c r="CA37" s="284" t="n">
        <v>0.2</v>
      </c>
      <c r="CB37" s="284" t="n">
        <v>0.2</v>
      </c>
      <c r="CC37" s="331" t="n">
        <v>0.64061</v>
      </c>
      <c r="CD37" s="331" t="n">
        <v>0.31639</v>
      </c>
      <c r="CE37" s="331" t="n">
        <v>0.69142</v>
      </c>
      <c r="CF37" s="285" t="s">
        <v>814</v>
      </c>
      <c r="CG37" s="332" t="s">
        <v>810</v>
      </c>
      <c r="CH37" s="285" t="s">
        <v>814</v>
      </c>
      <c r="CI37" s="335" t="s">
        <v>810</v>
      </c>
      <c r="CJ37" s="289" t="n">
        <v>0.2</v>
      </c>
      <c r="CK37" s="290" t="n">
        <v>0</v>
      </c>
      <c r="CL37" s="290" t="n">
        <v>0.5</v>
      </c>
      <c r="CM37" s="285" t="s">
        <v>814</v>
      </c>
      <c r="CN37" s="336" t="s">
        <v>810</v>
      </c>
      <c r="CO37" s="291" t="s">
        <v>828</v>
      </c>
      <c r="CP37" s="285" t="s">
        <v>810</v>
      </c>
      <c r="CQ37" s="337"/>
      <c r="CR37" s="293" t="n">
        <v>48</v>
      </c>
      <c r="CS37" s="294" t="n">
        <f aca="false">$CS$7+(CR37/24)</f>
        <v>45435.25</v>
      </c>
      <c r="CT37" s="295" t="n">
        <v>1.5</v>
      </c>
      <c r="CU37" s="296" t="n">
        <v>0.78604</v>
      </c>
      <c r="CV37" s="297"/>
      <c r="CW37" s="281" t="s">
        <v>813</v>
      </c>
      <c r="CX37" s="320" t="n">
        <f aca="false">(AT37-CS37)*24</f>
        <v>9</v>
      </c>
      <c r="CY37" s="299" t="s">
        <v>812</v>
      </c>
      <c r="CZ37" s="260" t="s">
        <v>185</v>
      </c>
      <c r="DA37" s="304" t="n">
        <v>74</v>
      </c>
      <c r="DB37" s="306" t="s">
        <v>369</v>
      </c>
      <c r="DD37" s="358"/>
      <c r="DE37" s="329"/>
      <c r="DF37" s="329"/>
      <c r="DG37" s="329"/>
      <c r="DH37" s="343"/>
    </row>
    <row r="38" customFormat="false" ht="15.75" hidden="false" customHeight="true" outlineLevel="0" collapsed="false">
      <c r="A38" s="273" t="s">
        <v>185</v>
      </c>
      <c r="B38" s="304" t="n">
        <v>90</v>
      </c>
      <c r="C38" s="305" t="n">
        <v>16262721406</v>
      </c>
      <c r="D38" s="306" t="s">
        <v>375</v>
      </c>
      <c r="E38" s="306" t="s">
        <v>376</v>
      </c>
      <c r="F38" s="305" t="s">
        <v>377</v>
      </c>
      <c r="G38" s="305" t="n">
        <v>89262</v>
      </c>
      <c r="H38" s="307"/>
      <c r="I38" s="308" t="n">
        <v>44482</v>
      </c>
      <c r="J38" s="309" t="n">
        <v>2.60547945205479</v>
      </c>
      <c r="K38" s="308" t="n">
        <v>45204</v>
      </c>
      <c r="L38" s="310" t="n">
        <v>59.3</v>
      </c>
      <c r="M38" s="310" t="n">
        <v>3</v>
      </c>
      <c r="N38" s="310" t="n">
        <v>2.75</v>
      </c>
      <c r="O38" s="311" t="n">
        <v>229</v>
      </c>
      <c r="P38" s="312" t="n">
        <v>349</v>
      </c>
      <c r="Q38" s="312" t="n">
        <v>2384</v>
      </c>
      <c r="R38" s="312" t="n">
        <v>2378</v>
      </c>
      <c r="S38" s="312" t="n">
        <v>2357</v>
      </c>
      <c r="T38" s="312" t="n">
        <v>2086</v>
      </c>
      <c r="U38" s="312" t="n">
        <v>1875</v>
      </c>
      <c r="V38" s="312" t="n">
        <v>1515</v>
      </c>
      <c r="W38" s="313" t="n">
        <v>0</v>
      </c>
      <c r="X38" s="314" t="n">
        <f aca="false">EXP(0.585+(0.102*J38)+(0.007*P38)-(0.001*V38)+(0.008*O38)-2.723)</f>
        <v>2.42967840290251</v>
      </c>
      <c r="Y38" s="314" t="n">
        <f aca="false">(X38/(1+X38))</f>
        <v>0.708427472630172</v>
      </c>
      <c r="Z38" s="314" t="n">
        <f aca="false">EXP(1.741+(0.011*P38)-(0.002*V38)+(0.275*J38)-1.952)</f>
        <v>3.72291457460244</v>
      </c>
      <c r="AA38" s="314" t="n">
        <f aca="false">(Z38/(1+Z38))</f>
        <v>0.788266337617556</v>
      </c>
      <c r="AB38" s="304" t="n">
        <v>90</v>
      </c>
      <c r="AC38" s="273" t="n">
        <v>22</v>
      </c>
      <c r="AD38" s="315"/>
      <c r="AE38" s="315"/>
      <c r="AF38" s="315"/>
      <c r="AG38" s="317" t="n">
        <v>45435.6844560185</v>
      </c>
      <c r="AH38" s="317" t="n">
        <v>45435.6844560185</v>
      </c>
      <c r="AI38" s="309" t="n">
        <f aca="false">(AH38-AG38)*24</f>
        <v>0</v>
      </c>
      <c r="AJ38" s="318" t="n">
        <v>1</v>
      </c>
      <c r="AK38" s="315"/>
      <c r="AL38" s="315"/>
      <c r="AM38" s="315"/>
      <c r="AN38" s="318"/>
      <c r="AO38" s="318" t="n">
        <f aca="false">(AG38-$AO$7)*24</f>
        <v>56.9269444444444</v>
      </c>
      <c r="AP38" s="318" t="n">
        <f aca="false">AO38+35</f>
        <v>91.9269444444444</v>
      </c>
      <c r="AQ38" s="273" t="n">
        <v>1</v>
      </c>
      <c r="AR38" s="273" t="n">
        <v>1</v>
      </c>
      <c r="AS38" s="272" t="s">
        <v>810</v>
      </c>
      <c r="AT38" s="275" t="n">
        <v>45435.625</v>
      </c>
      <c r="AU38" s="319" t="s">
        <v>824</v>
      </c>
      <c r="AV38" s="19"/>
      <c r="AW38" s="277"/>
      <c r="AX38" s="277"/>
      <c r="AY38" s="277"/>
      <c r="AZ38" s="354"/>
      <c r="BA38" s="354"/>
      <c r="BB38" s="279"/>
      <c r="BC38" s="280"/>
      <c r="BD38" s="277"/>
      <c r="BE38" s="277"/>
      <c r="BF38" s="277"/>
      <c r="BG38" s="280"/>
      <c r="BH38" s="19"/>
      <c r="BI38" s="19"/>
      <c r="BJ38" s="260" t="n">
        <v>1</v>
      </c>
      <c r="BK38" s="273" t="n">
        <v>1</v>
      </c>
      <c r="BL38" s="273"/>
      <c r="BM38" s="273" t="s">
        <v>812</v>
      </c>
      <c r="BN38" s="281" t="s">
        <v>840</v>
      </c>
      <c r="BO38" s="273" t="n">
        <v>1</v>
      </c>
      <c r="BP38" s="265" t="n">
        <v>45586</v>
      </c>
      <c r="BQ38" s="282" t="n">
        <f aca="false">AT38+145</f>
        <v>45580.625</v>
      </c>
      <c r="BR38" s="283" t="n">
        <f aca="false">BP38-AT38</f>
        <v>150.375</v>
      </c>
      <c r="BS38" s="283" t="s">
        <v>35</v>
      </c>
      <c r="BT38" s="281" t="s">
        <v>840</v>
      </c>
      <c r="BU38" s="284" t="n">
        <v>0.2</v>
      </c>
      <c r="BV38" s="284" t="n">
        <v>0.2</v>
      </c>
      <c r="BW38" s="284" t="n">
        <v>0.2</v>
      </c>
      <c r="BX38" s="284" t="n">
        <v>0.2</v>
      </c>
      <c r="BY38" s="284" t="n">
        <v>0.2</v>
      </c>
      <c r="BZ38" s="284" t="n">
        <v>0.2</v>
      </c>
      <c r="CA38" s="284" t="n">
        <v>0.2</v>
      </c>
      <c r="CB38" s="284" t="n">
        <v>0.2</v>
      </c>
      <c r="CC38" s="284" t="n">
        <v>0.2</v>
      </c>
      <c r="CD38" s="331" t="n">
        <v>0.64391</v>
      </c>
      <c r="CE38" s="331" t="n">
        <v>1.2303</v>
      </c>
      <c r="CF38" s="285" t="s">
        <v>814</v>
      </c>
      <c r="CG38" s="332" t="s">
        <v>810</v>
      </c>
      <c r="CH38" s="285" t="s">
        <v>814</v>
      </c>
      <c r="CI38" s="288" t="s">
        <v>815</v>
      </c>
      <c r="CJ38" s="289" t="n">
        <v>0.2</v>
      </c>
      <c r="CK38" s="290" t="n">
        <v>0</v>
      </c>
      <c r="CL38" s="290" t="n">
        <v>0.5</v>
      </c>
      <c r="CM38" s="285" t="s">
        <v>814</v>
      </c>
      <c r="CN38" s="286" t="s">
        <v>815</v>
      </c>
      <c r="CO38" s="291" t="s">
        <v>823</v>
      </c>
      <c r="CP38" s="285" t="s">
        <v>810</v>
      </c>
      <c r="CQ38" s="292" t="n">
        <v>7</v>
      </c>
      <c r="CR38" s="293" t="n">
        <v>48</v>
      </c>
      <c r="CS38" s="294" t="n">
        <f aca="false">$CS$7+(CR38/24)</f>
        <v>45435.25</v>
      </c>
      <c r="CT38" s="295" t="n">
        <v>1.5</v>
      </c>
      <c r="CU38" s="296" t="n">
        <v>0.48137</v>
      </c>
      <c r="CV38" s="297" t="n">
        <f aca="false">(CS38-AG38)*24</f>
        <v>-10.4269444445156</v>
      </c>
      <c r="CW38" s="281" t="s">
        <v>819</v>
      </c>
      <c r="CX38" s="320" t="n">
        <f aca="false">(AT38-CS38)*24</f>
        <v>9</v>
      </c>
      <c r="CY38" s="299" t="s">
        <v>812</v>
      </c>
      <c r="CZ38" s="260" t="s">
        <v>185</v>
      </c>
      <c r="DA38" s="304" t="n">
        <v>90</v>
      </c>
      <c r="DB38" s="306" t="s">
        <v>375</v>
      </c>
      <c r="DD38" s="358"/>
      <c r="DE38" s="329"/>
      <c r="DF38" s="329"/>
      <c r="DG38" s="329"/>
      <c r="DH38" s="343"/>
    </row>
    <row r="39" customFormat="false" ht="15.75" hidden="false" customHeight="true" outlineLevel="0" collapsed="false">
      <c r="A39" s="273" t="s">
        <v>185</v>
      </c>
      <c r="B39" s="304" t="n">
        <v>92</v>
      </c>
      <c r="C39" s="305" t="n">
        <v>16262721536</v>
      </c>
      <c r="D39" s="306" t="s">
        <v>339</v>
      </c>
      <c r="E39" s="306" t="s">
        <v>340</v>
      </c>
      <c r="F39" s="305" t="s">
        <v>341</v>
      </c>
      <c r="G39" s="305" t="n">
        <v>88527</v>
      </c>
      <c r="H39" s="307"/>
      <c r="I39" s="308" t="n">
        <v>44483</v>
      </c>
      <c r="J39" s="309" t="n">
        <v>2.6027397260274</v>
      </c>
      <c r="K39" s="308" t="n">
        <v>45205</v>
      </c>
      <c r="L39" s="310" t="n">
        <v>70.8</v>
      </c>
      <c r="M39" s="310" t="n">
        <v>3.5</v>
      </c>
      <c r="N39" s="310" t="n">
        <v>3.75</v>
      </c>
      <c r="O39" s="311" t="n">
        <v>228</v>
      </c>
      <c r="P39" s="312" t="n">
        <v>233</v>
      </c>
      <c r="Q39" s="312" t="n">
        <v>2115</v>
      </c>
      <c r="R39" s="312" t="n">
        <v>1885</v>
      </c>
      <c r="S39" s="312" t="n">
        <v>1590</v>
      </c>
      <c r="T39" s="312" t="n">
        <v>1184</v>
      </c>
      <c r="U39" s="312" t="n">
        <v>1120</v>
      </c>
      <c r="V39" s="312" t="n">
        <v>943</v>
      </c>
      <c r="W39" s="313" t="n">
        <v>-122</v>
      </c>
      <c r="X39" s="314" t="n">
        <f aca="false">EXP(1.204+(0.102*J39)+(0.007*P39)-(0.001*V39)+(0.008*O39)-2.723)</f>
        <v>3.52006498840558</v>
      </c>
      <c r="Y39" s="314" t="n">
        <f aca="false">(X39/(1+X39))</f>
        <v>0.77876424286706</v>
      </c>
      <c r="Z39" s="314" t="n">
        <f aca="false">EXP(2.859+(0.011*P39)-(0.002*V39)+(0.275*J39)-1.952)</f>
        <v>9.97172337054734</v>
      </c>
      <c r="AA39" s="314" t="n">
        <f aca="false">(Z39/(1+Z39))</f>
        <v>0.908856615663095</v>
      </c>
      <c r="AB39" s="304" t="n">
        <v>92</v>
      </c>
      <c r="AC39" s="273" t="n">
        <v>5</v>
      </c>
      <c r="AD39" s="315"/>
      <c r="AE39" s="315"/>
      <c r="AF39" s="315"/>
      <c r="AG39" s="317" t="n">
        <v>45434.6563425926</v>
      </c>
      <c r="AH39" s="317" t="n">
        <v>45435.1986689815</v>
      </c>
      <c r="AI39" s="309" t="n">
        <f aca="false">(AH39-AG39)*24</f>
        <v>13.0158333333333</v>
      </c>
      <c r="AJ39" s="318" t="n">
        <v>13.0158333333093</v>
      </c>
      <c r="AK39" s="315"/>
      <c r="AL39" s="315"/>
      <c r="AM39" s="315"/>
      <c r="AN39" s="318"/>
      <c r="AO39" s="318" t="n">
        <f aca="false">(AG39-$AO$7)*24</f>
        <v>32.2522222222222</v>
      </c>
      <c r="AP39" s="318" t="n">
        <f aca="false">AO39+35</f>
        <v>67.2522222222222</v>
      </c>
      <c r="AQ39" s="273" t="n">
        <v>8</v>
      </c>
      <c r="AR39" s="273" t="n">
        <v>1</v>
      </c>
      <c r="AS39" s="273" t="s">
        <v>815</v>
      </c>
      <c r="AT39" s="275" t="n">
        <v>45435.625</v>
      </c>
      <c r="AU39" s="276" t="s">
        <v>811</v>
      </c>
      <c r="AV39" s="19" t="n">
        <v>5</v>
      </c>
      <c r="AW39" s="277"/>
      <c r="AX39" s="277"/>
      <c r="AY39" s="277"/>
      <c r="AZ39" s="278" t="n">
        <v>45457.486875</v>
      </c>
      <c r="BA39" s="278" t="n">
        <v>45457.486875</v>
      </c>
      <c r="BB39" s="279" t="n">
        <f aca="false">(BA39-AZ39)*24</f>
        <v>0</v>
      </c>
      <c r="BC39" s="280" t="n">
        <v>1</v>
      </c>
      <c r="BD39" s="277"/>
      <c r="BE39" s="277"/>
      <c r="BF39" s="277"/>
      <c r="BG39" s="280"/>
      <c r="BH39" s="19" t="n">
        <v>1</v>
      </c>
      <c r="BI39" s="19" t="n">
        <v>1</v>
      </c>
      <c r="BJ39" s="260" t="n">
        <v>1</v>
      </c>
      <c r="BK39" s="273" t="n">
        <v>2</v>
      </c>
      <c r="BL39" s="273"/>
      <c r="BM39" s="273" t="s">
        <v>812</v>
      </c>
      <c r="BN39" s="281" t="s">
        <v>819</v>
      </c>
      <c r="BO39" s="273" t="n">
        <v>2</v>
      </c>
      <c r="BP39" s="265" t="n">
        <v>45581</v>
      </c>
      <c r="BQ39" s="282" t="n">
        <f aca="false">AT39+145</f>
        <v>45580.625</v>
      </c>
      <c r="BR39" s="283" t="n">
        <f aca="false">BP39-AT39</f>
        <v>145.375</v>
      </c>
      <c r="BS39" s="283" t="s">
        <v>35</v>
      </c>
      <c r="BT39" s="281" t="s">
        <v>819</v>
      </c>
      <c r="BU39" s="284" t="n">
        <v>0.2</v>
      </c>
      <c r="BV39" s="284" t="n">
        <v>0.2</v>
      </c>
      <c r="BW39" s="284" t="n">
        <v>0.2</v>
      </c>
      <c r="BX39" s="284" t="n">
        <v>0.25</v>
      </c>
      <c r="BY39" s="284" t="n">
        <v>0.45916</v>
      </c>
      <c r="BZ39" s="284" t="n">
        <v>0.42926</v>
      </c>
      <c r="CA39" s="284" t="n">
        <v>1.0519</v>
      </c>
      <c r="CB39" s="284" t="n">
        <v>0.85669</v>
      </c>
      <c r="CC39" s="284" t="n">
        <v>3.0313</v>
      </c>
      <c r="CD39" s="284" t="n">
        <v>3.7553</v>
      </c>
      <c r="CE39" s="284" t="n">
        <v>4.609</v>
      </c>
      <c r="CF39" s="285" t="s">
        <v>814</v>
      </c>
      <c r="CG39" s="286" t="s">
        <v>815</v>
      </c>
      <c r="CH39" s="285" t="s">
        <v>814</v>
      </c>
      <c r="CI39" s="288" t="s">
        <v>815</v>
      </c>
      <c r="CJ39" s="289" t="n">
        <v>0.289736666666667</v>
      </c>
      <c r="CK39" s="290" t="n">
        <v>0.12157963409497</v>
      </c>
      <c r="CL39" s="290" t="n">
        <v>0.532895934856606</v>
      </c>
      <c r="CM39" s="285" t="s">
        <v>814</v>
      </c>
      <c r="CN39" s="286" t="s">
        <v>815</v>
      </c>
      <c r="CO39" s="291" t="s">
        <v>816</v>
      </c>
      <c r="CP39" s="285" t="s">
        <v>810</v>
      </c>
      <c r="CQ39" s="292" t="n">
        <v>4</v>
      </c>
      <c r="CR39" s="293" t="n">
        <v>48</v>
      </c>
      <c r="CS39" s="294" t="n">
        <f aca="false">$CS$7+(CR39/24)</f>
        <v>45435.25</v>
      </c>
      <c r="CT39" s="295" t="n">
        <v>1</v>
      </c>
      <c r="CU39" s="296" t="n">
        <v>0.49774</v>
      </c>
      <c r="CV39" s="297" t="n">
        <f aca="false">(CS39-AG39)*24</f>
        <v>14.2477777777778</v>
      </c>
      <c r="CW39" s="281" t="s">
        <v>819</v>
      </c>
      <c r="CX39" s="320" t="n">
        <f aca="false">(AT39-CS39)*24</f>
        <v>9</v>
      </c>
      <c r="CY39" s="299" t="s">
        <v>812</v>
      </c>
      <c r="CZ39" s="260" t="s">
        <v>185</v>
      </c>
      <c r="DA39" s="304" t="n">
        <v>92</v>
      </c>
      <c r="DB39" s="306" t="s">
        <v>339</v>
      </c>
      <c r="DD39" s="358"/>
      <c r="DE39" s="329"/>
      <c r="DF39" s="329"/>
      <c r="DG39" s="329"/>
      <c r="DH39" s="343"/>
    </row>
    <row r="40" customFormat="false" ht="15.75" hidden="false" customHeight="true" outlineLevel="0" collapsed="false">
      <c r="A40" s="273" t="s">
        <v>185</v>
      </c>
      <c r="B40" s="304" t="n">
        <v>93</v>
      </c>
      <c r="C40" s="305" t="n">
        <v>16262731114</v>
      </c>
      <c r="D40" s="306" t="s">
        <v>327</v>
      </c>
      <c r="E40" s="306" t="s">
        <v>328</v>
      </c>
      <c r="F40" s="305" t="s">
        <v>329</v>
      </c>
      <c r="G40" s="305" t="n">
        <v>88485</v>
      </c>
      <c r="H40" s="307"/>
      <c r="I40" s="308" t="n">
        <v>44844</v>
      </c>
      <c r="J40" s="309" t="n">
        <v>1.61369863013699</v>
      </c>
      <c r="K40" s="308" t="n">
        <v>45278</v>
      </c>
      <c r="L40" s="310" t="n">
        <v>56.9</v>
      </c>
      <c r="M40" s="310" t="n">
        <v>3</v>
      </c>
      <c r="N40" s="310" t="n">
        <v>3</v>
      </c>
      <c r="O40" s="311" t="n">
        <v>155</v>
      </c>
      <c r="P40" s="312" t="n">
        <v>155</v>
      </c>
      <c r="Q40" s="312" t="n">
        <v>0</v>
      </c>
      <c r="R40" s="312" t="n">
        <v>0</v>
      </c>
      <c r="S40" s="312" t="n">
        <v>1732</v>
      </c>
      <c r="T40" s="312" t="n">
        <v>1635</v>
      </c>
      <c r="U40" s="312" t="n">
        <v>1400</v>
      </c>
      <c r="V40" s="312" t="n">
        <v>1344</v>
      </c>
      <c r="W40" s="313" t="n">
        <v>0</v>
      </c>
      <c r="X40" s="314" t="n">
        <f aca="false">EXP(0.585+(0.102*J40)+(0.007*P40)-(0.001*V40)+(0.008*O40)-2.723)</f>
        <v>0.370684960672238</v>
      </c>
      <c r="Y40" s="314" t="n">
        <f aca="false">(X40/(1+X40))</f>
        <v>0.270437752881187</v>
      </c>
      <c r="Z40" s="314" t="n">
        <f aca="false">EXP(1.741+(0.011*P40)-(0.002*V40)+(0.275*J40)-1.952)</f>
        <v>0.472256562378792</v>
      </c>
      <c r="AA40" s="314" t="n">
        <f aca="false">(Z40/(1+Z40))</f>
        <v>0.320770560272284</v>
      </c>
      <c r="AB40" s="304" t="n">
        <v>93</v>
      </c>
      <c r="AC40" s="273" t="n">
        <v>11</v>
      </c>
      <c r="AD40" s="315"/>
      <c r="AE40" s="315"/>
      <c r="AF40" s="315"/>
      <c r="AG40" s="317" t="n">
        <v>45435.1770833333</v>
      </c>
      <c r="AH40" s="317" t="n">
        <v>45435.6170023148</v>
      </c>
      <c r="AI40" s="309" t="n">
        <f aca="false">(AH40-AG40)*24</f>
        <v>10.5580555555556</v>
      </c>
      <c r="AJ40" s="318" t="n">
        <v>10.5580555555061</v>
      </c>
      <c r="AK40" s="315"/>
      <c r="AL40" s="315"/>
      <c r="AM40" s="315"/>
      <c r="AN40" s="318"/>
      <c r="AO40" s="318" t="n">
        <f aca="false">(AG40-$AO$7)*24</f>
        <v>44.75</v>
      </c>
      <c r="AP40" s="318" t="n">
        <f aca="false">AO40+35</f>
        <v>79.75</v>
      </c>
      <c r="AQ40" s="273" t="n">
        <v>29</v>
      </c>
      <c r="AR40" s="273" t="n">
        <v>2</v>
      </c>
      <c r="AS40" s="273" t="s">
        <v>815</v>
      </c>
      <c r="AT40" s="275" t="n">
        <v>45435.625</v>
      </c>
      <c r="AU40" s="319" t="s">
        <v>838</v>
      </c>
      <c r="AV40" s="19" t="n">
        <v>11</v>
      </c>
      <c r="AW40" s="277"/>
      <c r="AX40" s="277"/>
      <c r="AY40" s="277"/>
      <c r="AZ40" s="354" t="n">
        <v>45451.603912037</v>
      </c>
      <c r="BA40" s="278" t="n">
        <v>45453.0863773148</v>
      </c>
      <c r="BB40" s="279" t="n">
        <f aca="false">(BA40-AZ40)*24</f>
        <v>35.5791666666667</v>
      </c>
      <c r="BC40" s="280" t="n">
        <v>35.5791666666046</v>
      </c>
      <c r="BD40" s="277"/>
      <c r="BE40" s="277"/>
      <c r="BF40" s="277"/>
      <c r="BG40" s="280"/>
      <c r="BH40" s="19" t="n">
        <v>9</v>
      </c>
      <c r="BI40" s="19" t="n">
        <v>3</v>
      </c>
      <c r="BJ40" s="273" t="n">
        <v>0</v>
      </c>
      <c r="BK40" s="273"/>
      <c r="BL40" s="273" t="s">
        <v>826</v>
      </c>
      <c r="BM40" s="273" t="s">
        <v>106</v>
      </c>
      <c r="BN40" s="281" t="s">
        <v>819</v>
      </c>
      <c r="BO40" s="273" t="n">
        <v>1</v>
      </c>
      <c r="BP40" s="265" t="n">
        <v>45611</v>
      </c>
      <c r="BQ40" s="282" t="n">
        <f aca="false">AZ40+145</f>
        <v>45596.603912037</v>
      </c>
      <c r="BR40" s="283" t="n">
        <f aca="false">BP40-AT40</f>
        <v>175.375</v>
      </c>
      <c r="BS40" s="283" t="s">
        <v>830</v>
      </c>
      <c r="BT40" s="281" t="s">
        <v>827</v>
      </c>
      <c r="BU40" s="284" t="n">
        <v>0.2</v>
      </c>
      <c r="BV40" s="284" t="n">
        <v>0.2</v>
      </c>
      <c r="BW40" s="284" t="n">
        <v>0.2</v>
      </c>
      <c r="BX40" s="284" t="n">
        <v>0.2</v>
      </c>
      <c r="BY40" s="284" t="n">
        <v>0.2</v>
      </c>
      <c r="BZ40" s="284" t="n">
        <v>0.2</v>
      </c>
      <c r="CA40" s="284" t="n">
        <v>0.2</v>
      </c>
      <c r="CB40" s="284" t="n">
        <v>0.3248</v>
      </c>
      <c r="CC40" s="331" t="n">
        <v>1.4337</v>
      </c>
      <c r="CD40" s="331" t="n">
        <v>1.2698</v>
      </c>
      <c r="CE40" s="284" t="n">
        <v>0.34188</v>
      </c>
      <c r="CF40" s="285" t="s">
        <v>814</v>
      </c>
      <c r="CG40" s="332" t="s">
        <v>810</v>
      </c>
      <c r="CH40" s="285" t="s">
        <v>814</v>
      </c>
      <c r="CI40" s="288" t="s">
        <v>815</v>
      </c>
      <c r="CJ40" s="289" t="n">
        <v>0.2</v>
      </c>
      <c r="CK40" s="290" t="n">
        <v>0</v>
      </c>
      <c r="CL40" s="290" t="n">
        <v>0.5</v>
      </c>
      <c r="CM40" s="285" t="s">
        <v>814</v>
      </c>
      <c r="CN40" s="286" t="s">
        <v>815</v>
      </c>
      <c r="CO40" s="291" t="s">
        <v>822</v>
      </c>
      <c r="CP40" s="285" t="s">
        <v>810</v>
      </c>
      <c r="CQ40" s="292" t="n">
        <v>6</v>
      </c>
      <c r="CR40" s="293" t="n">
        <v>48</v>
      </c>
      <c r="CS40" s="294" t="n">
        <f aca="false">$CS$7+(CR40/24)</f>
        <v>45435.25</v>
      </c>
      <c r="CT40" s="295" t="n">
        <v>1.5</v>
      </c>
      <c r="CU40" s="296" t="n">
        <v>0.34579</v>
      </c>
      <c r="CV40" s="297" t="n">
        <f aca="false">(CS40-AG40)*24</f>
        <v>1.75</v>
      </c>
      <c r="CW40" s="281" t="s">
        <v>819</v>
      </c>
      <c r="CX40" s="320" t="n">
        <f aca="false">(AT40-CS40)*24</f>
        <v>9</v>
      </c>
      <c r="CY40" s="338" t="s">
        <v>106</v>
      </c>
      <c r="CZ40" s="260" t="s">
        <v>185</v>
      </c>
      <c r="DA40" s="304" t="n">
        <v>93</v>
      </c>
      <c r="DB40" s="306" t="s">
        <v>327</v>
      </c>
      <c r="DD40" s="358"/>
      <c r="DE40" s="329"/>
      <c r="DF40" s="329"/>
      <c r="DG40" s="329"/>
      <c r="DH40" s="343"/>
    </row>
    <row r="41" customFormat="false" ht="15.75" hidden="false" customHeight="true" outlineLevel="0" collapsed="false">
      <c r="A41" s="273" t="s">
        <v>185</v>
      </c>
      <c r="B41" s="359" t="n">
        <v>94</v>
      </c>
      <c r="C41" s="305" t="n">
        <v>16262731173</v>
      </c>
      <c r="D41" s="306" t="s">
        <v>390</v>
      </c>
      <c r="E41" s="306" t="s">
        <v>391</v>
      </c>
      <c r="F41" s="305" t="s">
        <v>392</v>
      </c>
      <c r="G41" s="305" t="n">
        <v>89213</v>
      </c>
      <c r="H41" s="307"/>
      <c r="I41" s="308" t="n">
        <v>44846</v>
      </c>
      <c r="J41" s="309" t="n">
        <v>1.60821917808219</v>
      </c>
      <c r="K41" s="308" t="n">
        <v>45243</v>
      </c>
      <c r="L41" s="310" t="n">
        <v>57</v>
      </c>
      <c r="M41" s="310" t="n">
        <v>3.5</v>
      </c>
      <c r="N41" s="310" t="n">
        <v>3.22</v>
      </c>
      <c r="O41" s="311" t="n">
        <v>190</v>
      </c>
      <c r="P41" s="312" t="n">
        <v>179</v>
      </c>
      <c r="Q41" s="312" t="n">
        <v>0</v>
      </c>
      <c r="R41" s="312" t="n">
        <v>0</v>
      </c>
      <c r="S41" s="312" t="n">
        <v>1647</v>
      </c>
      <c r="T41" s="312" t="n">
        <v>1410</v>
      </c>
      <c r="U41" s="312" t="n">
        <v>784</v>
      </c>
      <c r="V41" s="312" t="n">
        <v>1029</v>
      </c>
      <c r="W41" s="313" t="n">
        <v>-67</v>
      </c>
      <c r="X41" s="314" t="n">
        <f aca="false">EXP(1.204+(0.102*J41)+(0.007*P41)-(0.001*V41)+(0.008*O41)-2.723)</f>
        <v>1.47556114711357</v>
      </c>
      <c r="Y41" s="314" t="n">
        <f aca="false">(X41/(1+X41))</f>
        <v>0.596051181702391</v>
      </c>
      <c r="Z41" s="314" t="n">
        <f aca="false">EXP(2.859+(0.011*P41)-(0.002*V41)+(0.275*J41)-1.952)</f>
        <v>3.52633918224186</v>
      </c>
      <c r="AA41" s="314" t="n">
        <f aca="false">(Z41/(1+Z41))</f>
        <v>0.779070909240896</v>
      </c>
      <c r="AB41" s="359" t="n">
        <v>94</v>
      </c>
      <c r="AC41" s="273" t="n">
        <v>28</v>
      </c>
      <c r="AD41" s="315"/>
      <c r="AE41" s="315"/>
      <c r="AF41" s="315"/>
      <c r="AG41" s="317" t="n">
        <v>45437.2937615741</v>
      </c>
      <c r="AH41" s="317" t="n">
        <v>45438.3819675926</v>
      </c>
      <c r="AI41" s="309" t="n">
        <f aca="false">(AH41-AG41)*24</f>
        <v>26.1169444444444</v>
      </c>
      <c r="AJ41" s="318" t="n">
        <v>26.116944444424</v>
      </c>
      <c r="AK41" s="315"/>
      <c r="AL41" s="315"/>
      <c r="AM41" s="315"/>
      <c r="AN41" s="318"/>
      <c r="AO41" s="318" t="n">
        <f aca="false">(AG41-$AO$7)*24</f>
        <v>95.5502777777778</v>
      </c>
      <c r="AP41" s="318" t="n">
        <f aca="false">AO41+35</f>
        <v>130.550277777778</v>
      </c>
      <c r="AQ41" s="273" t="n">
        <v>33</v>
      </c>
      <c r="AR41" s="273" t="n">
        <v>2</v>
      </c>
      <c r="AS41" s="272" t="s">
        <v>810</v>
      </c>
      <c r="AT41" s="275" t="n">
        <v>45435.625</v>
      </c>
      <c r="AU41" s="319" t="s">
        <v>818</v>
      </c>
      <c r="AV41" s="19"/>
      <c r="AW41" s="277"/>
      <c r="AX41" s="277"/>
      <c r="AY41" s="277"/>
      <c r="AZ41" s="354"/>
      <c r="BA41" s="278"/>
      <c r="BB41" s="279"/>
      <c r="BC41" s="280"/>
      <c r="BD41" s="277"/>
      <c r="BE41" s="277"/>
      <c r="BF41" s="277"/>
      <c r="BG41" s="280"/>
      <c r="BH41" s="19"/>
      <c r="BI41" s="19"/>
      <c r="BJ41" s="273" t="n">
        <v>0</v>
      </c>
      <c r="BK41" s="273"/>
      <c r="BL41" s="273"/>
      <c r="BM41" s="273" t="s">
        <v>829</v>
      </c>
      <c r="BN41" s="281" t="s">
        <v>836</v>
      </c>
      <c r="BO41" s="273" t="n">
        <v>1</v>
      </c>
      <c r="BP41" s="265" t="n">
        <v>45603</v>
      </c>
      <c r="BQ41" s="282" t="n">
        <f aca="false">AT41+145</f>
        <v>45580.625</v>
      </c>
      <c r="BR41" s="283" t="n">
        <f aca="false">BP41-AT41</f>
        <v>167.375</v>
      </c>
      <c r="BS41" s="283" t="s">
        <v>106</v>
      </c>
      <c r="BT41" s="281" t="s">
        <v>836</v>
      </c>
      <c r="BU41" s="284" t="n">
        <v>0.2</v>
      </c>
      <c r="BV41" s="284" t="n">
        <v>0.2</v>
      </c>
      <c r="BW41" s="284" t="n">
        <v>0.2</v>
      </c>
      <c r="BX41" s="284" t="n">
        <v>0.2</v>
      </c>
      <c r="BY41" s="284" t="n">
        <v>0.2</v>
      </c>
      <c r="BZ41" s="284" t="n">
        <v>0.2</v>
      </c>
      <c r="CA41" s="284" t="n">
        <v>0.2</v>
      </c>
      <c r="CB41" s="284" t="n">
        <v>0.2</v>
      </c>
      <c r="CC41" s="284" t="n">
        <v>0.2</v>
      </c>
      <c r="CD41" s="284" t="n">
        <v>0.2</v>
      </c>
      <c r="CE41" s="284" t="n">
        <v>0.2</v>
      </c>
      <c r="CF41" s="285" t="s">
        <v>814</v>
      </c>
      <c r="CG41" s="332" t="s">
        <v>810</v>
      </c>
      <c r="CH41" s="285" t="s">
        <v>814</v>
      </c>
      <c r="CI41" s="335" t="s">
        <v>810</v>
      </c>
      <c r="CJ41" s="289" t="n">
        <v>0.2</v>
      </c>
      <c r="CK41" s="290" t="n">
        <v>0</v>
      </c>
      <c r="CL41" s="290" t="n">
        <v>0.5</v>
      </c>
      <c r="CM41" s="285" t="s">
        <v>814</v>
      </c>
      <c r="CN41" s="336" t="s">
        <v>810</v>
      </c>
      <c r="CO41" s="291" t="s">
        <v>828</v>
      </c>
      <c r="CP41" s="285" t="s">
        <v>810</v>
      </c>
      <c r="CQ41" s="337"/>
      <c r="CR41" s="293" t="n">
        <v>108</v>
      </c>
      <c r="CS41" s="294" t="n">
        <f aca="false">$CS$7+(CR41/24)</f>
        <v>45437.75</v>
      </c>
      <c r="CT41" s="295"/>
      <c r="CU41" s="296" t="n">
        <v>0.24128</v>
      </c>
      <c r="CV41" s="297" t="n">
        <f aca="false">(CS41-AG41)*24</f>
        <v>10.9497222222222</v>
      </c>
      <c r="CW41" s="281" t="s">
        <v>819</v>
      </c>
      <c r="CX41" s="360" t="n">
        <f aca="false">(AT41-CS41)*24</f>
        <v>-51</v>
      </c>
      <c r="CY41" s="346" t="s">
        <v>829</v>
      </c>
      <c r="CZ41" s="260" t="s">
        <v>185</v>
      </c>
      <c r="DA41" s="361" t="n">
        <v>94</v>
      </c>
      <c r="DB41" s="306" t="s">
        <v>390</v>
      </c>
      <c r="DD41" s="358"/>
      <c r="DE41" s="329"/>
      <c r="DF41" s="329"/>
      <c r="DG41" s="329"/>
      <c r="DH41" s="343"/>
    </row>
    <row r="42" customFormat="false" ht="15.75" hidden="false" customHeight="true" outlineLevel="0" collapsed="false">
      <c r="A42" s="273" t="s">
        <v>185</v>
      </c>
      <c r="B42" s="304" t="n">
        <v>96</v>
      </c>
      <c r="C42" s="305" t="n">
        <v>16262731194</v>
      </c>
      <c r="D42" s="306" t="s">
        <v>306</v>
      </c>
      <c r="E42" s="306" t="s">
        <v>307</v>
      </c>
      <c r="F42" s="305" t="s">
        <v>308</v>
      </c>
      <c r="G42" s="305" t="n">
        <v>88293</v>
      </c>
      <c r="H42" s="307"/>
      <c r="I42" s="308" t="n">
        <v>44846</v>
      </c>
      <c r="J42" s="309" t="n">
        <v>1.60821917808219</v>
      </c>
      <c r="K42" s="308" t="n">
        <v>45244</v>
      </c>
      <c r="L42" s="310" t="n">
        <v>63.1</v>
      </c>
      <c r="M42" s="310" t="n">
        <v>3</v>
      </c>
      <c r="N42" s="310" t="n">
        <v>3</v>
      </c>
      <c r="O42" s="311" t="n">
        <v>189</v>
      </c>
      <c r="P42" s="312" t="n">
        <v>218</v>
      </c>
      <c r="Q42" s="312" t="n">
        <v>1251</v>
      </c>
      <c r="R42" s="312" t="n">
        <v>1334</v>
      </c>
      <c r="S42" s="312" t="n">
        <v>1334</v>
      </c>
      <c r="T42" s="312" t="n">
        <v>1635</v>
      </c>
      <c r="U42" s="312" t="n">
        <v>1652</v>
      </c>
      <c r="V42" s="312" t="n">
        <v>2002</v>
      </c>
      <c r="W42" s="313" t="n">
        <v>0</v>
      </c>
      <c r="X42" s="314" t="n">
        <f aca="false">EXP(0.585+(0.102*J42)+(0.007*P42)-(0.001*V42)+(0.008*O42)-2.723)</f>
        <v>0.391424886075353</v>
      </c>
      <c r="Y42" s="314" t="n">
        <f aca="false">(X42/(1+X42))</f>
        <v>0.28131226485348</v>
      </c>
      <c r="Z42" s="314" t="n">
        <f aca="false">EXP(1.741+(0.011*P42)-(0.002*V42)+(0.275*J42)-1.952)</f>
        <v>0.252905411935519</v>
      </c>
      <c r="AA42" s="314" t="n">
        <f aca="false">(Z42/(1+Z42))</f>
        <v>0.201855151654924</v>
      </c>
      <c r="AB42" s="304" t="n">
        <v>96</v>
      </c>
      <c r="AC42" s="273" t="n">
        <v>27</v>
      </c>
      <c r="AD42" s="315"/>
      <c r="AE42" s="315"/>
      <c r="AF42" s="315"/>
      <c r="AG42" s="317" t="n">
        <v>45436.5506018519</v>
      </c>
      <c r="AH42" s="317" t="n">
        <v>45436.5506134259</v>
      </c>
      <c r="AI42" s="309" t="n">
        <f aca="false">(AH42-AG42)*24</f>
        <v>0.000277777777777778</v>
      </c>
      <c r="AJ42" s="318" t="n">
        <v>1</v>
      </c>
      <c r="AK42" s="315"/>
      <c r="AL42" s="315"/>
      <c r="AM42" s="315"/>
      <c r="AN42" s="318"/>
      <c r="AO42" s="318" t="n">
        <f aca="false">(AG42-$AO$7)*24</f>
        <v>77.7144444444444</v>
      </c>
      <c r="AP42" s="318" t="n">
        <f aca="false">AO42+35</f>
        <v>112.714444444444</v>
      </c>
      <c r="AQ42" s="273" t="n">
        <v>2</v>
      </c>
      <c r="AR42" s="273" t="n">
        <v>1</v>
      </c>
      <c r="AS42" s="272" t="s">
        <v>810</v>
      </c>
      <c r="AT42" s="275" t="n">
        <v>45435.625</v>
      </c>
      <c r="AU42" s="319" t="s">
        <v>824</v>
      </c>
      <c r="AV42" s="19" t="n">
        <v>27</v>
      </c>
      <c r="AW42" s="277"/>
      <c r="AX42" s="277"/>
      <c r="AY42" s="277"/>
      <c r="AZ42" s="278" t="n">
        <v>45461.7305787037</v>
      </c>
      <c r="BA42" s="278" t="n">
        <v>45461.7305787037</v>
      </c>
      <c r="BB42" s="279" t="n">
        <f aca="false">(BA42-AZ42)*24</f>
        <v>0</v>
      </c>
      <c r="BC42" s="280" t="n">
        <v>1</v>
      </c>
      <c r="BD42" s="277"/>
      <c r="BE42" s="277"/>
      <c r="BF42" s="277"/>
      <c r="BG42" s="280"/>
      <c r="BH42" s="19" t="n">
        <v>1</v>
      </c>
      <c r="BI42" s="19" t="n">
        <v>1</v>
      </c>
      <c r="BJ42" s="260" t="n">
        <v>1</v>
      </c>
      <c r="BK42" s="273" t="n">
        <v>1</v>
      </c>
      <c r="BL42" s="273"/>
      <c r="BM42" s="273" t="s">
        <v>812</v>
      </c>
      <c r="BN42" s="281" t="s">
        <v>840</v>
      </c>
      <c r="BO42" s="273" t="n">
        <v>1</v>
      </c>
      <c r="BP42" s="265" t="n">
        <v>45584</v>
      </c>
      <c r="BQ42" s="282" t="n">
        <f aca="false">AT42+145</f>
        <v>45580.625</v>
      </c>
      <c r="BR42" s="283" t="n">
        <f aca="false">BP42-AT42</f>
        <v>148.375</v>
      </c>
      <c r="BS42" s="283" t="s">
        <v>35</v>
      </c>
      <c r="BT42" s="281" t="s">
        <v>840</v>
      </c>
      <c r="BU42" s="284" t="n">
        <v>0.2</v>
      </c>
      <c r="BV42" s="284" t="n">
        <v>0.2</v>
      </c>
      <c r="BW42" s="284" t="n">
        <v>0.2</v>
      </c>
      <c r="BX42" s="284" t="n">
        <v>0.2</v>
      </c>
      <c r="BY42" s="284" t="n">
        <v>0.2</v>
      </c>
      <c r="BZ42" s="284" t="n">
        <v>0.2</v>
      </c>
      <c r="CA42" s="284" t="n">
        <v>0.2</v>
      </c>
      <c r="CB42" s="284" t="n">
        <v>0.2</v>
      </c>
      <c r="CC42" s="284" t="n">
        <v>0.2</v>
      </c>
      <c r="CD42" s="284" t="n">
        <v>0.2</v>
      </c>
      <c r="CE42" s="284" t="n">
        <v>0.2</v>
      </c>
      <c r="CF42" s="285" t="s">
        <v>814</v>
      </c>
      <c r="CG42" s="332" t="s">
        <v>810</v>
      </c>
      <c r="CH42" s="285" t="s">
        <v>814</v>
      </c>
      <c r="CI42" s="335" t="s">
        <v>810</v>
      </c>
      <c r="CJ42" s="289" t="n">
        <v>0.2</v>
      </c>
      <c r="CK42" s="290" t="n">
        <v>0</v>
      </c>
      <c r="CL42" s="290" t="n">
        <v>0.5</v>
      </c>
      <c r="CM42" s="285" t="s">
        <v>814</v>
      </c>
      <c r="CN42" s="336" t="s">
        <v>810</v>
      </c>
      <c r="CO42" s="291" t="s">
        <v>828</v>
      </c>
      <c r="CP42" s="285" t="s">
        <v>810</v>
      </c>
      <c r="CQ42" s="337"/>
      <c r="CR42" s="362"/>
      <c r="CS42" s="294"/>
      <c r="CT42" s="363"/>
      <c r="CU42" s="364"/>
      <c r="CV42" s="297"/>
      <c r="CW42" s="281" t="s">
        <v>842</v>
      </c>
      <c r="CX42" s="320"/>
      <c r="CY42" s="299" t="s">
        <v>812</v>
      </c>
      <c r="CZ42" s="260" t="s">
        <v>185</v>
      </c>
      <c r="DA42" s="304" t="n">
        <v>96</v>
      </c>
      <c r="DB42" s="306" t="s">
        <v>306</v>
      </c>
      <c r="DD42" s="358"/>
      <c r="DE42" s="329"/>
      <c r="DF42" s="329"/>
      <c r="DG42" s="329"/>
      <c r="DH42" s="343"/>
    </row>
    <row r="43" customFormat="false" ht="15.75" hidden="false" customHeight="true" outlineLevel="0" collapsed="false">
      <c r="A43" s="273" t="s">
        <v>185</v>
      </c>
      <c r="B43" s="304" t="n">
        <v>102</v>
      </c>
      <c r="C43" s="305" t="n">
        <v>16262731303</v>
      </c>
      <c r="D43" s="306" t="s">
        <v>396</v>
      </c>
      <c r="E43" s="306" t="s">
        <v>397</v>
      </c>
      <c r="F43" s="305" t="s">
        <v>398</v>
      </c>
      <c r="G43" s="305" t="n">
        <v>88667</v>
      </c>
      <c r="H43" s="307"/>
      <c r="I43" s="308" t="n">
        <v>44847</v>
      </c>
      <c r="J43" s="309" t="n">
        <v>1.60547945205479</v>
      </c>
      <c r="K43" s="308" t="n">
        <v>45244</v>
      </c>
      <c r="L43" s="310" t="n">
        <v>50.8</v>
      </c>
      <c r="M43" s="310" t="n">
        <v>2.75</v>
      </c>
      <c r="N43" s="310" t="n">
        <v>3</v>
      </c>
      <c r="O43" s="311" t="n">
        <v>189</v>
      </c>
      <c r="P43" s="312" t="n">
        <v>180</v>
      </c>
      <c r="Q43" s="312" t="n">
        <v>0</v>
      </c>
      <c r="R43" s="312" t="n">
        <v>0</v>
      </c>
      <c r="S43" s="312" t="n">
        <v>1590</v>
      </c>
      <c r="T43" s="312" t="n">
        <v>1381</v>
      </c>
      <c r="U43" s="312" t="n">
        <v>1148</v>
      </c>
      <c r="V43" s="312" t="n">
        <v>886</v>
      </c>
      <c r="W43" s="313" t="n">
        <v>0</v>
      </c>
      <c r="X43" s="314" t="n">
        <f aca="false">EXP(0.585+(0.102*J43)+(0.007*P43)-(0.001*V43)+(0.008*O43)-2.723)</f>
        <v>0.915540117152531</v>
      </c>
      <c r="Y43" s="314" t="n">
        <f aca="false">(X43/(1+X43))</f>
        <v>0.477954029234058</v>
      </c>
      <c r="Z43" s="314" t="n">
        <f aca="false">EXP(1.741+(0.011*P43)-(0.002*V43)+(0.275*J43)-1.952)</f>
        <v>1.55039052268292</v>
      </c>
      <c r="AA43" s="314" t="n">
        <f aca="false">(Z43/(1+Z43))</f>
        <v>0.607903185372554</v>
      </c>
      <c r="AB43" s="304" t="n">
        <v>102</v>
      </c>
      <c r="AC43" s="273"/>
      <c r="AD43" s="315"/>
      <c r="AE43" s="315"/>
      <c r="AF43" s="315"/>
      <c r="AG43" s="317"/>
      <c r="AH43" s="317"/>
      <c r="AI43" s="309"/>
      <c r="AJ43" s="318"/>
      <c r="AK43" s="315"/>
      <c r="AL43" s="315"/>
      <c r="AM43" s="315"/>
      <c r="AN43" s="318"/>
      <c r="AO43" s="318"/>
      <c r="AP43" s="318"/>
      <c r="AQ43" s="273"/>
      <c r="AR43" s="273"/>
      <c r="AS43" s="272" t="s">
        <v>810</v>
      </c>
      <c r="AT43" s="275" t="n">
        <v>45435.625</v>
      </c>
      <c r="AU43" s="319" t="s">
        <v>838</v>
      </c>
      <c r="AV43" s="19"/>
      <c r="AW43" s="277"/>
      <c r="AX43" s="277"/>
      <c r="AY43" s="277"/>
      <c r="AZ43" s="278"/>
      <c r="BA43" s="278"/>
      <c r="BB43" s="279"/>
      <c r="BC43" s="280"/>
      <c r="BD43" s="277"/>
      <c r="BE43" s="277"/>
      <c r="BF43" s="277"/>
      <c r="BG43" s="280"/>
      <c r="BH43" s="19"/>
      <c r="BI43" s="19"/>
      <c r="BJ43" s="260" t="n">
        <v>1</v>
      </c>
      <c r="BK43" s="273" t="n">
        <v>1</v>
      </c>
      <c r="BL43" s="273"/>
      <c r="BM43" s="273" t="s">
        <v>812</v>
      </c>
      <c r="BN43" s="281" t="s">
        <v>813</v>
      </c>
      <c r="BO43" s="273" t="n">
        <v>1</v>
      </c>
      <c r="BP43" s="265" t="n">
        <v>45585</v>
      </c>
      <c r="BQ43" s="282" t="n">
        <f aca="false">AT43+145</f>
        <v>45580.625</v>
      </c>
      <c r="BR43" s="283" t="n">
        <f aca="false">BP43-AT43</f>
        <v>149.375</v>
      </c>
      <c r="BS43" s="283" t="s">
        <v>35</v>
      </c>
      <c r="BT43" s="281" t="s">
        <v>813</v>
      </c>
      <c r="BU43" s="284" t="n">
        <v>0.2</v>
      </c>
      <c r="BV43" s="284" t="n">
        <v>0.2</v>
      </c>
      <c r="BW43" s="284" t="n">
        <v>0.2</v>
      </c>
      <c r="BX43" s="284" t="n">
        <v>0.2</v>
      </c>
      <c r="BY43" s="284" t="n">
        <v>0.2</v>
      </c>
      <c r="BZ43" s="284" t="n">
        <v>0.25547</v>
      </c>
      <c r="CA43" s="284" t="n">
        <v>0.2</v>
      </c>
      <c r="CB43" s="284" t="n">
        <v>0.2</v>
      </c>
      <c r="CC43" s="284" t="n">
        <v>0.6</v>
      </c>
      <c r="CD43" s="284" t="n">
        <v>0.4</v>
      </c>
      <c r="CE43" s="284" t="n">
        <v>0.375</v>
      </c>
      <c r="CF43" s="285" t="s">
        <v>814</v>
      </c>
      <c r="CG43" s="332" t="s">
        <v>810</v>
      </c>
      <c r="CH43" s="285" t="s">
        <v>814</v>
      </c>
      <c r="CI43" s="335" t="s">
        <v>810</v>
      </c>
      <c r="CJ43" s="289" t="n">
        <v>0.209245</v>
      </c>
      <c r="CK43" s="290" t="n">
        <v>0.0226455326720305</v>
      </c>
      <c r="CL43" s="290" t="n">
        <v>0.254536065344061</v>
      </c>
      <c r="CM43" s="285" t="s">
        <v>814</v>
      </c>
      <c r="CN43" s="336" t="s">
        <v>810</v>
      </c>
      <c r="CO43" s="291" t="s">
        <v>828</v>
      </c>
      <c r="CP43" s="285" t="s">
        <v>810</v>
      </c>
      <c r="CQ43" s="337"/>
      <c r="CR43" s="293" t="n">
        <v>60</v>
      </c>
      <c r="CS43" s="294" t="n">
        <f aca="false">$CS$7+(CR43/24)</f>
        <v>45435.75</v>
      </c>
      <c r="CT43" s="295" t="n">
        <v>1</v>
      </c>
      <c r="CU43" s="296" t="n">
        <v>0.3321</v>
      </c>
      <c r="CV43" s="297"/>
      <c r="CW43" s="281" t="s">
        <v>813</v>
      </c>
      <c r="CX43" s="320" t="n">
        <f aca="false">(AT43-CS43)*24</f>
        <v>-3</v>
      </c>
      <c r="CY43" s="299" t="s">
        <v>812</v>
      </c>
      <c r="CZ43" s="260" t="s">
        <v>185</v>
      </c>
      <c r="DA43" s="304" t="n">
        <v>102</v>
      </c>
      <c r="DB43" s="306" t="s">
        <v>396</v>
      </c>
      <c r="DD43" s="358"/>
      <c r="DE43" s="329"/>
      <c r="DF43" s="329"/>
      <c r="DG43" s="329"/>
      <c r="DH43" s="343"/>
    </row>
    <row r="44" customFormat="false" ht="15.75" hidden="false" customHeight="true" outlineLevel="0" collapsed="false">
      <c r="A44" s="273" t="s">
        <v>185</v>
      </c>
      <c r="B44" s="304" t="n">
        <v>103</v>
      </c>
      <c r="C44" s="305" t="n">
        <v>16262731348</v>
      </c>
      <c r="D44" s="306" t="s">
        <v>402</v>
      </c>
      <c r="E44" s="306" t="s">
        <v>403</v>
      </c>
      <c r="F44" s="305" t="s">
        <v>404</v>
      </c>
      <c r="G44" s="305" t="n">
        <v>88808</v>
      </c>
      <c r="H44" s="307"/>
      <c r="I44" s="308" t="n">
        <v>44848</v>
      </c>
      <c r="J44" s="309" t="n">
        <v>1.6027397260274</v>
      </c>
      <c r="K44" s="308" t="n">
        <v>45243</v>
      </c>
      <c r="L44" s="310" t="n">
        <v>66.1</v>
      </c>
      <c r="M44" s="310" t="n">
        <v>3.75</v>
      </c>
      <c r="N44" s="310" t="n">
        <v>4</v>
      </c>
      <c r="O44" s="311" t="n">
        <v>190</v>
      </c>
      <c r="P44" s="312" t="n">
        <v>221</v>
      </c>
      <c r="Q44" s="312" t="n">
        <v>0</v>
      </c>
      <c r="R44" s="312" t="n">
        <v>0</v>
      </c>
      <c r="S44" s="312" t="n">
        <v>1988</v>
      </c>
      <c r="T44" s="312" t="n">
        <v>1692</v>
      </c>
      <c r="U44" s="312" t="n">
        <v>1148</v>
      </c>
      <c r="V44" s="312" t="n">
        <v>1229</v>
      </c>
      <c r="W44" s="313" t="n">
        <v>0</v>
      </c>
      <c r="X44" s="314" t="n">
        <f aca="false">EXP(1.204+(0.102*J44)+(0.007*P44)-(0.001*V44)+(0.008*O44)-2.723)</f>
        <v>1.62008635285442</v>
      </c>
      <c r="Y44" s="314" t="n">
        <f aca="false">(X44/(1+X44))</f>
        <v>0.618333190083387</v>
      </c>
      <c r="Z44" s="314" t="n">
        <f aca="false">EXP(2.859+(0.011*P44)-(0.002*V44)+(0.275*J44)-1.952)</f>
        <v>3.74624282597108</v>
      </c>
      <c r="AA44" s="314" t="n">
        <f aca="false">(Z44/(1+Z44))</f>
        <v>0.789307029440619</v>
      </c>
      <c r="AB44" s="304" t="n">
        <v>103</v>
      </c>
      <c r="AC44" s="273"/>
      <c r="AD44" s="315"/>
      <c r="AE44" s="315"/>
      <c r="AF44" s="315"/>
      <c r="AG44" s="317"/>
      <c r="AH44" s="317"/>
      <c r="AI44" s="309"/>
      <c r="AJ44" s="318"/>
      <c r="AK44" s="315"/>
      <c r="AL44" s="315"/>
      <c r="AM44" s="315"/>
      <c r="AN44" s="318"/>
      <c r="AO44" s="318"/>
      <c r="AP44" s="318"/>
      <c r="AQ44" s="273"/>
      <c r="AR44" s="273"/>
      <c r="AS44" s="272" t="s">
        <v>810</v>
      </c>
      <c r="AT44" s="275" t="n">
        <v>45435.625</v>
      </c>
      <c r="AU44" s="319" t="s">
        <v>821</v>
      </c>
      <c r="AV44" s="19" t="n">
        <v>32</v>
      </c>
      <c r="AW44" s="277"/>
      <c r="AX44" s="277"/>
      <c r="AY44" s="277"/>
      <c r="AZ44" s="278" t="n">
        <v>45452.2559837963</v>
      </c>
      <c r="BA44" s="278" t="n">
        <v>45452.7137037037</v>
      </c>
      <c r="BB44" s="279" t="n">
        <f aca="false">(BA44-AZ44)*24</f>
        <v>10.9852777777778</v>
      </c>
      <c r="BC44" s="280" t="n">
        <v>10.9852777777123</v>
      </c>
      <c r="BD44" s="277"/>
      <c r="BE44" s="277"/>
      <c r="BF44" s="277"/>
      <c r="BG44" s="280"/>
      <c r="BH44" s="19" t="n">
        <v>14</v>
      </c>
      <c r="BI44" s="19" t="n">
        <v>2</v>
      </c>
      <c r="BJ44" s="273" t="n">
        <v>0</v>
      </c>
      <c r="BK44" s="273"/>
      <c r="BL44" s="273" t="s">
        <v>826</v>
      </c>
      <c r="BM44" s="273" t="s">
        <v>106</v>
      </c>
      <c r="BN44" s="281" t="s">
        <v>819</v>
      </c>
      <c r="BO44" s="273" t="n">
        <v>1</v>
      </c>
      <c r="BP44" s="265" t="n">
        <v>45603</v>
      </c>
      <c r="BQ44" s="282" t="n">
        <f aca="false">AZ44+145</f>
        <v>45597.2559837963</v>
      </c>
      <c r="BR44" s="283" t="n">
        <f aca="false">BP44-AT44</f>
        <v>167.375</v>
      </c>
      <c r="BS44" s="283" t="s">
        <v>106</v>
      </c>
      <c r="BT44" s="294" t="s">
        <v>827</v>
      </c>
      <c r="BU44" s="284" t="n">
        <v>0.2</v>
      </c>
      <c r="BV44" s="284" t="n">
        <v>0.2</v>
      </c>
      <c r="BW44" s="284" t="n">
        <v>0.2</v>
      </c>
      <c r="BX44" s="284" t="n">
        <v>0.2</v>
      </c>
      <c r="BY44" s="284" t="n">
        <v>0.2</v>
      </c>
      <c r="BZ44" s="284" t="n">
        <v>0.2</v>
      </c>
      <c r="CA44" s="284" t="n">
        <v>0.2</v>
      </c>
      <c r="CB44" s="284" t="n">
        <v>0.2</v>
      </c>
      <c r="CC44" s="284" t="n">
        <v>0.2</v>
      </c>
      <c r="CD44" s="284" t="n">
        <v>0.2</v>
      </c>
      <c r="CE44" s="331" t="n">
        <v>0.55997</v>
      </c>
      <c r="CF44" s="285" t="s">
        <v>814</v>
      </c>
      <c r="CG44" s="332" t="s">
        <v>810</v>
      </c>
      <c r="CH44" s="285" t="s">
        <v>814</v>
      </c>
      <c r="CI44" s="335" t="s">
        <v>810</v>
      </c>
      <c r="CJ44" s="289" t="n">
        <v>0.2</v>
      </c>
      <c r="CK44" s="290" t="n">
        <v>0</v>
      </c>
      <c r="CL44" s="290" t="n">
        <v>0.5</v>
      </c>
      <c r="CM44" s="285" t="s">
        <v>814</v>
      </c>
      <c r="CN44" s="336" t="s">
        <v>810</v>
      </c>
      <c r="CO44" s="291" t="s">
        <v>828</v>
      </c>
      <c r="CP44" s="285" t="s">
        <v>810</v>
      </c>
      <c r="CQ44" s="337"/>
      <c r="CR44" s="362"/>
      <c r="CS44" s="294"/>
      <c r="CT44" s="363"/>
      <c r="CU44" s="364"/>
      <c r="CV44" s="297"/>
      <c r="CW44" s="281" t="s">
        <v>819</v>
      </c>
      <c r="CX44" s="365"/>
      <c r="CY44" s="338" t="s">
        <v>106</v>
      </c>
      <c r="CZ44" s="260" t="s">
        <v>185</v>
      </c>
      <c r="DA44" s="304" t="n">
        <v>103</v>
      </c>
      <c r="DB44" s="306" t="s">
        <v>402</v>
      </c>
      <c r="DD44" s="358"/>
      <c r="DE44" s="329"/>
      <c r="DF44" s="329"/>
      <c r="DG44" s="329"/>
      <c r="DH44" s="343"/>
    </row>
    <row r="45" customFormat="false" ht="15.75" hidden="false" customHeight="true" outlineLevel="0" collapsed="false">
      <c r="A45" s="273" t="s">
        <v>185</v>
      </c>
      <c r="B45" s="304" t="n">
        <v>105</v>
      </c>
      <c r="C45" s="305" t="n">
        <v>16262731357</v>
      </c>
      <c r="D45" s="306" t="s">
        <v>412</v>
      </c>
      <c r="E45" s="306" t="s">
        <v>413</v>
      </c>
      <c r="F45" s="305" t="s">
        <v>414</v>
      </c>
      <c r="G45" s="305" t="n">
        <v>88991</v>
      </c>
      <c r="H45" s="307"/>
      <c r="I45" s="308" t="n">
        <v>44848</v>
      </c>
      <c r="J45" s="309" t="n">
        <v>1.6027397260274</v>
      </c>
      <c r="K45" s="308" t="n">
        <v>45244</v>
      </c>
      <c r="L45" s="310" t="n">
        <v>61.2</v>
      </c>
      <c r="M45" s="310" t="n">
        <v>3</v>
      </c>
      <c r="N45" s="310" t="n">
        <v>3.75</v>
      </c>
      <c r="O45" s="311" t="n">
        <v>189</v>
      </c>
      <c r="P45" s="312" t="n">
        <v>233</v>
      </c>
      <c r="Q45" s="312" t="n">
        <v>0</v>
      </c>
      <c r="R45" s="312" t="n">
        <v>0</v>
      </c>
      <c r="S45" s="312" t="n">
        <v>1902</v>
      </c>
      <c r="T45" s="312" t="n">
        <v>1833</v>
      </c>
      <c r="U45" s="312" t="n">
        <v>1428</v>
      </c>
      <c r="V45" s="312" t="n">
        <v>1458</v>
      </c>
      <c r="W45" s="313" t="n">
        <v>0</v>
      </c>
      <c r="X45" s="314" t="n">
        <f aca="false">EXP(1.204+(0.102*J45)+(0.007*P45)-(0.001*V45)+(0.008*O45)-2.723)</f>
        <v>1.3902442512854</v>
      </c>
      <c r="Y45" s="314" t="n">
        <f aca="false">(X45/(1+X45))</f>
        <v>0.581632714120228</v>
      </c>
      <c r="Z45" s="314" t="n">
        <f aca="false">EXP(2.859+(0.011*P45)-(0.002*V45)+(0.275*J45)-1.952)</f>
        <v>2.70405750516478</v>
      </c>
      <c r="AA45" s="314" t="n">
        <f aca="false">(Z45/(1+Z45))</f>
        <v>0.730025789662919</v>
      </c>
      <c r="AB45" s="304" t="n">
        <v>105</v>
      </c>
      <c r="AC45" s="273"/>
      <c r="AD45" s="315"/>
      <c r="AE45" s="315"/>
      <c r="AF45" s="315"/>
      <c r="AG45" s="317"/>
      <c r="AH45" s="317"/>
      <c r="AI45" s="309"/>
      <c r="AJ45" s="318"/>
      <c r="AK45" s="315"/>
      <c r="AL45" s="315"/>
      <c r="AM45" s="315"/>
      <c r="AN45" s="318"/>
      <c r="AO45" s="318"/>
      <c r="AP45" s="318"/>
      <c r="AQ45" s="273"/>
      <c r="AR45" s="273"/>
      <c r="AS45" s="272" t="s">
        <v>810</v>
      </c>
      <c r="AT45" s="275" t="n">
        <v>45435.625</v>
      </c>
      <c r="AU45" s="319" t="s">
        <v>838</v>
      </c>
      <c r="AV45" s="19"/>
      <c r="AW45" s="277"/>
      <c r="AX45" s="277"/>
      <c r="AY45" s="277"/>
      <c r="AZ45" s="278"/>
      <c r="BA45" s="278"/>
      <c r="BB45" s="279"/>
      <c r="BC45" s="280"/>
      <c r="BD45" s="277"/>
      <c r="BE45" s="277"/>
      <c r="BF45" s="277"/>
      <c r="BG45" s="280"/>
      <c r="BH45" s="19"/>
      <c r="BI45" s="19"/>
      <c r="BJ45" s="260" t="n">
        <v>1</v>
      </c>
      <c r="BK45" s="273" t="n">
        <v>1</v>
      </c>
      <c r="BL45" s="273"/>
      <c r="BM45" s="273" t="s">
        <v>812</v>
      </c>
      <c r="BN45" s="281" t="s">
        <v>813</v>
      </c>
      <c r="BO45" s="273" t="n">
        <v>1</v>
      </c>
      <c r="BP45" s="265" t="n">
        <v>45581</v>
      </c>
      <c r="BQ45" s="282" t="n">
        <f aca="false">AT45+145</f>
        <v>45580.625</v>
      </c>
      <c r="BR45" s="283" t="n">
        <f aca="false">BP45-AT45</f>
        <v>145.375</v>
      </c>
      <c r="BS45" s="283" t="s">
        <v>35</v>
      </c>
      <c r="BT45" s="281" t="s">
        <v>813</v>
      </c>
      <c r="BU45" s="284" t="n">
        <v>0.2</v>
      </c>
      <c r="BV45" s="284" t="n">
        <v>0.2</v>
      </c>
      <c r="BW45" s="284" t="n">
        <v>0.2</v>
      </c>
      <c r="BX45" s="284" t="n">
        <v>0.2</v>
      </c>
      <c r="BY45" s="284" t="n">
        <v>0.2</v>
      </c>
      <c r="BZ45" s="284" t="n">
        <v>0.2</v>
      </c>
      <c r="CA45" s="284" t="n">
        <v>0.2</v>
      </c>
      <c r="CB45" s="284" t="n">
        <v>0.33083</v>
      </c>
      <c r="CC45" s="284" t="n">
        <v>1.2569</v>
      </c>
      <c r="CD45" s="284" t="n">
        <v>1.8149</v>
      </c>
      <c r="CE45" s="284" t="n">
        <v>2.173</v>
      </c>
      <c r="CF45" s="285" t="s">
        <v>814</v>
      </c>
      <c r="CG45" s="286" t="s">
        <v>815</v>
      </c>
      <c r="CH45" s="285" t="s">
        <v>814</v>
      </c>
      <c r="CI45" s="288" t="s">
        <v>815</v>
      </c>
      <c r="CJ45" s="289" t="n">
        <v>0.2</v>
      </c>
      <c r="CK45" s="290" t="n">
        <v>0</v>
      </c>
      <c r="CL45" s="290" t="n">
        <v>0.5</v>
      </c>
      <c r="CM45" s="285" t="s">
        <v>814</v>
      </c>
      <c r="CN45" s="286" t="s">
        <v>815</v>
      </c>
      <c r="CO45" s="291" t="s">
        <v>816</v>
      </c>
      <c r="CP45" s="285" t="s">
        <v>810</v>
      </c>
      <c r="CQ45" s="292" t="n">
        <v>6</v>
      </c>
      <c r="CR45" s="293" t="n">
        <v>48</v>
      </c>
      <c r="CS45" s="294" t="n">
        <f aca="false">$CS$7+(CR45/24)</f>
        <v>45435.25</v>
      </c>
      <c r="CT45" s="295" t="n">
        <v>2</v>
      </c>
      <c r="CU45" s="296" t="n">
        <v>0.33476</v>
      </c>
      <c r="CV45" s="297"/>
      <c r="CW45" s="281" t="s">
        <v>813</v>
      </c>
      <c r="CX45" s="320" t="n">
        <f aca="false">(AT45-CS45)*24</f>
        <v>9</v>
      </c>
      <c r="CY45" s="299" t="s">
        <v>812</v>
      </c>
      <c r="CZ45" s="260" t="s">
        <v>185</v>
      </c>
      <c r="DA45" s="304" t="n">
        <v>105</v>
      </c>
      <c r="DB45" s="306" t="s">
        <v>412</v>
      </c>
      <c r="DD45" s="358"/>
      <c r="DE45" s="329"/>
      <c r="DF45" s="329"/>
      <c r="DG45" s="329"/>
      <c r="DH45" s="343"/>
    </row>
    <row r="46" customFormat="false" ht="15.75" hidden="false" customHeight="true" outlineLevel="0" collapsed="false">
      <c r="A46" s="273" t="s">
        <v>185</v>
      </c>
      <c r="B46" s="304" t="n">
        <v>109</v>
      </c>
      <c r="C46" s="305" t="n">
        <v>16262731373</v>
      </c>
      <c r="D46" s="306" t="s">
        <v>418</v>
      </c>
      <c r="E46" s="306" t="s">
        <v>419</v>
      </c>
      <c r="F46" s="305" t="s">
        <v>420</v>
      </c>
      <c r="G46" s="305" t="n">
        <v>88910</v>
      </c>
      <c r="H46" s="307"/>
      <c r="I46" s="308" t="n">
        <v>44848</v>
      </c>
      <c r="J46" s="309" t="n">
        <v>1.6027397260274</v>
      </c>
      <c r="K46" s="308" t="n">
        <v>45285</v>
      </c>
      <c r="L46" s="310" t="n">
        <v>57.7</v>
      </c>
      <c r="M46" s="310" t="n">
        <v>3.5</v>
      </c>
      <c r="N46" s="310" t="n">
        <v>3.25</v>
      </c>
      <c r="O46" s="311" t="n">
        <v>148</v>
      </c>
      <c r="P46" s="312" t="n">
        <v>91</v>
      </c>
      <c r="Q46" s="312" t="n">
        <v>0</v>
      </c>
      <c r="R46" s="312" t="n">
        <v>0</v>
      </c>
      <c r="S46" s="312" t="n">
        <v>0</v>
      </c>
      <c r="T46" s="312" t="n">
        <v>846</v>
      </c>
      <c r="U46" s="312" t="n">
        <v>979</v>
      </c>
      <c r="V46" s="312" t="n">
        <v>1086</v>
      </c>
      <c r="W46" s="313" t="n">
        <v>0</v>
      </c>
      <c r="X46" s="314" t="n">
        <f aca="false">EXP(1.204+(0.102*J46)+(0.007*P46)-(0.001*V46)+(0.008*O46)-2.723)</f>
        <v>0.537664484593851</v>
      </c>
      <c r="Y46" s="314" t="n">
        <f aca="false">(X46/(1+X46))</f>
        <v>0.349663070182613</v>
      </c>
      <c r="Z46" s="314" t="n">
        <f aca="false">EXP(2.859+(0.011*P46)-(0.002*V46)+(0.275*J46)-1.952)</f>
        <v>1.19333680941462</v>
      </c>
      <c r="AA46" s="314" t="n">
        <f aca="false">(Z46/(1+Z46))</f>
        <v>0.544073670898319</v>
      </c>
      <c r="AB46" s="304" t="n">
        <v>109</v>
      </c>
      <c r="AC46" s="273" t="n">
        <v>24</v>
      </c>
      <c r="AD46" s="315"/>
      <c r="AE46" s="315"/>
      <c r="AF46" s="315"/>
      <c r="AG46" s="317" t="n">
        <v>45435.7329166667</v>
      </c>
      <c r="AH46" s="317" t="n">
        <v>45435.8751736111</v>
      </c>
      <c r="AI46" s="309" t="n">
        <f aca="false">(AH46-AG46)*24</f>
        <v>3.41416666666667</v>
      </c>
      <c r="AJ46" s="318" t="n">
        <v>3.41416666656733</v>
      </c>
      <c r="AK46" s="315"/>
      <c r="AL46" s="315"/>
      <c r="AM46" s="315"/>
      <c r="AN46" s="318"/>
      <c r="AO46" s="318" t="n">
        <f aca="false">(AG46-$AO$7)*24</f>
        <v>58.09</v>
      </c>
      <c r="AP46" s="318" t="n">
        <f aca="false">AO46+35</f>
        <v>93.09</v>
      </c>
      <c r="AQ46" s="273" t="n">
        <v>2</v>
      </c>
      <c r="AR46" s="273" t="n">
        <v>2</v>
      </c>
      <c r="AS46" s="272" t="s">
        <v>810</v>
      </c>
      <c r="AT46" s="275" t="n">
        <v>45435.625</v>
      </c>
      <c r="AU46" s="319" t="s">
        <v>821</v>
      </c>
      <c r="AV46" s="19" t="n">
        <v>24</v>
      </c>
      <c r="AW46" s="277"/>
      <c r="AX46" s="277"/>
      <c r="AY46" s="277"/>
      <c r="AZ46" s="278" t="n">
        <v>45453.1711574074</v>
      </c>
      <c r="BA46" s="278" t="n">
        <v>45453.865150463</v>
      </c>
      <c r="BB46" s="279" t="n">
        <f aca="false">(BA46-AZ46)*24</f>
        <v>16.6558333333333</v>
      </c>
      <c r="BC46" s="280" t="n">
        <v>16.655833333265</v>
      </c>
      <c r="BD46" s="277"/>
      <c r="BE46" s="277"/>
      <c r="BF46" s="277"/>
      <c r="BG46" s="280"/>
      <c r="BH46" s="19" t="n">
        <v>58</v>
      </c>
      <c r="BI46" s="19" t="n">
        <v>3</v>
      </c>
      <c r="BJ46" s="273" t="n">
        <v>0</v>
      </c>
      <c r="BK46" s="273"/>
      <c r="BL46" s="273"/>
      <c r="BM46" s="273" t="s">
        <v>829</v>
      </c>
      <c r="BN46" s="281" t="s">
        <v>827</v>
      </c>
      <c r="BO46" s="273"/>
      <c r="BP46" s="265" t="s">
        <v>843</v>
      </c>
      <c r="BQ46" s="282" t="n">
        <f aca="false">AZ46+145</f>
        <v>45598.1711574074</v>
      </c>
      <c r="BR46" s="283"/>
      <c r="BS46" s="265" t="s">
        <v>843</v>
      </c>
      <c r="BT46" s="281" t="s">
        <v>827</v>
      </c>
      <c r="BU46" s="284" t="n">
        <v>0.2</v>
      </c>
      <c r="BV46" s="284" t="n">
        <v>0.2</v>
      </c>
      <c r="BW46" s="284" t="n">
        <v>0.2</v>
      </c>
      <c r="BX46" s="284" t="n">
        <v>0.2</v>
      </c>
      <c r="BY46" s="284" t="n">
        <v>0.2</v>
      </c>
      <c r="BZ46" s="284" t="n">
        <v>0.2</v>
      </c>
      <c r="CA46" s="284" t="n">
        <v>0.2</v>
      </c>
      <c r="CB46" s="284" t="n">
        <v>0.2</v>
      </c>
      <c r="CC46" s="284" t="n">
        <v>0.2</v>
      </c>
      <c r="CD46" s="284" t="n">
        <v>0.2</v>
      </c>
      <c r="CE46" s="284" t="n">
        <v>0.2</v>
      </c>
      <c r="CF46" s="285" t="s">
        <v>814</v>
      </c>
      <c r="CG46" s="332" t="s">
        <v>810</v>
      </c>
      <c r="CH46" s="285" t="s">
        <v>814</v>
      </c>
      <c r="CI46" s="335" t="s">
        <v>810</v>
      </c>
      <c r="CJ46" s="289" t="n">
        <v>0.2</v>
      </c>
      <c r="CK46" s="290" t="n">
        <v>0</v>
      </c>
      <c r="CL46" s="290" t="n">
        <v>0.5</v>
      </c>
      <c r="CM46" s="285" t="s">
        <v>814</v>
      </c>
      <c r="CN46" s="336" t="s">
        <v>810</v>
      </c>
      <c r="CO46" s="291" t="s">
        <v>828</v>
      </c>
      <c r="CP46" s="285" t="s">
        <v>810</v>
      </c>
      <c r="CQ46" s="337"/>
      <c r="CR46" s="293" t="n">
        <v>72</v>
      </c>
      <c r="CS46" s="294" t="n">
        <f aca="false">$CS$7+(CR46/24)</f>
        <v>45436.25</v>
      </c>
      <c r="CT46" s="295" t="n">
        <v>1</v>
      </c>
      <c r="CU46" s="296" t="n">
        <v>0.20873</v>
      </c>
      <c r="CV46" s="297" t="n">
        <f aca="false">(CS46-AG46)*24</f>
        <v>12.41</v>
      </c>
      <c r="CW46" s="281" t="s">
        <v>819</v>
      </c>
      <c r="CX46" s="320" t="n">
        <f aca="false">(AT46-CS46)*24</f>
        <v>-15</v>
      </c>
      <c r="CY46" s="346" t="s">
        <v>829</v>
      </c>
      <c r="CZ46" s="260" t="s">
        <v>185</v>
      </c>
      <c r="DA46" s="304" t="n">
        <v>109</v>
      </c>
      <c r="DB46" s="306" t="s">
        <v>418</v>
      </c>
      <c r="DD46" s="358"/>
      <c r="DE46" s="329"/>
      <c r="DF46" s="329"/>
      <c r="DG46" s="329"/>
    </row>
    <row r="47" customFormat="false" ht="15.75" hidden="false" customHeight="true" outlineLevel="0" collapsed="false">
      <c r="A47" s="273" t="s">
        <v>185</v>
      </c>
      <c r="B47" s="304" t="n">
        <v>114</v>
      </c>
      <c r="C47" s="305" t="n">
        <v>16262731492</v>
      </c>
      <c r="D47" s="306" t="s">
        <v>318</v>
      </c>
      <c r="E47" s="306" t="s">
        <v>319</v>
      </c>
      <c r="F47" s="305" t="s">
        <v>320</v>
      </c>
      <c r="G47" s="305" t="n">
        <v>88469</v>
      </c>
      <c r="H47" s="307"/>
      <c r="I47" s="308" t="n">
        <v>44849</v>
      </c>
      <c r="J47" s="309" t="n">
        <v>1.6</v>
      </c>
      <c r="K47" s="308" t="n">
        <v>45244</v>
      </c>
      <c r="L47" s="310" t="n">
        <v>61.7</v>
      </c>
      <c r="M47" s="310" t="n">
        <v>3</v>
      </c>
      <c r="N47" s="310" t="n">
        <v>3.25</v>
      </c>
      <c r="O47" s="311" t="n">
        <v>189</v>
      </c>
      <c r="P47" s="312" t="n">
        <v>210</v>
      </c>
      <c r="Q47" s="312" t="n">
        <v>0</v>
      </c>
      <c r="R47" s="312" t="n">
        <v>0</v>
      </c>
      <c r="S47" s="312" t="n">
        <v>1675</v>
      </c>
      <c r="T47" s="312" t="n">
        <v>1720</v>
      </c>
      <c r="U47" s="312" t="n">
        <v>1484</v>
      </c>
      <c r="V47" s="312" t="n">
        <v>1144</v>
      </c>
      <c r="W47" s="313" t="n">
        <v>0</v>
      </c>
      <c r="X47" s="314" t="n">
        <f aca="false">EXP(1.204+(0.102*J47)+(0.007*P47)-(0.001*V47)+(0.008*O47)-2.723)</f>
        <v>1.61963367964734</v>
      </c>
      <c r="Y47" s="314" t="n">
        <f aca="false">(X47/(1+X47))</f>
        <v>0.618267237984732</v>
      </c>
      <c r="Z47" s="314" t="n">
        <f aca="false">EXP(2.859+(0.011*P47)-(0.002*V47)+(0.275*J47)-1.952)</f>
        <v>3.93141731179462</v>
      </c>
      <c r="AA47" s="314" t="n">
        <f aca="false">(Z47/(1+Z47))</f>
        <v>0.797218540477548</v>
      </c>
      <c r="AB47" s="304" t="n">
        <v>114</v>
      </c>
      <c r="AC47" s="273" t="n">
        <v>4</v>
      </c>
      <c r="AD47" s="315"/>
      <c r="AE47" s="315"/>
      <c r="AF47" s="315"/>
      <c r="AG47" s="317" t="n">
        <v>45434.5968634259</v>
      </c>
      <c r="AH47" s="317" t="n">
        <v>45435.9283680556</v>
      </c>
      <c r="AI47" s="309" t="n">
        <f aca="false">(AH47-AG47)*24</f>
        <v>31.9561111111111</v>
      </c>
      <c r="AJ47" s="318" t="n">
        <v>31.9561111110379</v>
      </c>
      <c r="AK47" s="315"/>
      <c r="AL47" s="315"/>
      <c r="AM47" s="315"/>
      <c r="AN47" s="318"/>
      <c r="AO47" s="318" t="n">
        <f aca="false">(AG47-$AO$7)*24</f>
        <v>30.8247222222222</v>
      </c>
      <c r="AP47" s="318" t="n">
        <f aca="false">AO47+35</f>
        <v>65.8247222222222</v>
      </c>
      <c r="AQ47" s="273" t="n">
        <v>3</v>
      </c>
      <c r="AR47" s="273" t="n">
        <v>2</v>
      </c>
      <c r="AS47" s="273" t="s">
        <v>815</v>
      </c>
      <c r="AT47" s="275" t="n">
        <v>45435.625</v>
      </c>
      <c r="AU47" s="319" t="s">
        <v>824</v>
      </c>
      <c r="AV47" s="19"/>
      <c r="AW47" s="277"/>
      <c r="AX47" s="277"/>
      <c r="AY47" s="277"/>
      <c r="AZ47" s="278"/>
      <c r="BA47" s="278"/>
      <c r="BB47" s="279"/>
      <c r="BC47" s="280"/>
      <c r="BD47" s="277"/>
      <c r="BE47" s="277"/>
      <c r="BF47" s="277"/>
      <c r="BG47" s="280"/>
      <c r="BH47" s="19"/>
      <c r="BI47" s="19"/>
      <c r="BJ47" s="260" t="n">
        <v>1</v>
      </c>
      <c r="BK47" s="273" t="n">
        <v>1</v>
      </c>
      <c r="BL47" s="273"/>
      <c r="BM47" s="273" t="s">
        <v>812</v>
      </c>
      <c r="BN47" s="281" t="s">
        <v>819</v>
      </c>
      <c r="BO47" s="273" t="n">
        <v>1</v>
      </c>
      <c r="BP47" s="265" t="n">
        <v>45583</v>
      </c>
      <c r="BQ47" s="282" t="n">
        <f aca="false">AT47+145</f>
        <v>45580.625</v>
      </c>
      <c r="BR47" s="283" t="n">
        <f aca="false">BP47-AT47</f>
        <v>147.375</v>
      </c>
      <c r="BS47" s="283" t="s">
        <v>35</v>
      </c>
      <c r="BT47" s="281" t="s">
        <v>819</v>
      </c>
      <c r="BU47" s="284" t="n">
        <v>0.2</v>
      </c>
      <c r="BV47" s="331" t="n">
        <v>1.0004</v>
      </c>
      <c r="BW47" s="284" t="n">
        <v>0.2</v>
      </c>
      <c r="BX47" s="284" t="n">
        <v>0.2</v>
      </c>
      <c r="BY47" s="284" t="n">
        <v>0.2</v>
      </c>
      <c r="BZ47" s="284" t="n">
        <v>0.2</v>
      </c>
      <c r="CA47" s="284" t="n">
        <v>0.2</v>
      </c>
      <c r="CB47" s="284" t="n">
        <v>0.2</v>
      </c>
      <c r="CC47" s="284" t="n">
        <v>0.66922</v>
      </c>
      <c r="CD47" s="331" t="n">
        <v>0.80712</v>
      </c>
      <c r="CE47" s="331" t="n">
        <v>1.3172</v>
      </c>
      <c r="CF47" s="285" t="s">
        <v>814</v>
      </c>
      <c r="CG47" s="332" t="s">
        <v>810</v>
      </c>
      <c r="CH47" s="325" t="s">
        <v>55</v>
      </c>
      <c r="CI47" s="326" t="s">
        <v>815</v>
      </c>
      <c r="CJ47" s="289" t="n">
        <v>0.2</v>
      </c>
      <c r="CK47" s="290" t="n">
        <v>0</v>
      </c>
      <c r="CL47" s="290" t="n">
        <v>0.5</v>
      </c>
      <c r="CM47" s="325" t="s">
        <v>55</v>
      </c>
      <c r="CN47" s="327" t="s">
        <v>815</v>
      </c>
      <c r="CO47" s="291" t="s">
        <v>816</v>
      </c>
      <c r="CP47" s="285" t="s">
        <v>810</v>
      </c>
      <c r="CQ47" s="292" t="n">
        <v>6</v>
      </c>
      <c r="CR47" s="293" t="n">
        <v>72</v>
      </c>
      <c r="CS47" s="294" t="n">
        <f aca="false">$CS$7+(CR47/24)</f>
        <v>45436.25</v>
      </c>
      <c r="CT47" s="295" t="n">
        <v>1</v>
      </c>
      <c r="CU47" s="296" t="n">
        <v>0.20321</v>
      </c>
      <c r="CV47" s="297" t="n">
        <f aca="false">(CS47-AG47)*24</f>
        <v>39.6752777777778</v>
      </c>
      <c r="CW47" s="281" t="s">
        <v>819</v>
      </c>
      <c r="CX47" s="320" t="n">
        <f aca="false">(AT47-CS47)*24</f>
        <v>-15</v>
      </c>
      <c r="CY47" s="299" t="s">
        <v>812</v>
      </c>
      <c r="CZ47" s="260" t="s">
        <v>185</v>
      </c>
      <c r="DA47" s="304" t="n">
        <v>114</v>
      </c>
      <c r="DB47" s="306" t="s">
        <v>318</v>
      </c>
      <c r="DD47" s="358"/>
      <c r="DE47" s="329"/>
      <c r="DF47" s="329"/>
      <c r="DG47" s="329"/>
    </row>
    <row r="48" customFormat="false" ht="15.75" hidden="false" customHeight="true" outlineLevel="0" collapsed="false">
      <c r="A48" s="273" t="s">
        <v>185</v>
      </c>
      <c r="B48" s="366" t="n">
        <v>116</v>
      </c>
      <c r="C48" s="305" t="n">
        <v>16262731334</v>
      </c>
      <c r="D48" s="306" t="n">
        <v>31334</v>
      </c>
      <c r="E48" s="306"/>
      <c r="F48" s="305" t="n">
        <v>3334</v>
      </c>
      <c r="G48" s="305" t="n">
        <v>88490</v>
      </c>
      <c r="H48" s="307"/>
      <c r="I48" s="308" t="n">
        <v>44847</v>
      </c>
      <c r="J48" s="309" t="n">
        <v>1.60547945205479</v>
      </c>
      <c r="K48" s="308" t="n">
        <v>45247</v>
      </c>
      <c r="L48" s="310" t="n">
        <v>62.4</v>
      </c>
      <c r="M48" s="310" t="n">
        <v>2.75</v>
      </c>
      <c r="N48" s="310" t="n">
        <v>3</v>
      </c>
      <c r="O48" s="311" t="n">
        <v>186</v>
      </c>
      <c r="P48" s="312" t="n">
        <v>226</v>
      </c>
      <c r="Q48" s="312" t="n">
        <v>0</v>
      </c>
      <c r="R48" s="312" t="n">
        <v>0</v>
      </c>
      <c r="S48" s="312" t="n">
        <v>1732</v>
      </c>
      <c r="T48" s="312" t="n">
        <v>1889</v>
      </c>
      <c r="U48" s="312" t="n">
        <v>1708</v>
      </c>
      <c r="V48" s="312" t="n">
        <v>1373</v>
      </c>
      <c r="W48" s="313" t="n">
        <v>0</v>
      </c>
      <c r="X48" s="314" t="n">
        <f aca="false">EXP(0.585+(0.102*J48)+(0.007*P48)-(0.001*V48)+(0.008*O48)-2.723)</f>
        <v>0.757871755316581</v>
      </c>
      <c r="Y48" s="314" t="n">
        <f aca="false">(X48/(1+X48))</f>
        <v>0.431130287533457</v>
      </c>
      <c r="Z48" s="314" t="n">
        <f aca="false">EXP(1.741+(0.011*P48)-(0.002*V48)+(0.275*J48)-1.952)</f>
        <v>0.97093752787546</v>
      </c>
      <c r="AA48" s="314" t="n">
        <f aca="false">(Z48/(1+Z48))</f>
        <v>0.492627246750975</v>
      </c>
      <c r="AB48" s="366" t="n">
        <v>116</v>
      </c>
      <c r="AC48" s="273" t="n">
        <v>25</v>
      </c>
      <c r="AD48" s="315"/>
      <c r="AE48" s="315"/>
      <c r="AF48" s="315"/>
      <c r="AG48" s="317" t="n">
        <v>45435.7361111111</v>
      </c>
      <c r="AH48" s="317" t="n">
        <v>45435.7361111111</v>
      </c>
      <c r="AI48" s="309" t="n">
        <f aca="false">(AH48-AG48)*24</f>
        <v>0</v>
      </c>
      <c r="AJ48" s="318" t="n">
        <v>1</v>
      </c>
      <c r="AK48" s="315"/>
      <c r="AL48" s="315"/>
      <c r="AM48" s="315"/>
      <c r="AN48" s="318"/>
      <c r="AO48" s="318" t="n">
        <f aca="false">(AG48-$AO$7)*24</f>
        <v>58.1666666666667</v>
      </c>
      <c r="AP48" s="318" t="n">
        <f aca="false">AO48+35</f>
        <v>93.1666666666667</v>
      </c>
      <c r="AQ48" s="273" t="n">
        <v>1</v>
      </c>
      <c r="AR48" s="273" t="n">
        <v>1</v>
      </c>
      <c r="AS48" s="272" t="s">
        <v>810</v>
      </c>
      <c r="AT48" s="275" t="n">
        <v>45435.625</v>
      </c>
      <c r="AU48" s="319" t="s">
        <v>818</v>
      </c>
      <c r="AV48" s="19" t="n">
        <v>25</v>
      </c>
      <c r="AW48" s="277"/>
      <c r="AX48" s="277"/>
      <c r="AY48" s="277"/>
      <c r="AZ48" s="278" t="n">
        <v>45454.4865162037</v>
      </c>
      <c r="BA48" s="278" t="n">
        <v>45454.4865162037</v>
      </c>
      <c r="BB48" s="279" t="n">
        <f aca="false">(BA48-AZ48)*24</f>
        <v>0</v>
      </c>
      <c r="BC48" s="280" t="n">
        <v>1</v>
      </c>
      <c r="BD48" s="277"/>
      <c r="BE48" s="277"/>
      <c r="BF48" s="277"/>
      <c r="BG48" s="280"/>
      <c r="BH48" s="19" t="n">
        <v>1</v>
      </c>
      <c r="BI48" s="19" t="n">
        <v>1</v>
      </c>
      <c r="BJ48" s="260" t="n">
        <v>1</v>
      </c>
      <c r="BK48" s="273" t="n">
        <v>1</v>
      </c>
      <c r="BL48" s="273"/>
      <c r="BM48" s="273" t="s">
        <v>812</v>
      </c>
      <c r="BN48" s="281" t="s">
        <v>840</v>
      </c>
      <c r="BO48" s="273"/>
      <c r="BP48" s="265" t="s">
        <v>843</v>
      </c>
      <c r="BQ48" s="282" t="n">
        <f aca="false">AT48+145</f>
        <v>45580.625</v>
      </c>
      <c r="BR48" s="283"/>
      <c r="BS48" s="265" t="s">
        <v>843</v>
      </c>
      <c r="BT48" s="281" t="s">
        <v>840</v>
      </c>
      <c r="BU48" s="284" t="n">
        <v>0.2</v>
      </c>
      <c r="BV48" s="284" t="n">
        <v>0.2</v>
      </c>
      <c r="BW48" s="284" t="n">
        <v>0.2</v>
      </c>
      <c r="BX48" s="284" t="n">
        <v>0.2</v>
      </c>
      <c r="BY48" s="284" t="n">
        <v>0.2</v>
      </c>
      <c r="BZ48" s="284" t="n">
        <v>0.2</v>
      </c>
      <c r="CA48" s="284" t="n">
        <v>0.2</v>
      </c>
      <c r="CB48" s="284" t="n">
        <v>0.2</v>
      </c>
      <c r="CC48" s="284" t="n">
        <v>0.2</v>
      </c>
      <c r="CD48" s="331" t="n">
        <v>0.63467</v>
      </c>
      <c r="CE48" s="284" t="n">
        <v>0.2</v>
      </c>
      <c r="CF48" s="285" t="s">
        <v>814</v>
      </c>
      <c r="CG48" s="332" t="s">
        <v>810</v>
      </c>
      <c r="CH48" s="285" t="s">
        <v>814</v>
      </c>
      <c r="CI48" s="335" t="s">
        <v>810</v>
      </c>
      <c r="CJ48" s="289" t="n">
        <v>0.2</v>
      </c>
      <c r="CK48" s="290" t="n">
        <v>0</v>
      </c>
      <c r="CL48" s="290" t="n">
        <v>0.5</v>
      </c>
      <c r="CM48" s="285" t="s">
        <v>814</v>
      </c>
      <c r="CN48" s="336" t="s">
        <v>810</v>
      </c>
      <c r="CO48" s="291" t="s">
        <v>828</v>
      </c>
      <c r="CP48" s="285" t="s">
        <v>810</v>
      </c>
      <c r="CQ48" s="337"/>
      <c r="CR48" s="293" t="n">
        <v>48</v>
      </c>
      <c r="CS48" s="294" t="n">
        <f aca="false">$CS$7+(CR48/24)</f>
        <v>45435.25</v>
      </c>
      <c r="CT48" s="295" t="n">
        <v>1.5</v>
      </c>
      <c r="CU48" s="296" t="n">
        <v>0.37006</v>
      </c>
      <c r="CV48" s="297" t="n">
        <f aca="false">(CS48-AG48)*24</f>
        <v>-11.6666666666667</v>
      </c>
      <c r="CW48" s="281" t="s">
        <v>819</v>
      </c>
      <c r="CX48" s="320" t="n">
        <f aca="false">(AT48-CS48)*24</f>
        <v>9</v>
      </c>
      <c r="CY48" s="299" t="s">
        <v>812</v>
      </c>
      <c r="CZ48" s="260" t="s">
        <v>185</v>
      </c>
      <c r="DA48" s="366" t="n">
        <v>116</v>
      </c>
      <c r="DB48" s="306" t="n">
        <v>31334</v>
      </c>
    </row>
    <row r="49" customFormat="false" ht="15.75" hidden="false" customHeight="true" outlineLevel="0" collapsed="false">
      <c r="A49" s="273" t="s">
        <v>185</v>
      </c>
      <c r="B49" s="304" t="n">
        <v>118</v>
      </c>
      <c r="C49" s="305" t="n">
        <v>16262731584</v>
      </c>
      <c r="D49" s="306" t="s">
        <v>345</v>
      </c>
      <c r="E49" s="306" t="s">
        <v>346</v>
      </c>
      <c r="F49" s="305" t="s">
        <v>347</v>
      </c>
      <c r="G49" s="305" t="n">
        <v>88529</v>
      </c>
      <c r="H49" s="307"/>
      <c r="I49" s="308" t="n">
        <v>44850</v>
      </c>
      <c r="J49" s="309" t="n">
        <v>1.5972602739726</v>
      </c>
      <c r="K49" s="308" t="n">
        <v>45306</v>
      </c>
      <c r="L49" s="310" t="n">
        <v>53.1</v>
      </c>
      <c r="M49" s="310" t="n">
        <v>2.75</v>
      </c>
      <c r="N49" s="310" t="n">
        <v>2.75</v>
      </c>
      <c r="O49" s="311" t="n">
        <v>127</v>
      </c>
      <c r="P49" s="312" t="n">
        <v>152</v>
      </c>
      <c r="Q49" s="312" t="n">
        <v>0</v>
      </c>
      <c r="R49" s="312" t="n">
        <v>0</v>
      </c>
      <c r="S49" s="312" t="n">
        <v>0</v>
      </c>
      <c r="T49" s="312" t="n">
        <v>0</v>
      </c>
      <c r="U49" s="312" t="n">
        <v>1959</v>
      </c>
      <c r="V49" s="312" t="n">
        <v>2145</v>
      </c>
      <c r="W49" s="313" t="n">
        <v>0</v>
      </c>
      <c r="X49" s="314" t="n">
        <f aca="false">EXP(0.585+(0.102*J49)+(0.007*P49)-(0.001*V49)+(0.008*O49)-2.723)</f>
        <v>0.130018380240565</v>
      </c>
      <c r="Y49" s="314" t="n">
        <f aca="false">(X49/(1+X49))</f>
        <v>0.115058641977917</v>
      </c>
      <c r="Z49" s="314" t="n">
        <f aca="false">EXP(1.741+(0.011*P49)-(0.002*V49)+(0.275*J49)-1.952)</f>
        <v>0.0916522802839309</v>
      </c>
      <c r="AA49" s="314" t="n">
        <f aca="false">(Z49/(1+Z49))</f>
        <v>0.0839573937042414</v>
      </c>
      <c r="AB49" s="304" t="n">
        <v>118</v>
      </c>
      <c r="AC49" s="273"/>
      <c r="AD49" s="315"/>
      <c r="AE49" s="315"/>
      <c r="AF49" s="315"/>
      <c r="AG49" s="317"/>
      <c r="AH49" s="317"/>
      <c r="AI49" s="309"/>
      <c r="AJ49" s="318"/>
      <c r="AK49" s="315"/>
      <c r="AL49" s="315"/>
      <c r="AM49" s="315"/>
      <c r="AN49" s="318"/>
      <c r="AO49" s="318"/>
      <c r="AP49" s="318"/>
      <c r="AQ49" s="273"/>
      <c r="AR49" s="273"/>
      <c r="AS49" s="272" t="s">
        <v>810</v>
      </c>
      <c r="AT49" s="275" t="n">
        <v>45435.625</v>
      </c>
      <c r="AU49" s="319" t="s">
        <v>838</v>
      </c>
      <c r="AV49" s="19" t="n">
        <v>31</v>
      </c>
      <c r="AW49" s="277"/>
      <c r="AX49" s="277"/>
      <c r="AY49" s="277"/>
      <c r="AZ49" s="278" t="n">
        <v>45452.1350810185</v>
      </c>
      <c r="BA49" s="278" t="n">
        <v>45452.4697800926</v>
      </c>
      <c r="BB49" s="279" t="n">
        <f aca="false">(BA49-AZ49)*24</f>
        <v>8.03277777777778</v>
      </c>
      <c r="BC49" s="280" t="n">
        <v>8.03277777781477</v>
      </c>
      <c r="BD49" s="277"/>
      <c r="BE49" s="277"/>
      <c r="BF49" s="277"/>
      <c r="BG49" s="280"/>
      <c r="BH49" s="19" t="n">
        <v>4</v>
      </c>
      <c r="BI49" s="19" t="n">
        <v>2</v>
      </c>
      <c r="BJ49" s="273" t="n">
        <v>0</v>
      </c>
      <c r="BK49" s="273"/>
      <c r="BL49" s="273"/>
      <c r="BM49" s="273" t="s">
        <v>829</v>
      </c>
      <c r="BN49" s="281" t="s">
        <v>827</v>
      </c>
      <c r="BO49" s="273" t="n">
        <v>1</v>
      </c>
      <c r="BP49" s="265" t="n">
        <v>45667</v>
      </c>
      <c r="BQ49" s="282" t="n">
        <f aca="false">AZ49+145</f>
        <v>45597.1350810185</v>
      </c>
      <c r="BR49" s="283" t="n">
        <f aca="false">BP49-AT49</f>
        <v>231.375</v>
      </c>
      <c r="BS49" s="265" t="s">
        <v>830</v>
      </c>
      <c r="BT49" s="281" t="s">
        <v>827</v>
      </c>
      <c r="BU49" s="284" t="n">
        <v>0.36044</v>
      </c>
      <c r="BV49" s="284" t="n">
        <v>1.7924</v>
      </c>
      <c r="BW49" s="284" t="n">
        <v>0.2</v>
      </c>
      <c r="BX49" s="284" t="n">
        <v>0.2</v>
      </c>
      <c r="BY49" s="284" t="n">
        <v>0.2</v>
      </c>
      <c r="BZ49" s="284" t="n">
        <v>0.2</v>
      </c>
      <c r="CA49" s="284" t="n">
        <v>0.2</v>
      </c>
      <c r="CB49" s="284" t="n">
        <v>0.2</v>
      </c>
      <c r="CC49" s="284" t="n">
        <v>0.2</v>
      </c>
      <c r="CD49" s="284" t="n">
        <v>0.2</v>
      </c>
      <c r="CE49" s="284" t="n">
        <v>0.2</v>
      </c>
      <c r="CF49" s="325" t="s">
        <v>55</v>
      </c>
      <c r="CG49" s="367" t="s">
        <v>810</v>
      </c>
      <c r="CH49" s="325" t="s">
        <v>55</v>
      </c>
      <c r="CI49" s="368" t="s">
        <v>810</v>
      </c>
      <c r="CJ49" s="289" t="n">
        <v>0.232088</v>
      </c>
      <c r="CK49" s="290" t="n">
        <v>0.0717509492620133</v>
      </c>
      <c r="CL49" s="290" t="n">
        <v>0.375589898524027</v>
      </c>
      <c r="CM49" s="325" t="s">
        <v>55</v>
      </c>
      <c r="CN49" s="367" t="s">
        <v>810</v>
      </c>
      <c r="CO49" s="291" t="s">
        <v>828</v>
      </c>
      <c r="CP49" s="285" t="s">
        <v>810</v>
      </c>
      <c r="CQ49" s="337"/>
      <c r="CR49" s="369"/>
      <c r="CS49" s="281"/>
      <c r="CT49" s="363"/>
      <c r="CU49" s="364"/>
      <c r="CV49" s="297"/>
      <c r="CW49" s="281" t="s">
        <v>819</v>
      </c>
      <c r="CX49" s="320"/>
      <c r="CY49" s="370" t="s">
        <v>829</v>
      </c>
      <c r="CZ49" s="260" t="s">
        <v>185</v>
      </c>
      <c r="DA49" s="304" t="n">
        <v>118</v>
      </c>
      <c r="DB49" s="306" t="s">
        <v>345</v>
      </c>
    </row>
    <row r="50" customFormat="false" ht="15.75" hidden="false" customHeight="true" outlineLevel="0" collapsed="false">
      <c r="A50" s="273" t="s">
        <v>192</v>
      </c>
      <c r="B50" s="304" t="n">
        <v>2</v>
      </c>
      <c r="C50" s="305" t="n">
        <v>16262771111</v>
      </c>
      <c r="D50" s="306" t="s">
        <v>200</v>
      </c>
      <c r="E50" s="306" t="s">
        <v>201</v>
      </c>
      <c r="F50" s="305" t="s">
        <v>202</v>
      </c>
      <c r="G50" s="305" t="n">
        <v>88863</v>
      </c>
      <c r="H50" s="307"/>
      <c r="I50" s="308" t="n">
        <v>42653</v>
      </c>
      <c r="J50" s="309" t="n">
        <v>7.61643835616438</v>
      </c>
      <c r="K50" s="308" t="n">
        <v>45206</v>
      </c>
      <c r="L50" s="310" t="n">
        <v>70</v>
      </c>
      <c r="M50" s="310" t="n">
        <v>2.75</v>
      </c>
      <c r="N50" s="310" t="n">
        <v>3</v>
      </c>
      <c r="O50" s="311" t="n">
        <v>227</v>
      </c>
      <c r="P50" s="312" t="n">
        <v>368</v>
      </c>
      <c r="Q50" s="312" t="n">
        <v>2652</v>
      </c>
      <c r="R50" s="312" t="n">
        <v>2494</v>
      </c>
      <c r="S50" s="312" t="n">
        <v>2442</v>
      </c>
      <c r="T50" s="312" t="n">
        <v>1974</v>
      </c>
      <c r="U50" s="312" t="n">
        <v>1819</v>
      </c>
      <c r="V50" s="312" t="n">
        <v>1887</v>
      </c>
      <c r="W50" s="313" t="n">
        <v>-33</v>
      </c>
      <c r="X50" s="314" t="n">
        <f aca="false">EXP(0.585+(0.102*J50)+(0.007*P50)-(0.001*V50)+(0.008*O50)-2.723)</f>
        <v>3.13891347299062</v>
      </c>
      <c r="Y50" s="314" t="n">
        <f aca="false">(X50/(1+X50))</f>
        <v>0.758390696851791</v>
      </c>
      <c r="Z50" s="314" t="n">
        <f aca="false">EXP(1.741+(0.011*P50)-(0.002*V50)+(0.275*J50)-1.952)</f>
        <v>8.64966462006415</v>
      </c>
      <c r="AA50" s="314" t="n">
        <f aca="false">(Z50/(1+Z50))</f>
        <v>0.896369455377678</v>
      </c>
      <c r="AB50" s="304" t="n">
        <v>2</v>
      </c>
      <c r="AC50" s="273"/>
      <c r="AD50" s="315"/>
      <c r="AE50" s="315"/>
      <c r="AF50" s="315"/>
      <c r="AG50" s="317"/>
      <c r="AH50" s="317"/>
      <c r="AI50" s="309"/>
      <c r="AJ50" s="318"/>
      <c r="AK50" s="315"/>
      <c r="AL50" s="315"/>
      <c r="AM50" s="315"/>
      <c r="AN50" s="318"/>
      <c r="AO50" s="318"/>
      <c r="AP50" s="318"/>
      <c r="AQ50" s="273"/>
      <c r="AR50" s="273"/>
      <c r="AS50" s="272" t="s">
        <v>810</v>
      </c>
      <c r="AT50" s="275" t="n">
        <v>45435.625</v>
      </c>
      <c r="AU50" s="319" t="s">
        <v>818</v>
      </c>
      <c r="AV50" s="19"/>
      <c r="AW50" s="277"/>
      <c r="AX50" s="277"/>
      <c r="AY50" s="277"/>
      <c r="AZ50" s="278"/>
      <c r="BA50" s="278"/>
      <c r="BB50" s="279"/>
      <c r="BC50" s="280"/>
      <c r="BD50" s="277"/>
      <c r="BE50" s="277"/>
      <c r="BF50" s="277"/>
      <c r="BG50" s="280"/>
      <c r="BH50" s="19"/>
      <c r="BI50" s="19"/>
      <c r="BJ50" s="260" t="n">
        <v>1</v>
      </c>
      <c r="BK50" s="273" t="n">
        <v>2</v>
      </c>
      <c r="BL50" s="273"/>
      <c r="BM50" s="273" t="s">
        <v>812</v>
      </c>
      <c r="BN50" s="281" t="s">
        <v>813</v>
      </c>
      <c r="BO50" s="273" t="n">
        <v>2</v>
      </c>
      <c r="BP50" s="265" t="n">
        <v>45587</v>
      </c>
      <c r="BQ50" s="282" t="n">
        <f aca="false">AT50+145</f>
        <v>45580.625</v>
      </c>
      <c r="BR50" s="283" t="n">
        <f aca="false">BP50-AT50</f>
        <v>151.375</v>
      </c>
      <c r="BS50" s="283" t="s">
        <v>35</v>
      </c>
      <c r="BT50" s="281" t="s">
        <v>813</v>
      </c>
      <c r="BU50" s="284" t="n">
        <v>0.32382</v>
      </c>
      <c r="BV50" s="284" t="n">
        <v>0.31389</v>
      </c>
      <c r="BW50" s="284" t="n">
        <v>0.58715</v>
      </c>
      <c r="BX50" s="284" t="n">
        <v>0.4822</v>
      </c>
      <c r="BY50" s="284" t="n">
        <v>0.38496</v>
      </c>
      <c r="BZ50" s="284" t="n">
        <v>0.35</v>
      </c>
      <c r="CA50" s="284" t="n">
        <v>0.36267</v>
      </c>
      <c r="CB50" s="284" t="n">
        <v>0.86287</v>
      </c>
      <c r="CC50" s="284" t="n">
        <v>2.0139</v>
      </c>
      <c r="CD50" s="284" t="n">
        <v>2.7377</v>
      </c>
      <c r="CE50" s="284" t="n">
        <v>3.1222</v>
      </c>
      <c r="CF50" s="285" t="s">
        <v>814</v>
      </c>
      <c r="CG50" s="286" t="s">
        <v>815</v>
      </c>
      <c r="CH50" s="285" t="s">
        <v>814</v>
      </c>
      <c r="CI50" s="288" t="s">
        <v>815</v>
      </c>
      <c r="CJ50" s="289" t="n">
        <v>0.407003333333333</v>
      </c>
      <c r="CK50" s="290" t="n">
        <v>0.107174818435426</v>
      </c>
      <c r="CL50" s="290" t="n">
        <v>0.621352970204186</v>
      </c>
      <c r="CM50" s="285" t="s">
        <v>814</v>
      </c>
      <c r="CN50" s="286" t="s">
        <v>815</v>
      </c>
      <c r="CO50" s="291" t="s">
        <v>816</v>
      </c>
      <c r="CP50" s="285" t="s">
        <v>810</v>
      </c>
      <c r="CQ50" s="292" t="n">
        <v>5</v>
      </c>
      <c r="CR50" s="293" t="n">
        <v>60</v>
      </c>
      <c r="CS50" s="294" t="n">
        <f aca="false">$CS$7+(CR50/24)</f>
        <v>45435.75</v>
      </c>
      <c r="CT50" s="295" t="n">
        <v>1.5</v>
      </c>
      <c r="CU50" s="296" t="n">
        <v>0.23397</v>
      </c>
      <c r="CV50" s="297"/>
      <c r="CW50" s="281" t="s">
        <v>813</v>
      </c>
      <c r="CX50" s="320" t="n">
        <f aca="false">(AT50-CS50)*24</f>
        <v>-3</v>
      </c>
      <c r="CY50" s="299" t="s">
        <v>812</v>
      </c>
      <c r="CZ50" s="260" t="s">
        <v>192</v>
      </c>
      <c r="DA50" s="304" t="n">
        <v>2</v>
      </c>
      <c r="DB50" s="306" t="s">
        <v>200</v>
      </c>
    </row>
    <row r="51" customFormat="false" ht="15.75" hidden="false" customHeight="true" outlineLevel="0" collapsed="false">
      <c r="A51" s="273" t="s">
        <v>192</v>
      </c>
      <c r="B51" s="304" t="n">
        <v>6</v>
      </c>
      <c r="C51" s="305" t="n">
        <v>16262781268</v>
      </c>
      <c r="D51" s="306" t="s">
        <v>227</v>
      </c>
      <c r="E51" s="306" t="s">
        <v>228</v>
      </c>
      <c r="F51" s="305" t="s">
        <v>229</v>
      </c>
      <c r="G51" s="305" t="n">
        <v>89246</v>
      </c>
      <c r="H51" s="307"/>
      <c r="I51" s="308" t="n">
        <v>43018</v>
      </c>
      <c r="J51" s="309" t="n">
        <v>6.61643835616438</v>
      </c>
      <c r="K51" s="308" t="n">
        <v>45204</v>
      </c>
      <c r="L51" s="310" t="n">
        <v>70.3</v>
      </c>
      <c r="M51" s="310" t="n">
        <v>3</v>
      </c>
      <c r="N51" s="310" t="n">
        <v>3</v>
      </c>
      <c r="O51" s="311" t="n">
        <v>229</v>
      </c>
      <c r="P51" s="312" t="n">
        <v>317</v>
      </c>
      <c r="Q51" s="312" t="n">
        <v>2592</v>
      </c>
      <c r="R51" s="312" t="n">
        <v>1740</v>
      </c>
      <c r="S51" s="312" t="n">
        <v>1704</v>
      </c>
      <c r="T51" s="312" t="n">
        <v>1410</v>
      </c>
      <c r="U51" s="312" t="n">
        <v>1120</v>
      </c>
      <c r="V51" s="312" t="n">
        <v>1115</v>
      </c>
      <c r="W51" s="313" t="n">
        <v>7</v>
      </c>
      <c r="X51" s="314" t="n">
        <f aca="false">EXP(0.585+(0.102*J51)+(0.007*P51)-(0.001*V51)+(0.008*O51)-2.723)</f>
        <v>4.36176465267337</v>
      </c>
      <c r="Y51" s="314" t="n">
        <f aca="false">(X51/(1+X51))</f>
        <v>0.81349423841246</v>
      </c>
      <c r="Z51" s="314" t="n">
        <f aca="false">EXP(1.741+(0.011*P51)-(0.002*V51)+(0.275*J51)-1.952)</f>
        <v>17.5581907062201</v>
      </c>
      <c r="AA51" s="314" t="n">
        <f aca="false">(Z51/(1+Z51))</f>
        <v>0.946115436799298</v>
      </c>
      <c r="AB51" s="304" t="n">
        <v>6</v>
      </c>
      <c r="AC51" s="273"/>
      <c r="AD51" s="315"/>
      <c r="AE51" s="315"/>
      <c r="AF51" s="315"/>
      <c r="AG51" s="317"/>
      <c r="AH51" s="317"/>
      <c r="AI51" s="309"/>
      <c r="AJ51" s="318"/>
      <c r="AK51" s="315"/>
      <c r="AL51" s="315"/>
      <c r="AM51" s="315"/>
      <c r="AN51" s="318"/>
      <c r="AO51" s="318"/>
      <c r="AP51" s="318"/>
      <c r="AQ51" s="273"/>
      <c r="AR51" s="273"/>
      <c r="AS51" s="272" t="s">
        <v>810</v>
      </c>
      <c r="AT51" s="275" t="n">
        <v>45435.625</v>
      </c>
      <c r="AU51" s="319" t="s">
        <v>821</v>
      </c>
      <c r="AV51" s="19" t="n">
        <v>96</v>
      </c>
      <c r="AW51" s="371"/>
      <c r="AX51" s="371"/>
      <c r="AY51" s="279"/>
      <c r="AZ51" s="278" t="n">
        <v>45458.0731018519</v>
      </c>
      <c r="BA51" s="354" t="n">
        <v>45458.439525463</v>
      </c>
      <c r="BB51" s="279" t="n">
        <f aca="false">(BA51-AZ51)*24</f>
        <v>8.79416666666667</v>
      </c>
      <c r="BC51" s="277" t="n">
        <v>8.79416666674661</v>
      </c>
      <c r="BD51" s="277"/>
      <c r="BE51" s="277"/>
      <c r="BF51" s="277"/>
      <c r="BG51" s="277"/>
      <c r="BH51" s="19" t="n">
        <v>3</v>
      </c>
      <c r="BI51" s="19" t="n">
        <v>2</v>
      </c>
      <c r="BJ51" s="273" t="n">
        <v>0</v>
      </c>
      <c r="BK51" s="273"/>
      <c r="BL51" s="273" t="s">
        <v>826</v>
      </c>
      <c r="BM51" s="273" t="s">
        <v>106</v>
      </c>
      <c r="BN51" s="281" t="s">
        <v>819</v>
      </c>
      <c r="BO51" s="273" t="n">
        <v>1</v>
      </c>
      <c r="BP51" s="265" t="n">
        <v>45611</v>
      </c>
      <c r="BQ51" s="282" t="n">
        <f aca="false">AZ51+145</f>
        <v>45603.0731018519</v>
      </c>
      <c r="BR51" s="283" t="n">
        <f aca="false">BP51-AT51</f>
        <v>175.375</v>
      </c>
      <c r="BS51" s="283" t="s">
        <v>830</v>
      </c>
      <c r="BT51" s="294" t="s">
        <v>827</v>
      </c>
      <c r="BU51" s="284" t="n">
        <v>0.82481</v>
      </c>
      <c r="BV51" s="284" t="n">
        <v>0.40965</v>
      </c>
      <c r="BW51" s="284" t="n">
        <v>0.2</v>
      </c>
      <c r="BX51" s="284" t="n">
        <v>0.2</v>
      </c>
      <c r="BY51" s="284" t="n">
        <v>0.2</v>
      </c>
      <c r="BZ51" s="284" t="n">
        <v>0.2</v>
      </c>
      <c r="CA51" s="284" t="n">
        <v>0.2</v>
      </c>
      <c r="CB51" s="284" t="n">
        <v>0.2</v>
      </c>
      <c r="CC51" s="284" t="n">
        <v>0.67686</v>
      </c>
      <c r="CD51" s="284" t="n">
        <v>0.2</v>
      </c>
      <c r="CE51" s="284" t="n">
        <v>0.2</v>
      </c>
      <c r="CF51" s="285" t="s">
        <v>814</v>
      </c>
      <c r="CG51" s="332" t="s">
        <v>810</v>
      </c>
      <c r="CH51" s="285" t="s">
        <v>814</v>
      </c>
      <c r="CI51" s="335" t="s">
        <v>810</v>
      </c>
      <c r="CJ51" s="289" t="n">
        <v>0.339076666666667</v>
      </c>
      <c r="CK51" s="290" t="n">
        <v>0.252304079766195</v>
      </c>
      <c r="CL51" s="290" t="n">
        <v>0.843684826199058</v>
      </c>
      <c r="CM51" s="285" t="s">
        <v>814</v>
      </c>
      <c r="CN51" s="336" t="s">
        <v>810</v>
      </c>
      <c r="CO51" s="291" t="s">
        <v>828</v>
      </c>
      <c r="CP51" s="285" t="s">
        <v>810</v>
      </c>
      <c r="CQ51" s="337"/>
      <c r="CR51" s="293" t="n">
        <v>60</v>
      </c>
      <c r="CS51" s="294" t="n">
        <f aca="false">$CS$7+(CR51/24)</f>
        <v>45435.75</v>
      </c>
      <c r="CT51" s="295" t="n">
        <v>1.5</v>
      </c>
      <c r="CU51" s="296" t="n">
        <v>0.3068</v>
      </c>
      <c r="CV51" s="297"/>
      <c r="CW51" s="281" t="s">
        <v>813</v>
      </c>
      <c r="CX51" s="320" t="n">
        <f aca="false">(AT51-CS51)*24</f>
        <v>-3</v>
      </c>
      <c r="CY51" s="338" t="s">
        <v>106</v>
      </c>
      <c r="CZ51" s="260" t="s">
        <v>192</v>
      </c>
      <c r="DA51" s="304" t="n">
        <v>6</v>
      </c>
      <c r="DB51" s="306" t="s">
        <v>227</v>
      </c>
    </row>
    <row r="52" customFormat="false" ht="15.75" hidden="false" customHeight="true" outlineLevel="0" collapsed="false">
      <c r="A52" s="273" t="s">
        <v>192</v>
      </c>
      <c r="B52" s="304" t="n">
        <v>7</v>
      </c>
      <c r="C52" s="305" t="n">
        <v>16262781300</v>
      </c>
      <c r="D52" s="306" t="s">
        <v>236</v>
      </c>
      <c r="E52" s="306" t="s">
        <v>237</v>
      </c>
      <c r="F52" s="305" t="s">
        <v>238</v>
      </c>
      <c r="G52" s="305" t="n">
        <v>89101</v>
      </c>
      <c r="H52" s="307"/>
      <c r="I52" s="308" t="n">
        <v>43018</v>
      </c>
      <c r="J52" s="309" t="n">
        <v>6.61643835616438</v>
      </c>
      <c r="K52" s="308" t="n">
        <v>45225</v>
      </c>
      <c r="L52" s="310" t="n">
        <v>76.4</v>
      </c>
      <c r="M52" s="310" t="n">
        <v>4</v>
      </c>
      <c r="N52" s="310" t="n">
        <v>4</v>
      </c>
      <c r="O52" s="311" t="n">
        <v>208</v>
      </c>
      <c r="P52" s="312" t="n">
        <v>299</v>
      </c>
      <c r="Q52" s="312" t="n">
        <v>0</v>
      </c>
      <c r="R52" s="312" t="n">
        <v>2320</v>
      </c>
      <c r="S52" s="312" t="n">
        <v>2272</v>
      </c>
      <c r="T52" s="312" t="n">
        <v>1974</v>
      </c>
      <c r="U52" s="312" t="n">
        <v>1736</v>
      </c>
      <c r="V52" s="312" t="n">
        <v>1344</v>
      </c>
      <c r="W52" s="313" t="n">
        <v>-2</v>
      </c>
      <c r="X52" s="314" t="n">
        <f aca="false">EXP(1.204+(0.102*J52)+(0.007*P52)-(0.001*V52)+(0.008*O52)-2.723)</f>
        <v>4.80125197643876</v>
      </c>
      <c r="Y52" s="314" t="n">
        <f aca="false">(X52/(1+X52))</f>
        <v>0.827623415762424</v>
      </c>
      <c r="Z52" s="314" t="n">
        <f aca="false">EXP(2.859+(0.011*P52)-(0.002*V52)+(0.275*J52)-1.952)</f>
        <v>27.8691557315871</v>
      </c>
      <c r="AA52" s="314" t="n">
        <f aca="false">(Z52/(1+Z52))</f>
        <v>0.965360954463041</v>
      </c>
      <c r="AB52" s="304" t="n">
        <v>7</v>
      </c>
      <c r="AC52" s="273" t="n">
        <v>59</v>
      </c>
      <c r="AD52" s="315"/>
      <c r="AE52" s="315"/>
      <c r="AF52" s="315"/>
      <c r="AG52" s="317" t="n">
        <v>45435.2269560185</v>
      </c>
      <c r="AH52" s="316" t="n">
        <v>45435.8700115741</v>
      </c>
      <c r="AI52" s="309" t="n">
        <f aca="false">(AH52-AG52)*24</f>
        <v>15.4333333333333</v>
      </c>
      <c r="AJ52" s="318" t="n">
        <v>15.4333333333489</v>
      </c>
      <c r="AK52" s="315"/>
      <c r="AL52" s="315"/>
      <c r="AM52" s="315"/>
      <c r="AN52" s="318"/>
      <c r="AO52" s="318" t="n">
        <f aca="false">(AG52-$AO$7)*24</f>
        <v>45.9469444444445</v>
      </c>
      <c r="AP52" s="318" t="n">
        <f aca="false">AO52+35</f>
        <v>80.9469444444445</v>
      </c>
      <c r="AQ52" s="273" t="n">
        <v>16</v>
      </c>
      <c r="AR52" s="273" t="n">
        <v>2</v>
      </c>
      <c r="AS52" s="273" t="s">
        <v>815</v>
      </c>
      <c r="AT52" s="275" t="n">
        <v>45435.625</v>
      </c>
      <c r="AU52" s="319" t="s">
        <v>818</v>
      </c>
      <c r="AV52" s="19"/>
      <c r="AW52" s="371"/>
      <c r="AX52" s="371"/>
      <c r="AY52" s="279"/>
      <c r="AZ52" s="278"/>
      <c r="BA52" s="354"/>
      <c r="BB52" s="279"/>
      <c r="BC52" s="277"/>
      <c r="BD52" s="277"/>
      <c r="BE52" s="277"/>
      <c r="BF52" s="277"/>
      <c r="BG52" s="277"/>
      <c r="BH52" s="19"/>
      <c r="BI52" s="19"/>
      <c r="BJ52" s="260" t="n">
        <v>1</v>
      </c>
      <c r="BK52" s="273" t="n">
        <v>1</v>
      </c>
      <c r="BL52" s="273"/>
      <c r="BM52" s="273" t="s">
        <v>812</v>
      </c>
      <c r="BN52" s="281" t="s">
        <v>819</v>
      </c>
      <c r="BO52" s="273" t="n">
        <v>1</v>
      </c>
      <c r="BP52" s="265" t="n">
        <v>45586</v>
      </c>
      <c r="BQ52" s="282" t="n">
        <f aca="false">AT52+145</f>
        <v>45580.625</v>
      </c>
      <c r="BR52" s="283" t="n">
        <f aca="false">BP52-AT52</f>
        <v>150.375</v>
      </c>
      <c r="BS52" s="283" t="s">
        <v>35</v>
      </c>
      <c r="BT52" s="281" t="s">
        <v>819</v>
      </c>
      <c r="BU52" s="284" t="n">
        <v>0.2</v>
      </c>
      <c r="BV52" s="284" t="n">
        <v>2.3054</v>
      </c>
      <c r="BW52" s="284" t="n">
        <v>0.2</v>
      </c>
      <c r="BX52" s="284" t="n">
        <v>0.2</v>
      </c>
      <c r="BY52" s="284" t="n">
        <v>0.2</v>
      </c>
      <c r="BZ52" s="284" t="n">
        <v>0.2</v>
      </c>
      <c r="CA52" s="284" t="n">
        <v>0.2</v>
      </c>
      <c r="CB52" s="284" t="n">
        <v>0.2</v>
      </c>
      <c r="CC52" s="284" t="n">
        <v>0.2</v>
      </c>
      <c r="CD52" s="284" t="n">
        <v>0.2</v>
      </c>
      <c r="CE52" s="284" t="n">
        <v>0.2</v>
      </c>
      <c r="CF52" s="325" t="s">
        <v>55</v>
      </c>
      <c r="CG52" s="367" t="s">
        <v>810</v>
      </c>
      <c r="CH52" s="325" t="s">
        <v>55</v>
      </c>
      <c r="CI52" s="368" t="s">
        <v>810</v>
      </c>
      <c r="CJ52" s="344" t="n">
        <v>0.2</v>
      </c>
      <c r="CK52" s="345" t="n">
        <v>0</v>
      </c>
      <c r="CL52" s="290" t="n">
        <v>0.5</v>
      </c>
      <c r="CM52" s="325" t="s">
        <v>55</v>
      </c>
      <c r="CN52" s="367" t="s">
        <v>810</v>
      </c>
      <c r="CO52" s="291" t="s">
        <v>828</v>
      </c>
      <c r="CP52" s="285" t="s">
        <v>810</v>
      </c>
      <c r="CQ52" s="337"/>
      <c r="CR52" s="333" t="n">
        <v>60</v>
      </c>
      <c r="CS52" s="294" t="n">
        <f aca="false">$CS$7+(CR52/24)</f>
        <v>45435.75</v>
      </c>
      <c r="CT52" s="295" t="n">
        <v>1.5</v>
      </c>
      <c r="CU52" s="296" t="n">
        <v>0.44086</v>
      </c>
      <c r="CV52" s="297" t="n">
        <f aca="false">(CS52-AG52)*24</f>
        <v>12.5530555555556</v>
      </c>
      <c r="CW52" s="281" t="s">
        <v>819</v>
      </c>
      <c r="CX52" s="320" t="n">
        <f aca="false">(AT52-CS52)*24</f>
        <v>-3</v>
      </c>
      <c r="CY52" s="299" t="s">
        <v>812</v>
      </c>
      <c r="CZ52" s="260" t="s">
        <v>192</v>
      </c>
      <c r="DA52" s="304" t="n">
        <v>7</v>
      </c>
      <c r="DB52" s="306" t="s">
        <v>236</v>
      </c>
    </row>
    <row r="53" customFormat="false" ht="15.75" hidden="false" customHeight="true" outlineLevel="0" collapsed="false">
      <c r="A53" s="273" t="s">
        <v>192</v>
      </c>
      <c r="B53" s="304" t="n">
        <v>8</v>
      </c>
      <c r="C53" s="305" t="n">
        <v>16262781332</v>
      </c>
      <c r="D53" s="306" t="s">
        <v>245</v>
      </c>
      <c r="E53" s="306" t="s">
        <v>246</v>
      </c>
      <c r="F53" s="305" t="s">
        <v>247</v>
      </c>
      <c r="G53" s="305" t="n">
        <v>88224</v>
      </c>
      <c r="H53" s="307"/>
      <c r="I53" s="308" t="n">
        <v>43018</v>
      </c>
      <c r="J53" s="309" t="n">
        <v>6.61643835616438</v>
      </c>
      <c r="K53" s="308" t="n">
        <v>45203</v>
      </c>
      <c r="L53" s="310" t="n">
        <v>78.9</v>
      </c>
      <c r="M53" s="310" t="n">
        <v>3.25</v>
      </c>
      <c r="N53" s="310" t="n">
        <v>3</v>
      </c>
      <c r="O53" s="311" t="n">
        <v>230</v>
      </c>
      <c r="P53" s="312" t="n">
        <v>290</v>
      </c>
      <c r="Q53" s="312" t="n">
        <v>1877</v>
      </c>
      <c r="R53" s="312" t="n">
        <v>1682</v>
      </c>
      <c r="S53" s="312" t="n">
        <v>1647</v>
      </c>
      <c r="T53" s="312" t="n">
        <v>1353</v>
      </c>
      <c r="U53" s="312" t="n">
        <v>1176</v>
      </c>
      <c r="V53" s="312" t="n">
        <v>943</v>
      </c>
      <c r="W53" s="313" t="n">
        <v>0</v>
      </c>
      <c r="X53" s="314" t="n">
        <f aca="false">EXP(0.585+(0.102*J53)+(0.007*P53)-(0.001*V53)+(0.008*O53)-2.723)</f>
        <v>4.32268489350359</v>
      </c>
      <c r="Y53" s="314" t="n">
        <f aca="false">(X53/(1+X53))</f>
        <v>0.812124891852886</v>
      </c>
      <c r="Z53" s="314" t="n">
        <f aca="false">EXP(1.741+(0.011*P53)-(0.002*V53)+(0.275*J53)-1.952)</f>
        <v>18.4031261188071</v>
      </c>
      <c r="AA53" s="314" t="n">
        <f aca="false">(Z53/(1+Z53))</f>
        <v>0.948461913102203</v>
      </c>
      <c r="AB53" s="304" t="n">
        <v>8</v>
      </c>
      <c r="AC53" s="273" t="n">
        <v>41</v>
      </c>
      <c r="AD53" s="315"/>
      <c r="AE53" s="315"/>
      <c r="AF53" s="315"/>
      <c r="AG53" s="317" t="n">
        <v>45434.5035416667</v>
      </c>
      <c r="AH53" s="316" t="n">
        <v>45434.7365856482</v>
      </c>
      <c r="AI53" s="309" t="n">
        <f aca="false">(AH53-AG53)*24</f>
        <v>5.59305555555556</v>
      </c>
      <c r="AJ53" s="318" t="n">
        <v>5.59305555559695</v>
      </c>
      <c r="AK53" s="315"/>
      <c r="AL53" s="315"/>
      <c r="AM53" s="315"/>
      <c r="AN53" s="318"/>
      <c r="AO53" s="318" t="n">
        <f aca="false">(AG53-$AO$7)*24</f>
        <v>28.585</v>
      </c>
      <c r="AP53" s="318" t="n">
        <f aca="false">AO53+35</f>
        <v>63.585</v>
      </c>
      <c r="AQ53" s="273" t="n">
        <v>5</v>
      </c>
      <c r="AR53" s="273" t="n">
        <v>2</v>
      </c>
      <c r="AS53" s="273" t="s">
        <v>815</v>
      </c>
      <c r="AT53" s="275" t="n">
        <v>45435.625</v>
      </c>
      <c r="AU53" s="276" t="s">
        <v>811</v>
      </c>
      <c r="AV53" s="19" t="n">
        <v>41</v>
      </c>
      <c r="AW53" s="277"/>
      <c r="AX53" s="277"/>
      <c r="AY53" s="277"/>
      <c r="AZ53" s="278" t="n">
        <v>45452.5377314815</v>
      </c>
      <c r="BA53" s="354" t="n">
        <v>45453.0040972222</v>
      </c>
      <c r="BB53" s="279" t="n">
        <f aca="false">(BA53-AZ53)*24</f>
        <v>11.1927777777778</v>
      </c>
      <c r="BC53" s="280" t="n">
        <v>11.1927777776727</v>
      </c>
      <c r="BD53" s="277"/>
      <c r="BE53" s="277"/>
      <c r="BF53" s="277"/>
      <c r="BG53" s="280"/>
      <c r="BH53" s="19" t="n">
        <v>33</v>
      </c>
      <c r="BI53" s="19" t="n">
        <v>2</v>
      </c>
      <c r="BJ53" s="273" t="n">
        <v>0</v>
      </c>
      <c r="BK53" s="273"/>
      <c r="BL53" s="273"/>
      <c r="BM53" s="273" t="s">
        <v>829</v>
      </c>
      <c r="BN53" s="281" t="s">
        <v>827</v>
      </c>
      <c r="BO53" s="273" t="n">
        <v>2</v>
      </c>
      <c r="BP53" s="265" t="n">
        <v>45620</v>
      </c>
      <c r="BQ53" s="282" t="n">
        <f aca="false">AZ53+145</f>
        <v>45597.5377314815</v>
      </c>
      <c r="BR53" s="283" t="n">
        <f aca="false">BP53-AT53</f>
        <v>184.375</v>
      </c>
      <c r="BS53" s="283" t="s">
        <v>830</v>
      </c>
      <c r="BT53" s="281" t="s">
        <v>827</v>
      </c>
      <c r="BU53" s="284" t="n">
        <v>0.2</v>
      </c>
      <c r="BV53" s="331" t="n">
        <v>0.69308</v>
      </c>
      <c r="BW53" s="284" t="n">
        <v>0.2</v>
      </c>
      <c r="BX53" s="284" t="n">
        <v>0.2</v>
      </c>
      <c r="BY53" s="284" t="n">
        <v>0.2</v>
      </c>
      <c r="BZ53" s="284" t="n">
        <v>0.2</v>
      </c>
      <c r="CA53" s="284" t="n">
        <v>0.2</v>
      </c>
      <c r="CB53" s="284" t="n">
        <v>1.026</v>
      </c>
      <c r="CC53" s="284" t="n">
        <v>1.3766</v>
      </c>
      <c r="CD53" s="284" t="n">
        <v>1.3585</v>
      </c>
      <c r="CE53" s="284" t="n">
        <v>2.0253</v>
      </c>
      <c r="CF53" s="285" t="s">
        <v>814</v>
      </c>
      <c r="CG53" s="286" t="s">
        <v>815</v>
      </c>
      <c r="CH53" s="285" t="s">
        <v>814</v>
      </c>
      <c r="CI53" s="288" t="s">
        <v>815</v>
      </c>
      <c r="CJ53" s="289" t="n">
        <v>0.28218</v>
      </c>
      <c r="CK53" s="290" t="n">
        <v>0.201299067061922</v>
      </c>
      <c r="CL53" s="290" t="n">
        <v>0.684778134123843</v>
      </c>
      <c r="CM53" s="285" t="s">
        <v>814</v>
      </c>
      <c r="CN53" s="286" t="s">
        <v>815</v>
      </c>
      <c r="CO53" s="291" t="s">
        <v>816</v>
      </c>
      <c r="CP53" s="285" t="s">
        <v>810</v>
      </c>
      <c r="CQ53" s="292" t="n">
        <v>5</v>
      </c>
      <c r="CR53" s="293" t="n">
        <v>36</v>
      </c>
      <c r="CS53" s="294" t="n">
        <f aca="false">$CS$7+(CR53/24)</f>
        <v>45434.75</v>
      </c>
      <c r="CT53" s="295" t="n">
        <v>1.5</v>
      </c>
      <c r="CU53" s="296" t="n">
        <v>0.20322</v>
      </c>
      <c r="CV53" s="297" t="n">
        <f aca="false">(CS53-AG53)*24</f>
        <v>5.915</v>
      </c>
      <c r="CW53" s="281" t="s">
        <v>819</v>
      </c>
      <c r="CX53" s="320" t="n">
        <f aca="false">(AT53-CS53)*24</f>
        <v>21</v>
      </c>
      <c r="CY53" s="370" t="s">
        <v>829</v>
      </c>
      <c r="CZ53" s="260" t="s">
        <v>192</v>
      </c>
      <c r="DA53" s="304" t="n">
        <v>8</v>
      </c>
      <c r="DB53" s="306" t="s">
        <v>245</v>
      </c>
    </row>
    <row r="54" customFormat="false" ht="15.75" hidden="false" customHeight="true" outlineLevel="0" collapsed="false">
      <c r="A54" s="273" t="s">
        <v>192</v>
      </c>
      <c r="B54" s="304" t="n">
        <v>9</v>
      </c>
      <c r="C54" s="305" t="n">
        <v>16262781420</v>
      </c>
      <c r="D54" s="306" t="s">
        <v>254</v>
      </c>
      <c r="E54" s="306" t="s">
        <v>255</v>
      </c>
      <c r="F54" s="305" t="s">
        <v>256</v>
      </c>
      <c r="G54" s="305" t="n">
        <v>88479</v>
      </c>
      <c r="H54" s="307"/>
      <c r="I54" s="308" t="n">
        <v>43019</v>
      </c>
      <c r="J54" s="309" t="n">
        <v>6.61369863013699</v>
      </c>
      <c r="K54" s="308" t="n">
        <v>45204</v>
      </c>
      <c r="L54" s="310" t="n">
        <v>68.7</v>
      </c>
      <c r="M54" s="310" t="n">
        <v>3.25</v>
      </c>
      <c r="N54" s="310" t="n">
        <v>2.75</v>
      </c>
      <c r="O54" s="311" t="n">
        <v>229</v>
      </c>
      <c r="P54" s="312" t="n">
        <v>315</v>
      </c>
      <c r="Q54" s="312" t="n">
        <v>2384</v>
      </c>
      <c r="R54" s="312" t="n">
        <v>2349</v>
      </c>
      <c r="S54" s="312" t="n">
        <v>2186</v>
      </c>
      <c r="T54" s="312" t="n">
        <v>1607</v>
      </c>
      <c r="U54" s="312" t="n">
        <v>1708</v>
      </c>
      <c r="V54" s="312" t="n">
        <v>1801</v>
      </c>
      <c r="W54" s="313" t="n">
        <v>0</v>
      </c>
      <c r="X54" s="314" t="n">
        <f aca="false">EXP(0.585+(0.102*J54)+(0.007*P54)-(0.001*V54)+(0.008*O54)-2.723)</f>
        <v>2.16538301982114</v>
      </c>
      <c r="Y54" s="314" t="n">
        <f aca="false">(X54/(1+X54))</f>
        <v>0.684082465300991</v>
      </c>
      <c r="Z54" s="314" t="n">
        <f aca="false">EXP(1.741+(0.011*P54)-(0.002*V54)+(0.275*J54)-1.952)</f>
        <v>4.3525728206652</v>
      </c>
      <c r="AA54" s="314" t="n">
        <f aca="false">(Z54/(1+Z54))</f>
        <v>0.813173956991449</v>
      </c>
      <c r="AB54" s="304" t="n">
        <v>9</v>
      </c>
      <c r="AC54" s="273" t="n">
        <v>37</v>
      </c>
      <c r="AD54" s="315"/>
      <c r="AE54" s="315"/>
      <c r="AF54" s="315"/>
      <c r="AG54" s="317" t="n">
        <v>45433.7053587963</v>
      </c>
      <c r="AH54" s="317" t="n">
        <v>45435.2227777778</v>
      </c>
      <c r="AI54" s="309" t="n">
        <f aca="false">(AH54-AG54)*24</f>
        <v>36.4180555555556</v>
      </c>
      <c r="AJ54" s="318" t="n">
        <v>36.4180555556668</v>
      </c>
      <c r="AK54" s="315"/>
      <c r="AL54" s="315"/>
      <c r="AM54" s="315"/>
      <c r="AN54" s="318"/>
      <c r="AO54" s="318" t="n">
        <f aca="false">(AG54-$AO$7)*24</f>
        <v>9.42861111111111</v>
      </c>
      <c r="AP54" s="318" t="n">
        <f aca="false">AO54+35</f>
        <v>44.4286111111111</v>
      </c>
      <c r="AQ54" s="273" t="n">
        <v>9</v>
      </c>
      <c r="AR54" s="273"/>
      <c r="AS54" s="272" t="s">
        <v>810</v>
      </c>
      <c r="AT54" s="275" t="n">
        <v>45435.625</v>
      </c>
      <c r="AU54" s="319" t="s">
        <v>824</v>
      </c>
      <c r="AV54" s="19" t="n">
        <v>37</v>
      </c>
      <c r="AW54" s="277"/>
      <c r="AX54" s="277"/>
      <c r="AY54" s="277"/>
      <c r="AZ54" s="278" t="n">
        <v>45455.547650463</v>
      </c>
      <c r="BA54" s="278" t="n">
        <v>45455.547650463</v>
      </c>
      <c r="BB54" s="279" t="n">
        <f aca="false">(BA54-AZ54)*24</f>
        <v>0</v>
      </c>
      <c r="BC54" s="280" t="n">
        <v>1</v>
      </c>
      <c r="BD54" s="277"/>
      <c r="BE54" s="277"/>
      <c r="BF54" s="277"/>
      <c r="BG54" s="280"/>
      <c r="BH54" s="19" t="n">
        <v>1</v>
      </c>
      <c r="BI54" s="19" t="n">
        <v>1</v>
      </c>
      <c r="BJ54" s="260" t="n">
        <v>1</v>
      </c>
      <c r="BK54" s="273" t="n">
        <v>1</v>
      </c>
      <c r="BL54" s="273"/>
      <c r="BM54" s="273" t="s">
        <v>812</v>
      </c>
      <c r="BN54" s="281" t="s">
        <v>819</v>
      </c>
      <c r="BO54" s="273" t="n">
        <v>2</v>
      </c>
      <c r="BP54" s="265" t="n">
        <v>45583</v>
      </c>
      <c r="BQ54" s="282" t="n">
        <f aca="false">AT54+145</f>
        <v>45580.625</v>
      </c>
      <c r="BR54" s="283" t="n">
        <f aca="false">BP54-AT54</f>
        <v>147.375</v>
      </c>
      <c r="BS54" s="283" t="s">
        <v>35</v>
      </c>
      <c r="BT54" s="281" t="s">
        <v>819</v>
      </c>
      <c r="BU54" s="284" t="n">
        <v>0.69837</v>
      </c>
      <c r="BV54" s="284" t="n">
        <v>0.62941</v>
      </c>
      <c r="BW54" s="284" t="n">
        <v>0.2</v>
      </c>
      <c r="BX54" s="284" t="n">
        <v>0.2</v>
      </c>
      <c r="BY54" s="284" t="n">
        <v>0.2</v>
      </c>
      <c r="BZ54" s="284" t="n">
        <v>0.2</v>
      </c>
      <c r="CA54" s="284" t="n">
        <v>0.2</v>
      </c>
      <c r="CB54" s="284" t="n">
        <v>0.2</v>
      </c>
      <c r="CC54" s="284" t="n">
        <v>0.69837</v>
      </c>
      <c r="CD54" s="284" t="n">
        <v>1.7866</v>
      </c>
      <c r="CE54" s="284" t="n">
        <v>2.0291</v>
      </c>
      <c r="CF54" s="285" t="s">
        <v>814</v>
      </c>
      <c r="CG54" s="286" t="s">
        <v>815</v>
      </c>
      <c r="CH54" s="285" t="s">
        <v>814</v>
      </c>
      <c r="CI54" s="288" t="s">
        <v>815</v>
      </c>
      <c r="CJ54" s="289" t="n">
        <v>0.35463</v>
      </c>
      <c r="CK54" s="290" t="n">
        <v>0.240542297153744</v>
      </c>
      <c r="CL54" s="290" t="n">
        <v>0.835714594307488</v>
      </c>
      <c r="CM54" s="285" t="s">
        <v>814</v>
      </c>
      <c r="CN54" s="286" t="s">
        <v>815</v>
      </c>
      <c r="CO54" s="291" t="s">
        <v>823</v>
      </c>
      <c r="CP54" s="285" t="s">
        <v>810</v>
      </c>
      <c r="CQ54" s="292" t="n">
        <v>7</v>
      </c>
      <c r="CR54" s="293" t="n">
        <v>48</v>
      </c>
      <c r="CS54" s="294" t="n">
        <f aca="false">$CS$7+(CR54/24)</f>
        <v>45435.25</v>
      </c>
      <c r="CT54" s="295" t="n">
        <v>1</v>
      </c>
      <c r="CU54" s="296" t="n">
        <v>0.58469</v>
      </c>
      <c r="CV54" s="297" t="n">
        <f aca="false">(CS54-AG54)*24</f>
        <v>37.0713888888889</v>
      </c>
      <c r="CW54" s="281" t="s">
        <v>819</v>
      </c>
      <c r="CX54" s="320" t="n">
        <f aca="false">(AT54-CS54)*24</f>
        <v>9</v>
      </c>
      <c r="CY54" s="299" t="s">
        <v>812</v>
      </c>
      <c r="CZ54" s="260" t="s">
        <v>192</v>
      </c>
      <c r="DA54" s="304" t="n">
        <v>9</v>
      </c>
      <c r="DB54" s="306" t="s">
        <v>254</v>
      </c>
    </row>
    <row r="55" customFormat="false" ht="15.75" hidden="false" customHeight="true" outlineLevel="0" collapsed="false">
      <c r="A55" s="273" t="s">
        <v>192</v>
      </c>
      <c r="B55" s="304" t="n">
        <v>10</v>
      </c>
      <c r="C55" s="305" t="n">
        <v>16262781489</v>
      </c>
      <c r="D55" s="306" t="s">
        <v>263</v>
      </c>
      <c r="E55" s="306" t="s">
        <v>264</v>
      </c>
      <c r="F55" s="305" t="s">
        <v>265</v>
      </c>
      <c r="G55" s="305" t="n">
        <v>89267</v>
      </c>
      <c r="H55" s="307"/>
      <c r="I55" s="308" t="n">
        <v>43020</v>
      </c>
      <c r="J55" s="309" t="n">
        <v>6.61095890410959</v>
      </c>
      <c r="K55" s="308" t="n">
        <v>45206</v>
      </c>
      <c r="L55" s="310" t="n">
        <v>70.2</v>
      </c>
      <c r="M55" s="310" t="n">
        <v>3.25</v>
      </c>
      <c r="N55" s="310" t="n">
        <v>4</v>
      </c>
      <c r="O55" s="311" t="n">
        <v>227</v>
      </c>
      <c r="P55" s="312" t="n">
        <v>361</v>
      </c>
      <c r="Q55" s="312" t="n">
        <v>3009</v>
      </c>
      <c r="R55" s="312" t="n">
        <v>2262</v>
      </c>
      <c r="S55" s="312" t="n">
        <v>1846</v>
      </c>
      <c r="T55" s="312" t="n">
        <v>1156</v>
      </c>
      <c r="U55" s="312" t="n">
        <v>644</v>
      </c>
      <c r="V55" s="312" t="n">
        <v>286</v>
      </c>
      <c r="W55" s="313" t="n">
        <v>9</v>
      </c>
      <c r="X55" s="314" t="n">
        <f aca="false">EXP(1.204+(0.102*J55)+(0.007*P55)-(0.001*V55)+(0.008*O55)-2.723)</f>
        <v>24.8365860052931</v>
      </c>
      <c r="Y55" s="314" t="n">
        <f aca="false">(X55/(1+X55))</f>
        <v>0.961295195897975</v>
      </c>
      <c r="Z55" s="314" t="n">
        <f aca="false">EXP(2.859+(0.011*P55)-(0.002*V55)+(0.275*J55)-1.952)</f>
        <v>456.694053091894</v>
      </c>
      <c r="AA55" s="314" t="n">
        <f aca="false">(Z55/(1+Z55))</f>
        <v>0.997815134382357</v>
      </c>
      <c r="AB55" s="304" t="n">
        <v>10</v>
      </c>
      <c r="AC55" s="273"/>
      <c r="AD55" s="315"/>
      <c r="AE55" s="315"/>
      <c r="AF55" s="315"/>
      <c r="AG55" s="317"/>
      <c r="AH55" s="317"/>
      <c r="AI55" s="309"/>
      <c r="AJ55" s="318"/>
      <c r="AK55" s="315"/>
      <c r="AL55" s="315"/>
      <c r="AM55" s="315"/>
      <c r="AN55" s="318"/>
      <c r="AO55" s="318"/>
      <c r="AP55" s="318"/>
      <c r="AQ55" s="273"/>
      <c r="AR55" s="273"/>
      <c r="AS55" s="272" t="s">
        <v>810</v>
      </c>
      <c r="AT55" s="275" t="n">
        <v>45435.625</v>
      </c>
      <c r="AU55" s="319" t="s">
        <v>818</v>
      </c>
      <c r="AV55" s="19" t="n">
        <v>97</v>
      </c>
      <c r="AW55" s="277"/>
      <c r="AX55" s="277"/>
      <c r="AY55" s="277"/>
      <c r="AZ55" s="354" t="n">
        <v>45461.4472337963</v>
      </c>
      <c r="BA55" s="354" t="n">
        <v>45461.4472337963</v>
      </c>
      <c r="BB55" s="279" t="n">
        <f aca="false">(BA55-AZ55)*24</f>
        <v>0</v>
      </c>
      <c r="BC55" s="280" t="n">
        <v>1</v>
      </c>
      <c r="BD55" s="277"/>
      <c r="BE55" s="277"/>
      <c r="BF55" s="277"/>
      <c r="BG55" s="277"/>
      <c r="BH55" s="19" t="n">
        <v>1</v>
      </c>
      <c r="BI55" s="19" t="n">
        <v>1</v>
      </c>
      <c r="BJ55" s="260" t="n">
        <v>1</v>
      </c>
      <c r="BK55" s="273" t="n">
        <v>1</v>
      </c>
      <c r="BL55" s="273"/>
      <c r="BM55" s="273" t="s">
        <v>812</v>
      </c>
      <c r="BN55" s="281" t="s">
        <v>813</v>
      </c>
      <c r="BO55" s="273" t="n">
        <v>1</v>
      </c>
      <c r="BP55" s="265" t="n">
        <v>45587</v>
      </c>
      <c r="BQ55" s="282" t="n">
        <f aca="false">AT55+145</f>
        <v>45580.625</v>
      </c>
      <c r="BR55" s="283" t="n">
        <f aca="false">BP55-AT55</f>
        <v>151.375</v>
      </c>
      <c r="BS55" s="283" t="s">
        <v>35</v>
      </c>
      <c r="BT55" s="281" t="s">
        <v>813</v>
      </c>
      <c r="BU55" s="284" t="n">
        <v>0.2</v>
      </c>
      <c r="BV55" s="284" t="n">
        <v>0.50733</v>
      </c>
      <c r="BW55" s="284" t="n">
        <v>0.2</v>
      </c>
      <c r="BX55" s="284" t="n">
        <v>0.30584</v>
      </c>
      <c r="BY55" s="284" t="n">
        <v>0.37373</v>
      </c>
      <c r="BZ55" s="284" t="n">
        <v>0.51646</v>
      </c>
      <c r="CA55" s="284" t="n">
        <v>1.8059</v>
      </c>
      <c r="CB55" s="284" t="n">
        <v>1.3871</v>
      </c>
      <c r="CC55" s="284" t="n">
        <v>3.4592</v>
      </c>
      <c r="CD55" s="284" t="n">
        <v>3.0498</v>
      </c>
      <c r="CE55" s="284" t="n">
        <v>5.2989</v>
      </c>
      <c r="CF55" s="285" t="s">
        <v>814</v>
      </c>
      <c r="CG55" s="286" t="s">
        <v>815</v>
      </c>
      <c r="CH55" s="285" t="s">
        <v>814</v>
      </c>
      <c r="CI55" s="288" t="s">
        <v>815</v>
      </c>
      <c r="CJ55" s="289" t="n">
        <v>0.35056</v>
      </c>
      <c r="CK55" s="290" t="n">
        <v>0.141402261226616</v>
      </c>
      <c r="CL55" s="290" t="n">
        <v>0.633364522453231</v>
      </c>
      <c r="CM55" s="285" t="s">
        <v>814</v>
      </c>
      <c r="CN55" s="286" t="s">
        <v>815</v>
      </c>
      <c r="CO55" s="291" t="s">
        <v>816</v>
      </c>
      <c r="CP55" s="285" t="s">
        <v>810</v>
      </c>
      <c r="CQ55" s="292" t="n">
        <v>4</v>
      </c>
      <c r="CR55" s="293" t="n">
        <v>72</v>
      </c>
      <c r="CS55" s="294" t="n">
        <f aca="false">$CS$7+(CR55/24)</f>
        <v>45436.25</v>
      </c>
      <c r="CT55" s="295" t="n">
        <v>0.5</v>
      </c>
      <c r="CU55" s="296" t="n">
        <v>0.24752</v>
      </c>
      <c r="CV55" s="297"/>
      <c r="CW55" s="281" t="s">
        <v>813</v>
      </c>
      <c r="CX55" s="320" t="n">
        <f aca="false">(AT55-CS55)*24</f>
        <v>-15</v>
      </c>
      <c r="CY55" s="299" t="s">
        <v>812</v>
      </c>
      <c r="CZ55" s="260" t="s">
        <v>192</v>
      </c>
      <c r="DA55" s="304" t="n">
        <v>10</v>
      </c>
      <c r="DB55" s="306" t="s">
        <v>263</v>
      </c>
    </row>
    <row r="56" customFormat="false" ht="15.75" hidden="false" customHeight="true" outlineLevel="0" collapsed="false">
      <c r="A56" s="273" t="s">
        <v>192</v>
      </c>
      <c r="B56" s="304" t="n">
        <v>12</v>
      </c>
      <c r="C56" s="305" t="n">
        <v>16262781594</v>
      </c>
      <c r="D56" s="306" t="s">
        <v>279</v>
      </c>
      <c r="E56" s="306" t="s">
        <v>280</v>
      </c>
      <c r="F56" s="305" t="s">
        <v>281</v>
      </c>
      <c r="G56" s="305" t="n">
        <v>89281</v>
      </c>
      <c r="H56" s="307"/>
      <c r="I56" s="308" t="n">
        <v>43021</v>
      </c>
      <c r="J56" s="309" t="n">
        <v>6.60821917808219</v>
      </c>
      <c r="K56" s="308" t="n">
        <v>45205</v>
      </c>
      <c r="L56" s="310" t="n">
        <v>70.6</v>
      </c>
      <c r="M56" s="310" t="n">
        <v>2.75</v>
      </c>
      <c r="N56" s="310" t="n">
        <v>3</v>
      </c>
      <c r="O56" s="311" t="n">
        <v>228</v>
      </c>
      <c r="P56" s="312" t="n">
        <v>314</v>
      </c>
      <c r="Q56" s="312" t="n">
        <v>2264</v>
      </c>
      <c r="R56" s="312" t="n">
        <v>2088</v>
      </c>
      <c r="S56" s="312" t="n">
        <v>1789</v>
      </c>
      <c r="T56" s="312" t="n">
        <v>1522</v>
      </c>
      <c r="U56" s="312" t="n">
        <v>1260</v>
      </c>
      <c r="V56" s="312" t="n">
        <v>886</v>
      </c>
      <c r="W56" s="313" t="n">
        <v>-36</v>
      </c>
      <c r="X56" s="314" t="n">
        <f aca="false">EXP(0.585+(0.102*J56)+(0.007*P56)-(0.001*V56)+(0.008*O56)-2.723)</f>
        <v>5.32300693041086</v>
      </c>
      <c r="Y56" s="314" t="n">
        <f aca="false">(X56/(1+X56))</f>
        <v>0.841847397764117</v>
      </c>
      <c r="Z56" s="314" t="n">
        <f aca="false">EXP(1.741+(0.011*P56)-(0.002*V56)+(0.275*J56)-1.952)</f>
        <v>26.7962050257314</v>
      </c>
      <c r="AA56" s="314" t="n">
        <f aca="false">(Z56/(1+Z56))</f>
        <v>0.964023865881178</v>
      </c>
      <c r="AB56" s="304" t="n">
        <v>12</v>
      </c>
      <c r="AC56" s="273" t="n">
        <v>44</v>
      </c>
      <c r="AD56" s="315"/>
      <c r="AE56" s="315"/>
      <c r="AF56" s="315"/>
      <c r="AG56" s="317" t="n">
        <v>45434.7427199074</v>
      </c>
      <c r="AH56" s="316" t="n">
        <v>45435.3974768519</v>
      </c>
      <c r="AI56" s="309" t="n">
        <f aca="false">(AH56-AG56)*24</f>
        <v>15.7141666666667</v>
      </c>
      <c r="AJ56" s="318" t="n">
        <v>15.7141666666721</v>
      </c>
      <c r="AK56" s="315"/>
      <c r="AL56" s="315"/>
      <c r="AM56" s="315"/>
      <c r="AN56" s="318"/>
      <c r="AO56" s="318" t="n">
        <f aca="false">(AG56-$AO$7)*24</f>
        <v>34.3252777777778</v>
      </c>
      <c r="AP56" s="318" t="n">
        <f aca="false">AO56+35</f>
        <v>69.3252777777778</v>
      </c>
      <c r="AQ56" s="273" t="n">
        <v>7</v>
      </c>
      <c r="AR56" s="273" t="n">
        <v>2</v>
      </c>
      <c r="AS56" s="273" t="s">
        <v>815</v>
      </c>
      <c r="AT56" s="275" t="n">
        <v>45435.625</v>
      </c>
      <c r="AU56" s="319" t="s">
        <v>821</v>
      </c>
      <c r="AV56" s="19"/>
      <c r="AW56" s="277"/>
      <c r="AX56" s="277"/>
      <c r="AY56" s="277"/>
      <c r="AZ56" s="354"/>
      <c r="BA56" s="354"/>
      <c r="BB56" s="279"/>
      <c r="BC56" s="280"/>
      <c r="BD56" s="277"/>
      <c r="BE56" s="277"/>
      <c r="BF56" s="277"/>
      <c r="BG56" s="277"/>
      <c r="BH56" s="19"/>
      <c r="BI56" s="19"/>
      <c r="BJ56" s="260" t="n">
        <v>1</v>
      </c>
      <c r="BK56" s="273" t="n">
        <v>1</v>
      </c>
      <c r="BL56" s="273"/>
      <c r="BM56" s="273" t="s">
        <v>812</v>
      </c>
      <c r="BN56" s="281" t="s">
        <v>819</v>
      </c>
      <c r="BO56" s="273" t="n">
        <v>1</v>
      </c>
      <c r="BP56" s="265" t="n">
        <v>45585</v>
      </c>
      <c r="BQ56" s="282" t="n">
        <f aca="false">AT56+145</f>
        <v>45580.625</v>
      </c>
      <c r="BR56" s="283" t="n">
        <f aca="false">BP56-AT56</f>
        <v>149.375</v>
      </c>
      <c r="BS56" s="283" t="s">
        <v>35</v>
      </c>
      <c r="BT56" s="281" t="s">
        <v>819</v>
      </c>
      <c r="BU56" s="284" t="n">
        <v>0.2</v>
      </c>
      <c r="BV56" s="284" t="n">
        <v>0.2</v>
      </c>
      <c r="BW56" s="284" t="n">
        <v>0.2</v>
      </c>
      <c r="BX56" s="284" t="n">
        <v>0.2</v>
      </c>
      <c r="BY56" s="284" t="n">
        <v>0.6</v>
      </c>
      <c r="BZ56" s="284" t="n">
        <v>0.7</v>
      </c>
      <c r="CA56" s="284" t="n">
        <v>0.8</v>
      </c>
      <c r="CB56" s="284" t="n">
        <v>1.2012</v>
      </c>
      <c r="CC56" s="284" t="n">
        <v>1.8059</v>
      </c>
      <c r="CD56" s="284" t="n">
        <v>2.3461</v>
      </c>
      <c r="CE56" s="284" t="n">
        <v>3.0896</v>
      </c>
      <c r="CF56" s="285" t="s">
        <v>814</v>
      </c>
      <c r="CG56" s="286" t="s">
        <v>815</v>
      </c>
      <c r="CH56" s="285" t="s">
        <v>814</v>
      </c>
      <c r="CI56" s="288" t="s">
        <v>815</v>
      </c>
      <c r="CJ56" s="289" t="n">
        <v>0.35</v>
      </c>
      <c r="CK56" s="290" t="n">
        <v>0.234520787991172</v>
      </c>
      <c r="CL56" s="290" t="n">
        <v>0.819041575982343</v>
      </c>
      <c r="CM56" s="285" t="s">
        <v>814</v>
      </c>
      <c r="CN56" s="286" t="s">
        <v>815</v>
      </c>
      <c r="CO56" s="291" t="s">
        <v>816</v>
      </c>
      <c r="CP56" s="285" t="s">
        <v>810</v>
      </c>
      <c r="CQ56" s="292" t="n">
        <v>5</v>
      </c>
      <c r="CR56" s="293" t="n">
        <v>60</v>
      </c>
      <c r="CS56" s="294" t="n">
        <f aca="false">$CS$7+(CR56/24)</f>
        <v>45435.75</v>
      </c>
      <c r="CT56" s="295" t="n">
        <v>1.5</v>
      </c>
      <c r="CU56" s="296" t="n">
        <v>0.24433</v>
      </c>
      <c r="CV56" s="297" t="n">
        <f aca="false">(CS56-AG56)*24</f>
        <v>24.1747222222222</v>
      </c>
      <c r="CW56" s="281" t="s">
        <v>819</v>
      </c>
      <c r="CX56" s="320" t="n">
        <f aca="false">(AT56-CS56)*24</f>
        <v>-3</v>
      </c>
      <c r="CY56" s="299" t="s">
        <v>812</v>
      </c>
      <c r="CZ56" s="260" t="s">
        <v>192</v>
      </c>
      <c r="DA56" s="304" t="n">
        <v>12</v>
      </c>
      <c r="DB56" s="306" t="s">
        <v>279</v>
      </c>
    </row>
    <row r="57" customFormat="false" ht="15.75" hidden="false" customHeight="true" outlineLevel="0" collapsed="false">
      <c r="A57" s="273" t="s">
        <v>192</v>
      </c>
      <c r="B57" s="304" t="n">
        <v>13</v>
      </c>
      <c r="C57" s="305" t="n">
        <v>16262781607</v>
      </c>
      <c r="D57" s="306" t="s">
        <v>288</v>
      </c>
      <c r="E57" s="306" t="s">
        <v>289</v>
      </c>
      <c r="F57" s="305" t="s">
        <v>290</v>
      </c>
      <c r="G57" s="305" t="n">
        <v>89251</v>
      </c>
      <c r="H57" s="307"/>
      <c r="I57" s="308" t="n">
        <v>43021</v>
      </c>
      <c r="J57" s="309" t="n">
        <v>6.60821917808219</v>
      </c>
      <c r="K57" s="308" t="n">
        <v>45205</v>
      </c>
      <c r="L57" s="310" t="n">
        <v>67</v>
      </c>
      <c r="M57" s="310" t="n">
        <v>2.75</v>
      </c>
      <c r="N57" s="310" t="n">
        <v>2.75</v>
      </c>
      <c r="O57" s="311" t="n">
        <v>228</v>
      </c>
      <c r="P57" s="312" t="n">
        <v>307</v>
      </c>
      <c r="Q57" s="312" t="n">
        <v>2384</v>
      </c>
      <c r="R57" s="312" t="n">
        <v>1943</v>
      </c>
      <c r="S57" s="312" t="n">
        <v>1846</v>
      </c>
      <c r="T57" s="312" t="n">
        <v>1466</v>
      </c>
      <c r="U57" s="312" t="n">
        <v>1148</v>
      </c>
      <c r="V57" s="312" t="n">
        <v>1144</v>
      </c>
      <c r="W57" s="313" t="n">
        <v>-160</v>
      </c>
      <c r="X57" s="314" t="n">
        <f aca="false">EXP(0.585+(0.102*J57)+(0.007*P57)-(0.001*V57)+(0.008*O57)-2.723)</f>
        <v>3.91587324699022</v>
      </c>
      <c r="Y57" s="314" t="n">
        <f aca="false">(X57/(1+X57))</f>
        <v>0.796577342466619</v>
      </c>
      <c r="Z57" s="314" t="n">
        <f aca="false">EXP(1.741+(0.011*P57)-(0.002*V57)+(0.275*J57)-1.952)</f>
        <v>14.8093727459953</v>
      </c>
      <c r="AA57" s="314" t="n">
        <f aca="false">(Z57/(1+Z57))</f>
        <v>0.936746383549385</v>
      </c>
      <c r="AB57" s="304" t="n">
        <v>13</v>
      </c>
      <c r="AC57" s="273"/>
      <c r="AD57" s="315"/>
      <c r="AE57" s="315"/>
      <c r="AF57" s="315"/>
      <c r="AG57" s="317"/>
      <c r="AH57" s="316"/>
      <c r="AI57" s="309"/>
      <c r="AJ57" s="318"/>
      <c r="AK57" s="315"/>
      <c r="AL57" s="315"/>
      <c r="AM57" s="315"/>
      <c r="AN57" s="318"/>
      <c r="AO57" s="318"/>
      <c r="AP57" s="318"/>
      <c r="AQ57" s="273"/>
      <c r="AR57" s="273"/>
      <c r="AS57" s="272" t="s">
        <v>810</v>
      </c>
      <c r="AT57" s="275" t="n">
        <v>45435.625</v>
      </c>
      <c r="AU57" s="276" t="s">
        <v>811</v>
      </c>
      <c r="AV57" s="19"/>
      <c r="AW57" s="277"/>
      <c r="AX57" s="277"/>
      <c r="AY57" s="277"/>
      <c r="AZ57" s="354"/>
      <c r="BA57" s="354"/>
      <c r="BB57" s="279"/>
      <c r="BC57" s="280"/>
      <c r="BD57" s="277"/>
      <c r="BE57" s="277"/>
      <c r="BF57" s="277"/>
      <c r="BG57" s="277"/>
      <c r="BH57" s="19"/>
      <c r="BI57" s="19"/>
      <c r="BJ57" s="260" t="n">
        <v>1</v>
      </c>
      <c r="BK57" s="273" t="n">
        <v>1</v>
      </c>
      <c r="BL57" s="273"/>
      <c r="BM57" s="273" t="s">
        <v>812</v>
      </c>
      <c r="BN57" s="281" t="s">
        <v>813</v>
      </c>
      <c r="BO57" s="273" t="n">
        <v>1</v>
      </c>
      <c r="BP57" s="265" t="n">
        <v>45585</v>
      </c>
      <c r="BQ57" s="282" t="n">
        <f aca="false">AT57+145</f>
        <v>45580.625</v>
      </c>
      <c r="BR57" s="283" t="n">
        <f aca="false">BP57-AT57</f>
        <v>149.375</v>
      </c>
      <c r="BS57" s="283" t="s">
        <v>35</v>
      </c>
      <c r="BT57" s="281" t="s">
        <v>813</v>
      </c>
      <c r="BU57" s="284" t="n">
        <v>0.2</v>
      </c>
      <c r="BV57" s="284" t="n">
        <v>0.43923</v>
      </c>
      <c r="BW57" s="284" t="n">
        <v>0.2</v>
      </c>
      <c r="BX57" s="284" t="n">
        <v>0.2</v>
      </c>
      <c r="BY57" s="284" t="n">
        <v>0.2</v>
      </c>
      <c r="BZ57" s="284" t="n">
        <v>0.2</v>
      </c>
      <c r="CA57" s="284" t="n">
        <v>0.2</v>
      </c>
      <c r="CB57" s="284" t="n">
        <v>0.53053</v>
      </c>
      <c r="CC57" s="284" t="n">
        <v>1.4243</v>
      </c>
      <c r="CD57" s="284" t="n">
        <v>2.1</v>
      </c>
      <c r="CE57" s="284" t="n">
        <v>1.4965</v>
      </c>
      <c r="CF57" s="285" t="s">
        <v>814</v>
      </c>
      <c r="CG57" s="286" t="s">
        <v>815</v>
      </c>
      <c r="CH57" s="285" t="s">
        <v>814</v>
      </c>
      <c r="CI57" s="288" t="s">
        <v>815</v>
      </c>
      <c r="CJ57" s="289" t="n">
        <v>0.239871666666667</v>
      </c>
      <c r="CK57" s="290" t="n">
        <v>0.0976652385276702</v>
      </c>
      <c r="CL57" s="290" t="n">
        <v>0.435202143722007</v>
      </c>
      <c r="CM57" s="285" t="s">
        <v>814</v>
      </c>
      <c r="CN57" s="286" t="s">
        <v>815</v>
      </c>
      <c r="CO57" s="291" t="s">
        <v>816</v>
      </c>
      <c r="CP57" s="285" t="s">
        <v>810</v>
      </c>
      <c r="CQ57" s="292" t="n">
        <v>5</v>
      </c>
      <c r="CR57" s="293" t="n">
        <v>72</v>
      </c>
      <c r="CS57" s="294" t="n">
        <f aca="false">$CS$7+(CR57/24)</f>
        <v>45436.25</v>
      </c>
      <c r="CT57" s="295" t="n">
        <v>1</v>
      </c>
      <c r="CU57" s="296" t="n">
        <v>0.21975</v>
      </c>
      <c r="CV57" s="297"/>
      <c r="CW57" s="281" t="s">
        <v>813</v>
      </c>
      <c r="CX57" s="320" t="n">
        <f aca="false">(AT57-CS57)*24</f>
        <v>-15</v>
      </c>
      <c r="CY57" s="299" t="s">
        <v>812</v>
      </c>
      <c r="CZ57" s="260" t="s">
        <v>192</v>
      </c>
      <c r="DA57" s="304" t="n">
        <v>13</v>
      </c>
      <c r="DB57" s="306" t="s">
        <v>288</v>
      </c>
    </row>
    <row r="58" customFormat="false" ht="15.75" hidden="false" customHeight="true" outlineLevel="0" collapsed="false">
      <c r="A58" s="273" t="s">
        <v>192</v>
      </c>
      <c r="B58" s="304" t="n">
        <v>14</v>
      </c>
      <c r="C58" s="305" t="n">
        <v>16262791214</v>
      </c>
      <c r="D58" s="306" t="s">
        <v>297</v>
      </c>
      <c r="E58" s="306" t="s">
        <v>298</v>
      </c>
      <c r="F58" s="305" t="s">
        <v>299</v>
      </c>
      <c r="G58" s="305" t="n">
        <v>88839</v>
      </c>
      <c r="H58" s="307"/>
      <c r="I58" s="308" t="n">
        <v>43383</v>
      </c>
      <c r="J58" s="309" t="n">
        <v>5.61643835616438</v>
      </c>
      <c r="K58" s="308" t="n">
        <v>45204</v>
      </c>
      <c r="L58" s="310" t="n">
        <v>63.8</v>
      </c>
      <c r="M58" s="310" t="n">
        <v>3.25</v>
      </c>
      <c r="N58" s="310" t="n">
        <v>3.25</v>
      </c>
      <c r="O58" s="311" t="n">
        <v>229</v>
      </c>
      <c r="P58" s="312" t="n">
        <v>282</v>
      </c>
      <c r="Q58" s="312" t="n">
        <v>2831</v>
      </c>
      <c r="R58" s="312" t="n">
        <v>1769</v>
      </c>
      <c r="S58" s="312" t="n">
        <v>1704</v>
      </c>
      <c r="T58" s="312" t="n">
        <v>1212</v>
      </c>
      <c r="U58" s="312" t="n">
        <v>1260</v>
      </c>
      <c r="V58" s="312" t="n">
        <v>1058</v>
      </c>
      <c r="W58" s="313" t="n">
        <v>-78</v>
      </c>
      <c r="X58" s="314" t="n">
        <f aca="false">EXP(1.204+(0.102*J58)+(0.007*P58)-(0.001*V58)+(0.008*O58)-2.723)</f>
        <v>6.0610115726397</v>
      </c>
      <c r="Y58" s="314" t="n">
        <f aca="false">(X58/(1+X58))</f>
        <v>0.85837723253778</v>
      </c>
      <c r="Z58" s="314" t="n">
        <f aca="false">EXP(2.859+(0.011*P58)-(0.002*V58)+(0.275*J58)-1.952)</f>
        <v>31.1097273853738</v>
      </c>
      <c r="AA58" s="314" t="n">
        <f aca="false">(Z58/(1+Z58))</f>
        <v>0.968856789470735</v>
      </c>
      <c r="AB58" s="304" t="n">
        <v>14</v>
      </c>
      <c r="AC58" s="273"/>
      <c r="AD58" s="315"/>
      <c r="AE58" s="315"/>
      <c r="AF58" s="315"/>
      <c r="AG58" s="317"/>
      <c r="AH58" s="316"/>
      <c r="AI58" s="309"/>
      <c r="AJ58" s="318"/>
      <c r="AK58" s="315"/>
      <c r="AL58" s="315"/>
      <c r="AM58" s="315"/>
      <c r="AN58" s="318"/>
      <c r="AO58" s="318"/>
      <c r="AP58" s="318"/>
      <c r="AQ58" s="273"/>
      <c r="AR58" s="273"/>
      <c r="AS58" s="272" t="s">
        <v>810</v>
      </c>
      <c r="AT58" s="275" t="n">
        <v>45435.625</v>
      </c>
      <c r="AU58" s="276" t="s">
        <v>811</v>
      </c>
      <c r="AV58" s="19" t="n">
        <v>93</v>
      </c>
      <c r="AW58" s="277"/>
      <c r="AX58" s="277"/>
      <c r="AY58" s="277"/>
      <c r="AZ58" s="354" t="n">
        <v>45453.4102083333</v>
      </c>
      <c r="BA58" s="278" t="n">
        <v>45454.2122685185</v>
      </c>
      <c r="BB58" s="279" t="n">
        <f aca="false">(BA58-AZ58)*24</f>
        <v>19.2494444444444</v>
      </c>
      <c r="BC58" s="277" t="n">
        <v>19.2494444443728</v>
      </c>
      <c r="BD58" s="277"/>
      <c r="BE58" s="277"/>
      <c r="BF58" s="277"/>
      <c r="BG58" s="277"/>
      <c r="BH58" s="19" t="n">
        <v>26</v>
      </c>
      <c r="BI58" s="19"/>
      <c r="BJ58" s="273" t="n">
        <v>0</v>
      </c>
      <c r="BK58" s="273"/>
      <c r="BL58" s="273"/>
      <c r="BM58" s="273" t="s">
        <v>829</v>
      </c>
      <c r="BN58" s="281" t="s">
        <v>827</v>
      </c>
      <c r="BO58" s="273" t="n">
        <v>2</v>
      </c>
      <c r="BP58" s="265" t="n">
        <v>45599</v>
      </c>
      <c r="BQ58" s="282" t="n">
        <f aca="false">AZ58+145</f>
        <v>45598.4102083333</v>
      </c>
      <c r="BR58" s="283" t="n">
        <f aca="false">BP58-AT58</f>
        <v>163.375</v>
      </c>
      <c r="BS58" s="283" t="s">
        <v>106</v>
      </c>
      <c r="BT58" s="281" t="s">
        <v>827</v>
      </c>
      <c r="BU58" s="284" t="n">
        <v>0.2</v>
      </c>
      <c r="BV58" s="284" t="n">
        <v>0.2</v>
      </c>
      <c r="BW58" s="284" t="n">
        <v>0.2</v>
      </c>
      <c r="BX58" s="284" t="n">
        <v>0.2</v>
      </c>
      <c r="BY58" s="284" t="n">
        <v>0.2</v>
      </c>
      <c r="BZ58" s="284" t="n">
        <v>0.2</v>
      </c>
      <c r="CA58" s="331" t="n">
        <v>0.71103</v>
      </c>
      <c r="CB58" s="331" t="n">
        <v>1.0554</v>
      </c>
      <c r="CC58" s="331" t="n">
        <v>0.8258</v>
      </c>
      <c r="CD58" s="331" t="n">
        <v>1.389</v>
      </c>
      <c r="CE58" s="331" t="n">
        <v>0.63671</v>
      </c>
      <c r="CF58" s="285" t="s">
        <v>814</v>
      </c>
      <c r="CG58" s="332" t="s">
        <v>810</v>
      </c>
      <c r="CH58" s="285" t="s">
        <v>814</v>
      </c>
      <c r="CI58" s="288" t="s">
        <v>815</v>
      </c>
      <c r="CJ58" s="344" t="n">
        <v>0.2</v>
      </c>
      <c r="CK58" s="290" t="n">
        <v>0</v>
      </c>
      <c r="CL58" s="290" t="n">
        <v>0.5</v>
      </c>
      <c r="CM58" s="285" t="s">
        <v>814</v>
      </c>
      <c r="CN58" s="286" t="s">
        <v>815</v>
      </c>
      <c r="CO58" s="372" t="s">
        <v>822</v>
      </c>
      <c r="CP58" s="285" t="s">
        <v>810</v>
      </c>
      <c r="CQ58" s="292" t="n">
        <v>4</v>
      </c>
      <c r="CR58" s="362"/>
      <c r="CS58" s="294"/>
      <c r="CT58" s="363"/>
      <c r="CU58" s="364"/>
      <c r="CV58" s="297"/>
      <c r="CW58" s="281" t="s">
        <v>819</v>
      </c>
      <c r="CX58" s="320"/>
      <c r="CY58" s="346" t="s">
        <v>829</v>
      </c>
      <c r="CZ58" s="260" t="s">
        <v>192</v>
      </c>
      <c r="DA58" s="304" t="n">
        <v>14</v>
      </c>
      <c r="DB58" s="306" t="s">
        <v>297</v>
      </c>
    </row>
    <row r="59" customFormat="false" ht="15.75" hidden="false" customHeight="true" outlineLevel="0" collapsed="false">
      <c r="A59" s="273" t="s">
        <v>192</v>
      </c>
      <c r="B59" s="304" t="n">
        <v>16</v>
      </c>
      <c r="C59" s="305" t="n">
        <v>16262791253</v>
      </c>
      <c r="D59" s="306" t="s">
        <v>303</v>
      </c>
      <c r="E59" s="306" t="s">
        <v>304</v>
      </c>
      <c r="F59" s="305" t="s">
        <v>305</v>
      </c>
      <c r="G59" s="305" t="n">
        <v>88980</v>
      </c>
      <c r="H59" s="307"/>
      <c r="I59" s="308" t="n">
        <v>43383</v>
      </c>
      <c r="J59" s="309" t="n">
        <v>5.61643835616438</v>
      </c>
      <c r="K59" s="308" t="n">
        <v>45205</v>
      </c>
      <c r="L59" s="310" t="n">
        <v>69.9</v>
      </c>
      <c r="M59" s="310" t="n">
        <v>3.5</v>
      </c>
      <c r="N59" s="310" t="n">
        <v>3.5</v>
      </c>
      <c r="O59" s="311" t="n">
        <v>228</v>
      </c>
      <c r="P59" s="312" t="n">
        <v>335</v>
      </c>
      <c r="Q59" s="312" t="n">
        <v>3158</v>
      </c>
      <c r="R59" s="312" t="n">
        <v>1914</v>
      </c>
      <c r="S59" s="312" t="n">
        <v>2130</v>
      </c>
      <c r="T59" s="312" t="n">
        <v>1720</v>
      </c>
      <c r="U59" s="312" t="n">
        <v>1400</v>
      </c>
      <c r="V59" s="312" t="n">
        <v>1258</v>
      </c>
      <c r="W59" s="313" t="n">
        <v>0</v>
      </c>
      <c r="X59" s="314" t="n">
        <f aca="false">EXP(1.204+(0.102*J59)+(0.007*P59)-(0.001*V59)+(0.008*O59)-2.723)</f>
        <v>7.13403299762332</v>
      </c>
      <c r="Y59" s="314" t="n">
        <f aca="false">(X59/(1+X59))</f>
        <v>0.877059756176034</v>
      </c>
      <c r="Z59" s="314" t="n">
        <f aca="false">EXP(2.859+(0.011*P59)-(0.002*V59)+(0.275*J59)-1.952)</f>
        <v>37.3570088758237</v>
      </c>
      <c r="AA59" s="314" t="n">
        <f aca="false">(Z59/(1+Z59))</f>
        <v>0.973929145433697</v>
      </c>
      <c r="AB59" s="304" t="n">
        <v>16</v>
      </c>
      <c r="AC59" s="273" t="n">
        <v>60</v>
      </c>
      <c r="AD59" s="315"/>
      <c r="AE59" s="315"/>
      <c r="AF59" s="315"/>
      <c r="AG59" s="317" t="n">
        <v>45435.2303472222</v>
      </c>
      <c r="AH59" s="316" t="n">
        <v>45435.6150925926</v>
      </c>
      <c r="AI59" s="309" t="n">
        <f aca="false">(AH59-AG59)*24</f>
        <v>9.23388888888889</v>
      </c>
      <c r="AJ59" s="318" t="n">
        <v>9.23388888890622</v>
      </c>
      <c r="AK59" s="315"/>
      <c r="AL59" s="315"/>
      <c r="AM59" s="315"/>
      <c r="AN59" s="318"/>
      <c r="AO59" s="318" t="n">
        <f aca="false">(AG59-$AO$7)*24</f>
        <v>46.0283333333333</v>
      </c>
      <c r="AP59" s="318" t="n">
        <f aca="false">AO59+35</f>
        <v>81.0283333333333</v>
      </c>
      <c r="AQ59" s="273" t="n">
        <v>5</v>
      </c>
      <c r="AR59" s="273" t="n">
        <v>2</v>
      </c>
      <c r="AS59" s="273" t="s">
        <v>815</v>
      </c>
      <c r="AT59" s="275" t="n">
        <v>45435.625</v>
      </c>
      <c r="AU59" s="319" t="s">
        <v>818</v>
      </c>
      <c r="AV59" s="19"/>
      <c r="AW59" s="277"/>
      <c r="AX59" s="277"/>
      <c r="AY59" s="277"/>
      <c r="AZ59" s="354"/>
      <c r="BA59" s="278"/>
      <c r="BB59" s="279"/>
      <c r="BC59" s="277"/>
      <c r="BD59" s="277"/>
      <c r="BE59" s="277"/>
      <c r="BF59" s="277"/>
      <c r="BG59" s="277"/>
      <c r="BH59" s="19"/>
      <c r="BI59" s="19"/>
      <c r="BJ59" s="260" t="n">
        <v>1</v>
      </c>
      <c r="BK59" s="273" t="n">
        <v>2</v>
      </c>
      <c r="BL59" s="273"/>
      <c r="BM59" s="273" t="s">
        <v>812</v>
      </c>
      <c r="BN59" s="281" t="s">
        <v>819</v>
      </c>
      <c r="BO59" s="273" t="n">
        <v>1</v>
      </c>
      <c r="BP59" s="265" t="n">
        <v>45584</v>
      </c>
      <c r="BQ59" s="282" t="n">
        <f aca="false">AT59+145</f>
        <v>45580.625</v>
      </c>
      <c r="BR59" s="283" t="n">
        <f aca="false">BP59-AT59</f>
        <v>148.375</v>
      </c>
      <c r="BS59" s="283" t="s">
        <v>35</v>
      </c>
      <c r="BT59" s="281" t="s">
        <v>819</v>
      </c>
      <c r="BU59" s="284" t="n">
        <v>0.2</v>
      </c>
      <c r="BV59" s="284" t="n">
        <v>0.2</v>
      </c>
      <c r="BW59" s="284" t="n">
        <v>0.2</v>
      </c>
      <c r="BX59" s="284" t="n">
        <v>0.2</v>
      </c>
      <c r="BY59" s="284" t="n">
        <v>0.4</v>
      </c>
      <c r="BZ59" s="284" t="n">
        <v>0.2</v>
      </c>
      <c r="CA59" s="284" t="n">
        <v>0.25</v>
      </c>
      <c r="CB59" s="284" t="n">
        <v>0.2</v>
      </c>
      <c r="CC59" s="284" t="n">
        <v>0.47406</v>
      </c>
      <c r="CD59" s="284" t="n">
        <v>1.9935</v>
      </c>
      <c r="CE59" s="284" t="n">
        <v>1.1175</v>
      </c>
      <c r="CF59" s="285" t="s">
        <v>814</v>
      </c>
      <c r="CG59" s="286" t="s">
        <v>815</v>
      </c>
      <c r="CH59" s="285" t="s">
        <v>814</v>
      </c>
      <c r="CI59" s="288" t="s">
        <v>815</v>
      </c>
      <c r="CJ59" s="289" t="n">
        <v>0.233333333333333</v>
      </c>
      <c r="CK59" s="290" t="n">
        <v>0.0816496580927727</v>
      </c>
      <c r="CL59" s="290" t="n">
        <v>0.396632649518879</v>
      </c>
      <c r="CM59" s="285" t="s">
        <v>814</v>
      </c>
      <c r="CN59" s="286" t="s">
        <v>815</v>
      </c>
      <c r="CO59" s="291" t="s">
        <v>823</v>
      </c>
      <c r="CP59" s="285" t="s">
        <v>810</v>
      </c>
      <c r="CQ59" s="292" t="n">
        <v>7</v>
      </c>
      <c r="CR59" s="293" t="n">
        <v>48</v>
      </c>
      <c r="CS59" s="294" t="n">
        <f aca="false">$CS$7+(CR59/24)</f>
        <v>45435.25</v>
      </c>
      <c r="CT59" s="295" t="n">
        <v>2</v>
      </c>
      <c r="CU59" s="296" t="n">
        <v>0.53853</v>
      </c>
      <c r="CV59" s="297" t="n">
        <f aca="false">(CS59-AG59)*24</f>
        <v>0.471666666666667</v>
      </c>
      <c r="CW59" s="281" t="s">
        <v>819</v>
      </c>
      <c r="CX59" s="320" t="n">
        <f aca="false">(AT59-CS59)*24</f>
        <v>9</v>
      </c>
      <c r="CY59" s="299" t="s">
        <v>812</v>
      </c>
      <c r="CZ59" s="260" t="s">
        <v>192</v>
      </c>
      <c r="DA59" s="304" t="n">
        <v>16</v>
      </c>
      <c r="DB59" s="306" t="s">
        <v>303</v>
      </c>
    </row>
    <row r="60" customFormat="false" ht="15.75" hidden="false" customHeight="true" outlineLevel="0" collapsed="false">
      <c r="A60" s="273" t="s">
        <v>192</v>
      </c>
      <c r="B60" s="304" t="n">
        <v>18</v>
      </c>
      <c r="C60" s="305" t="n">
        <v>16262791276</v>
      </c>
      <c r="D60" s="306" t="s">
        <v>209</v>
      </c>
      <c r="E60" s="306" t="s">
        <v>210</v>
      </c>
      <c r="F60" s="305" t="s">
        <v>211</v>
      </c>
      <c r="G60" s="305" t="n">
        <v>88176</v>
      </c>
      <c r="H60" s="307"/>
      <c r="I60" s="308" t="n">
        <v>43384</v>
      </c>
      <c r="J60" s="309" t="n">
        <v>5.61369863013699</v>
      </c>
      <c r="K60" s="308" t="n">
        <v>45204</v>
      </c>
      <c r="L60" s="310" t="n">
        <v>90.4</v>
      </c>
      <c r="M60" s="310" t="n">
        <v>3.75</v>
      </c>
      <c r="N60" s="310" t="n">
        <v>3</v>
      </c>
      <c r="O60" s="311" t="n">
        <v>229</v>
      </c>
      <c r="P60" s="312" t="n">
        <v>338</v>
      </c>
      <c r="Q60" s="312" t="n">
        <v>2801</v>
      </c>
      <c r="R60" s="312" t="n">
        <v>2494</v>
      </c>
      <c r="S60" s="312" t="n">
        <v>2328</v>
      </c>
      <c r="T60" s="312" t="n">
        <v>1776</v>
      </c>
      <c r="U60" s="312" t="n">
        <v>1596</v>
      </c>
      <c r="V60" s="312" t="n">
        <v>1001</v>
      </c>
      <c r="W60" s="313" t="n">
        <v>-88</v>
      </c>
      <c r="X60" s="314" t="n">
        <f aca="false">EXP(0.585+(0.102*J60)+(0.007*P60)-(0.001*V60)+(0.008*O60)-2.723)</f>
        <v>5.11203344894138</v>
      </c>
      <c r="Y60" s="314" t="n">
        <f aca="false">(X60/(1+X60))</f>
        <v>0.83638832994718</v>
      </c>
      <c r="Z60" s="314" t="n">
        <f aca="false">EXP(1.741+(0.011*P60)-(0.002*V60)+(0.275*J60)-1.952)</f>
        <v>21.0893278470397</v>
      </c>
      <c r="AA60" s="314" t="n">
        <f aca="false">(Z60/(1+Z60))</f>
        <v>0.954729269857162</v>
      </c>
      <c r="AB60" s="304" t="n">
        <v>18</v>
      </c>
      <c r="AC60" s="273" t="n">
        <v>64</v>
      </c>
      <c r="AD60" s="315"/>
      <c r="AE60" s="315"/>
      <c r="AF60" s="315"/>
      <c r="AG60" s="316" t="n">
        <v>45435.4004513889</v>
      </c>
      <c r="AH60" s="316" t="n">
        <v>45435.6341087963</v>
      </c>
      <c r="AI60" s="309" t="n">
        <f aca="false">(AH60-AG60)*24</f>
        <v>5.60777777777778</v>
      </c>
      <c r="AJ60" s="318" t="n">
        <v>5.60777777776821</v>
      </c>
      <c r="AK60" s="315"/>
      <c r="AL60" s="315"/>
      <c r="AM60" s="315"/>
      <c r="AN60" s="318"/>
      <c r="AO60" s="318" t="n">
        <f aca="false">(AG60-$AO$7)*24</f>
        <v>50.1108333333333</v>
      </c>
      <c r="AP60" s="318" t="n">
        <f aca="false">AO60+35</f>
        <v>85.1108333333333</v>
      </c>
      <c r="AQ60" s="273" t="n">
        <v>4</v>
      </c>
      <c r="AR60" s="273" t="n">
        <v>1</v>
      </c>
      <c r="AS60" s="273" t="s">
        <v>815</v>
      </c>
      <c r="AT60" s="275" t="n">
        <v>45435.625</v>
      </c>
      <c r="AU60" s="276" t="s">
        <v>811</v>
      </c>
      <c r="AV60" s="19"/>
      <c r="AW60" s="277"/>
      <c r="AX60" s="277"/>
      <c r="AY60" s="277"/>
      <c r="AZ60" s="354"/>
      <c r="BA60" s="278"/>
      <c r="BB60" s="279"/>
      <c r="BC60" s="277"/>
      <c r="BD60" s="277"/>
      <c r="BE60" s="277"/>
      <c r="BF60" s="277"/>
      <c r="BG60" s="277"/>
      <c r="BH60" s="19"/>
      <c r="BI60" s="19"/>
      <c r="BJ60" s="260" t="n">
        <v>1</v>
      </c>
      <c r="BK60" s="273" t="n">
        <v>2</v>
      </c>
      <c r="BL60" s="273"/>
      <c r="BM60" s="273" t="s">
        <v>812</v>
      </c>
      <c r="BN60" s="281" t="s">
        <v>819</v>
      </c>
      <c r="BO60" s="273" t="n">
        <v>2</v>
      </c>
      <c r="BP60" s="265" t="n">
        <v>45579</v>
      </c>
      <c r="BQ60" s="282" t="n">
        <f aca="false">AT60+145</f>
        <v>45580.625</v>
      </c>
      <c r="BR60" s="283" t="n">
        <f aca="false">BP60-AT60</f>
        <v>143.375</v>
      </c>
      <c r="BS60" s="283" t="s">
        <v>35</v>
      </c>
      <c r="BT60" s="281" t="s">
        <v>819</v>
      </c>
      <c r="BU60" s="284" t="n">
        <v>0.25</v>
      </c>
      <c r="BV60" s="284" t="n">
        <v>0.2</v>
      </c>
      <c r="BW60" s="284" t="n">
        <v>0.2</v>
      </c>
      <c r="BX60" s="284" t="n">
        <v>0.2</v>
      </c>
      <c r="BY60" s="284" t="n">
        <v>0.2</v>
      </c>
      <c r="BZ60" s="284" t="n">
        <v>0.2</v>
      </c>
      <c r="CA60" s="331" t="n">
        <v>0.69131</v>
      </c>
      <c r="CB60" s="331" t="n">
        <v>0.8</v>
      </c>
      <c r="CC60" s="331" t="n">
        <v>0.38925</v>
      </c>
      <c r="CD60" s="331" t="n">
        <v>0.5732</v>
      </c>
      <c r="CE60" s="331" t="n">
        <v>0.81188</v>
      </c>
      <c r="CF60" s="285" t="s">
        <v>814</v>
      </c>
      <c r="CG60" s="332" t="s">
        <v>810</v>
      </c>
      <c r="CH60" s="285" t="s">
        <v>814</v>
      </c>
      <c r="CI60" s="335" t="s">
        <v>810</v>
      </c>
      <c r="CJ60" s="289" t="n">
        <v>0.208333333333333</v>
      </c>
      <c r="CK60" s="290" t="n">
        <v>0.0204124145231931</v>
      </c>
      <c r="CL60" s="290" t="n">
        <v>0.24915816237972</v>
      </c>
      <c r="CM60" s="285" t="s">
        <v>814</v>
      </c>
      <c r="CN60" s="336" t="s">
        <v>810</v>
      </c>
      <c r="CO60" s="291" t="s">
        <v>828</v>
      </c>
      <c r="CP60" s="285" t="s">
        <v>810</v>
      </c>
      <c r="CQ60" s="337"/>
      <c r="CR60" s="293" t="n">
        <v>48</v>
      </c>
      <c r="CS60" s="294" t="n">
        <f aca="false">$CS$7+(CR60/24)</f>
        <v>45435.25</v>
      </c>
      <c r="CT60" s="295" t="n">
        <v>2</v>
      </c>
      <c r="CU60" s="296" t="n">
        <v>0.86638</v>
      </c>
      <c r="CV60" s="297" t="n">
        <f aca="false">(CS60-AG60)*24</f>
        <v>-3.61083333333333</v>
      </c>
      <c r="CW60" s="281" t="s">
        <v>819</v>
      </c>
      <c r="CX60" s="320" t="n">
        <f aca="false">(AT60-CS60)*24</f>
        <v>9</v>
      </c>
      <c r="CY60" s="299" t="s">
        <v>812</v>
      </c>
      <c r="CZ60" s="260" t="s">
        <v>192</v>
      </c>
      <c r="DA60" s="304" t="n">
        <v>18</v>
      </c>
      <c r="DB60" s="306" t="s">
        <v>209</v>
      </c>
    </row>
    <row r="61" customFormat="false" ht="15.75" hidden="false" customHeight="true" outlineLevel="0" collapsed="false">
      <c r="A61" s="273" t="s">
        <v>192</v>
      </c>
      <c r="B61" s="304" t="n">
        <v>20</v>
      </c>
      <c r="C61" s="305" t="n">
        <v>16262791324</v>
      </c>
      <c r="D61" s="306" t="s">
        <v>324</v>
      </c>
      <c r="E61" s="306" t="s">
        <v>325</v>
      </c>
      <c r="F61" s="305" t="s">
        <v>326</v>
      </c>
      <c r="G61" s="305" t="n">
        <v>89244</v>
      </c>
      <c r="H61" s="307"/>
      <c r="I61" s="308" t="n">
        <v>43384</v>
      </c>
      <c r="J61" s="309" t="n">
        <v>5.61369863013699</v>
      </c>
      <c r="K61" s="308" t="n">
        <v>45205</v>
      </c>
      <c r="L61" s="310" t="n">
        <v>78.2</v>
      </c>
      <c r="M61" s="310" t="n">
        <v>3.25</v>
      </c>
      <c r="N61" s="310" t="n">
        <v>3</v>
      </c>
      <c r="O61" s="311" t="n">
        <v>228</v>
      </c>
      <c r="P61" s="312" t="n">
        <v>228</v>
      </c>
      <c r="Q61" s="312" t="n">
        <v>1728</v>
      </c>
      <c r="R61" s="312" t="n">
        <v>1798</v>
      </c>
      <c r="S61" s="312" t="n">
        <v>1704</v>
      </c>
      <c r="T61" s="312" t="n">
        <v>1269</v>
      </c>
      <c r="U61" s="312" t="n">
        <v>644</v>
      </c>
      <c r="V61" s="312" t="n">
        <v>514</v>
      </c>
      <c r="W61" s="313" t="n">
        <v>-32</v>
      </c>
      <c r="X61" s="314" t="n">
        <f aca="false">EXP(0.585+(0.102*J61)+(0.007*P61)-(0.001*V61)+(0.008*O61)-2.723)</f>
        <v>3.82132514963658</v>
      </c>
      <c r="Y61" s="314" t="n">
        <f aca="false">(X61/(1+X61))</f>
        <v>0.792588143515818</v>
      </c>
      <c r="Z61" s="314" t="n">
        <f aca="false">EXP(1.741+(0.011*P61)-(0.002*V61)+(0.275*J61)-1.952)</f>
        <v>16.6559435598248</v>
      </c>
      <c r="AA61" s="314" t="n">
        <f aca="false">(Z61/(1+Z61))</f>
        <v>0.943361848852109</v>
      </c>
      <c r="AB61" s="304" t="n">
        <v>20</v>
      </c>
      <c r="AC61" s="273" t="n">
        <v>75</v>
      </c>
      <c r="AD61" s="315"/>
      <c r="AE61" s="315"/>
      <c r="AF61" s="315"/>
      <c r="AG61" s="373" t="n">
        <v>45435.7987152778</v>
      </c>
      <c r="AH61" s="373" t="n">
        <v>45435.7987152778</v>
      </c>
      <c r="AI61" s="309" t="n">
        <f aca="false">(AH61-AG61)*24</f>
        <v>0</v>
      </c>
      <c r="AJ61" s="318" t="n">
        <v>1</v>
      </c>
      <c r="AK61" s="315"/>
      <c r="AL61" s="315"/>
      <c r="AM61" s="315"/>
      <c r="AN61" s="318"/>
      <c r="AO61" s="318" t="n">
        <f aca="false">(AG61-$AO$7)*24</f>
        <v>59.6691666666667</v>
      </c>
      <c r="AP61" s="318" t="n">
        <f aca="false">AO61+35</f>
        <v>94.6691666666667</v>
      </c>
      <c r="AQ61" s="273" t="n">
        <v>1</v>
      </c>
      <c r="AR61" s="273" t="n">
        <v>1</v>
      </c>
      <c r="AS61" s="272" t="s">
        <v>810</v>
      </c>
      <c r="AT61" s="275" t="n">
        <v>45435.625</v>
      </c>
      <c r="AU61" s="319" t="s">
        <v>821</v>
      </c>
      <c r="AV61" s="19"/>
      <c r="AW61" s="277"/>
      <c r="AX61" s="277"/>
      <c r="AY61" s="277"/>
      <c r="AZ61" s="354"/>
      <c r="BA61" s="278"/>
      <c r="BB61" s="279"/>
      <c r="BC61" s="277"/>
      <c r="BD61" s="277"/>
      <c r="BE61" s="277"/>
      <c r="BF61" s="277"/>
      <c r="BG61" s="277"/>
      <c r="BH61" s="19"/>
      <c r="BI61" s="19"/>
      <c r="BJ61" s="260" t="n">
        <v>1</v>
      </c>
      <c r="BK61" s="273" t="n">
        <v>3</v>
      </c>
      <c r="BL61" s="273"/>
      <c r="BM61" s="273" t="s">
        <v>812</v>
      </c>
      <c r="BN61" s="281" t="s">
        <v>840</v>
      </c>
      <c r="BO61" s="273" t="n">
        <v>2</v>
      </c>
      <c r="BP61" s="265" t="n">
        <v>45584</v>
      </c>
      <c r="BQ61" s="282" t="n">
        <f aca="false">AT61+145</f>
        <v>45580.625</v>
      </c>
      <c r="BR61" s="283" t="n">
        <f aca="false">BP61-AT61</f>
        <v>148.375</v>
      </c>
      <c r="BS61" s="283" t="s">
        <v>35</v>
      </c>
      <c r="BT61" s="281" t="s">
        <v>840</v>
      </c>
      <c r="BU61" s="284" t="n">
        <v>0.2</v>
      </c>
      <c r="BV61" s="284" t="n">
        <v>0.2</v>
      </c>
      <c r="BW61" s="284" t="n">
        <v>0.2</v>
      </c>
      <c r="BX61" s="284" t="n">
        <v>0.2</v>
      </c>
      <c r="BY61" s="284" t="n">
        <v>0.41511</v>
      </c>
      <c r="BZ61" s="284" t="n">
        <v>0.64409</v>
      </c>
      <c r="CA61" s="284" t="n">
        <v>0.3</v>
      </c>
      <c r="CB61" s="284" t="n">
        <v>1.1059</v>
      </c>
      <c r="CC61" s="284" t="n">
        <v>1.8379</v>
      </c>
      <c r="CD61" s="284" t="n">
        <v>2.0833</v>
      </c>
      <c r="CE61" s="284" t="n">
        <v>2.0472</v>
      </c>
      <c r="CF61" s="285" t="s">
        <v>814</v>
      </c>
      <c r="CG61" s="286" t="s">
        <v>815</v>
      </c>
      <c r="CH61" s="285" t="s">
        <v>814</v>
      </c>
      <c r="CI61" s="288" t="s">
        <v>815</v>
      </c>
      <c r="CJ61" s="289" t="n">
        <v>0.309866666666667</v>
      </c>
      <c r="CK61" s="290" t="n">
        <v>0.184967096281113</v>
      </c>
      <c r="CL61" s="290" t="n">
        <v>0.679800859228893</v>
      </c>
      <c r="CM61" s="285" t="s">
        <v>814</v>
      </c>
      <c r="CN61" s="286" t="s">
        <v>815</v>
      </c>
      <c r="CO61" s="291" t="s">
        <v>816</v>
      </c>
      <c r="CP61" s="285" t="s">
        <v>810</v>
      </c>
      <c r="CQ61" s="292" t="n">
        <v>5</v>
      </c>
      <c r="CR61" s="293" t="n">
        <v>60</v>
      </c>
      <c r="CS61" s="294" t="n">
        <f aca="false">$CS$7+(CR61/24)</f>
        <v>45435.75</v>
      </c>
      <c r="CT61" s="295" t="n">
        <v>1</v>
      </c>
      <c r="CU61" s="296" t="n">
        <v>0.70931</v>
      </c>
      <c r="CV61" s="297" t="n">
        <f aca="false">(CS61-AG61)*24</f>
        <v>-1.16916666671056</v>
      </c>
      <c r="CW61" s="281" t="s">
        <v>819</v>
      </c>
      <c r="CX61" s="320" t="n">
        <f aca="false">(AT61-CS61)*24</f>
        <v>-3</v>
      </c>
      <c r="CY61" s="299" t="s">
        <v>812</v>
      </c>
      <c r="CZ61" s="260" t="s">
        <v>192</v>
      </c>
      <c r="DA61" s="304" t="n">
        <v>20</v>
      </c>
      <c r="DB61" s="306" t="s">
        <v>324</v>
      </c>
    </row>
    <row r="62" customFormat="false" ht="15.75" hidden="false" customHeight="true" outlineLevel="0" collapsed="false">
      <c r="A62" s="273" t="s">
        <v>192</v>
      </c>
      <c r="B62" s="304" t="n">
        <v>21</v>
      </c>
      <c r="C62" s="305" t="n">
        <v>16262791333</v>
      </c>
      <c r="D62" s="306" t="s">
        <v>333</v>
      </c>
      <c r="E62" s="306" t="s">
        <v>334</v>
      </c>
      <c r="F62" s="305" t="s">
        <v>335</v>
      </c>
      <c r="G62" s="305" t="n">
        <v>89163</v>
      </c>
      <c r="H62" s="307"/>
      <c r="I62" s="308" t="n">
        <v>43384</v>
      </c>
      <c r="J62" s="309" t="n">
        <v>5.61369863013699</v>
      </c>
      <c r="K62" s="308" t="n">
        <v>45221</v>
      </c>
      <c r="L62" s="310" t="n">
        <v>77.3</v>
      </c>
      <c r="M62" s="310" t="n">
        <v>3.25</v>
      </c>
      <c r="N62" s="310" t="n">
        <v>3.5</v>
      </c>
      <c r="O62" s="311" t="n">
        <v>212</v>
      </c>
      <c r="P62" s="312" t="n">
        <v>293</v>
      </c>
      <c r="Q62" s="312" t="n">
        <v>0</v>
      </c>
      <c r="R62" s="312" t="n">
        <v>2204</v>
      </c>
      <c r="S62" s="312" t="n">
        <v>1760</v>
      </c>
      <c r="T62" s="312" t="n">
        <v>2143</v>
      </c>
      <c r="U62" s="312" t="n">
        <v>1400</v>
      </c>
      <c r="V62" s="312" t="n">
        <v>1029</v>
      </c>
      <c r="W62" s="313" t="n">
        <v>-128</v>
      </c>
      <c r="X62" s="314" t="n">
        <f aca="false">EXP(1.204+(0.102*J62)+(0.007*P62)-(0.001*V62)+(0.008*O62)-2.723)</f>
        <v>5.88023813519902</v>
      </c>
      <c r="Y62" s="314" t="n">
        <f aca="false">(X62/(1+X62))</f>
        <v>0.854656193528529</v>
      </c>
      <c r="Z62" s="314" t="n">
        <f aca="false">EXP(2.859+(0.011*P62)-(0.002*V62)+(0.275*J62)-1.952)</f>
        <v>37.1798565224477</v>
      </c>
      <c r="AA62" s="314" t="n">
        <f aca="false">(Z62/(1+Z62))</f>
        <v>0.973808178157714</v>
      </c>
      <c r="AB62" s="304" t="n">
        <v>21</v>
      </c>
      <c r="AC62" s="273" t="n">
        <v>83</v>
      </c>
      <c r="AD62" s="315"/>
      <c r="AE62" s="315"/>
      <c r="AF62" s="315"/>
      <c r="AG62" s="316" t="n">
        <v>45436.1617476852</v>
      </c>
      <c r="AH62" s="316" t="n">
        <v>45436.1827314815</v>
      </c>
      <c r="AI62" s="309" t="n">
        <f aca="false">(AH62-AG62)*24</f>
        <v>0.503611111111111</v>
      </c>
      <c r="AJ62" s="318" t="n">
        <v>1</v>
      </c>
      <c r="AK62" s="315"/>
      <c r="AL62" s="315"/>
      <c r="AM62" s="315"/>
      <c r="AN62" s="318"/>
      <c r="AO62" s="318" t="n">
        <f aca="false">(AG62-$AO$7)*24</f>
        <v>68.3819444444444</v>
      </c>
      <c r="AP62" s="318" t="n">
        <f aca="false">AO62+35</f>
        <v>103.381944444444</v>
      </c>
      <c r="AQ62" s="273" t="n">
        <v>15</v>
      </c>
      <c r="AR62" s="273" t="n">
        <v>1</v>
      </c>
      <c r="AS62" s="272" t="s">
        <v>810</v>
      </c>
      <c r="AT62" s="275" t="n">
        <v>45435.625</v>
      </c>
      <c r="AU62" s="276" t="s">
        <v>811</v>
      </c>
      <c r="AV62" s="19" t="n">
        <v>83</v>
      </c>
      <c r="AW62" s="277"/>
      <c r="AX62" s="277"/>
      <c r="AY62" s="277"/>
      <c r="AZ62" s="354" t="n">
        <v>45452.4423726852</v>
      </c>
      <c r="BA62" s="354" t="n">
        <v>45453.3251967593</v>
      </c>
      <c r="BB62" s="279" t="n">
        <f aca="false">(BA62-AZ62)*24</f>
        <v>21.1877777777778</v>
      </c>
      <c r="BC62" s="277" t="n">
        <v>21.1877777778427</v>
      </c>
      <c r="BD62" s="277"/>
      <c r="BE62" s="277"/>
      <c r="BF62" s="277"/>
      <c r="BG62" s="277"/>
      <c r="BH62" s="19" t="n">
        <v>50</v>
      </c>
      <c r="BI62" s="19" t="n">
        <v>1</v>
      </c>
      <c r="BJ62" s="273" t="n">
        <v>0</v>
      </c>
      <c r="BK62" s="273"/>
      <c r="BL62" s="273" t="s">
        <v>826</v>
      </c>
      <c r="BM62" s="273" t="s">
        <v>106</v>
      </c>
      <c r="BN62" s="281" t="s">
        <v>819</v>
      </c>
      <c r="BO62" s="273" t="n">
        <v>2</v>
      </c>
      <c r="BP62" s="265" t="n">
        <v>45599</v>
      </c>
      <c r="BQ62" s="282" t="n">
        <f aca="false">AZ62+145</f>
        <v>45597.4423726852</v>
      </c>
      <c r="BR62" s="283" t="n">
        <f aca="false">BP62-AT62</f>
        <v>163.375</v>
      </c>
      <c r="BS62" s="283" t="s">
        <v>106</v>
      </c>
      <c r="BT62" s="281" t="s">
        <v>827</v>
      </c>
      <c r="BU62" s="284" t="n">
        <v>0.33</v>
      </c>
      <c r="BV62" s="331" t="n">
        <v>0.83586</v>
      </c>
      <c r="BW62" s="284" t="n">
        <v>0.26451</v>
      </c>
      <c r="BX62" s="284" t="n">
        <v>0.2</v>
      </c>
      <c r="BY62" s="284" t="n">
        <v>0.2</v>
      </c>
      <c r="BZ62" s="284" t="n">
        <v>0.2</v>
      </c>
      <c r="CA62" s="284" t="n">
        <v>0.28454</v>
      </c>
      <c r="CB62" s="284" t="n">
        <v>0.2</v>
      </c>
      <c r="CC62" s="284" t="n">
        <v>0.35319</v>
      </c>
      <c r="CD62" s="284" t="n">
        <v>2.1301</v>
      </c>
      <c r="CE62" s="284" t="n">
        <v>1.9047</v>
      </c>
      <c r="CF62" s="285" t="s">
        <v>814</v>
      </c>
      <c r="CG62" s="286" t="s">
        <v>815</v>
      </c>
      <c r="CH62" s="285" t="s">
        <v>814</v>
      </c>
      <c r="CI62" s="288" t="s">
        <v>815</v>
      </c>
      <c r="CJ62" s="289" t="n">
        <v>0.338395</v>
      </c>
      <c r="CK62" s="290" t="n">
        <v>0.249182833899127</v>
      </c>
      <c r="CL62" s="290" t="n">
        <v>0.836760667798254</v>
      </c>
      <c r="CM62" s="285" t="s">
        <v>814</v>
      </c>
      <c r="CN62" s="286" t="s">
        <v>815</v>
      </c>
      <c r="CO62" s="291" t="s">
        <v>823</v>
      </c>
      <c r="CP62" s="285" t="s">
        <v>810</v>
      </c>
      <c r="CQ62" s="292" t="n">
        <v>7</v>
      </c>
      <c r="CR62" s="293" t="n">
        <v>60</v>
      </c>
      <c r="CS62" s="294" t="n">
        <f aca="false">$CS$7+(CR62/24)</f>
        <v>45435.75</v>
      </c>
      <c r="CT62" s="295" t="n">
        <v>2</v>
      </c>
      <c r="CU62" s="296" t="n">
        <v>1.009</v>
      </c>
      <c r="CV62" s="297" t="n">
        <f aca="false">(CS62-AG62)*24</f>
        <v>-9.88194444444445</v>
      </c>
      <c r="CW62" s="281" t="s">
        <v>819</v>
      </c>
      <c r="CX62" s="320" t="n">
        <f aca="false">(AT62-CS62)*24</f>
        <v>-3</v>
      </c>
      <c r="CY62" s="338" t="s">
        <v>106</v>
      </c>
      <c r="CZ62" s="260" t="s">
        <v>192</v>
      </c>
      <c r="DA62" s="304" t="n">
        <v>21</v>
      </c>
      <c r="DB62" s="306" t="s">
        <v>333</v>
      </c>
    </row>
    <row r="63" customFormat="false" ht="15.75" hidden="false" customHeight="true" outlineLevel="0" collapsed="false">
      <c r="A63" s="273" t="s">
        <v>192</v>
      </c>
      <c r="B63" s="304" t="n">
        <v>23</v>
      </c>
      <c r="C63" s="305" t="n">
        <v>16262791379</v>
      </c>
      <c r="D63" s="306" t="s">
        <v>221</v>
      </c>
      <c r="E63" s="306" t="s">
        <v>222</v>
      </c>
      <c r="F63" s="305" t="s">
        <v>223</v>
      </c>
      <c r="G63" s="305" t="n">
        <v>88193</v>
      </c>
      <c r="H63" s="307"/>
      <c r="I63" s="308" t="n">
        <v>43385</v>
      </c>
      <c r="J63" s="309" t="n">
        <v>5.61095890410959</v>
      </c>
      <c r="K63" s="308" t="n">
        <v>45201</v>
      </c>
      <c r="L63" s="310" t="n">
        <v>77</v>
      </c>
      <c r="M63" s="310" t="n">
        <v>3.25</v>
      </c>
      <c r="N63" s="310" t="n">
        <v>3.5</v>
      </c>
      <c r="O63" s="311" t="n">
        <v>232</v>
      </c>
      <c r="P63" s="312" t="n">
        <v>305</v>
      </c>
      <c r="Q63" s="312" t="n">
        <v>2562</v>
      </c>
      <c r="R63" s="312" t="n">
        <v>2291</v>
      </c>
      <c r="S63" s="312" t="n">
        <v>2044</v>
      </c>
      <c r="T63" s="312" t="n">
        <v>1579</v>
      </c>
      <c r="U63" s="312" t="n">
        <v>1456</v>
      </c>
      <c r="V63" s="312" t="n">
        <v>1315</v>
      </c>
      <c r="W63" s="313" t="n">
        <v>-62</v>
      </c>
      <c r="X63" s="314" t="n">
        <f aca="false">EXP(1.204+(0.102*J63)+(0.007*P63)-(0.001*V63)+(0.008*O63)-2.723)</f>
        <v>5.63680721293474</v>
      </c>
      <c r="Y63" s="314" t="n">
        <f aca="false">(X63/(1+X63))</f>
        <v>0.849325139646808</v>
      </c>
      <c r="Z63" s="314" t="n">
        <f aca="false">EXP(2.859+(0.011*P63)-(0.002*V63)+(0.275*J63)-1.952)</f>
        <v>23.9271476352759</v>
      </c>
      <c r="AA63" s="314" t="n">
        <f aca="false">(Z63/(1+Z63))</f>
        <v>0.959883095545804</v>
      </c>
      <c r="AB63" s="304" t="n">
        <v>23</v>
      </c>
      <c r="AC63" s="273"/>
      <c r="AD63" s="315"/>
      <c r="AE63" s="315"/>
      <c r="AF63" s="315"/>
      <c r="AG63" s="316"/>
      <c r="AH63" s="316"/>
      <c r="AI63" s="309"/>
      <c r="AJ63" s="318"/>
      <c r="AK63" s="315"/>
      <c r="AL63" s="315"/>
      <c r="AM63" s="315"/>
      <c r="AN63" s="318"/>
      <c r="AO63" s="318"/>
      <c r="AP63" s="318"/>
      <c r="AQ63" s="273"/>
      <c r="AR63" s="273"/>
      <c r="AS63" s="272" t="s">
        <v>810</v>
      </c>
      <c r="AT63" s="275" t="n">
        <v>45435.625</v>
      </c>
      <c r="AU63" s="319" t="s">
        <v>824</v>
      </c>
      <c r="AV63" s="19"/>
      <c r="AW63" s="277"/>
      <c r="AX63" s="277"/>
      <c r="AY63" s="277"/>
      <c r="AZ63" s="354"/>
      <c r="BA63" s="354"/>
      <c r="BB63" s="279"/>
      <c r="BC63" s="277"/>
      <c r="BD63" s="277"/>
      <c r="BE63" s="277"/>
      <c r="BF63" s="277"/>
      <c r="BG63" s="277"/>
      <c r="BH63" s="19"/>
      <c r="BI63" s="19"/>
      <c r="BJ63" s="273" t="n">
        <v>0</v>
      </c>
      <c r="BK63" s="273"/>
      <c r="BL63" s="273"/>
      <c r="BM63" s="273" t="s">
        <v>829</v>
      </c>
      <c r="BN63" s="281" t="s">
        <v>819</v>
      </c>
      <c r="BO63" s="273"/>
      <c r="BP63" s="265" t="s">
        <v>843</v>
      </c>
      <c r="BQ63" s="282" t="n">
        <f aca="false">AT63+145</f>
        <v>45580.625</v>
      </c>
      <c r="BR63" s="283"/>
      <c r="BS63" s="265" t="s">
        <v>843</v>
      </c>
      <c r="BT63" s="281" t="s">
        <v>819</v>
      </c>
      <c r="BU63" s="284" t="n">
        <v>0.2</v>
      </c>
      <c r="BV63" s="284" t="n">
        <v>0.2</v>
      </c>
      <c r="BW63" s="284" t="n">
        <v>0.2</v>
      </c>
      <c r="BX63" s="284" t="n">
        <v>0.25</v>
      </c>
      <c r="BY63" s="284" t="n">
        <v>0.49885</v>
      </c>
      <c r="BZ63" s="284" t="n">
        <v>0.2</v>
      </c>
      <c r="CA63" s="284" t="n">
        <v>0.9677</v>
      </c>
      <c r="CB63" s="284" t="n">
        <v>1.7242</v>
      </c>
      <c r="CC63" s="284" t="n">
        <v>2.2169</v>
      </c>
      <c r="CD63" s="284" t="n">
        <v>1.7</v>
      </c>
      <c r="CE63" s="284" t="n">
        <v>1.4959</v>
      </c>
      <c r="CF63" s="285" t="s">
        <v>814</v>
      </c>
      <c r="CG63" s="286" t="s">
        <v>815</v>
      </c>
      <c r="CH63" s="285" t="s">
        <v>814</v>
      </c>
      <c r="CI63" s="288" t="s">
        <v>815</v>
      </c>
      <c r="CJ63" s="289" t="n">
        <v>0.258141666666667</v>
      </c>
      <c r="CK63" s="290" t="n">
        <v>0.119606523303149</v>
      </c>
      <c r="CL63" s="290" t="n">
        <v>0.497354713272964</v>
      </c>
      <c r="CM63" s="285" t="s">
        <v>814</v>
      </c>
      <c r="CN63" s="286" t="s">
        <v>815</v>
      </c>
      <c r="CO63" s="291" t="s">
        <v>816</v>
      </c>
      <c r="CP63" s="285" t="s">
        <v>810</v>
      </c>
      <c r="CQ63" s="292" t="n">
        <v>4</v>
      </c>
      <c r="CR63" s="293" t="n">
        <v>48</v>
      </c>
      <c r="CS63" s="294" t="n">
        <f aca="false">$CS$7+(CR63/24)</f>
        <v>45435.25</v>
      </c>
      <c r="CT63" s="295" t="n">
        <v>1</v>
      </c>
      <c r="CU63" s="296" t="n">
        <v>0.33795</v>
      </c>
      <c r="CV63" s="297"/>
      <c r="CW63" s="281" t="s">
        <v>813</v>
      </c>
      <c r="CX63" s="320" t="n">
        <f aca="false">(AT63-CS63)*24</f>
        <v>9</v>
      </c>
      <c r="CY63" s="370" t="s">
        <v>829</v>
      </c>
      <c r="CZ63" s="260" t="s">
        <v>192</v>
      </c>
      <c r="DA63" s="304" t="n">
        <v>23</v>
      </c>
      <c r="DB63" s="306" t="s">
        <v>221</v>
      </c>
    </row>
    <row r="64" customFormat="false" ht="15.75" hidden="false" customHeight="true" outlineLevel="0" collapsed="false">
      <c r="A64" s="273" t="s">
        <v>192</v>
      </c>
      <c r="B64" s="304" t="n">
        <v>24</v>
      </c>
      <c r="C64" s="305" t="n">
        <v>16262791413</v>
      </c>
      <c r="D64" s="306" t="s">
        <v>342</v>
      </c>
      <c r="E64" s="306" t="s">
        <v>343</v>
      </c>
      <c r="F64" s="305" t="s">
        <v>344</v>
      </c>
      <c r="G64" s="305" t="n">
        <v>89792</v>
      </c>
      <c r="H64" s="307"/>
      <c r="I64" s="308" t="n">
        <v>43385</v>
      </c>
      <c r="J64" s="309" t="n">
        <v>5.61095890410959</v>
      </c>
      <c r="K64" s="308" t="n">
        <v>45203</v>
      </c>
      <c r="L64" s="310" t="n">
        <v>77</v>
      </c>
      <c r="M64" s="310" t="n">
        <v>3.75</v>
      </c>
      <c r="N64" s="310" t="n">
        <v>3</v>
      </c>
      <c r="O64" s="311" t="n">
        <v>230</v>
      </c>
      <c r="P64" s="312" t="n">
        <v>354</v>
      </c>
      <c r="Q64" s="312" t="n">
        <v>2413</v>
      </c>
      <c r="R64" s="312" t="n">
        <v>2291</v>
      </c>
      <c r="S64" s="312" t="n">
        <v>2130</v>
      </c>
      <c r="T64" s="312" t="n">
        <v>2284</v>
      </c>
      <c r="U64" s="312" t="n">
        <v>1819</v>
      </c>
      <c r="V64" s="312" t="n">
        <v>1573</v>
      </c>
      <c r="W64" s="313" t="n">
        <v>0</v>
      </c>
      <c r="X64" s="314" t="n">
        <f aca="false">EXP(0.585+(0.102*J64)+(0.007*P64)-(0.001*V64)+(0.008*O64)-2.723)</f>
        <v>3.25215485265406</v>
      </c>
      <c r="Y64" s="314" t="n">
        <f aca="false">(X64/(1+X64))</f>
        <v>0.764825121696631</v>
      </c>
      <c r="Z64" s="314" t="n">
        <f aca="false">EXP(1.741+(0.011*P64)-(0.002*V64)+(0.275*J64)-1.952)</f>
        <v>8.00457856530649</v>
      </c>
      <c r="AA64" s="314" t="n">
        <f aca="false">(Z64/(1+Z64))</f>
        <v>0.888945385644935</v>
      </c>
      <c r="AB64" s="304" t="n">
        <v>24</v>
      </c>
      <c r="AC64" s="273" t="n">
        <v>81</v>
      </c>
      <c r="AD64" s="315"/>
      <c r="AE64" s="315"/>
      <c r="AF64" s="315"/>
      <c r="AG64" s="316" t="n">
        <v>45435.8646643519</v>
      </c>
      <c r="AH64" s="316" t="n">
        <v>45435.8646643519</v>
      </c>
      <c r="AI64" s="309" t="n">
        <f aca="false">(AH64-AG64)*24</f>
        <v>0</v>
      </c>
      <c r="AJ64" s="318" t="n">
        <v>1</v>
      </c>
      <c r="AK64" s="315"/>
      <c r="AL64" s="315"/>
      <c r="AM64" s="315"/>
      <c r="AN64" s="318"/>
      <c r="AO64" s="318" t="n">
        <f aca="false">(AG64-$AO$7)*24</f>
        <v>61.2519444444445</v>
      </c>
      <c r="AP64" s="318" t="n">
        <f aca="false">AO64+35</f>
        <v>96.2519444444445</v>
      </c>
      <c r="AQ64" s="273" t="n">
        <v>1</v>
      </c>
      <c r="AR64" s="273" t="n">
        <v>1</v>
      </c>
      <c r="AS64" s="272" t="s">
        <v>810</v>
      </c>
      <c r="AT64" s="275" t="n">
        <v>45435.625</v>
      </c>
      <c r="AU64" s="319" t="s">
        <v>818</v>
      </c>
      <c r="AV64" s="19"/>
      <c r="AW64" s="277"/>
      <c r="AX64" s="277"/>
      <c r="AY64" s="277"/>
      <c r="AZ64" s="354"/>
      <c r="BA64" s="354"/>
      <c r="BB64" s="279"/>
      <c r="BC64" s="277"/>
      <c r="BD64" s="277"/>
      <c r="BE64" s="277"/>
      <c r="BF64" s="277"/>
      <c r="BG64" s="277"/>
      <c r="BH64" s="19"/>
      <c r="BI64" s="19"/>
      <c r="BJ64" s="260" t="n">
        <v>1</v>
      </c>
      <c r="BK64" s="273" t="n">
        <v>1</v>
      </c>
      <c r="BL64" s="273"/>
      <c r="BM64" s="273" t="s">
        <v>812</v>
      </c>
      <c r="BN64" s="281" t="s">
        <v>840</v>
      </c>
      <c r="BO64" s="273" t="n">
        <v>2</v>
      </c>
      <c r="BP64" s="265" t="n">
        <v>45586</v>
      </c>
      <c r="BQ64" s="282" t="n">
        <f aca="false">AT64+145</f>
        <v>45580.625</v>
      </c>
      <c r="BR64" s="283" t="n">
        <f aca="false">BP64-AT64</f>
        <v>150.375</v>
      </c>
      <c r="BS64" s="283" t="s">
        <v>35</v>
      </c>
      <c r="BT64" s="281" t="s">
        <v>840</v>
      </c>
      <c r="BU64" s="284" t="n">
        <v>0.28454</v>
      </c>
      <c r="BV64" s="284" t="n">
        <v>0.2</v>
      </c>
      <c r="BW64" s="284" t="n">
        <v>0.2</v>
      </c>
      <c r="BX64" s="284" t="n">
        <v>0.28107</v>
      </c>
      <c r="BY64" s="284" t="n">
        <v>0.2</v>
      </c>
      <c r="BZ64" s="284" t="n">
        <v>0.88411</v>
      </c>
      <c r="CA64" s="284" t="n">
        <v>0.95463</v>
      </c>
      <c r="CB64" s="284" t="n">
        <v>0.79305</v>
      </c>
      <c r="CC64" s="284" t="n">
        <v>1.4959</v>
      </c>
      <c r="CD64" s="284" t="n">
        <v>1.9773</v>
      </c>
      <c r="CE64" s="284" t="n">
        <v>2.0174</v>
      </c>
      <c r="CF64" s="285" t="s">
        <v>814</v>
      </c>
      <c r="CG64" s="286" t="s">
        <v>815</v>
      </c>
      <c r="CH64" s="285" t="s">
        <v>814</v>
      </c>
      <c r="CI64" s="288" t="s">
        <v>815</v>
      </c>
      <c r="CJ64" s="289" t="n">
        <v>0.34162</v>
      </c>
      <c r="CK64" s="290" t="n">
        <v>0.2688451235191</v>
      </c>
      <c r="CL64" s="290" t="n">
        <v>0.8793102470382</v>
      </c>
      <c r="CM64" s="285" t="s">
        <v>814</v>
      </c>
      <c r="CN64" s="286" t="s">
        <v>815</v>
      </c>
      <c r="CO64" s="291" t="s">
        <v>816</v>
      </c>
      <c r="CP64" s="285" t="s">
        <v>810</v>
      </c>
      <c r="CQ64" s="292" t="n">
        <v>3</v>
      </c>
      <c r="CR64" s="293" t="n">
        <v>48</v>
      </c>
      <c r="CS64" s="294" t="n">
        <f aca="false">$CS$7+(CR64/24)</f>
        <v>45435.25</v>
      </c>
      <c r="CT64" s="295" t="n">
        <v>1.5</v>
      </c>
      <c r="CU64" s="296" t="n">
        <v>0.28807</v>
      </c>
      <c r="CV64" s="297" t="n">
        <f aca="false">(CS64-AG64)*24</f>
        <v>-14.7519444444444</v>
      </c>
      <c r="CW64" s="281" t="s">
        <v>819</v>
      </c>
      <c r="CX64" s="320" t="n">
        <f aca="false">(AT64-CS64)*24</f>
        <v>9</v>
      </c>
      <c r="CY64" s="299" t="s">
        <v>812</v>
      </c>
      <c r="CZ64" s="260" t="s">
        <v>192</v>
      </c>
      <c r="DA64" s="304" t="n">
        <v>24</v>
      </c>
      <c r="DB64" s="306" t="s">
        <v>342</v>
      </c>
    </row>
    <row r="65" customFormat="false" ht="15.75" hidden="false" customHeight="true" outlineLevel="0" collapsed="false">
      <c r="A65" s="273" t="s">
        <v>192</v>
      </c>
      <c r="B65" s="304" t="n">
        <v>27</v>
      </c>
      <c r="C65" s="305" t="n">
        <v>16262791478</v>
      </c>
      <c r="D65" s="306" t="s">
        <v>363</v>
      </c>
      <c r="E65" s="306" t="s">
        <v>364</v>
      </c>
      <c r="F65" s="305" t="s">
        <v>365</v>
      </c>
      <c r="G65" s="305" t="n">
        <v>89120</v>
      </c>
      <c r="H65" s="307"/>
      <c r="I65" s="308" t="n">
        <v>43385</v>
      </c>
      <c r="J65" s="309" t="n">
        <v>5.61095890410959</v>
      </c>
      <c r="K65" s="308" t="n">
        <v>45206</v>
      </c>
      <c r="L65" s="310" t="n">
        <v>65.4</v>
      </c>
      <c r="M65" s="310" t="n">
        <v>3</v>
      </c>
      <c r="N65" s="310" t="n">
        <v>3</v>
      </c>
      <c r="O65" s="311" t="n">
        <v>227</v>
      </c>
      <c r="P65" s="312" t="n">
        <v>371</v>
      </c>
      <c r="Q65" s="312" t="n">
        <v>3188</v>
      </c>
      <c r="R65" s="312" t="n">
        <v>2378</v>
      </c>
      <c r="S65" s="312" t="n">
        <v>2612</v>
      </c>
      <c r="T65" s="312" t="n">
        <v>2058</v>
      </c>
      <c r="U65" s="312" t="n">
        <v>1875</v>
      </c>
      <c r="V65" s="312" t="n">
        <v>1344</v>
      </c>
      <c r="W65" s="313" t="n">
        <v>37</v>
      </c>
      <c r="X65" s="314" t="n">
        <f aca="false">EXP(0.585+(0.102*J65)+(0.007*P65)-(0.001*V65)+(0.008*O65)-2.723)</f>
        <v>4.49658314935768</v>
      </c>
      <c r="Y65" s="314" t="n">
        <f aca="false">(X65/(1+X65))</f>
        <v>0.818068794225944</v>
      </c>
      <c r="Z65" s="314" t="n">
        <f aca="false">EXP(1.741+(0.011*P65)-(0.002*V65)+(0.275*J65)-1.952)</f>
        <v>15.2566229202622</v>
      </c>
      <c r="AA65" s="314" t="n">
        <f aca="false">(Z65/(1+Z65))</f>
        <v>0.938486609125097</v>
      </c>
      <c r="AB65" s="304" t="n">
        <v>27</v>
      </c>
      <c r="AC65" s="273"/>
      <c r="AD65" s="315"/>
      <c r="AE65" s="315"/>
      <c r="AF65" s="315"/>
      <c r="AG65" s="316"/>
      <c r="AH65" s="316"/>
      <c r="AI65" s="309"/>
      <c r="AJ65" s="318"/>
      <c r="AK65" s="315"/>
      <c r="AL65" s="315"/>
      <c r="AM65" s="315"/>
      <c r="AN65" s="318"/>
      <c r="AO65" s="318"/>
      <c r="AP65" s="318"/>
      <c r="AQ65" s="273"/>
      <c r="AR65" s="273"/>
      <c r="AS65" s="272" t="s">
        <v>810</v>
      </c>
      <c r="AT65" s="275" t="n">
        <v>45435.625</v>
      </c>
      <c r="AU65" s="319" t="s">
        <v>824</v>
      </c>
      <c r="AV65" s="19"/>
      <c r="AW65" s="277"/>
      <c r="AX65" s="277"/>
      <c r="AY65" s="277"/>
      <c r="AZ65" s="354"/>
      <c r="BA65" s="354"/>
      <c r="BB65" s="279"/>
      <c r="BC65" s="277"/>
      <c r="BD65" s="277"/>
      <c r="BE65" s="277"/>
      <c r="BF65" s="277"/>
      <c r="BG65" s="277"/>
      <c r="BH65" s="19"/>
      <c r="BI65" s="19"/>
      <c r="BJ65" s="260" t="n">
        <v>1</v>
      </c>
      <c r="BK65" s="273" t="n">
        <v>2</v>
      </c>
      <c r="BL65" s="273"/>
      <c r="BM65" s="273" t="s">
        <v>812</v>
      </c>
      <c r="BN65" s="281" t="s">
        <v>813</v>
      </c>
      <c r="BO65" s="273" t="n">
        <v>1</v>
      </c>
      <c r="BP65" s="265" t="n">
        <v>45584</v>
      </c>
      <c r="BQ65" s="282" t="n">
        <f aca="false">AT65+145</f>
        <v>45580.625</v>
      </c>
      <c r="BR65" s="283" t="n">
        <f aca="false">BP65-AT65</f>
        <v>148.375</v>
      </c>
      <c r="BS65" s="283" t="s">
        <v>35</v>
      </c>
      <c r="BT65" s="281" t="s">
        <v>813</v>
      </c>
      <c r="BU65" s="284" t="n">
        <v>1.6813</v>
      </c>
      <c r="BV65" s="284" t="n">
        <v>0.2</v>
      </c>
      <c r="BW65" s="284" t="n">
        <v>0.25538</v>
      </c>
      <c r="BX65" s="284" t="n">
        <v>0.2</v>
      </c>
      <c r="BY65" s="284" t="n">
        <v>0.2</v>
      </c>
      <c r="BZ65" s="284" t="n">
        <v>0.2</v>
      </c>
      <c r="CA65" s="284" t="n">
        <v>0.6</v>
      </c>
      <c r="CB65" s="284" t="n">
        <v>0.8</v>
      </c>
      <c r="CC65" s="284" t="n">
        <v>0.8</v>
      </c>
      <c r="CD65" s="284" t="n">
        <v>1.1</v>
      </c>
      <c r="CE65" s="284" t="n">
        <v>1.8</v>
      </c>
      <c r="CF65" s="325" t="s">
        <v>55</v>
      </c>
      <c r="CG65" s="327" t="s">
        <v>815</v>
      </c>
      <c r="CH65" s="325" t="s">
        <v>55</v>
      </c>
      <c r="CI65" s="326" t="s">
        <v>815</v>
      </c>
      <c r="CJ65" s="289" t="n">
        <v>0.211076</v>
      </c>
      <c r="CK65" s="290" t="n">
        <v>0.0247666889187877</v>
      </c>
      <c r="CL65" s="290" t="n">
        <v>0.260609377837575</v>
      </c>
      <c r="CM65" s="325" t="s">
        <v>55</v>
      </c>
      <c r="CN65" s="327" t="s">
        <v>815</v>
      </c>
      <c r="CO65" s="291" t="s">
        <v>816</v>
      </c>
      <c r="CP65" s="285" t="s">
        <v>810</v>
      </c>
      <c r="CQ65" s="292" t="n">
        <v>4</v>
      </c>
      <c r="CR65" s="333" t="n">
        <v>48</v>
      </c>
      <c r="CS65" s="294" t="n">
        <f aca="false">$CS$7+(CR65/24)</f>
        <v>45435.25</v>
      </c>
      <c r="CT65" s="295" t="n">
        <v>1</v>
      </c>
      <c r="CU65" s="296" t="n">
        <v>0.42491</v>
      </c>
      <c r="CV65" s="297"/>
      <c r="CW65" s="281" t="s">
        <v>813</v>
      </c>
      <c r="CX65" s="320" t="n">
        <f aca="false">(AT65-CS65)*24</f>
        <v>9</v>
      </c>
      <c r="CY65" s="299" t="s">
        <v>812</v>
      </c>
      <c r="CZ65" s="260" t="s">
        <v>192</v>
      </c>
      <c r="DA65" s="304" t="n">
        <v>27</v>
      </c>
      <c r="DB65" s="306" t="s">
        <v>363</v>
      </c>
    </row>
    <row r="66" customFormat="false" ht="15.75" hidden="false" customHeight="true" outlineLevel="0" collapsed="false">
      <c r="A66" s="273" t="s">
        <v>192</v>
      </c>
      <c r="B66" s="304" t="n">
        <v>28</v>
      </c>
      <c r="C66" s="305" t="n">
        <v>16262791489</v>
      </c>
      <c r="D66" s="306" t="s">
        <v>366</v>
      </c>
      <c r="E66" s="306" t="s">
        <v>367</v>
      </c>
      <c r="F66" s="305" t="s">
        <v>368</v>
      </c>
      <c r="G66" s="305" t="n">
        <v>88606</v>
      </c>
      <c r="H66" s="307"/>
      <c r="I66" s="308" t="n">
        <v>43385</v>
      </c>
      <c r="J66" s="309" t="n">
        <v>5.61095890410959</v>
      </c>
      <c r="K66" s="308" t="n">
        <v>45204</v>
      </c>
      <c r="L66" s="310" t="n">
        <v>80.8</v>
      </c>
      <c r="M66" s="310" t="n">
        <v>3.5</v>
      </c>
      <c r="N66" s="310" t="n">
        <v>3</v>
      </c>
      <c r="O66" s="311" t="n">
        <v>229</v>
      </c>
      <c r="P66" s="312" t="n">
        <v>297</v>
      </c>
      <c r="Q66" s="312" t="n">
        <v>2175</v>
      </c>
      <c r="R66" s="312" t="n">
        <v>1624</v>
      </c>
      <c r="S66" s="312" t="n">
        <v>1874</v>
      </c>
      <c r="T66" s="312" t="n">
        <v>1692</v>
      </c>
      <c r="U66" s="312" t="n">
        <v>1428</v>
      </c>
      <c r="V66" s="312" t="n">
        <v>1229</v>
      </c>
      <c r="W66" s="313" t="n">
        <v>-132</v>
      </c>
      <c r="X66" s="314" t="n">
        <f aca="false">EXP(0.585+(0.102*J66)+(0.007*P66)-(0.001*V66)+(0.008*O66)-2.723)</f>
        <v>3.05358957432597</v>
      </c>
      <c r="Y66" s="314" t="n">
        <f aca="false">(X66/(1+X66))</f>
        <v>0.75330506908404</v>
      </c>
      <c r="Z66" s="314" t="n">
        <f aca="false">EXP(1.741+(0.011*P66)-(0.002*V66)+(0.275*J66)-1.952)</f>
        <v>8.50805786559036</v>
      </c>
      <c r="AA66" s="314" t="n">
        <f aca="false">(Z66/(1+Z66))</f>
        <v>0.894826050268478</v>
      </c>
      <c r="AB66" s="304" t="n">
        <v>28</v>
      </c>
      <c r="AC66" s="273" t="n">
        <v>66</v>
      </c>
      <c r="AD66" s="315"/>
      <c r="AE66" s="315"/>
      <c r="AF66" s="315"/>
      <c r="AG66" s="316" t="n">
        <v>45435.4390046296</v>
      </c>
      <c r="AH66" s="316" t="n">
        <v>45435.989224537</v>
      </c>
      <c r="AI66" s="309" t="n">
        <f aca="false">(AH66-AG66)*24</f>
        <v>13.2052777777778</v>
      </c>
      <c r="AJ66" s="318" t="n">
        <v>13.2052777776844</v>
      </c>
      <c r="AK66" s="315"/>
      <c r="AL66" s="315"/>
      <c r="AM66" s="315"/>
      <c r="AN66" s="318"/>
      <c r="AO66" s="318" t="n">
        <f aca="false">(AG66-$AO$7)*24</f>
        <v>51.0361111111111</v>
      </c>
      <c r="AP66" s="318" t="n">
        <f aca="false">AO66+35</f>
        <v>86.0361111111111</v>
      </c>
      <c r="AQ66" s="273" t="n">
        <v>14</v>
      </c>
      <c r="AR66" s="273" t="n">
        <v>2</v>
      </c>
      <c r="AS66" s="273" t="s">
        <v>815</v>
      </c>
      <c r="AT66" s="275" t="n">
        <v>45435.625</v>
      </c>
      <c r="AU66" s="276" t="s">
        <v>811</v>
      </c>
      <c r="AV66" s="19" t="n">
        <v>66</v>
      </c>
      <c r="AW66" s="277"/>
      <c r="AX66" s="277"/>
      <c r="AY66" s="277"/>
      <c r="AZ66" s="354" t="n">
        <v>45459.6105902778</v>
      </c>
      <c r="BA66" s="354" t="n">
        <v>45459.6105902778</v>
      </c>
      <c r="BB66" s="279" t="n">
        <f aca="false">(BA66-AZ66)*24</f>
        <v>0</v>
      </c>
      <c r="BC66" s="280" t="n">
        <v>1</v>
      </c>
      <c r="BD66" s="277"/>
      <c r="BE66" s="277"/>
      <c r="BF66" s="277"/>
      <c r="BG66" s="280"/>
      <c r="BH66" s="19" t="n">
        <v>1</v>
      </c>
      <c r="BI66" s="19" t="n">
        <v>1</v>
      </c>
      <c r="BJ66" s="260" t="n">
        <v>1</v>
      </c>
      <c r="BK66" s="273" t="n">
        <v>1</v>
      </c>
      <c r="BL66" s="273"/>
      <c r="BM66" s="273" t="s">
        <v>812</v>
      </c>
      <c r="BN66" s="281" t="s">
        <v>819</v>
      </c>
      <c r="BO66" s="273" t="n">
        <v>1</v>
      </c>
      <c r="BP66" s="265" t="n">
        <v>45584</v>
      </c>
      <c r="BQ66" s="282" t="n">
        <f aca="false">AT66+145</f>
        <v>45580.625</v>
      </c>
      <c r="BR66" s="283" t="n">
        <f aca="false">BP66-AT66</f>
        <v>148.375</v>
      </c>
      <c r="BS66" s="283" t="s">
        <v>35</v>
      </c>
      <c r="BT66" s="281" t="s">
        <v>819</v>
      </c>
      <c r="BU66" s="284" t="n">
        <v>1.8427</v>
      </c>
      <c r="BV66" s="284" t="n">
        <v>3.9216</v>
      </c>
      <c r="BW66" s="284" t="n">
        <v>0.81901</v>
      </c>
      <c r="BX66" s="284" t="n">
        <v>0.90696</v>
      </c>
      <c r="BY66" s="284" t="n">
        <v>0.94149</v>
      </c>
      <c r="BZ66" s="284" t="n">
        <v>1.1869</v>
      </c>
      <c r="CA66" s="284" t="n">
        <v>0.90293</v>
      </c>
      <c r="CB66" s="284" t="n">
        <v>1.6767</v>
      </c>
      <c r="CC66" s="284" t="n">
        <v>2.2678</v>
      </c>
      <c r="CD66" s="284" t="n">
        <v>3.3867</v>
      </c>
      <c r="CE66" s="284" t="n">
        <v>3.5783</v>
      </c>
      <c r="CF66" s="325" t="s">
        <v>55</v>
      </c>
      <c r="CG66" s="327" t="s">
        <v>815</v>
      </c>
      <c r="CH66" s="325" t="s">
        <v>55</v>
      </c>
      <c r="CI66" s="326" t="s">
        <v>815</v>
      </c>
      <c r="CJ66" s="289" t="n">
        <v>0.889153333333333</v>
      </c>
      <c r="CK66" s="290" t="n">
        <v>0.0631517666683469</v>
      </c>
      <c r="CL66" s="290" t="n">
        <v>1.01545686667003</v>
      </c>
      <c r="CM66" s="325" t="s">
        <v>55</v>
      </c>
      <c r="CN66" s="327" t="s">
        <v>815</v>
      </c>
      <c r="CO66" s="291" t="s">
        <v>816</v>
      </c>
      <c r="CP66" s="285" t="s">
        <v>810</v>
      </c>
      <c r="CQ66" s="292" t="n">
        <v>5</v>
      </c>
      <c r="CR66" s="333" t="n">
        <v>72</v>
      </c>
      <c r="CS66" s="294" t="n">
        <f aca="false">$CS$7+(CR66/24)</f>
        <v>45436.25</v>
      </c>
      <c r="CT66" s="295" t="n">
        <v>1.5</v>
      </c>
      <c r="CU66" s="296" t="n">
        <v>0.47564</v>
      </c>
      <c r="CV66" s="297" t="n">
        <f aca="false">(CS66-AG66)*24</f>
        <v>19.4638888888889</v>
      </c>
      <c r="CW66" s="281" t="s">
        <v>819</v>
      </c>
      <c r="CX66" s="320" t="n">
        <f aca="false">(AT66-CS66)*24</f>
        <v>-15</v>
      </c>
      <c r="CY66" s="299" t="s">
        <v>812</v>
      </c>
      <c r="CZ66" s="260" t="s">
        <v>192</v>
      </c>
      <c r="DA66" s="304" t="n">
        <v>28</v>
      </c>
      <c r="DB66" s="306" t="s">
        <v>366</v>
      </c>
    </row>
    <row r="67" customFormat="false" ht="15.75" hidden="false" customHeight="true" outlineLevel="0" collapsed="false">
      <c r="A67" s="273" t="s">
        <v>192</v>
      </c>
      <c r="B67" s="304" t="n">
        <v>29</v>
      </c>
      <c r="C67" s="305" t="n">
        <v>16262791495</v>
      </c>
      <c r="D67" s="306" t="s">
        <v>378</v>
      </c>
      <c r="E67" s="306" t="s">
        <v>379</v>
      </c>
      <c r="F67" s="305" t="s">
        <v>380</v>
      </c>
      <c r="G67" s="305" t="n">
        <v>89350</v>
      </c>
      <c r="H67" s="307"/>
      <c r="I67" s="308" t="n">
        <v>43385</v>
      </c>
      <c r="J67" s="309" t="n">
        <v>5.61095890410959</v>
      </c>
      <c r="K67" s="308" t="n">
        <v>45204</v>
      </c>
      <c r="L67" s="310" t="n">
        <v>70.7</v>
      </c>
      <c r="M67" s="310" t="n">
        <v>3</v>
      </c>
      <c r="N67" s="310" t="n">
        <v>3</v>
      </c>
      <c r="O67" s="311" t="n">
        <v>229</v>
      </c>
      <c r="P67" s="312" t="n">
        <v>349</v>
      </c>
      <c r="Q67" s="312" t="n">
        <v>2890</v>
      </c>
      <c r="R67" s="312" t="n">
        <v>1131</v>
      </c>
      <c r="S67" s="312" t="n">
        <v>1874</v>
      </c>
      <c r="T67" s="312" t="n">
        <v>1607</v>
      </c>
      <c r="U67" s="312" t="n">
        <v>1596</v>
      </c>
      <c r="V67" s="312" t="n">
        <v>1544</v>
      </c>
      <c r="W67" s="313" t="n">
        <v>0</v>
      </c>
      <c r="X67" s="314" t="n">
        <f aca="false">EXP(0.585+(0.102*J67)+(0.007*P67)-(0.001*V67)+(0.008*O67)-2.723)</f>
        <v>3.20694191376472</v>
      </c>
      <c r="Y67" s="314" t="n">
        <f aca="false">(X67/(1+X67))</f>
        <v>0.762297645059445</v>
      </c>
      <c r="Z67" s="314" t="n">
        <f aca="false">EXP(1.741+(0.011*P67)-(0.002*V67)+(0.275*J67)-1.952)</f>
        <v>8.02862835765358</v>
      </c>
      <c r="AA67" s="314" t="n">
        <f aca="false">(Z67/(1+Z67))</f>
        <v>0.889241204711644</v>
      </c>
      <c r="AB67" s="304" t="n">
        <v>29</v>
      </c>
      <c r="AC67" s="273" t="n">
        <v>45</v>
      </c>
      <c r="AD67" s="315"/>
      <c r="AE67" s="315"/>
      <c r="AF67" s="315"/>
      <c r="AG67" s="317" t="n">
        <v>45434.8526736111</v>
      </c>
      <c r="AH67" s="373" t="n">
        <v>45435.7987152778</v>
      </c>
      <c r="AI67" s="309" t="n">
        <f aca="false">(AH67-AG67)*24</f>
        <v>22.705</v>
      </c>
      <c r="AJ67" s="318" t="n">
        <v>22.7050000000745</v>
      </c>
      <c r="AK67" s="315"/>
      <c r="AL67" s="315"/>
      <c r="AM67" s="315"/>
      <c r="AN67" s="318"/>
      <c r="AO67" s="318" t="n">
        <f aca="false">(AG67-$AO$7)*24</f>
        <v>36.9641666666667</v>
      </c>
      <c r="AP67" s="318" t="n">
        <f aca="false">AO67+35</f>
        <v>71.9641666666667</v>
      </c>
      <c r="AQ67" s="273" t="n">
        <v>8</v>
      </c>
      <c r="AR67" s="273" t="n">
        <v>3</v>
      </c>
      <c r="AS67" s="273" t="s">
        <v>815</v>
      </c>
      <c r="AT67" s="275" t="n">
        <v>45435.625</v>
      </c>
      <c r="AU67" s="319" t="s">
        <v>821</v>
      </c>
      <c r="AV67" s="19" t="n">
        <v>45</v>
      </c>
      <c r="AW67" s="277"/>
      <c r="AX67" s="277"/>
      <c r="AY67" s="277"/>
      <c r="AZ67" s="278" t="n">
        <v>45447.5959953704</v>
      </c>
      <c r="BA67" s="278" t="n">
        <v>45447.5960069444</v>
      </c>
      <c r="BB67" s="279" t="n">
        <f aca="false">(BA67-AZ67)*24</f>
        <v>0.000277777777777778</v>
      </c>
      <c r="BC67" s="280" t="n">
        <v>1</v>
      </c>
      <c r="BD67" s="277"/>
      <c r="BE67" s="277"/>
      <c r="BF67" s="277"/>
      <c r="BG67" s="280"/>
      <c r="BH67" s="19" t="n">
        <v>3</v>
      </c>
      <c r="BI67" s="19" t="n">
        <v>1</v>
      </c>
      <c r="BJ67" s="260" t="n">
        <v>1</v>
      </c>
      <c r="BK67" s="273" t="n">
        <v>1</v>
      </c>
      <c r="BL67" s="273"/>
      <c r="BM67" s="273" t="s">
        <v>812</v>
      </c>
      <c r="BN67" s="281" t="s">
        <v>819</v>
      </c>
      <c r="BO67" s="273" t="n">
        <v>2</v>
      </c>
      <c r="BP67" s="265" t="n">
        <v>45584</v>
      </c>
      <c r="BQ67" s="282" t="n">
        <f aca="false">AT67+145</f>
        <v>45580.625</v>
      </c>
      <c r="BR67" s="283" t="n">
        <f aca="false">BP67-AT67</f>
        <v>148.375</v>
      </c>
      <c r="BS67" s="283" t="s">
        <v>35</v>
      </c>
      <c r="BT67" s="281" t="s">
        <v>819</v>
      </c>
      <c r="BU67" s="284" t="n">
        <v>0.2</v>
      </c>
      <c r="BV67" s="284" t="n">
        <v>1.9515</v>
      </c>
      <c r="BW67" s="284" t="n">
        <v>0.32964</v>
      </c>
      <c r="BX67" s="284" t="n">
        <v>0.2</v>
      </c>
      <c r="BY67" s="284" t="n">
        <v>0.2</v>
      </c>
      <c r="BZ67" s="284" t="n">
        <v>0.4</v>
      </c>
      <c r="CA67" s="284" t="n">
        <v>0.6</v>
      </c>
      <c r="CB67" s="284" t="n">
        <v>0.6</v>
      </c>
      <c r="CC67" s="284" t="n">
        <v>1.4079</v>
      </c>
      <c r="CD67" s="284" t="n">
        <v>1.4099</v>
      </c>
      <c r="CE67" s="284" t="n">
        <v>2.0899</v>
      </c>
      <c r="CF67" s="325" t="s">
        <v>55</v>
      </c>
      <c r="CG67" s="327" t="s">
        <v>815</v>
      </c>
      <c r="CH67" s="325" t="s">
        <v>55</v>
      </c>
      <c r="CI67" s="326" t="s">
        <v>815</v>
      </c>
      <c r="CJ67" s="289" t="n">
        <v>0.265928</v>
      </c>
      <c r="CK67" s="290" t="n">
        <v>0.0936403007257024</v>
      </c>
      <c r="CL67" s="290" t="n">
        <v>0.453208601451405</v>
      </c>
      <c r="CM67" s="325" t="s">
        <v>55</v>
      </c>
      <c r="CN67" s="327" t="s">
        <v>815</v>
      </c>
      <c r="CO67" s="291" t="s">
        <v>816</v>
      </c>
      <c r="CP67" s="285" t="s">
        <v>810</v>
      </c>
      <c r="CQ67" s="292" t="n">
        <v>4</v>
      </c>
      <c r="CR67" s="333" t="n">
        <v>48</v>
      </c>
      <c r="CS67" s="294" t="n">
        <f aca="false">$CS$7+(CR67/24)</f>
        <v>45435.25</v>
      </c>
      <c r="CT67" s="295" t="n">
        <v>1.5</v>
      </c>
      <c r="CU67" s="296" t="n">
        <v>0.36822</v>
      </c>
      <c r="CV67" s="297" t="n">
        <f aca="false">(CS67-AG67)*24</f>
        <v>9.53583333333333</v>
      </c>
      <c r="CW67" s="281" t="s">
        <v>819</v>
      </c>
      <c r="CX67" s="320" t="n">
        <f aca="false">(AT67-CS67)*24</f>
        <v>9</v>
      </c>
      <c r="CY67" s="299" t="s">
        <v>812</v>
      </c>
      <c r="CZ67" s="260" t="s">
        <v>192</v>
      </c>
      <c r="DA67" s="304" t="n">
        <v>29</v>
      </c>
      <c r="DB67" s="306" t="s">
        <v>378</v>
      </c>
    </row>
    <row r="68" customFormat="false" ht="15.75" hidden="false" customHeight="true" outlineLevel="0" collapsed="false">
      <c r="A68" s="273" t="s">
        <v>192</v>
      </c>
      <c r="B68" s="304" t="n">
        <v>30</v>
      </c>
      <c r="C68" s="305" t="n">
        <v>16262791497</v>
      </c>
      <c r="D68" s="306" t="s">
        <v>193</v>
      </c>
      <c r="E68" s="306" t="s">
        <v>194</v>
      </c>
      <c r="F68" s="305" t="s">
        <v>195</v>
      </c>
      <c r="G68" s="305" t="n">
        <v>89356</v>
      </c>
      <c r="H68" s="307" t="s">
        <v>196</v>
      </c>
      <c r="I68" s="308" t="n">
        <v>43385</v>
      </c>
      <c r="J68" s="309" t="n">
        <v>5.61095890410959</v>
      </c>
      <c r="K68" s="308" t="n">
        <v>45205</v>
      </c>
      <c r="L68" s="310" t="n">
        <v>76.5</v>
      </c>
      <c r="M68" s="310" t="n">
        <v>3.75</v>
      </c>
      <c r="N68" s="310" t="n">
        <v>3</v>
      </c>
      <c r="O68" s="311" t="n">
        <v>228</v>
      </c>
      <c r="P68" s="312" t="n">
        <v>281</v>
      </c>
      <c r="Q68" s="312" t="n">
        <v>2145</v>
      </c>
      <c r="R68" s="312" t="n">
        <v>1798</v>
      </c>
      <c r="S68" s="312" t="n">
        <v>1533</v>
      </c>
      <c r="T68" s="312" t="n">
        <v>1410</v>
      </c>
      <c r="U68" s="312" t="n">
        <v>1176</v>
      </c>
      <c r="V68" s="312" t="n">
        <v>1029</v>
      </c>
      <c r="W68" s="313" t="n">
        <v>-106</v>
      </c>
      <c r="X68" s="314" t="n">
        <f aca="false">EXP(0.585+(0.102*J68)+(0.007*P68)-(0.001*V68)+(0.008*O68)-2.723)</f>
        <v>3.30791409585441</v>
      </c>
      <c r="Y68" s="314" t="n">
        <f aca="false">(X68/(1+X68))</f>
        <v>0.767869094473745</v>
      </c>
      <c r="Z68" s="314" t="n">
        <f aca="false">EXP(1.741+(0.011*P68)-(0.002*V68)+(0.275*J68)-1.952)</f>
        <v>10.6441846272596</v>
      </c>
      <c r="AA68" s="314" t="n">
        <f aca="false">(Z68/(1+Z68))</f>
        <v>0.914120221208195</v>
      </c>
      <c r="AB68" s="304" t="n">
        <v>30</v>
      </c>
      <c r="AC68" s="273" t="n">
        <v>40</v>
      </c>
      <c r="AD68" s="315"/>
      <c r="AE68" s="315"/>
      <c r="AF68" s="315"/>
      <c r="AG68" s="317" t="n">
        <v>45434.4552777778</v>
      </c>
      <c r="AH68" s="316" t="n">
        <v>45434.5585300926</v>
      </c>
      <c r="AI68" s="309" t="n">
        <f aca="false">(AH68-AG68)*24</f>
        <v>2.47805555555556</v>
      </c>
      <c r="AJ68" s="318" t="n">
        <v>2.47805555560626</v>
      </c>
      <c r="AK68" s="315"/>
      <c r="AL68" s="315"/>
      <c r="AM68" s="315"/>
      <c r="AN68" s="318"/>
      <c r="AO68" s="318" t="n">
        <f aca="false">(AG68-$AO$7)*24</f>
        <v>27.4266666666667</v>
      </c>
      <c r="AP68" s="318" t="n">
        <f aca="false">AO68+35</f>
        <v>62.4266666666667</v>
      </c>
      <c r="AQ68" s="273" t="n">
        <v>3</v>
      </c>
      <c r="AR68" s="273" t="n">
        <v>2</v>
      </c>
      <c r="AS68" s="273" t="s">
        <v>815</v>
      </c>
      <c r="AT68" s="275" t="n">
        <v>45435.625</v>
      </c>
      <c r="AU68" s="276" t="s">
        <v>811</v>
      </c>
      <c r="AV68" s="19" t="n">
        <v>40</v>
      </c>
      <c r="AW68" s="278"/>
      <c r="AX68" s="278"/>
      <c r="AY68" s="277"/>
      <c r="AZ68" s="278" t="n">
        <v>45451.8589814815</v>
      </c>
      <c r="BA68" s="278" t="n">
        <v>45452.5913657407</v>
      </c>
      <c r="BB68" s="279" t="n">
        <f aca="false">(BA68-AZ68)*24</f>
        <v>17.5772222222222</v>
      </c>
      <c r="BC68" s="280" t="n">
        <v>17.5772222222295</v>
      </c>
      <c r="BD68" s="277"/>
      <c r="BE68" s="277"/>
      <c r="BF68" s="277"/>
      <c r="BG68" s="280"/>
      <c r="BH68" s="19" t="n">
        <v>22</v>
      </c>
      <c r="BI68" s="19" t="n">
        <v>4</v>
      </c>
      <c r="BJ68" s="273" t="n">
        <v>0</v>
      </c>
      <c r="BK68" s="273"/>
      <c r="BL68" s="273" t="s">
        <v>826</v>
      </c>
      <c r="BM68" s="273" t="s">
        <v>106</v>
      </c>
      <c r="BN68" s="281" t="s">
        <v>819</v>
      </c>
      <c r="BO68" s="273" t="n">
        <v>2</v>
      </c>
      <c r="BP68" s="265" t="n">
        <v>45603</v>
      </c>
      <c r="BQ68" s="282" t="n">
        <f aca="false">AZ68+145</f>
        <v>45596.8589814815</v>
      </c>
      <c r="BR68" s="283" t="n">
        <f aca="false">BP68-AT68</f>
        <v>167.375</v>
      </c>
      <c r="BS68" s="283" t="s">
        <v>106</v>
      </c>
      <c r="BT68" s="281" t="s">
        <v>827</v>
      </c>
      <c r="BU68" s="331" t="n">
        <v>0.86793</v>
      </c>
      <c r="BV68" s="284" t="n">
        <v>0.2</v>
      </c>
      <c r="BW68" s="284" t="n">
        <v>0.2</v>
      </c>
      <c r="BX68" s="284" t="n">
        <v>0.2</v>
      </c>
      <c r="BY68" s="284" t="n">
        <v>0.3179</v>
      </c>
      <c r="BZ68" s="284" t="n">
        <v>0.2</v>
      </c>
      <c r="CA68" s="284" t="n">
        <v>1.1762</v>
      </c>
      <c r="CB68" s="284" t="n">
        <v>2.1913</v>
      </c>
      <c r="CC68" s="284" t="n">
        <v>1.9056</v>
      </c>
      <c r="CD68" s="284" t="n">
        <v>3.2442</v>
      </c>
      <c r="CE68" s="284" t="n">
        <v>1.3549</v>
      </c>
      <c r="CF68" s="285" t="s">
        <v>814</v>
      </c>
      <c r="CG68" s="286" t="s">
        <v>815</v>
      </c>
      <c r="CH68" s="285" t="s">
        <v>814</v>
      </c>
      <c r="CI68" s="288" t="s">
        <v>815</v>
      </c>
      <c r="CJ68" s="289" t="n">
        <v>0.330971666666667</v>
      </c>
      <c r="CK68" s="290" t="n">
        <v>0.267248734359336</v>
      </c>
      <c r="CL68" s="290" t="n">
        <v>0.865469135385338</v>
      </c>
      <c r="CM68" s="285" t="s">
        <v>814</v>
      </c>
      <c r="CN68" s="286" t="s">
        <v>815</v>
      </c>
      <c r="CO68" s="291" t="s">
        <v>816</v>
      </c>
      <c r="CP68" s="285" t="s">
        <v>810</v>
      </c>
      <c r="CQ68" s="292" t="n">
        <v>4</v>
      </c>
      <c r="CR68" s="293" t="n">
        <v>36</v>
      </c>
      <c r="CS68" s="294" t="n">
        <f aca="false">$CS$7+(CR68/24)</f>
        <v>45434.75</v>
      </c>
      <c r="CT68" s="295" t="n">
        <v>2</v>
      </c>
      <c r="CU68" s="296" t="n">
        <v>0.4542</v>
      </c>
      <c r="CV68" s="297" t="n">
        <f aca="false">(CS68-AG68)*24</f>
        <v>7.07333333333333</v>
      </c>
      <c r="CW68" s="281" t="s">
        <v>819</v>
      </c>
      <c r="CX68" s="320" t="n">
        <f aca="false">(AT68-CS68)*24</f>
        <v>21</v>
      </c>
      <c r="CY68" s="338" t="s">
        <v>106</v>
      </c>
      <c r="CZ68" s="260" t="s">
        <v>192</v>
      </c>
      <c r="DA68" s="304" t="n">
        <v>30</v>
      </c>
      <c r="DB68" s="306" t="s">
        <v>193</v>
      </c>
    </row>
    <row r="69" customFormat="false" ht="15.75" hidden="false" customHeight="true" outlineLevel="0" collapsed="false">
      <c r="A69" s="273" t="s">
        <v>192</v>
      </c>
      <c r="B69" s="304" t="n">
        <v>33</v>
      </c>
      <c r="C69" s="305" t="n">
        <v>16262791567</v>
      </c>
      <c r="D69" s="306" t="s">
        <v>230</v>
      </c>
      <c r="E69" s="306" t="s">
        <v>231</v>
      </c>
      <c r="F69" s="305" t="s">
        <v>232</v>
      </c>
      <c r="G69" s="305" t="n">
        <v>88194</v>
      </c>
      <c r="H69" s="307"/>
      <c r="I69" s="308" t="n">
        <v>43386</v>
      </c>
      <c r="J69" s="309" t="n">
        <v>5.60821917808219</v>
      </c>
      <c r="K69" s="308" t="n">
        <v>45207</v>
      </c>
      <c r="L69" s="310" t="n">
        <v>64.6</v>
      </c>
      <c r="M69" s="310" t="n">
        <v>3</v>
      </c>
      <c r="N69" s="310" t="n">
        <v>3</v>
      </c>
      <c r="O69" s="311" t="n">
        <v>226</v>
      </c>
      <c r="P69" s="312" t="n">
        <v>283</v>
      </c>
      <c r="Q69" s="312" t="n">
        <v>2264</v>
      </c>
      <c r="R69" s="312" t="n">
        <v>1856</v>
      </c>
      <c r="S69" s="312" t="n">
        <v>1704</v>
      </c>
      <c r="T69" s="312" t="n">
        <v>1269</v>
      </c>
      <c r="U69" s="312" t="n">
        <v>1036</v>
      </c>
      <c r="V69" s="312" t="n">
        <v>886</v>
      </c>
      <c r="W69" s="313" t="n">
        <v>-140</v>
      </c>
      <c r="X69" s="314" t="n">
        <f aca="false">EXP(0.585+(0.102*J69)+(0.007*P69)-(0.001*V69)+(0.008*O69)-2.723)</f>
        <v>3.80774959124151</v>
      </c>
      <c r="Y69" s="314" t="n">
        <f aca="false">(X69/(1+X69))</f>
        <v>0.792002478285944</v>
      </c>
      <c r="Z69" s="314" t="n">
        <f aca="false">EXP(1.741+(0.011*P69)-(0.002*V69)+(0.275*J69)-1.952)</f>
        <v>14.4726443928757</v>
      </c>
      <c r="AA69" s="314" t="n">
        <f aca="false">(Z69/(1+Z69))</f>
        <v>0.935369806569041</v>
      </c>
      <c r="AB69" s="304" t="n">
        <v>33</v>
      </c>
      <c r="AC69" s="273" t="n">
        <v>87</v>
      </c>
      <c r="AD69" s="315"/>
      <c r="AE69" s="315"/>
      <c r="AF69" s="315"/>
      <c r="AG69" s="317" t="n">
        <v>45443.483125</v>
      </c>
      <c r="AH69" s="317" t="n">
        <v>45443.483125</v>
      </c>
      <c r="AI69" s="309" t="n">
        <f aca="false">(AH69-AG69)*24</f>
        <v>0</v>
      </c>
      <c r="AJ69" s="318" t="n">
        <v>1</v>
      </c>
      <c r="AK69" s="315"/>
      <c r="AL69" s="315"/>
      <c r="AM69" s="315"/>
      <c r="AN69" s="318"/>
      <c r="AO69" s="318" t="n">
        <f aca="false">(AG69-$AO$7)*24</f>
        <v>244.095</v>
      </c>
      <c r="AP69" s="318" t="n">
        <f aca="false">AO69+35</f>
        <v>279.095</v>
      </c>
      <c r="AQ69" s="273" t="n">
        <v>1</v>
      </c>
      <c r="AR69" s="273" t="n">
        <v>1</v>
      </c>
      <c r="AS69" s="272" t="s">
        <v>810</v>
      </c>
      <c r="AT69" s="275" t="n">
        <v>45435.625</v>
      </c>
      <c r="AU69" s="276" t="s">
        <v>811</v>
      </c>
      <c r="AV69" s="19"/>
      <c r="AW69" s="278"/>
      <c r="AX69" s="278"/>
      <c r="AY69" s="277"/>
      <c r="AZ69" s="278"/>
      <c r="BA69" s="278"/>
      <c r="BB69" s="279"/>
      <c r="BC69" s="280"/>
      <c r="BD69" s="277"/>
      <c r="BE69" s="277"/>
      <c r="BF69" s="277"/>
      <c r="BG69" s="280"/>
      <c r="BH69" s="19"/>
      <c r="BI69" s="19"/>
      <c r="BJ69" s="260" t="n">
        <v>1</v>
      </c>
      <c r="BK69" s="273" t="n">
        <v>1</v>
      </c>
      <c r="BL69" s="273"/>
      <c r="BM69" s="273" t="s">
        <v>812</v>
      </c>
      <c r="BN69" s="281" t="s">
        <v>840</v>
      </c>
      <c r="BO69" s="273" t="n">
        <v>1</v>
      </c>
      <c r="BP69" s="265" t="n">
        <v>45585</v>
      </c>
      <c r="BQ69" s="282" t="n">
        <f aca="false">AT69+145</f>
        <v>45580.625</v>
      </c>
      <c r="BR69" s="283" t="n">
        <f aca="false">BP69-AT69</f>
        <v>149.375</v>
      </c>
      <c r="BS69" s="283" t="s">
        <v>35</v>
      </c>
      <c r="BT69" s="281" t="s">
        <v>840</v>
      </c>
      <c r="BU69" s="284" t="n">
        <v>0.2</v>
      </c>
      <c r="BV69" s="284" t="n">
        <v>0.2</v>
      </c>
      <c r="BW69" s="284" t="n">
        <v>0.67</v>
      </c>
      <c r="BX69" s="284" t="n">
        <v>0.45</v>
      </c>
      <c r="BY69" s="284" t="n">
        <v>0.39678</v>
      </c>
      <c r="BZ69" s="284" t="n">
        <v>0.69953</v>
      </c>
      <c r="CA69" s="284" t="n">
        <v>0.75</v>
      </c>
      <c r="CB69" s="284" t="n">
        <v>0.80335</v>
      </c>
      <c r="CC69" s="284" t="n">
        <v>2.4328</v>
      </c>
      <c r="CD69" s="284" t="n">
        <v>2.9411</v>
      </c>
      <c r="CE69" s="284" t="n">
        <v>3.2293</v>
      </c>
      <c r="CF69" s="285" t="s">
        <v>814</v>
      </c>
      <c r="CG69" s="286" t="s">
        <v>815</v>
      </c>
      <c r="CH69" s="285" t="s">
        <v>814</v>
      </c>
      <c r="CI69" s="288" t="s">
        <v>815</v>
      </c>
      <c r="CJ69" s="289" t="n">
        <v>0.436051666666667</v>
      </c>
      <c r="CK69" s="290" t="n">
        <v>0.217867048120331</v>
      </c>
      <c r="CL69" s="290" t="n">
        <v>0.871785762907329</v>
      </c>
      <c r="CM69" s="285" t="s">
        <v>814</v>
      </c>
      <c r="CN69" s="286" t="s">
        <v>815</v>
      </c>
      <c r="CO69" s="291" t="s">
        <v>816</v>
      </c>
      <c r="CP69" s="285" t="s">
        <v>810</v>
      </c>
      <c r="CQ69" s="292" t="n">
        <v>6</v>
      </c>
      <c r="CR69" s="293" t="n">
        <v>60</v>
      </c>
      <c r="CS69" s="294" t="n">
        <f aca="false">$CS$7+(CR69/24)</f>
        <v>45435.75</v>
      </c>
      <c r="CT69" s="295" t="n">
        <v>1.5</v>
      </c>
      <c r="CU69" s="296" t="n">
        <v>0.15595</v>
      </c>
      <c r="CV69" s="297" t="n">
        <f aca="false">(CS69-AG69)*24</f>
        <v>-185.595</v>
      </c>
      <c r="CW69" s="281" t="s">
        <v>844</v>
      </c>
      <c r="CX69" s="320" t="n">
        <f aca="false">(AT69-CS69)*24</f>
        <v>-3</v>
      </c>
      <c r="CY69" s="299" t="s">
        <v>812</v>
      </c>
      <c r="CZ69" s="260" t="s">
        <v>192</v>
      </c>
      <c r="DA69" s="304" t="n">
        <v>33</v>
      </c>
      <c r="DB69" s="306" t="s">
        <v>230</v>
      </c>
    </row>
    <row r="70" customFormat="false" ht="15.75" hidden="false" customHeight="true" outlineLevel="0" collapsed="false">
      <c r="A70" s="273" t="s">
        <v>192</v>
      </c>
      <c r="B70" s="374" t="n">
        <v>34</v>
      </c>
      <c r="C70" s="305" t="n">
        <v>16262791178</v>
      </c>
      <c r="D70" s="306" t="n">
        <v>91178</v>
      </c>
      <c r="E70" s="306"/>
      <c r="F70" s="305" t="n">
        <v>9178</v>
      </c>
      <c r="G70" s="305" t="n">
        <v>89154</v>
      </c>
      <c r="H70" s="307"/>
      <c r="I70" s="308" t="n">
        <v>43382</v>
      </c>
      <c r="J70" s="309" t="n">
        <v>5.61917808219178</v>
      </c>
      <c r="K70" s="308" t="n">
        <v>45222</v>
      </c>
      <c r="L70" s="310" t="n">
        <v>75</v>
      </c>
      <c r="M70" s="310" t="n">
        <v>3.25</v>
      </c>
      <c r="N70" s="310" t="n">
        <v>3</v>
      </c>
      <c r="O70" s="311" t="n">
        <v>211</v>
      </c>
      <c r="P70" s="312" t="n">
        <v>397</v>
      </c>
      <c r="Q70" s="312" t="n">
        <v>0</v>
      </c>
      <c r="R70" s="312" t="n">
        <v>3190</v>
      </c>
      <c r="S70" s="312" t="n">
        <v>2556</v>
      </c>
      <c r="T70" s="312" t="n">
        <v>2538</v>
      </c>
      <c r="U70" s="312" t="n">
        <v>2044</v>
      </c>
      <c r="V70" s="312" t="n">
        <v>2059</v>
      </c>
      <c r="W70" s="313" t="n">
        <v>261</v>
      </c>
      <c r="X70" s="314" t="n">
        <f aca="false">EXP(0.585+(0.102*J70)+(0.007*P70)-(0.001*V70)+(0.008*O70)-2.723)</f>
        <v>2.32368936097815</v>
      </c>
      <c r="Y70" s="314" t="n">
        <f aca="false">(X70/(1+X70))</f>
        <v>0.699129524034189</v>
      </c>
      <c r="Z70" s="314" t="n">
        <f aca="false">EXP(1.741+(0.011*P70)-(0.002*V70)+(0.275*J70)-1.952)</f>
        <v>4.870876851855</v>
      </c>
      <c r="AA70" s="314" t="n">
        <f aca="false">(Z70/(1+Z70))</f>
        <v>0.829667692708623</v>
      </c>
      <c r="AB70" s="374" t="n">
        <v>34</v>
      </c>
      <c r="AC70" s="273" t="n">
        <v>84</v>
      </c>
      <c r="AD70" s="315"/>
      <c r="AE70" s="315"/>
      <c r="AF70" s="315"/>
      <c r="AG70" s="317" t="n">
        <v>45436.699224537</v>
      </c>
      <c r="AH70" s="316" t="n">
        <v>45437.0099652778</v>
      </c>
      <c r="AI70" s="309" t="n">
        <f aca="false">(AH70-AG70)*24</f>
        <v>7.45777777777778</v>
      </c>
      <c r="AJ70" s="318" t="n">
        <v>7.45777777786134</v>
      </c>
      <c r="AK70" s="315"/>
      <c r="AL70" s="315"/>
      <c r="AM70" s="315"/>
      <c r="AN70" s="318"/>
      <c r="AO70" s="318" t="n">
        <f aca="false">(AG70-$AO$7)*24</f>
        <v>81.2813888888889</v>
      </c>
      <c r="AP70" s="318" t="n">
        <f aca="false">AO70+35</f>
        <v>116.281388888889</v>
      </c>
      <c r="AQ70" s="273" t="n">
        <v>17</v>
      </c>
      <c r="AR70" s="273" t="n">
        <v>2</v>
      </c>
      <c r="AS70" s="272" t="s">
        <v>810</v>
      </c>
      <c r="AT70" s="275" t="n">
        <v>45435.625</v>
      </c>
      <c r="AU70" s="319" t="s">
        <v>824</v>
      </c>
      <c r="AV70" s="19" t="n">
        <v>84</v>
      </c>
      <c r="AW70" s="277"/>
      <c r="AX70" s="277"/>
      <c r="AY70" s="277"/>
      <c r="AZ70" s="278" t="n">
        <v>45454.6458564815</v>
      </c>
      <c r="BA70" s="278" t="n">
        <v>45456.4608680556</v>
      </c>
      <c r="BB70" s="279" t="n">
        <f aca="false">(BA70-AZ70)*24</f>
        <v>43.5602777777778</v>
      </c>
      <c r="BC70" s="277" t="n">
        <v>43.560277777724</v>
      </c>
      <c r="BD70" s="277"/>
      <c r="BE70" s="277"/>
      <c r="BF70" s="277"/>
      <c r="BG70" s="277"/>
      <c r="BH70" s="19" t="n">
        <v>54</v>
      </c>
      <c r="BI70" s="19" t="n">
        <v>3</v>
      </c>
      <c r="BJ70" s="273" t="n">
        <v>0</v>
      </c>
      <c r="BK70" s="273"/>
      <c r="BL70" s="273" t="s">
        <v>826</v>
      </c>
      <c r="BM70" s="273" t="s">
        <v>106</v>
      </c>
      <c r="BN70" s="281" t="s">
        <v>819</v>
      </c>
      <c r="BO70" s="273" t="n">
        <v>1</v>
      </c>
      <c r="BP70" s="265" t="n">
        <v>45611</v>
      </c>
      <c r="BQ70" s="282" t="n">
        <f aca="false">AZ70+145</f>
        <v>45599.6458564815</v>
      </c>
      <c r="BR70" s="283" t="n">
        <f aca="false">BP70-AT70</f>
        <v>175.375</v>
      </c>
      <c r="BS70" s="283" t="s">
        <v>830</v>
      </c>
      <c r="BT70" s="281" t="s">
        <v>827</v>
      </c>
      <c r="BU70" s="284" t="n">
        <v>1.7189</v>
      </c>
      <c r="BV70" s="284" t="n">
        <v>0.2</v>
      </c>
      <c r="BW70" s="284" t="n">
        <v>0.2</v>
      </c>
      <c r="BX70" s="284" t="n">
        <v>0.2</v>
      </c>
      <c r="BY70" s="284" t="n">
        <v>0.2</v>
      </c>
      <c r="BZ70" s="284" t="n">
        <v>0.2</v>
      </c>
      <c r="CA70" s="284" t="n">
        <v>0.2</v>
      </c>
      <c r="CB70" s="284" t="n">
        <v>0.39357</v>
      </c>
      <c r="CC70" s="284" t="n">
        <v>0.98431</v>
      </c>
      <c r="CD70" s="284" t="n">
        <v>0.88609</v>
      </c>
      <c r="CE70" s="284" t="n">
        <v>2.1467</v>
      </c>
      <c r="CF70" s="325" t="s">
        <v>55</v>
      </c>
      <c r="CG70" s="327" t="s">
        <v>815</v>
      </c>
      <c r="CH70" s="325" t="s">
        <v>55</v>
      </c>
      <c r="CI70" s="326" t="s">
        <v>815</v>
      </c>
      <c r="CJ70" s="289" t="n">
        <v>0.2</v>
      </c>
      <c r="CK70" s="290" t="n">
        <v>0</v>
      </c>
      <c r="CL70" s="290" t="n">
        <v>0.5</v>
      </c>
      <c r="CM70" s="325" t="s">
        <v>55</v>
      </c>
      <c r="CN70" s="327" t="s">
        <v>815</v>
      </c>
      <c r="CO70" s="291" t="s">
        <v>816</v>
      </c>
      <c r="CP70" s="285" t="s">
        <v>810</v>
      </c>
      <c r="CQ70" s="292" t="n">
        <v>6</v>
      </c>
      <c r="CR70" s="333" t="n">
        <v>84</v>
      </c>
      <c r="CS70" s="294" t="n">
        <f aca="false">$CS$7+(CR70/24)</f>
        <v>45436.75</v>
      </c>
      <c r="CT70" s="295" t="n">
        <v>1.5</v>
      </c>
      <c r="CU70" s="296" t="n">
        <v>0.15292</v>
      </c>
      <c r="CV70" s="297" t="n">
        <f aca="false">(CS70-AG70)*24</f>
        <v>1.21861111111111</v>
      </c>
      <c r="CW70" s="281" t="s">
        <v>819</v>
      </c>
      <c r="CX70" s="320" t="n">
        <f aca="false">(AT70-CS70)*24</f>
        <v>-27</v>
      </c>
      <c r="CY70" s="338" t="s">
        <v>106</v>
      </c>
      <c r="CZ70" s="260" t="s">
        <v>192</v>
      </c>
      <c r="DA70" s="375" t="n">
        <v>34</v>
      </c>
      <c r="DB70" s="306" t="n">
        <v>91178</v>
      </c>
    </row>
    <row r="71" customFormat="false" ht="15.75" hidden="false" customHeight="true" outlineLevel="0" collapsed="false">
      <c r="A71" s="273" t="s">
        <v>192</v>
      </c>
      <c r="B71" s="304" t="n">
        <v>35</v>
      </c>
      <c r="C71" s="305" t="n">
        <v>16262791605</v>
      </c>
      <c r="D71" s="306" t="s">
        <v>405</v>
      </c>
      <c r="E71" s="306" t="s">
        <v>406</v>
      </c>
      <c r="F71" s="305" t="s">
        <v>407</v>
      </c>
      <c r="G71" s="305" t="n">
        <v>89772</v>
      </c>
      <c r="H71" s="307"/>
      <c r="I71" s="308" t="n">
        <v>43386</v>
      </c>
      <c r="J71" s="309" t="n">
        <v>5.60821917808219</v>
      </c>
      <c r="K71" s="308" t="n">
        <v>45208</v>
      </c>
      <c r="L71" s="310" t="n">
        <v>72.9</v>
      </c>
      <c r="M71" s="310" t="n">
        <v>3</v>
      </c>
      <c r="N71" s="310" t="n">
        <v>3.25</v>
      </c>
      <c r="O71" s="311" t="n">
        <v>225</v>
      </c>
      <c r="P71" s="312" t="n">
        <v>306</v>
      </c>
      <c r="Q71" s="312" t="n">
        <v>2860</v>
      </c>
      <c r="R71" s="312" t="n">
        <v>2204</v>
      </c>
      <c r="S71" s="312" t="n">
        <v>1988</v>
      </c>
      <c r="T71" s="312" t="n">
        <v>1579</v>
      </c>
      <c r="U71" s="312" t="n">
        <v>1372</v>
      </c>
      <c r="V71" s="312" t="n">
        <v>1315</v>
      </c>
      <c r="W71" s="313" t="n">
        <v>-174</v>
      </c>
      <c r="X71" s="314" t="n">
        <f aca="false">EXP(1.204+(0.102*J71)+(0.007*P71)-(0.001*V71)+(0.008*O71)-2.723)</f>
        <v>5.36576177721576</v>
      </c>
      <c r="Y71" s="314" t="n">
        <f aca="false">(X71/(1+X71))</f>
        <v>0.842909610036118</v>
      </c>
      <c r="Z71" s="314" t="n">
        <f aca="false">EXP(2.859+(0.011*P71)-(0.002*V71)+(0.275*J71)-1.952)</f>
        <v>24.1735793406533</v>
      </c>
      <c r="AA71" s="314" t="n">
        <f aca="false">(Z71/(1+Z71))</f>
        <v>0.960275811934893</v>
      </c>
      <c r="AB71" s="304" t="n">
        <v>35</v>
      </c>
      <c r="AC71" s="273"/>
      <c r="AD71" s="315"/>
      <c r="AE71" s="315"/>
      <c r="AF71" s="315"/>
      <c r="AG71" s="317"/>
      <c r="AH71" s="316"/>
      <c r="AI71" s="309"/>
      <c r="AJ71" s="318"/>
      <c r="AK71" s="315"/>
      <c r="AL71" s="315"/>
      <c r="AM71" s="315"/>
      <c r="AN71" s="318"/>
      <c r="AO71" s="318"/>
      <c r="AP71" s="318"/>
      <c r="AQ71" s="273"/>
      <c r="AR71" s="273"/>
      <c r="AS71" s="272" t="s">
        <v>810</v>
      </c>
      <c r="AT71" s="275" t="n">
        <v>45435.625</v>
      </c>
      <c r="AU71" s="276" t="s">
        <v>811</v>
      </c>
      <c r="AV71" s="19"/>
      <c r="AW71" s="277"/>
      <c r="AX71" s="277"/>
      <c r="AY71" s="277"/>
      <c r="AZ71" s="278"/>
      <c r="BA71" s="278"/>
      <c r="BB71" s="279"/>
      <c r="BC71" s="277"/>
      <c r="BD71" s="277"/>
      <c r="BE71" s="277"/>
      <c r="BF71" s="277"/>
      <c r="BG71" s="277"/>
      <c r="BH71" s="19"/>
      <c r="BI71" s="19"/>
      <c r="BJ71" s="260" t="n">
        <v>1</v>
      </c>
      <c r="BK71" s="273" t="n">
        <v>1</v>
      </c>
      <c r="BL71" s="273"/>
      <c r="BM71" s="273" t="s">
        <v>812</v>
      </c>
      <c r="BN71" s="281" t="s">
        <v>813</v>
      </c>
      <c r="BO71" s="273" t="n">
        <v>1</v>
      </c>
      <c r="BP71" s="265" t="n">
        <v>45584</v>
      </c>
      <c r="BQ71" s="282" t="n">
        <f aca="false">AT71+145</f>
        <v>45580.625</v>
      </c>
      <c r="BR71" s="283" t="n">
        <f aca="false">BP71-AT71</f>
        <v>148.375</v>
      </c>
      <c r="BS71" s="283" t="s">
        <v>35</v>
      </c>
      <c r="BT71" s="281" t="s">
        <v>813</v>
      </c>
      <c r="BU71" s="284" t="n">
        <v>0.37871</v>
      </c>
      <c r="BV71" s="284" t="n">
        <v>0.2</v>
      </c>
      <c r="BW71" s="284" t="n">
        <v>0.2658</v>
      </c>
      <c r="BX71" s="284" t="n">
        <v>0.2</v>
      </c>
      <c r="BY71" s="284" t="n">
        <v>0.31495</v>
      </c>
      <c r="BZ71" s="284" t="n">
        <v>0.2</v>
      </c>
      <c r="CA71" s="284" t="n">
        <v>0.2</v>
      </c>
      <c r="CB71" s="284" t="n">
        <v>1.4642</v>
      </c>
      <c r="CC71" s="284" t="n">
        <v>1.8577</v>
      </c>
      <c r="CD71" s="284" t="n">
        <v>1.1276</v>
      </c>
      <c r="CE71" s="284" t="n">
        <v>1.7893</v>
      </c>
      <c r="CF71" s="285" t="s">
        <v>814</v>
      </c>
      <c r="CG71" s="286" t="s">
        <v>815</v>
      </c>
      <c r="CH71" s="285" t="s">
        <v>814</v>
      </c>
      <c r="CI71" s="288" t="s">
        <v>815</v>
      </c>
      <c r="CJ71" s="289" t="n">
        <v>0.25991</v>
      </c>
      <c r="CK71" s="290" t="n">
        <v>0.0747598261100172</v>
      </c>
      <c r="CL71" s="290" t="n">
        <v>0.409429652220034</v>
      </c>
      <c r="CM71" s="285" t="s">
        <v>814</v>
      </c>
      <c r="CN71" s="286" t="s">
        <v>815</v>
      </c>
      <c r="CO71" s="291" t="s">
        <v>816</v>
      </c>
      <c r="CP71" s="285" t="s">
        <v>810</v>
      </c>
      <c r="CQ71" s="292" t="n">
        <v>5</v>
      </c>
      <c r="CR71" s="293" t="n">
        <v>48</v>
      </c>
      <c r="CS71" s="294" t="n">
        <f aca="false">$CS$7+(CR71/24)</f>
        <v>45435.25</v>
      </c>
      <c r="CT71" s="295" t="n">
        <v>2</v>
      </c>
      <c r="CU71" s="296" t="n">
        <v>0.22183</v>
      </c>
      <c r="CV71" s="297"/>
      <c r="CW71" s="281" t="s">
        <v>813</v>
      </c>
      <c r="CX71" s="320" t="n">
        <f aca="false">(AT71-CS71)*24</f>
        <v>9</v>
      </c>
      <c r="CY71" s="299" t="s">
        <v>812</v>
      </c>
      <c r="CZ71" s="260" t="s">
        <v>192</v>
      </c>
      <c r="DA71" s="304" t="n">
        <v>35</v>
      </c>
      <c r="DB71" s="306" t="s">
        <v>405</v>
      </c>
    </row>
    <row r="72" customFormat="false" ht="15.75" hidden="false" customHeight="true" outlineLevel="0" collapsed="false">
      <c r="A72" s="273" t="s">
        <v>192</v>
      </c>
      <c r="B72" s="304" t="n">
        <v>37</v>
      </c>
      <c r="C72" s="305" t="n">
        <v>16262791662</v>
      </c>
      <c r="D72" s="306" t="s">
        <v>357</v>
      </c>
      <c r="E72" s="306" t="s">
        <v>358</v>
      </c>
      <c r="F72" s="305" t="s">
        <v>359</v>
      </c>
      <c r="G72" s="305" t="n">
        <v>88599</v>
      </c>
      <c r="H72" s="307"/>
      <c r="I72" s="308" t="n">
        <v>43387</v>
      </c>
      <c r="J72" s="309" t="n">
        <v>5.60547945205479</v>
      </c>
      <c r="K72" s="308" t="n">
        <v>45204</v>
      </c>
      <c r="L72" s="310" t="n">
        <v>72.2</v>
      </c>
      <c r="M72" s="310" t="n">
        <v>3.5</v>
      </c>
      <c r="N72" s="310" t="n">
        <v>3.5</v>
      </c>
      <c r="O72" s="311" t="n">
        <v>229</v>
      </c>
      <c r="P72" s="312" t="n">
        <v>355</v>
      </c>
      <c r="Q72" s="312" t="n">
        <v>2831</v>
      </c>
      <c r="R72" s="312" t="n">
        <v>2030</v>
      </c>
      <c r="S72" s="312" t="n">
        <v>2215</v>
      </c>
      <c r="T72" s="312" t="n">
        <v>2030</v>
      </c>
      <c r="U72" s="312" t="n">
        <v>1624</v>
      </c>
      <c r="V72" s="312" t="n">
        <v>1716</v>
      </c>
      <c r="W72" s="313" t="n">
        <v>19</v>
      </c>
      <c r="X72" s="314" t="n">
        <f aca="false">EXP(1.204+(0.102*J72)+(0.007*P72)-(0.001*V72)+(0.008*O72)-2.723)</f>
        <v>5.22658919683189</v>
      </c>
      <c r="Y72" s="314" t="n">
        <f aca="false">(X72/(1+X72))</f>
        <v>0.839398430121453</v>
      </c>
      <c r="Z72" s="314" t="n">
        <f aca="false">EXP(2.859+(0.011*P72)-(0.002*V72)+(0.275*J72)-1.952)</f>
        <v>18.569247446509</v>
      </c>
      <c r="AA72" s="314" t="n">
        <f aca="false">(Z72/(1+Z72))</f>
        <v>0.948899414618093</v>
      </c>
      <c r="AB72" s="304" t="n">
        <v>37</v>
      </c>
      <c r="AC72" s="273"/>
      <c r="AD72" s="315"/>
      <c r="AE72" s="315"/>
      <c r="AF72" s="315"/>
      <c r="AG72" s="317"/>
      <c r="AH72" s="316"/>
      <c r="AI72" s="309"/>
      <c r="AJ72" s="318"/>
      <c r="AK72" s="315"/>
      <c r="AL72" s="315"/>
      <c r="AM72" s="315"/>
      <c r="AN72" s="318"/>
      <c r="AO72" s="318"/>
      <c r="AP72" s="318"/>
      <c r="AQ72" s="273"/>
      <c r="AR72" s="273"/>
      <c r="AS72" s="272" t="s">
        <v>810</v>
      </c>
      <c r="AT72" s="275" t="n">
        <v>45435.625</v>
      </c>
      <c r="AU72" s="319" t="s">
        <v>818</v>
      </c>
      <c r="AV72" s="19"/>
      <c r="AW72" s="277"/>
      <c r="AX72" s="277"/>
      <c r="AY72" s="277"/>
      <c r="AZ72" s="278"/>
      <c r="BA72" s="278"/>
      <c r="BB72" s="279"/>
      <c r="BC72" s="277"/>
      <c r="BD72" s="277"/>
      <c r="BE72" s="277"/>
      <c r="BF72" s="277"/>
      <c r="BG72" s="277"/>
      <c r="BH72" s="19"/>
      <c r="BI72" s="19"/>
      <c r="BJ72" s="260" t="n">
        <v>1</v>
      </c>
      <c r="BK72" s="273" t="n">
        <v>2</v>
      </c>
      <c r="BL72" s="273"/>
      <c r="BM72" s="273" t="s">
        <v>812</v>
      </c>
      <c r="BN72" s="281" t="s">
        <v>813</v>
      </c>
      <c r="BO72" s="273" t="n">
        <v>2</v>
      </c>
      <c r="BP72" s="265" t="n">
        <v>45586</v>
      </c>
      <c r="BQ72" s="282" t="n">
        <f aca="false">AT72+145</f>
        <v>45580.625</v>
      </c>
      <c r="BR72" s="283" t="n">
        <f aca="false">BP72-AT72</f>
        <v>150.375</v>
      </c>
      <c r="BS72" s="283" t="s">
        <v>35</v>
      </c>
      <c r="BT72" s="281" t="s">
        <v>813</v>
      </c>
      <c r="BU72" s="284" t="n">
        <v>0.939</v>
      </c>
      <c r="BV72" s="284" t="n">
        <v>3.2493</v>
      </c>
      <c r="BW72" s="284" t="n">
        <v>0.2</v>
      </c>
      <c r="BX72" s="284" t="n">
        <v>0.32053</v>
      </c>
      <c r="BY72" s="284" t="n">
        <v>0.2</v>
      </c>
      <c r="BZ72" s="284" t="n">
        <v>0.2</v>
      </c>
      <c r="CA72" s="284" t="n">
        <v>0.36543</v>
      </c>
      <c r="CB72" s="284" t="n">
        <v>1.3796</v>
      </c>
      <c r="CC72" s="284" t="n">
        <v>1.6094</v>
      </c>
      <c r="CD72" s="284" t="n">
        <v>2.3982</v>
      </c>
      <c r="CE72" s="284" t="n">
        <v>2.3295</v>
      </c>
      <c r="CF72" s="325" t="s">
        <v>55</v>
      </c>
      <c r="CG72" s="327" t="s">
        <v>815</v>
      </c>
      <c r="CH72" s="325" t="s">
        <v>55</v>
      </c>
      <c r="CI72" s="326" t="s">
        <v>815</v>
      </c>
      <c r="CJ72" s="289" t="n">
        <v>0.371906</v>
      </c>
      <c r="CK72" s="290" t="n">
        <v>0.837867939089151</v>
      </c>
      <c r="CL72" s="290" t="n">
        <v>2.0476418781783</v>
      </c>
      <c r="CM72" s="325" t="s">
        <v>55</v>
      </c>
      <c r="CN72" s="327" t="s">
        <v>815</v>
      </c>
      <c r="CO72" s="291" t="s">
        <v>816</v>
      </c>
      <c r="CP72" s="285" t="s">
        <v>810</v>
      </c>
      <c r="CQ72" s="292" t="n">
        <v>5</v>
      </c>
      <c r="CR72" s="333" t="n">
        <v>48</v>
      </c>
      <c r="CS72" s="294" t="n">
        <f aca="false">$CS$7+(CR72/24)</f>
        <v>45435.25</v>
      </c>
      <c r="CT72" s="295" t="n">
        <v>2</v>
      </c>
      <c r="CU72" s="296" t="n">
        <v>0.38657</v>
      </c>
      <c r="CV72" s="297"/>
      <c r="CW72" s="281" t="s">
        <v>813</v>
      </c>
      <c r="CX72" s="320" t="n">
        <f aca="false">(AT72-CS72)*24</f>
        <v>9</v>
      </c>
      <c r="CY72" s="299" t="s">
        <v>812</v>
      </c>
      <c r="CZ72" s="260" t="s">
        <v>192</v>
      </c>
      <c r="DA72" s="304" t="n">
        <v>37</v>
      </c>
      <c r="DB72" s="306" t="s">
        <v>357</v>
      </c>
    </row>
    <row r="73" customFormat="false" ht="15.75" hidden="false" customHeight="true" outlineLevel="0" collapsed="false">
      <c r="A73" s="273" t="s">
        <v>192</v>
      </c>
      <c r="B73" s="304" t="n">
        <v>38</v>
      </c>
      <c r="C73" s="305" t="n">
        <v>16262791671</v>
      </c>
      <c r="D73" s="306" t="s">
        <v>372</v>
      </c>
      <c r="E73" s="306" t="s">
        <v>373</v>
      </c>
      <c r="F73" s="305" t="s">
        <v>374</v>
      </c>
      <c r="G73" s="305" t="n">
        <v>88608</v>
      </c>
      <c r="H73" s="307"/>
      <c r="I73" s="308" t="n">
        <v>43387</v>
      </c>
      <c r="J73" s="309" t="n">
        <v>5.60547945205479</v>
      </c>
      <c r="K73" s="308" t="n">
        <v>45205</v>
      </c>
      <c r="L73" s="310" t="n">
        <v>77.9</v>
      </c>
      <c r="M73" s="310" t="n">
        <v>3.25</v>
      </c>
      <c r="N73" s="310" t="n">
        <v>3.72</v>
      </c>
      <c r="O73" s="311" t="n">
        <v>228</v>
      </c>
      <c r="P73" s="312" t="n">
        <v>334</v>
      </c>
      <c r="Q73" s="312" t="n">
        <v>2890</v>
      </c>
      <c r="R73" s="312" t="n">
        <v>2523</v>
      </c>
      <c r="S73" s="312" t="n">
        <v>2215</v>
      </c>
      <c r="T73" s="312" t="n">
        <v>1889</v>
      </c>
      <c r="U73" s="312" t="n">
        <v>1344</v>
      </c>
      <c r="V73" s="312" t="n">
        <v>943</v>
      </c>
      <c r="W73" s="313" t="n">
        <v>-126</v>
      </c>
      <c r="X73" s="314" t="n">
        <f aca="false">EXP(1.204+(0.102*J73)+(0.007*P73)-(0.001*V73)+(0.008*O73)-2.723)</f>
        <v>9.69644093351799</v>
      </c>
      <c r="Y73" s="314" t="n">
        <f aca="false">(X73/(1+X73))</f>
        <v>0.906510959466299</v>
      </c>
      <c r="Z73" s="314" t="n">
        <f aca="false">EXP(2.859+(0.011*P73)-(0.002*V73)+(0.275*J73)-1.952)</f>
        <v>69.1658227217582</v>
      </c>
      <c r="AA73" s="314" t="n">
        <f aca="false">(Z73/(1+Z73))</f>
        <v>0.98574804710884</v>
      </c>
      <c r="AB73" s="304" t="n">
        <v>38</v>
      </c>
      <c r="AC73" s="273" t="n">
        <v>51</v>
      </c>
      <c r="AD73" s="315"/>
      <c r="AE73" s="315"/>
      <c r="AF73" s="315"/>
      <c r="AG73" s="317" t="n">
        <v>45434.9163310185</v>
      </c>
      <c r="AH73" s="317" t="n">
        <v>45435.2374768519</v>
      </c>
      <c r="AI73" s="309" t="n">
        <f aca="false">(AH73-AG73)*24</f>
        <v>7.7075</v>
      </c>
      <c r="AJ73" s="318" t="n">
        <v>7.70749999996042</v>
      </c>
      <c r="AK73" s="315"/>
      <c r="AL73" s="315"/>
      <c r="AM73" s="315"/>
      <c r="AN73" s="318"/>
      <c r="AO73" s="318" t="n">
        <f aca="false">(AG73-$AO$7)*24</f>
        <v>38.4919444444444</v>
      </c>
      <c r="AP73" s="318" t="n">
        <f aca="false">AO73+35</f>
        <v>73.4919444444444</v>
      </c>
      <c r="AQ73" s="273" t="n">
        <v>9</v>
      </c>
      <c r="AR73" s="273" t="n">
        <v>1</v>
      </c>
      <c r="AS73" s="273" t="s">
        <v>815</v>
      </c>
      <c r="AT73" s="275" t="n">
        <v>45435.625</v>
      </c>
      <c r="AU73" s="276" t="s">
        <v>811</v>
      </c>
      <c r="AV73" s="19"/>
      <c r="AW73" s="277"/>
      <c r="AX73" s="277"/>
      <c r="AY73" s="277"/>
      <c r="AZ73" s="278"/>
      <c r="BA73" s="278"/>
      <c r="BB73" s="279"/>
      <c r="BC73" s="277"/>
      <c r="BD73" s="277"/>
      <c r="BE73" s="277"/>
      <c r="BF73" s="277"/>
      <c r="BG73" s="277"/>
      <c r="BH73" s="19"/>
      <c r="BI73" s="19"/>
      <c r="BJ73" s="260" t="n">
        <v>1</v>
      </c>
      <c r="BK73" s="273" t="n">
        <v>1</v>
      </c>
      <c r="BL73" s="273"/>
      <c r="BM73" s="273" t="s">
        <v>812</v>
      </c>
      <c r="BN73" s="281" t="s">
        <v>819</v>
      </c>
      <c r="BO73" s="273" t="n">
        <v>1</v>
      </c>
      <c r="BP73" s="265" t="n">
        <v>45584</v>
      </c>
      <c r="BQ73" s="282" t="n">
        <f aca="false">AT73+145</f>
        <v>45580.625</v>
      </c>
      <c r="BR73" s="283" t="n">
        <f aca="false">BP73-AT73</f>
        <v>148.375</v>
      </c>
      <c r="BS73" s="283" t="s">
        <v>35</v>
      </c>
      <c r="BT73" s="281" t="s">
        <v>819</v>
      </c>
      <c r="BU73" s="284" t="n">
        <v>2.1951</v>
      </c>
      <c r="BV73" s="284" t="n">
        <v>3.7028</v>
      </c>
      <c r="BW73" s="284" t="n">
        <v>0.2</v>
      </c>
      <c r="BX73" s="284" t="n">
        <v>0.2</v>
      </c>
      <c r="BY73" s="284" t="n">
        <v>0.2</v>
      </c>
      <c r="BZ73" s="284" t="n">
        <v>0.2</v>
      </c>
      <c r="CA73" s="284" t="n">
        <v>0.33631</v>
      </c>
      <c r="CB73" s="284" t="n">
        <v>0.66862</v>
      </c>
      <c r="CC73" s="284" t="n">
        <v>1.2267</v>
      </c>
      <c r="CD73" s="284" t="n">
        <v>2.5246</v>
      </c>
      <c r="CE73" s="284" t="n">
        <v>2.8014</v>
      </c>
      <c r="CF73" s="325" t="s">
        <v>55</v>
      </c>
      <c r="CG73" s="327" t="s">
        <v>815</v>
      </c>
      <c r="CH73" s="325" t="s">
        <v>55</v>
      </c>
      <c r="CI73" s="326" t="s">
        <v>815</v>
      </c>
      <c r="CJ73" s="289" t="n">
        <v>0.2</v>
      </c>
      <c r="CK73" s="290" t="n">
        <v>0</v>
      </c>
      <c r="CL73" s="290" t="n">
        <v>0.5</v>
      </c>
      <c r="CM73" s="325" t="s">
        <v>55</v>
      </c>
      <c r="CN73" s="327" t="s">
        <v>815</v>
      </c>
      <c r="CO73" s="291" t="s">
        <v>816</v>
      </c>
      <c r="CP73" s="285" t="s">
        <v>810</v>
      </c>
      <c r="CQ73" s="292" t="n">
        <v>5</v>
      </c>
      <c r="CR73" s="333" t="n">
        <v>48</v>
      </c>
      <c r="CS73" s="294" t="n">
        <f aca="false">$CS$7+(CR73/24)</f>
        <v>45435.25</v>
      </c>
      <c r="CT73" s="295" t="n">
        <v>2</v>
      </c>
      <c r="CU73" s="296" t="n">
        <v>0.38657</v>
      </c>
      <c r="CV73" s="297" t="n">
        <f aca="false">(CS73-AG73)*24</f>
        <v>8.00805555555556</v>
      </c>
      <c r="CW73" s="281" t="s">
        <v>819</v>
      </c>
      <c r="CX73" s="320" t="n">
        <f aca="false">(AT73-CS73)*24</f>
        <v>9</v>
      </c>
      <c r="CY73" s="299" t="s">
        <v>812</v>
      </c>
      <c r="CZ73" s="260" t="s">
        <v>192</v>
      </c>
      <c r="DA73" s="304" t="n">
        <v>38</v>
      </c>
      <c r="DB73" s="306" t="s">
        <v>372</v>
      </c>
    </row>
    <row r="74" customFormat="false" ht="15.75" hidden="false" customHeight="true" outlineLevel="0" collapsed="false">
      <c r="A74" s="273" t="s">
        <v>192</v>
      </c>
      <c r="B74" s="304" t="n">
        <v>39</v>
      </c>
      <c r="C74" s="305" t="n">
        <v>16262791685</v>
      </c>
      <c r="D74" s="306" t="s">
        <v>257</v>
      </c>
      <c r="E74" s="306" t="s">
        <v>258</v>
      </c>
      <c r="F74" s="305" t="s">
        <v>259</v>
      </c>
      <c r="G74" s="305" t="n">
        <v>88213</v>
      </c>
      <c r="H74" s="307"/>
      <c r="I74" s="308" t="n">
        <v>43388</v>
      </c>
      <c r="J74" s="309" t="n">
        <v>5.6027397260274</v>
      </c>
      <c r="K74" s="308" t="n">
        <v>45209</v>
      </c>
      <c r="L74" s="310" t="n">
        <v>58.5</v>
      </c>
      <c r="M74" s="310" t="n">
        <v>3.25</v>
      </c>
      <c r="N74" s="310" t="n">
        <v>3</v>
      </c>
      <c r="O74" s="311" t="n">
        <v>224</v>
      </c>
      <c r="P74" s="312" t="n">
        <v>292</v>
      </c>
      <c r="Q74" s="312" t="n">
        <v>2831</v>
      </c>
      <c r="R74" s="312" t="n">
        <v>2291</v>
      </c>
      <c r="S74" s="312" t="n">
        <v>2272</v>
      </c>
      <c r="T74" s="312" t="n">
        <v>1212</v>
      </c>
      <c r="U74" s="312" t="n">
        <v>1204</v>
      </c>
      <c r="V74" s="312" t="n">
        <v>1029</v>
      </c>
      <c r="W74" s="313" t="n">
        <v>-202</v>
      </c>
      <c r="X74" s="314" t="n">
        <f aca="false">EXP(0.585+(0.102*J74)+(0.007*P74)-(0.001*V74)+(0.008*O74)-2.723)</f>
        <v>3.45727066298073</v>
      </c>
      <c r="Y74" s="314" t="n">
        <f aca="false">(X74/(1+X74))</f>
        <v>0.77564745881255</v>
      </c>
      <c r="Z74" s="314" t="n">
        <f aca="false">EXP(1.741+(0.011*P74)-(0.002*V74)+(0.275*J74)-1.952)</f>
        <v>11.9861692749371</v>
      </c>
      <c r="AA74" s="314" t="n">
        <f aca="false">(Z74/(1+Z74))</f>
        <v>0.922994997306098</v>
      </c>
      <c r="AB74" s="304" t="n">
        <v>39</v>
      </c>
      <c r="AC74" s="273"/>
      <c r="AD74" s="315"/>
      <c r="AE74" s="315"/>
      <c r="AF74" s="315"/>
      <c r="AG74" s="317"/>
      <c r="AH74" s="317"/>
      <c r="AI74" s="309"/>
      <c r="AJ74" s="318"/>
      <c r="AK74" s="315"/>
      <c r="AL74" s="315"/>
      <c r="AM74" s="315"/>
      <c r="AN74" s="318"/>
      <c r="AO74" s="318"/>
      <c r="AP74" s="318"/>
      <c r="AQ74" s="273"/>
      <c r="AR74" s="273"/>
      <c r="AS74" s="272" t="s">
        <v>810</v>
      </c>
      <c r="AT74" s="275" t="n">
        <v>45435.625</v>
      </c>
      <c r="AU74" s="276" t="s">
        <v>811</v>
      </c>
      <c r="AV74" s="19"/>
      <c r="AW74" s="277"/>
      <c r="AX74" s="277"/>
      <c r="AY74" s="277"/>
      <c r="AZ74" s="278"/>
      <c r="BA74" s="278"/>
      <c r="BB74" s="279"/>
      <c r="BC74" s="277"/>
      <c r="BD74" s="277"/>
      <c r="BE74" s="277"/>
      <c r="BF74" s="277"/>
      <c r="BG74" s="277"/>
      <c r="BH74" s="19"/>
      <c r="BI74" s="19"/>
      <c r="BJ74" s="260" t="n">
        <v>1</v>
      </c>
      <c r="BK74" s="273" t="n">
        <v>1</v>
      </c>
      <c r="BL74" s="273"/>
      <c r="BM74" s="273" t="s">
        <v>812</v>
      </c>
      <c r="BN74" s="281" t="s">
        <v>813</v>
      </c>
      <c r="BO74" s="273" t="n">
        <v>1</v>
      </c>
      <c r="BP74" s="265" t="n">
        <v>45586</v>
      </c>
      <c r="BQ74" s="282" t="n">
        <f aca="false">AT74+145</f>
        <v>45580.625</v>
      </c>
      <c r="BR74" s="283" t="n">
        <f aca="false">BP74-AT74</f>
        <v>150.375</v>
      </c>
      <c r="BS74" s="283" t="s">
        <v>35</v>
      </c>
      <c r="BT74" s="281" t="s">
        <v>813</v>
      </c>
      <c r="BU74" s="284" t="n">
        <v>0.2</v>
      </c>
      <c r="BV74" s="284" t="n">
        <v>0.2</v>
      </c>
      <c r="BW74" s="284" t="n">
        <v>0.2</v>
      </c>
      <c r="BX74" s="284" t="n">
        <v>0.2</v>
      </c>
      <c r="BY74" s="284" t="n">
        <v>0.30375</v>
      </c>
      <c r="BZ74" s="284" t="n">
        <v>0.2</v>
      </c>
      <c r="CA74" s="284" t="n">
        <v>0.2</v>
      </c>
      <c r="CB74" s="284" t="n">
        <v>0.32308</v>
      </c>
      <c r="CC74" s="284" t="n">
        <v>1.1693</v>
      </c>
      <c r="CD74" s="284" t="n">
        <v>1.1787</v>
      </c>
      <c r="CE74" s="284" t="n">
        <v>1.8699</v>
      </c>
      <c r="CF74" s="285" t="s">
        <v>814</v>
      </c>
      <c r="CG74" s="286" t="s">
        <v>815</v>
      </c>
      <c r="CH74" s="285" t="s">
        <v>814</v>
      </c>
      <c r="CI74" s="288" t="s">
        <v>815</v>
      </c>
      <c r="CJ74" s="289" t="n">
        <v>0.217291666666667</v>
      </c>
      <c r="CK74" s="290" t="n">
        <v>0.042355760135626</v>
      </c>
      <c r="CL74" s="290" t="n">
        <v>0.5</v>
      </c>
      <c r="CM74" s="285" t="s">
        <v>814</v>
      </c>
      <c r="CN74" s="286" t="s">
        <v>815</v>
      </c>
      <c r="CO74" s="291" t="s">
        <v>816</v>
      </c>
      <c r="CP74" s="285" t="s">
        <v>810</v>
      </c>
      <c r="CQ74" s="292" t="n">
        <v>6</v>
      </c>
      <c r="CR74" s="293" t="n">
        <v>60</v>
      </c>
      <c r="CS74" s="294" t="n">
        <f aca="false">$CS$7+(CR74/24)</f>
        <v>45435.75</v>
      </c>
      <c r="CT74" s="295" t="n">
        <v>2</v>
      </c>
      <c r="CU74" s="296" t="n">
        <v>0.72902</v>
      </c>
      <c r="CV74" s="297"/>
      <c r="CW74" s="281" t="s">
        <v>813</v>
      </c>
      <c r="CX74" s="320" t="n">
        <f aca="false">(AT74-CS74)*24</f>
        <v>-3</v>
      </c>
      <c r="CY74" s="299" t="s">
        <v>812</v>
      </c>
      <c r="CZ74" s="260" t="s">
        <v>192</v>
      </c>
      <c r="DA74" s="304" t="n">
        <v>39</v>
      </c>
      <c r="DB74" s="306" t="s">
        <v>257</v>
      </c>
    </row>
    <row r="75" customFormat="false" ht="15.75" hidden="false" customHeight="true" outlineLevel="0" collapsed="false">
      <c r="A75" s="273" t="s">
        <v>192</v>
      </c>
      <c r="B75" s="304" t="n">
        <v>40</v>
      </c>
      <c r="C75" s="305" t="n">
        <v>16262791702</v>
      </c>
      <c r="D75" s="306" t="s">
        <v>421</v>
      </c>
      <c r="E75" s="306" t="s">
        <v>422</v>
      </c>
      <c r="F75" s="305" t="s">
        <v>423</v>
      </c>
      <c r="G75" s="305" t="n">
        <v>88890</v>
      </c>
      <c r="H75" s="307"/>
      <c r="I75" s="308" t="n">
        <v>43388</v>
      </c>
      <c r="J75" s="309" t="n">
        <v>5.6027397260274</v>
      </c>
      <c r="K75" s="308" t="n">
        <v>45206</v>
      </c>
      <c r="L75" s="310" t="n">
        <v>70.6</v>
      </c>
      <c r="M75" s="310" t="n">
        <v>3.5</v>
      </c>
      <c r="N75" s="310" t="n">
        <v>4</v>
      </c>
      <c r="O75" s="311" t="n">
        <v>227</v>
      </c>
      <c r="P75" s="312" t="n">
        <v>253</v>
      </c>
      <c r="Q75" s="312" t="n">
        <v>2592</v>
      </c>
      <c r="R75" s="312" t="n">
        <v>1740</v>
      </c>
      <c r="S75" s="312" t="n">
        <v>1789</v>
      </c>
      <c r="T75" s="312" t="n">
        <v>1325</v>
      </c>
      <c r="U75" s="312" t="n">
        <v>896</v>
      </c>
      <c r="V75" s="312" t="n">
        <v>772</v>
      </c>
      <c r="W75" s="313" t="n">
        <v>-237</v>
      </c>
      <c r="X75" s="314" t="n">
        <f aca="false">EXP(1.204+(0.102*J75)+(0.007*P75)-(0.001*V75)+(0.008*O75)-2.723)</f>
        <v>6.47196293042272</v>
      </c>
      <c r="Y75" s="314" t="n">
        <f aca="false">(X75/(1+X75))</f>
        <v>0.866166359588266</v>
      </c>
      <c r="Z75" s="314" t="n">
        <f aca="false">EXP(2.859+(0.011*P75)-(0.002*V75)+(0.275*J75)-1.952)</f>
        <v>39.9150491577385</v>
      </c>
      <c r="AA75" s="314" t="n">
        <f aca="false">(Z75/(1+Z75))</f>
        <v>0.97555911527456</v>
      </c>
      <c r="AB75" s="304" t="n">
        <v>40</v>
      </c>
      <c r="AC75" s="273" t="n">
        <v>46</v>
      </c>
      <c r="AD75" s="315"/>
      <c r="AE75" s="315"/>
      <c r="AF75" s="315"/>
      <c r="AG75" s="317" t="n">
        <v>45434.8796064815</v>
      </c>
      <c r="AH75" s="316" t="n">
        <v>45435.1316782407</v>
      </c>
      <c r="AI75" s="309" t="n">
        <f aca="false">(AH75-AG75)*24</f>
        <v>6.04972222222222</v>
      </c>
      <c r="AJ75" s="318" t="n">
        <v>6.04972222214565</v>
      </c>
      <c r="AK75" s="315"/>
      <c r="AL75" s="315"/>
      <c r="AM75" s="315"/>
      <c r="AN75" s="318"/>
      <c r="AO75" s="318" t="n">
        <f aca="false">(AG75-$AO$7)*24</f>
        <v>37.6105555555556</v>
      </c>
      <c r="AP75" s="318" t="n">
        <f aca="false">AO75+35</f>
        <v>72.6105555555556</v>
      </c>
      <c r="AQ75" s="273" t="n">
        <v>5</v>
      </c>
      <c r="AR75" s="273" t="n">
        <v>2</v>
      </c>
      <c r="AS75" s="273" t="s">
        <v>815</v>
      </c>
      <c r="AT75" s="275" t="n">
        <v>45435.625</v>
      </c>
      <c r="AU75" s="276" t="s">
        <v>811</v>
      </c>
      <c r="AV75" s="19" t="n">
        <v>46</v>
      </c>
      <c r="AW75" s="277"/>
      <c r="AX75" s="277"/>
      <c r="AY75" s="277"/>
      <c r="AZ75" s="278" t="n">
        <v>45450.4923263889</v>
      </c>
      <c r="BA75" s="278" t="n">
        <v>45450.492337963</v>
      </c>
      <c r="BB75" s="279" t="n">
        <f aca="false">(BA75-AZ75)*24</f>
        <v>0.000277777777777778</v>
      </c>
      <c r="BC75" s="280" t="n">
        <v>1</v>
      </c>
      <c r="BD75" s="277"/>
      <c r="BE75" s="277"/>
      <c r="BF75" s="277"/>
      <c r="BG75" s="280"/>
      <c r="BH75" s="19" t="n">
        <v>2</v>
      </c>
      <c r="BI75" s="19" t="n">
        <v>1</v>
      </c>
      <c r="BJ75" s="260" t="n">
        <v>1</v>
      </c>
      <c r="BK75" s="273" t="n">
        <v>1</v>
      </c>
      <c r="BL75" s="273"/>
      <c r="BM75" s="273" t="s">
        <v>812</v>
      </c>
      <c r="BN75" s="281" t="s">
        <v>819</v>
      </c>
      <c r="BO75" s="273" t="n">
        <v>1</v>
      </c>
      <c r="BP75" s="265" t="n">
        <v>45582</v>
      </c>
      <c r="BQ75" s="282" t="n">
        <f aca="false">AT75+145</f>
        <v>45580.625</v>
      </c>
      <c r="BR75" s="283" t="n">
        <f aca="false">BP75-AT75</f>
        <v>146.375</v>
      </c>
      <c r="BS75" s="283" t="s">
        <v>35</v>
      </c>
      <c r="BT75" s="281" t="s">
        <v>819</v>
      </c>
      <c r="BU75" s="284" t="n">
        <v>7.5359</v>
      </c>
      <c r="BV75" s="284" t="n">
        <v>7.1759</v>
      </c>
      <c r="BW75" s="284" t="n">
        <v>0.70144</v>
      </c>
      <c r="BX75" s="284" t="n">
        <v>0.6</v>
      </c>
      <c r="BY75" s="284" t="n">
        <v>0.6</v>
      </c>
      <c r="BZ75" s="284" t="n">
        <v>0.9</v>
      </c>
      <c r="CA75" s="284" t="n">
        <v>1.5652</v>
      </c>
      <c r="CB75" s="284" t="n">
        <v>2.3901</v>
      </c>
      <c r="CC75" s="284" t="n">
        <v>2.8224</v>
      </c>
      <c r="CD75" s="284" t="n">
        <v>6.6606</v>
      </c>
      <c r="CE75" s="284" t="n">
        <v>8.6972</v>
      </c>
      <c r="CF75" s="325" t="s">
        <v>55</v>
      </c>
      <c r="CG75" s="327" t="s">
        <v>815</v>
      </c>
      <c r="CH75" s="325" t="s">
        <v>55</v>
      </c>
      <c r="CI75" s="326" t="s">
        <v>815</v>
      </c>
      <c r="CJ75" s="289" t="n">
        <v>0.70036</v>
      </c>
      <c r="CK75" s="290" t="n">
        <v>0.14142318904621</v>
      </c>
      <c r="CL75" s="290" t="n">
        <v>0.98320637809242</v>
      </c>
      <c r="CM75" s="325" t="s">
        <v>55</v>
      </c>
      <c r="CN75" s="327" t="s">
        <v>815</v>
      </c>
      <c r="CO75" s="291" t="s">
        <v>816</v>
      </c>
      <c r="CP75" s="285" t="s">
        <v>810</v>
      </c>
      <c r="CQ75" s="292" t="n">
        <v>4</v>
      </c>
      <c r="CR75" s="333" t="n">
        <v>48</v>
      </c>
      <c r="CS75" s="294" t="n">
        <f aca="false">$CS$7+(CR75/24)</f>
        <v>45435.25</v>
      </c>
      <c r="CT75" s="295" t="n">
        <v>2</v>
      </c>
      <c r="CU75" s="296" t="n">
        <v>0.31753</v>
      </c>
      <c r="CV75" s="297" t="n">
        <f aca="false">(CS75-AG75)*24</f>
        <v>8.88944444444444</v>
      </c>
      <c r="CW75" s="281" t="s">
        <v>819</v>
      </c>
      <c r="CX75" s="320" t="n">
        <f aca="false">(AT75-CS75)*24</f>
        <v>9</v>
      </c>
      <c r="CY75" s="299" t="s">
        <v>812</v>
      </c>
      <c r="CZ75" s="260" t="s">
        <v>192</v>
      </c>
      <c r="DA75" s="304" t="n">
        <v>40</v>
      </c>
      <c r="DB75" s="306" t="s">
        <v>421</v>
      </c>
    </row>
    <row r="76" customFormat="false" ht="15.75" hidden="false" customHeight="true" outlineLevel="0" collapsed="false">
      <c r="A76" s="273" t="s">
        <v>192</v>
      </c>
      <c r="B76" s="304" t="n">
        <v>41</v>
      </c>
      <c r="C76" s="305" t="n">
        <v>16262791743</v>
      </c>
      <c r="D76" s="306" t="s">
        <v>399</v>
      </c>
      <c r="E76" s="306" t="s">
        <v>400</v>
      </c>
      <c r="F76" s="305" t="s">
        <v>401</v>
      </c>
      <c r="G76" s="305" t="n">
        <v>88655</v>
      </c>
      <c r="H76" s="307"/>
      <c r="I76" s="308" t="n">
        <v>43403</v>
      </c>
      <c r="J76" s="309" t="n">
        <v>5.56164383561644</v>
      </c>
      <c r="K76" s="308" t="n">
        <v>45205</v>
      </c>
      <c r="L76" s="310" t="n">
        <v>82.3</v>
      </c>
      <c r="M76" s="310" t="n">
        <v>3.5</v>
      </c>
      <c r="N76" s="310" t="n">
        <v>3.5</v>
      </c>
      <c r="O76" s="311" t="n">
        <v>228</v>
      </c>
      <c r="P76" s="312" t="n">
        <v>310</v>
      </c>
      <c r="Q76" s="312" t="n">
        <v>3129</v>
      </c>
      <c r="R76" s="312" t="n">
        <v>2726</v>
      </c>
      <c r="S76" s="312" t="n">
        <v>2300</v>
      </c>
      <c r="T76" s="312" t="n">
        <v>1692</v>
      </c>
      <c r="U76" s="312" t="n">
        <v>1372</v>
      </c>
      <c r="V76" s="312" t="n">
        <v>1430</v>
      </c>
      <c r="W76" s="313" t="n">
        <v>-120</v>
      </c>
      <c r="X76" s="314" t="n">
        <f aca="false">EXP(1.204+(0.102*J76)+(0.007*P76)-(0.001*V76)+(0.008*O76)-2.723)</f>
        <v>5.0142691161067</v>
      </c>
      <c r="Y76" s="314" t="n">
        <f aca="false">(X76/(1+X76))</f>
        <v>0.833728757277934</v>
      </c>
      <c r="Z76" s="314" t="n">
        <f aca="false">EXP(2.859+(0.011*P76)-(0.002*V76)+(0.275*J76)-1.952)</f>
        <v>19.8152541914647</v>
      </c>
      <c r="AA76" s="314" t="n">
        <f aca="false">(Z76/(1+Z76))</f>
        <v>0.951958309478149</v>
      </c>
      <c r="AB76" s="304" t="n">
        <v>41</v>
      </c>
      <c r="AC76" s="273" t="n">
        <v>43</v>
      </c>
      <c r="AD76" s="315"/>
      <c r="AE76" s="315"/>
      <c r="AF76" s="315"/>
      <c r="AG76" s="317" t="n">
        <v>45434.7024074074</v>
      </c>
      <c r="AH76" s="317" t="n">
        <v>45435.0728935185</v>
      </c>
      <c r="AI76" s="309" t="n">
        <f aca="false">(AH76-AG76)*24</f>
        <v>8.89166666666667</v>
      </c>
      <c r="AJ76" s="318" t="n">
        <v>8.89166666666279</v>
      </c>
      <c r="AK76" s="315"/>
      <c r="AL76" s="315"/>
      <c r="AM76" s="315"/>
      <c r="AN76" s="318"/>
      <c r="AO76" s="318" t="n">
        <f aca="false">(AG76-$AO$7)*24</f>
        <v>33.3577777777778</v>
      </c>
      <c r="AP76" s="318" t="n">
        <f aca="false">AO76+35</f>
        <v>68.3577777777778</v>
      </c>
      <c r="AQ76" s="273" t="n">
        <v>18</v>
      </c>
      <c r="AR76" s="273" t="n">
        <v>1</v>
      </c>
      <c r="AS76" s="273" t="s">
        <v>815</v>
      </c>
      <c r="AT76" s="275" t="n">
        <v>45435.625</v>
      </c>
      <c r="AU76" s="276" t="s">
        <v>811</v>
      </c>
      <c r="AV76" s="19"/>
      <c r="AW76" s="277"/>
      <c r="AX76" s="277"/>
      <c r="AY76" s="277"/>
      <c r="AZ76" s="278"/>
      <c r="BA76" s="278"/>
      <c r="BB76" s="279"/>
      <c r="BC76" s="280"/>
      <c r="BD76" s="277"/>
      <c r="BE76" s="277"/>
      <c r="BF76" s="277"/>
      <c r="BG76" s="280"/>
      <c r="BH76" s="19"/>
      <c r="BI76" s="19"/>
      <c r="BJ76" s="260" t="n">
        <v>1</v>
      </c>
      <c r="BK76" s="273" t="n">
        <v>1</v>
      </c>
      <c r="BL76" s="273"/>
      <c r="BM76" s="273" t="s">
        <v>812</v>
      </c>
      <c r="BN76" s="281" t="s">
        <v>819</v>
      </c>
      <c r="BO76" s="273" t="n">
        <v>1</v>
      </c>
      <c r="BP76" s="265" t="n">
        <v>45582</v>
      </c>
      <c r="BQ76" s="282" t="n">
        <f aca="false">AT76+145</f>
        <v>45580.625</v>
      </c>
      <c r="BR76" s="283" t="n">
        <f aca="false">BP76-AT76</f>
        <v>146.375</v>
      </c>
      <c r="BS76" s="283" t="s">
        <v>35</v>
      </c>
      <c r="BT76" s="281" t="s">
        <v>819</v>
      </c>
      <c r="BU76" s="284" t="n">
        <v>0.2</v>
      </c>
      <c r="BV76" s="284" t="n">
        <v>0.2</v>
      </c>
      <c r="BW76" s="284" t="n">
        <v>0.2</v>
      </c>
      <c r="BX76" s="284" t="n">
        <v>0.2</v>
      </c>
      <c r="BY76" s="284" t="n">
        <v>0.44916</v>
      </c>
      <c r="BZ76" s="284" t="n">
        <v>0.2</v>
      </c>
      <c r="CA76" s="284" t="n">
        <v>0.2</v>
      </c>
      <c r="CB76" s="284" t="n">
        <v>0.2</v>
      </c>
      <c r="CC76" s="284" t="n">
        <v>1.1013</v>
      </c>
      <c r="CD76" s="284" t="n">
        <v>0.80159</v>
      </c>
      <c r="CE76" s="284" t="n">
        <v>1.8581</v>
      </c>
      <c r="CF76" s="285" t="s">
        <v>814</v>
      </c>
      <c r="CG76" s="286" t="s">
        <v>815</v>
      </c>
      <c r="CH76" s="285" t="s">
        <v>814</v>
      </c>
      <c r="CI76" s="288" t="s">
        <v>815</v>
      </c>
      <c r="CJ76" s="289" t="n">
        <v>0.241526666666667</v>
      </c>
      <c r="CK76" s="290" t="n">
        <v>0.101719144051976</v>
      </c>
      <c r="CL76" s="290" t="n">
        <v>0.444964954770619</v>
      </c>
      <c r="CM76" s="285" t="s">
        <v>814</v>
      </c>
      <c r="CN76" s="286" t="s">
        <v>815</v>
      </c>
      <c r="CO76" s="291" t="s">
        <v>816</v>
      </c>
      <c r="CP76" s="285" t="s">
        <v>810</v>
      </c>
      <c r="CQ76" s="292" t="n">
        <v>6</v>
      </c>
      <c r="CR76" s="293" t="n">
        <v>48</v>
      </c>
      <c r="CS76" s="294" t="n">
        <f aca="false">$CS$7+(CR76/24)</f>
        <v>45435.25</v>
      </c>
      <c r="CT76" s="295" t="n">
        <v>1</v>
      </c>
      <c r="CU76" s="296" t="n">
        <v>0.94909</v>
      </c>
      <c r="CV76" s="297" t="n">
        <f aca="false">(CS76-AG76)*24</f>
        <v>13.1422222222222</v>
      </c>
      <c r="CW76" s="281" t="s">
        <v>819</v>
      </c>
      <c r="CX76" s="320" t="n">
        <f aca="false">(AT76-CS76)*24</f>
        <v>9</v>
      </c>
      <c r="CY76" s="299" t="s">
        <v>812</v>
      </c>
      <c r="CZ76" s="260" t="s">
        <v>192</v>
      </c>
      <c r="DA76" s="304" t="n">
        <v>41</v>
      </c>
      <c r="DB76" s="306" t="s">
        <v>399</v>
      </c>
    </row>
    <row r="77" customFormat="false" ht="15.75" hidden="false" customHeight="true" outlineLevel="0" collapsed="false">
      <c r="A77" s="273" t="s">
        <v>192</v>
      </c>
      <c r="B77" s="304" t="n">
        <v>43</v>
      </c>
      <c r="C77" s="305" t="n">
        <v>16262702128</v>
      </c>
      <c r="D77" s="306" t="s">
        <v>312</v>
      </c>
      <c r="E77" s="306" t="s">
        <v>313</v>
      </c>
      <c r="F77" s="305" t="s">
        <v>314</v>
      </c>
      <c r="G77" s="305" t="n">
        <v>88299</v>
      </c>
      <c r="H77" s="307"/>
      <c r="I77" s="308" t="n">
        <v>43743</v>
      </c>
      <c r="J77" s="309" t="n">
        <v>4.63013698630137</v>
      </c>
      <c r="K77" s="308" t="n">
        <v>45231</v>
      </c>
      <c r="L77" s="310" t="n">
        <v>76.2</v>
      </c>
      <c r="M77" s="310" t="n">
        <v>3.75</v>
      </c>
      <c r="N77" s="310" t="n">
        <v>3.75</v>
      </c>
      <c r="O77" s="311" t="n">
        <v>202</v>
      </c>
      <c r="P77" s="312" t="n">
        <v>282</v>
      </c>
      <c r="Q77" s="312" t="n">
        <v>2354</v>
      </c>
      <c r="R77" s="312" t="n">
        <v>2320</v>
      </c>
      <c r="S77" s="312" t="n">
        <v>2130</v>
      </c>
      <c r="T77" s="312" t="n">
        <v>1833</v>
      </c>
      <c r="U77" s="312" t="n">
        <v>1652</v>
      </c>
      <c r="V77" s="312" t="n">
        <v>1001</v>
      </c>
      <c r="W77" s="313" t="n">
        <v>-214</v>
      </c>
      <c r="X77" s="314" t="n">
        <f aca="false">EXP(1.204+(0.102*J77)+(0.007*P77)-(0.001*V77)+(0.008*O77)-2.723)</f>
        <v>4.67520949079886</v>
      </c>
      <c r="Y77" s="314" t="n">
        <f aca="false">(X77/(1+X77))</f>
        <v>0.823795050804506</v>
      </c>
      <c r="Z77" s="314" t="n">
        <f aca="false">EXP(2.859+(0.011*P77)-(0.002*V77)+(0.275*J77)-1.952)</f>
        <v>26.5834188849122</v>
      </c>
      <c r="AA77" s="314" t="n">
        <f aca="false">(Z77/(1+Z77))</f>
        <v>0.963746336008152</v>
      </c>
      <c r="AB77" s="304" t="n">
        <v>43</v>
      </c>
      <c r="AC77" s="273" t="n">
        <v>54</v>
      </c>
      <c r="AD77" s="315"/>
      <c r="AE77" s="315"/>
      <c r="AF77" s="315"/>
      <c r="AG77" s="317" t="n">
        <v>45435.045775463</v>
      </c>
      <c r="AH77" s="317" t="n">
        <v>45435.1087037037</v>
      </c>
      <c r="AI77" s="309" t="n">
        <f aca="false">(AH77-AG77)*24</f>
        <v>1.51027777777778</v>
      </c>
      <c r="AJ77" s="318" t="n">
        <v>1.51027777791023</v>
      </c>
      <c r="AK77" s="315"/>
      <c r="AL77" s="315"/>
      <c r="AM77" s="315"/>
      <c r="AN77" s="318"/>
      <c r="AO77" s="318" t="n">
        <f aca="false">(AG77-$AO$7)*24</f>
        <v>41.5986111111111</v>
      </c>
      <c r="AP77" s="318" t="n">
        <f aca="false">AO77+35</f>
        <v>76.5986111111111</v>
      </c>
      <c r="AQ77" s="273" t="n">
        <v>3</v>
      </c>
      <c r="AR77" s="273" t="n">
        <v>1</v>
      </c>
      <c r="AS77" s="273" t="s">
        <v>815</v>
      </c>
      <c r="AT77" s="275" t="n">
        <v>45435.625</v>
      </c>
      <c r="AU77" s="276" t="s">
        <v>811</v>
      </c>
      <c r="AV77" s="19" t="n">
        <v>54</v>
      </c>
      <c r="AW77" s="277"/>
      <c r="AX77" s="277"/>
      <c r="AY77" s="277"/>
      <c r="AZ77" s="278" t="n">
        <v>45451.3293171296</v>
      </c>
      <c r="BA77" s="278" t="n">
        <v>45451.6280439815</v>
      </c>
      <c r="BB77" s="279" t="n">
        <f aca="false">(BA77-AZ77)*24</f>
        <v>7.16944444444445</v>
      </c>
      <c r="BC77" s="280" t="n">
        <v>7.16944444435649</v>
      </c>
      <c r="BD77" s="277"/>
      <c r="BE77" s="277"/>
      <c r="BF77" s="277"/>
      <c r="BG77" s="280"/>
      <c r="BH77" s="19" t="n">
        <v>14</v>
      </c>
      <c r="BI77" s="19" t="n">
        <v>2</v>
      </c>
      <c r="BJ77" s="273" t="n">
        <v>0</v>
      </c>
      <c r="BK77" s="273"/>
      <c r="BL77" s="273"/>
      <c r="BM77" s="273" t="s">
        <v>829</v>
      </c>
      <c r="BN77" s="281" t="s">
        <v>827</v>
      </c>
      <c r="BO77" s="273" t="n">
        <v>2</v>
      </c>
      <c r="BP77" s="265" t="n">
        <v>45615</v>
      </c>
      <c r="BQ77" s="282" t="n">
        <f aca="false">AZ77+145</f>
        <v>45596.3293171296</v>
      </c>
      <c r="BR77" s="283" t="n">
        <f aca="false">BP77-AT77</f>
        <v>179.375</v>
      </c>
      <c r="BS77" s="283" t="s">
        <v>830</v>
      </c>
      <c r="BT77" s="281" t="s">
        <v>827</v>
      </c>
      <c r="BU77" s="284" t="n">
        <v>0.65979</v>
      </c>
      <c r="BV77" s="284" t="n">
        <v>0.39996</v>
      </c>
      <c r="BW77" s="284" t="n">
        <v>0.47311</v>
      </c>
      <c r="BX77" s="284" t="n">
        <v>0.2</v>
      </c>
      <c r="BY77" s="284" t="n">
        <v>0.2</v>
      </c>
      <c r="BZ77" s="284" t="n">
        <v>0.2</v>
      </c>
      <c r="CA77" s="284" t="n">
        <v>0.97654</v>
      </c>
      <c r="CB77" s="284" t="n">
        <v>1.6979</v>
      </c>
      <c r="CC77" s="284" t="n">
        <v>2.4959</v>
      </c>
      <c r="CD77" s="284" t="n">
        <v>3.3928</v>
      </c>
      <c r="CE77" s="284" t="n">
        <v>3.6613</v>
      </c>
      <c r="CF77" s="285" t="s">
        <v>814</v>
      </c>
      <c r="CG77" s="286" t="s">
        <v>815</v>
      </c>
      <c r="CH77" s="285" t="s">
        <v>814</v>
      </c>
      <c r="CI77" s="288" t="s">
        <v>815</v>
      </c>
      <c r="CJ77" s="289" t="n">
        <v>0.355476666666667</v>
      </c>
      <c r="CK77" s="290" t="n">
        <v>0.190232465438123</v>
      </c>
      <c r="CL77" s="290" t="n">
        <v>0.735941597542913</v>
      </c>
      <c r="CM77" s="285" t="s">
        <v>814</v>
      </c>
      <c r="CN77" s="286" t="s">
        <v>815</v>
      </c>
      <c r="CO77" s="291" t="s">
        <v>816</v>
      </c>
      <c r="CP77" s="285" t="s">
        <v>810</v>
      </c>
      <c r="CQ77" s="292" t="n">
        <v>4</v>
      </c>
      <c r="CR77" s="293" t="n">
        <v>48</v>
      </c>
      <c r="CS77" s="294" t="n">
        <f aca="false">$CS$7+(CR77/24)</f>
        <v>45435.25</v>
      </c>
      <c r="CT77" s="295" t="n">
        <v>1.5</v>
      </c>
      <c r="CU77" s="296" t="n">
        <v>0.42913</v>
      </c>
      <c r="CV77" s="297" t="n">
        <f aca="false">(CS77-AG77)*24</f>
        <v>4.90138888888889</v>
      </c>
      <c r="CW77" s="281" t="s">
        <v>819</v>
      </c>
      <c r="CX77" s="320" t="n">
        <f aca="false">(AT77-CS77)*24</f>
        <v>9</v>
      </c>
      <c r="CY77" s="370" t="s">
        <v>829</v>
      </c>
      <c r="CZ77" s="260" t="s">
        <v>192</v>
      </c>
      <c r="DA77" s="304" t="n">
        <v>43</v>
      </c>
      <c r="DB77" s="306" t="s">
        <v>312</v>
      </c>
    </row>
    <row r="78" customFormat="false" ht="15.75" hidden="false" customHeight="true" outlineLevel="0" collapsed="false">
      <c r="A78" s="273" t="s">
        <v>192</v>
      </c>
      <c r="B78" s="304" t="n">
        <v>44</v>
      </c>
      <c r="C78" s="305" t="n">
        <v>16262702154</v>
      </c>
      <c r="D78" s="306" t="s">
        <v>381</v>
      </c>
      <c r="E78" s="306" t="s">
        <v>382</v>
      </c>
      <c r="F78" s="305" t="s">
        <v>383</v>
      </c>
      <c r="G78" s="305" t="n">
        <v>88609</v>
      </c>
      <c r="H78" s="307"/>
      <c r="I78" s="308" t="n">
        <v>43744</v>
      </c>
      <c r="J78" s="309" t="n">
        <v>4.62739726027397</v>
      </c>
      <c r="K78" s="308" t="n">
        <v>45202</v>
      </c>
      <c r="L78" s="310" t="n">
        <v>70.5</v>
      </c>
      <c r="M78" s="310" t="n">
        <v>3</v>
      </c>
      <c r="N78" s="310" t="n">
        <v>3.5</v>
      </c>
      <c r="O78" s="311" t="n">
        <v>231</v>
      </c>
      <c r="P78" s="312" t="n">
        <v>315</v>
      </c>
      <c r="Q78" s="312" t="n">
        <v>2831</v>
      </c>
      <c r="R78" s="312" t="n">
        <v>2349</v>
      </c>
      <c r="S78" s="312" t="n">
        <v>2130</v>
      </c>
      <c r="T78" s="312" t="n">
        <v>1748</v>
      </c>
      <c r="U78" s="312" t="n">
        <v>1596</v>
      </c>
      <c r="V78" s="312" t="n">
        <v>1287</v>
      </c>
      <c r="W78" s="313" t="n">
        <v>3</v>
      </c>
      <c r="X78" s="314" t="n">
        <f aca="false">EXP(1.204+(0.102*J78)+(0.007*P78)-(0.001*V78)+(0.008*O78)-2.723)</f>
        <v>5.57891615765813</v>
      </c>
      <c r="Y78" s="314" t="n">
        <f aca="false">(X78/(1+X78))</f>
        <v>0.847999278903113</v>
      </c>
      <c r="Z78" s="314" t="n">
        <f aca="false">EXP(2.859+(0.011*P78)-(0.002*V78)+(0.275*J78)-1.952)</f>
        <v>21.5534144375189</v>
      </c>
      <c r="AA78" s="314" t="n">
        <f aca="false">(Z78/(1+Z78))</f>
        <v>0.955660815670711</v>
      </c>
      <c r="AB78" s="304" t="n">
        <v>44</v>
      </c>
      <c r="AC78" s="273" t="n">
        <v>49</v>
      </c>
      <c r="AD78" s="315"/>
      <c r="AE78" s="315"/>
      <c r="AF78" s="315"/>
      <c r="AG78" s="317" t="n">
        <v>45434.8997685185</v>
      </c>
      <c r="AH78" s="316" t="n">
        <v>45435.3945601852</v>
      </c>
      <c r="AI78" s="309" t="n">
        <f aca="false">(AH78-AG78)*24</f>
        <v>11.875</v>
      </c>
      <c r="AJ78" s="318" t="n">
        <v>11.8750000001164</v>
      </c>
      <c r="AK78" s="315"/>
      <c r="AL78" s="315"/>
      <c r="AM78" s="315"/>
      <c r="AN78" s="318"/>
      <c r="AO78" s="318" t="n">
        <f aca="false">(AG78-$AO$7)*24</f>
        <v>38.0944444444445</v>
      </c>
      <c r="AP78" s="318" t="n">
        <f aca="false">AO78+35</f>
        <v>73.0944444444445</v>
      </c>
      <c r="AQ78" s="273" t="n">
        <v>9</v>
      </c>
      <c r="AR78" s="273" t="n">
        <v>2</v>
      </c>
      <c r="AS78" s="273" t="s">
        <v>815</v>
      </c>
      <c r="AT78" s="275" t="n">
        <v>45435.625</v>
      </c>
      <c r="AU78" s="319" t="s">
        <v>838</v>
      </c>
      <c r="AV78" s="19"/>
      <c r="AW78" s="277"/>
      <c r="AX78" s="277"/>
      <c r="AY78" s="277"/>
      <c r="AZ78" s="278"/>
      <c r="BA78" s="278"/>
      <c r="BB78" s="279"/>
      <c r="BC78" s="280"/>
      <c r="BD78" s="277"/>
      <c r="BE78" s="277"/>
      <c r="BF78" s="277"/>
      <c r="BG78" s="280"/>
      <c r="BH78" s="19"/>
      <c r="BI78" s="19"/>
      <c r="BJ78" s="260" t="n">
        <v>1</v>
      </c>
      <c r="BK78" s="273" t="n">
        <v>2</v>
      </c>
      <c r="BL78" s="273"/>
      <c r="BM78" s="273" t="s">
        <v>812</v>
      </c>
      <c r="BN78" s="281" t="s">
        <v>819</v>
      </c>
      <c r="BO78" s="273" t="n">
        <v>2</v>
      </c>
      <c r="BP78" s="265" t="n">
        <v>45581</v>
      </c>
      <c r="BQ78" s="282" t="n">
        <f aca="false">AT78+145</f>
        <v>45580.625</v>
      </c>
      <c r="BR78" s="283" t="n">
        <f aca="false">BP78-AT78</f>
        <v>145.375</v>
      </c>
      <c r="BS78" s="283" t="s">
        <v>35</v>
      </c>
      <c r="BT78" s="281" t="s">
        <v>819</v>
      </c>
      <c r="BU78" s="284" t="n">
        <v>2.8394</v>
      </c>
      <c r="BV78" s="284" t="n">
        <v>0.4567</v>
      </c>
      <c r="BW78" s="284" t="n">
        <v>0.2</v>
      </c>
      <c r="BX78" s="284" t="n">
        <v>0.43293</v>
      </c>
      <c r="BY78" s="284" t="n">
        <v>0.2</v>
      </c>
      <c r="BZ78" s="284" t="n">
        <v>0.55434</v>
      </c>
      <c r="CA78" s="284" t="n">
        <v>0.81327</v>
      </c>
      <c r="CB78" s="284" t="n">
        <v>1.9932</v>
      </c>
      <c r="CC78" s="284" t="n">
        <v>2.8138</v>
      </c>
      <c r="CD78" s="284" t="n">
        <v>3.3716</v>
      </c>
      <c r="CE78" s="284" t="n">
        <v>4.1774</v>
      </c>
      <c r="CF78" s="325" t="s">
        <v>55</v>
      </c>
      <c r="CG78" s="327" t="s">
        <v>815</v>
      </c>
      <c r="CH78" s="325" t="s">
        <v>55</v>
      </c>
      <c r="CI78" s="326" t="s">
        <v>815</v>
      </c>
      <c r="CJ78" s="289" t="n">
        <v>0.368794</v>
      </c>
      <c r="CK78" s="290" t="n">
        <v>0.160663497970136</v>
      </c>
      <c r="CL78" s="290" t="n">
        <v>0.690120995940273</v>
      </c>
      <c r="CM78" s="325" t="s">
        <v>55</v>
      </c>
      <c r="CN78" s="327" t="s">
        <v>815</v>
      </c>
      <c r="CO78" s="291" t="s">
        <v>816</v>
      </c>
      <c r="CP78" s="285" t="s">
        <v>810</v>
      </c>
      <c r="CQ78" s="292" t="n">
        <v>4</v>
      </c>
      <c r="CR78" s="333" t="n">
        <v>48</v>
      </c>
      <c r="CS78" s="294" t="n">
        <f aca="false">$CS$7+(CR78/24)</f>
        <v>45435.25</v>
      </c>
      <c r="CT78" s="295" t="n">
        <v>2</v>
      </c>
      <c r="CU78" s="296" t="n">
        <v>0.86136</v>
      </c>
      <c r="CV78" s="297" t="n">
        <f aca="false">(CS78-AG78)*24</f>
        <v>8.40555555555556</v>
      </c>
      <c r="CW78" s="281" t="s">
        <v>819</v>
      </c>
      <c r="CX78" s="320" t="n">
        <f aca="false">(AT78-CS78)*24</f>
        <v>9</v>
      </c>
      <c r="CY78" s="299" t="s">
        <v>812</v>
      </c>
      <c r="CZ78" s="260" t="s">
        <v>192</v>
      </c>
      <c r="DA78" s="304" t="n">
        <v>44</v>
      </c>
      <c r="DB78" s="306" t="s">
        <v>381</v>
      </c>
    </row>
    <row r="79" customFormat="false" ht="15.75" hidden="false" customHeight="true" outlineLevel="0" collapsed="false">
      <c r="A79" s="273" t="s">
        <v>192</v>
      </c>
      <c r="B79" s="304" t="n">
        <v>46</v>
      </c>
      <c r="C79" s="305" t="n">
        <v>16262702162</v>
      </c>
      <c r="D79" s="306" t="s">
        <v>433</v>
      </c>
      <c r="E79" s="306" t="s">
        <v>434</v>
      </c>
      <c r="F79" s="305" t="s">
        <v>435</v>
      </c>
      <c r="G79" s="305" t="n">
        <v>89098</v>
      </c>
      <c r="H79" s="307"/>
      <c r="I79" s="308" t="n">
        <v>43744</v>
      </c>
      <c r="J79" s="309" t="n">
        <v>4.62739726027397</v>
      </c>
      <c r="K79" s="308" t="n">
        <v>45207</v>
      </c>
      <c r="L79" s="310" t="n">
        <v>60.4</v>
      </c>
      <c r="M79" s="310" t="n">
        <v>2.5</v>
      </c>
      <c r="N79" s="310" t="n">
        <v>3</v>
      </c>
      <c r="O79" s="311" t="n">
        <v>226</v>
      </c>
      <c r="P79" s="312" t="n">
        <v>328</v>
      </c>
      <c r="Q79" s="312" t="n">
        <v>2771</v>
      </c>
      <c r="R79" s="312" t="n">
        <v>2407</v>
      </c>
      <c r="S79" s="312" t="n">
        <v>2186</v>
      </c>
      <c r="T79" s="312" t="n">
        <v>1579</v>
      </c>
      <c r="U79" s="312" t="n">
        <v>1484</v>
      </c>
      <c r="V79" s="312" t="n">
        <v>1601</v>
      </c>
      <c r="W79" s="313" t="n">
        <v>-96</v>
      </c>
      <c r="X79" s="314" t="n">
        <f aca="false">EXP(0.585+(0.102*J79)+(0.007*P79)-(0.001*V79)+(0.008*O79)-2.723)</f>
        <v>2.30941563471939</v>
      </c>
      <c r="Y79" s="314" t="n">
        <f aca="false">(X79/(1+X79))</f>
        <v>0.697831849977106</v>
      </c>
      <c r="Z79" s="314" t="n">
        <f aca="false">EXP(1.741+(0.011*P79)-(0.002*V79)+(0.275*J79)-1.952)</f>
        <v>4.33852421030295</v>
      </c>
      <c r="AA79" s="314" t="n">
        <f aca="false">(Z79/(1+Z79))</f>
        <v>0.812682314323858</v>
      </c>
      <c r="AB79" s="304" t="n">
        <v>46</v>
      </c>
      <c r="AC79" s="273"/>
      <c r="AD79" s="315"/>
      <c r="AE79" s="315"/>
      <c r="AF79" s="315"/>
      <c r="AG79" s="317"/>
      <c r="AH79" s="316"/>
      <c r="AI79" s="309"/>
      <c r="AJ79" s="318"/>
      <c r="AK79" s="315"/>
      <c r="AL79" s="315"/>
      <c r="AM79" s="315"/>
      <c r="AN79" s="318"/>
      <c r="AO79" s="318"/>
      <c r="AP79" s="318"/>
      <c r="AQ79" s="273"/>
      <c r="AR79" s="273"/>
      <c r="AS79" s="272" t="s">
        <v>810</v>
      </c>
      <c r="AT79" s="275" t="n">
        <v>45435.625</v>
      </c>
      <c r="AU79" s="319" t="s">
        <v>818</v>
      </c>
      <c r="AV79" s="19" t="n">
        <v>92</v>
      </c>
      <c r="AW79" s="277"/>
      <c r="AX79" s="277"/>
      <c r="AY79" s="277"/>
      <c r="AZ79" s="354" t="n">
        <v>45452.9536805556</v>
      </c>
      <c r="BA79" s="278" t="n">
        <v>45453.2121180556</v>
      </c>
      <c r="BB79" s="279" t="n">
        <f aca="false">(BA79-AZ79)*24</f>
        <v>6.2025</v>
      </c>
      <c r="BC79" s="277" t="n">
        <v>6.20250000001397</v>
      </c>
      <c r="BD79" s="277"/>
      <c r="BE79" s="277"/>
      <c r="BF79" s="277"/>
      <c r="BG79" s="277"/>
      <c r="BH79" s="19" t="n">
        <v>10</v>
      </c>
      <c r="BI79" s="19" t="n">
        <v>2</v>
      </c>
      <c r="BJ79" s="273" t="n">
        <v>0</v>
      </c>
      <c r="BK79" s="273"/>
      <c r="BL79" s="273"/>
      <c r="BM79" s="273" t="s">
        <v>829</v>
      </c>
      <c r="BN79" s="281" t="s">
        <v>827</v>
      </c>
      <c r="BO79" s="273" t="n">
        <v>1</v>
      </c>
      <c r="BP79" s="265" t="n">
        <v>45609</v>
      </c>
      <c r="BQ79" s="282" t="n">
        <f aca="false">AZ79+145</f>
        <v>45597.9536805556</v>
      </c>
      <c r="BR79" s="283" t="n">
        <f aca="false">BP79-AT79</f>
        <v>173.375</v>
      </c>
      <c r="BS79" s="283" t="s">
        <v>830</v>
      </c>
      <c r="BT79" s="281" t="s">
        <v>827</v>
      </c>
      <c r="BU79" s="284" t="n">
        <v>0.89136</v>
      </c>
      <c r="BV79" s="284" t="n">
        <v>0.88805</v>
      </c>
      <c r="BW79" s="284" t="n">
        <v>0.71776</v>
      </c>
      <c r="BX79" s="284" t="n">
        <v>0.68344</v>
      </c>
      <c r="BY79" s="284" t="n">
        <v>1.1334</v>
      </c>
      <c r="BZ79" s="284" t="n">
        <v>0.76508</v>
      </c>
      <c r="CA79" s="284" t="n">
        <v>1.0373</v>
      </c>
      <c r="CB79" s="284" t="n">
        <v>0.84543</v>
      </c>
      <c r="CC79" s="284" t="n">
        <v>1.0478</v>
      </c>
      <c r="CD79" s="284" t="n">
        <v>0.90794</v>
      </c>
      <c r="CE79" s="284" t="n">
        <v>1.2486</v>
      </c>
      <c r="CF79" s="285" t="s">
        <v>814</v>
      </c>
      <c r="CG79" s="332" t="s">
        <v>810</v>
      </c>
      <c r="CH79" s="285" t="s">
        <v>814</v>
      </c>
      <c r="CI79" s="288" t="s">
        <v>815</v>
      </c>
      <c r="CJ79" s="289" t="n">
        <v>0.789138</v>
      </c>
      <c r="CK79" s="290" t="n">
        <v>0.0962790144320149</v>
      </c>
      <c r="CL79" s="290" t="n">
        <v>0.98169602886403</v>
      </c>
      <c r="CM79" s="285" t="s">
        <v>814</v>
      </c>
      <c r="CN79" s="376" t="s">
        <v>810</v>
      </c>
      <c r="CO79" s="377" t="s">
        <v>828</v>
      </c>
      <c r="CP79" s="285" t="s">
        <v>810</v>
      </c>
      <c r="CQ79" s="337"/>
      <c r="CR79" s="293" t="n">
        <v>84</v>
      </c>
      <c r="CS79" s="294" t="n">
        <f aca="false">$CS$7+(CR79/24)</f>
        <v>45436.75</v>
      </c>
      <c r="CT79" s="295" t="n">
        <v>1.5</v>
      </c>
      <c r="CU79" s="296" t="n">
        <v>0.69713</v>
      </c>
      <c r="CV79" s="297"/>
      <c r="CW79" s="281" t="s">
        <v>813</v>
      </c>
      <c r="CX79" s="320" t="n">
        <f aca="false">(AT79-CS79)*24</f>
        <v>-27</v>
      </c>
      <c r="CY79" s="346" t="s">
        <v>829</v>
      </c>
      <c r="CZ79" s="260" t="s">
        <v>192</v>
      </c>
      <c r="DA79" s="304" t="n">
        <v>46</v>
      </c>
      <c r="DB79" s="306" t="s">
        <v>433</v>
      </c>
    </row>
    <row r="80" customFormat="false" ht="15.75" hidden="false" customHeight="true" outlineLevel="0" collapsed="false">
      <c r="A80" s="273" t="s">
        <v>192</v>
      </c>
      <c r="B80" s="304" t="n">
        <v>48</v>
      </c>
      <c r="C80" s="305" t="n">
        <v>16262702206</v>
      </c>
      <c r="D80" s="306" t="s">
        <v>427</v>
      </c>
      <c r="E80" s="306" t="s">
        <v>428</v>
      </c>
      <c r="F80" s="305" t="s">
        <v>429</v>
      </c>
      <c r="G80" s="305" t="n">
        <v>88712</v>
      </c>
      <c r="H80" s="307"/>
      <c r="I80" s="308" t="n">
        <v>43745</v>
      </c>
      <c r="J80" s="309" t="n">
        <v>4.62465753424658</v>
      </c>
      <c r="K80" s="308" t="n">
        <v>45207</v>
      </c>
      <c r="L80" s="310" t="n">
        <v>77.4</v>
      </c>
      <c r="M80" s="310" t="n">
        <v>3.5</v>
      </c>
      <c r="N80" s="310" t="n">
        <v>3.25</v>
      </c>
      <c r="O80" s="311" t="n">
        <v>226</v>
      </c>
      <c r="P80" s="312" t="n">
        <v>349</v>
      </c>
      <c r="Q80" s="312" t="n">
        <v>3218</v>
      </c>
      <c r="R80" s="312" t="n">
        <v>2465</v>
      </c>
      <c r="S80" s="312" t="n">
        <v>2158</v>
      </c>
      <c r="T80" s="312" t="n">
        <v>1833</v>
      </c>
      <c r="U80" s="312" t="n">
        <v>1568</v>
      </c>
      <c r="V80" s="312" t="n">
        <v>1315</v>
      </c>
      <c r="W80" s="313" t="n">
        <v>-24</v>
      </c>
      <c r="X80" s="314" t="n">
        <f aca="false">EXP(1.204+(0.102*J80)+(0.007*P80)-(0.001*V80)+(0.008*O80)-2.723)</f>
        <v>6.61086870778057</v>
      </c>
      <c r="Y80" s="314" t="n">
        <f aca="false">(X80/(1+X80))</f>
        <v>0.868608954063588</v>
      </c>
      <c r="Z80" s="314" t="n">
        <f aca="false">EXP(2.859+(0.011*P80)-(0.002*V80)+(0.275*J80)-1.952)</f>
        <v>29.6001912340164</v>
      </c>
      <c r="AA80" s="314" t="n">
        <f aca="false">(Z80/(1+Z80))</f>
        <v>0.967320465667928</v>
      </c>
      <c r="AB80" s="304" t="n">
        <v>48</v>
      </c>
      <c r="AC80" s="273" t="n">
        <v>47</v>
      </c>
      <c r="AD80" s="315"/>
      <c r="AE80" s="315"/>
      <c r="AF80" s="315"/>
      <c r="AG80" s="317" t="n">
        <v>45434.8968171296</v>
      </c>
      <c r="AH80" s="316" t="n">
        <v>45435.9915046296</v>
      </c>
      <c r="AI80" s="309" t="n">
        <f aca="false">(AH80-AG80)*24</f>
        <v>26.2725</v>
      </c>
      <c r="AJ80" s="318" t="n">
        <v>26.272500000021</v>
      </c>
      <c r="AK80" s="315"/>
      <c r="AL80" s="315"/>
      <c r="AM80" s="315"/>
      <c r="AN80" s="318"/>
      <c r="AO80" s="318" t="n">
        <f aca="false">(AG80-$AO$7)*24</f>
        <v>38.0236111111111</v>
      </c>
      <c r="AP80" s="318" t="n">
        <f aca="false">AO80+35</f>
        <v>73.0236111111111</v>
      </c>
      <c r="AQ80" s="273" t="n">
        <v>27</v>
      </c>
      <c r="AR80" s="273" t="n">
        <v>2</v>
      </c>
      <c r="AS80" s="273" t="s">
        <v>815</v>
      </c>
      <c r="AT80" s="275" t="n">
        <v>45435.625</v>
      </c>
      <c r="AU80" s="319" t="s">
        <v>821</v>
      </c>
      <c r="AV80" s="19"/>
      <c r="AW80" s="277"/>
      <c r="AX80" s="277"/>
      <c r="AY80" s="277"/>
      <c r="AZ80" s="354"/>
      <c r="BA80" s="278"/>
      <c r="BB80" s="279"/>
      <c r="BC80" s="277"/>
      <c r="BD80" s="277"/>
      <c r="BE80" s="277"/>
      <c r="BF80" s="277"/>
      <c r="BG80" s="277"/>
      <c r="BH80" s="19"/>
      <c r="BI80" s="19"/>
      <c r="BJ80" s="260" t="n">
        <v>1</v>
      </c>
      <c r="BK80" s="273" t="n">
        <v>1</v>
      </c>
      <c r="BL80" s="273"/>
      <c r="BM80" s="273" t="s">
        <v>812</v>
      </c>
      <c r="BN80" s="281" t="s">
        <v>819</v>
      </c>
      <c r="BO80" s="273" t="n">
        <v>1</v>
      </c>
      <c r="BP80" s="265" t="n">
        <v>45581</v>
      </c>
      <c r="BQ80" s="282" t="n">
        <f aca="false">AT80+145</f>
        <v>45580.625</v>
      </c>
      <c r="BR80" s="283" t="n">
        <f aca="false">BP80-AT80</f>
        <v>145.375</v>
      </c>
      <c r="BS80" s="283" t="s">
        <v>35</v>
      </c>
      <c r="BT80" s="281" t="s">
        <v>819</v>
      </c>
      <c r="BU80" s="378" t="n">
        <v>1.0304</v>
      </c>
      <c r="BV80" s="284" t="n">
        <v>0.96845</v>
      </c>
      <c r="BW80" s="284" t="n">
        <v>0.88146</v>
      </c>
      <c r="BX80" s="284" t="n">
        <v>1.0584</v>
      </c>
      <c r="BY80" s="284" t="n">
        <v>0.92796</v>
      </c>
      <c r="BZ80" s="284" t="n">
        <v>0.85195</v>
      </c>
      <c r="CA80" s="284" t="n">
        <v>1.1959</v>
      </c>
      <c r="CB80" s="284" t="n">
        <v>1.6842</v>
      </c>
      <c r="CC80" s="284" t="n">
        <v>2.3946</v>
      </c>
      <c r="CD80" s="284" t="n">
        <v>3.3184</v>
      </c>
      <c r="CE80" s="284" t="n">
        <v>3.9862</v>
      </c>
      <c r="CF80" s="285" t="s">
        <v>814</v>
      </c>
      <c r="CG80" s="286" t="s">
        <v>815</v>
      </c>
      <c r="CH80" s="325" t="s">
        <v>55</v>
      </c>
      <c r="CI80" s="326" t="s">
        <v>815</v>
      </c>
      <c r="CJ80" s="289" t="n">
        <v>0.907455</v>
      </c>
      <c r="CK80" s="290" t="n">
        <v>0.0513075371331218</v>
      </c>
      <c r="CL80" s="290" t="n">
        <v>1.01007007426624</v>
      </c>
      <c r="CM80" s="376" t="s">
        <v>814</v>
      </c>
      <c r="CN80" s="327" t="s">
        <v>815</v>
      </c>
      <c r="CO80" s="291" t="s">
        <v>816</v>
      </c>
      <c r="CP80" s="285" t="s">
        <v>810</v>
      </c>
      <c r="CQ80" s="292" t="n">
        <v>4</v>
      </c>
      <c r="CR80" s="293" t="n">
        <v>48</v>
      </c>
      <c r="CS80" s="294" t="n">
        <f aca="false">$CS$7+(CR80/24)</f>
        <v>45435.25</v>
      </c>
      <c r="CT80" s="295" t="n">
        <v>1.5</v>
      </c>
      <c r="CU80" s="296" t="n">
        <v>0.3979</v>
      </c>
      <c r="CV80" s="297" t="n">
        <f aca="false">(CS80-AG80)*24</f>
        <v>8.47638888888889</v>
      </c>
      <c r="CW80" s="281" t="s">
        <v>819</v>
      </c>
      <c r="CX80" s="320" t="n">
        <f aca="false">(AT80-CS80)*24</f>
        <v>9</v>
      </c>
      <c r="CY80" s="299" t="s">
        <v>812</v>
      </c>
      <c r="CZ80" s="260" t="s">
        <v>192</v>
      </c>
      <c r="DA80" s="304" t="n">
        <v>48</v>
      </c>
      <c r="DB80" s="306" t="s">
        <v>427</v>
      </c>
    </row>
    <row r="81" customFormat="false" ht="15.75" hidden="false" customHeight="true" outlineLevel="0" collapsed="false">
      <c r="A81" s="273" t="s">
        <v>192</v>
      </c>
      <c r="B81" s="304" t="n">
        <v>50</v>
      </c>
      <c r="C81" s="305" t="n">
        <v>16262702242</v>
      </c>
      <c r="D81" s="306" t="s">
        <v>445</v>
      </c>
      <c r="E81" s="306" t="s">
        <v>446</v>
      </c>
      <c r="F81" s="305" t="s">
        <v>447</v>
      </c>
      <c r="G81" s="305" t="n">
        <v>89333</v>
      </c>
      <c r="H81" s="307"/>
      <c r="I81" s="308" t="n">
        <v>43745</v>
      </c>
      <c r="J81" s="309" t="n">
        <v>4.62465753424658</v>
      </c>
      <c r="K81" s="308" t="n">
        <v>45203</v>
      </c>
      <c r="L81" s="310" t="n">
        <v>77.3</v>
      </c>
      <c r="M81" s="310" t="n">
        <v>3.75</v>
      </c>
      <c r="N81" s="310" t="n">
        <v>3</v>
      </c>
      <c r="O81" s="311" t="n">
        <v>230</v>
      </c>
      <c r="P81" s="312" t="n">
        <v>351</v>
      </c>
      <c r="Q81" s="312" t="n">
        <v>3367</v>
      </c>
      <c r="R81" s="312" t="n">
        <v>2697</v>
      </c>
      <c r="S81" s="312" t="n">
        <v>2442</v>
      </c>
      <c r="T81" s="312" t="n">
        <v>1720</v>
      </c>
      <c r="U81" s="312" t="n">
        <v>1764</v>
      </c>
      <c r="V81" s="312" t="n">
        <v>1630</v>
      </c>
      <c r="W81" s="313" t="n">
        <v>-336</v>
      </c>
      <c r="X81" s="314" t="n">
        <f aca="false">EXP(0.585+(0.102*J81)+(0.007*P81)-(0.001*V81)+(0.008*O81)-2.723)</f>
        <v>2.7202262812757</v>
      </c>
      <c r="Y81" s="314" t="n">
        <f aca="false">(X81/(1+X81))</f>
        <v>0.731199146397866</v>
      </c>
      <c r="Z81" s="314" t="n">
        <f aca="false">EXP(1.741+(0.011*P81)-(0.002*V81)+(0.275*J81)-1.952)</f>
        <v>5.26868508492031</v>
      </c>
      <c r="AA81" s="314" t="n">
        <f aca="false">(Z81/(1+Z81))</f>
        <v>0.840476912390198</v>
      </c>
      <c r="AB81" s="304" t="n">
        <v>50</v>
      </c>
      <c r="AC81" s="273" t="n">
        <v>34</v>
      </c>
      <c r="AD81" s="317" t="n">
        <v>45433.474212963</v>
      </c>
      <c r="AE81" s="317" t="n">
        <v>45444.5921064815</v>
      </c>
      <c r="AF81" s="309" t="n">
        <f aca="false">(AE81-AD81)*24</f>
        <v>266.829444444444</v>
      </c>
      <c r="AG81" s="317" t="n">
        <v>45433.474212963</v>
      </c>
      <c r="AH81" s="316" t="n">
        <v>45434.5598726852</v>
      </c>
      <c r="AI81" s="309" t="n">
        <f aca="false">(AH81-AG81)*24</f>
        <v>26.0558333333333</v>
      </c>
      <c r="AJ81" s="318" t="n">
        <v>26.0558333333465</v>
      </c>
      <c r="AK81" s="317" t="n">
        <v>45444.5920717593</v>
      </c>
      <c r="AL81" s="317" t="n">
        <v>45444.5921064815</v>
      </c>
      <c r="AM81" s="309" t="n">
        <f aca="false">(AL81-AK81)*24</f>
        <v>0.000833333333333333</v>
      </c>
      <c r="AN81" s="318" t="n">
        <v>1</v>
      </c>
      <c r="AO81" s="318" t="n">
        <f aca="false">(AG81-$AO$7)*24</f>
        <v>3.88111111111111</v>
      </c>
      <c r="AP81" s="318" t="n">
        <f aca="false">AO81+35</f>
        <v>38.8811111111111</v>
      </c>
      <c r="AQ81" s="273" t="n">
        <v>81</v>
      </c>
      <c r="AR81" s="273" t="n">
        <v>4</v>
      </c>
      <c r="AS81" s="272" t="s">
        <v>810</v>
      </c>
      <c r="AT81" s="275" t="n">
        <v>45435.625</v>
      </c>
      <c r="AU81" s="276" t="s">
        <v>811</v>
      </c>
      <c r="AV81" s="19"/>
      <c r="AW81" s="277"/>
      <c r="AX81" s="277"/>
      <c r="AY81" s="277"/>
      <c r="AZ81" s="354"/>
      <c r="BA81" s="278"/>
      <c r="BB81" s="279"/>
      <c r="BC81" s="277"/>
      <c r="BD81" s="277"/>
      <c r="BE81" s="277"/>
      <c r="BF81" s="277"/>
      <c r="BG81" s="277"/>
      <c r="BH81" s="19"/>
      <c r="BI81" s="19"/>
      <c r="BJ81" s="260" t="n">
        <v>1</v>
      </c>
      <c r="BK81" s="273" t="n">
        <v>1</v>
      </c>
      <c r="BL81" s="273"/>
      <c r="BM81" s="273" t="s">
        <v>812</v>
      </c>
      <c r="BN81" s="281" t="s">
        <v>819</v>
      </c>
      <c r="BO81" s="273" t="n">
        <v>1</v>
      </c>
      <c r="BP81" s="265" t="n">
        <v>45580</v>
      </c>
      <c r="BQ81" s="282" t="n">
        <f aca="false">AT81+145</f>
        <v>45580.625</v>
      </c>
      <c r="BR81" s="283" t="n">
        <f aca="false">BP81-AT81</f>
        <v>144.375</v>
      </c>
      <c r="BS81" s="283" t="s">
        <v>35</v>
      </c>
      <c r="BT81" s="281" t="s">
        <v>819</v>
      </c>
      <c r="BU81" s="284" t="n">
        <v>0.56981</v>
      </c>
      <c r="BV81" s="284" t="n">
        <v>0.66174</v>
      </c>
      <c r="BW81" s="284" t="n">
        <v>0.7619</v>
      </c>
      <c r="BX81" s="284" t="n">
        <v>0.71463</v>
      </c>
      <c r="BY81" s="284" t="n">
        <v>0.91793</v>
      </c>
      <c r="BZ81" s="284" t="n">
        <v>0.76826</v>
      </c>
      <c r="CA81" s="284" t="n">
        <v>1.2258</v>
      </c>
      <c r="CB81" s="284" t="n">
        <v>1.7643</v>
      </c>
      <c r="CC81" s="284" t="n">
        <v>2.4075</v>
      </c>
      <c r="CD81" s="284" t="n">
        <v>2.9907</v>
      </c>
      <c r="CE81" s="284" t="n">
        <v>3.878</v>
      </c>
      <c r="CF81" s="285" t="s">
        <v>814</v>
      </c>
      <c r="CG81" s="286" t="s">
        <v>815</v>
      </c>
      <c r="CH81" s="285" t="s">
        <v>814</v>
      </c>
      <c r="CI81" s="288" t="s">
        <v>815</v>
      </c>
      <c r="CJ81" s="289" t="n">
        <v>0.732378333333333</v>
      </c>
      <c r="CK81" s="290" t="n">
        <v>0.116894554435469</v>
      </c>
      <c r="CL81" s="290" t="n">
        <v>0.966167442204271</v>
      </c>
      <c r="CM81" s="285" t="s">
        <v>814</v>
      </c>
      <c r="CN81" s="286" t="s">
        <v>815</v>
      </c>
      <c r="CO81" s="291" t="s">
        <v>816</v>
      </c>
      <c r="CP81" s="285" t="s">
        <v>810</v>
      </c>
      <c r="CQ81" s="292" t="n">
        <v>4</v>
      </c>
      <c r="CR81" s="293" t="n">
        <v>48</v>
      </c>
      <c r="CS81" s="294" t="n">
        <f aca="false">$CS$7+(CR81/24)</f>
        <v>45435.25</v>
      </c>
      <c r="CT81" s="295" t="n">
        <v>1</v>
      </c>
      <c r="CU81" s="296" t="n">
        <v>0.42989</v>
      </c>
      <c r="CV81" s="297" t="n">
        <f aca="false">(CS81-AG81)*24</f>
        <v>42.6188888888889</v>
      </c>
      <c r="CW81" s="281" t="s">
        <v>819</v>
      </c>
      <c r="CX81" s="320" t="n">
        <f aca="false">(AT81-CS81)*24</f>
        <v>9</v>
      </c>
      <c r="CY81" s="299" t="s">
        <v>812</v>
      </c>
      <c r="CZ81" s="260" t="s">
        <v>192</v>
      </c>
      <c r="DA81" s="304" t="n">
        <v>50</v>
      </c>
      <c r="DB81" s="306" t="s">
        <v>445</v>
      </c>
    </row>
    <row r="82" customFormat="false" ht="15.75" hidden="false" customHeight="true" outlineLevel="0" collapsed="false">
      <c r="A82" s="273" t="s">
        <v>192</v>
      </c>
      <c r="B82" s="304" t="n">
        <v>51</v>
      </c>
      <c r="C82" s="305" t="n">
        <v>16262702264</v>
      </c>
      <c r="D82" s="306" t="s">
        <v>448</v>
      </c>
      <c r="E82" s="306" t="s">
        <v>449</v>
      </c>
      <c r="F82" s="305" t="s">
        <v>450</v>
      </c>
      <c r="G82" s="305" t="n">
        <v>89441</v>
      </c>
      <c r="H82" s="307" t="s">
        <v>451</v>
      </c>
      <c r="I82" s="308" t="n">
        <v>43745</v>
      </c>
      <c r="J82" s="309" t="n">
        <v>4.62465753424658</v>
      </c>
      <c r="K82" s="308" t="n">
        <v>45209</v>
      </c>
      <c r="L82" s="310" t="n">
        <v>74</v>
      </c>
      <c r="M82" s="310" t="n">
        <v>3</v>
      </c>
      <c r="N82" s="310" t="n">
        <v>3</v>
      </c>
      <c r="O82" s="311" t="n">
        <v>224</v>
      </c>
      <c r="P82" s="312" t="n">
        <v>345</v>
      </c>
      <c r="Q82" s="312" t="n">
        <v>3039</v>
      </c>
      <c r="R82" s="312" t="n">
        <v>2088</v>
      </c>
      <c r="S82" s="312" t="n">
        <v>1647</v>
      </c>
      <c r="T82" s="312" t="n">
        <v>2058</v>
      </c>
      <c r="U82" s="312" t="n">
        <v>1792</v>
      </c>
      <c r="V82" s="312" t="n">
        <v>1430</v>
      </c>
      <c r="W82" s="313" t="n">
        <v>-14</v>
      </c>
      <c r="X82" s="314" t="n">
        <f aca="false">EXP(0.585+(0.102*J82)+(0.007*P82)-(0.001*V82)+(0.008*O82)-2.723)</f>
        <v>3.03652894447395</v>
      </c>
      <c r="Y82" s="314" t="n">
        <f aca="false">(X82/(1+X82))</f>
        <v>0.752262398274386</v>
      </c>
      <c r="Z82" s="314" t="n">
        <f aca="false">EXP(1.741+(0.011*P82)-(0.002*V82)+(0.275*J82)-1.952)</f>
        <v>7.35794603099871</v>
      </c>
      <c r="AA82" s="314" t="n">
        <f aca="false">(Z82/(1+Z82))</f>
        <v>0.880353379132731</v>
      </c>
      <c r="AB82" s="304" t="n">
        <v>51</v>
      </c>
      <c r="AC82" s="273"/>
      <c r="AD82" s="317"/>
      <c r="AE82" s="317"/>
      <c r="AF82" s="309"/>
      <c r="AG82" s="317"/>
      <c r="AH82" s="316"/>
      <c r="AI82" s="309"/>
      <c r="AJ82" s="318"/>
      <c r="AK82" s="317"/>
      <c r="AL82" s="317"/>
      <c r="AM82" s="309"/>
      <c r="AN82" s="318"/>
      <c r="AO82" s="318"/>
      <c r="AP82" s="318"/>
      <c r="AQ82" s="273"/>
      <c r="AR82" s="273"/>
      <c r="AS82" s="272" t="s">
        <v>810</v>
      </c>
      <c r="AT82" s="275" t="n">
        <v>45435.625</v>
      </c>
      <c r="AU82" s="319" t="s">
        <v>838</v>
      </c>
      <c r="AV82" s="19"/>
      <c r="AW82" s="277"/>
      <c r="AX82" s="277"/>
      <c r="AY82" s="277"/>
      <c r="AZ82" s="354"/>
      <c r="BA82" s="278"/>
      <c r="BB82" s="279"/>
      <c r="BC82" s="277"/>
      <c r="BD82" s="277"/>
      <c r="BE82" s="277"/>
      <c r="BF82" s="277"/>
      <c r="BG82" s="277"/>
      <c r="BH82" s="19"/>
      <c r="BI82" s="19"/>
      <c r="BJ82" s="260" t="n">
        <v>1</v>
      </c>
      <c r="BK82" s="273" t="n">
        <v>1</v>
      </c>
      <c r="BL82" s="273"/>
      <c r="BM82" s="273" t="s">
        <v>812</v>
      </c>
      <c r="BN82" s="281" t="s">
        <v>813</v>
      </c>
      <c r="BO82" s="273" t="n">
        <v>1</v>
      </c>
      <c r="BP82" s="265" t="n">
        <v>45586</v>
      </c>
      <c r="BQ82" s="282" t="n">
        <f aca="false">AT82+145</f>
        <v>45580.625</v>
      </c>
      <c r="BR82" s="283" t="n">
        <f aca="false">BP82-AT82</f>
        <v>150.375</v>
      </c>
      <c r="BS82" s="283" t="s">
        <v>35</v>
      </c>
      <c r="BT82" s="281" t="s">
        <v>813</v>
      </c>
      <c r="BU82" s="284" t="n">
        <v>0.99235</v>
      </c>
      <c r="BV82" s="284" t="n">
        <v>2.187</v>
      </c>
      <c r="BW82" s="284" t="n">
        <v>0.73977</v>
      </c>
      <c r="BX82" s="284" t="n">
        <v>0.65556</v>
      </c>
      <c r="BY82" s="284" t="n">
        <v>0.77462</v>
      </c>
      <c r="BZ82" s="284" t="n">
        <v>0.80661</v>
      </c>
      <c r="CA82" s="284" t="n">
        <v>0.61558</v>
      </c>
      <c r="CB82" s="284" t="n">
        <v>1.2639</v>
      </c>
      <c r="CC82" s="284" t="n">
        <v>1.2831</v>
      </c>
      <c r="CD82" s="284" t="n">
        <v>1.2033</v>
      </c>
      <c r="CE82" s="284" t="n">
        <v>1.2183</v>
      </c>
      <c r="CF82" s="325" t="s">
        <v>55</v>
      </c>
      <c r="CG82" s="367" t="s">
        <v>810</v>
      </c>
      <c r="CH82" s="325" t="s">
        <v>55</v>
      </c>
      <c r="CI82" s="326" t="s">
        <v>815</v>
      </c>
      <c r="CJ82" s="289" t="n">
        <v>0.74414</v>
      </c>
      <c r="CK82" s="290" t="n">
        <v>0.0650565000595636</v>
      </c>
      <c r="CL82" s="290" t="n">
        <v>0.874253000119127</v>
      </c>
      <c r="CM82" s="325" t="s">
        <v>55</v>
      </c>
      <c r="CN82" s="376" t="s">
        <v>810</v>
      </c>
      <c r="CO82" s="372" t="s">
        <v>828</v>
      </c>
      <c r="CP82" s="285" t="s">
        <v>810</v>
      </c>
      <c r="CQ82" s="337"/>
      <c r="CR82" s="333" t="n">
        <v>60</v>
      </c>
      <c r="CS82" s="294" t="n">
        <f aca="false">$CS$7+(CR82/24)</f>
        <v>45435.75</v>
      </c>
      <c r="CT82" s="295" t="n">
        <v>1.5</v>
      </c>
      <c r="CU82" s="296" t="n">
        <v>0.39155</v>
      </c>
      <c r="CV82" s="297"/>
      <c r="CW82" s="281" t="s">
        <v>813</v>
      </c>
      <c r="CX82" s="320" t="n">
        <f aca="false">(AT82-CS82)*24</f>
        <v>-3</v>
      </c>
      <c r="CY82" s="299" t="s">
        <v>812</v>
      </c>
      <c r="CZ82" s="260" t="s">
        <v>192</v>
      </c>
      <c r="DA82" s="304" t="n">
        <v>51</v>
      </c>
      <c r="DB82" s="306" t="s">
        <v>448</v>
      </c>
    </row>
    <row r="83" customFormat="false" ht="15.75" hidden="false" customHeight="true" outlineLevel="0" collapsed="false">
      <c r="A83" s="273" t="s">
        <v>192</v>
      </c>
      <c r="B83" s="304" t="n">
        <v>52</v>
      </c>
      <c r="C83" s="305" t="n">
        <v>16262702313</v>
      </c>
      <c r="D83" s="306" t="s">
        <v>452</v>
      </c>
      <c r="E83" s="306" t="s">
        <v>453</v>
      </c>
      <c r="F83" s="305" t="s">
        <v>454</v>
      </c>
      <c r="G83" s="305" t="n">
        <v>89784</v>
      </c>
      <c r="H83" s="307" t="s">
        <v>455</v>
      </c>
      <c r="I83" s="308" t="n">
        <v>43746</v>
      </c>
      <c r="J83" s="309" t="n">
        <v>4.62191780821918</v>
      </c>
      <c r="K83" s="308" t="n">
        <v>45208</v>
      </c>
      <c r="L83" s="310" t="n">
        <v>87.9</v>
      </c>
      <c r="M83" s="310" t="n">
        <v>4</v>
      </c>
      <c r="N83" s="310" t="n">
        <v>4</v>
      </c>
      <c r="O83" s="311" t="n">
        <v>225</v>
      </c>
      <c r="P83" s="312" t="n">
        <v>302</v>
      </c>
      <c r="Q83" s="312" t="n">
        <v>2980</v>
      </c>
      <c r="R83" s="312" t="n">
        <v>1798</v>
      </c>
      <c r="S83" s="312" t="n">
        <v>1476</v>
      </c>
      <c r="T83" s="312" t="n">
        <v>1212</v>
      </c>
      <c r="U83" s="312" t="n">
        <v>923</v>
      </c>
      <c r="V83" s="312" t="n">
        <v>943</v>
      </c>
      <c r="W83" s="313" t="n">
        <v>21</v>
      </c>
      <c r="X83" s="314" t="n">
        <f aca="false">EXP(1.204+(0.102*J83)+(0.007*P83)-(0.001*V83)+(0.008*O83)-2.723)</f>
        <v>6.84443296792987</v>
      </c>
      <c r="Y83" s="314" t="n">
        <f aca="false">(X83/(1+X83))</f>
        <v>0.872521059955733</v>
      </c>
      <c r="Z83" s="314" t="n">
        <f aca="false">EXP(2.859+(0.011*P83)-(0.002*V83)+(0.275*J83)-1.952)</f>
        <v>37.1152299908902</v>
      </c>
      <c r="AA83" s="314" t="n">
        <f aca="false">(Z83/(1+Z83))</f>
        <v>0.973763768440096</v>
      </c>
      <c r="AB83" s="304" t="n">
        <v>52</v>
      </c>
      <c r="AC83" s="273"/>
      <c r="AD83" s="317"/>
      <c r="AE83" s="317"/>
      <c r="AF83" s="309"/>
      <c r="AG83" s="317"/>
      <c r="AH83" s="316"/>
      <c r="AI83" s="309"/>
      <c r="AJ83" s="318"/>
      <c r="AK83" s="317"/>
      <c r="AL83" s="317"/>
      <c r="AM83" s="309"/>
      <c r="AN83" s="318"/>
      <c r="AO83" s="318"/>
      <c r="AP83" s="318"/>
      <c r="AQ83" s="273"/>
      <c r="AR83" s="273"/>
      <c r="AS83" s="272" t="s">
        <v>810</v>
      </c>
      <c r="AT83" s="275" t="n">
        <v>45435.625</v>
      </c>
      <c r="AU83" s="319" t="s">
        <v>818</v>
      </c>
      <c r="AV83" s="19"/>
      <c r="AW83" s="277"/>
      <c r="AX83" s="277"/>
      <c r="AY83" s="277"/>
      <c r="AZ83" s="354"/>
      <c r="BA83" s="278"/>
      <c r="BB83" s="279"/>
      <c r="BC83" s="277"/>
      <c r="BD83" s="277"/>
      <c r="BE83" s="277"/>
      <c r="BF83" s="277"/>
      <c r="BG83" s="277"/>
      <c r="BH83" s="19"/>
      <c r="BI83" s="19"/>
      <c r="BJ83" s="273" t="n">
        <v>0</v>
      </c>
      <c r="BK83" s="273"/>
      <c r="BL83" s="273" t="s">
        <v>826</v>
      </c>
      <c r="BM83" s="273" t="s">
        <v>106</v>
      </c>
      <c r="BN83" s="281" t="s">
        <v>813</v>
      </c>
      <c r="BO83" s="273" t="n">
        <v>2</v>
      </c>
      <c r="BP83" s="265" t="n">
        <v>45599</v>
      </c>
      <c r="BQ83" s="282" t="n">
        <f aca="false">AT83+145</f>
        <v>45580.625</v>
      </c>
      <c r="BR83" s="283" t="n">
        <f aca="false">BP83-AT83</f>
        <v>163.375</v>
      </c>
      <c r="BS83" s="283" t="s">
        <v>106</v>
      </c>
      <c r="BT83" s="281" t="s">
        <v>819</v>
      </c>
      <c r="BU83" s="284" t="n">
        <v>0.74608</v>
      </c>
      <c r="BV83" s="284" t="n">
        <v>0.55092</v>
      </c>
      <c r="BW83" s="284" t="n">
        <v>2.4346</v>
      </c>
      <c r="BX83" s="284" t="n">
        <v>2.2836</v>
      </c>
      <c r="BY83" s="284" t="n">
        <v>2.966</v>
      </c>
      <c r="BZ83" s="284" t="n">
        <v>3.3493</v>
      </c>
      <c r="CA83" s="284" t="n">
        <v>3.6959</v>
      </c>
      <c r="CB83" s="284" t="n">
        <v>3.8678</v>
      </c>
      <c r="CC83" s="284" t="n">
        <v>3.4042</v>
      </c>
      <c r="CD83" s="284" t="n">
        <v>2.8407</v>
      </c>
      <c r="CE83" s="284" t="n">
        <v>1.3018</v>
      </c>
      <c r="CF83" s="285" t="s">
        <v>814</v>
      </c>
      <c r="CG83" s="286" t="s">
        <v>815</v>
      </c>
      <c r="CH83" s="285" t="s">
        <v>814</v>
      </c>
      <c r="CI83" s="288" t="s">
        <v>815</v>
      </c>
      <c r="CJ83" s="379"/>
      <c r="CK83" s="345"/>
      <c r="CL83" s="345"/>
      <c r="CM83" s="380"/>
      <c r="CN83" s="380"/>
      <c r="CO83" s="291" t="s">
        <v>845</v>
      </c>
      <c r="CP83" s="380"/>
      <c r="CQ83" s="381"/>
      <c r="CR83" s="369"/>
      <c r="CS83" s="281"/>
      <c r="CT83" s="363"/>
      <c r="CU83" s="364"/>
      <c r="CV83" s="297"/>
      <c r="CW83" s="281" t="s">
        <v>819</v>
      </c>
      <c r="CX83" s="365"/>
      <c r="CY83" s="338" t="s">
        <v>106</v>
      </c>
      <c r="CZ83" s="260" t="s">
        <v>192</v>
      </c>
      <c r="DA83" s="304" t="n">
        <v>52</v>
      </c>
      <c r="DB83" s="306" t="s">
        <v>452</v>
      </c>
    </row>
    <row r="84" customFormat="false" ht="15.75" hidden="false" customHeight="true" outlineLevel="0" collapsed="false">
      <c r="A84" s="273" t="s">
        <v>192</v>
      </c>
      <c r="B84" s="304" t="n">
        <v>53</v>
      </c>
      <c r="C84" s="305" t="n">
        <v>16262702371</v>
      </c>
      <c r="D84" s="306" t="s">
        <v>459</v>
      </c>
      <c r="E84" s="306" t="s">
        <v>460</v>
      </c>
      <c r="F84" s="305" t="s">
        <v>461</v>
      </c>
      <c r="G84" s="305" t="n">
        <v>89149</v>
      </c>
      <c r="H84" s="307"/>
      <c r="I84" s="308" t="n">
        <v>43747</v>
      </c>
      <c r="J84" s="309" t="n">
        <v>4.61917808219178</v>
      </c>
      <c r="K84" s="308" t="n">
        <v>45208</v>
      </c>
      <c r="L84" s="310" t="n">
        <v>81.4</v>
      </c>
      <c r="M84" s="310" t="n">
        <v>3.75</v>
      </c>
      <c r="N84" s="310" t="n">
        <v>3.75</v>
      </c>
      <c r="O84" s="311" t="n">
        <v>225</v>
      </c>
      <c r="P84" s="312" t="n">
        <v>358</v>
      </c>
      <c r="Q84" s="312" t="n">
        <v>2741</v>
      </c>
      <c r="R84" s="312" t="n">
        <v>2552</v>
      </c>
      <c r="S84" s="312" t="n">
        <v>2357</v>
      </c>
      <c r="T84" s="312" t="n">
        <v>2058</v>
      </c>
      <c r="U84" s="312" t="n">
        <v>2296</v>
      </c>
      <c r="V84" s="312" t="n">
        <v>1630</v>
      </c>
      <c r="W84" s="313" t="n">
        <v>-5</v>
      </c>
      <c r="X84" s="314" t="n">
        <f aca="false">EXP(1.204+(0.102*J84)+(0.007*P84)-(0.001*V84)+(0.008*O84)-2.723)</f>
        <v>5.09447268311644</v>
      </c>
      <c r="Y84" s="314" t="n">
        <f aca="false">(X84/(1+X84))</f>
        <v>0.83591689519418</v>
      </c>
      <c r="Z84" s="314" t="n">
        <f aca="false">EXP(2.859+(0.011*P84)-(0.002*V84)+(0.275*J84)-1.952)</f>
        <v>17.3791979795699</v>
      </c>
      <c r="AA84" s="314" t="n">
        <f aca="false">(Z84/(1+Z84))</f>
        <v>0.945590661730094</v>
      </c>
      <c r="AB84" s="304" t="n">
        <v>53</v>
      </c>
      <c r="AC84" s="273"/>
      <c r="AD84" s="317"/>
      <c r="AE84" s="317"/>
      <c r="AF84" s="309"/>
      <c r="AG84" s="317"/>
      <c r="AH84" s="316"/>
      <c r="AI84" s="309"/>
      <c r="AJ84" s="318"/>
      <c r="AK84" s="317"/>
      <c r="AL84" s="317"/>
      <c r="AM84" s="309"/>
      <c r="AN84" s="318"/>
      <c r="AO84" s="318"/>
      <c r="AP84" s="318"/>
      <c r="AQ84" s="273"/>
      <c r="AR84" s="273"/>
      <c r="AS84" s="272" t="s">
        <v>810</v>
      </c>
      <c r="AT84" s="275" t="n">
        <v>45435.625</v>
      </c>
      <c r="AU84" s="319" t="s">
        <v>821</v>
      </c>
      <c r="AV84" s="19" t="n">
        <v>89</v>
      </c>
      <c r="AW84" s="277"/>
      <c r="AX84" s="277"/>
      <c r="AY84" s="277"/>
      <c r="AZ84" s="278" t="n">
        <v>45447.6194560185</v>
      </c>
      <c r="BA84" s="278" t="n">
        <v>45448.2337847222</v>
      </c>
      <c r="BB84" s="279" t="n">
        <f aca="false">(BA84-AZ84)*24</f>
        <v>14.7438888888889</v>
      </c>
      <c r="BC84" s="277" t="n">
        <v>14.7438888889155</v>
      </c>
      <c r="BD84" s="277"/>
      <c r="BE84" s="277"/>
      <c r="BF84" s="277"/>
      <c r="BG84" s="277"/>
      <c r="BH84" s="19" t="n">
        <v>22</v>
      </c>
      <c r="BI84" s="19" t="n">
        <v>1</v>
      </c>
      <c r="BJ84" s="273" t="n">
        <v>0</v>
      </c>
      <c r="BK84" s="273"/>
      <c r="BL84" s="273"/>
      <c r="BM84" s="273" t="s">
        <v>829</v>
      </c>
      <c r="BN84" s="281" t="s">
        <v>827</v>
      </c>
      <c r="BO84" s="273" t="n">
        <v>2</v>
      </c>
      <c r="BP84" s="265" t="n">
        <v>45620</v>
      </c>
      <c r="BQ84" s="282" t="n">
        <f aca="false">AZ84+145</f>
        <v>45592.6194560185</v>
      </c>
      <c r="BR84" s="283" t="n">
        <f aca="false">BP84-AT84</f>
        <v>184.375</v>
      </c>
      <c r="BS84" s="283" t="s">
        <v>830</v>
      </c>
      <c r="BT84" s="281" t="s">
        <v>827</v>
      </c>
      <c r="BU84" s="284" t="n">
        <v>5.3888</v>
      </c>
      <c r="BV84" s="284" t="n">
        <v>6.1953</v>
      </c>
      <c r="BW84" s="284" t="n">
        <v>9.1813</v>
      </c>
      <c r="BX84" s="284" t="n">
        <v>7.4524</v>
      </c>
      <c r="BY84" s="284" t="n">
        <v>9.6002</v>
      </c>
      <c r="BZ84" s="284" t="n">
        <v>9.4</v>
      </c>
      <c r="CA84" s="284" t="n">
        <v>7.8997</v>
      </c>
      <c r="CB84" s="284" t="n">
        <v>9.4282</v>
      </c>
      <c r="CC84" s="284" t="n">
        <v>5.9432</v>
      </c>
      <c r="CD84" s="284" t="n">
        <v>7.5823</v>
      </c>
      <c r="CE84" s="284" t="n">
        <v>7.9907</v>
      </c>
      <c r="CF84" s="325" t="s">
        <v>55</v>
      </c>
      <c r="CG84" s="327" t="s">
        <v>815</v>
      </c>
      <c r="CH84" s="325" t="s">
        <v>55</v>
      </c>
      <c r="CI84" s="326" t="s">
        <v>815</v>
      </c>
      <c r="CJ84" s="379"/>
      <c r="CK84" s="345"/>
      <c r="CL84" s="345"/>
      <c r="CM84" s="380"/>
      <c r="CN84" s="380"/>
      <c r="CO84" s="291" t="s">
        <v>845</v>
      </c>
      <c r="CP84" s="380"/>
      <c r="CQ84" s="381"/>
      <c r="CR84" s="369"/>
      <c r="CS84" s="281"/>
      <c r="CT84" s="363"/>
      <c r="CU84" s="364"/>
      <c r="CV84" s="297"/>
      <c r="CW84" s="281" t="s">
        <v>819</v>
      </c>
      <c r="CX84" s="320"/>
      <c r="CY84" s="346" t="s">
        <v>829</v>
      </c>
      <c r="CZ84" s="260" t="s">
        <v>192</v>
      </c>
      <c r="DA84" s="304" t="n">
        <v>53</v>
      </c>
      <c r="DB84" s="306" t="s">
        <v>459</v>
      </c>
    </row>
    <row r="85" customFormat="false" ht="15.75" hidden="false" customHeight="true" outlineLevel="0" collapsed="false">
      <c r="A85" s="273" t="s">
        <v>192</v>
      </c>
      <c r="B85" s="304" t="n">
        <v>54</v>
      </c>
      <c r="C85" s="305" t="n">
        <v>16262702413</v>
      </c>
      <c r="D85" s="306" t="s">
        <v>465</v>
      </c>
      <c r="E85" s="306" t="s">
        <v>466</v>
      </c>
      <c r="F85" s="305" t="s">
        <v>467</v>
      </c>
      <c r="G85" s="305" t="n">
        <v>89407</v>
      </c>
      <c r="H85" s="307"/>
      <c r="I85" s="308" t="n">
        <v>43747</v>
      </c>
      <c r="J85" s="309" t="n">
        <v>4.61917808219178</v>
      </c>
      <c r="K85" s="308" t="n">
        <v>45205</v>
      </c>
      <c r="L85" s="310" t="n">
        <v>72.6</v>
      </c>
      <c r="M85" s="310" t="n">
        <v>3.25</v>
      </c>
      <c r="N85" s="310" t="n">
        <v>3</v>
      </c>
      <c r="O85" s="311" t="n">
        <v>228</v>
      </c>
      <c r="P85" s="312" t="n">
        <v>346</v>
      </c>
      <c r="Q85" s="312" t="n">
        <v>3516</v>
      </c>
      <c r="R85" s="312" t="n">
        <v>2987</v>
      </c>
      <c r="S85" s="312" t="n">
        <v>2612</v>
      </c>
      <c r="T85" s="312" t="n">
        <v>2030</v>
      </c>
      <c r="U85" s="312" t="n">
        <v>1484</v>
      </c>
      <c r="V85" s="312" t="n">
        <v>1458</v>
      </c>
      <c r="W85" s="313" t="n">
        <v>-305</v>
      </c>
      <c r="X85" s="314" t="n">
        <f aca="false">EXP(0.585+(0.102*J85)+(0.007*P85)-(0.001*V85)+(0.008*O85)-2.723)</f>
        <v>3.06839972777328</v>
      </c>
      <c r="Y85" s="314" t="n">
        <f aca="false">(X85/(1+X85))</f>
        <v>0.754203110089352</v>
      </c>
      <c r="Z85" s="314" t="n">
        <f aca="false">EXP(1.741+(0.011*P85)-(0.002*V85)+(0.275*J85)-1.952)</f>
        <v>7.02358641285684</v>
      </c>
      <c r="AA85" s="314" t="n">
        <f aca="false">(Z85/(1+Z85))</f>
        <v>0.875367454334683</v>
      </c>
      <c r="AB85" s="304" t="n">
        <v>54</v>
      </c>
      <c r="AC85" s="273" t="n">
        <v>67</v>
      </c>
      <c r="AD85" s="315"/>
      <c r="AE85" s="315"/>
      <c r="AF85" s="315"/>
      <c r="AG85" s="316" t="n">
        <v>45435.4959722222</v>
      </c>
      <c r="AH85" s="316" t="n">
        <v>45435.4959722222</v>
      </c>
      <c r="AI85" s="309" t="n">
        <f aca="false">(AH85-AG85)*24</f>
        <v>0</v>
      </c>
      <c r="AJ85" s="318" t="n">
        <v>1</v>
      </c>
      <c r="AK85" s="315"/>
      <c r="AL85" s="315"/>
      <c r="AM85" s="315"/>
      <c r="AN85" s="318"/>
      <c r="AO85" s="318" t="n">
        <f aca="false">(AG85-$AO$7)*24</f>
        <v>52.4033333333333</v>
      </c>
      <c r="AP85" s="318" t="n">
        <f aca="false">AO85+35</f>
        <v>87.4033333333333</v>
      </c>
      <c r="AQ85" s="273" t="n">
        <v>1</v>
      </c>
      <c r="AR85" s="273" t="n">
        <v>1</v>
      </c>
      <c r="AS85" s="273" t="s">
        <v>815</v>
      </c>
      <c r="AT85" s="275" t="n">
        <v>45435.625</v>
      </c>
      <c r="AU85" s="276" t="s">
        <v>811</v>
      </c>
      <c r="AV85" s="19" t="n">
        <v>67</v>
      </c>
      <c r="AW85" s="277"/>
      <c r="AX85" s="277"/>
      <c r="AY85" s="277"/>
      <c r="AZ85" s="354" t="n">
        <v>45459.6765277778</v>
      </c>
      <c r="BA85" s="354" t="n">
        <v>45459.6765277778</v>
      </c>
      <c r="BB85" s="279" t="n">
        <f aca="false">(BA85-AZ85)*24</f>
        <v>0</v>
      </c>
      <c r="BC85" s="280" t="n">
        <v>1</v>
      </c>
      <c r="BD85" s="277"/>
      <c r="BE85" s="277"/>
      <c r="BF85" s="277"/>
      <c r="BG85" s="280"/>
      <c r="BH85" s="19" t="n">
        <v>1</v>
      </c>
      <c r="BI85" s="19" t="n">
        <v>1</v>
      </c>
      <c r="BJ85" s="260" t="n">
        <v>1</v>
      </c>
      <c r="BK85" s="273" t="n">
        <v>1</v>
      </c>
      <c r="BL85" s="273"/>
      <c r="BM85" s="273" t="s">
        <v>812</v>
      </c>
      <c r="BN85" s="281" t="s">
        <v>819</v>
      </c>
      <c r="BO85" s="273" t="n">
        <v>1</v>
      </c>
      <c r="BP85" s="265" t="n">
        <v>45582</v>
      </c>
      <c r="BQ85" s="282" t="n">
        <f aca="false">AT85+145</f>
        <v>45580.625</v>
      </c>
      <c r="BR85" s="283" t="n">
        <f aca="false">BP85-AT85</f>
        <v>146.375</v>
      </c>
      <c r="BS85" s="283" t="s">
        <v>35</v>
      </c>
      <c r="BT85" s="281" t="s">
        <v>819</v>
      </c>
      <c r="BU85" s="284" t="n">
        <v>1.0661</v>
      </c>
      <c r="BV85" s="284" t="n">
        <v>5.2984</v>
      </c>
      <c r="BW85" s="284" t="n">
        <v>0.72571</v>
      </c>
      <c r="BX85" s="284" t="n">
        <v>0.73613</v>
      </c>
      <c r="BY85" s="284" t="n">
        <v>1.0314</v>
      </c>
      <c r="BZ85" s="284" t="n">
        <v>0.85778</v>
      </c>
      <c r="CA85" s="284" t="n">
        <v>1.5407</v>
      </c>
      <c r="CB85" s="284" t="n">
        <v>2.2265</v>
      </c>
      <c r="CC85" s="284" t="n">
        <v>3.1258</v>
      </c>
      <c r="CD85" s="284" t="n">
        <v>4.0407</v>
      </c>
      <c r="CE85" s="284" t="n">
        <v>5.0827</v>
      </c>
      <c r="CF85" s="325" t="s">
        <v>55</v>
      </c>
      <c r="CG85" s="327" t="s">
        <v>815</v>
      </c>
      <c r="CH85" s="325" t="s">
        <v>55</v>
      </c>
      <c r="CI85" s="326" t="s">
        <v>815</v>
      </c>
      <c r="CJ85" s="289" t="n">
        <v>0.773206666666667</v>
      </c>
      <c r="CK85" s="290" t="n">
        <v>0.0734277238741154</v>
      </c>
      <c r="CL85" s="290" t="n">
        <v>0.920062114414897</v>
      </c>
      <c r="CM85" s="325" t="s">
        <v>55</v>
      </c>
      <c r="CN85" s="327" t="s">
        <v>815</v>
      </c>
      <c r="CO85" s="291" t="s">
        <v>816</v>
      </c>
      <c r="CP85" s="285" t="s">
        <v>810</v>
      </c>
      <c r="CQ85" s="292" t="n">
        <v>4</v>
      </c>
      <c r="CR85" s="333" t="n">
        <v>48</v>
      </c>
      <c r="CS85" s="294" t="n">
        <f aca="false">$CS$7+(CR85/24)</f>
        <v>45435.25</v>
      </c>
      <c r="CT85" s="295" t="n">
        <v>1.5</v>
      </c>
      <c r="CU85" s="296" t="n">
        <v>0.61054</v>
      </c>
      <c r="CV85" s="297" t="n">
        <f aca="false">(CS85-AG85)*24</f>
        <v>-5.90333333333333</v>
      </c>
      <c r="CW85" s="281" t="s">
        <v>819</v>
      </c>
      <c r="CX85" s="320" t="n">
        <f aca="false">(AT85-CS85)*24</f>
        <v>9</v>
      </c>
      <c r="CY85" s="299" t="s">
        <v>812</v>
      </c>
      <c r="CZ85" s="260" t="s">
        <v>192</v>
      </c>
      <c r="DA85" s="304" t="n">
        <v>54</v>
      </c>
      <c r="DB85" s="306" t="s">
        <v>465</v>
      </c>
    </row>
    <row r="86" customFormat="false" ht="15.75" hidden="false" customHeight="true" outlineLevel="0" collapsed="false">
      <c r="A86" s="273" t="s">
        <v>192</v>
      </c>
      <c r="B86" s="304" t="n">
        <v>57</v>
      </c>
      <c r="C86" s="305" t="n">
        <v>16262702485</v>
      </c>
      <c r="D86" s="306" t="s">
        <v>300</v>
      </c>
      <c r="E86" s="306" t="s">
        <v>301</v>
      </c>
      <c r="F86" s="305" t="s">
        <v>302</v>
      </c>
      <c r="G86" s="305" t="n">
        <v>88272</v>
      </c>
      <c r="H86" s="307"/>
      <c r="I86" s="308" t="n">
        <v>43748</v>
      </c>
      <c r="J86" s="309" t="n">
        <v>4.61643835616438</v>
      </c>
      <c r="K86" s="308" t="n">
        <v>45203</v>
      </c>
      <c r="L86" s="310" t="n">
        <v>62.2</v>
      </c>
      <c r="M86" s="310" t="n">
        <v>3.25</v>
      </c>
      <c r="N86" s="310" t="n">
        <v>3</v>
      </c>
      <c r="O86" s="311" t="n">
        <v>230</v>
      </c>
      <c r="P86" s="312" t="n">
        <v>337</v>
      </c>
      <c r="Q86" s="312" t="n">
        <v>2890</v>
      </c>
      <c r="R86" s="312" t="n">
        <v>2610</v>
      </c>
      <c r="S86" s="312" t="n">
        <v>2414</v>
      </c>
      <c r="T86" s="312" t="n">
        <v>1861</v>
      </c>
      <c r="U86" s="312" t="n">
        <v>1680</v>
      </c>
      <c r="V86" s="312" t="n">
        <v>1372</v>
      </c>
      <c r="W86" s="313" t="n">
        <v>-93</v>
      </c>
      <c r="X86" s="314" t="n">
        <f aca="false">EXP(0.585+(0.102*J86)+(0.007*P86)-(0.001*V86)+(0.008*O86)-2.723)</f>
        <v>3.18954002091344</v>
      </c>
      <c r="Y86" s="314" t="n">
        <f aca="false">(X86/(1+X86))</f>
        <v>0.761310312108686</v>
      </c>
      <c r="Z86" s="314" t="n">
        <f aca="false">EXP(1.741+(0.011*P86)-(0.002*V86)+(0.275*J86)-1.952)</f>
        <v>7.54979603712133</v>
      </c>
      <c r="AA86" s="314" t="n">
        <f aca="false">(Z86/(1+Z86))</f>
        <v>0.883038145511516</v>
      </c>
      <c r="AB86" s="304" t="n">
        <v>57</v>
      </c>
      <c r="AC86" s="273" t="n">
        <v>58</v>
      </c>
      <c r="AD86" s="315"/>
      <c r="AE86" s="315"/>
      <c r="AF86" s="315"/>
      <c r="AG86" s="317" t="n">
        <v>45435.1253819445</v>
      </c>
      <c r="AH86" s="317" t="n">
        <v>45435.1268055556</v>
      </c>
      <c r="AI86" s="309" t="n">
        <f aca="false">(AH86-AG86)*24</f>
        <v>0.0341666666666667</v>
      </c>
      <c r="AJ86" s="318" t="n">
        <v>1</v>
      </c>
      <c r="AK86" s="315"/>
      <c r="AL86" s="315"/>
      <c r="AM86" s="315"/>
      <c r="AN86" s="318"/>
      <c r="AO86" s="318" t="n">
        <f aca="false">(AG86-$AO$7)*24</f>
        <v>43.5091666666667</v>
      </c>
      <c r="AP86" s="318" t="n">
        <f aca="false">AO86+35</f>
        <v>78.5091666666667</v>
      </c>
      <c r="AQ86" s="273" t="n">
        <v>3</v>
      </c>
      <c r="AR86" s="273" t="n">
        <v>1</v>
      </c>
      <c r="AS86" s="273" t="s">
        <v>815</v>
      </c>
      <c r="AT86" s="275" t="n">
        <v>45435.625</v>
      </c>
      <c r="AU86" s="276" t="s">
        <v>811</v>
      </c>
      <c r="AV86" s="19"/>
      <c r="AW86" s="277"/>
      <c r="AX86" s="277"/>
      <c r="AY86" s="277"/>
      <c r="AZ86" s="354"/>
      <c r="BA86" s="354"/>
      <c r="BB86" s="279"/>
      <c r="BC86" s="280"/>
      <c r="BD86" s="277"/>
      <c r="BE86" s="277"/>
      <c r="BF86" s="277"/>
      <c r="BG86" s="280"/>
      <c r="BH86" s="19"/>
      <c r="BI86" s="19"/>
      <c r="BJ86" s="260" t="n">
        <v>1</v>
      </c>
      <c r="BK86" s="273" t="n">
        <v>1</v>
      </c>
      <c r="BL86" s="273"/>
      <c r="BM86" s="273" t="s">
        <v>812</v>
      </c>
      <c r="BN86" s="281" t="s">
        <v>819</v>
      </c>
      <c r="BO86" s="273" t="n">
        <v>1</v>
      </c>
      <c r="BP86" s="265" t="n">
        <v>45581</v>
      </c>
      <c r="BQ86" s="282" t="n">
        <f aca="false">AT86+145</f>
        <v>45580.625</v>
      </c>
      <c r="BR86" s="283" t="n">
        <f aca="false">BP86-AT86</f>
        <v>145.375</v>
      </c>
      <c r="BS86" s="283" t="s">
        <v>35</v>
      </c>
      <c r="BT86" s="281" t="s">
        <v>819</v>
      </c>
      <c r="BU86" s="284" t="n">
        <v>0.50819</v>
      </c>
      <c r="BV86" s="284" t="n">
        <v>5.1388</v>
      </c>
      <c r="BW86" s="284" t="n">
        <v>1.153</v>
      </c>
      <c r="BX86" s="284" t="n">
        <v>1.0386</v>
      </c>
      <c r="BY86" s="284" t="n">
        <v>0.97356</v>
      </c>
      <c r="BZ86" s="284" t="n">
        <v>0.77381</v>
      </c>
      <c r="CA86" s="284" t="n">
        <v>1.5939</v>
      </c>
      <c r="CB86" s="284" t="n">
        <v>2.3473</v>
      </c>
      <c r="CC86" s="284" t="n">
        <v>3.6696</v>
      </c>
      <c r="CD86" s="284" t="n">
        <v>3.7223</v>
      </c>
      <c r="CE86" s="284" t="n">
        <v>4.3868</v>
      </c>
      <c r="CF86" s="325" t="s">
        <v>55</v>
      </c>
      <c r="CG86" s="327" t="s">
        <v>815</v>
      </c>
      <c r="CH86" s="325" t="s">
        <v>55</v>
      </c>
      <c r="CI86" s="326" t="s">
        <v>815</v>
      </c>
      <c r="CJ86" s="289" t="n">
        <v>0.751853333333333</v>
      </c>
      <c r="CK86" s="290" t="n">
        <v>0.233460661854055</v>
      </c>
      <c r="CL86" s="290" t="n">
        <v>1.21877465704144</v>
      </c>
      <c r="CM86" s="325" t="s">
        <v>55</v>
      </c>
      <c r="CN86" s="327" t="s">
        <v>815</v>
      </c>
      <c r="CO86" s="291" t="s">
        <v>816</v>
      </c>
      <c r="CP86" s="285" t="s">
        <v>810</v>
      </c>
      <c r="CQ86" s="292" t="n">
        <v>4</v>
      </c>
      <c r="CR86" s="333" t="n">
        <v>60</v>
      </c>
      <c r="CS86" s="294" t="n">
        <f aca="false">$CS$7+(CR86/24)</f>
        <v>45435.75</v>
      </c>
      <c r="CT86" s="295" t="n">
        <v>1.5</v>
      </c>
      <c r="CU86" s="296" t="n">
        <v>0.22459</v>
      </c>
      <c r="CV86" s="297" t="n">
        <f aca="false">(CS86-AG86)*24</f>
        <v>14.9908333333333</v>
      </c>
      <c r="CW86" s="281" t="s">
        <v>819</v>
      </c>
      <c r="CX86" s="320" t="n">
        <f aca="false">(AT86-CS86)*24</f>
        <v>-3</v>
      </c>
      <c r="CY86" s="299" t="s">
        <v>812</v>
      </c>
      <c r="CZ86" s="260" t="s">
        <v>192</v>
      </c>
      <c r="DA86" s="304" t="n">
        <v>57</v>
      </c>
      <c r="DB86" s="306" t="s">
        <v>300</v>
      </c>
    </row>
    <row r="87" customFormat="false" ht="15.75" hidden="false" customHeight="true" outlineLevel="0" collapsed="false">
      <c r="A87" s="273" t="s">
        <v>192</v>
      </c>
      <c r="B87" s="304" t="n">
        <v>58</v>
      </c>
      <c r="C87" s="305" t="n">
        <v>16262702490</v>
      </c>
      <c r="D87" s="306" t="s">
        <v>471</v>
      </c>
      <c r="E87" s="306" t="s">
        <v>472</v>
      </c>
      <c r="F87" s="305" t="s">
        <v>473</v>
      </c>
      <c r="G87" s="305" t="n">
        <v>89440</v>
      </c>
      <c r="H87" s="307"/>
      <c r="I87" s="308" t="n">
        <v>43748</v>
      </c>
      <c r="J87" s="309" t="n">
        <v>4.61643835616438</v>
      </c>
      <c r="K87" s="308" t="n">
        <v>45225</v>
      </c>
      <c r="L87" s="310" t="n">
        <v>63.2</v>
      </c>
      <c r="M87" s="310" t="n">
        <v>3</v>
      </c>
      <c r="N87" s="310" t="n">
        <v>3</v>
      </c>
      <c r="O87" s="311" t="n">
        <v>208</v>
      </c>
      <c r="P87" s="312" t="n">
        <v>269</v>
      </c>
      <c r="Q87" s="312" t="n">
        <v>0</v>
      </c>
      <c r="R87" s="312" t="n">
        <v>2175</v>
      </c>
      <c r="S87" s="312" t="n">
        <v>2414</v>
      </c>
      <c r="T87" s="312" t="n">
        <v>2256</v>
      </c>
      <c r="U87" s="312" t="n">
        <v>2100</v>
      </c>
      <c r="V87" s="312" t="n">
        <v>1687</v>
      </c>
      <c r="W87" s="313" t="n">
        <v>0</v>
      </c>
      <c r="X87" s="314" t="n">
        <f aca="false">EXP(0.585+(0.102*J87)+(0.007*P87)-(0.001*V87)+(0.008*O87)-2.723)</f>
        <v>1.21273326924147</v>
      </c>
      <c r="Y87" s="314" t="n">
        <f aca="false">(X87/(1+X87))</f>
        <v>0.548070246920089</v>
      </c>
      <c r="Z87" s="314" t="n">
        <f aca="false">EXP(1.741+(0.011*P87)-(0.002*V87)+(0.275*J87)-1.952)</f>
        <v>1.90316929770838</v>
      </c>
      <c r="AA87" s="314" t="n">
        <f aca="false">(Z87/(1+Z87))</f>
        <v>0.65554885111614</v>
      </c>
      <c r="AB87" s="304" t="n">
        <v>58</v>
      </c>
      <c r="AC87" s="273" t="n">
        <v>76</v>
      </c>
      <c r="AD87" s="315"/>
      <c r="AE87" s="315"/>
      <c r="AF87" s="315"/>
      <c r="AG87" s="382" t="n">
        <v>45435.7987152778</v>
      </c>
      <c r="AH87" s="382" t="n">
        <v>45435.7987152778</v>
      </c>
      <c r="AI87" s="309" t="n">
        <f aca="false">(AH87-AG87)*24</f>
        <v>0</v>
      </c>
      <c r="AJ87" s="318" t="n">
        <v>1</v>
      </c>
      <c r="AK87" s="315"/>
      <c r="AL87" s="315"/>
      <c r="AM87" s="315"/>
      <c r="AN87" s="318"/>
      <c r="AO87" s="318" t="n">
        <f aca="false">(AG87-$AO$7)*24</f>
        <v>59.6691666666667</v>
      </c>
      <c r="AP87" s="318" t="n">
        <f aca="false">AO87+35</f>
        <v>94.6691666666667</v>
      </c>
      <c r="AQ87" s="273" t="n">
        <v>1</v>
      </c>
      <c r="AR87" s="273" t="n">
        <v>1</v>
      </c>
      <c r="AS87" s="272" t="s">
        <v>810</v>
      </c>
      <c r="AT87" s="275" t="n">
        <v>45435.625</v>
      </c>
      <c r="AU87" s="319" t="s">
        <v>824</v>
      </c>
      <c r="AV87" s="19"/>
      <c r="AW87" s="277"/>
      <c r="AX87" s="277"/>
      <c r="AY87" s="277"/>
      <c r="AZ87" s="354"/>
      <c r="BA87" s="354"/>
      <c r="BB87" s="279"/>
      <c r="BC87" s="280"/>
      <c r="BD87" s="277"/>
      <c r="BE87" s="277"/>
      <c r="BF87" s="277"/>
      <c r="BG87" s="280"/>
      <c r="BH87" s="19"/>
      <c r="BI87" s="19"/>
      <c r="BJ87" s="260" t="n">
        <v>1</v>
      </c>
      <c r="BK87" s="273" t="n">
        <v>1</v>
      </c>
      <c r="BL87" s="273"/>
      <c r="BM87" s="273" t="s">
        <v>812</v>
      </c>
      <c r="BN87" s="281" t="s">
        <v>840</v>
      </c>
      <c r="BO87" s="273" t="n">
        <v>1</v>
      </c>
      <c r="BP87" s="265" t="n">
        <v>45586</v>
      </c>
      <c r="BQ87" s="282" t="n">
        <f aca="false">AT87+145</f>
        <v>45580.625</v>
      </c>
      <c r="BR87" s="283" t="n">
        <f aca="false">BP87-AT87</f>
        <v>150.375</v>
      </c>
      <c r="BS87" s="283" t="s">
        <v>35</v>
      </c>
      <c r="BT87" s="281" t="s">
        <v>840</v>
      </c>
      <c r="BU87" s="284" t="n">
        <v>0.2</v>
      </c>
      <c r="BV87" s="284" t="n">
        <v>0.2</v>
      </c>
      <c r="BW87" s="284" t="n">
        <v>0.2</v>
      </c>
      <c r="BX87" s="284" t="n">
        <v>0.2</v>
      </c>
      <c r="BY87" s="284" t="n">
        <v>0.2</v>
      </c>
      <c r="BZ87" s="284" t="n">
        <v>0.2</v>
      </c>
      <c r="CA87" s="284" t="n">
        <v>0.2</v>
      </c>
      <c r="CB87" s="284" t="n">
        <v>0.2</v>
      </c>
      <c r="CC87" s="331" t="n">
        <v>0.52745</v>
      </c>
      <c r="CD87" s="331" t="n">
        <v>1.0862</v>
      </c>
      <c r="CE87" s="331" t="n">
        <v>0.61913</v>
      </c>
      <c r="CF87" s="285" t="s">
        <v>814</v>
      </c>
      <c r="CG87" s="332" t="s">
        <v>810</v>
      </c>
      <c r="CH87" s="285" t="s">
        <v>814</v>
      </c>
      <c r="CI87" s="288" t="s">
        <v>815</v>
      </c>
      <c r="CJ87" s="289" t="n">
        <v>0.2</v>
      </c>
      <c r="CK87" s="290" t="n">
        <v>0</v>
      </c>
      <c r="CL87" s="290" t="n">
        <v>0.5</v>
      </c>
      <c r="CM87" s="285" t="s">
        <v>814</v>
      </c>
      <c r="CN87" s="286" t="s">
        <v>815</v>
      </c>
      <c r="CO87" s="291" t="s">
        <v>822</v>
      </c>
      <c r="CP87" s="285" t="s">
        <v>810</v>
      </c>
      <c r="CQ87" s="292" t="n">
        <v>6</v>
      </c>
      <c r="CR87" s="293" t="n">
        <v>48</v>
      </c>
      <c r="CS87" s="294" t="n">
        <f aca="false">$CS$7+(CR87/24)</f>
        <v>45435.25</v>
      </c>
      <c r="CT87" s="295" t="n">
        <v>1.5</v>
      </c>
      <c r="CU87" s="296" t="n">
        <v>0.19941</v>
      </c>
      <c r="CV87" s="297" t="n">
        <f aca="false">(CS87-AG87)*24</f>
        <v>-13.1691666667106</v>
      </c>
      <c r="CW87" s="281" t="s">
        <v>819</v>
      </c>
      <c r="CX87" s="320" t="n">
        <f aca="false">(AT87-CS87)*24</f>
        <v>9</v>
      </c>
      <c r="CY87" s="299" t="s">
        <v>812</v>
      </c>
      <c r="CZ87" s="260" t="s">
        <v>192</v>
      </c>
      <c r="DA87" s="304" t="n">
        <v>58</v>
      </c>
      <c r="DB87" s="306" t="s">
        <v>471</v>
      </c>
    </row>
    <row r="88" customFormat="false" ht="15.75" hidden="false" customHeight="true" outlineLevel="0" collapsed="false">
      <c r="A88" s="273" t="s">
        <v>192</v>
      </c>
      <c r="B88" s="304" t="n">
        <v>59</v>
      </c>
      <c r="C88" s="305" t="n">
        <v>16262702502</v>
      </c>
      <c r="D88" s="306" t="s">
        <v>436</v>
      </c>
      <c r="E88" s="306" t="s">
        <v>437</v>
      </c>
      <c r="F88" s="305" t="s">
        <v>438</v>
      </c>
      <c r="G88" s="305" t="n">
        <v>88763</v>
      </c>
      <c r="H88" s="307"/>
      <c r="I88" s="308" t="n">
        <v>43748</v>
      </c>
      <c r="J88" s="309" t="n">
        <v>4.61643835616438</v>
      </c>
      <c r="K88" s="308" t="n">
        <v>45207</v>
      </c>
      <c r="L88" s="310" t="n">
        <v>65.4</v>
      </c>
      <c r="M88" s="310" t="n">
        <v>2.75</v>
      </c>
      <c r="N88" s="310" t="n">
        <v>2.75</v>
      </c>
      <c r="O88" s="311" t="n">
        <v>226</v>
      </c>
      <c r="P88" s="312" t="n">
        <v>374</v>
      </c>
      <c r="Q88" s="312" t="n">
        <v>3307</v>
      </c>
      <c r="R88" s="312" t="n">
        <v>2378</v>
      </c>
      <c r="S88" s="312" t="n">
        <v>2044</v>
      </c>
      <c r="T88" s="312" t="n">
        <v>1607</v>
      </c>
      <c r="U88" s="312" t="n">
        <v>1316</v>
      </c>
      <c r="V88" s="312" t="n">
        <v>1058</v>
      </c>
      <c r="W88" s="313" t="n">
        <v>0</v>
      </c>
      <c r="X88" s="314" t="n">
        <f aca="false">EXP(0.585+(0.102*J88)+(0.007*P88)-(0.001*V88)+(0.008*O88)-2.723)</f>
        <v>5.47874857321252</v>
      </c>
      <c r="Y88" s="314" t="n">
        <f aca="false">(X88/(1+X88))</f>
        <v>0.845649203901095</v>
      </c>
      <c r="Z88" s="314" t="n">
        <f aca="false">EXP(1.741+(0.011*P88)-(0.002*V88)+(0.275*J88)-1.952)</f>
        <v>21.2534779017901</v>
      </c>
      <c r="AA88" s="314" t="n">
        <f aca="false">(Z88/(1+Z88))</f>
        <v>0.955063203854551</v>
      </c>
      <c r="AB88" s="304" t="n">
        <v>59</v>
      </c>
      <c r="AC88" s="273" t="n">
        <v>61</v>
      </c>
      <c r="AD88" s="315"/>
      <c r="AE88" s="315"/>
      <c r="AF88" s="315"/>
      <c r="AG88" s="317" t="n">
        <v>45435.2347685185</v>
      </c>
      <c r="AH88" s="317" t="n">
        <v>45435.2347685185</v>
      </c>
      <c r="AI88" s="309" t="n">
        <f aca="false">(AH88-AG88)*24</f>
        <v>0</v>
      </c>
      <c r="AJ88" s="318" t="n">
        <v>1</v>
      </c>
      <c r="AK88" s="315"/>
      <c r="AL88" s="315"/>
      <c r="AM88" s="315"/>
      <c r="AN88" s="318"/>
      <c r="AO88" s="318" t="n">
        <f aca="false">(AG88-$AO$7)*24</f>
        <v>46.1344444444445</v>
      </c>
      <c r="AP88" s="318" t="n">
        <f aca="false">AO88+35</f>
        <v>81.1344444444445</v>
      </c>
      <c r="AQ88" s="273" t="n">
        <v>1</v>
      </c>
      <c r="AR88" s="273" t="n">
        <v>1</v>
      </c>
      <c r="AS88" s="273" t="s">
        <v>815</v>
      </c>
      <c r="AT88" s="275" t="n">
        <v>45435.625</v>
      </c>
      <c r="AU88" s="319" t="s">
        <v>838</v>
      </c>
      <c r="AV88" s="19"/>
      <c r="AW88" s="277"/>
      <c r="AX88" s="277"/>
      <c r="AY88" s="277"/>
      <c r="AZ88" s="354"/>
      <c r="BA88" s="354"/>
      <c r="BB88" s="279"/>
      <c r="BC88" s="280"/>
      <c r="BD88" s="277"/>
      <c r="BE88" s="277"/>
      <c r="BF88" s="277"/>
      <c r="BG88" s="280"/>
      <c r="BH88" s="19"/>
      <c r="BI88" s="19"/>
      <c r="BJ88" s="260" t="n">
        <v>1</v>
      </c>
      <c r="BK88" s="273" t="n">
        <v>2</v>
      </c>
      <c r="BL88" s="273"/>
      <c r="BM88" s="273" t="s">
        <v>812</v>
      </c>
      <c r="BN88" s="281" t="s">
        <v>819</v>
      </c>
      <c r="BO88" s="273"/>
      <c r="BP88" s="265" t="s">
        <v>843</v>
      </c>
      <c r="BQ88" s="282" t="n">
        <f aca="false">AT88+145</f>
        <v>45580.625</v>
      </c>
      <c r="BR88" s="283"/>
      <c r="BS88" s="265" t="s">
        <v>843</v>
      </c>
      <c r="BT88" s="281" t="s">
        <v>836</v>
      </c>
      <c r="BU88" s="284" t="n">
        <v>0.2</v>
      </c>
      <c r="BV88" s="284" t="n">
        <v>0.3485</v>
      </c>
      <c r="BW88" s="284" t="n">
        <v>0.2</v>
      </c>
      <c r="BX88" s="284" t="n">
        <v>0.2</v>
      </c>
      <c r="BY88" s="284" t="n">
        <v>0.2</v>
      </c>
      <c r="BZ88" s="284" t="n">
        <v>0.2</v>
      </c>
      <c r="CA88" s="284" t="n">
        <v>0.2</v>
      </c>
      <c r="CB88" s="284" t="n">
        <v>0.72253</v>
      </c>
      <c r="CC88" s="284" t="n">
        <v>1.4466</v>
      </c>
      <c r="CD88" s="284" t="n">
        <v>1.8345</v>
      </c>
      <c r="CE88" s="284" t="n">
        <v>1.8136</v>
      </c>
      <c r="CF88" s="285" t="s">
        <v>814</v>
      </c>
      <c r="CG88" s="286" t="s">
        <v>815</v>
      </c>
      <c r="CH88" s="285" t="s">
        <v>814</v>
      </c>
      <c r="CI88" s="288" t="s">
        <v>815</v>
      </c>
      <c r="CJ88" s="289" t="n">
        <v>0.22475</v>
      </c>
      <c r="CK88" s="290" t="n">
        <v>0.0606248711338838</v>
      </c>
      <c r="CL88" s="290" t="n">
        <v>0.345999742267768</v>
      </c>
      <c r="CM88" s="285" t="s">
        <v>814</v>
      </c>
      <c r="CN88" s="286" t="s">
        <v>815</v>
      </c>
      <c r="CO88" s="291" t="s">
        <v>816</v>
      </c>
      <c r="CP88" s="285" t="s">
        <v>810</v>
      </c>
      <c r="CQ88" s="292" t="n">
        <v>5</v>
      </c>
      <c r="CR88" s="293" t="n">
        <v>48</v>
      </c>
      <c r="CS88" s="294" t="n">
        <f aca="false">$CS$7+(CR88/24)</f>
        <v>45435.25</v>
      </c>
      <c r="CT88" s="295" t="n">
        <v>1.5</v>
      </c>
      <c r="CU88" s="296" t="n">
        <v>0.31803</v>
      </c>
      <c r="CV88" s="297" t="n">
        <f aca="false">(CS88-AG88)*24</f>
        <v>0.365555555555556</v>
      </c>
      <c r="CW88" s="281" t="s">
        <v>819</v>
      </c>
      <c r="CX88" s="320" t="n">
        <f aca="false">(AT88-CS88)*24</f>
        <v>9</v>
      </c>
      <c r="CY88" s="299" t="s">
        <v>812</v>
      </c>
      <c r="CZ88" s="260" t="s">
        <v>192</v>
      </c>
      <c r="DA88" s="304" t="n">
        <v>59</v>
      </c>
      <c r="DB88" s="306" t="s">
        <v>436</v>
      </c>
    </row>
    <row r="89" customFormat="false" ht="15.75" hidden="false" customHeight="true" outlineLevel="0" collapsed="false">
      <c r="A89" s="273" t="s">
        <v>192</v>
      </c>
      <c r="B89" s="304" t="n">
        <v>61</v>
      </c>
      <c r="C89" s="305" t="n">
        <v>16262702531</v>
      </c>
      <c r="D89" s="306" t="s">
        <v>477</v>
      </c>
      <c r="E89" s="306" t="s">
        <v>478</v>
      </c>
      <c r="F89" s="305" t="s">
        <v>479</v>
      </c>
      <c r="G89" s="305" t="n">
        <v>89276</v>
      </c>
      <c r="H89" s="307"/>
      <c r="I89" s="308" t="n">
        <v>43748</v>
      </c>
      <c r="J89" s="309" t="n">
        <v>4.61643835616438</v>
      </c>
      <c r="K89" s="308" t="n">
        <v>45207</v>
      </c>
      <c r="L89" s="310" t="n">
        <v>75.6</v>
      </c>
      <c r="M89" s="310" t="n">
        <v>4</v>
      </c>
      <c r="N89" s="310" t="n">
        <v>3.75</v>
      </c>
      <c r="O89" s="311" t="n">
        <v>226</v>
      </c>
      <c r="P89" s="312" t="n">
        <v>282</v>
      </c>
      <c r="Q89" s="312" t="n">
        <v>2026</v>
      </c>
      <c r="R89" s="312" t="n">
        <v>1769</v>
      </c>
      <c r="S89" s="312" t="n">
        <v>1704</v>
      </c>
      <c r="T89" s="312" t="n">
        <v>1551</v>
      </c>
      <c r="U89" s="312" t="n">
        <v>1792</v>
      </c>
      <c r="V89" s="312" t="n">
        <v>1144</v>
      </c>
      <c r="W89" s="313" t="n">
        <v>-230</v>
      </c>
      <c r="X89" s="314" t="n">
        <f aca="false">EXP(1.204+(0.102*J89)+(0.007*P89)-(0.001*V89)+(0.008*O89)-2.723)</f>
        <v>4.90314439380753</v>
      </c>
      <c r="Y89" s="314" t="n">
        <f aca="false">(X89/(1+X89))</f>
        <v>0.830598756647557</v>
      </c>
      <c r="Z89" s="314" t="n">
        <f aca="false">EXP(2.859+(0.011*P89)-(0.002*V89)+(0.275*J89)-1.952)</f>
        <v>19.8960366374056</v>
      </c>
      <c r="AA89" s="314" t="n">
        <f aca="false">(Z89/(1+Z89))</f>
        <v>0.952144034902297</v>
      </c>
      <c r="AB89" s="304" t="n">
        <v>61</v>
      </c>
      <c r="AC89" s="273" t="n">
        <v>65</v>
      </c>
      <c r="AD89" s="315"/>
      <c r="AE89" s="315"/>
      <c r="AF89" s="315"/>
      <c r="AG89" s="316" t="n">
        <v>45435.4250347222</v>
      </c>
      <c r="AH89" s="316" t="n">
        <v>45435.6130555556</v>
      </c>
      <c r="AI89" s="309" t="n">
        <f aca="false">(AH89-AG89)*24</f>
        <v>4.5125</v>
      </c>
      <c r="AJ89" s="318" t="n">
        <v>4.51250000012806</v>
      </c>
      <c r="AK89" s="315"/>
      <c r="AL89" s="315"/>
      <c r="AM89" s="315"/>
      <c r="AN89" s="318"/>
      <c r="AO89" s="318" t="n">
        <f aca="false">(AG89-$AO$7)*24</f>
        <v>50.7008333333333</v>
      </c>
      <c r="AP89" s="318" t="n">
        <f aca="false">AO89+35</f>
        <v>85.7008333333333</v>
      </c>
      <c r="AQ89" s="273" t="n">
        <v>2</v>
      </c>
      <c r="AR89" s="273" t="n">
        <v>1</v>
      </c>
      <c r="AS89" s="273" t="s">
        <v>815</v>
      </c>
      <c r="AT89" s="275" t="n">
        <v>45435.625</v>
      </c>
      <c r="AU89" s="276" t="s">
        <v>811</v>
      </c>
      <c r="AV89" s="19" t="n">
        <v>65</v>
      </c>
      <c r="AW89" s="277"/>
      <c r="AX89" s="277"/>
      <c r="AY89" s="277"/>
      <c r="AZ89" s="278" t="n">
        <v>45447.8016550926</v>
      </c>
      <c r="BA89" s="278" t="n">
        <v>45447.8016550926</v>
      </c>
      <c r="BB89" s="279" t="n">
        <f aca="false">(BA89-AZ89)*24</f>
        <v>0</v>
      </c>
      <c r="BC89" s="280" t="n">
        <v>1</v>
      </c>
      <c r="BD89" s="277"/>
      <c r="BE89" s="277"/>
      <c r="BF89" s="277"/>
      <c r="BG89" s="280"/>
      <c r="BH89" s="19" t="n">
        <v>1</v>
      </c>
      <c r="BI89" s="19" t="n">
        <v>1</v>
      </c>
      <c r="BJ89" s="260" t="n">
        <v>1</v>
      </c>
      <c r="BK89" s="273" t="n">
        <v>1</v>
      </c>
      <c r="BL89" s="273"/>
      <c r="BM89" s="273" t="s">
        <v>812</v>
      </c>
      <c r="BN89" s="281" t="s">
        <v>819</v>
      </c>
      <c r="BO89" s="273" t="n">
        <v>1</v>
      </c>
      <c r="BP89" s="265" t="n">
        <v>45583</v>
      </c>
      <c r="BQ89" s="282" t="n">
        <f aca="false">AT89+145</f>
        <v>45580.625</v>
      </c>
      <c r="BR89" s="283" t="n">
        <f aca="false">BP89-AT89</f>
        <v>147.375</v>
      </c>
      <c r="BS89" s="283" t="s">
        <v>35</v>
      </c>
      <c r="BT89" s="281" t="s">
        <v>819</v>
      </c>
      <c r="BU89" s="284" t="n">
        <v>0.49529</v>
      </c>
      <c r="BV89" s="284" t="n">
        <v>1.9807</v>
      </c>
      <c r="BW89" s="284" t="n">
        <v>0.58367</v>
      </c>
      <c r="BX89" s="284" t="n">
        <v>0.62197</v>
      </c>
      <c r="BY89" s="284" t="n">
        <v>0.72582</v>
      </c>
      <c r="BZ89" s="284" t="n">
        <v>0.6898</v>
      </c>
      <c r="CA89" s="284" t="n">
        <v>0.4076</v>
      </c>
      <c r="CB89" s="284" t="n">
        <v>0.93696</v>
      </c>
      <c r="CC89" s="284" t="n">
        <v>1.4642</v>
      </c>
      <c r="CD89" s="284" t="n">
        <v>1.4204</v>
      </c>
      <c r="CE89" s="284" t="n">
        <v>1.9696</v>
      </c>
      <c r="CF89" s="325" t="s">
        <v>55</v>
      </c>
      <c r="CG89" s="327" t="s">
        <v>815</v>
      </c>
      <c r="CH89" s="325" t="s">
        <v>55</v>
      </c>
      <c r="CI89" s="326" t="s">
        <v>815</v>
      </c>
      <c r="CJ89" s="289" t="n">
        <v>0.62331</v>
      </c>
      <c r="CK89" s="290" t="n">
        <v>0.0906800223312719</v>
      </c>
      <c r="CL89" s="290" t="n">
        <v>0.804670044662544</v>
      </c>
      <c r="CM89" s="325" t="s">
        <v>55</v>
      </c>
      <c r="CN89" s="327" t="s">
        <v>815</v>
      </c>
      <c r="CO89" s="291" t="s">
        <v>816</v>
      </c>
      <c r="CP89" s="285" t="s">
        <v>810</v>
      </c>
      <c r="CQ89" s="292" t="n">
        <v>5</v>
      </c>
      <c r="CR89" s="333" t="n">
        <v>72</v>
      </c>
      <c r="CS89" s="294" t="n">
        <f aca="false">$CS$7+(CR89/24)</f>
        <v>45436.25</v>
      </c>
      <c r="CT89" s="295" t="n">
        <v>1</v>
      </c>
      <c r="CU89" s="296" t="n">
        <v>0.13532</v>
      </c>
      <c r="CV89" s="297" t="n">
        <f aca="false">(CS89-AG89)*24</f>
        <v>19.7991666666667</v>
      </c>
      <c r="CW89" s="281" t="s">
        <v>819</v>
      </c>
      <c r="CX89" s="320" t="n">
        <f aca="false">(AT89-CS89)*24</f>
        <v>-15</v>
      </c>
      <c r="CY89" s="299" t="s">
        <v>812</v>
      </c>
      <c r="CZ89" s="260" t="s">
        <v>192</v>
      </c>
      <c r="DA89" s="304" t="n">
        <v>61</v>
      </c>
      <c r="DB89" s="306" t="s">
        <v>477</v>
      </c>
    </row>
    <row r="90" customFormat="false" ht="15.75" hidden="false" customHeight="true" outlineLevel="0" collapsed="false">
      <c r="A90" s="273" t="s">
        <v>192</v>
      </c>
      <c r="B90" s="304" t="n">
        <v>62</v>
      </c>
      <c r="C90" s="305" t="n">
        <v>16262711131</v>
      </c>
      <c r="D90" s="306" t="s">
        <v>384</v>
      </c>
      <c r="E90" s="306" t="s">
        <v>385</v>
      </c>
      <c r="F90" s="305" t="s">
        <v>386</v>
      </c>
      <c r="G90" s="305" t="n">
        <v>88614</v>
      </c>
      <c r="H90" s="307"/>
      <c r="I90" s="308" t="n">
        <v>44112</v>
      </c>
      <c r="J90" s="309" t="n">
        <v>3.61917808219178</v>
      </c>
      <c r="K90" s="308" t="n">
        <v>45203</v>
      </c>
      <c r="L90" s="310" t="n">
        <v>56.2</v>
      </c>
      <c r="M90" s="310" t="n">
        <v>3</v>
      </c>
      <c r="N90" s="310" t="n">
        <v>3</v>
      </c>
      <c r="O90" s="311" t="n">
        <v>230</v>
      </c>
      <c r="P90" s="312" t="n">
        <v>296</v>
      </c>
      <c r="Q90" s="312" t="n">
        <v>2443</v>
      </c>
      <c r="R90" s="312" t="n">
        <v>1740</v>
      </c>
      <c r="S90" s="312" t="n">
        <v>1476</v>
      </c>
      <c r="T90" s="312" t="n">
        <v>2143</v>
      </c>
      <c r="U90" s="312" t="n">
        <v>1400</v>
      </c>
      <c r="V90" s="312" t="n">
        <v>1144</v>
      </c>
      <c r="W90" s="313" t="n">
        <v>0</v>
      </c>
      <c r="X90" s="314" t="n">
        <f aca="false">EXP(0.585+(0.102*J90)+(0.007*P90)-(0.001*V90)+(0.008*O90)-2.723)</f>
        <v>2.71598901295242</v>
      </c>
      <c r="Y90" s="314" t="n">
        <f aca="false">(X90/(1+X90))</f>
        <v>0.730892638133641</v>
      </c>
      <c r="Z90" s="314" t="n">
        <f aca="false">EXP(1.741+(0.011*P90)-(0.002*V90)+(0.275*J90)-1.952)</f>
        <v>5.76770337450009</v>
      </c>
      <c r="AA90" s="314" t="n">
        <f aca="false">(Z90/(1+Z90))</f>
        <v>0.852239386884496</v>
      </c>
      <c r="AB90" s="304" t="n">
        <v>62</v>
      </c>
      <c r="AC90" s="273" t="n">
        <v>68</v>
      </c>
      <c r="AD90" s="315"/>
      <c r="AE90" s="315"/>
      <c r="AF90" s="315"/>
      <c r="AG90" s="316" t="n">
        <v>45435.6290046296</v>
      </c>
      <c r="AH90" s="316" t="n">
        <v>45435.6290046296</v>
      </c>
      <c r="AI90" s="309" t="n">
        <f aca="false">(AH90-AG90)*24</f>
        <v>0</v>
      </c>
      <c r="AJ90" s="318" t="n">
        <v>1</v>
      </c>
      <c r="AK90" s="315"/>
      <c r="AL90" s="315"/>
      <c r="AM90" s="315"/>
      <c r="AN90" s="318"/>
      <c r="AO90" s="318" t="n">
        <f aca="false">(AG90-$AO$7)*24</f>
        <v>55.5961111111111</v>
      </c>
      <c r="AP90" s="318" t="n">
        <f aca="false">AO90+35</f>
        <v>90.5961111111111</v>
      </c>
      <c r="AQ90" s="273" t="n">
        <v>1</v>
      </c>
      <c r="AR90" s="273" t="n">
        <v>1</v>
      </c>
      <c r="AS90" s="273" t="s">
        <v>815</v>
      </c>
      <c r="AT90" s="275" t="n">
        <v>45435.625</v>
      </c>
      <c r="AU90" s="319" t="s">
        <v>818</v>
      </c>
      <c r="AV90" s="19"/>
      <c r="AW90" s="277"/>
      <c r="AX90" s="277"/>
      <c r="AY90" s="277"/>
      <c r="AZ90" s="278"/>
      <c r="BA90" s="278"/>
      <c r="BB90" s="279"/>
      <c r="BC90" s="280"/>
      <c r="BD90" s="277"/>
      <c r="BE90" s="277"/>
      <c r="BF90" s="277"/>
      <c r="BG90" s="280"/>
      <c r="BH90" s="19"/>
      <c r="BI90" s="19"/>
      <c r="BJ90" s="260" t="n">
        <v>1</v>
      </c>
      <c r="BK90" s="273" t="n">
        <v>1</v>
      </c>
      <c r="BL90" s="273"/>
      <c r="BM90" s="273" t="s">
        <v>812</v>
      </c>
      <c r="BN90" s="281" t="s">
        <v>819</v>
      </c>
      <c r="BO90" s="273" t="n">
        <v>1</v>
      </c>
      <c r="BP90" s="265" t="n">
        <v>45584</v>
      </c>
      <c r="BQ90" s="282" t="n">
        <f aca="false">AT90+145</f>
        <v>45580.625</v>
      </c>
      <c r="BR90" s="283" t="n">
        <f aca="false">BP90-AT90</f>
        <v>148.375</v>
      </c>
      <c r="BS90" s="283" t="s">
        <v>35</v>
      </c>
      <c r="BT90" s="281" t="s">
        <v>819</v>
      </c>
      <c r="BU90" s="284" t="n">
        <v>0.2</v>
      </c>
      <c r="BV90" s="284" t="n">
        <v>0.30362</v>
      </c>
      <c r="BW90" s="284" t="n">
        <v>0.2</v>
      </c>
      <c r="BX90" s="284" t="n">
        <v>0.2</v>
      </c>
      <c r="BY90" s="284" t="n">
        <v>0.2</v>
      </c>
      <c r="BZ90" s="284" t="n">
        <v>0.2</v>
      </c>
      <c r="CA90" s="284" t="n">
        <v>0.2</v>
      </c>
      <c r="CB90" s="284" t="n">
        <v>0.94759</v>
      </c>
      <c r="CC90" s="284" t="n">
        <v>0.7789</v>
      </c>
      <c r="CD90" s="284" t="n">
        <v>1.4954</v>
      </c>
      <c r="CE90" s="284" t="n">
        <v>1.7073</v>
      </c>
      <c r="CF90" s="285" t="s">
        <v>814</v>
      </c>
      <c r="CG90" s="286" t="s">
        <v>815</v>
      </c>
      <c r="CH90" s="285" t="s">
        <v>814</v>
      </c>
      <c r="CI90" s="288" t="s">
        <v>815</v>
      </c>
      <c r="CJ90" s="289" t="n">
        <v>0.21727</v>
      </c>
      <c r="CK90" s="290" t="n">
        <v>0.0423026878578657</v>
      </c>
      <c r="CL90" s="290" t="n">
        <v>0.301875375715731</v>
      </c>
      <c r="CM90" s="285" t="s">
        <v>814</v>
      </c>
      <c r="CN90" s="286" t="s">
        <v>815</v>
      </c>
      <c r="CO90" s="291" t="s">
        <v>816</v>
      </c>
      <c r="CP90" s="285" t="s">
        <v>810</v>
      </c>
      <c r="CQ90" s="292" t="n">
        <v>5</v>
      </c>
      <c r="CR90" s="293" t="n">
        <v>60</v>
      </c>
      <c r="CS90" s="294" t="n">
        <f aca="false">$CS$7+(CR90/24)</f>
        <v>45435.75</v>
      </c>
      <c r="CT90" s="295" t="n">
        <v>2</v>
      </c>
      <c r="CU90" s="296" t="n">
        <v>0.26504</v>
      </c>
      <c r="CV90" s="297" t="n">
        <f aca="false">(CS90-AG90)*24</f>
        <v>2.90388888888889</v>
      </c>
      <c r="CW90" s="281" t="s">
        <v>819</v>
      </c>
      <c r="CX90" s="320" t="n">
        <f aca="false">(AT90-CS90)*24</f>
        <v>-3</v>
      </c>
      <c r="CY90" s="299" t="s">
        <v>812</v>
      </c>
      <c r="CZ90" s="260" t="s">
        <v>192</v>
      </c>
      <c r="DA90" s="304" t="n">
        <v>62</v>
      </c>
      <c r="DB90" s="306" t="s">
        <v>384</v>
      </c>
    </row>
    <row r="91" customFormat="false" ht="15.75" hidden="false" customHeight="true" outlineLevel="0" collapsed="false">
      <c r="A91" s="273" t="s">
        <v>192</v>
      </c>
      <c r="B91" s="304" t="n">
        <v>65</v>
      </c>
      <c r="C91" s="305" t="n">
        <v>16262711172</v>
      </c>
      <c r="D91" s="306" t="s">
        <v>408</v>
      </c>
      <c r="E91" s="306" t="s">
        <v>409</v>
      </c>
      <c r="F91" s="305" t="s">
        <v>410</v>
      </c>
      <c r="G91" s="305" t="n">
        <v>88662</v>
      </c>
      <c r="H91" s="307" t="s">
        <v>411</v>
      </c>
      <c r="I91" s="308" t="n">
        <v>44114</v>
      </c>
      <c r="J91" s="309" t="n">
        <v>3.61369863013699</v>
      </c>
      <c r="K91" s="308" t="n">
        <v>45201</v>
      </c>
      <c r="L91" s="310" t="n">
        <v>67.6</v>
      </c>
      <c r="M91" s="310" t="n">
        <v>3</v>
      </c>
      <c r="N91" s="310" t="n">
        <v>3</v>
      </c>
      <c r="O91" s="311" t="n">
        <v>232</v>
      </c>
      <c r="P91" s="312" t="n">
        <v>343</v>
      </c>
      <c r="Q91" s="312" t="n">
        <v>1937</v>
      </c>
      <c r="R91" s="312" t="n">
        <v>2262</v>
      </c>
      <c r="S91" s="312" t="n">
        <v>1760</v>
      </c>
      <c r="T91" s="312" t="n">
        <v>1381</v>
      </c>
      <c r="U91" s="312" t="n">
        <v>1680</v>
      </c>
      <c r="V91" s="312" t="n">
        <v>1372</v>
      </c>
      <c r="W91" s="313" t="n">
        <v>0</v>
      </c>
      <c r="X91" s="314" t="n">
        <f aca="false">EXP(0.585+(0.102*J91)+(0.007*P91)-(0.001*V91)+(0.008*O91)-2.723)</f>
        <v>3.05139010913791</v>
      </c>
      <c r="Y91" s="314" t="n">
        <f aca="false">(X91/(1+X91))</f>
        <v>0.753171140506934</v>
      </c>
      <c r="Z91" s="314" t="n">
        <f aca="false">EXP(1.741+(0.011*P91)-(0.002*V91)+(0.275*J91)-1.952)</f>
        <v>6.1212548924311</v>
      </c>
      <c r="AA91" s="314" t="n">
        <f aca="false">(Z91/(1+Z91))</f>
        <v>0.859575311499823</v>
      </c>
      <c r="AB91" s="304" t="n">
        <v>65</v>
      </c>
      <c r="AC91" s="273"/>
      <c r="AD91" s="315"/>
      <c r="AE91" s="315"/>
      <c r="AF91" s="315"/>
      <c r="AG91" s="316"/>
      <c r="AH91" s="316"/>
      <c r="AI91" s="309"/>
      <c r="AJ91" s="318"/>
      <c r="AK91" s="315"/>
      <c r="AL91" s="315"/>
      <c r="AM91" s="315"/>
      <c r="AN91" s="318"/>
      <c r="AO91" s="318"/>
      <c r="AP91" s="318"/>
      <c r="AQ91" s="273"/>
      <c r="AR91" s="273"/>
      <c r="AS91" s="272" t="s">
        <v>810</v>
      </c>
      <c r="AT91" s="275" t="n">
        <v>45435.625</v>
      </c>
      <c r="AU91" s="319" t="s">
        <v>821</v>
      </c>
      <c r="AV91" s="19"/>
      <c r="AW91" s="277"/>
      <c r="AX91" s="277"/>
      <c r="AY91" s="277"/>
      <c r="AZ91" s="278"/>
      <c r="BA91" s="278"/>
      <c r="BB91" s="279"/>
      <c r="BC91" s="280"/>
      <c r="BD91" s="277"/>
      <c r="BE91" s="277"/>
      <c r="BF91" s="277"/>
      <c r="BG91" s="280"/>
      <c r="BH91" s="19"/>
      <c r="BI91" s="19"/>
      <c r="BJ91" s="260" t="n">
        <v>1</v>
      </c>
      <c r="BK91" s="273" t="n">
        <v>1</v>
      </c>
      <c r="BL91" s="273"/>
      <c r="BM91" s="273" t="s">
        <v>812</v>
      </c>
      <c r="BN91" s="281" t="s">
        <v>813</v>
      </c>
      <c r="BO91" s="273" t="n">
        <v>1</v>
      </c>
      <c r="BP91" s="265" t="n">
        <v>45580</v>
      </c>
      <c r="BQ91" s="282" t="n">
        <f aca="false">AT91+145</f>
        <v>45580.625</v>
      </c>
      <c r="BR91" s="283" t="n">
        <f aca="false">BP91-AT91</f>
        <v>144.375</v>
      </c>
      <c r="BS91" s="283" t="s">
        <v>35</v>
      </c>
      <c r="BT91" s="281" t="s">
        <v>813</v>
      </c>
      <c r="BU91" s="284" t="n">
        <v>0.2</v>
      </c>
      <c r="BV91" s="284" t="n">
        <v>0.2</v>
      </c>
      <c r="BW91" s="284" t="n">
        <v>0.2</v>
      </c>
      <c r="BX91" s="284" t="n">
        <v>0.2</v>
      </c>
      <c r="BY91" s="284" t="n">
        <v>0.2</v>
      </c>
      <c r="BZ91" s="284" t="n">
        <v>0.2</v>
      </c>
      <c r="CA91" s="284" t="n">
        <v>0.25</v>
      </c>
      <c r="CB91" s="284" t="n">
        <v>0.93524</v>
      </c>
      <c r="CC91" s="284" t="n">
        <v>1.3383</v>
      </c>
      <c r="CD91" s="284" t="n">
        <v>2.6677</v>
      </c>
      <c r="CE91" s="284" t="n">
        <v>2.629</v>
      </c>
      <c r="CF91" s="285" t="s">
        <v>814</v>
      </c>
      <c r="CG91" s="286" t="s">
        <v>815</v>
      </c>
      <c r="CH91" s="285" t="s">
        <v>814</v>
      </c>
      <c r="CI91" s="288" t="s">
        <v>815</v>
      </c>
      <c r="CJ91" s="289" t="n">
        <v>0.2</v>
      </c>
      <c r="CK91" s="290" t="n">
        <v>0</v>
      </c>
      <c r="CL91" s="290" t="n">
        <v>0.5</v>
      </c>
      <c r="CM91" s="285" t="s">
        <v>814</v>
      </c>
      <c r="CN91" s="286" t="s">
        <v>815</v>
      </c>
      <c r="CO91" s="291" t="s">
        <v>816</v>
      </c>
      <c r="CP91" s="285" t="s">
        <v>810</v>
      </c>
      <c r="CQ91" s="292" t="n">
        <v>5</v>
      </c>
      <c r="CR91" s="293" t="n">
        <v>48</v>
      </c>
      <c r="CS91" s="294" t="n">
        <f aca="false">$CS$7+(CR91/24)</f>
        <v>45435.25</v>
      </c>
      <c r="CT91" s="295" t="n">
        <v>2</v>
      </c>
      <c r="CU91" s="296" t="n">
        <v>0.45672</v>
      </c>
      <c r="CV91" s="297"/>
      <c r="CW91" s="281" t="s">
        <v>813</v>
      </c>
      <c r="CX91" s="320" t="n">
        <f aca="false">(AT91-CS91)*24</f>
        <v>9</v>
      </c>
      <c r="CY91" s="299" t="s">
        <v>812</v>
      </c>
      <c r="CZ91" s="260" t="s">
        <v>192</v>
      </c>
      <c r="DA91" s="304" t="n">
        <v>65</v>
      </c>
      <c r="DB91" s="306" t="s">
        <v>408</v>
      </c>
    </row>
    <row r="92" customFormat="false" ht="15.75" hidden="false" customHeight="true" outlineLevel="0" collapsed="false">
      <c r="A92" s="273" t="s">
        <v>192</v>
      </c>
      <c r="B92" s="304" t="n">
        <v>66</v>
      </c>
      <c r="C92" s="305" t="n">
        <v>16262711207</v>
      </c>
      <c r="D92" s="306" t="s">
        <v>439</v>
      </c>
      <c r="E92" s="306" t="s">
        <v>440</v>
      </c>
      <c r="F92" s="305" t="s">
        <v>441</v>
      </c>
      <c r="G92" s="305" t="n">
        <v>88777</v>
      </c>
      <c r="H92" s="307"/>
      <c r="I92" s="308" t="n">
        <v>44114</v>
      </c>
      <c r="J92" s="309" t="n">
        <v>3.61369863013699</v>
      </c>
      <c r="K92" s="308" t="n">
        <v>45205</v>
      </c>
      <c r="L92" s="310" t="n">
        <v>78.6</v>
      </c>
      <c r="M92" s="310" t="n">
        <v>3.5</v>
      </c>
      <c r="N92" s="310" t="n">
        <v>3.5</v>
      </c>
      <c r="O92" s="311" t="n">
        <v>228</v>
      </c>
      <c r="P92" s="312" t="n">
        <v>279</v>
      </c>
      <c r="Q92" s="312" t="n">
        <v>2652</v>
      </c>
      <c r="R92" s="312" t="n">
        <v>2117</v>
      </c>
      <c r="S92" s="312" t="n">
        <v>1704</v>
      </c>
      <c r="T92" s="312" t="n">
        <v>1269</v>
      </c>
      <c r="U92" s="312" t="n">
        <v>1120</v>
      </c>
      <c r="V92" s="312" t="n">
        <v>1315</v>
      </c>
      <c r="W92" s="313" t="n">
        <v>39</v>
      </c>
      <c r="X92" s="314" t="n">
        <f aca="false">EXP(1.204+(0.102*J92)+(0.007*P92)-(0.001*V92)+(0.008*O92)-2.723)</f>
        <v>3.71209816643729</v>
      </c>
      <c r="Y92" s="314" t="n">
        <f aca="false">(X92/(1+X92))</f>
        <v>0.787780312574414</v>
      </c>
      <c r="Z92" s="314" t="n">
        <f aca="false">EXP(2.859+(0.011*P92)-(0.002*V92)+(0.275*J92)-1.952)</f>
        <v>10.3788192959647</v>
      </c>
      <c r="AA92" s="314" t="n">
        <f aca="false">(Z92/(1+Z92))</f>
        <v>0.912117419743661</v>
      </c>
      <c r="AB92" s="304" t="n">
        <v>66</v>
      </c>
      <c r="AC92" s="273" t="n">
        <v>62</v>
      </c>
      <c r="AD92" s="315"/>
      <c r="AE92" s="315"/>
      <c r="AF92" s="315"/>
      <c r="AG92" s="317" t="n">
        <v>45435.2406944444</v>
      </c>
      <c r="AH92" s="317" t="n">
        <v>45435.2407060185</v>
      </c>
      <c r="AI92" s="309" t="n">
        <f aca="false">(AH92-AG92)*24</f>
        <v>0.000277777777777778</v>
      </c>
      <c r="AJ92" s="318" t="n">
        <v>1</v>
      </c>
      <c r="AK92" s="315"/>
      <c r="AL92" s="315"/>
      <c r="AM92" s="315"/>
      <c r="AN92" s="318"/>
      <c r="AO92" s="318" t="n">
        <f aca="false">(AG92-$AO$7)*24</f>
        <v>46.2766666666667</v>
      </c>
      <c r="AP92" s="318" t="n">
        <f aca="false">AO92+35</f>
        <v>81.2766666666667</v>
      </c>
      <c r="AQ92" s="273" t="n">
        <v>2</v>
      </c>
      <c r="AR92" s="273" t="n">
        <v>1</v>
      </c>
      <c r="AS92" s="273" t="s">
        <v>815</v>
      </c>
      <c r="AT92" s="275" t="n">
        <v>45435.625</v>
      </c>
      <c r="AU92" s="319" t="s">
        <v>838</v>
      </c>
      <c r="AV92" s="19"/>
      <c r="AW92" s="277"/>
      <c r="AX92" s="277"/>
      <c r="AY92" s="277"/>
      <c r="AZ92" s="278"/>
      <c r="BA92" s="278"/>
      <c r="BB92" s="279"/>
      <c r="BC92" s="280"/>
      <c r="BD92" s="277"/>
      <c r="BE92" s="277"/>
      <c r="BF92" s="277"/>
      <c r="BG92" s="280"/>
      <c r="BH92" s="19"/>
      <c r="BI92" s="19"/>
      <c r="BJ92" s="260" t="n">
        <v>1</v>
      </c>
      <c r="BK92" s="273" t="n">
        <v>2</v>
      </c>
      <c r="BL92" s="273"/>
      <c r="BM92" s="273" t="s">
        <v>812</v>
      </c>
      <c r="BN92" s="281" t="s">
        <v>819</v>
      </c>
      <c r="BO92" s="273" t="n">
        <v>2</v>
      </c>
      <c r="BP92" s="265" t="n">
        <v>45583</v>
      </c>
      <c r="BQ92" s="282" t="n">
        <f aca="false">AT92+145</f>
        <v>45580.625</v>
      </c>
      <c r="BR92" s="283" t="n">
        <f aca="false">BP92-AT92</f>
        <v>147.375</v>
      </c>
      <c r="BS92" s="283" t="s">
        <v>35</v>
      </c>
      <c r="BT92" s="281" t="s">
        <v>819</v>
      </c>
      <c r="BU92" s="284" t="n">
        <v>0.2</v>
      </c>
      <c r="BV92" s="284" t="n">
        <v>0.2</v>
      </c>
      <c r="BW92" s="284" t="n">
        <v>0.2</v>
      </c>
      <c r="BX92" s="284" t="n">
        <v>0.2</v>
      </c>
      <c r="BY92" s="284" t="n">
        <v>0.29044</v>
      </c>
      <c r="BZ92" s="284" t="n">
        <v>0.2</v>
      </c>
      <c r="CA92" s="284" t="n">
        <v>0.26795</v>
      </c>
      <c r="CB92" s="284" t="n">
        <v>1.0586</v>
      </c>
      <c r="CC92" s="284" t="n">
        <v>1.3262</v>
      </c>
      <c r="CD92" s="284" t="n">
        <v>2.1202</v>
      </c>
      <c r="CE92" s="284" t="n">
        <v>1.7128</v>
      </c>
      <c r="CF92" s="285" t="s">
        <v>814</v>
      </c>
      <c r="CG92" s="286" t="s">
        <v>815</v>
      </c>
      <c r="CH92" s="285" t="s">
        <v>814</v>
      </c>
      <c r="CI92" s="288" t="s">
        <v>815</v>
      </c>
      <c r="CJ92" s="289" t="n">
        <v>0.215073333333333</v>
      </c>
      <c r="CK92" s="290" t="n">
        <v>0.0369219753895518</v>
      </c>
      <c r="CL92" s="290" t="n">
        <v>0.288917284112437</v>
      </c>
      <c r="CM92" s="285" t="s">
        <v>814</v>
      </c>
      <c r="CN92" s="286" t="s">
        <v>815</v>
      </c>
      <c r="CO92" s="291" t="s">
        <v>816</v>
      </c>
      <c r="CP92" s="285" t="s">
        <v>810</v>
      </c>
      <c r="CQ92" s="292" t="n">
        <v>5</v>
      </c>
      <c r="CR92" s="293" t="n">
        <v>48</v>
      </c>
      <c r="CS92" s="294" t="n">
        <f aca="false">$CS$7+(CR92/24)</f>
        <v>45435.25</v>
      </c>
      <c r="CT92" s="295" t="n">
        <v>1.5</v>
      </c>
      <c r="CU92" s="296" t="n">
        <v>0.30736</v>
      </c>
      <c r="CV92" s="297" t="n">
        <f aca="false">(CS92-AG92)*24</f>
        <v>0.223333333333333</v>
      </c>
      <c r="CW92" s="281" t="s">
        <v>819</v>
      </c>
      <c r="CX92" s="320" t="n">
        <f aca="false">(AT92-CS92)*24</f>
        <v>9</v>
      </c>
      <c r="CY92" s="299" t="s">
        <v>812</v>
      </c>
      <c r="CZ92" s="260" t="s">
        <v>192</v>
      </c>
      <c r="DA92" s="304" t="n">
        <v>66</v>
      </c>
      <c r="DB92" s="306" t="s">
        <v>439</v>
      </c>
    </row>
    <row r="93" customFormat="false" ht="15.75" hidden="false" customHeight="true" outlineLevel="0" collapsed="false">
      <c r="A93" s="273" t="s">
        <v>192</v>
      </c>
      <c r="B93" s="304" t="n">
        <v>67</v>
      </c>
      <c r="C93" s="305" t="n">
        <v>16262711227</v>
      </c>
      <c r="D93" s="306" t="s">
        <v>483</v>
      </c>
      <c r="E93" s="306" t="s">
        <v>484</v>
      </c>
      <c r="F93" s="305" t="s">
        <v>485</v>
      </c>
      <c r="G93" s="305" t="n">
        <v>88995</v>
      </c>
      <c r="H93" s="307"/>
      <c r="I93" s="308" t="n">
        <v>44114</v>
      </c>
      <c r="J93" s="309" t="n">
        <v>3.61369863013699</v>
      </c>
      <c r="K93" s="308" t="n">
        <v>45205</v>
      </c>
      <c r="L93" s="310" t="n">
        <v>68.7</v>
      </c>
      <c r="M93" s="310" t="n">
        <v>3.75</v>
      </c>
      <c r="N93" s="310" t="n">
        <v>3.75</v>
      </c>
      <c r="O93" s="311" t="n">
        <v>228</v>
      </c>
      <c r="P93" s="312" t="n">
        <v>223</v>
      </c>
      <c r="Q93" s="312" t="n">
        <v>2235</v>
      </c>
      <c r="R93" s="312" t="n">
        <v>1305</v>
      </c>
      <c r="S93" s="312" t="n">
        <v>1278</v>
      </c>
      <c r="T93" s="312" t="n">
        <v>987</v>
      </c>
      <c r="U93" s="312" t="n">
        <v>616</v>
      </c>
      <c r="V93" s="312" t="n">
        <v>600</v>
      </c>
      <c r="W93" s="313" t="n">
        <v>-70</v>
      </c>
      <c r="X93" s="314" t="n">
        <f aca="false">EXP(1.204+(0.102*J93)+(0.007*P93)-(0.001*V93)+(0.008*O93)-2.723)</f>
        <v>5.12739257646014</v>
      </c>
      <c r="Y93" s="314" t="n">
        <f aca="false">(X93/(1+X93))</f>
        <v>0.836798444440831</v>
      </c>
      <c r="Z93" s="314" t="n">
        <f aca="false">EXP(2.859+(0.011*P93)-(0.002*V93)+(0.275*J93)-1.952)</f>
        <v>23.424140204977</v>
      </c>
      <c r="AA93" s="314" t="n">
        <f aca="false">(Z93/(1+Z93))</f>
        <v>0.959056900607039</v>
      </c>
      <c r="AB93" s="304" t="n">
        <v>67</v>
      </c>
      <c r="AC93" s="273"/>
      <c r="AD93" s="315"/>
      <c r="AE93" s="315"/>
      <c r="AF93" s="315"/>
      <c r="AG93" s="317"/>
      <c r="AH93" s="317"/>
      <c r="AI93" s="309"/>
      <c r="AJ93" s="318"/>
      <c r="AK93" s="315"/>
      <c r="AL93" s="315"/>
      <c r="AM93" s="315"/>
      <c r="AN93" s="318"/>
      <c r="AO93" s="318"/>
      <c r="AP93" s="318"/>
      <c r="AQ93" s="273"/>
      <c r="AR93" s="273"/>
      <c r="AS93" s="272" t="s">
        <v>810</v>
      </c>
      <c r="AT93" s="275" t="n">
        <v>45435.625</v>
      </c>
      <c r="AU93" s="319" t="s">
        <v>818</v>
      </c>
      <c r="AV93" s="19" t="n">
        <v>90</v>
      </c>
      <c r="AW93" s="278"/>
      <c r="AX93" s="354"/>
      <c r="AY93" s="277"/>
      <c r="AZ93" s="278" t="n">
        <v>45450.9187037037</v>
      </c>
      <c r="BA93" s="354" t="n">
        <v>45452.3809953704</v>
      </c>
      <c r="BB93" s="279" t="n">
        <f aca="false">(BA93-AZ93)*24</f>
        <v>35.095</v>
      </c>
      <c r="BC93" s="277" t="n">
        <v>35.0949999999139</v>
      </c>
      <c r="BD93" s="277"/>
      <c r="BE93" s="277"/>
      <c r="BF93" s="277"/>
      <c r="BG93" s="277"/>
      <c r="BH93" s="19" t="n">
        <v>30</v>
      </c>
      <c r="BI93" s="19" t="n">
        <v>1</v>
      </c>
      <c r="BJ93" s="260" t="n">
        <v>1</v>
      </c>
      <c r="BK93" s="273" t="n">
        <v>2</v>
      </c>
      <c r="BL93" s="273"/>
      <c r="BM93" s="273" t="s">
        <v>812</v>
      </c>
      <c r="BN93" s="281" t="s">
        <v>827</v>
      </c>
      <c r="BO93" s="273" t="n">
        <v>2</v>
      </c>
      <c r="BP93" s="265" t="n">
        <v>45599</v>
      </c>
      <c r="BQ93" s="282" t="n">
        <f aca="false">AT93+145</f>
        <v>45580.625</v>
      </c>
      <c r="BR93" s="283" t="n">
        <f aca="false">BP93-AT93</f>
        <v>163.375</v>
      </c>
      <c r="BS93" s="283" t="s">
        <v>106</v>
      </c>
      <c r="BT93" s="294" t="s">
        <v>827</v>
      </c>
      <c r="BU93" s="284" t="n">
        <v>1.4001</v>
      </c>
      <c r="BV93" s="284" t="n">
        <v>1.3587</v>
      </c>
      <c r="BW93" s="284" t="n">
        <v>0.35745</v>
      </c>
      <c r="BX93" s="284" t="n">
        <v>0.25</v>
      </c>
      <c r="BY93" s="284" t="n">
        <v>0.6182</v>
      </c>
      <c r="BZ93" s="284" t="n">
        <v>0.48051</v>
      </c>
      <c r="CA93" s="284" t="n">
        <v>0.79025</v>
      </c>
      <c r="CB93" s="284" t="n">
        <v>2.1383</v>
      </c>
      <c r="CC93" s="284" t="n">
        <v>2.3158</v>
      </c>
      <c r="CD93" s="284" t="n">
        <v>3.3449</v>
      </c>
      <c r="CE93" s="284" t="n">
        <v>3.0497</v>
      </c>
      <c r="CF93" s="285" t="s">
        <v>814</v>
      </c>
      <c r="CG93" s="286" t="s">
        <v>815</v>
      </c>
      <c r="CH93" s="325" t="s">
        <v>55</v>
      </c>
      <c r="CI93" s="326" t="s">
        <v>815</v>
      </c>
      <c r="CJ93" s="289" t="n">
        <v>0.42654</v>
      </c>
      <c r="CK93" s="290" t="n">
        <v>0.15873050137471</v>
      </c>
      <c r="CL93" s="290" t="n">
        <v>0.744001002749419</v>
      </c>
      <c r="CM93" s="325" t="s">
        <v>55</v>
      </c>
      <c r="CN93" s="327" t="s">
        <v>815</v>
      </c>
      <c r="CO93" s="291" t="s">
        <v>816</v>
      </c>
      <c r="CP93" s="285" t="s">
        <v>810</v>
      </c>
      <c r="CQ93" s="292" t="n">
        <v>4</v>
      </c>
      <c r="CR93" s="362"/>
      <c r="CS93" s="294"/>
      <c r="CT93" s="363"/>
      <c r="CU93" s="364"/>
      <c r="CV93" s="297"/>
      <c r="CW93" s="281" t="s">
        <v>819</v>
      </c>
      <c r="CX93" s="320"/>
      <c r="CY93" s="299" t="s">
        <v>812</v>
      </c>
      <c r="CZ93" s="260" t="s">
        <v>192</v>
      </c>
      <c r="DA93" s="304" t="n">
        <v>67</v>
      </c>
      <c r="DB93" s="306" t="s">
        <v>483</v>
      </c>
    </row>
    <row r="94" customFormat="false" ht="15.75" hidden="false" customHeight="true" outlineLevel="0" collapsed="false">
      <c r="A94" s="273" t="s">
        <v>192</v>
      </c>
      <c r="B94" s="304" t="n">
        <v>69</v>
      </c>
      <c r="C94" s="305" t="n">
        <v>16262711260</v>
      </c>
      <c r="D94" s="306" t="s">
        <v>486</v>
      </c>
      <c r="E94" s="306" t="s">
        <v>487</v>
      </c>
      <c r="F94" s="305" t="s">
        <v>488</v>
      </c>
      <c r="G94" s="305" t="n">
        <v>89226</v>
      </c>
      <c r="H94" s="307"/>
      <c r="I94" s="308" t="n">
        <v>44114</v>
      </c>
      <c r="J94" s="309" t="n">
        <v>3.61369863013699</v>
      </c>
      <c r="K94" s="308" t="n">
        <v>45222</v>
      </c>
      <c r="L94" s="310" t="n">
        <v>70.4</v>
      </c>
      <c r="M94" s="310" t="n">
        <v>3.5</v>
      </c>
      <c r="N94" s="310" t="n">
        <v>3.25</v>
      </c>
      <c r="O94" s="311" t="n">
        <v>211</v>
      </c>
      <c r="P94" s="312" t="n">
        <v>246</v>
      </c>
      <c r="Q94" s="312" t="n">
        <v>0</v>
      </c>
      <c r="R94" s="312" t="n">
        <v>2465</v>
      </c>
      <c r="S94" s="312" t="n">
        <v>2357</v>
      </c>
      <c r="T94" s="312" t="n">
        <v>1974</v>
      </c>
      <c r="U94" s="312" t="n">
        <v>1288</v>
      </c>
      <c r="V94" s="312" t="n">
        <v>1058</v>
      </c>
      <c r="W94" s="313" t="n">
        <v>-93</v>
      </c>
      <c r="X94" s="314" t="n">
        <f aca="false">EXP(1.204+(0.102*J94)+(0.007*P94)-(0.001*V94)+(0.008*O94)-2.723)</f>
        <v>3.32542425106617</v>
      </c>
      <c r="Y94" s="314" t="n">
        <f aca="false">(X94/(1+X94))</f>
        <v>0.768808805343543</v>
      </c>
      <c r="Z94" s="314" t="n">
        <f aca="false">EXP(2.859+(0.011*P94)-(0.002*V94)+(0.275*J94)-1.952)</f>
        <v>12.0705321560421</v>
      </c>
      <c r="AA94" s="314" t="n">
        <f aca="false">(Z94/(1+Z94))</f>
        <v>0.923492020978064</v>
      </c>
      <c r="AB94" s="304" t="n">
        <v>69</v>
      </c>
      <c r="AC94" s="273" t="n">
        <v>57</v>
      </c>
      <c r="AD94" s="315"/>
      <c r="AE94" s="315"/>
      <c r="AF94" s="315"/>
      <c r="AG94" s="317" t="n">
        <v>45435.1028356482</v>
      </c>
      <c r="AH94" s="316" t="n">
        <v>45435.9163425926</v>
      </c>
      <c r="AI94" s="309" t="n">
        <f aca="false">(AH94-AG94)*24</f>
        <v>19.5241666666667</v>
      </c>
      <c r="AJ94" s="318" t="n">
        <v>19.524166666728</v>
      </c>
      <c r="AK94" s="315"/>
      <c r="AL94" s="315"/>
      <c r="AM94" s="315"/>
      <c r="AN94" s="318"/>
      <c r="AO94" s="318" t="n">
        <f aca="false">(AG94-$AO$7)*24</f>
        <v>42.9680555555556</v>
      </c>
      <c r="AP94" s="318" t="n">
        <f aca="false">AO94+35</f>
        <v>77.9680555555556</v>
      </c>
      <c r="AQ94" s="273" t="n">
        <v>4</v>
      </c>
      <c r="AR94" s="273" t="n">
        <v>2</v>
      </c>
      <c r="AS94" s="273" t="s">
        <v>815</v>
      </c>
      <c r="AT94" s="275" t="n">
        <v>45435.625</v>
      </c>
      <c r="AU94" s="276" t="s">
        <v>811</v>
      </c>
      <c r="AV94" s="19" t="n">
        <v>57</v>
      </c>
      <c r="AW94" s="277"/>
      <c r="AX94" s="277"/>
      <c r="AY94" s="277"/>
      <c r="AZ94" s="278" t="n">
        <v>45453.9086111111</v>
      </c>
      <c r="BA94" s="278" t="n">
        <v>45454.3456481482</v>
      </c>
      <c r="BB94" s="279" t="n">
        <f aca="false">(BA94-AZ94)*24</f>
        <v>10.4888888888889</v>
      </c>
      <c r="BC94" s="280" t="n">
        <v>10.4888888889109</v>
      </c>
      <c r="BD94" s="277"/>
      <c r="BE94" s="277"/>
      <c r="BF94" s="277"/>
      <c r="BG94" s="280"/>
      <c r="BH94" s="19" t="n">
        <v>6</v>
      </c>
      <c r="BI94" s="19" t="n">
        <v>1</v>
      </c>
      <c r="BJ94" s="273" t="n">
        <v>0</v>
      </c>
      <c r="BK94" s="273"/>
      <c r="BL94" s="273" t="s">
        <v>826</v>
      </c>
      <c r="BM94" s="273" t="s">
        <v>106</v>
      </c>
      <c r="BN94" s="281" t="s">
        <v>819</v>
      </c>
      <c r="BO94" s="273" t="n">
        <v>2</v>
      </c>
      <c r="BP94" s="265" t="n">
        <v>45599</v>
      </c>
      <c r="BQ94" s="282" t="n">
        <f aca="false">AZ94+145</f>
        <v>45598.9086111111</v>
      </c>
      <c r="BR94" s="283" t="n">
        <f aca="false">BP94-AT94</f>
        <v>163.375</v>
      </c>
      <c r="BS94" s="283" t="s">
        <v>106</v>
      </c>
      <c r="BT94" s="281" t="s">
        <v>827</v>
      </c>
      <c r="BU94" s="284" t="n">
        <v>2.1141</v>
      </c>
      <c r="BV94" s="284" t="n">
        <v>0.2</v>
      </c>
      <c r="BW94" s="284" t="n">
        <v>0.2</v>
      </c>
      <c r="BX94" s="284" t="n">
        <v>0.34467</v>
      </c>
      <c r="BY94" s="284" t="n">
        <v>0.2</v>
      </c>
      <c r="BZ94" s="284" t="n">
        <v>0.2</v>
      </c>
      <c r="CA94" s="284" t="n">
        <v>0.2</v>
      </c>
      <c r="CB94" s="284" t="n">
        <v>0.2</v>
      </c>
      <c r="CC94" s="284" t="n">
        <v>0.37695</v>
      </c>
      <c r="CD94" s="284" t="n">
        <v>1.2862</v>
      </c>
      <c r="CE94" s="284" t="n">
        <v>1.0063</v>
      </c>
      <c r="CF94" s="325" t="s">
        <v>55</v>
      </c>
      <c r="CG94" s="367" t="s">
        <v>810</v>
      </c>
      <c r="CH94" s="325" t="s">
        <v>55</v>
      </c>
      <c r="CI94" s="326" t="s">
        <v>815</v>
      </c>
      <c r="CJ94" s="289" t="n">
        <v>0.228934</v>
      </c>
      <c r="CK94" s="290" t="n">
        <v>0.0646983908609791</v>
      </c>
      <c r="CL94" s="290" t="n">
        <v>0.358330781721958</v>
      </c>
      <c r="CM94" s="325" t="s">
        <v>55</v>
      </c>
      <c r="CN94" s="327" t="s">
        <v>815</v>
      </c>
      <c r="CO94" s="291" t="s">
        <v>823</v>
      </c>
      <c r="CP94" s="285" t="s">
        <v>810</v>
      </c>
      <c r="CQ94" s="292" t="n">
        <v>7</v>
      </c>
      <c r="CR94" s="333" t="n">
        <v>60</v>
      </c>
      <c r="CS94" s="294" t="n">
        <f aca="false">$CS$7+(CR94/24)</f>
        <v>45435.75</v>
      </c>
      <c r="CT94" s="295" t="n">
        <v>1</v>
      </c>
      <c r="CU94" s="296" t="n">
        <v>0.23259</v>
      </c>
      <c r="CV94" s="297" t="n">
        <f aca="false">(CS94-AG94)*24</f>
        <v>15.5319444444444</v>
      </c>
      <c r="CW94" s="281" t="s">
        <v>819</v>
      </c>
      <c r="CX94" s="320" t="n">
        <f aca="false">(AT94-CS94)*24</f>
        <v>-3</v>
      </c>
      <c r="CY94" s="338" t="s">
        <v>106</v>
      </c>
      <c r="CZ94" s="260" t="s">
        <v>192</v>
      </c>
      <c r="DA94" s="304" t="n">
        <v>69</v>
      </c>
      <c r="DB94" s="306" t="s">
        <v>486</v>
      </c>
    </row>
    <row r="95" customFormat="false" ht="15.75" hidden="false" customHeight="true" outlineLevel="0" collapsed="false">
      <c r="A95" s="273" t="s">
        <v>192</v>
      </c>
      <c r="B95" s="304" t="n">
        <v>71</v>
      </c>
      <c r="C95" s="305" t="n">
        <v>16262711282</v>
      </c>
      <c r="D95" s="306" t="s">
        <v>351</v>
      </c>
      <c r="E95" s="306" t="s">
        <v>352</v>
      </c>
      <c r="F95" s="305" t="s">
        <v>353</v>
      </c>
      <c r="G95" s="305" t="n">
        <v>88586</v>
      </c>
      <c r="H95" s="307"/>
      <c r="I95" s="308" t="n">
        <v>44115</v>
      </c>
      <c r="J95" s="309" t="n">
        <v>3.61095890410959</v>
      </c>
      <c r="K95" s="308" t="n">
        <v>45209</v>
      </c>
      <c r="L95" s="310" t="n">
        <v>57.8</v>
      </c>
      <c r="M95" s="310" t="n">
        <v>3</v>
      </c>
      <c r="N95" s="310" t="n">
        <v>3</v>
      </c>
      <c r="O95" s="311" t="n">
        <v>224</v>
      </c>
      <c r="P95" s="312" t="n">
        <v>255</v>
      </c>
      <c r="Q95" s="312" t="n">
        <v>2413</v>
      </c>
      <c r="R95" s="312" t="n">
        <v>2030</v>
      </c>
      <c r="S95" s="312" t="n">
        <v>1902</v>
      </c>
      <c r="T95" s="312" t="n">
        <v>1720</v>
      </c>
      <c r="U95" s="312" t="n">
        <v>1512</v>
      </c>
      <c r="V95" s="312" t="n">
        <v>1458</v>
      </c>
      <c r="W95" s="313" t="n">
        <v>25</v>
      </c>
      <c r="X95" s="314" t="n">
        <f aca="false">EXP(0.585+(0.102*J95)+(0.007*P95)-(0.001*V95)+(0.008*O95)-2.723)</f>
        <v>1.41809980250692</v>
      </c>
      <c r="Y95" s="314" t="n">
        <f aca="false">(X95/(1+X95))</f>
        <v>0.586452139418204</v>
      </c>
      <c r="Z95" s="314" t="n">
        <f aca="false">EXP(1.741+(0.011*P95)-(0.002*V95)+(0.275*J95)-1.952)</f>
        <v>1.95621933274259</v>
      </c>
      <c r="AA95" s="314" t="n">
        <f aca="false">(Z95/(1+Z95))</f>
        <v>0.661730106110812</v>
      </c>
      <c r="AB95" s="304" t="n">
        <v>71</v>
      </c>
      <c r="AC95" s="273"/>
      <c r="AD95" s="315"/>
      <c r="AE95" s="315"/>
      <c r="AF95" s="315"/>
      <c r="AG95" s="317"/>
      <c r="AH95" s="316"/>
      <c r="AI95" s="309"/>
      <c r="AJ95" s="318"/>
      <c r="AK95" s="315"/>
      <c r="AL95" s="315"/>
      <c r="AM95" s="315"/>
      <c r="AN95" s="318"/>
      <c r="AO95" s="318"/>
      <c r="AP95" s="318"/>
      <c r="AQ95" s="273"/>
      <c r="AR95" s="273"/>
      <c r="AS95" s="272" t="s">
        <v>810</v>
      </c>
      <c r="AT95" s="275" t="n">
        <v>45435.625</v>
      </c>
      <c r="AU95" s="319" t="s">
        <v>821</v>
      </c>
      <c r="AV95" s="19"/>
      <c r="AW95" s="277"/>
      <c r="AX95" s="277"/>
      <c r="AY95" s="277"/>
      <c r="AZ95" s="278"/>
      <c r="BA95" s="278"/>
      <c r="BB95" s="279"/>
      <c r="BC95" s="280"/>
      <c r="BD95" s="277"/>
      <c r="BE95" s="277"/>
      <c r="BF95" s="277"/>
      <c r="BG95" s="280"/>
      <c r="BH95" s="19"/>
      <c r="BI95" s="19"/>
      <c r="BJ95" s="260" t="n">
        <v>1</v>
      </c>
      <c r="BK95" s="273" t="n">
        <v>1</v>
      </c>
      <c r="BL95" s="273"/>
      <c r="BM95" s="273" t="s">
        <v>812</v>
      </c>
      <c r="BN95" s="281" t="s">
        <v>813</v>
      </c>
      <c r="BO95" s="273" t="n">
        <v>1</v>
      </c>
      <c r="BP95" s="265" t="n">
        <v>45580</v>
      </c>
      <c r="BQ95" s="282" t="n">
        <f aca="false">AT95+145</f>
        <v>45580.625</v>
      </c>
      <c r="BR95" s="283" t="n">
        <f aca="false">BP95-AT95</f>
        <v>144.375</v>
      </c>
      <c r="BS95" s="283" t="s">
        <v>35</v>
      </c>
      <c r="BT95" s="281" t="s">
        <v>813</v>
      </c>
      <c r="BU95" s="284" t="n">
        <v>0.2</v>
      </c>
      <c r="BV95" s="284" t="n">
        <v>0.2</v>
      </c>
      <c r="BW95" s="284" t="n">
        <v>0.2</v>
      </c>
      <c r="BX95" s="284" t="n">
        <v>0.2</v>
      </c>
      <c r="BY95" s="284" t="n">
        <v>0.2</v>
      </c>
      <c r="BZ95" s="284" t="n">
        <v>0.2</v>
      </c>
      <c r="CA95" s="284" t="n">
        <v>0.2</v>
      </c>
      <c r="CB95" s="284" t="n">
        <v>0.2</v>
      </c>
      <c r="CC95" s="331" t="n">
        <v>0.73592</v>
      </c>
      <c r="CD95" s="331" t="n">
        <v>0.64068</v>
      </c>
      <c r="CE95" s="331" t="n">
        <v>0.87085</v>
      </c>
      <c r="CF95" s="285" t="s">
        <v>814</v>
      </c>
      <c r="CG95" s="332" t="s">
        <v>810</v>
      </c>
      <c r="CH95" s="285" t="s">
        <v>814</v>
      </c>
      <c r="CI95" s="335" t="s">
        <v>810</v>
      </c>
      <c r="CJ95" s="289" t="n">
        <v>0.2</v>
      </c>
      <c r="CK95" s="290" t="n">
        <v>0</v>
      </c>
      <c r="CL95" s="290" t="n">
        <v>0.5</v>
      </c>
      <c r="CM95" s="285" t="s">
        <v>814</v>
      </c>
      <c r="CN95" s="336" t="s">
        <v>810</v>
      </c>
      <c r="CO95" s="291" t="s">
        <v>828</v>
      </c>
      <c r="CP95" s="285" t="s">
        <v>810</v>
      </c>
      <c r="CQ95" s="337"/>
      <c r="CR95" s="293" t="n">
        <v>72</v>
      </c>
      <c r="CS95" s="294" t="n">
        <f aca="false">$CS$7+(CR95/24)</f>
        <v>45436.25</v>
      </c>
      <c r="CT95" s="295" t="n">
        <v>1</v>
      </c>
      <c r="CU95" s="296" t="n">
        <v>0.45733</v>
      </c>
      <c r="CV95" s="297"/>
      <c r="CW95" s="281" t="s">
        <v>813</v>
      </c>
      <c r="CX95" s="320" t="n">
        <f aca="false">(AT95-CS95)*24</f>
        <v>-15</v>
      </c>
      <c r="CY95" s="299" t="s">
        <v>812</v>
      </c>
      <c r="CZ95" s="260" t="s">
        <v>192</v>
      </c>
      <c r="DA95" s="304" t="n">
        <v>71</v>
      </c>
      <c r="DB95" s="306" t="s">
        <v>351</v>
      </c>
    </row>
    <row r="96" customFormat="false" ht="15.75" hidden="false" customHeight="true" outlineLevel="0" collapsed="false">
      <c r="A96" s="273" t="s">
        <v>192</v>
      </c>
      <c r="B96" s="304" t="n">
        <v>75</v>
      </c>
      <c r="C96" s="305" t="n">
        <v>16262711420</v>
      </c>
      <c r="D96" s="306" t="s">
        <v>415</v>
      </c>
      <c r="E96" s="306" t="s">
        <v>416</v>
      </c>
      <c r="F96" s="305" t="s">
        <v>417</v>
      </c>
      <c r="G96" s="305" t="n">
        <v>88664</v>
      </c>
      <c r="H96" s="307"/>
      <c r="I96" s="308" t="n">
        <v>44116</v>
      </c>
      <c r="J96" s="309" t="n">
        <v>3.60821917808219</v>
      </c>
      <c r="K96" s="308" t="n">
        <v>45202</v>
      </c>
      <c r="L96" s="310" t="n">
        <v>83.9</v>
      </c>
      <c r="M96" s="310" t="n">
        <v>3.75</v>
      </c>
      <c r="N96" s="310" t="n">
        <v>3.75</v>
      </c>
      <c r="O96" s="311" t="n">
        <v>231</v>
      </c>
      <c r="P96" s="312" t="n">
        <v>278</v>
      </c>
      <c r="Q96" s="312" t="n">
        <v>2026</v>
      </c>
      <c r="R96" s="312" t="n">
        <v>1508</v>
      </c>
      <c r="S96" s="312" t="n">
        <v>1391</v>
      </c>
      <c r="T96" s="312" t="n">
        <v>1269</v>
      </c>
      <c r="U96" s="312" t="n">
        <v>951</v>
      </c>
      <c r="V96" s="312" t="n">
        <v>1086</v>
      </c>
      <c r="W96" s="313" t="n">
        <v>-61</v>
      </c>
      <c r="X96" s="314" t="n">
        <f aca="false">EXP(1.204+(0.102*J96)+(0.007*P96)-(0.001*V96)+(0.008*O96)-2.723)</f>
        <v>4.74474816154966</v>
      </c>
      <c r="Y96" s="314" t="n">
        <f aca="false">(X96/(1+X96))</f>
        <v>0.825927965529781</v>
      </c>
      <c r="Z96" s="314" t="n">
        <f aca="false">EXP(2.859+(0.011*P96)-(0.002*V96)+(0.275*J96)-1.952)</f>
        <v>16.2040348164729</v>
      </c>
      <c r="AA96" s="314" t="n">
        <f aca="false">(Z96/(1+Z96))</f>
        <v>0.941874100426576</v>
      </c>
      <c r="AB96" s="304" t="n">
        <v>75</v>
      </c>
      <c r="AC96" s="273" t="n">
        <v>48</v>
      </c>
      <c r="AD96" s="315"/>
      <c r="AE96" s="315"/>
      <c r="AF96" s="315"/>
      <c r="AG96" s="317" t="n">
        <v>45434.8995601852</v>
      </c>
      <c r="AH96" s="316" t="n">
        <v>45435.6712268519</v>
      </c>
      <c r="AI96" s="309" t="n">
        <f aca="false">(AH96-AG96)*24</f>
        <v>18.52</v>
      </c>
      <c r="AJ96" s="318" t="n">
        <v>18.5200000000186</v>
      </c>
      <c r="AK96" s="315"/>
      <c r="AL96" s="315"/>
      <c r="AM96" s="315"/>
      <c r="AN96" s="318"/>
      <c r="AO96" s="318" t="n">
        <f aca="false">(AG96-$AO$7)*24</f>
        <v>38.0894444444444</v>
      </c>
      <c r="AP96" s="318" t="n">
        <f aca="false">AO96+35</f>
        <v>73.0894444444444</v>
      </c>
      <c r="AQ96" s="273" t="n">
        <v>15</v>
      </c>
      <c r="AR96" s="273" t="n">
        <v>2</v>
      </c>
      <c r="AS96" s="273" t="s">
        <v>815</v>
      </c>
      <c r="AT96" s="275" t="n">
        <v>45435.625</v>
      </c>
      <c r="AU96" s="319" t="s">
        <v>838</v>
      </c>
      <c r="AV96" s="19"/>
      <c r="AW96" s="277"/>
      <c r="AX96" s="277"/>
      <c r="AY96" s="277"/>
      <c r="AZ96" s="278"/>
      <c r="BA96" s="278"/>
      <c r="BB96" s="279"/>
      <c r="BC96" s="280"/>
      <c r="BD96" s="277"/>
      <c r="BE96" s="277"/>
      <c r="BF96" s="277"/>
      <c r="BG96" s="280"/>
      <c r="BH96" s="19"/>
      <c r="BI96" s="19"/>
      <c r="BJ96" s="260" t="n">
        <v>1</v>
      </c>
      <c r="BK96" s="273" t="n">
        <v>2</v>
      </c>
      <c r="BL96" s="273"/>
      <c r="BM96" s="273" t="s">
        <v>812</v>
      </c>
      <c r="BN96" s="281" t="s">
        <v>819</v>
      </c>
      <c r="BO96" s="273" t="n">
        <v>1</v>
      </c>
      <c r="BP96" s="265" t="n">
        <v>45585</v>
      </c>
      <c r="BQ96" s="282" t="n">
        <f aca="false">AT96+145</f>
        <v>45580.625</v>
      </c>
      <c r="BR96" s="283" t="n">
        <f aca="false">BP96-AT96</f>
        <v>149.375</v>
      </c>
      <c r="BS96" s="283" t="s">
        <v>35</v>
      </c>
      <c r="BT96" s="281" t="s">
        <v>819</v>
      </c>
      <c r="BU96" s="284" t="n">
        <v>0.2</v>
      </c>
      <c r="BV96" s="284" t="n">
        <v>0.2</v>
      </c>
      <c r="BW96" s="284" t="n">
        <v>0.2</v>
      </c>
      <c r="BX96" s="284" t="n">
        <v>0.2</v>
      </c>
      <c r="BY96" s="284" t="n">
        <v>0.2</v>
      </c>
      <c r="BZ96" s="284" t="n">
        <v>0.2</v>
      </c>
      <c r="CA96" s="284" t="n">
        <v>0.2</v>
      </c>
      <c r="CB96" s="331" t="n">
        <v>0.45571</v>
      </c>
      <c r="CC96" s="331" t="n">
        <v>1.3703</v>
      </c>
      <c r="CD96" s="331" t="n">
        <v>1.2003</v>
      </c>
      <c r="CE96" s="284" t="n">
        <v>0.40599</v>
      </c>
      <c r="CF96" s="285" t="s">
        <v>814</v>
      </c>
      <c r="CG96" s="332" t="s">
        <v>810</v>
      </c>
      <c r="CH96" s="285" t="s">
        <v>814</v>
      </c>
      <c r="CI96" s="288" t="s">
        <v>815</v>
      </c>
      <c r="CJ96" s="289" t="n">
        <v>0.2</v>
      </c>
      <c r="CK96" s="290" t="n">
        <v>0</v>
      </c>
      <c r="CL96" s="290" t="n">
        <v>0.5</v>
      </c>
      <c r="CM96" s="285" t="s">
        <v>814</v>
      </c>
      <c r="CN96" s="286" t="s">
        <v>815</v>
      </c>
      <c r="CO96" s="291" t="s">
        <v>822</v>
      </c>
      <c r="CP96" s="285" t="s">
        <v>810</v>
      </c>
      <c r="CQ96" s="292" t="n">
        <v>6</v>
      </c>
      <c r="CR96" s="293" t="n">
        <v>48</v>
      </c>
      <c r="CS96" s="294" t="n">
        <f aca="false">$CS$7+(CR96/24)</f>
        <v>45435.25</v>
      </c>
      <c r="CT96" s="295" t="n">
        <v>2</v>
      </c>
      <c r="CU96" s="296" t="n">
        <v>0.42103</v>
      </c>
      <c r="CV96" s="297" t="n">
        <f aca="false">(CS96-AG96)*24</f>
        <v>8.41055555555556</v>
      </c>
      <c r="CW96" s="281" t="s">
        <v>819</v>
      </c>
      <c r="CX96" s="320" t="n">
        <f aca="false">(AT96-CS96)*24</f>
        <v>9</v>
      </c>
      <c r="CY96" s="299" t="s">
        <v>812</v>
      </c>
      <c r="CZ96" s="260" t="s">
        <v>192</v>
      </c>
      <c r="DA96" s="304" t="n">
        <v>75</v>
      </c>
      <c r="DB96" s="306" t="s">
        <v>415</v>
      </c>
    </row>
    <row r="97" customFormat="false" ht="15.75" hidden="false" customHeight="true" outlineLevel="0" collapsed="false">
      <c r="A97" s="273" t="s">
        <v>192</v>
      </c>
      <c r="B97" s="304" t="n">
        <v>76</v>
      </c>
      <c r="C97" s="305" t="n">
        <v>16262711421</v>
      </c>
      <c r="D97" s="306" t="s">
        <v>492</v>
      </c>
      <c r="E97" s="306" t="s">
        <v>493</v>
      </c>
      <c r="F97" s="305" t="s">
        <v>494</v>
      </c>
      <c r="G97" s="305" t="n">
        <v>89000</v>
      </c>
      <c r="H97" s="307"/>
      <c r="I97" s="308" t="n">
        <v>44116</v>
      </c>
      <c r="J97" s="309" t="n">
        <v>3.60821917808219</v>
      </c>
      <c r="K97" s="308" t="n">
        <v>45202</v>
      </c>
      <c r="L97" s="310" t="n">
        <v>70.7</v>
      </c>
      <c r="M97" s="310" t="n">
        <v>3</v>
      </c>
      <c r="N97" s="310" t="n">
        <v>3.5</v>
      </c>
      <c r="O97" s="311" t="n">
        <v>231</v>
      </c>
      <c r="P97" s="312" t="n">
        <v>305</v>
      </c>
      <c r="Q97" s="312" t="n">
        <v>2711</v>
      </c>
      <c r="R97" s="312" t="n">
        <v>2146</v>
      </c>
      <c r="S97" s="312" t="n">
        <v>1959</v>
      </c>
      <c r="T97" s="312" t="n">
        <v>1325</v>
      </c>
      <c r="U97" s="312" t="n">
        <v>1400</v>
      </c>
      <c r="V97" s="312" t="n">
        <v>1315</v>
      </c>
      <c r="W97" s="313" t="n">
        <v>-80</v>
      </c>
      <c r="X97" s="314" t="n">
        <f aca="false">EXP(1.204+(0.102*J97)+(0.007*P97)-(0.001*V97)+(0.008*O97)-2.723)</f>
        <v>4.55870392505432</v>
      </c>
      <c r="Y97" s="314" t="n">
        <f aca="false">(X97/(1+X97))</f>
        <v>0.820101949396373</v>
      </c>
      <c r="Z97" s="314" t="n">
        <f aca="false">EXP(2.859+(0.011*P97)-(0.002*V97)+(0.275*J97)-1.952)</f>
        <v>13.7943663592076</v>
      </c>
      <c r="AA97" s="314" t="n">
        <f aca="false">(Z97/(1+Z97))</f>
        <v>0.932406702948949</v>
      </c>
      <c r="AB97" s="304" t="n">
        <v>76</v>
      </c>
      <c r="AC97" s="273"/>
      <c r="AD97" s="315"/>
      <c r="AE97" s="315"/>
      <c r="AF97" s="315"/>
      <c r="AG97" s="317"/>
      <c r="AH97" s="316"/>
      <c r="AI97" s="309"/>
      <c r="AJ97" s="318"/>
      <c r="AK97" s="315"/>
      <c r="AL97" s="315"/>
      <c r="AM97" s="315"/>
      <c r="AN97" s="318"/>
      <c r="AO97" s="318"/>
      <c r="AP97" s="318"/>
      <c r="AQ97" s="273"/>
      <c r="AR97" s="273"/>
      <c r="AS97" s="272" t="s">
        <v>810</v>
      </c>
      <c r="AT97" s="275" t="n">
        <v>45435.625</v>
      </c>
      <c r="AU97" s="319" t="s">
        <v>818</v>
      </c>
      <c r="AV97" s="19"/>
      <c r="AW97" s="277"/>
      <c r="AX97" s="277"/>
      <c r="AY97" s="277"/>
      <c r="AZ97" s="278"/>
      <c r="BA97" s="278"/>
      <c r="BB97" s="279"/>
      <c r="BC97" s="280"/>
      <c r="BD97" s="277"/>
      <c r="BE97" s="277"/>
      <c r="BF97" s="277"/>
      <c r="BG97" s="280"/>
      <c r="BH97" s="19"/>
      <c r="BI97" s="19"/>
      <c r="BJ97" s="273" t="n">
        <v>0</v>
      </c>
      <c r="BK97" s="273"/>
      <c r="BL97" s="273"/>
      <c r="BM97" s="273" t="s">
        <v>829</v>
      </c>
      <c r="BN97" s="281" t="s">
        <v>819</v>
      </c>
      <c r="BO97" s="273" t="n">
        <v>1</v>
      </c>
      <c r="BP97" s="265" t="n">
        <v>45583</v>
      </c>
      <c r="BQ97" s="282" t="n">
        <f aca="false">AT97+145</f>
        <v>45580.625</v>
      </c>
      <c r="BR97" s="283" t="n">
        <f aca="false">BP97-AT97</f>
        <v>147.375</v>
      </c>
      <c r="BS97" s="283" t="s">
        <v>35</v>
      </c>
      <c r="BT97" s="281" t="s">
        <v>813</v>
      </c>
      <c r="BU97" s="284" t="n">
        <v>0.2</v>
      </c>
      <c r="BV97" s="284" t="n">
        <v>0.2</v>
      </c>
      <c r="BW97" s="284" t="n">
        <v>0.2</v>
      </c>
      <c r="BX97" s="284" t="n">
        <v>0.2</v>
      </c>
      <c r="BY97" s="284" t="n">
        <v>0.44259</v>
      </c>
      <c r="BZ97" s="284" t="n">
        <v>0.2</v>
      </c>
      <c r="CA97" s="284" t="n">
        <v>0.2</v>
      </c>
      <c r="CB97" s="284" t="n">
        <v>0.2</v>
      </c>
      <c r="CC97" s="284" t="n">
        <v>0.2</v>
      </c>
      <c r="CD97" s="284" t="n">
        <v>0.64461</v>
      </c>
      <c r="CE97" s="284" t="n">
        <v>0.2</v>
      </c>
      <c r="CF97" s="285" t="s">
        <v>814</v>
      </c>
      <c r="CG97" s="332" t="s">
        <v>810</v>
      </c>
      <c r="CH97" s="285" t="s">
        <v>814</v>
      </c>
      <c r="CI97" s="335" t="s">
        <v>810</v>
      </c>
      <c r="CJ97" s="289" t="n">
        <v>0.240431666666667</v>
      </c>
      <c r="CK97" s="290" t="n">
        <v>0.0990369527836285</v>
      </c>
      <c r="CL97" s="290" t="n">
        <v>0.438505572233924</v>
      </c>
      <c r="CM97" s="285" t="s">
        <v>814</v>
      </c>
      <c r="CN97" s="336" t="s">
        <v>810</v>
      </c>
      <c r="CO97" s="291" t="s">
        <v>828</v>
      </c>
      <c r="CP97" s="285" t="s">
        <v>810</v>
      </c>
      <c r="CQ97" s="337"/>
      <c r="CR97" s="293" t="n">
        <v>48</v>
      </c>
      <c r="CS97" s="294" t="n">
        <f aca="false">$CS$7+(CR97/24)</f>
        <v>45435.25</v>
      </c>
      <c r="CT97" s="295" t="n">
        <v>2</v>
      </c>
      <c r="CU97" s="296" t="n">
        <v>0.65417</v>
      </c>
      <c r="CV97" s="297"/>
      <c r="CW97" s="281" t="s">
        <v>813</v>
      </c>
      <c r="CX97" s="320" t="n">
        <f aca="false">(AT97-CS97)*24</f>
        <v>9</v>
      </c>
      <c r="CY97" s="370" t="s">
        <v>829</v>
      </c>
      <c r="CZ97" s="260" t="s">
        <v>192</v>
      </c>
      <c r="DA97" s="304" t="n">
        <v>76</v>
      </c>
      <c r="DB97" s="306" t="s">
        <v>492</v>
      </c>
    </row>
    <row r="98" customFormat="false" ht="15.75" hidden="false" customHeight="true" outlineLevel="0" collapsed="false">
      <c r="A98" s="273" t="s">
        <v>192</v>
      </c>
      <c r="B98" s="304" t="n">
        <v>77</v>
      </c>
      <c r="C98" s="305" t="n">
        <v>16262711439</v>
      </c>
      <c r="D98" s="306" t="s">
        <v>501</v>
      </c>
      <c r="E98" s="306" t="s">
        <v>502</v>
      </c>
      <c r="F98" s="305" t="s">
        <v>503</v>
      </c>
      <c r="G98" s="305" t="n">
        <v>89770</v>
      </c>
      <c r="H98" s="307"/>
      <c r="I98" s="308" t="n">
        <v>44116</v>
      </c>
      <c r="J98" s="309" t="n">
        <v>3.60821917808219</v>
      </c>
      <c r="K98" s="308" t="n">
        <v>45205</v>
      </c>
      <c r="L98" s="310" t="n">
        <v>78.8</v>
      </c>
      <c r="M98" s="310" t="n">
        <v>4</v>
      </c>
      <c r="N98" s="310" t="n">
        <v>3</v>
      </c>
      <c r="O98" s="311" t="n">
        <v>228</v>
      </c>
      <c r="P98" s="312" t="n">
        <v>266</v>
      </c>
      <c r="Q98" s="312" t="n">
        <v>2831</v>
      </c>
      <c r="R98" s="312" t="n">
        <v>2030</v>
      </c>
      <c r="S98" s="312" t="n">
        <v>2328</v>
      </c>
      <c r="T98" s="312" t="n">
        <v>1748</v>
      </c>
      <c r="U98" s="312" t="n">
        <v>1819</v>
      </c>
      <c r="V98" s="312" t="n">
        <v>1773</v>
      </c>
      <c r="W98" s="313" t="n">
        <v>0</v>
      </c>
      <c r="X98" s="314" t="n">
        <f aca="false">EXP(0.585+(0.102*J98)+(0.007*P98)-(0.001*V98)+(0.008*O98)-2.723)</f>
        <v>1.15377405516463</v>
      </c>
      <c r="Y98" s="314" t="n">
        <f aca="false">(X98/(1+X98))</f>
        <v>0.535698743513947</v>
      </c>
      <c r="Z98" s="314" t="n">
        <f aca="false">EXP(1.741+(0.011*P98)-(0.002*V98)+(0.275*J98)-1.952)</f>
        <v>1.17499074852879</v>
      </c>
      <c r="AA98" s="314" t="n">
        <f aca="false">(Z98/(1+Z98))</f>
        <v>0.540227929393988</v>
      </c>
      <c r="AB98" s="304" t="n">
        <v>77</v>
      </c>
      <c r="AC98" s="273"/>
      <c r="AD98" s="315"/>
      <c r="AE98" s="315"/>
      <c r="AF98" s="315"/>
      <c r="AG98" s="317"/>
      <c r="AH98" s="316"/>
      <c r="AI98" s="309"/>
      <c r="AJ98" s="318"/>
      <c r="AK98" s="315"/>
      <c r="AL98" s="315"/>
      <c r="AM98" s="315"/>
      <c r="AN98" s="318"/>
      <c r="AO98" s="318"/>
      <c r="AP98" s="318"/>
      <c r="AQ98" s="273"/>
      <c r="AR98" s="273"/>
      <c r="AS98" s="272" t="s">
        <v>810</v>
      </c>
      <c r="AT98" s="275" t="n">
        <v>45435.625</v>
      </c>
      <c r="AU98" s="319" t="s">
        <v>821</v>
      </c>
      <c r="AV98" s="19" t="n">
        <v>95</v>
      </c>
      <c r="AW98" s="277"/>
      <c r="AX98" s="277"/>
      <c r="AY98" s="277"/>
      <c r="AZ98" s="278" t="n">
        <v>45457.0119675926</v>
      </c>
      <c r="BA98" s="278" t="n">
        <v>45457.8319444444</v>
      </c>
      <c r="BB98" s="279" t="n">
        <f aca="false">(BA98-AZ98)*24</f>
        <v>19.6794444444444</v>
      </c>
      <c r="BC98" s="277" t="n">
        <v>19.6794444443076</v>
      </c>
      <c r="BD98" s="277"/>
      <c r="BE98" s="277"/>
      <c r="BF98" s="277"/>
      <c r="BG98" s="277"/>
      <c r="BH98" s="19" t="n">
        <v>51</v>
      </c>
      <c r="BI98" s="19" t="n">
        <v>2</v>
      </c>
      <c r="BJ98" s="273" t="n">
        <v>0</v>
      </c>
      <c r="BK98" s="273"/>
      <c r="BL98" s="273" t="s">
        <v>826</v>
      </c>
      <c r="BM98" s="273" t="s">
        <v>106</v>
      </c>
      <c r="BN98" s="281" t="s">
        <v>819</v>
      </c>
      <c r="BO98" s="273" t="n">
        <v>2</v>
      </c>
      <c r="BP98" s="265" t="n">
        <v>45609</v>
      </c>
      <c r="BQ98" s="282" t="n">
        <f aca="false">AZ98+145</f>
        <v>45602.0119675926</v>
      </c>
      <c r="BR98" s="283" t="n">
        <f aca="false">BP98-AT98</f>
        <v>173.375</v>
      </c>
      <c r="BS98" s="283" t="s">
        <v>830</v>
      </c>
      <c r="BT98" s="294" t="s">
        <v>827</v>
      </c>
      <c r="BU98" s="284" t="n">
        <v>0.46621</v>
      </c>
      <c r="BV98" s="284" t="n">
        <v>2.538</v>
      </c>
      <c r="BW98" s="284" t="n">
        <v>0.75023</v>
      </c>
      <c r="BX98" s="284" t="n">
        <v>0.65725</v>
      </c>
      <c r="BY98" s="284" t="n">
        <v>0.70474</v>
      </c>
      <c r="BZ98" s="284" t="n">
        <v>0.68788</v>
      </c>
      <c r="CA98" s="284" t="n">
        <v>0.83787</v>
      </c>
      <c r="CB98" s="284" t="n">
        <v>0.64619</v>
      </c>
      <c r="CC98" s="284" t="n">
        <v>0.88904</v>
      </c>
      <c r="CD98" s="284" t="n">
        <v>2.0912</v>
      </c>
      <c r="CE98" s="284" t="n">
        <v>2.4637</v>
      </c>
      <c r="CF98" s="325" t="s">
        <v>55</v>
      </c>
      <c r="CG98" s="327" t="s">
        <v>815</v>
      </c>
      <c r="CH98" s="325" t="s">
        <v>55</v>
      </c>
      <c r="CI98" s="326" t="s">
        <v>815</v>
      </c>
      <c r="CJ98" s="289" t="n">
        <v>0.653262</v>
      </c>
      <c r="CK98" s="290" t="n">
        <v>0.109835716276628</v>
      </c>
      <c r="CL98" s="290" t="n">
        <v>0.872933432553255</v>
      </c>
      <c r="CM98" s="325" t="s">
        <v>55</v>
      </c>
      <c r="CN98" s="327" t="s">
        <v>815</v>
      </c>
      <c r="CO98" s="291" t="s">
        <v>823</v>
      </c>
      <c r="CP98" s="285" t="s">
        <v>810</v>
      </c>
      <c r="CQ98" s="292" t="n">
        <v>7</v>
      </c>
      <c r="CR98" s="333" t="n">
        <v>120</v>
      </c>
      <c r="CS98" s="294" t="n">
        <f aca="false">$CS$7+(CR98/24)</f>
        <v>45438.25</v>
      </c>
      <c r="CT98" s="295"/>
      <c r="CU98" s="296" t="n">
        <v>0.43001</v>
      </c>
      <c r="CV98" s="297"/>
      <c r="CW98" s="281" t="s">
        <v>813</v>
      </c>
      <c r="CX98" s="383" t="n">
        <f aca="false">(AT98-CS98)*24</f>
        <v>-63</v>
      </c>
      <c r="CY98" s="338" t="s">
        <v>106</v>
      </c>
      <c r="CZ98" s="260" t="s">
        <v>192</v>
      </c>
      <c r="DA98" s="304" t="n">
        <v>77</v>
      </c>
      <c r="DB98" s="306" t="s">
        <v>501</v>
      </c>
    </row>
    <row r="99" customFormat="false" ht="15.75" hidden="false" customHeight="true" outlineLevel="0" collapsed="false">
      <c r="A99" s="273" t="s">
        <v>192</v>
      </c>
      <c r="B99" s="304" t="n">
        <v>78</v>
      </c>
      <c r="C99" s="305" t="n">
        <v>16262711489</v>
      </c>
      <c r="D99" s="306" t="s">
        <v>498</v>
      </c>
      <c r="E99" s="306" t="s">
        <v>499</v>
      </c>
      <c r="F99" s="305" t="s">
        <v>500</v>
      </c>
      <c r="G99" s="305" t="n">
        <v>89105</v>
      </c>
      <c r="H99" s="307"/>
      <c r="I99" s="308" t="n">
        <v>44116</v>
      </c>
      <c r="J99" s="309" t="n">
        <v>3.60821917808219</v>
      </c>
      <c r="K99" s="308" t="n">
        <v>45205</v>
      </c>
      <c r="L99" s="310" t="n">
        <v>63.9</v>
      </c>
      <c r="M99" s="310" t="n">
        <v>3.5</v>
      </c>
      <c r="N99" s="310" t="n">
        <v>4</v>
      </c>
      <c r="O99" s="311" t="n">
        <v>228</v>
      </c>
      <c r="P99" s="312" t="n">
        <v>305</v>
      </c>
      <c r="Q99" s="312" t="n">
        <v>2622</v>
      </c>
      <c r="R99" s="312" t="n">
        <v>2523</v>
      </c>
      <c r="S99" s="312" t="n">
        <v>2044</v>
      </c>
      <c r="T99" s="312" t="n">
        <v>1551</v>
      </c>
      <c r="U99" s="312" t="n">
        <v>1288</v>
      </c>
      <c r="V99" s="312" t="n">
        <v>743</v>
      </c>
      <c r="W99" s="313" t="n">
        <v>-40</v>
      </c>
      <c r="X99" s="314" t="n">
        <f aca="false">EXP(1.204+(0.102*J99)+(0.007*P99)-(0.001*V99)+(0.008*O99)-2.723)</f>
        <v>7.88560035323776</v>
      </c>
      <c r="Y99" s="314" t="n">
        <f aca="false">(X99/(1+X99))</f>
        <v>0.887458364067025</v>
      </c>
      <c r="Z99" s="314" t="n">
        <f aca="false">EXP(2.859+(0.011*P99)-(0.002*V99)+(0.275*J99)-1.952)</f>
        <v>43.3046610179972</v>
      </c>
      <c r="AA99" s="314" t="n">
        <f aca="false">(Z99/(1+Z99))</f>
        <v>0.977429011372104</v>
      </c>
      <c r="AB99" s="304" t="n">
        <v>78</v>
      </c>
      <c r="AC99" s="273"/>
      <c r="AD99" s="315"/>
      <c r="AE99" s="315"/>
      <c r="AF99" s="315"/>
      <c r="AG99" s="317"/>
      <c r="AH99" s="316"/>
      <c r="AI99" s="309"/>
      <c r="AJ99" s="318"/>
      <c r="AK99" s="315"/>
      <c r="AL99" s="315"/>
      <c r="AM99" s="315"/>
      <c r="AN99" s="318"/>
      <c r="AO99" s="318"/>
      <c r="AP99" s="318"/>
      <c r="AQ99" s="273"/>
      <c r="AR99" s="273"/>
      <c r="AS99" s="272" t="s">
        <v>810</v>
      </c>
      <c r="AT99" s="275" t="n">
        <v>45435.625</v>
      </c>
      <c r="AU99" s="319" t="s">
        <v>838</v>
      </c>
      <c r="AV99" s="19"/>
      <c r="AW99" s="277"/>
      <c r="AX99" s="277"/>
      <c r="AY99" s="277"/>
      <c r="AZ99" s="278"/>
      <c r="BA99" s="278"/>
      <c r="BB99" s="279"/>
      <c r="BC99" s="277"/>
      <c r="BD99" s="277"/>
      <c r="BE99" s="277"/>
      <c r="BF99" s="277"/>
      <c r="BG99" s="277"/>
      <c r="BH99" s="19"/>
      <c r="BI99" s="19"/>
      <c r="BJ99" s="260" t="n">
        <v>1</v>
      </c>
      <c r="BK99" s="273" t="n">
        <v>2</v>
      </c>
      <c r="BL99" s="273"/>
      <c r="BM99" s="273" t="s">
        <v>812</v>
      </c>
      <c r="BN99" s="281" t="s">
        <v>813</v>
      </c>
      <c r="BO99" s="273" t="n">
        <v>2</v>
      </c>
      <c r="BP99" s="265" t="n">
        <v>45583</v>
      </c>
      <c r="BQ99" s="282" t="n">
        <f aca="false">AT99+145</f>
        <v>45580.625</v>
      </c>
      <c r="BR99" s="283" t="n">
        <f aca="false">BP99-AT99</f>
        <v>147.375</v>
      </c>
      <c r="BS99" s="283" t="s">
        <v>35</v>
      </c>
      <c r="BT99" s="281" t="s">
        <v>813</v>
      </c>
      <c r="BU99" s="284" t="n">
        <v>0.60509</v>
      </c>
      <c r="BV99" s="284" t="n">
        <v>0.69359</v>
      </c>
      <c r="BW99" s="284" t="n">
        <v>0.2</v>
      </c>
      <c r="BX99" s="284" t="n">
        <v>0.2</v>
      </c>
      <c r="BY99" s="284" t="n">
        <v>0.2</v>
      </c>
      <c r="BZ99" s="284" t="n">
        <v>0.2</v>
      </c>
      <c r="CA99" s="284" t="n">
        <v>0.55139</v>
      </c>
      <c r="CB99" s="284" t="n">
        <v>1.4663</v>
      </c>
      <c r="CC99" s="284" t="n">
        <v>1.9409</v>
      </c>
      <c r="CD99" s="284" t="n">
        <v>2.0512</v>
      </c>
      <c r="CE99" s="284" t="n">
        <v>3.0338</v>
      </c>
      <c r="CF99" s="285" t="s">
        <v>814</v>
      </c>
      <c r="CG99" s="286" t="s">
        <v>815</v>
      </c>
      <c r="CH99" s="285" t="s">
        <v>814</v>
      </c>
      <c r="CI99" s="288" t="s">
        <v>815</v>
      </c>
      <c r="CJ99" s="289" t="n">
        <v>0.34978</v>
      </c>
      <c r="CK99" s="290" t="n">
        <v>0.233719791973209</v>
      </c>
      <c r="CL99" s="290" t="n">
        <v>0.817219583946418</v>
      </c>
      <c r="CM99" s="285" t="s">
        <v>814</v>
      </c>
      <c r="CN99" s="286" t="s">
        <v>815</v>
      </c>
      <c r="CO99" s="291" t="s">
        <v>816</v>
      </c>
      <c r="CP99" s="285" t="s">
        <v>810</v>
      </c>
      <c r="CQ99" s="292" t="n">
        <v>5</v>
      </c>
      <c r="CR99" s="293" t="n">
        <v>48</v>
      </c>
      <c r="CS99" s="294" t="n">
        <f aca="false">$CS$7+(CR99/24)</f>
        <v>45435.25</v>
      </c>
      <c r="CT99" s="295" t="n">
        <v>2</v>
      </c>
      <c r="CU99" s="296" t="n">
        <v>0.47712</v>
      </c>
      <c r="CV99" s="297"/>
      <c r="CW99" s="281" t="s">
        <v>813</v>
      </c>
      <c r="CX99" s="320" t="n">
        <f aca="false">(AT99-CS99)*24</f>
        <v>9</v>
      </c>
      <c r="CY99" s="299" t="s">
        <v>812</v>
      </c>
      <c r="CZ99" s="260" t="s">
        <v>192</v>
      </c>
      <c r="DA99" s="304" t="n">
        <v>78</v>
      </c>
      <c r="DB99" s="306" t="s">
        <v>498</v>
      </c>
    </row>
    <row r="100" customFormat="false" ht="15.75" hidden="false" customHeight="true" outlineLevel="0" collapsed="false">
      <c r="A100" s="273" t="s">
        <v>192</v>
      </c>
      <c r="B100" s="304" t="n">
        <v>79</v>
      </c>
      <c r="C100" s="305" t="n">
        <v>16262711526</v>
      </c>
      <c r="D100" s="306" t="s">
        <v>468</v>
      </c>
      <c r="E100" s="306" t="s">
        <v>469</v>
      </c>
      <c r="F100" s="305" t="s">
        <v>470</v>
      </c>
      <c r="G100" s="305" t="n">
        <v>88837</v>
      </c>
      <c r="H100" s="307"/>
      <c r="I100" s="308" t="n">
        <v>44116</v>
      </c>
      <c r="J100" s="309" t="n">
        <v>3.60821917808219</v>
      </c>
      <c r="K100" s="308" t="n">
        <v>45243</v>
      </c>
      <c r="L100" s="310" t="n">
        <v>61.4</v>
      </c>
      <c r="M100" s="310" t="n">
        <v>2.75</v>
      </c>
      <c r="N100" s="310" t="n">
        <v>2.75</v>
      </c>
      <c r="O100" s="311" t="n">
        <v>190</v>
      </c>
      <c r="P100" s="312" t="n">
        <v>369</v>
      </c>
      <c r="Q100" s="312" t="n">
        <v>0</v>
      </c>
      <c r="R100" s="312" t="n">
        <v>3277</v>
      </c>
      <c r="S100" s="312" t="n">
        <v>2641</v>
      </c>
      <c r="T100" s="312" t="n">
        <v>2848</v>
      </c>
      <c r="U100" s="312" t="n">
        <v>1148</v>
      </c>
      <c r="V100" s="312" t="n">
        <v>2145</v>
      </c>
      <c r="W100" s="313" t="n">
        <v>0</v>
      </c>
      <c r="X100" s="314" t="n">
        <f aca="false">EXP(0.585+(0.102*J100)+(0.007*P100)-(0.001*V100)+(0.008*O100)-2.723)</f>
        <v>1.20687980574206</v>
      </c>
      <c r="Y100" s="314" t="n">
        <f aca="false">(X100/(1+X100))</f>
        <v>0.546871561650929</v>
      </c>
      <c r="Z100" s="314" t="n">
        <f aca="false">EXP(1.741+(0.011*P100)-(0.002*V100)+(0.275*J100)-1.952)</f>
        <v>1.73370419722846</v>
      </c>
      <c r="AA100" s="314" t="n">
        <f aca="false">(Z100/(1+Z100))</f>
        <v>0.634195974453329</v>
      </c>
      <c r="AB100" s="304" t="n">
        <v>79</v>
      </c>
      <c r="AC100" s="273"/>
      <c r="AD100" s="315"/>
      <c r="AE100" s="315"/>
      <c r="AF100" s="315"/>
      <c r="AG100" s="317"/>
      <c r="AH100" s="316"/>
      <c r="AI100" s="309"/>
      <c r="AJ100" s="318"/>
      <c r="AK100" s="315"/>
      <c r="AL100" s="315"/>
      <c r="AM100" s="315"/>
      <c r="AN100" s="318"/>
      <c r="AO100" s="318"/>
      <c r="AP100" s="318"/>
      <c r="AQ100" s="273"/>
      <c r="AR100" s="273"/>
      <c r="AS100" s="272" t="s">
        <v>810</v>
      </c>
      <c r="AT100" s="275" t="n">
        <v>45435.625</v>
      </c>
      <c r="AU100" s="319" t="s">
        <v>818</v>
      </c>
      <c r="AV100" s="19" t="n">
        <v>94</v>
      </c>
      <c r="AW100" s="277"/>
      <c r="AX100" s="277"/>
      <c r="AY100" s="277"/>
      <c r="AZ100" s="278" t="n">
        <v>45453.9971296296</v>
      </c>
      <c r="BA100" s="278" t="n">
        <v>45454.4211111111</v>
      </c>
      <c r="BB100" s="279" t="n">
        <f aca="false">(BA100-AZ100)*24</f>
        <v>10.1755555555556</v>
      </c>
      <c r="BC100" s="277" t="n">
        <v>10.1755555556738</v>
      </c>
      <c r="BD100" s="277"/>
      <c r="BE100" s="277"/>
      <c r="BF100" s="277"/>
      <c r="BG100" s="277"/>
      <c r="BH100" s="19" t="n">
        <v>16</v>
      </c>
      <c r="BI100" s="19" t="n">
        <v>3</v>
      </c>
      <c r="BJ100" s="273" t="n">
        <v>0</v>
      </c>
      <c r="BK100" s="273"/>
      <c r="BL100" s="273" t="s">
        <v>826</v>
      </c>
      <c r="BM100" s="273" t="s">
        <v>106</v>
      </c>
      <c r="BN100" s="281" t="s">
        <v>819</v>
      </c>
      <c r="BO100" s="273" t="n">
        <v>2</v>
      </c>
      <c r="BP100" s="265" t="n">
        <v>45599</v>
      </c>
      <c r="BQ100" s="282" t="n">
        <f aca="false">AZ100+145</f>
        <v>45598.9971296296</v>
      </c>
      <c r="BR100" s="283" t="n">
        <f aca="false">BP100-AT100</f>
        <v>163.375</v>
      </c>
      <c r="BS100" s="283" t="s">
        <v>106</v>
      </c>
      <c r="BT100" s="294" t="s">
        <v>827</v>
      </c>
      <c r="BU100" s="284" t="n">
        <v>0.2</v>
      </c>
      <c r="BV100" s="284" t="n">
        <v>0.59322</v>
      </c>
      <c r="BW100" s="284" t="n">
        <v>0.2</v>
      </c>
      <c r="BX100" s="284" t="n">
        <v>0.2</v>
      </c>
      <c r="BY100" s="284" t="n">
        <v>0.2</v>
      </c>
      <c r="BZ100" s="284" t="n">
        <v>0.2</v>
      </c>
      <c r="CA100" s="284" t="n">
        <v>0.2</v>
      </c>
      <c r="CB100" s="284" t="n">
        <v>0.2</v>
      </c>
      <c r="CC100" s="284" t="n">
        <v>0.5425</v>
      </c>
      <c r="CD100" s="284" t="n">
        <v>0.71268</v>
      </c>
      <c r="CE100" s="284" t="n">
        <v>0.64767</v>
      </c>
      <c r="CF100" s="285" t="s">
        <v>814</v>
      </c>
      <c r="CG100" s="332" t="s">
        <v>810</v>
      </c>
      <c r="CH100" s="285" t="s">
        <v>814</v>
      </c>
      <c r="CI100" s="335" t="s">
        <v>810</v>
      </c>
      <c r="CJ100" s="289" t="n">
        <v>0.265536666666667</v>
      </c>
      <c r="CK100" s="290" t="n">
        <v>0.1605313927762</v>
      </c>
      <c r="CL100" s="290" t="n">
        <v>0.586599452219067</v>
      </c>
      <c r="CM100" s="285" t="s">
        <v>814</v>
      </c>
      <c r="CN100" s="336" t="s">
        <v>810</v>
      </c>
      <c r="CO100" s="291" t="s">
        <v>828</v>
      </c>
      <c r="CP100" s="285" t="s">
        <v>810</v>
      </c>
      <c r="CQ100" s="337"/>
      <c r="CR100" s="293" t="n">
        <v>96</v>
      </c>
      <c r="CS100" s="294" t="n">
        <f aca="false">$CS$7+(CR100/24)</f>
        <v>45437.25</v>
      </c>
      <c r="CT100" s="295" t="n">
        <v>1</v>
      </c>
      <c r="CU100" s="296" t="n">
        <v>0.32372</v>
      </c>
      <c r="CV100" s="297"/>
      <c r="CW100" s="281" t="s">
        <v>813</v>
      </c>
      <c r="CX100" s="383" t="n">
        <f aca="false">(AT100-CS100)*24</f>
        <v>-39</v>
      </c>
      <c r="CY100" s="338" t="s">
        <v>106</v>
      </c>
      <c r="CZ100" s="260" t="s">
        <v>192</v>
      </c>
      <c r="DA100" s="304" t="n">
        <v>79</v>
      </c>
      <c r="DB100" s="306" t="s">
        <v>468</v>
      </c>
    </row>
    <row r="101" customFormat="false" ht="15.75" hidden="false" customHeight="true" outlineLevel="0" collapsed="false">
      <c r="A101" s="273" t="s">
        <v>192</v>
      </c>
      <c r="B101" s="304" t="n">
        <v>80</v>
      </c>
      <c r="C101" s="305" t="n">
        <v>16262711577</v>
      </c>
      <c r="D101" s="306" t="s">
        <v>510</v>
      </c>
      <c r="E101" s="306" t="s">
        <v>511</v>
      </c>
      <c r="F101" s="305" t="s">
        <v>512</v>
      </c>
      <c r="G101" s="305" t="n">
        <v>89791</v>
      </c>
      <c r="H101" s="307"/>
      <c r="I101" s="308" t="n">
        <v>44117</v>
      </c>
      <c r="J101" s="309" t="n">
        <v>3.60547945205479</v>
      </c>
      <c r="K101" s="308" t="n">
        <v>45204</v>
      </c>
      <c r="L101" s="310" t="n">
        <v>61.9</v>
      </c>
      <c r="M101" s="310" t="n">
        <v>3</v>
      </c>
      <c r="N101" s="310" t="n">
        <v>3.25</v>
      </c>
      <c r="O101" s="311" t="n">
        <v>229</v>
      </c>
      <c r="P101" s="312" t="n">
        <v>289</v>
      </c>
      <c r="Q101" s="312" t="n">
        <v>2741</v>
      </c>
      <c r="R101" s="312" t="n">
        <v>1972</v>
      </c>
      <c r="S101" s="312" t="n">
        <v>1988</v>
      </c>
      <c r="T101" s="312" t="n">
        <v>1579</v>
      </c>
      <c r="U101" s="312" t="n">
        <v>1204</v>
      </c>
      <c r="V101" s="312" t="n">
        <v>1086</v>
      </c>
      <c r="W101" s="313" t="n">
        <v>-5</v>
      </c>
      <c r="X101" s="314" t="n">
        <f aca="false">EXP(1.204+(0.102*J101)+(0.007*P101)-(0.001*V101)+(0.008*O101)-2.723)</f>
        <v>5.04177853674763</v>
      </c>
      <c r="Y101" s="314" t="n">
        <f aca="false">(X101/(1+X101))</f>
        <v>0.834485823351891</v>
      </c>
      <c r="Z101" s="314" t="n">
        <f aca="false">EXP(2.859+(0.011*P101)-(0.002*V101)+(0.275*J101)-1.952)</f>
        <v>18.2745037249764</v>
      </c>
      <c r="AA101" s="314" t="n">
        <f aca="false">(Z101/(1+Z101))</f>
        <v>0.948117989740811</v>
      </c>
      <c r="AB101" s="304" t="n">
        <v>80</v>
      </c>
      <c r="AC101" s="273" t="n">
        <v>82</v>
      </c>
      <c r="AD101" s="315"/>
      <c r="AE101" s="315"/>
      <c r="AF101" s="315"/>
      <c r="AG101" s="316" t="n">
        <v>45436.1502314815</v>
      </c>
      <c r="AH101" s="316" t="n">
        <v>45436.1553703704</v>
      </c>
      <c r="AI101" s="309" t="n">
        <f aca="false">(AH101-AG101)*24</f>
        <v>0.123333333333333</v>
      </c>
      <c r="AJ101" s="318" t="n">
        <v>1</v>
      </c>
      <c r="AK101" s="315"/>
      <c r="AL101" s="315"/>
      <c r="AM101" s="315"/>
      <c r="AN101" s="318"/>
      <c r="AO101" s="318" t="n">
        <f aca="false">(AG101-$AO$7)*24</f>
        <v>68.1055555555556</v>
      </c>
      <c r="AP101" s="318" t="n">
        <f aca="false">AO101+35</f>
        <v>103.105555555556</v>
      </c>
      <c r="AQ101" s="273" t="n">
        <v>11</v>
      </c>
      <c r="AR101" s="273" t="n">
        <v>1</v>
      </c>
      <c r="AS101" s="272" t="s">
        <v>810</v>
      </c>
      <c r="AT101" s="275" t="n">
        <v>45435.625</v>
      </c>
      <c r="AU101" s="319" t="s">
        <v>821</v>
      </c>
      <c r="AV101" s="19" t="n">
        <v>82</v>
      </c>
      <c r="AW101" s="277"/>
      <c r="AX101" s="277"/>
      <c r="AY101" s="277"/>
      <c r="AZ101" s="278" t="n">
        <v>45452.8081712963</v>
      </c>
      <c r="BA101" s="278" t="n">
        <v>45453.6587384259</v>
      </c>
      <c r="BB101" s="279" t="n">
        <f aca="false">(BA101-AZ101)*24</f>
        <v>20.4136111111111</v>
      </c>
      <c r="BC101" s="280" t="n">
        <v>20.4136111111147</v>
      </c>
      <c r="BD101" s="277"/>
      <c r="BE101" s="277"/>
      <c r="BF101" s="277"/>
      <c r="BG101" s="280"/>
      <c r="BH101" s="19" t="n">
        <v>39</v>
      </c>
      <c r="BI101" s="19" t="n">
        <v>3</v>
      </c>
      <c r="BJ101" s="273" t="n">
        <v>0</v>
      </c>
      <c r="BK101" s="273"/>
      <c r="BL101" s="273" t="s">
        <v>826</v>
      </c>
      <c r="BM101" s="273" t="s">
        <v>106</v>
      </c>
      <c r="BN101" s="281" t="s">
        <v>819</v>
      </c>
      <c r="BO101" s="273" t="n">
        <v>1</v>
      </c>
      <c r="BP101" s="265" t="n">
        <v>45599</v>
      </c>
      <c r="BQ101" s="282" t="n">
        <f aca="false">AZ101+145</f>
        <v>45597.8081712963</v>
      </c>
      <c r="BR101" s="283" t="n">
        <f aca="false">BP101-AT101</f>
        <v>163.375</v>
      </c>
      <c r="BS101" s="283" t="s">
        <v>106</v>
      </c>
      <c r="BT101" s="281" t="s">
        <v>827</v>
      </c>
      <c r="BU101" s="284" t="n">
        <v>0.2</v>
      </c>
      <c r="BV101" s="331" t="n">
        <v>1.2479</v>
      </c>
      <c r="BW101" s="284" t="n">
        <v>0.2</v>
      </c>
      <c r="BX101" s="284" t="n">
        <v>0.2</v>
      </c>
      <c r="BY101" s="284" t="n">
        <v>0.2</v>
      </c>
      <c r="BZ101" s="284" t="n">
        <v>0.2</v>
      </c>
      <c r="CA101" s="284" t="n">
        <v>0.2</v>
      </c>
      <c r="CB101" s="284" t="n">
        <v>0.55139</v>
      </c>
      <c r="CC101" s="284" t="n">
        <v>0.8327</v>
      </c>
      <c r="CD101" s="284" t="n">
        <v>1.3364</v>
      </c>
      <c r="CE101" s="284" t="n">
        <v>2.0458</v>
      </c>
      <c r="CF101" s="285" t="s">
        <v>814</v>
      </c>
      <c r="CG101" s="286" t="s">
        <v>815</v>
      </c>
      <c r="CH101" s="325" t="s">
        <v>55</v>
      </c>
      <c r="CI101" s="326" t="s">
        <v>815</v>
      </c>
      <c r="CJ101" s="289" t="n">
        <v>0.2</v>
      </c>
      <c r="CK101" s="290" t="n">
        <v>0</v>
      </c>
      <c r="CL101" s="290" t="n">
        <v>0.5</v>
      </c>
      <c r="CM101" s="325" t="s">
        <v>55</v>
      </c>
      <c r="CN101" s="327" t="s">
        <v>815</v>
      </c>
      <c r="CO101" s="291" t="s">
        <v>816</v>
      </c>
      <c r="CP101" s="285" t="s">
        <v>810</v>
      </c>
      <c r="CQ101" s="292" t="n">
        <v>5</v>
      </c>
      <c r="CR101" s="293" t="n">
        <v>60</v>
      </c>
      <c r="CS101" s="294" t="n">
        <f aca="false">$CS$7+(CR101/24)</f>
        <v>45435.75</v>
      </c>
      <c r="CT101" s="295" t="n">
        <v>1.5</v>
      </c>
      <c r="CU101" s="296" t="n">
        <v>0.5442</v>
      </c>
      <c r="CV101" s="297" t="n">
        <f aca="false">(CS101-AG101)*24</f>
        <v>-9.60555555555556</v>
      </c>
      <c r="CW101" s="281" t="s">
        <v>819</v>
      </c>
      <c r="CX101" s="320" t="n">
        <f aca="false">(AT101-CS101)*24</f>
        <v>-3</v>
      </c>
      <c r="CY101" s="338" t="s">
        <v>106</v>
      </c>
      <c r="CZ101" s="260" t="s">
        <v>192</v>
      </c>
      <c r="DA101" s="304" t="n">
        <v>80</v>
      </c>
      <c r="DB101" s="306" t="s">
        <v>510</v>
      </c>
    </row>
    <row r="102" customFormat="false" ht="15.75" hidden="false" customHeight="true" outlineLevel="0" collapsed="false">
      <c r="A102" s="273" t="s">
        <v>192</v>
      </c>
      <c r="B102" s="304" t="n">
        <v>81</v>
      </c>
      <c r="C102" s="305" t="n">
        <v>16262711627</v>
      </c>
      <c r="D102" s="306" t="s">
        <v>272</v>
      </c>
      <c r="E102" s="306" t="s">
        <v>273</v>
      </c>
      <c r="F102" s="305" t="s">
        <v>274</v>
      </c>
      <c r="G102" s="305" t="n">
        <v>89372</v>
      </c>
      <c r="H102" s="307" t="s">
        <v>275</v>
      </c>
      <c r="I102" s="308" t="n">
        <v>44118</v>
      </c>
      <c r="J102" s="309" t="n">
        <v>3.6027397260274</v>
      </c>
      <c r="K102" s="308" t="n">
        <v>45243</v>
      </c>
      <c r="L102" s="310" t="n">
        <v>58.8</v>
      </c>
      <c r="M102" s="310" t="n">
        <v>3</v>
      </c>
      <c r="N102" s="310" t="n">
        <v>3</v>
      </c>
      <c r="O102" s="311" t="n">
        <v>190</v>
      </c>
      <c r="P102" s="312" t="n">
        <v>294</v>
      </c>
      <c r="Q102" s="312" t="n">
        <v>0</v>
      </c>
      <c r="R102" s="312" t="n">
        <v>2900</v>
      </c>
      <c r="S102" s="312" t="n">
        <v>2272</v>
      </c>
      <c r="T102" s="312" t="n">
        <v>2538</v>
      </c>
      <c r="U102" s="312" t="n">
        <v>1708</v>
      </c>
      <c r="V102" s="312" t="n">
        <v>1487</v>
      </c>
      <c r="W102" s="313" t="n">
        <v>0</v>
      </c>
      <c r="X102" s="314" t="n">
        <f aca="false">EXP(0.585+(0.102*J102)+(0.007*P102)-(0.001*V102)+(0.008*O102)-2.723)</f>
        <v>1.3777881893807</v>
      </c>
      <c r="Y102" s="314" t="n">
        <f aca="false">(X102/(1+X102))</f>
        <v>0.579441093842572</v>
      </c>
      <c r="Z102" s="314" t="n">
        <f aca="false">EXP(1.741+(0.011*P102)-(0.002*V102)+(0.275*J102)-1.952)</f>
        <v>2.82851948519761</v>
      </c>
      <c r="AA102" s="314" t="n">
        <f aca="false">(Z102/(1+Z102))</f>
        <v>0.738802426403641</v>
      </c>
      <c r="AB102" s="304" t="n">
        <v>81</v>
      </c>
      <c r="AC102" s="273" t="n">
        <v>72</v>
      </c>
      <c r="AD102" s="315"/>
      <c r="AE102" s="315"/>
      <c r="AF102" s="315"/>
      <c r="AG102" s="316" t="n">
        <v>45435.723275463</v>
      </c>
      <c r="AH102" s="316" t="n">
        <v>45435.723275463</v>
      </c>
      <c r="AI102" s="309" t="n">
        <f aca="false">(AH102-AG102)*24</f>
        <v>0</v>
      </c>
      <c r="AJ102" s="318" t="n">
        <v>1</v>
      </c>
      <c r="AK102" s="315"/>
      <c r="AL102" s="315"/>
      <c r="AM102" s="315"/>
      <c r="AN102" s="318"/>
      <c r="AO102" s="318" t="n">
        <f aca="false">(AG102-$AO$7)*24</f>
        <v>57.8586111111111</v>
      </c>
      <c r="AP102" s="318" t="n">
        <f aca="false">AO102+35</f>
        <v>92.8586111111111</v>
      </c>
      <c r="AQ102" s="273" t="n">
        <v>1</v>
      </c>
      <c r="AR102" s="273" t="n">
        <v>1</v>
      </c>
      <c r="AS102" s="272" t="s">
        <v>810</v>
      </c>
      <c r="AT102" s="275" t="n">
        <v>45435.625</v>
      </c>
      <c r="AU102" s="319" t="s">
        <v>838</v>
      </c>
      <c r="AV102" s="19" t="n">
        <v>72</v>
      </c>
      <c r="AW102" s="277"/>
      <c r="AX102" s="277"/>
      <c r="AY102" s="277"/>
      <c r="AZ102" s="278" t="n">
        <v>45460.2661574074</v>
      </c>
      <c r="BA102" s="278" t="n">
        <v>45460.2875231481</v>
      </c>
      <c r="BB102" s="279" t="n">
        <f aca="false">(BA102-AZ102)*24</f>
        <v>0.512777777777778</v>
      </c>
      <c r="BC102" s="280" t="n">
        <v>1</v>
      </c>
      <c r="BD102" s="277"/>
      <c r="BE102" s="277"/>
      <c r="BF102" s="277"/>
      <c r="BG102" s="280"/>
      <c r="BH102" s="19" t="n">
        <v>17</v>
      </c>
      <c r="BI102" s="19" t="n">
        <v>1</v>
      </c>
      <c r="BJ102" s="260" t="n">
        <v>1</v>
      </c>
      <c r="BK102" s="273" t="n">
        <v>1</v>
      </c>
      <c r="BL102" s="273"/>
      <c r="BM102" s="273" t="s">
        <v>812</v>
      </c>
      <c r="BN102" s="281" t="s">
        <v>827</v>
      </c>
      <c r="BO102" s="273" t="n">
        <v>1</v>
      </c>
      <c r="BP102" s="265" t="n">
        <v>45584</v>
      </c>
      <c r="BQ102" s="282" t="n">
        <f aca="false">AT102+145</f>
        <v>45580.625</v>
      </c>
      <c r="BR102" s="283" t="n">
        <f aca="false">BP102-AT102</f>
        <v>148.375</v>
      </c>
      <c r="BS102" s="283" t="s">
        <v>35</v>
      </c>
      <c r="BT102" s="281" t="s">
        <v>827</v>
      </c>
      <c r="BU102" s="284" t="n">
        <v>0.2</v>
      </c>
      <c r="BV102" s="284" t="n">
        <v>0.2</v>
      </c>
      <c r="BW102" s="284" t="n">
        <v>0.2</v>
      </c>
      <c r="BX102" s="284" t="n">
        <v>0.2</v>
      </c>
      <c r="BY102" s="284" t="n">
        <v>0.2</v>
      </c>
      <c r="BZ102" s="284" t="n">
        <v>0.2</v>
      </c>
      <c r="CA102" s="284" t="n">
        <v>0.2</v>
      </c>
      <c r="CB102" s="284" t="n">
        <v>0.8327</v>
      </c>
      <c r="CC102" s="284" t="n">
        <v>1.0218</v>
      </c>
      <c r="CD102" s="284" t="n">
        <v>1.2814</v>
      </c>
      <c r="CE102" s="284" t="n">
        <v>1.9564</v>
      </c>
      <c r="CF102" s="285" t="s">
        <v>814</v>
      </c>
      <c r="CG102" s="286" t="s">
        <v>815</v>
      </c>
      <c r="CH102" s="285" t="s">
        <v>814</v>
      </c>
      <c r="CI102" s="288" t="s">
        <v>815</v>
      </c>
      <c r="CJ102" s="289" t="n">
        <v>0.2</v>
      </c>
      <c r="CK102" s="290" t="n">
        <v>0</v>
      </c>
      <c r="CL102" s="290" t="n">
        <v>0.5</v>
      </c>
      <c r="CM102" s="285" t="s">
        <v>814</v>
      </c>
      <c r="CN102" s="286" t="s">
        <v>815</v>
      </c>
      <c r="CO102" s="291" t="s">
        <v>816</v>
      </c>
      <c r="CP102" s="285" t="s">
        <v>810</v>
      </c>
      <c r="CQ102" s="292" t="n">
        <v>5</v>
      </c>
      <c r="CR102" s="293" t="n">
        <v>48</v>
      </c>
      <c r="CS102" s="294" t="n">
        <f aca="false">$CS$7+(CR102/24)</f>
        <v>45435.25</v>
      </c>
      <c r="CT102" s="295" t="n">
        <v>2</v>
      </c>
      <c r="CU102" s="296" t="n">
        <v>0.43302</v>
      </c>
      <c r="CV102" s="297" t="n">
        <f aca="false">(CS102-AG102)*24</f>
        <v>-11.3586111112489</v>
      </c>
      <c r="CW102" s="281" t="s">
        <v>819</v>
      </c>
      <c r="CX102" s="320" t="n">
        <f aca="false">(AT102-CS102)*24</f>
        <v>9</v>
      </c>
      <c r="CY102" s="299" t="s">
        <v>812</v>
      </c>
      <c r="CZ102" s="260" t="s">
        <v>192</v>
      </c>
      <c r="DA102" s="304" t="n">
        <v>81</v>
      </c>
      <c r="DB102" s="306" t="s">
        <v>272</v>
      </c>
    </row>
    <row r="103" customFormat="false" ht="15.75" hidden="false" customHeight="true" outlineLevel="0" collapsed="false">
      <c r="A103" s="273" t="s">
        <v>192</v>
      </c>
      <c r="B103" s="304" t="n">
        <v>82</v>
      </c>
      <c r="C103" s="305" t="n">
        <v>16262711633</v>
      </c>
      <c r="D103" s="306" t="s">
        <v>489</v>
      </c>
      <c r="E103" s="306" t="s">
        <v>490</v>
      </c>
      <c r="F103" s="305" t="s">
        <v>491</v>
      </c>
      <c r="G103" s="305" t="n">
        <v>88999</v>
      </c>
      <c r="H103" s="307"/>
      <c r="I103" s="308" t="n">
        <v>44118</v>
      </c>
      <c r="J103" s="309" t="n">
        <v>3.6027397260274</v>
      </c>
      <c r="K103" s="308" t="n">
        <v>45206</v>
      </c>
      <c r="L103" s="310" t="n">
        <v>70.3</v>
      </c>
      <c r="M103" s="310" t="n">
        <v>3.5</v>
      </c>
      <c r="N103" s="310" t="n">
        <v>3.5</v>
      </c>
      <c r="O103" s="311" t="n">
        <v>227</v>
      </c>
      <c r="P103" s="312" t="n">
        <v>252</v>
      </c>
      <c r="Q103" s="312" t="n">
        <v>1728</v>
      </c>
      <c r="R103" s="312" t="n">
        <v>1595</v>
      </c>
      <c r="S103" s="312" t="n">
        <v>1448</v>
      </c>
      <c r="T103" s="312" t="n">
        <v>1494</v>
      </c>
      <c r="U103" s="312" t="n">
        <v>1344</v>
      </c>
      <c r="V103" s="312" t="n">
        <v>1201</v>
      </c>
      <c r="W103" s="313" t="n">
        <v>27</v>
      </c>
      <c r="X103" s="314" t="n">
        <f aca="false">EXP(1.204+(0.102*J103)+(0.007*P103)-(0.001*V103)+(0.008*O103)-2.723)</f>
        <v>3.41261702189935</v>
      </c>
      <c r="Y103" s="314" t="n">
        <f aca="false">(X103/(1+X103))</f>
        <v>0.773377114978004</v>
      </c>
      <c r="Z103" s="314" t="n">
        <f aca="false">EXP(2.859+(0.011*P103)-(0.002*V103)+(0.275*J103)-1.952)</f>
        <v>9.65767971904807</v>
      </c>
      <c r="AA103" s="314" t="n">
        <f aca="false">(Z103/(1+Z103))</f>
        <v>0.906170946551083</v>
      </c>
      <c r="AB103" s="304" t="n">
        <v>82</v>
      </c>
      <c r="AC103" s="273" t="n">
        <v>42</v>
      </c>
      <c r="AD103" s="315"/>
      <c r="AE103" s="315"/>
      <c r="AF103" s="315"/>
      <c r="AG103" s="316" t="n">
        <v>45434.6712847222</v>
      </c>
      <c r="AH103" s="316" t="n">
        <v>45436.2786574074</v>
      </c>
      <c r="AI103" s="309" t="n">
        <f aca="false">(AH103-AG103)*24</f>
        <v>38.5769444444445</v>
      </c>
      <c r="AJ103" s="318" t="n">
        <v>38.5769444443868</v>
      </c>
      <c r="AK103" s="315"/>
      <c r="AL103" s="315"/>
      <c r="AM103" s="315"/>
      <c r="AN103" s="318"/>
      <c r="AO103" s="318" t="n">
        <f aca="false">(AG103-$AO$7)*24</f>
        <v>32.6108333333333</v>
      </c>
      <c r="AP103" s="318" t="n">
        <f aca="false">AO103+35</f>
        <v>67.6108333333333</v>
      </c>
      <c r="AQ103" s="273" t="n">
        <v>9</v>
      </c>
      <c r="AR103" s="273" t="n">
        <v>2</v>
      </c>
      <c r="AS103" s="273" t="s">
        <v>815</v>
      </c>
      <c r="AT103" s="275" t="n">
        <v>45435.625</v>
      </c>
      <c r="AU103" s="319" t="s">
        <v>821</v>
      </c>
      <c r="AV103" s="19"/>
      <c r="AW103" s="277"/>
      <c r="AX103" s="277"/>
      <c r="AY103" s="277"/>
      <c r="AZ103" s="278"/>
      <c r="BA103" s="278"/>
      <c r="BB103" s="279"/>
      <c r="BC103" s="280"/>
      <c r="BD103" s="277"/>
      <c r="BE103" s="277"/>
      <c r="BF103" s="277"/>
      <c r="BG103" s="280"/>
      <c r="BH103" s="19"/>
      <c r="BI103" s="19"/>
      <c r="BJ103" s="260" t="n">
        <v>1</v>
      </c>
      <c r="BK103" s="273" t="n">
        <v>2</v>
      </c>
      <c r="BL103" s="273"/>
      <c r="BM103" s="273" t="s">
        <v>812</v>
      </c>
      <c r="BN103" s="281" t="s">
        <v>819</v>
      </c>
      <c r="BO103" s="273" t="n">
        <v>2</v>
      </c>
      <c r="BP103" s="265" t="n">
        <v>45584</v>
      </c>
      <c r="BQ103" s="282" t="n">
        <f aca="false">AT103+145</f>
        <v>45580.625</v>
      </c>
      <c r="BR103" s="283" t="n">
        <f aca="false">BP103-AT103</f>
        <v>148.375</v>
      </c>
      <c r="BS103" s="283" t="s">
        <v>35</v>
      </c>
      <c r="BT103" s="281" t="s">
        <v>827</v>
      </c>
      <c r="BU103" s="284" t="n">
        <v>0.2</v>
      </c>
      <c r="BV103" s="284" t="n">
        <v>0.2</v>
      </c>
      <c r="BW103" s="284" t="n">
        <v>0.2</v>
      </c>
      <c r="BX103" s="284" t="n">
        <v>0.2</v>
      </c>
      <c r="BY103" s="284" t="n">
        <v>0.2</v>
      </c>
      <c r="BZ103" s="284" t="n">
        <v>0.2</v>
      </c>
      <c r="CA103" s="284" t="n">
        <v>0.29774</v>
      </c>
      <c r="CB103" s="284" t="n">
        <v>0.91592</v>
      </c>
      <c r="CC103" s="284" t="n">
        <v>1.0637</v>
      </c>
      <c r="CD103" s="284" t="n">
        <v>2.6297</v>
      </c>
      <c r="CE103" s="284" t="n">
        <v>2.8895</v>
      </c>
      <c r="CF103" s="285" t="s">
        <v>814</v>
      </c>
      <c r="CG103" s="286" t="s">
        <v>815</v>
      </c>
      <c r="CH103" s="285" t="s">
        <v>814</v>
      </c>
      <c r="CI103" s="288" t="s">
        <v>815</v>
      </c>
      <c r="CJ103" s="289" t="n">
        <v>0.2</v>
      </c>
      <c r="CK103" s="290" t="n">
        <v>0</v>
      </c>
      <c r="CL103" s="290" t="n">
        <v>0.5</v>
      </c>
      <c r="CM103" s="285" t="s">
        <v>814</v>
      </c>
      <c r="CN103" s="286" t="s">
        <v>815</v>
      </c>
      <c r="CO103" s="291" t="s">
        <v>816</v>
      </c>
      <c r="CP103" s="285" t="s">
        <v>810</v>
      </c>
      <c r="CQ103" s="292" t="n">
        <v>5</v>
      </c>
      <c r="CR103" s="293" t="n">
        <v>48</v>
      </c>
      <c r="CS103" s="294" t="n">
        <f aca="false">$CS$7+(CR103/24)</f>
        <v>45435.25</v>
      </c>
      <c r="CT103" s="295" t="n">
        <v>2</v>
      </c>
      <c r="CU103" s="296" t="n">
        <v>0.46701</v>
      </c>
      <c r="CV103" s="297" t="n">
        <f aca="false">(CS103-AG103)*24</f>
        <v>13.8891666666667</v>
      </c>
      <c r="CW103" s="281" t="s">
        <v>819</v>
      </c>
      <c r="CX103" s="320" t="n">
        <f aca="false">(AT103-CS103)*24</f>
        <v>9</v>
      </c>
      <c r="CY103" s="299" t="s">
        <v>812</v>
      </c>
      <c r="CZ103" s="260" t="s">
        <v>192</v>
      </c>
      <c r="DA103" s="304" t="n">
        <v>82</v>
      </c>
      <c r="DB103" s="306" t="s">
        <v>489</v>
      </c>
    </row>
    <row r="104" customFormat="false" ht="15.75" hidden="false" customHeight="true" outlineLevel="0" collapsed="false">
      <c r="A104" s="273" t="s">
        <v>192</v>
      </c>
      <c r="B104" s="304" t="n">
        <v>83</v>
      </c>
      <c r="C104" s="305" t="n">
        <v>16262711697</v>
      </c>
      <c r="D104" s="306" t="s">
        <v>393</v>
      </c>
      <c r="E104" s="306" t="s">
        <v>394</v>
      </c>
      <c r="F104" s="305" t="s">
        <v>395</v>
      </c>
      <c r="G104" s="305" t="n">
        <v>88632</v>
      </c>
      <c r="H104" s="307"/>
      <c r="I104" s="308" t="n">
        <v>44118</v>
      </c>
      <c r="J104" s="309" t="n">
        <v>3.6027397260274</v>
      </c>
      <c r="K104" s="308" t="n">
        <v>45209</v>
      </c>
      <c r="L104" s="310" t="n">
        <v>74.8</v>
      </c>
      <c r="M104" s="310" t="n">
        <v>3.75</v>
      </c>
      <c r="N104" s="310" t="n">
        <v>3.75</v>
      </c>
      <c r="O104" s="311" t="n">
        <v>224</v>
      </c>
      <c r="P104" s="312" t="n">
        <v>235</v>
      </c>
      <c r="Q104" s="312" t="n">
        <v>2235</v>
      </c>
      <c r="R104" s="312" t="n">
        <v>2175</v>
      </c>
      <c r="S104" s="312" t="n">
        <v>1902</v>
      </c>
      <c r="T104" s="312" t="n">
        <v>1410</v>
      </c>
      <c r="U104" s="312" t="n">
        <v>1428</v>
      </c>
      <c r="V104" s="312" t="n">
        <v>1201</v>
      </c>
      <c r="W104" s="313" t="n">
        <v>0</v>
      </c>
      <c r="X104" s="314" t="n">
        <f aca="false">EXP(1.204+(0.102*J104)+(0.007*P104)-(0.001*V104)+(0.008*O104)-2.723)</f>
        <v>2.95789968931327</v>
      </c>
      <c r="Y104" s="314" t="n">
        <f aca="false">(X104/(1+X104))</f>
        <v>0.747340741681731</v>
      </c>
      <c r="Z104" s="314" t="n">
        <f aca="false">EXP(2.859+(0.011*P104)-(0.002*V104)+(0.275*J104)-1.952)</f>
        <v>8.01050195098076</v>
      </c>
      <c r="AA104" s="314" t="n">
        <f aca="false">(Z104/(1+Z104))</f>
        <v>0.88901839149026</v>
      </c>
      <c r="AB104" s="304" t="n">
        <v>83</v>
      </c>
      <c r="AC104" s="273" t="n">
        <v>71</v>
      </c>
      <c r="AD104" s="315"/>
      <c r="AE104" s="315"/>
      <c r="AF104" s="315"/>
      <c r="AG104" s="316" t="n">
        <v>45435.698587963</v>
      </c>
      <c r="AH104" s="316" t="n">
        <v>45435.9923611111</v>
      </c>
      <c r="AI104" s="309" t="n">
        <f aca="false">(AH104-AG104)*24</f>
        <v>7.05055555555556</v>
      </c>
      <c r="AJ104" s="318" t="n">
        <v>7.05055555544095</v>
      </c>
      <c r="AK104" s="315"/>
      <c r="AL104" s="315"/>
      <c r="AM104" s="315"/>
      <c r="AN104" s="318"/>
      <c r="AO104" s="318" t="n">
        <f aca="false">(AG104-$AO$7)*24</f>
        <v>57.2661111111111</v>
      </c>
      <c r="AP104" s="318" t="n">
        <f aca="false">AO104+35</f>
        <v>92.2661111111111</v>
      </c>
      <c r="AQ104" s="273" t="n">
        <v>5</v>
      </c>
      <c r="AR104" s="273" t="n">
        <v>1</v>
      </c>
      <c r="AS104" s="272" t="s">
        <v>810</v>
      </c>
      <c r="AT104" s="275" t="n">
        <v>45435.625</v>
      </c>
      <c r="AU104" s="276" t="s">
        <v>811</v>
      </c>
      <c r="AV104" s="19" t="n">
        <v>71</v>
      </c>
      <c r="AW104" s="277"/>
      <c r="AX104" s="277"/>
      <c r="AY104" s="277"/>
      <c r="AZ104" s="278" t="n">
        <v>45453.2372106482</v>
      </c>
      <c r="BA104" s="278" t="n">
        <v>45453.902037037</v>
      </c>
      <c r="BB104" s="279" t="n">
        <f aca="false">(BA104-AZ104)*24</f>
        <v>15.9558333333333</v>
      </c>
      <c r="BC104" s="280" t="n">
        <v>15.9558333332534</v>
      </c>
      <c r="BD104" s="277"/>
      <c r="BE104" s="277"/>
      <c r="BF104" s="277"/>
      <c r="BG104" s="280"/>
      <c r="BH104" s="19" t="n">
        <v>102</v>
      </c>
      <c r="BI104" s="19" t="n">
        <v>3</v>
      </c>
      <c r="BJ104" s="273" t="n">
        <v>0</v>
      </c>
      <c r="BK104" s="273"/>
      <c r="BL104" s="273" t="s">
        <v>826</v>
      </c>
      <c r="BM104" s="273" t="s">
        <v>106</v>
      </c>
      <c r="BN104" s="281" t="s">
        <v>819</v>
      </c>
      <c r="BO104" s="273" t="n">
        <v>2</v>
      </c>
      <c r="BP104" s="265" t="n">
        <v>45599</v>
      </c>
      <c r="BQ104" s="282" t="n">
        <f aca="false">AZ104+145</f>
        <v>45598.2372106482</v>
      </c>
      <c r="BR104" s="283" t="n">
        <f aca="false">BP104-AT104</f>
        <v>163.375</v>
      </c>
      <c r="BS104" s="283" t="s">
        <v>106</v>
      </c>
      <c r="BT104" s="281" t="s">
        <v>827</v>
      </c>
      <c r="BU104" s="284" t="n">
        <v>0.2</v>
      </c>
      <c r="BV104" s="284" t="n">
        <v>4.9965</v>
      </c>
      <c r="BW104" s="284" t="n">
        <v>0.2</v>
      </c>
      <c r="BX104" s="284" t="n">
        <v>0.2</v>
      </c>
      <c r="BY104" s="284" t="n">
        <v>0.2</v>
      </c>
      <c r="BZ104" s="284" t="n">
        <v>0.2</v>
      </c>
      <c r="CA104" s="284" t="n">
        <v>0.2</v>
      </c>
      <c r="CB104" s="284" t="n">
        <v>1.2354</v>
      </c>
      <c r="CC104" s="284" t="n">
        <v>1.815</v>
      </c>
      <c r="CD104" s="284" t="n">
        <v>2.5965</v>
      </c>
      <c r="CE104" s="284" t="n">
        <v>2.6098</v>
      </c>
      <c r="CF104" s="325" t="s">
        <v>55</v>
      </c>
      <c r="CG104" s="327" t="s">
        <v>815</v>
      </c>
      <c r="CH104" s="325" t="s">
        <v>55</v>
      </c>
      <c r="CI104" s="326" t="s">
        <v>815</v>
      </c>
      <c r="CJ104" s="289" t="n">
        <v>0.2</v>
      </c>
      <c r="CK104" s="290" t="n">
        <v>0</v>
      </c>
      <c r="CL104" s="290" t="n">
        <v>0.5</v>
      </c>
      <c r="CM104" s="325" t="s">
        <v>55</v>
      </c>
      <c r="CN104" s="327" t="s">
        <v>815</v>
      </c>
      <c r="CO104" s="291" t="s">
        <v>816</v>
      </c>
      <c r="CP104" s="285" t="s">
        <v>810</v>
      </c>
      <c r="CQ104" s="292" t="n">
        <v>5</v>
      </c>
      <c r="CR104" s="333" t="n">
        <v>60</v>
      </c>
      <c r="CS104" s="294" t="n">
        <f aca="false">$CS$7+(CR104/24)</f>
        <v>45435.75</v>
      </c>
      <c r="CT104" s="295" t="n">
        <v>1.5</v>
      </c>
      <c r="CU104" s="296" t="n">
        <v>0.31433</v>
      </c>
      <c r="CV104" s="297" t="n">
        <f aca="false">(CS104-AG104)*24</f>
        <v>1.23388888888889</v>
      </c>
      <c r="CW104" s="281" t="s">
        <v>819</v>
      </c>
      <c r="CX104" s="320" t="n">
        <f aca="false">(AT104-CS104)*24</f>
        <v>-3</v>
      </c>
      <c r="CY104" s="338" t="s">
        <v>106</v>
      </c>
      <c r="CZ104" s="260" t="s">
        <v>192</v>
      </c>
      <c r="DA104" s="304" t="n">
        <v>83</v>
      </c>
      <c r="DB104" s="306" t="s">
        <v>393</v>
      </c>
    </row>
    <row r="105" customFormat="false" ht="15.75" hidden="false" customHeight="true" outlineLevel="0" collapsed="false">
      <c r="A105" s="273" t="s">
        <v>192</v>
      </c>
      <c r="B105" s="304" t="n">
        <v>84</v>
      </c>
      <c r="C105" s="305" t="n">
        <v>16262711786</v>
      </c>
      <c r="D105" s="306" t="s">
        <v>516</v>
      </c>
      <c r="E105" s="306" t="s">
        <v>517</v>
      </c>
      <c r="F105" s="305" t="s">
        <v>518</v>
      </c>
      <c r="G105" s="305" t="n">
        <v>89375</v>
      </c>
      <c r="H105" s="307"/>
      <c r="I105" s="308" t="n">
        <v>44120</v>
      </c>
      <c r="J105" s="309" t="n">
        <v>3.5972602739726</v>
      </c>
      <c r="K105" s="308" t="n">
        <v>45205</v>
      </c>
      <c r="L105" s="310" t="n">
        <v>62.4</v>
      </c>
      <c r="M105" s="310" t="n">
        <v>3</v>
      </c>
      <c r="N105" s="310" t="n">
        <v>3</v>
      </c>
      <c r="O105" s="311" t="n">
        <v>228</v>
      </c>
      <c r="P105" s="312" t="n">
        <v>280</v>
      </c>
      <c r="Q105" s="312" t="n">
        <v>2920</v>
      </c>
      <c r="R105" s="312" t="n">
        <v>1972</v>
      </c>
      <c r="S105" s="312" t="n">
        <v>1846</v>
      </c>
      <c r="T105" s="312" t="n">
        <v>1720</v>
      </c>
      <c r="U105" s="312" t="n">
        <v>1400</v>
      </c>
      <c r="V105" s="312" t="n">
        <v>1201</v>
      </c>
      <c r="W105" s="313" t="n">
        <v>-105</v>
      </c>
      <c r="X105" s="314" t="n">
        <f aca="false">EXP(0.585+(0.102*J105)+(0.007*P105)-(0.001*V105)+(0.008*O105)-2.723)</f>
        <v>2.25222935010584</v>
      </c>
      <c r="Y105" s="314" t="n">
        <f aca="false">(X105/(1+X105))</f>
        <v>0.69251861035955</v>
      </c>
      <c r="Z105" s="314" t="n">
        <f aca="false">EXP(1.741+(0.011*P105)-(0.002*V105)+(0.275*J105)-1.952)</f>
        <v>4.28982772736595</v>
      </c>
      <c r="AA105" s="314" t="n">
        <f aca="false">(Z105/(1+Z105))</f>
        <v>0.810957926885466</v>
      </c>
      <c r="AB105" s="304" t="n">
        <v>84</v>
      </c>
      <c r="AC105" s="273" t="n">
        <v>77</v>
      </c>
      <c r="AD105" s="382" t="n">
        <v>45435.7987152778</v>
      </c>
      <c r="AE105" s="317" t="n">
        <v>45442.5783217593</v>
      </c>
      <c r="AF105" s="309" t="n">
        <f aca="false">(AE105-AD105)*24</f>
        <v>162.710555555556</v>
      </c>
      <c r="AG105" s="382" t="n">
        <v>45435.7987152778</v>
      </c>
      <c r="AH105" s="382" t="n">
        <v>45435.7987152778</v>
      </c>
      <c r="AI105" s="309" t="n">
        <f aca="false">(AH105-AG105)*24</f>
        <v>0</v>
      </c>
      <c r="AJ105" s="318" t="n">
        <v>1</v>
      </c>
      <c r="AK105" s="317" t="n">
        <v>45442.5783217593</v>
      </c>
      <c r="AL105" s="317" t="n">
        <v>45442.5783217593</v>
      </c>
      <c r="AM105" s="309" t="n">
        <f aca="false">(AL105-AK105)*24</f>
        <v>0</v>
      </c>
      <c r="AN105" s="318" t="n">
        <v>1</v>
      </c>
      <c r="AO105" s="318" t="n">
        <f aca="false">(AG105-$AO$7)*24</f>
        <v>59.6691666666667</v>
      </c>
      <c r="AP105" s="318" t="n">
        <f aca="false">AO105+35</f>
        <v>94.6691666666667</v>
      </c>
      <c r="AQ105" s="273" t="n">
        <v>2</v>
      </c>
      <c r="AR105" s="273" t="n">
        <v>2</v>
      </c>
      <c r="AS105" s="272" t="s">
        <v>810</v>
      </c>
      <c r="AT105" s="275" t="n">
        <v>45435.625</v>
      </c>
      <c r="AU105" s="276" t="s">
        <v>811</v>
      </c>
      <c r="AV105" s="19"/>
      <c r="AW105" s="277"/>
      <c r="AX105" s="277"/>
      <c r="AY105" s="277"/>
      <c r="AZ105" s="278"/>
      <c r="BA105" s="278"/>
      <c r="BB105" s="279"/>
      <c r="BC105" s="280"/>
      <c r="BD105" s="277"/>
      <c r="BE105" s="277"/>
      <c r="BF105" s="277"/>
      <c r="BG105" s="280"/>
      <c r="BH105" s="19"/>
      <c r="BI105" s="19"/>
      <c r="BJ105" s="260" t="n">
        <v>1</v>
      </c>
      <c r="BK105" s="273" t="n">
        <v>2</v>
      </c>
      <c r="BL105" s="273"/>
      <c r="BM105" s="273" t="s">
        <v>812</v>
      </c>
      <c r="BN105" s="281" t="s">
        <v>840</v>
      </c>
      <c r="BO105" s="273" t="n">
        <v>2</v>
      </c>
      <c r="BP105" s="265" t="n">
        <v>45582</v>
      </c>
      <c r="BQ105" s="282" t="n">
        <f aca="false">AT105+145</f>
        <v>45580.625</v>
      </c>
      <c r="BR105" s="283" t="n">
        <f aca="false">BP105-AT105</f>
        <v>146.375</v>
      </c>
      <c r="BS105" s="283" t="s">
        <v>35</v>
      </c>
      <c r="BT105" s="281" t="s">
        <v>840</v>
      </c>
      <c r="BU105" s="284" t="n">
        <v>1.1082</v>
      </c>
      <c r="BV105" s="284" t="n">
        <v>0.2</v>
      </c>
      <c r="BW105" s="284" t="n">
        <v>0.2</v>
      </c>
      <c r="BX105" s="284" t="n">
        <v>0.2</v>
      </c>
      <c r="BY105" s="284" t="n">
        <v>0.2</v>
      </c>
      <c r="BZ105" s="284" t="n">
        <v>0.2</v>
      </c>
      <c r="CA105" s="284" t="n">
        <v>0.43658</v>
      </c>
      <c r="CB105" s="284" t="n">
        <v>0.2</v>
      </c>
      <c r="CC105" s="284" t="n">
        <v>0.82252</v>
      </c>
      <c r="CD105" s="284" t="n">
        <v>3.4826</v>
      </c>
      <c r="CE105" s="284" t="n">
        <v>2.0261</v>
      </c>
      <c r="CF105" s="285" t="s">
        <v>814</v>
      </c>
      <c r="CG105" s="286" t="s">
        <v>815</v>
      </c>
      <c r="CH105" s="325" t="s">
        <v>55</v>
      </c>
      <c r="CI105" s="326" t="s">
        <v>815</v>
      </c>
      <c r="CJ105" s="289" t="n">
        <v>0.2</v>
      </c>
      <c r="CK105" s="290" t="n">
        <v>0</v>
      </c>
      <c r="CL105" s="290" t="n">
        <v>0.5</v>
      </c>
      <c r="CM105" s="325" t="s">
        <v>55</v>
      </c>
      <c r="CN105" s="327" t="s">
        <v>815</v>
      </c>
      <c r="CO105" s="291" t="s">
        <v>816</v>
      </c>
      <c r="CP105" s="285" t="s">
        <v>810</v>
      </c>
      <c r="CQ105" s="292" t="n">
        <v>6</v>
      </c>
      <c r="CR105" s="293" t="n">
        <v>72</v>
      </c>
      <c r="CS105" s="294" t="n">
        <f aca="false">$CS$7+(CR105/24)</f>
        <v>45436.25</v>
      </c>
      <c r="CT105" s="295" t="n">
        <v>1</v>
      </c>
      <c r="CU105" s="296" t="n">
        <v>0.38561</v>
      </c>
      <c r="CV105" s="297" t="n">
        <f aca="false">(CS105-AG105)*24</f>
        <v>10.8308333333333</v>
      </c>
      <c r="CW105" s="281" t="s">
        <v>819</v>
      </c>
      <c r="CX105" s="320" t="n">
        <f aca="false">(AT105-CS105)*24</f>
        <v>-15</v>
      </c>
      <c r="CY105" s="299" t="s">
        <v>812</v>
      </c>
      <c r="CZ105" s="260" t="s">
        <v>192</v>
      </c>
      <c r="DA105" s="304" t="n">
        <v>84</v>
      </c>
      <c r="DB105" s="306" t="s">
        <v>516</v>
      </c>
    </row>
    <row r="106" customFormat="false" ht="15.75" hidden="false" customHeight="true" outlineLevel="0" collapsed="false">
      <c r="A106" s="273" t="s">
        <v>192</v>
      </c>
      <c r="B106" s="304" t="n">
        <v>85</v>
      </c>
      <c r="C106" s="305" t="n">
        <v>16262721103</v>
      </c>
      <c r="D106" s="306" t="s">
        <v>430</v>
      </c>
      <c r="E106" s="306" t="s">
        <v>431</v>
      </c>
      <c r="F106" s="305" t="s">
        <v>432</v>
      </c>
      <c r="G106" s="305" t="n">
        <v>88748</v>
      </c>
      <c r="H106" s="307"/>
      <c r="I106" s="308" t="n">
        <v>44478</v>
      </c>
      <c r="J106" s="309" t="n">
        <v>2.61643835616438</v>
      </c>
      <c r="K106" s="308" t="n">
        <v>45202</v>
      </c>
      <c r="L106" s="310" t="n">
        <v>79.4</v>
      </c>
      <c r="M106" s="310" t="n">
        <v>3.75</v>
      </c>
      <c r="N106" s="310" t="n">
        <v>3.75</v>
      </c>
      <c r="O106" s="311" t="n">
        <v>231</v>
      </c>
      <c r="P106" s="312" t="n">
        <v>233</v>
      </c>
      <c r="Q106" s="312" t="n">
        <v>2473</v>
      </c>
      <c r="R106" s="312" t="n">
        <v>1827</v>
      </c>
      <c r="S106" s="312" t="n">
        <v>1533</v>
      </c>
      <c r="T106" s="312" t="n">
        <v>874</v>
      </c>
      <c r="U106" s="312" t="n">
        <v>812</v>
      </c>
      <c r="V106" s="312" t="n">
        <v>715</v>
      </c>
      <c r="W106" s="313" t="n">
        <v>-71</v>
      </c>
      <c r="X106" s="314" t="n">
        <f aca="false">EXP(1.204+(0.102*J106)+(0.007*P106)-(0.001*V106)+(0.008*O106)-2.723)</f>
        <v>4.53523414247835</v>
      </c>
      <c r="Y106" s="314" t="n">
        <f aca="false">(X106/(1+X106))</f>
        <v>0.819339168992722</v>
      </c>
      <c r="Z106" s="314" t="n">
        <f aca="false">EXP(2.859+(0.011*P106)-(0.002*V106)+(0.275*J106)-1.952)</f>
        <v>15.7922694967919</v>
      </c>
      <c r="AA106" s="314" t="n">
        <f aca="false">(Z106/(1+Z106))</f>
        <v>0.940448788045532</v>
      </c>
      <c r="AB106" s="304" t="n">
        <v>85</v>
      </c>
      <c r="AC106" s="273" t="n">
        <v>50</v>
      </c>
      <c r="AD106" s="315"/>
      <c r="AE106" s="315"/>
      <c r="AF106" s="315"/>
      <c r="AG106" s="317" t="n">
        <v>45434.9088657407</v>
      </c>
      <c r="AH106" s="317" t="n">
        <v>45435.2385185185</v>
      </c>
      <c r="AI106" s="309" t="n">
        <f aca="false">(AH106-AG106)*24</f>
        <v>7.91166666666667</v>
      </c>
      <c r="AJ106" s="318" t="n">
        <v>7.91166666668141</v>
      </c>
      <c r="AK106" s="315"/>
      <c r="AL106" s="315"/>
      <c r="AM106" s="315"/>
      <c r="AN106" s="318"/>
      <c r="AO106" s="318" t="n">
        <f aca="false">(AG106-$AO$7)*24</f>
        <v>38.3127777777778</v>
      </c>
      <c r="AP106" s="318" t="n">
        <f aca="false">AO106+35</f>
        <v>73.3127777777778</v>
      </c>
      <c r="AQ106" s="273" t="n">
        <v>2</v>
      </c>
      <c r="AR106" s="273" t="n">
        <v>1</v>
      </c>
      <c r="AS106" s="273" t="s">
        <v>815</v>
      </c>
      <c r="AT106" s="275" t="n">
        <v>45435.625</v>
      </c>
      <c r="AU106" s="276" t="s">
        <v>811</v>
      </c>
      <c r="AV106" s="19" t="n">
        <v>50</v>
      </c>
      <c r="AW106" s="277"/>
      <c r="AX106" s="277"/>
      <c r="AY106" s="277"/>
      <c r="AZ106" s="278" t="n">
        <v>45450.598900463</v>
      </c>
      <c r="BA106" s="278" t="n">
        <v>45450.6723148148</v>
      </c>
      <c r="BB106" s="279" t="n">
        <f aca="false">(BA106-AZ106)*24</f>
        <v>1.76194444444444</v>
      </c>
      <c r="BC106" s="280" t="n">
        <v>1.76194444438443</v>
      </c>
      <c r="BD106" s="277"/>
      <c r="BE106" s="277"/>
      <c r="BF106" s="277"/>
      <c r="BG106" s="280"/>
      <c r="BH106" s="19" t="n">
        <v>2</v>
      </c>
      <c r="BI106" s="19" t="n">
        <v>2</v>
      </c>
      <c r="BJ106" s="260" t="n">
        <v>1</v>
      </c>
      <c r="BK106" s="273" t="n">
        <v>1</v>
      </c>
      <c r="BL106" s="273"/>
      <c r="BM106" s="273" t="s">
        <v>812</v>
      </c>
      <c r="BN106" s="281" t="s">
        <v>819</v>
      </c>
      <c r="BO106" s="273" t="n">
        <v>1</v>
      </c>
      <c r="BP106" s="265" t="n">
        <v>45583</v>
      </c>
      <c r="BQ106" s="282" t="n">
        <f aca="false">AT106+145</f>
        <v>45580.625</v>
      </c>
      <c r="BR106" s="283" t="n">
        <f aca="false">BP106-AT106</f>
        <v>147.375</v>
      </c>
      <c r="BS106" s="283" t="s">
        <v>35</v>
      </c>
      <c r="BT106" s="281" t="s">
        <v>819</v>
      </c>
      <c r="BU106" s="284" t="n">
        <v>0.2</v>
      </c>
      <c r="BV106" s="284" t="n">
        <v>0.35021</v>
      </c>
      <c r="BW106" s="284" t="n">
        <v>0.2</v>
      </c>
      <c r="BX106" s="284" t="n">
        <v>0.2</v>
      </c>
      <c r="BY106" s="284" t="n">
        <v>0.2</v>
      </c>
      <c r="BZ106" s="284" t="n">
        <v>0.60041</v>
      </c>
      <c r="CA106" s="284" t="n">
        <v>0.51412</v>
      </c>
      <c r="CB106" s="284" t="n">
        <v>0.71306</v>
      </c>
      <c r="CC106" s="284" t="n">
        <v>1.2735</v>
      </c>
      <c r="CD106" s="284" t="n">
        <v>1.9745</v>
      </c>
      <c r="CE106" s="284" t="n">
        <v>2.1092</v>
      </c>
      <c r="CF106" s="285" t="s">
        <v>814</v>
      </c>
      <c r="CG106" s="286" t="s">
        <v>815</v>
      </c>
      <c r="CH106" s="285" t="s">
        <v>814</v>
      </c>
      <c r="CI106" s="288" t="s">
        <v>815</v>
      </c>
      <c r="CJ106" s="289" t="n">
        <v>0.29177</v>
      </c>
      <c r="CK106" s="290" t="n">
        <v>0.162702682706832</v>
      </c>
      <c r="CL106" s="290" t="n">
        <v>0.617175365413664</v>
      </c>
      <c r="CM106" s="285" t="s">
        <v>814</v>
      </c>
      <c r="CN106" s="286" t="s">
        <v>815</v>
      </c>
      <c r="CO106" s="291" t="s">
        <v>816</v>
      </c>
      <c r="CP106" s="285" t="s">
        <v>810</v>
      </c>
      <c r="CQ106" s="292" t="n">
        <v>5</v>
      </c>
      <c r="CR106" s="293" t="n">
        <v>48</v>
      </c>
      <c r="CS106" s="294" t="n">
        <f aca="false">$CS$7+(CR106/24)</f>
        <v>45435.25</v>
      </c>
      <c r="CT106" s="295" t="n">
        <v>2</v>
      </c>
      <c r="CU106" s="296" t="n">
        <v>0.40252</v>
      </c>
      <c r="CV106" s="297" t="n">
        <f aca="false">(CS106-AG106)*24</f>
        <v>8.18722222222222</v>
      </c>
      <c r="CW106" s="281" t="s">
        <v>819</v>
      </c>
      <c r="CX106" s="320" t="n">
        <f aca="false">(AT106-CS106)*24</f>
        <v>9</v>
      </c>
      <c r="CY106" s="299" t="s">
        <v>812</v>
      </c>
      <c r="CZ106" s="260" t="s">
        <v>192</v>
      </c>
      <c r="DA106" s="304" t="n">
        <v>85</v>
      </c>
      <c r="DB106" s="306" t="s">
        <v>430</v>
      </c>
    </row>
    <row r="107" customFormat="false" ht="15.75" hidden="false" customHeight="true" outlineLevel="0" collapsed="false">
      <c r="A107" s="273" t="s">
        <v>192</v>
      </c>
      <c r="B107" s="304" t="n">
        <v>86</v>
      </c>
      <c r="C107" s="305" t="n">
        <v>16262721136</v>
      </c>
      <c r="D107" s="306" t="s">
        <v>507</v>
      </c>
      <c r="E107" s="306" t="s">
        <v>508</v>
      </c>
      <c r="F107" s="305" t="s">
        <v>509</v>
      </c>
      <c r="G107" s="305" t="n">
        <v>89127</v>
      </c>
      <c r="H107" s="307"/>
      <c r="I107" s="308" t="n">
        <v>44479</v>
      </c>
      <c r="J107" s="309" t="n">
        <v>2.61369863013699</v>
      </c>
      <c r="K107" s="308" t="n">
        <v>45206</v>
      </c>
      <c r="L107" s="310" t="n">
        <v>65.8</v>
      </c>
      <c r="M107" s="310" t="n">
        <v>3.75</v>
      </c>
      <c r="N107" s="310" t="n">
        <v>3.5</v>
      </c>
      <c r="O107" s="311" t="n">
        <v>227</v>
      </c>
      <c r="P107" s="312" t="n">
        <v>258</v>
      </c>
      <c r="Q107" s="312" t="n">
        <v>2235</v>
      </c>
      <c r="R107" s="312" t="n">
        <v>2204</v>
      </c>
      <c r="S107" s="312" t="n">
        <v>2215</v>
      </c>
      <c r="T107" s="312" t="n">
        <v>1720</v>
      </c>
      <c r="U107" s="312" t="n">
        <v>1428</v>
      </c>
      <c r="V107" s="312" t="n">
        <v>1115</v>
      </c>
      <c r="W107" s="313" t="n">
        <v>-9</v>
      </c>
      <c r="X107" s="314" t="n">
        <f aca="false">EXP(1.204+(0.102*J107)+(0.007*P107)-(0.001*V107)+(0.008*O107)-2.723)</f>
        <v>3.50642591292301</v>
      </c>
      <c r="Y107" s="314" t="n">
        <f aca="false">(X107/(1+X107))</f>
        <v>0.778094654317446</v>
      </c>
      <c r="Z107" s="314" t="n">
        <f aca="false">EXP(2.859+(0.011*P107)-(0.002*V107)+(0.275*J107)-1.952)</f>
        <v>9.33496589271665</v>
      </c>
      <c r="AA107" s="314" t="n">
        <f aca="false">(Z107/(1+Z107))</f>
        <v>0.903241093354287</v>
      </c>
      <c r="AB107" s="304" t="n">
        <v>86</v>
      </c>
      <c r="AC107" s="273" t="n">
        <v>74</v>
      </c>
      <c r="AD107" s="315"/>
      <c r="AE107" s="315"/>
      <c r="AF107" s="315"/>
      <c r="AG107" s="317" t="n">
        <v>45435.7780324074</v>
      </c>
      <c r="AH107" s="317" t="n">
        <v>45435.7780324074</v>
      </c>
      <c r="AI107" s="309" t="n">
        <f aca="false">(AH107-AG107)*24</f>
        <v>0</v>
      </c>
      <c r="AJ107" s="318" t="n">
        <v>1</v>
      </c>
      <c r="AK107" s="315"/>
      <c r="AL107" s="315"/>
      <c r="AM107" s="315"/>
      <c r="AN107" s="318"/>
      <c r="AO107" s="318" t="n">
        <f aca="false">(AG107-$AO$7)*24</f>
        <v>59.1727777777778</v>
      </c>
      <c r="AP107" s="318" t="n">
        <f aca="false">AO107+35</f>
        <v>94.1727777777778</v>
      </c>
      <c r="AQ107" s="273" t="n">
        <v>2</v>
      </c>
      <c r="AR107" s="273" t="n">
        <v>1</v>
      </c>
      <c r="AS107" s="272" t="s">
        <v>810</v>
      </c>
      <c r="AT107" s="275" t="n">
        <v>45435.625</v>
      </c>
      <c r="AU107" s="319" t="s">
        <v>824</v>
      </c>
      <c r="AV107" s="19" t="n">
        <v>74</v>
      </c>
      <c r="AW107" s="278" t="n">
        <v>45449.5091087963</v>
      </c>
      <c r="AX107" s="278" t="n">
        <v>45456.6231018519</v>
      </c>
      <c r="AY107" s="279" t="n">
        <f aca="false">(AX107-AW107)*24</f>
        <v>170.735833333333</v>
      </c>
      <c r="AZ107" s="278" t="n">
        <v>45454.6131828704</v>
      </c>
      <c r="BA107" s="278" t="n">
        <v>45456.6231018519</v>
      </c>
      <c r="BB107" s="279" t="n">
        <f aca="false">(BA107-AZ107)*24</f>
        <v>48.2380555555556</v>
      </c>
      <c r="BC107" s="280" t="n">
        <v>48.2380555554992</v>
      </c>
      <c r="BD107" s="277"/>
      <c r="BE107" s="277"/>
      <c r="BF107" s="277"/>
      <c r="BG107" s="280"/>
      <c r="BH107" s="19" t="n">
        <v>17</v>
      </c>
      <c r="BI107" s="19" t="n">
        <v>3</v>
      </c>
      <c r="BJ107" s="273" t="n">
        <v>0</v>
      </c>
      <c r="BK107" s="273"/>
      <c r="BL107" s="273" t="s">
        <v>826</v>
      </c>
      <c r="BM107" s="273" t="s">
        <v>106</v>
      </c>
      <c r="BN107" s="281" t="s">
        <v>819</v>
      </c>
      <c r="BO107" s="273" t="n">
        <v>1</v>
      </c>
      <c r="BP107" s="265" t="n">
        <v>45609</v>
      </c>
      <c r="BQ107" s="282" t="n">
        <f aca="false">AZ107+145</f>
        <v>45599.6131828704</v>
      </c>
      <c r="BR107" s="283" t="n">
        <f aca="false">BP107-AT107</f>
        <v>173.375</v>
      </c>
      <c r="BS107" s="283" t="s">
        <v>830</v>
      </c>
      <c r="BT107" s="281" t="s">
        <v>827</v>
      </c>
      <c r="BU107" s="284" t="n">
        <v>0.38151</v>
      </c>
      <c r="BV107" s="284" t="n">
        <v>0.2</v>
      </c>
      <c r="BW107" s="284" t="n">
        <v>0.2</v>
      </c>
      <c r="BX107" s="284" t="n">
        <v>0.2</v>
      </c>
      <c r="BY107" s="284" t="n">
        <v>0.2</v>
      </c>
      <c r="BZ107" s="284" t="n">
        <v>0.36277</v>
      </c>
      <c r="CA107" s="284" t="n">
        <v>0.80945</v>
      </c>
      <c r="CB107" s="284" t="n">
        <v>0.2</v>
      </c>
      <c r="CC107" s="284" t="n">
        <v>0.2</v>
      </c>
      <c r="CD107" s="284" t="n">
        <v>0.2</v>
      </c>
      <c r="CE107" s="284" t="n">
        <v>0.70673</v>
      </c>
      <c r="CF107" s="285" t="s">
        <v>814</v>
      </c>
      <c r="CG107" s="332" t="s">
        <v>810</v>
      </c>
      <c r="CH107" s="285" t="s">
        <v>814</v>
      </c>
      <c r="CI107" s="335" t="s">
        <v>810</v>
      </c>
      <c r="CJ107" s="289" t="n">
        <v>0.25738</v>
      </c>
      <c r="CK107" s="290" t="n">
        <v>0.0890900292962126</v>
      </c>
      <c r="CL107" s="290" t="n">
        <v>0.435560058592425</v>
      </c>
      <c r="CM107" s="285" t="s">
        <v>814</v>
      </c>
      <c r="CN107" s="336" t="s">
        <v>810</v>
      </c>
      <c r="CO107" s="291" t="s">
        <v>828</v>
      </c>
      <c r="CP107" s="285" t="s">
        <v>810</v>
      </c>
      <c r="CQ107" s="337"/>
      <c r="CR107" s="293" t="n">
        <v>120</v>
      </c>
      <c r="CS107" s="294" t="n">
        <f aca="false">$CS$7+(CR107/24)</f>
        <v>45438.25</v>
      </c>
      <c r="CT107" s="295"/>
      <c r="CU107" s="296" t="n">
        <v>0.34227</v>
      </c>
      <c r="CV107" s="297" t="n">
        <f aca="false">(CS107-AG107)*24</f>
        <v>59.3272222222222</v>
      </c>
      <c r="CW107" s="281" t="s">
        <v>819</v>
      </c>
      <c r="CX107" s="383" t="n">
        <f aca="false">(AT107-CS107)*24</f>
        <v>-63</v>
      </c>
      <c r="CY107" s="338" t="s">
        <v>106</v>
      </c>
      <c r="CZ107" s="260" t="s">
        <v>192</v>
      </c>
      <c r="DA107" s="304" t="n">
        <v>86</v>
      </c>
      <c r="DB107" s="306" t="s">
        <v>507</v>
      </c>
    </row>
    <row r="108" customFormat="false" ht="15.75" hidden="false" customHeight="true" outlineLevel="0" collapsed="false">
      <c r="A108" s="273" t="s">
        <v>192</v>
      </c>
      <c r="B108" s="304" t="n">
        <v>87</v>
      </c>
      <c r="C108" s="305" t="n">
        <v>16262721150</v>
      </c>
      <c r="D108" s="306" t="s">
        <v>474</v>
      </c>
      <c r="E108" s="306" t="s">
        <v>475</v>
      </c>
      <c r="F108" s="305" t="s">
        <v>476</v>
      </c>
      <c r="G108" s="305" t="n">
        <v>88864</v>
      </c>
      <c r="H108" s="307"/>
      <c r="I108" s="308" t="n">
        <v>44479</v>
      </c>
      <c r="J108" s="309" t="n">
        <v>2.61369863013699</v>
      </c>
      <c r="K108" s="308" t="n">
        <v>45238</v>
      </c>
      <c r="L108" s="310" t="n">
        <v>76.5</v>
      </c>
      <c r="M108" s="310" t="n">
        <v>3</v>
      </c>
      <c r="N108" s="310" t="n">
        <v>3.5</v>
      </c>
      <c r="O108" s="311" t="n">
        <v>195</v>
      </c>
      <c r="P108" s="312" t="n">
        <v>226</v>
      </c>
      <c r="Q108" s="312" t="n">
        <v>0</v>
      </c>
      <c r="R108" s="312" t="n">
        <v>1160</v>
      </c>
      <c r="S108" s="312" t="n">
        <v>2272</v>
      </c>
      <c r="T108" s="312" t="n">
        <v>1861</v>
      </c>
      <c r="U108" s="312" t="n">
        <v>588</v>
      </c>
      <c r="V108" s="312" t="n">
        <v>1744</v>
      </c>
      <c r="W108" s="313" t="n">
        <v>0</v>
      </c>
      <c r="X108" s="314" t="n">
        <f aca="false">EXP(1.204+(0.102*J108)+(0.007*P108)-(0.001*V108)+(0.008*O108)-2.723)</f>
        <v>1.15673023301066</v>
      </c>
      <c r="Y108" s="314" t="n">
        <f aca="false">(X108/(1+X108))</f>
        <v>0.536335149990427</v>
      </c>
      <c r="Z108" s="314" t="n">
        <f aca="false">EXP(2.859+(0.011*P108)-(0.002*V108)+(0.275*J108)-1.952)</f>
        <v>1.86594405976798</v>
      </c>
      <c r="AA108" s="314" t="n">
        <f aca="false">(Z108/(1+Z108))</f>
        <v>0.65107483637313</v>
      </c>
      <c r="AB108" s="304" t="n">
        <v>87</v>
      </c>
      <c r="AC108" s="273" t="n">
        <v>36</v>
      </c>
      <c r="AD108" s="315"/>
      <c r="AE108" s="315"/>
      <c r="AF108" s="315"/>
      <c r="AG108" s="317" t="n">
        <v>45433.6464814815</v>
      </c>
      <c r="AH108" s="316" t="n">
        <v>45435.6465972222</v>
      </c>
      <c r="AI108" s="309" t="n">
        <f aca="false">(AH108-AG108)*24</f>
        <v>48.0027777777778</v>
      </c>
      <c r="AJ108" s="318" t="n">
        <v>48.0027777777286</v>
      </c>
      <c r="AK108" s="315"/>
      <c r="AL108" s="315"/>
      <c r="AM108" s="315"/>
      <c r="AN108" s="318"/>
      <c r="AO108" s="318" t="n">
        <f aca="false">(AG108-$AO$7)*24</f>
        <v>8.01555555555556</v>
      </c>
      <c r="AP108" s="318" t="n">
        <f aca="false">AO108+35</f>
        <v>43.0155555555556</v>
      </c>
      <c r="AQ108" s="273" t="n">
        <v>8</v>
      </c>
      <c r="AR108" s="273" t="n">
        <v>3</v>
      </c>
      <c r="AS108" s="272" t="s">
        <v>810</v>
      </c>
      <c r="AT108" s="275" t="n">
        <v>45435.625</v>
      </c>
      <c r="AU108" s="276" t="s">
        <v>811</v>
      </c>
      <c r="AV108" s="19" t="n">
        <v>36</v>
      </c>
      <c r="AW108" s="278" t="n">
        <v>45450.7462731482</v>
      </c>
      <c r="AX108" s="278" t="n">
        <v>45452.7401273148</v>
      </c>
      <c r="AY108" s="279" t="n">
        <f aca="false">(AX108-AW108)*24</f>
        <v>47.8525</v>
      </c>
      <c r="AZ108" s="278" t="n">
        <v>45452.2444791667</v>
      </c>
      <c r="BA108" s="278" t="n">
        <v>45452.7401273148</v>
      </c>
      <c r="BB108" s="279" t="n">
        <f aca="false">(BA108-AZ108)*24</f>
        <v>11.8955555555556</v>
      </c>
      <c r="BC108" s="280" t="n">
        <v>11.8955555555876</v>
      </c>
      <c r="BD108" s="277"/>
      <c r="BE108" s="277"/>
      <c r="BF108" s="277"/>
      <c r="BG108" s="280"/>
      <c r="BH108" s="19" t="n">
        <v>40</v>
      </c>
      <c r="BI108" s="19" t="n">
        <v>3</v>
      </c>
      <c r="BJ108" s="273" t="n">
        <v>0</v>
      </c>
      <c r="BK108" s="273"/>
      <c r="BL108" s="273"/>
      <c r="BM108" s="273" t="s">
        <v>829</v>
      </c>
      <c r="BN108" s="281" t="s">
        <v>827</v>
      </c>
      <c r="BO108" s="273"/>
      <c r="BP108" s="265" t="s">
        <v>843</v>
      </c>
      <c r="BQ108" s="282" t="n">
        <f aca="false">AZ108+145</f>
        <v>45597.2444791667</v>
      </c>
      <c r="BR108" s="283"/>
      <c r="BS108" s="265" t="s">
        <v>843</v>
      </c>
      <c r="BT108" s="281" t="s">
        <v>827</v>
      </c>
      <c r="BU108" s="284" t="n">
        <v>0.2</v>
      </c>
      <c r="BV108" s="284" t="n">
        <v>0.2</v>
      </c>
      <c r="BW108" s="284" t="n">
        <v>0.2</v>
      </c>
      <c r="BX108" s="284" t="n">
        <v>0.2</v>
      </c>
      <c r="BY108" s="284" t="n">
        <v>0.2</v>
      </c>
      <c r="BZ108" s="284" t="n">
        <v>0.2</v>
      </c>
      <c r="CA108" s="284" t="n">
        <v>0.2</v>
      </c>
      <c r="CB108" s="284" t="n">
        <v>0.2</v>
      </c>
      <c r="CC108" s="284" t="n">
        <v>0.2</v>
      </c>
      <c r="CD108" s="284" t="n">
        <v>0.2</v>
      </c>
      <c r="CE108" s="284" t="n">
        <v>0.2</v>
      </c>
      <c r="CF108" s="285" t="s">
        <v>814</v>
      </c>
      <c r="CG108" s="332" t="s">
        <v>810</v>
      </c>
      <c r="CH108" s="285" t="s">
        <v>814</v>
      </c>
      <c r="CI108" s="335" t="s">
        <v>810</v>
      </c>
      <c r="CJ108" s="289" t="n">
        <v>0.2</v>
      </c>
      <c r="CK108" s="290" t="n">
        <v>0</v>
      </c>
      <c r="CL108" s="290" t="n">
        <v>0.5</v>
      </c>
      <c r="CM108" s="285" t="s">
        <v>814</v>
      </c>
      <c r="CN108" s="336" t="s">
        <v>810</v>
      </c>
      <c r="CO108" s="291" t="s">
        <v>828</v>
      </c>
      <c r="CP108" s="285" t="s">
        <v>810</v>
      </c>
      <c r="CQ108" s="337"/>
      <c r="CR108" s="293" t="n">
        <v>60</v>
      </c>
      <c r="CS108" s="294" t="n">
        <f aca="false">$CS$7+(CR108/24)</f>
        <v>45435.75</v>
      </c>
      <c r="CT108" s="295" t="n">
        <v>1.5</v>
      </c>
      <c r="CU108" s="296" t="n">
        <v>0.2324</v>
      </c>
      <c r="CV108" s="297" t="n">
        <f aca="false">(CS108-AG108)*24</f>
        <v>50.4844444444445</v>
      </c>
      <c r="CW108" s="281" t="s">
        <v>819</v>
      </c>
      <c r="CX108" s="320" t="n">
        <f aca="false">(AT108-CS108)*24</f>
        <v>-3</v>
      </c>
      <c r="CY108" s="346" t="s">
        <v>829</v>
      </c>
      <c r="CZ108" s="260" t="s">
        <v>192</v>
      </c>
      <c r="DA108" s="304" t="n">
        <v>87</v>
      </c>
      <c r="DB108" s="306" t="s">
        <v>474</v>
      </c>
    </row>
    <row r="109" customFormat="false" ht="15.75" hidden="false" customHeight="true" outlineLevel="0" collapsed="false">
      <c r="A109" s="273" t="s">
        <v>192</v>
      </c>
      <c r="B109" s="304" t="n">
        <v>88</v>
      </c>
      <c r="C109" s="305" t="n">
        <v>16262721258</v>
      </c>
      <c r="D109" s="306" t="s">
        <v>504</v>
      </c>
      <c r="E109" s="306" t="s">
        <v>505</v>
      </c>
      <c r="F109" s="305" t="s">
        <v>506</v>
      </c>
      <c r="G109" s="305" t="n">
        <v>89126</v>
      </c>
      <c r="H109" s="307"/>
      <c r="I109" s="308" t="n">
        <v>44481</v>
      </c>
      <c r="J109" s="309" t="n">
        <v>2.60821917808219</v>
      </c>
      <c r="K109" s="308" t="n">
        <v>45204</v>
      </c>
      <c r="L109" s="310" t="n">
        <v>67.8</v>
      </c>
      <c r="M109" s="310" t="n">
        <v>3.75</v>
      </c>
      <c r="N109" s="310" t="n">
        <v>3.25</v>
      </c>
      <c r="O109" s="311" t="n">
        <v>229</v>
      </c>
      <c r="P109" s="312" t="n">
        <v>237</v>
      </c>
      <c r="Q109" s="312" t="n">
        <v>1817</v>
      </c>
      <c r="R109" s="312" t="n">
        <v>1682</v>
      </c>
      <c r="S109" s="312" t="n">
        <v>1647</v>
      </c>
      <c r="T109" s="312" t="n">
        <v>1269</v>
      </c>
      <c r="U109" s="312" t="n">
        <v>1232</v>
      </c>
      <c r="V109" s="312" t="n">
        <v>1315</v>
      </c>
      <c r="W109" s="313" t="n">
        <v>25</v>
      </c>
      <c r="X109" s="314" t="n">
        <f aca="false">EXP(1.204+(0.102*J109)+(0.007*P109)-(0.001*V109)+(0.008*O109)-2.723)</f>
        <v>2.51692610199303</v>
      </c>
      <c r="Y109" s="314" t="n">
        <f aca="false">(X109/(1+X109))</f>
        <v>0.715660787005646</v>
      </c>
      <c r="Z109" s="314" t="n">
        <f aca="false">EXP(2.859+(0.011*P109)-(0.002*V109)+(0.275*J109)-1.952)</f>
        <v>4.95927853732509</v>
      </c>
      <c r="AA109" s="314" t="n">
        <f aca="false">(Z109/(1+Z109))</f>
        <v>0.832194452107475</v>
      </c>
      <c r="AB109" s="304" t="n">
        <v>88</v>
      </c>
      <c r="AC109" s="273" t="n">
        <v>53</v>
      </c>
      <c r="AD109" s="315"/>
      <c r="AE109" s="315"/>
      <c r="AF109" s="315"/>
      <c r="AG109" s="316" t="n">
        <v>45434.929837963</v>
      </c>
      <c r="AH109" s="316" t="n">
        <v>45434.9298726852</v>
      </c>
      <c r="AI109" s="309" t="n">
        <f aca="false">(AH109-AG109)*24</f>
        <v>0.000833333333333333</v>
      </c>
      <c r="AJ109" s="318" t="n">
        <v>1</v>
      </c>
      <c r="AK109" s="315"/>
      <c r="AL109" s="315"/>
      <c r="AM109" s="315"/>
      <c r="AN109" s="318"/>
      <c r="AO109" s="318" t="n">
        <f aca="false">(AG109-$AO$7)*24</f>
        <v>38.8161111111111</v>
      </c>
      <c r="AP109" s="318" t="n">
        <f aca="false">AO109+35</f>
        <v>73.8161111111111</v>
      </c>
      <c r="AQ109" s="273" t="n">
        <v>2</v>
      </c>
      <c r="AR109" s="273" t="n">
        <v>1</v>
      </c>
      <c r="AS109" s="273" t="s">
        <v>815</v>
      </c>
      <c r="AT109" s="275" t="n">
        <v>45435.625</v>
      </c>
      <c r="AU109" s="319" t="s">
        <v>838</v>
      </c>
      <c r="AV109" s="19"/>
      <c r="AW109" s="278"/>
      <c r="AX109" s="278"/>
      <c r="AY109" s="279"/>
      <c r="AZ109" s="278"/>
      <c r="BA109" s="278"/>
      <c r="BB109" s="279"/>
      <c r="BC109" s="280"/>
      <c r="BD109" s="277"/>
      <c r="BE109" s="277"/>
      <c r="BF109" s="277"/>
      <c r="BG109" s="280"/>
      <c r="BH109" s="19"/>
      <c r="BI109" s="19"/>
      <c r="BJ109" s="260" t="n">
        <v>1</v>
      </c>
      <c r="BK109" s="273" t="n">
        <v>2</v>
      </c>
      <c r="BL109" s="273"/>
      <c r="BM109" s="273" t="s">
        <v>812</v>
      </c>
      <c r="BN109" s="281" t="s">
        <v>819</v>
      </c>
      <c r="BO109" s="273" t="n">
        <v>1</v>
      </c>
      <c r="BP109" s="265" t="n">
        <v>45584</v>
      </c>
      <c r="BQ109" s="282" t="n">
        <f aca="false">AT109+145</f>
        <v>45580.625</v>
      </c>
      <c r="BR109" s="283" t="n">
        <f aca="false">BP109-AT109</f>
        <v>148.375</v>
      </c>
      <c r="BS109" s="283" t="s">
        <v>35</v>
      </c>
      <c r="BT109" s="281" t="s">
        <v>819</v>
      </c>
      <c r="BU109" s="284" t="n">
        <v>0.2</v>
      </c>
      <c r="BV109" s="284" t="n">
        <v>0.2</v>
      </c>
      <c r="BW109" s="284" t="n">
        <v>0.2</v>
      </c>
      <c r="BX109" s="284" t="n">
        <v>0.2</v>
      </c>
      <c r="BY109" s="284" t="n">
        <v>0.2</v>
      </c>
      <c r="BZ109" s="284" t="n">
        <v>0.2</v>
      </c>
      <c r="CA109" s="284" t="n">
        <v>0.2</v>
      </c>
      <c r="CB109" s="284" t="n">
        <v>0.48341</v>
      </c>
      <c r="CC109" s="284" t="n">
        <v>1.0658</v>
      </c>
      <c r="CD109" s="284" t="n">
        <v>1.4778</v>
      </c>
      <c r="CE109" s="284" t="n">
        <v>1.371</v>
      </c>
      <c r="CF109" s="285" t="s">
        <v>814</v>
      </c>
      <c r="CG109" s="332" t="s">
        <v>810</v>
      </c>
      <c r="CH109" s="285" t="s">
        <v>814</v>
      </c>
      <c r="CI109" s="288" t="s">
        <v>815</v>
      </c>
      <c r="CJ109" s="289" t="n">
        <v>0.2</v>
      </c>
      <c r="CK109" s="290" t="n">
        <v>0</v>
      </c>
      <c r="CL109" s="290" t="n">
        <v>0.5</v>
      </c>
      <c r="CM109" s="285" t="s">
        <v>814</v>
      </c>
      <c r="CN109" s="286" t="s">
        <v>815</v>
      </c>
      <c r="CO109" s="291" t="s">
        <v>816</v>
      </c>
      <c r="CP109" s="285" t="s">
        <v>810</v>
      </c>
      <c r="CQ109" s="292" t="n">
        <v>6</v>
      </c>
      <c r="CR109" s="293" t="n">
        <v>48</v>
      </c>
      <c r="CS109" s="294" t="n">
        <f aca="false">$CS$7+(CR109/24)</f>
        <v>45435.25</v>
      </c>
      <c r="CT109" s="295" t="n">
        <v>1.5</v>
      </c>
      <c r="CU109" s="296" t="n">
        <v>0.59</v>
      </c>
      <c r="CV109" s="297" t="n">
        <f aca="false">(CS109-AG109)*24</f>
        <v>7.68388888888889</v>
      </c>
      <c r="CW109" s="281" t="s">
        <v>819</v>
      </c>
      <c r="CX109" s="320" t="n">
        <f aca="false">(AT109-CS109)*24</f>
        <v>9</v>
      </c>
      <c r="CY109" s="299" t="s">
        <v>812</v>
      </c>
      <c r="CZ109" s="260" t="s">
        <v>192</v>
      </c>
      <c r="DA109" s="304" t="n">
        <v>88</v>
      </c>
      <c r="DB109" s="306" t="s">
        <v>504</v>
      </c>
    </row>
    <row r="110" customFormat="false" ht="15.75" hidden="false" customHeight="true" outlineLevel="0" collapsed="false">
      <c r="A110" s="273" t="s">
        <v>192</v>
      </c>
      <c r="B110" s="304" t="n">
        <v>89</v>
      </c>
      <c r="C110" s="305" t="n">
        <v>16262721361</v>
      </c>
      <c r="D110" s="306" t="s">
        <v>239</v>
      </c>
      <c r="E110" s="306" t="s">
        <v>240</v>
      </c>
      <c r="F110" s="305" t="s">
        <v>241</v>
      </c>
      <c r="G110" s="305" t="n">
        <v>88201</v>
      </c>
      <c r="H110" s="307"/>
      <c r="I110" s="308" t="n">
        <v>44482</v>
      </c>
      <c r="J110" s="309" t="n">
        <v>2.60547945205479</v>
      </c>
      <c r="K110" s="308" t="n">
        <v>45264</v>
      </c>
      <c r="L110" s="310" t="n">
        <v>51.1</v>
      </c>
      <c r="M110" s="310" t="n">
        <v>2.75</v>
      </c>
      <c r="N110" s="310" t="n">
        <v>3.25</v>
      </c>
      <c r="O110" s="311" t="n">
        <v>169</v>
      </c>
      <c r="P110" s="312" t="n">
        <v>197</v>
      </c>
      <c r="Q110" s="312" t="n">
        <v>0</v>
      </c>
      <c r="R110" s="312" t="n">
        <v>0</v>
      </c>
      <c r="S110" s="312" t="n">
        <v>1562</v>
      </c>
      <c r="T110" s="312" t="n">
        <v>1776</v>
      </c>
      <c r="U110" s="312" t="n">
        <v>1428</v>
      </c>
      <c r="V110" s="312" t="n">
        <v>1287</v>
      </c>
      <c r="W110" s="313" t="n">
        <v>-25</v>
      </c>
      <c r="X110" s="314" t="n">
        <f aca="false">EXP(1.204+(0.102*J110)+(0.007*P110)-(0.001*V110)+(0.008*O110)-2.723)</f>
        <v>1.21016765045939</v>
      </c>
      <c r="Y110" s="314" t="n">
        <f aca="false">(X110/(1+X110))</f>
        <v>0.547545635376509</v>
      </c>
      <c r="Z110" s="314" t="n">
        <f aca="false">EXP(2.859+(0.011*P110)-(0.002*V110)+(0.275*J110)-1.952)</f>
        <v>3.3753764178328</v>
      </c>
      <c r="AA110" s="314" t="n">
        <f aca="false">(Z110/(1+Z110))</f>
        <v>0.771448235647959</v>
      </c>
      <c r="AB110" s="304" t="n">
        <v>89</v>
      </c>
      <c r="AC110" s="273"/>
      <c r="AD110" s="315"/>
      <c r="AE110" s="315"/>
      <c r="AF110" s="315"/>
      <c r="AG110" s="316"/>
      <c r="AH110" s="316"/>
      <c r="AI110" s="309"/>
      <c r="AJ110" s="318"/>
      <c r="AK110" s="315"/>
      <c r="AL110" s="315"/>
      <c r="AM110" s="315"/>
      <c r="AN110" s="318"/>
      <c r="AO110" s="318"/>
      <c r="AP110" s="318"/>
      <c r="AQ110" s="273"/>
      <c r="AR110" s="273"/>
      <c r="AS110" s="272" t="s">
        <v>810</v>
      </c>
      <c r="AT110" s="275" t="n">
        <v>45435.625</v>
      </c>
      <c r="AU110" s="319" t="s">
        <v>818</v>
      </c>
      <c r="AV110" s="19"/>
      <c r="AW110" s="278"/>
      <c r="AX110" s="278"/>
      <c r="AY110" s="279"/>
      <c r="AZ110" s="278"/>
      <c r="BA110" s="278"/>
      <c r="BB110" s="279"/>
      <c r="BC110" s="280"/>
      <c r="BD110" s="277"/>
      <c r="BE110" s="277"/>
      <c r="BF110" s="277"/>
      <c r="BG110" s="280"/>
      <c r="BH110" s="19"/>
      <c r="BI110" s="19"/>
      <c r="BJ110" s="260" t="n">
        <v>1</v>
      </c>
      <c r="BK110" s="273" t="n">
        <v>1</v>
      </c>
      <c r="BL110" s="273"/>
      <c r="BM110" s="273" t="s">
        <v>812</v>
      </c>
      <c r="BN110" s="281" t="s">
        <v>813</v>
      </c>
      <c r="BO110" s="273" t="n">
        <v>1</v>
      </c>
      <c r="BP110" s="265" t="n">
        <v>45582</v>
      </c>
      <c r="BQ110" s="282" t="n">
        <f aca="false">AT110+145</f>
        <v>45580.625</v>
      </c>
      <c r="BR110" s="283" t="n">
        <f aca="false">BP110-AT110</f>
        <v>146.375</v>
      </c>
      <c r="BS110" s="283" t="s">
        <v>35</v>
      </c>
      <c r="BT110" s="281" t="s">
        <v>813</v>
      </c>
      <c r="BU110" s="284" t="n">
        <v>0.2</v>
      </c>
      <c r="BV110" s="284" t="n">
        <v>0.2</v>
      </c>
      <c r="BW110" s="284" t="n">
        <v>0.2</v>
      </c>
      <c r="BX110" s="284" t="n">
        <v>0.2</v>
      </c>
      <c r="BY110" s="284" t="n">
        <v>0.2</v>
      </c>
      <c r="BZ110" s="284" t="n">
        <v>0.2</v>
      </c>
      <c r="CA110" s="284" t="n">
        <v>0.2</v>
      </c>
      <c r="CB110" s="284" t="n">
        <v>0.2</v>
      </c>
      <c r="CC110" s="284" t="n">
        <v>0.2</v>
      </c>
      <c r="CD110" s="284" t="n">
        <v>0.2</v>
      </c>
      <c r="CE110" s="284" t="n">
        <v>0.2</v>
      </c>
      <c r="CF110" s="285" t="s">
        <v>814</v>
      </c>
      <c r="CG110" s="332" t="s">
        <v>810</v>
      </c>
      <c r="CH110" s="285" t="s">
        <v>814</v>
      </c>
      <c r="CI110" s="335" t="s">
        <v>810</v>
      </c>
      <c r="CJ110" s="289" t="n">
        <v>0.2</v>
      </c>
      <c r="CK110" s="290" t="n">
        <v>0</v>
      </c>
      <c r="CL110" s="290" t="n">
        <v>0.5</v>
      </c>
      <c r="CM110" s="285" t="s">
        <v>814</v>
      </c>
      <c r="CN110" s="336" t="s">
        <v>810</v>
      </c>
      <c r="CO110" s="291" t="s">
        <v>828</v>
      </c>
      <c r="CP110" s="285" t="s">
        <v>810</v>
      </c>
      <c r="CQ110" s="337"/>
      <c r="CR110" s="293" t="n">
        <v>48</v>
      </c>
      <c r="CS110" s="294" t="n">
        <f aca="false">$CS$7+(CR110/24)</f>
        <v>45435.25</v>
      </c>
      <c r="CT110" s="295" t="n">
        <v>1</v>
      </c>
      <c r="CU110" s="296" t="n">
        <v>0.39439</v>
      </c>
      <c r="CV110" s="297"/>
      <c r="CW110" s="281" t="s">
        <v>813</v>
      </c>
      <c r="CX110" s="320" t="n">
        <f aca="false">(AT110-CS110)*24</f>
        <v>9</v>
      </c>
      <c r="CY110" s="299" t="s">
        <v>812</v>
      </c>
      <c r="CZ110" s="260" t="s">
        <v>192</v>
      </c>
      <c r="DA110" s="304" t="n">
        <v>89</v>
      </c>
      <c r="DB110" s="306" t="s">
        <v>239</v>
      </c>
    </row>
    <row r="111" customFormat="false" ht="15.75" hidden="false" customHeight="true" outlineLevel="0" collapsed="false">
      <c r="A111" s="273" t="s">
        <v>192</v>
      </c>
      <c r="B111" s="304" t="n">
        <v>91</v>
      </c>
      <c r="C111" s="305" t="n">
        <v>16262721462</v>
      </c>
      <c r="D111" s="306" t="s">
        <v>528</v>
      </c>
      <c r="E111" s="306" t="s">
        <v>529</v>
      </c>
      <c r="F111" s="305" t="s">
        <v>530</v>
      </c>
      <c r="G111" s="305" t="n">
        <v>89447</v>
      </c>
      <c r="H111" s="307"/>
      <c r="I111" s="308" t="n">
        <v>44482</v>
      </c>
      <c r="J111" s="309" t="n">
        <v>2.60547945205479</v>
      </c>
      <c r="K111" s="308" t="n">
        <v>45202</v>
      </c>
      <c r="L111" s="310" t="n">
        <v>63</v>
      </c>
      <c r="M111" s="310" t="n">
        <v>3.75</v>
      </c>
      <c r="N111" s="310" t="n">
        <v>3.25</v>
      </c>
      <c r="O111" s="311" t="n">
        <v>231</v>
      </c>
      <c r="P111" s="312" t="n">
        <v>271</v>
      </c>
      <c r="Q111" s="312" t="n">
        <v>2264</v>
      </c>
      <c r="R111" s="312" t="n">
        <v>1624</v>
      </c>
      <c r="S111" s="312" t="n">
        <v>1789</v>
      </c>
      <c r="T111" s="312" t="n">
        <v>1551</v>
      </c>
      <c r="U111" s="312" t="n">
        <v>1288</v>
      </c>
      <c r="V111" s="312" t="n">
        <v>915</v>
      </c>
      <c r="W111" s="313" t="n">
        <v>0</v>
      </c>
      <c r="X111" s="314" t="n">
        <f aca="false">EXP(1.204+(0.102*J111)+(0.007*P111)-(0.001*V111)+(0.008*O111)-2.723)</f>
        <v>4.83924590631596</v>
      </c>
      <c r="Y111" s="314" t="n">
        <f aca="false">(X111/(1+X111))</f>
        <v>0.828745009879039</v>
      </c>
      <c r="Z111" s="314" t="n">
        <f aca="false">EXP(2.859+(0.011*P111)-(0.002*V111)+(0.275*J111)-1.952)</f>
        <v>16.0307194857246</v>
      </c>
      <c r="AA111" s="314" t="n">
        <f aca="false">(Z111/(1+Z111))</f>
        <v>0.941282574653513</v>
      </c>
      <c r="AB111" s="304" t="n">
        <v>91</v>
      </c>
      <c r="AC111" s="273" t="n">
        <v>56</v>
      </c>
      <c r="AD111" s="315"/>
      <c r="AE111" s="315"/>
      <c r="AF111" s="315"/>
      <c r="AG111" s="317" t="n">
        <v>45435.0715393519</v>
      </c>
      <c r="AH111" s="317" t="n">
        <v>45435.2326967593</v>
      </c>
      <c r="AI111" s="309" t="n">
        <f aca="false">(AH111-AG111)*24</f>
        <v>3.86777777777778</v>
      </c>
      <c r="AJ111" s="318" t="n">
        <v>3.86777777771931</v>
      </c>
      <c r="AK111" s="315"/>
      <c r="AL111" s="315"/>
      <c r="AM111" s="315"/>
      <c r="AN111" s="318"/>
      <c r="AO111" s="318" t="n">
        <f aca="false">(AG111-$AO$7)*24</f>
        <v>42.2169444444444</v>
      </c>
      <c r="AP111" s="318" t="n">
        <f aca="false">AO111+35</f>
        <v>77.2169444444444</v>
      </c>
      <c r="AQ111" s="273" t="n">
        <v>4</v>
      </c>
      <c r="AR111" s="273" t="n">
        <v>1</v>
      </c>
      <c r="AS111" s="273" t="s">
        <v>815</v>
      </c>
      <c r="AT111" s="275" t="n">
        <v>45435.625</v>
      </c>
      <c r="AU111" s="319" t="s">
        <v>821</v>
      </c>
      <c r="AV111" s="19"/>
      <c r="AW111" s="278"/>
      <c r="AX111" s="278"/>
      <c r="AY111" s="279"/>
      <c r="AZ111" s="278"/>
      <c r="BA111" s="278"/>
      <c r="BB111" s="279"/>
      <c r="BC111" s="280"/>
      <c r="BD111" s="277"/>
      <c r="BE111" s="277"/>
      <c r="BF111" s="277"/>
      <c r="BG111" s="280"/>
      <c r="BH111" s="19"/>
      <c r="BI111" s="19"/>
      <c r="BJ111" s="260" t="n">
        <v>1</v>
      </c>
      <c r="BK111" s="273" t="n">
        <v>1</v>
      </c>
      <c r="BL111" s="273"/>
      <c r="BM111" s="273" t="s">
        <v>812</v>
      </c>
      <c r="BN111" s="281" t="s">
        <v>819</v>
      </c>
      <c r="BO111" s="273" t="n">
        <v>1</v>
      </c>
      <c r="BP111" s="265" t="n">
        <v>45583</v>
      </c>
      <c r="BQ111" s="282" t="n">
        <f aca="false">AT111+145</f>
        <v>45580.625</v>
      </c>
      <c r="BR111" s="283" t="n">
        <f aca="false">BP111-AT111</f>
        <v>147.375</v>
      </c>
      <c r="BS111" s="283" t="s">
        <v>35</v>
      </c>
      <c r="BT111" s="281" t="s">
        <v>819</v>
      </c>
      <c r="BU111" s="284" t="n">
        <v>0.2</v>
      </c>
      <c r="BV111" s="284" t="n">
        <v>0.2</v>
      </c>
      <c r="BW111" s="284" t="n">
        <v>0.2</v>
      </c>
      <c r="BX111" s="284" t="n">
        <v>0.54194</v>
      </c>
      <c r="BY111" s="284" t="n">
        <v>0.45253</v>
      </c>
      <c r="BZ111" s="284" t="n">
        <v>0.2</v>
      </c>
      <c r="CA111" s="284" t="n">
        <v>0.97446</v>
      </c>
      <c r="CB111" s="284" t="n">
        <v>1.8007</v>
      </c>
      <c r="CC111" s="284" t="n">
        <v>1.9703</v>
      </c>
      <c r="CD111" s="284" t="n">
        <v>2.3537</v>
      </c>
      <c r="CE111" s="284" t="n">
        <v>2.2083</v>
      </c>
      <c r="CF111" s="285" t="s">
        <v>814</v>
      </c>
      <c r="CG111" s="286" t="s">
        <v>815</v>
      </c>
      <c r="CH111" s="285" t="s">
        <v>814</v>
      </c>
      <c r="CI111" s="288" t="s">
        <v>815</v>
      </c>
      <c r="CJ111" s="289" t="n">
        <v>0.299078333333333</v>
      </c>
      <c r="CK111" s="290" t="n">
        <v>0.156073872049958</v>
      </c>
      <c r="CL111" s="290" t="n">
        <v>0.61122607743325</v>
      </c>
      <c r="CM111" s="285" t="s">
        <v>814</v>
      </c>
      <c r="CN111" s="286" t="s">
        <v>815</v>
      </c>
      <c r="CO111" s="291" t="s">
        <v>816</v>
      </c>
      <c r="CP111" s="285" t="s">
        <v>810</v>
      </c>
      <c r="CQ111" s="292" t="n">
        <v>4</v>
      </c>
      <c r="CR111" s="293" t="n">
        <v>48</v>
      </c>
      <c r="CS111" s="294" t="n">
        <f aca="false">$CS$7+(CR111/24)</f>
        <v>45435.25</v>
      </c>
      <c r="CT111" s="295" t="n">
        <v>2</v>
      </c>
      <c r="CU111" s="296" t="n">
        <v>0.62389</v>
      </c>
      <c r="CV111" s="297" t="n">
        <f aca="false">(CS111-AG111)*24</f>
        <v>4.28305555555556</v>
      </c>
      <c r="CW111" s="281" t="s">
        <v>819</v>
      </c>
      <c r="CX111" s="320" t="n">
        <f aca="false">(AT111-CS111)*24</f>
        <v>9</v>
      </c>
      <c r="CY111" s="299" t="s">
        <v>812</v>
      </c>
      <c r="CZ111" s="260" t="s">
        <v>192</v>
      </c>
      <c r="DA111" s="304" t="n">
        <v>91</v>
      </c>
      <c r="DB111" s="306" t="s">
        <v>528</v>
      </c>
    </row>
    <row r="112" customFormat="false" ht="15.75" hidden="false" customHeight="true" outlineLevel="0" collapsed="false">
      <c r="A112" s="273" t="s">
        <v>192</v>
      </c>
      <c r="B112" s="304" t="n">
        <v>95</v>
      </c>
      <c r="C112" s="305" t="n">
        <v>16262731190</v>
      </c>
      <c r="D112" s="306" t="s">
        <v>531</v>
      </c>
      <c r="E112" s="306" t="s">
        <v>532</v>
      </c>
      <c r="F112" s="305" t="s">
        <v>533</v>
      </c>
      <c r="G112" s="305" t="n">
        <v>89248</v>
      </c>
      <c r="H112" s="307"/>
      <c r="I112" s="308" t="n">
        <v>44846</v>
      </c>
      <c r="J112" s="309" t="n">
        <v>1.60821917808219</v>
      </c>
      <c r="K112" s="308" t="n">
        <v>45245</v>
      </c>
      <c r="L112" s="310" t="n">
        <v>53.2</v>
      </c>
      <c r="M112" s="310" t="n">
        <v>3.5</v>
      </c>
      <c r="N112" s="310" t="n">
        <v>3.25</v>
      </c>
      <c r="O112" s="311" t="n">
        <v>188</v>
      </c>
      <c r="P112" s="312" t="n">
        <v>180</v>
      </c>
      <c r="Q112" s="312" t="n">
        <v>0</v>
      </c>
      <c r="R112" s="312" t="n">
        <v>0</v>
      </c>
      <c r="S112" s="312" t="n">
        <v>1363</v>
      </c>
      <c r="T112" s="312" t="n">
        <v>1551</v>
      </c>
      <c r="U112" s="312" t="n">
        <v>1204</v>
      </c>
      <c r="V112" s="312" t="n">
        <v>1172</v>
      </c>
      <c r="W112" s="313" t="n">
        <v>0</v>
      </c>
      <c r="X112" s="314" t="n">
        <f aca="false">EXP(1.204+(0.102*J112)+(0.007*P112)-(0.001*V112)+(0.008*O112)-2.723)</f>
        <v>1.26748973288748</v>
      </c>
      <c r="Y112" s="314" t="n">
        <f aca="false">(X112/(1+X112))</f>
        <v>0.558983670137032</v>
      </c>
      <c r="Z112" s="314" t="n">
        <f aca="false">EXP(2.859+(0.011*P112)-(0.002*V112)+(0.275*J112)-1.952)</f>
        <v>2.67850893986685</v>
      </c>
      <c r="AA112" s="314" t="n">
        <f aca="false">(Z112/(1+Z112))</f>
        <v>0.728150721842151</v>
      </c>
      <c r="AB112" s="304" t="n">
        <v>95</v>
      </c>
      <c r="AC112" s="273" t="n">
        <v>39</v>
      </c>
      <c r="AD112" s="315"/>
      <c r="AE112" s="315"/>
      <c r="AF112" s="315"/>
      <c r="AG112" s="317" t="n">
        <v>45434.2915509259</v>
      </c>
      <c r="AH112" s="317" t="n">
        <v>45434.9624189815</v>
      </c>
      <c r="AI112" s="309" t="n">
        <f aca="false">(AH112-AG112)*24</f>
        <v>16.1008333333333</v>
      </c>
      <c r="AJ112" s="318" t="n">
        <v>16.100833333272</v>
      </c>
      <c r="AK112" s="315"/>
      <c r="AL112" s="315"/>
      <c r="AM112" s="315"/>
      <c r="AN112" s="318"/>
      <c r="AO112" s="318" t="n">
        <f aca="false">(AG112-$AO$7)*24</f>
        <v>23.4972222222222</v>
      </c>
      <c r="AP112" s="318" t="n">
        <f aca="false">AO112+35</f>
        <v>58.4972222222222</v>
      </c>
      <c r="AQ112" s="273" t="n">
        <v>5</v>
      </c>
      <c r="AR112" s="273" t="n">
        <v>1</v>
      </c>
      <c r="AS112" s="273" t="s">
        <v>815</v>
      </c>
      <c r="AT112" s="275" t="n">
        <v>45435.625</v>
      </c>
      <c r="AU112" s="319" t="s">
        <v>838</v>
      </c>
      <c r="AV112" s="19" t="n">
        <v>39</v>
      </c>
      <c r="AW112" s="277"/>
      <c r="AX112" s="277"/>
      <c r="AY112" s="277"/>
      <c r="AZ112" s="278" t="n">
        <v>45456.5360300926</v>
      </c>
      <c r="BA112" s="278" t="n">
        <v>45456.5360300926</v>
      </c>
      <c r="BB112" s="279" t="n">
        <f aca="false">(BA112-AZ112)*24</f>
        <v>0</v>
      </c>
      <c r="BC112" s="280" t="n">
        <v>1</v>
      </c>
      <c r="BD112" s="277"/>
      <c r="BE112" s="277"/>
      <c r="BF112" s="277"/>
      <c r="BG112" s="280"/>
      <c r="BH112" s="19" t="n">
        <v>1</v>
      </c>
      <c r="BI112" s="19" t="n">
        <v>1</v>
      </c>
      <c r="BJ112" s="260" t="n">
        <v>1</v>
      </c>
      <c r="BK112" s="273" t="n">
        <v>2</v>
      </c>
      <c r="BL112" s="273"/>
      <c r="BM112" s="273" t="s">
        <v>812</v>
      </c>
      <c r="BN112" s="281" t="s">
        <v>819</v>
      </c>
      <c r="BO112" s="273" t="n">
        <v>2</v>
      </c>
      <c r="BP112" s="265" t="n">
        <v>45581</v>
      </c>
      <c r="BQ112" s="282" t="n">
        <f aca="false">AT112+145</f>
        <v>45580.625</v>
      </c>
      <c r="BR112" s="283" t="n">
        <f aca="false">BP112-AT112</f>
        <v>145.375</v>
      </c>
      <c r="BS112" s="283" t="s">
        <v>35</v>
      </c>
      <c r="BT112" s="281" t="s">
        <v>819</v>
      </c>
      <c r="BU112" s="284" t="n">
        <v>0.79758</v>
      </c>
      <c r="BV112" s="284" t="n">
        <v>1.2255</v>
      </c>
      <c r="BW112" s="284" t="n">
        <v>1</v>
      </c>
      <c r="BX112" s="284" t="n">
        <v>0.91682</v>
      </c>
      <c r="BY112" s="284" t="n">
        <v>1.1742</v>
      </c>
      <c r="BZ112" s="284" t="n">
        <v>0.77513</v>
      </c>
      <c r="CA112" s="284" t="n">
        <v>1.3821</v>
      </c>
      <c r="CB112" s="284" t="n">
        <v>2.0833</v>
      </c>
      <c r="CC112" s="284" t="n">
        <v>2.8387</v>
      </c>
      <c r="CD112" s="284" t="n">
        <v>3.4076</v>
      </c>
      <c r="CE112" s="284" t="n">
        <v>3.9987</v>
      </c>
      <c r="CF112" s="285" t="s">
        <v>814</v>
      </c>
      <c r="CG112" s="286" t="s">
        <v>815</v>
      </c>
      <c r="CH112" s="325" t="s">
        <v>55</v>
      </c>
      <c r="CI112" s="326" t="s">
        <v>815</v>
      </c>
      <c r="CJ112" s="289" t="n">
        <v>0.8572</v>
      </c>
      <c r="CK112" s="290" t="n">
        <v>0.0843154125886839</v>
      </c>
      <c r="CL112" s="290" t="n">
        <v>1.02583082517737</v>
      </c>
      <c r="CM112" s="376" t="s">
        <v>814</v>
      </c>
      <c r="CN112" s="327" t="s">
        <v>815</v>
      </c>
      <c r="CO112" s="291" t="s">
        <v>816</v>
      </c>
      <c r="CP112" s="285" t="s">
        <v>810</v>
      </c>
      <c r="CQ112" s="292" t="n">
        <v>4</v>
      </c>
      <c r="CR112" s="293" t="n">
        <v>48</v>
      </c>
      <c r="CS112" s="294" t="n">
        <f aca="false">$CS$7+(CR112/24)</f>
        <v>45435.25</v>
      </c>
      <c r="CT112" s="295" t="n">
        <v>1.5</v>
      </c>
      <c r="CU112" s="296" t="n">
        <v>0.50145</v>
      </c>
      <c r="CV112" s="297" t="n">
        <f aca="false">(CS112-AG112)*24</f>
        <v>23.0027777777778</v>
      </c>
      <c r="CW112" s="281" t="s">
        <v>819</v>
      </c>
      <c r="CX112" s="320" t="n">
        <f aca="false">(AT112-CS112)*24</f>
        <v>9</v>
      </c>
      <c r="CY112" s="299" t="s">
        <v>812</v>
      </c>
      <c r="CZ112" s="260" t="s">
        <v>192</v>
      </c>
      <c r="DA112" s="304" t="n">
        <v>95</v>
      </c>
      <c r="DB112" s="306" t="s">
        <v>531</v>
      </c>
    </row>
    <row r="113" customFormat="false" ht="15.75" hidden="false" customHeight="true" outlineLevel="0" collapsed="false">
      <c r="A113" s="273" t="s">
        <v>192</v>
      </c>
      <c r="B113" s="304" t="n">
        <v>97</v>
      </c>
      <c r="C113" s="305" t="n">
        <v>16262731196</v>
      </c>
      <c r="D113" s="306" t="s">
        <v>462</v>
      </c>
      <c r="E113" s="306" t="s">
        <v>463</v>
      </c>
      <c r="F113" s="305" t="s">
        <v>464</v>
      </c>
      <c r="G113" s="305" t="n">
        <v>88830</v>
      </c>
      <c r="H113" s="307"/>
      <c r="I113" s="308" t="n">
        <v>44846</v>
      </c>
      <c r="J113" s="309" t="n">
        <v>1.60821917808219</v>
      </c>
      <c r="K113" s="308" t="n">
        <v>45243</v>
      </c>
      <c r="L113" s="310" t="n">
        <v>69.6</v>
      </c>
      <c r="M113" s="310" t="n">
        <v>3.75</v>
      </c>
      <c r="N113" s="310" t="n">
        <v>4</v>
      </c>
      <c r="O113" s="311" t="n">
        <v>190</v>
      </c>
      <c r="P113" s="312" t="n">
        <v>151</v>
      </c>
      <c r="Q113" s="312" t="n">
        <v>0</v>
      </c>
      <c r="R113" s="312" t="n">
        <v>1015</v>
      </c>
      <c r="S113" s="312" t="n">
        <v>994</v>
      </c>
      <c r="T113" s="312" t="n">
        <v>1240</v>
      </c>
      <c r="U113" s="312" t="n">
        <v>1204</v>
      </c>
      <c r="V113" s="312" t="n">
        <v>1029</v>
      </c>
      <c r="W113" s="313" t="n">
        <v>18</v>
      </c>
      <c r="X113" s="314" t="n">
        <f aca="false">EXP(1.204+(0.102*J113)+(0.007*P113)-(0.001*V113)+(0.008*O113)-2.723)</f>
        <v>1.21292931594313</v>
      </c>
      <c r="Y113" s="314" t="n">
        <f aca="false">(X113/(1+X113))</f>
        <v>0.548110284049534</v>
      </c>
      <c r="Z113" s="314" t="n">
        <f aca="false">EXP(2.859+(0.011*P113)-(0.002*V113)+(0.275*J113)-1.952)</f>
        <v>2.59156068152512</v>
      </c>
      <c r="AA113" s="314" t="n">
        <f aca="false">(Z113/(1+Z113))</f>
        <v>0.721569510117434</v>
      </c>
      <c r="AB113" s="304" t="n">
        <v>97</v>
      </c>
      <c r="AC113" s="273" t="n">
        <v>55</v>
      </c>
      <c r="AD113" s="315"/>
      <c r="AE113" s="315"/>
      <c r="AF113" s="315"/>
      <c r="AG113" s="317" t="n">
        <v>45435.0660532407</v>
      </c>
      <c r="AH113" s="317" t="n">
        <v>45435.0998611111</v>
      </c>
      <c r="AI113" s="309" t="n">
        <f aca="false">(AH113-AG113)*24</f>
        <v>0.811388888888889</v>
      </c>
      <c r="AJ113" s="318" t="n">
        <v>1</v>
      </c>
      <c r="AK113" s="315"/>
      <c r="AL113" s="315"/>
      <c r="AM113" s="315"/>
      <c r="AN113" s="318"/>
      <c r="AO113" s="318" t="n">
        <f aca="false">(AG113-$AO$7)*24</f>
        <v>42.0852777777778</v>
      </c>
      <c r="AP113" s="318" t="n">
        <f aca="false">AO113+35</f>
        <v>77.0852777777778</v>
      </c>
      <c r="AQ113" s="273" t="n">
        <v>3</v>
      </c>
      <c r="AR113" s="273"/>
      <c r="AS113" s="273" t="s">
        <v>815</v>
      </c>
      <c r="AT113" s="275" t="n">
        <v>45435.625</v>
      </c>
      <c r="AU113" s="319" t="s">
        <v>821</v>
      </c>
      <c r="AV113" s="19"/>
      <c r="AW113" s="277"/>
      <c r="AX113" s="277"/>
      <c r="AY113" s="277"/>
      <c r="AZ113" s="278"/>
      <c r="BA113" s="278"/>
      <c r="BB113" s="279"/>
      <c r="BC113" s="280"/>
      <c r="BD113" s="277"/>
      <c r="BE113" s="277"/>
      <c r="BF113" s="277"/>
      <c r="BG113" s="280"/>
      <c r="BH113" s="19"/>
      <c r="BI113" s="19"/>
      <c r="BJ113" s="260" t="n">
        <v>1</v>
      </c>
      <c r="BK113" s="273" t="n">
        <v>2</v>
      </c>
      <c r="BL113" s="273"/>
      <c r="BM113" s="273" t="s">
        <v>812</v>
      </c>
      <c r="BN113" s="281" t="s">
        <v>819</v>
      </c>
      <c r="BO113" s="273" t="n">
        <v>2</v>
      </c>
      <c r="BP113" s="265" t="n">
        <v>45581</v>
      </c>
      <c r="BQ113" s="282" t="n">
        <f aca="false">AT113+145</f>
        <v>45580.625</v>
      </c>
      <c r="BR113" s="283" t="n">
        <f aca="false">BP113-AT113</f>
        <v>145.375</v>
      </c>
      <c r="BS113" s="283" t="s">
        <v>35</v>
      </c>
      <c r="BT113" s="281" t="s">
        <v>819</v>
      </c>
      <c r="BU113" s="284" t="n">
        <v>0.2</v>
      </c>
      <c r="BV113" s="284" t="n">
        <v>0.2</v>
      </c>
      <c r="BW113" s="284" t="n">
        <v>0.2</v>
      </c>
      <c r="BX113" s="284" t="n">
        <v>0.2</v>
      </c>
      <c r="BY113" s="284" t="n">
        <v>0.2</v>
      </c>
      <c r="BZ113" s="284" t="n">
        <v>0.2</v>
      </c>
      <c r="CA113" s="284" t="n">
        <v>0.34503</v>
      </c>
      <c r="CB113" s="331" t="n">
        <v>0.73765</v>
      </c>
      <c r="CC113" s="284" t="n">
        <v>0.26692</v>
      </c>
      <c r="CD113" s="284" t="n">
        <v>0.34303</v>
      </c>
      <c r="CE113" s="284" t="n">
        <v>0.2</v>
      </c>
      <c r="CF113" s="285" t="s">
        <v>814</v>
      </c>
      <c r="CG113" s="332" t="s">
        <v>810</v>
      </c>
      <c r="CH113" s="285" t="s">
        <v>814</v>
      </c>
      <c r="CI113" s="335" t="s">
        <v>810</v>
      </c>
      <c r="CJ113" s="289" t="n">
        <v>0.2</v>
      </c>
      <c r="CK113" s="290" t="n">
        <v>0</v>
      </c>
      <c r="CL113" s="290" t="n">
        <v>0.5</v>
      </c>
      <c r="CM113" s="285" t="s">
        <v>814</v>
      </c>
      <c r="CN113" s="336" t="s">
        <v>810</v>
      </c>
      <c r="CO113" s="291" t="s">
        <v>828</v>
      </c>
      <c r="CP113" s="285" t="s">
        <v>810</v>
      </c>
      <c r="CQ113" s="337"/>
      <c r="CR113" s="293" t="n">
        <v>48</v>
      </c>
      <c r="CS113" s="294" t="n">
        <f aca="false">$CS$7+(CR113/24)</f>
        <v>45435.25</v>
      </c>
      <c r="CT113" s="295" t="n">
        <v>1.5</v>
      </c>
      <c r="CU113" s="296" t="n">
        <v>0.50389</v>
      </c>
      <c r="CV113" s="297" t="n">
        <f aca="false">(CS113-AG113)*24</f>
        <v>4.41472222222222</v>
      </c>
      <c r="CW113" s="281" t="s">
        <v>819</v>
      </c>
      <c r="CX113" s="320" t="n">
        <f aca="false">(AT113-CS113)*24</f>
        <v>9</v>
      </c>
      <c r="CY113" s="299" t="s">
        <v>812</v>
      </c>
      <c r="CZ113" s="260" t="s">
        <v>192</v>
      </c>
      <c r="DA113" s="304" t="n">
        <v>97</v>
      </c>
      <c r="DB113" s="306" t="s">
        <v>462</v>
      </c>
    </row>
    <row r="114" customFormat="false" ht="15.75" hidden="false" customHeight="true" outlineLevel="0" collapsed="false">
      <c r="A114" s="273" t="s">
        <v>192</v>
      </c>
      <c r="B114" s="304" t="n">
        <v>98</v>
      </c>
      <c r="C114" s="305" t="n">
        <v>16262731206</v>
      </c>
      <c r="D114" s="306" t="s">
        <v>534</v>
      </c>
      <c r="E114" s="306" t="s">
        <v>535</v>
      </c>
      <c r="F114" s="305" t="s">
        <v>536</v>
      </c>
      <c r="G114" s="305" t="n">
        <v>89427</v>
      </c>
      <c r="H114" s="307"/>
      <c r="I114" s="308" t="n">
        <v>44846</v>
      </c>
      <c r="J114" s="309" t="n">
        <v>1.60821917808219</v>
      </c>
      <c r="K114" s="308" t="n">
        <v>45305</v>
      </c>
      <c r="L114" s="310" t="n">
        <v>61.7</v>
      </c>
      <c r="M114" s="310" t="n">
        <v>3.25</v>
      </c>
      <c r="N114" s="310" t="n">
        <v>3</v>
      </c>
      <c r="O114" s="311" t="n">
        <v>128</v>
      </c>
      <c r="P114" s="312" t="n">
        <v>142</v>
      </c>
      <c r="Q114" s="312" t="n">
        <v>0</v>
      </c>
      <c r="R114" s="312" t="n">
        <v>0</v>
      </c>
      <c r="S114" s="312" t="n">
        <v>766</v>
      </c>
      <c r="T114" s="312" t="n">
        <v>2115</v>
      </c>
      <c r="U114" s="312" t="n">
        <v>1931</v>
      </c>
      <c r="V114" s="312" t="n">
        <v>1773</v>
      </c>
      <c r="W114" s="313" t="n">
        <v>-46</v>
      </c>
      <c r="X114" s="314" t="n">
        <f aca="false">EXP(0.585+(0.102*J114)+(0.007*P114)-(0.001*V114)+(0.008*O114)-2.723)</f>
        <v>0.177468589935472</v>
      </c>
      <c r="Y114" s="314" t="n">
        <f aca="false">(X114/(1+X114))</f>
        <v>0.150720445073781</v>
      </c>
      <c r="Z114" s="314" t="n">
        <f aca="false">EXP(1.741+(0.011*P114)-(0.002*V114)+(0.275*J114)-1.952)</f>
        <v>0.173298502041684</v>
      </c>
      <c r="AA114" s="314" t="n">
        <f aca="false">(Z114/(1+Z114))</f>
        <v>0.147701971612615</v>
      </c>
      <c r="AB114" s="304" t="n">
        <v>98</v>
      </c>
      <c r="AC114" s="273" t="n">
        <v>70</v>
      </c>
      <c r="AD114" s="315"/>
      <c r="AE114" s="315"/>
      <c r="AF114" s="315"/>
      <c r="AG114" s="316" t="n">
        <v>45435.6821643519</v>
      </c>
      <c r="AH114" s="316" t="n">
        <v>45436.1851967593</v>
      </c>
      <c r="AI114" s="309" t="n">
        <f aca="false">(AH114-AG114)*24</f>
        <v>12.0727777777778</v>
      </c>
      <c r="AJ114" s="318" t="n">
        <v>12.072777777852</v>
      </c>
      <c r="AK114" s="315"/>
      <c r="AL114" s="315"/>
      <c r="AM114" s="315"/>
      <c r="AN114" s="318"/>
      <c r="AO114" s="318" t="n">
        <f aca="false">(AG114-$AO$7)*24</f>
        <v>56.8719444444444</v>
      </c>
      <c r="AP114" s="318" t="n">
        <f aca="false">AO114+35</f>
        <v>91.8719444444444</v>
      </c>
      <c r="AQ114" s="273" t="n">
        <v>16</v>
      </c>
      <c r="AR114" s="273" t="n">
        <v>1</v>
      </c>
      <c r="AS114" s="272" t="s">
        <v>810</v>
      </c>
      <c r="AT114" s="275" t="n">
        <v>45435.625</v>
      </c>
      <c r="AU114" s="319" t="s">
        <v>818</v>
      </c>
      <c r="AV114" s="19" t="n">
        <v>70</v>
      </c>
      <c r="AW114" s="278" t="n">
        <v>45450.6012152778</v>
      </c>
      <c r="AX114" s="278" t="n">
        <v>45453.3854861111</v>
      </c>
      <c r="AY114" s="279" t="n">
        <f aca="false">(AX114-AW114)*24</f>
        <v>66.8225</v>
      </c>
      <c r="AZ114" s="278" t="n">
        <v>45450.6012152778</v>
      </c>
      <c r="BA114" s="278" t="n">
        <v>45450.6013425926</v>
      </c>
      <c r="BB114" s="279" t="n">
        <f aca="false">(BA114-AZ114)*24</f>
        <v>0.00305555555555556</v>
      </c>
      <c r="BC114" s="280" t="n">
        <v>1</v>
      </c>
      <c r="BD114" s="277"/>
      <c r="BE114" s="277"/>
      <c r="BF114" s="277"/>
      <c r="BG114" s="280"/>
      <c r="BH114" s="19" t="n">
        <v>3</v>
      </c>
      <c r="BI114" s="19" t="n">
        <v>2</v>
      </c>
      <c r="BJ114" s="260" t="n">
        <v>1</v>
      </c>
      <c r="BK114" s="273" t="n">
        <v>1</v>
      </c>
      <c r="BL114" s="273"/>
      <c r="BM114" s="273" t="s">
        <v>812</v>
      </c>
      <c r="BN114" s="281" t="s">
        <v>839</v>
      </c>
      <c r="BO114" s="273" t="n">
        <v>2</v>
      </c>
      <c r="BP114" s="265" t="n">
        <v>45584</v>
      </c>
      <c r="BQ114" s="282" t="n">
        <f aca="false">AT114+145</f>
        <v>45580.625</v>
      </c>
      <c r="BR114" s="283" t="n">
        <f aca="false">BP114-AT114</f>
        <v>148.375</v>
      </c>
      <c r="BS114" s="283" t="s">
        <v>35</v>
      </c>
      <c r="BT114" s="281" t="s">
        <v>839</v>
      </c>
      <c r="BU114" s="284" t="n">
        <v>0.2</v>
      </c>
      <c r="BV114" s="284" t="n">
        <v>0.2</v>
      </c>
      <c r="BW114" s="284" t="n">
        <v>0.2</v>
      </c>
      <c r="BX114" s="284" t="n">
        <v>0.2</v>
      </c>
      <c r="BY114" s="284" t="n">
        <v>0.28135</v>
      </c>
      <c r="BZ114" s="284" t="n">
        <v>0.2</v>
      </c>
      <c r="CA114" s="284" t="n">
        <v>0.2</v>
      </c>
      <c r="CB114" s="284" t="n">
        <v>0.2</v>
      </c>
      <c r="CC114" s="284" t="n">
        <v>0.2</v>
      </c>
      <c r="CD114" s="284" t="n">
        <v>0.2</v>
      </c>
      <c r="CE114" s="284" t="n">
        <v>0.2</v>
      </c>
      <c r="CF114" s="285" t="s">
        <v>814</v>
      </c>
      <c r="CG114" s="332" t="s">
        <v>810</v>
      </c>
      <c r="CH114" s="285" t="s">
        <v>814</v>
      </c>
      <c r="CI114" s="335" t="s">
        <v>810</v>
      </c>
      <c r="CJ114" s="289" t="n">
        <v>0.213558333333333</v>
      </c>
      <c r="CK114" s="290" t="n">
        <v>0.0332109984292352</v>
      </c>
      <c r="CL114" s="290" t="n">
        <v>0.279980330191804</v>
      </c>
      <c r="CM114" s="285" t="s">
        <v>814</v>
      </c>
      <c r="CN114" s="336" t="s">
        <v>810</v>
      </c>
      <c r="CO114" s="291" t="s">
        <v>828</v>
      </c>
      <c r="CP114" s="285" t="s">
        <v>810</v>
      </c>
      <c r="CQ114" s="337"/>
      <c r="CR114" s="293" t="n">
        <v>72</v>
      </c>
      <c r="CS114" s="294" t="n">
        <f aca="false">$CS$7+(CR114/24)</f>
        <v>45436.25</v>
      </c>
      <c r="CT114" s="295" t="n">
        <v>0.5</v>
      </c>
      <c r="CU114" s="296" t="n">
        <v>0.17074</v>
      </c>
      <c r="CV114" s="297" t="n">
        <f aca="false">(CS114-AG114)*24</f>
        <v>13.6280555555556</v>
      </c>
      <c r="CW114" s="281" t="s">
        <v>819</v>
      </c>
      <c r="CX114" s="320" t="n">
        <f aca="false">(AT114-CS114)*24</f>
        <v>-15</v>
      </c>
      <c r="CY114" s="299" t="s">
        <v>812</v>
      </c>
      <c r="CZ114" s="260" t="s">
        <v>192</v>
      </c>
      <c r="DA114" s="304" t="n">
        <v>98</v>
      </c>
      <c r="DB114" s="306" t="s">
        <v>534</v>
      </c>
    </row>
    <row r="115" customFormat="false" ht="15.75" hidden="false" customHeight="true" outlineLevel="0" collapsed="false">
      <c r="A115" s="273" t="s">
        <v>192</v>
      </c>
      <c r="B115" s="304" t="n">
        <v>99</v>
      </c>
      <c r="C115" s="305" t="n">
        <v>16262731277</v>
      </c>
      <c r="D115" s="306" t="s">
        <v>537</v>
      </c>
      <c r="E115" s="306" t="s">
        <v>538</v>
      </c>
      <c r="F115" s="305" t="s">
        <v>539</v>
      </c>
      <c r="G115" s="305" t="n">
        <v>89299</v>
      </c>
      <c r="H115" s="307"/>
      <c r="I115" s="308" t="n">
        <v>44847</v>
      </c>
      <c r="J115" s="309" t="n">
        <v>1.60547945205479</v>
      </c>
      <c r="K115" s="308" t="n">
        <v>45320</v>
      </c>
      <c r="L115" s="310" t="n">
        <v>49</v>
      </c>
      <c r="M115" s="310" t="n">
        <v>3</v>
      </c>
      <c r="N115" s="310" t="n">
        <v>3.25</v>
      </c>
      <c r="O115" s="311" t="n">
        <v>113</v>
      </c>
      <c r="P115" s="312" t="n">
        <v>111</v>
      </c>
      <c r="Q115" s="312" t="n">
        <v>0</v>
      </c>
      <c r="R115" s="312" t="n">
        <v>0</v>
      </c>
      <c r="S115" s="312" t="n">
        <v>0</v>
      </c>
      <c r="T115" s="312" t="n">
        <v>0</v>
      </c>
      <c r="U115" s="312" t="n">
        <v>1764</v>
      </c>
      <c r="V115" s="312" t="n">
        <v>1916</v>
      </c>
      <c r="W115" s="313" t="n">
        <v>0</v>
      </c>
      <c r="X115" s="314" t="n">
        <f aca="false">EXP(1.204+(0.102*J115)+(0.007*P115)-(0.001*V115)+(0.008*O115)-2.723)</f>
        <v>0.203876452033614</v>
      </c>
      <c r="Y115" s="314" t="n">
        <f aca="false">(X115/(1+X115))</f>
        <v>0.169349979135501</v>
      </c>
      <c r="Z115" s="314" t="n">
        <f aca="false">EXP(2.859+(0.011*P115)-(0.002*V115)+(0.275*J115)-1.952)</f>
        <v>0.282947715105545</v>
      </c>
      <c r="AA115" s="314" t="n">
        <f aca="false">(Z115/(1+Z115))</f>
        <v>0.220545008790376</v>
      </c>
      <c r="AB115" s="304" t="n">
        <v>99</v>
      </c>
      <c r="AC115" s="273" t="n">
        <v>78</v>
      </c>
      <c r="AD115" s="315"/>
      <c r="AE115" s="315"/>
      <c r="AF115" s="315"/>
      <c r="AG115" s="382" t="n">
        <v>45435.7987152778</v>
      </c>
      <c r="AH115" s="382" t="n">
        <v>45435.7987152778</v>
      </c>
      <c r="AI115" s="309" t="n">
        <f aca="false">(AH115-AG115)*24</f>
        <v>0</v>
      </c>
      <c r="AJ115" s="318" t="n">
        <v>1</v>
      </c>
      <c r="AK115" s="315"/>
      <c r="AL115" s="315"/>
      <c r="AM115" s="315"/>
      <c r="AN115" s="318"/>
      <c r="AO115" s="318" t="n">
        <f aca="false">(AG115-$AO$7)*24</f>
        <v>59.6691666666667</v>
      </c>
      <c r="AP115" s="318" t="n">
        <f aca="false">AO115+35</f>
        <v>94.6691666666667</v>
      </c>
      <c r="AQ115" s="273" t="n">
        <v>1</v>
      </c>
      <c r="AR115" s="273" t="n">
        <v>1</v>
      </c>
      <c r="AS115" s="272" t="s">
        <v>810</v>
      </c>
      <c r="AT115" s="275" t="n">
        <v>45435.625</v>
      </c>
      <c r="AU115" s="319" t="s">
        <v>838</v>
      </c>
      <c r="AV115" s="19"/>
      <c r="AW115" s="278"/>
      <c r="AX115" s="278"/>
      <c r="AY115" s="279"/>
      <c r="AZ115" s="278"/>
      <c r="BA115" s="278"/>
      <c r="BB115" s="279"/>
      <c r="BC115" s="280"/>
      <c r="BD115" s="277"/>
      <c r="BE115" s="277"/>
      <c r="BF115" s="277"/>
      <c r="BG115" s="280"/>
      <c r="BH115" s="19"/>
      <c r="BI115" s="19"/>
      <c r="BJ115" s="273" t="n">
        <v>0</v>
      </c>
      <c r="BK115" s="273"/>
      <c r="BL115" s="273"/>
      <c r="BM115" s="273" t="s">
        <v>829</v>
      </c>
      <c r="BN115" s="281" t="s">
        <v>836</v>
      </c>
      <c r="BO115" s="273" t="n">
        <v>2</v>
      </c>
      <c r="BP115" s="265" t="n">
        <v>45666</v>
      </c>
      <c r="BQ115" s="282" t="n">
        <f aca="false">AT115+145</f>
        <v>45580.625</v>
      </c>
      <c r="BR115" s="283" t="n">
        <f aca="false">BP115-AT115</f>
        <v>230.375</v>
      </c>
      <c r="BS115" s="283" t="s">
        <v>830</v>
      </c>
      <c r="BT115" s="281" t="s">
        <v>836</v>
      </c>
      <c r="BU115" s="284" t="n">
        <v>0.33508</v>
      </c>
      <c r="BV115" s="284" t="n">
        <v>0.35705</v>
      </c>
      <c r="BW115" s="284" t="n">
        <v>0.2</v>
      </c>
      <c r="BX115" s="284" t="n">
        <v>0.2</v>
      </c>
      <c r="BY115" s="284" t="n">
        <v>0.2</v>
      </c>
      <c r="BZ115" s="284" t="n">
        <v>0.2</v>
      </c>
      <c r="CA115" s="284" t="n">
        <v>0.2631</v>
      </c>
      <c r="CB115" s="331" t="n">
        <v>0.86077</v>
      </c>
      <c r="CC115" s="331" t="n">
        <v>0.52012</v>
      </c>
      <c r="CD115" s="331" t="n">
        <v>0.7429</v>
      </c>
      <c r="CE115" s="284" t="n">
        <v>0.25</v>
      </c>
      <c r="CF115" s="285" t="s">
        <v>814</v>
      </c>
      <c r="CG115" s="332" t="s">
        <v>810</v>
      </c>
      <c r="CH115" s="285" t="s">
        <v>814</v>
      </c>
      <c r="CI115" s="335" t="s">
        <v>810</v>
      </c>
      <c r="CJ115" s="289" t="n">
        <v>0.248688333333333</v>
      </c>
      <c r="CK115" s="290" t="n">
        <v>0.0757469287606218</v>
      </c>
      <c r="CL115" s="290" t="n">
        <v>0.400182190854577</v>
      </c>
      <c r="CM115" s="285" t="s">
        <v>814</v>
      </c>
      <c r="CN115" s="336" t="s">
        <v>810</v>
      </c>
      <c r="CO115" s="291" t="s">
        <v>828</v>
      </c>
      <c r="CP115" s="285" t="s">
        <v>810</v>
      </c>
      <c r="CQ115" s="337"/>
      <c r="CR115" s="293" t="n">
        <v>60</v>
      </c>
      <c r="CS115" s="294" t="n">
        <f aca="false">$CS$7+(CR115/24)</f>
        <v>45435.75</v>
      </c>
      <c r="CT115" s="295" t="n">
        <v>1</v>
      </c>
      <c r="CU115" s="296" t="n">
        <v>0.36142</v>
      </c>
      <c r="CV115" s="297" t="n">
        <f aca="false">(CS115-AG115)*24</f>
        <v>-1.16916666671056</v>
      </c>
      <c r="CW115" s="281" t="s">
        <v>819</v>
      </c>
      <c r="CX115" s="320" t="n">
        <f aca="false">(AT115-CS115)*24</f>
        <v>-3</v>
      </c>
      <c r="CY115" s="346" t="s">
        <v>829</v>
      </c>
      <c r="CZ115" s="260" t="s">
        <v>192</v>
      </c>
      <c r="DA115" s="304" t="n">
        <v>99</v>
      </c>
      <c r="DB115" s="306" t="s">
        <v>537</v>
      </c>
    </row>
    <row r="116" customFormat="false" ht="15.75" hidden="false" customHeight="true" outlineLevel="0" collapsed="false">
      <c r="A116" s="273" t="s">
        <v>192</v>
      </c>
      <c r="B116" s="304" t="n">
        <v>100</v>
      </c>
      <c r="C116" s="305" t="n">
        <v>16262731280</v>
      </c>
      <c r="D116" s="306" t="s">
        <v>387</v>
      </c>
      <c r="E116" s="306" t="s">
        <v>388</v>
      </c>
      <c r="F116" s="305" t="s">
        <v>389</v>
      </c>
      <c r="G116" s="305" t="n">
        <v>88617</v>
      </c>
      <c r="H116" s="307"/>
      <c r="I116" s="308" t="n">
        <v>44847</v>
      </c>
      <c r="J116" s="309" t="n">
        <v>1.60547945205479</v>
      </c>
      <c r="K116" s="308" t="n">
        <v>45244</v>
      </c>
      <c r="L116" s="310" t="n">
        <v>59.1</v>
      </c>
      <c r="M116" s="310" t="n">
        <v>3.5</v>
      </c>
      <c r="N116" s="310" t="n">
        <v>3.5</v>
      </c>
      <c r="O116" s="311" t="n">
        <v>189</v>
      </c>
      <c r="P116" s="312" t="n">
        <v>152</v>
      </c>
      <c r="Q116" s="312" t="n">
        <v>447</v>
      </c>
      <c r="R116" s="312" t="n">
        <v>1102</v>
      </c>
      <c r="S116" s="312" t="n">
        <v>1192</v>
      </c>
      <c r="T116" s="312" t="n">
        <v>1212</v>
      </c>
      <c r="U116" s="312" t="n">
        <v>1120</v>
      </c>
      <c r="V116" s="312" t="n">
        <v>1058</v>
      </c>
      <c r="W116" s="313" t="n">
        <v>-118</v>
      </c>
      <c r="X116" s="314" t="n">
        <f aca="false">EXP(1.204+(0.102*J116)+(0.007*P116)-(0.001*V116)+(0.008*O116)-2.723)</f>
        <v>1.17675294518591</v>
      </c>
      <c r="Y116" s="314" t="n">
        <f aca="false">(X116/(1+X116))</f>
        <v>0.540600139206614</v>
      </c>
      <c r="Z116" s="314" t="n">
        <f aca="false">EXP(2.859+(0.011*P116)-(0.002*V116)+(0.275*J116)-1.952)</f>
        <v>2.47071318867106</v>
      </c>
      <c r="AA116" s="314" t="n">
        <f aca="false">(Z116/(1+Z116))</f>
        <v>0.711874780300443</v>
      </c>
      <c r="AB116" s="304" t="n">
        <v>100</v>
      </c>
      <c r="AC116" s="273" t="n">
        <v>79</v>
      </c>
      <c r="AD116" s="315"/>
      <c r="AE116" s="315"/>
      <c r="AF116" s="315"/>
      <c r="AG116" s="382" t="n">
        <v>45435.7987152778</v>
      </c>
      <c r="AH116" s="316" t="n">
        <v>45436.1764814815</v>
      </c>
      <c r="AI116" s="309" t="n">
        <f aca="false">(AH116-AG116)*24</f>
        <v>9.06638888888889</v>
      </c>
      <c r="AJ116" s="318" t="n">
        <v>9.06638888886664</v>
      </c>
      <c r="AK116" s="315"/>
      <c r="AL116" s="315"/>
      <c r="AM116" s="315"/>
      <c r="AN116" s="318"/>
      <c r="AO116" s="318" t="n">
        <f aca="false">(AG116-$AO$7)*24</f>
        <v>59.6691666666667</v>
      </c>
      <c r="AP116" s="318" t="n">
        <f aca="false">AO116+35</f>
        <v>94.6691666666667</v>
      </c>
      <c r="AQ116" s="273" t="n">
        <v>3</v>
      </c>
      <c r="AR116" s="273" t="n">
        <v>2</v>
      </c>
      <c r="AS116" s="272" t="s">
        <v>810</v>
      </c>
      <c r="AT116" s="275" t="n">
        <v>45435.625</v>
      </c>
      <c r="AU116" s="276" t="s">
        <v>811</v>
      </c>
      <c r="AV116" s="19" t="n">
        <v>79</v>
      </c>
      <c r="AW116" s="277"/>
      <c r="AX116" s="277"/>
      <c r="AY116" s="277"/>
      <c r="AZ116" s="278" t="n">
        <v>45452.6926273148</v>
      </c>
      <c r="BA116" s="354" t="n">
        <v>45453.1028472222</v>
      </c>
      <c r="BB116" s="279" t="n">
        <f aca="false">(BA116-AZ116)*24</f>
        <v>9.84527777777778</v>
      </c>
      <c r="BC116" s="280" t="n">
        <v>9.84527777787298</v>
      </c>
      <c r="BD116" s="277"/>
      <c r="BE116" s="277"/>
      <c r="BF116" s="277"/>
      <c r="BG116" s="280"/>
      <c r="BH116" s="19" t="n">
        <v>38</v>
      </c>
      <c r="BI116" s="19" t="n">
        <v>2</v>
      </c>
      <c r="BJ116" s="273" t="n">
        <v>0</v>
      </c>
      <c r="BK116" s="273"/>
      <c r="BL116" s="273" t="s">
        <v>826</v>
      </c>
      <c r="BM116" s="273" t="s">
        <v>106</v>
      </c>
      <c r="BN116" s="281" t="s">
        <v>819</v>
      </c>
      <c r="BO116" s="273" t="n">
        <v>1</v>
      </c>
      <c r="BP116" s="265" t="n">
        <v>45596</v>
      </c>
      <c r="BQ116" s="282" t="n">
        <f aca="false">AZ116+145</f>
        <v>45597.6926273148</v>
      </c>
      <c r="BR116" s="283" t="n">
        <f aca="false">BP116-AT116</f>
        <v>160.375</v>
      </c>
      <c r="BS116" s="283" t="s">
        <v>106</v>
      </c>
      <c r="BT116" s="281" t="s">
        <v>827</v>
      </c>
      <c r="BU116" s="284" t="n">
        <v>0.2</v>
      </c>
      <c r="BV116" s="284" t="n">
        <v>0.2</v>
      </c>
      <c r="BW116" s="284" t="n">
        <v>0.2</v>
      </c>
      <c r="BX116" s="284" t="n">
        <v>0.2</v>
      </c>
      <c r="BY116" s="284" t="n">
        <v>0.2</v>
      </c>
      <c r="BZ116" s="284" t="n">
        <v>0.2</v>
      </c>
      <c r="CA116" s="284" t="n">
        <v>0.2</v>
      </c>
      <c r="CB116" s="284" t="n">
        <v>0.2</v>
      </c>
      <c r="CC116" s="284" t="n">
        <v>0.2</v>
      </c>
      <c r="CD116" s="284" t="n">
        <v>0.2</v>
      </c>
      <c r="CE116" s="284" t="n">
        <v>0.2</v>
      </c>
      <c r="CF116" s="285" t="s">
        <v>814</v>
      </c>
      <c r="CG116" s="332" t="s">
        <v>810</v>
      </c>
      <c r="CH116" s="285" t="s">
        <v>814</v>
      </c>
      <c r="CI116" s="335" t="s">
        <v>810</v>
      </c>
      <c r="CJ116" s="289" t="n">
        <v>0.2</v>
      </c>
      <c r="CK116" s="290" t="n">
        <v>0</v>
      </c>
      <c r="CL116" s="290" t="n">
        <v>0.5</v>
      </c>
      <c r="CM116" s="285" t="s">
        <v>814</v>
      </c>
      <c r="CN116" s="336" t="s">
        <v>810</v>
      </c>
      <c r="CO116" s="291" t="s">
        <v>828</v>
      </c>
      <c r="CP116" s="285" t="s">
        <v>810</v>
      </c>
      <c r="CQ116" s="337"/>
      <c r="CR116" s="362"/>
      <c r="CS116" s="294"/>
      <c r="CT116" s="363"/>
      <c r="CU116" s="364"/>
      <c r="CV116" s="297"/>
      <c r="CW116" s="281" t="s">
        <v>842</v>
      </c>
      <c r="CX116" s="360"/>
      <c r="CY116" s="338" t="s">
        <v>106</v>
      </c>
      <c r="CZ116" s="260" t="s">
        <v>192</v>
      </c>
      <c r="DA116" s="304" t="n">
        <v>100</v>
      </c>
      <c r="DB116" s="306" t="s">
        <v>387</v>
      </c>
    </row>
    <row r="117" customFormat="false" ht="15.75" hidden="false" customHeight="true" outlineLevel="0" collapsed="false">
      <c r="A117" s="273" t="s">
        <v>192</v>
      </c>
      <c r="B117" s="304" t="n">
        <v>101</v>
      </c>
      <c r="C117" s="305" t="n">
        <v>16262731299</v>
      </c>
      <c r="D117" s="306" t="s">
        <v>495</v>
      </c>
      <c r="E117" s="306" t="s">
        <v>496</v>
      </c>
      <c r="F117" s="305" t="s">
        <v>497</v>
      </c>
      <c r="G117" s="305" t="n">
        <v>89007</v>
      </c>
      <c r="H117" s="307"/>
      <c r="I117" s="308" t="n">
        <v>44847</v>
      </c>
      <c r="J117" s="309" t="n">
        <v>1.60547945205479</v>
      </c>
      <c r="K117" s="308" t="n">
        <v>45244</v>
      </c>
      <c r="L117" s="310" t="n">
        <v>66.5</v>
      </c>
      <c r="M117" s="310" t="n">
        <v>2.75</v>
      </c>
      <c r="N117" s="310" t="n">
        <v>3.25</v>
      </c>
      <c r="O117" s="311" t="n">
        <v>189</v>
      </c>
      <c r="P117" s="312" t="n">
        <v>180</v>
      </c>
      <c r="Q117" s="312" t="n">
        <v>0</v>
      </c>
      <c r="R117" s="312" t="n">
        <v>0</v>
      </c>
      <c r="S117" s="312" t="n">
        <v>1192</v>
      </c>
      <c r="T117" s="312" t="n">
        <v>1494</v>
      </c>
      <c r="U117" s="312" t="n">
        <v>1400</v>
      </c>
      <c r="V117" s="312" t="n">
        <v>1287</v>
      </c>
      <c r="W117" s="313" t="n">
        <v>46</v>
      </c>
      <c r="X117" s="314" t="n">
        <f aca="false">EXP(1.204+(0.102*J117)+(0.007*P117)-(0.001*V117)+(0.008*O117)-2.723)</f>
        <v>1.13855384957733</v>
      </c>
      <c r="Y117" s="314" t="n">
        <f aca="false">(X117/(1+X117))</f>
        <v>0.532394285887333</v>
      </c>
      <c r="Z117" s="314" t="n">
        <f aca="false">EXP(2.859+(0.011*P117)-(0.002*V117)+(0.275*J117)-1.952)</f>
        <v>2.12656254894777</v>
      </c>
      <c r="AA117" s="314" t="n">
        <f aca="false">(Z117/(1+Z117))</f>
        <v>0.680159925047223</v>
      </c>
      <c r="AB117" s="304" t="n">
        <v>101</v>
      </c>
      <c r="AC117" s="273" t="n">
        <v>63</v>
      </c>
      <c r="AD117" s="315"/>
      <c r="AE117" s="315"/>
      <c r="AF117" s="315"/>
      <c r="AG117" s="317" t="n">
        <v>45435.3076273148</v>
      </c>
      <c r="AH117" s="316" t="n">
        <v>45435.669224537</v>
      </c>
      <c r="AI117" s="309" t="n">
        <f aca="false">(AH117-AG117)*24</f>
        <v>8.67833333333333</v>
      </c>
      <c r="AJ117" s="318" t="n">
        <v>8.67833333322778</v>
      </c>
      <c r="AK117" s="315"/>
      <c r="AL117" s="315"/>
      <c r="AM117" s="315"/>
      <c r="AN117" s="318"/>
      <c r="AO117" s="318" t="n">
        <f aca="false">(AG117-$AO$7)*24</f>
        <v>47.8830555555556</v>
      </c>
      <c r="AP117" s="318" t="n">
        <f aca="false">AO117+35</f>
        <v>82.8830555555556</v>
      </c>
      <c r="AQ117" s="273" t="n">
        <v>7</v>
      </c>
      <c r="AR117" s="273" t="n">
        <v>2</v>
      </c>
      <c r="AS117" s="273" t="s">
        <v>815</v>
      </c>
      <c r="AT117" s="275" t="n">
        <v>45435.625</v>
      </c>
      <c r="AU117" s="319" t="s">
        <v>818</v>
      </c>
      <c r="AV117" s="19"/>
      <c r="AW117" s="277"/>
      <c r="AX117" s="277"/>
      <c r="AY117" s="277"/>
      <c r="AZ117" s="278"/>
      <c r="BA117" s="354"/>
      <c r="BB117" s="279"/>
      <c r="BC117" s="280"/>
      <c r="BD117" s="277"/>
      <c r="BE117" s="277"/>
      <c r="BF117" s="277"/>
      <c r="BG117" s="280"/>
      <c r="BH117" s="19"/>
      <c r="BI117" s="19"/>
      <c r="BJ117" s="260" t="n">
        <v>1</v>
      </c>
      <c r="BK117" s="273" t="n">
        <v>1</v>
      </c>
      <c r="BL117" s="273"/>
      <c r="BM117" s="273" t="s">
        <v>812</v>
      </c>
      <c r="BN117" s="281" t="s">
        <v>819</v>
      </c>
      <c r="BO117" s="273" t="n">
        <v>1</v>
      </c>
      <c r="BP117" s="265" t="n">
        <v>45583</v>
      </c>
      <c r="BQ117" s="282" t="n">
        <f aca="false">AT117+145</f>
        <v>45580.625</v>
      </c>
      <c r="BR117" s="283" t="n">
        <f aca="false">BP117-AT117</f>
        <v>147.375</v>
      </c>
      <c r="BS117" s="283" t="s">
        <v>35</v>
      </c>
      <c r="BT117" s="281" t="s">
        <v>819</v>
      </c>
      <c r="BU117" s="284" t="n">
        <v>0.2</v>
      </c>
      <c r="BV117" s="331" t="n">
        <v>1.0118</v>
      </c>
      <c r="BW117" s="284" t="n">
        <v>0.2</v>
      </c>
      <c r="BX117" s="284" t="n">
        <v>0.2</v>
      </c>
      <c r="BY117" s="284" t="n">
        <v>0.2</v>
      </c>
      <c r="BZ117" s="284" t="n">
        <v>0.2</v>
      </c>
      <c r="CA117" s="284" t="n">
        <v>0.2</v>
      </c>
      <c r="CB117" s="284" t="n">
        <v>0.2</v>
      </c>
      <c r="CC117" s="284" t="n">
        <v>0.2</v>
      </c>
      <c r="CD117" s="284" t="n">
        <v>0.2</v>
      </c>
      <c r="CE117" s="284" t="n">
        <v>0.2</v>
      </c>
      <c r="CF117" s="285" t="s">
        <v>814</v>
      </c>
      <c r="CG117" s="332" t="s">
        <v>810</v>
      </c>
      <c r="CH117" s="325" t="s">
        <v>55</v>
      </c>
      <c r="CI117" s="368" t="s">
        <v>810</v>
      </c>
      <c r="CJ117" s="289" t="n">
        <v>0.2</v>
      </c>
      <c r="CK117" s="290" t="n">
        <v>0</v>
      </c>
      <c r="CL117" s="290" t="n">
        <v>0.5</v>
      </c>
      <c r="CM117" s="325" t="s">
        <v>55</v>
      </c>
      <c r="CN117" s="367" t="s">
        <v>810</v>
      </c>
      <c r="CO117" s="291" t="s">
        <v>828</v>
      </c>
      <c r="CP117" s="285" t="s">
        <v>810</v>
      </c>
      <c r="CQ117" s="337"/>
      <c r="CR117" s="293" t="n">
        <v>60</v>
      </c>
      <c r="CS117" s="294" t="n">
        <f aca="false">$CS$7+(CR117/24)</f>
        <v>45435.75</v>
      </c>
      <c r="CT117" s="295" t="n">
        <v>1</v>
      </c>
      <c r="CU117" s="296" t="n">
        <v>0.42285</v>
      </c>
      <c r="CV117" s="297" t="n">
        <f aca="false">(CS117-AG117)*24</f>
        <v>10.6169444444444</v>
      </c>
      <c r="CW117" s="281" t="s">
        <v>819</v>
      </c>
      <c r="CX117" s="320" t="n">
        <f aca="false">(AT117-CS117)*24</f>
        <v>-3</v>
      </c>
      <c r="CY117" s="299" t="s">
        <v>812</v>
      </c>
      <c r="CZ117" s="260" t="s">
        <v>192</v>
      </c>
      <c r="DA117" s="304" t="n">
        <v>101</v>
      </c>
      <c r="DB117" s="306" t="s">
        <v>495</v>
      </c>
    </row>
    <row r="118" customFormat="false" ht="15.75" hidden="false" customHeight="true" outlineLevel="0" collapsed="false">
      <c r="A118" s="273" t="s">
        <v>192</v>
      </c>
      <c r="B118" s="304" t="n">
        <v>104</v>
      </c>
      <c r="C118" s="305" t="n">
        <v>16262731355</v>
      </c>
      <c r="D118" s="306" t="s">
        <v>424</v>
      </c>
      <c r="E118" s="306" t="s">
        <v>425</v>
      </c>
      <c r="F118" s="305" t="s">
        <v>426</v>
      </c>
      <c r="G118" s="305" t="n">
        <v>88708</v>
      </c>
      <c r="H118" s="307"/>
      <c r="I118" s="308" t="n">
        <v>44848</v>
      </c>
      <c r="J118" s="309" t="n">
        <v>1.6027397260274</v>
      </c>
      <c r="K118" s="308" t="n">
        <v>45245</v>
      </c>
      <c r="L118" s="310" t="n">
        <v>65.9</v>
      </c>
      <c r="M118" s="310" t="n">
        <v>3.75</v>
      </c>
      <c r="N118" s="310" t="n">
        <v>3.75</v>
      </c>
      <c r="O118" s="311" t="n">
        <v>188</v>
      </c>
      <c r="P118" s="312"/>
      <c r="Q118" s="312" t="n">
        <v>0</v>
      </c>
      <c r="R118" s="312" t="n">
        <v>0</v>
      </c>
      <c r="S118" s="312" t="n">
        <v>0</v>
      </c>
      <c r="T118" s="312" t="n">
        <v>0</v>
      </c>
      <c r="U118" s="312" t="n">
        <v>1512</v>
      </c>
      <c r="V118" s="312" t="n">
        <v>1372</v>
      </c>
      <c r="W118" s="313" t="n">
        <v>0</v>
      </c>
      <c r="X118" s="314"/>
      <c r="Y118" s="314"/>
      <c r="Z118" s="314"/>
      <c r="AA118" s="314"/>
      <c r="AB118" s="304" t="n">
        <v>104</v>
      </c>
      <c r="AC118" s="273" t="n">
        <v>88</v>
      </c>
      <c r="AD118" s="315"/>
      <c r="AE118" s="315"/>
      <c r="AF118" s="315"/>
      <c r="AG118" s="317" t="n">
        <v>45445.5759837963</v>
      </c>
      <c r="AH118" s="317" t="n">
        <v>45445.5759837963</v>
      </c>
      <c r="AI118" s="309" t="n">
        <f aca="false">(AH118-AG118)*24</f>
        <v>0</v>
      </c>
      <c r="AJ118" s="318" t="n">
        <v>1</v>
      </c>
      <c r="AK118" s="315"/>
      <c r="AL118" s="315"/>
      <c r="AM118" s="315"/>
      <c r="AN118" s="318"/>
      <c r="AO118" s="318" t="n">
        <f aca="false">(AG118-$AO$7)*24</f>
        <v>294.323611111111</v>
      </c>
      <c r="AP118" s="318" t="n">
        <f aca="false">AO118+35</f>
        <v>329.323611111111</v>
      </c>
      <c r="AQ118" s="273" t="n">
        <v>1</v>
      </c>
      <c r="AR118" s="273" t="n">
        <v>1</v>
      </c>
      <c r="AS118" s="272" t="s">
        <v>810</v>
      </c>
      <c r="AT118" s="275" t="n">
        <v>45435.625</v>
      </c>
      <c r="AU118" s="319" t="s">
        <v>821</v>
      </c>
      <c r="AV118" s="19"/>
      <c r="AW118" s="277"/>
      <c r="AX118" s="277"/>
      <c r="AY118" s="277"/>
      <c r="AZ118" s="278"/>
      <c r="BA118" s="354"/>
      <c r="BB118" s="279"/>
      <c r="BC118" s="280"/>
      <c r="BD118" s="277"/>
      <c r="BE118" s="277"/>
      <c r="BF118" s="277"/>
      <c r="BG118" s="280"/>
      <c r="BH118" s="19"/>
      <c r="BI118" s="19"/>
      <c r="BJ118" s="260" t="n">
        <v>1</v>
      </c>
      <c r="BK118" s="273" t="n">
        <v>1</v>
      </c>
      <c r="BL118" s="273"/>
      <c r="BM118" s="273" t="s">
        <v>812</v>
      </c>
      <c r="BN118" s="281" t="s">
        <v>840</v>
      </c>
      <c r="BO118" s="273" t="n">
        <v>1</v>
      </c>
      <c r="BP118" s="265" t="n">
        <v>45584</v>
      </c>
      <c r="BQ118" s="282" t="n">
        <f aca="false">AT118+145</f>
        <v>45580.625</v>
      </c>
      <c r="BR118" s="283" t="n">
        <f aca="false">BP118-AT118</f>
        <v>148.375</v>
      </c>
      <c r="BS118" s="283" t="s">
        <v>35</v>
      </c>
      <c r="BT118" s="281" t="s">
        <v>840</v>
      </c>
      <c r="BU118" s="284" t="n">
        <v>0.2</v>
      </c>
      <c r="BV118" s="284" t="n">
        <v>0.2</v>
      </c>
      <c r="BW118" s="284" t="n">
        <v>0.2</v>
      </c>
      <c r="BX118" s="284" t="n">
        <v>0.2</v>
      </c>
      <c r="BY118" s="284" t="n">
        <v>0.2</v>
      </c>
      <c r="BZ118" s="284" t="n">
        <v>0.2</v>
      </c>
      <c r="CA118" s="284" t="n">
        <v>0.2</v>
      </c>
      <c r="CB118" s="284" t="n">
        <v>0.2</v>
      </c>
      <c r="CC118" s="284" t="n">
        <v>0.2</v>
      </c>
      <c r="CD118" s="284" t="n">
        <v>0.2</v>
      </c>
      <c r="CE118" s="284" t="n">
        <v>0.2</v>
      </c>
      <c r="CF118" s="285" t="s">
        <v>814</v>
      </c>
      <c r="CG118" s="332" t="s">
        <v>810</v>
      </c>
      <c r="CH118" s="285" t="s">
        <v>814</v>
      </c>
      <c r="CI118" s="335" t="s">
        <v>810</v>
      </c>
      <c r="CJ118" s="289" t="n">
        <v>0.2</v>
      </c>
      <c r="CK118" s="290" t="n">
        <v>0</v>
      </c>
      <c r="CL118" s="290" t="n">
        <v>0.5</v>
      </c>
      <c r="CM118" s="285" t="s">
        <v>814</v>
      </c>
      <c r="CN118" s="336" t="s">
        <v>810</v>
      </c>
      <c r="CO118" s="291" t="s">
        <v>828</v>
      </c>
      <c r="CP118" s="285" t="s">
        <v>810</v>
      </c>
      <c r="CQ118" s="337"/>
      <c r="CR118" s="293" t="n">
        <v>72</v>
      </c>
      <c r="CS118" s="294" t="n">
        <f aca="false">$CS$7+(CR118/24)</f>
        <v>45436.25</v>
      </c>
      <c r="CT118" s="295" t="n">
        <v>1</v>
      </c>
      <c r="CU118" s="296" t="n">
        <v>0.12827</v>
      </c>
      <c r="CV118" s="297" t="n">
        <f aca="false">(CS118-AG118)*24</f>
        <v>-223.823611111184</v>
      </c>
      <c r="CW118" s="281" t="s">
        <v>844</v>
      </c>
      <c r="CX118" s="320" t="n">
        <f aca="false">(AT118-CS118)*24</f>
        <v>-15</v>
      </c>
      <c r="CY118" s="299" t="s">
        <v>812</v>
      </c>
      <c r="CZ118" s="260" t="s">
        <v>192</v>
      </c>
      <c r="DA118" s="304" t="n">
        <v>104</v>
      </c>
      <c r="DB118" s="306" t="s">
        <v>424</v>
      </c>
    </row>
    <row r="119" customFormat="false" ht="15.75" hidden="false" customHeight="true" outlineLevel="0" collapsed="false">
      <c r="A119" s="273" t="s">
        <v>192</v>
      </c>
      <c r="B119" s="304" t="n">
        <v>106</v>
      </c>
      <c r="C119" s="305" t="n">
        <v>16262731360</v>
      </c>
      <c r="D119" s="306" t="s">
        <v>282</v>
      </c>
      <c r="E119" s="306" t="s">
        <v>283</v>
      </c>
      <c r="F119" s="305" t="s">
        <v>284</v>
      </c>
      <c r="G119" s="305" t="n">
        <v>88228</v>
      </c>
      <c r="H119" s="307"/>
      <c r="I119" s="308" t="n">
        <v>44848</v>
      </c>
      <c r="J119" s="309" t="n">
        <v>1.6027397260274</v>
      </c>
      <c r="K119" s="308" t="n">
        <v>45246</v>
      </c>
      <c r="L119" s="310" t="n">
        <v>70.4</v>
      </c>
      <c r="M119" s="310" t="n">
        <v>3.75</v>
      </c>
      <c r="N119" s="310" t="n">
        <v>4</v>
      </c>
      <c r="O119" s="311" t="n">
        <v>187</v>
      </c>
      <c r="P119" s="312" t="n">
        <v>164</v>
      </c>
      <c r="Q119" s="312" t="n">
        <v>298</v>
      </c>
      <c r="R119" s="312" t="n">
        <v>1218</v>
      </c>
      <c r="S119" s="312" t="n">
        <v>1420</v>
      </c>
      <c r="T119" s="312" t="n">
        <v>1353</v>
      </c>
      <c r="U119" s="312" t="n">
        <v>1176</v>
      </c>
      <c r="V119" s="312" t="n">
        <v>1058</v>
      </c>
      <c r="W119" s="313" t="n">
        <v>-191</v>
      </c>
      <c r="X119" s="314" t="n">
        <f aca="false">EXP(1.204+(0.102*J119)+(0.007*P119)-(0.001*V119)+(0.008*O119)-2.723)</f>
        <v>1.25920359297341</v>
      </c>
      <c r="Y119" s="314" t="n">
        <f aca="false">(X119/(1+X119))</f>
        <v>0.557366143046953</v>
      </c>
      <c r="Z119" s="314" t="n">
        <f aca="false">EXP(2.859+(0.011*P119)-(0.002*V119)+(0.275*J119)-1.952)</f>
        <v>2.81722800527198</v>
      </c>
      <c r="AA119" s="314" t="n">
        <f aca="false">(Z119/(1+Z119))</f>
        <v>0.738029795804993</v>
      </c>
      <c r="AB119" s="304" t="n">
        <v>106</v>
      </c>
      <c r="AC119" s="273" t="n">
        <v>85</v>
      </c>
      <c r="AD119" s="315"/>
      <c r="AE119" s="315"/>
      <c r="AF119" s="315"/>
      <c r="AG119" s="317" t="n">
        <v>45437.1995023148</v>
      </c>
      <c r="AH119" s="317" t="n">
        <v>45437.2088541667</v>
      </c>
      <c r="AI119" s="309" t="n">
        <f aca="false">(AH119-AG119)*24</f>
        <v>0.224444444444444</v>
      </c>
      <c r="AJ119" s="318" t="n">
        <v>1</v>
      </c>
      <c r="AK119" s="315"/>
      <c r="AL119" s="315"/>
      <c r="AM119" s="315"/>
      <c r="AN119" s="318"/>
      <c r="AO119" s="318" t="n">
        <f aca="false">(AG119-$AO$7)*24</f>
        <v>93.2880555555556</v>
      </c>
      <c r="AP119" s="318" t="n">
        <f aca="false">AO119+35</f>
        <v>128.288055555556</v>
      </c>
      <c r="AQ119" s="273" t="n">
        <v>4</v>
      </c>
      <c r="AR119" s="273" t="n">
        <v>1</v>
      </c>
      <c r="AS119" s="272" t="s">
        <v>810</v>
      </c>
      <c r="AT119" s="275" t="n">
        <v>45435.625</v>
      </c>
      <c r="AU119" s="276" t="s">
        <v>811</v>
      </c>
      <c r="AV119" s="19" t="n">
        <v>85</v>
      </c>
      <c r="AW119" s="277"/>
      <c r="AX119" s="277"/>
      <c r="AY119" s="277"/>
      <c r="AZ119" s="278" t="n">
        <v>45454.1398842593</v>
      </c>
      <c r="BA119" s="278" t="n">
        <v>45454.4263773148</v>
      </c>
      <c r="BB119" s="279" t="n">
        <f aca="false">(BA119-AZ119)*24</f>
        <v>6.87583333333333</v>
      </c>
      <c r="BC119" s="277" t="n">
        <v>6.8758333332371</v>
      </c>
      <c r="BD119" s="277"/>
      <c r="BE119" s="277"/>
      <c r="BF119" s="277"/>
      <c r="BG119" s="277"/>
      <c r="BH119" s="19" t="n">
        <v>6</v>
      </c>
      <c r="BI119" s="19" t="n">
        <v>1</v>
      </c>
      <c r="BJ119" s="273" t="n">
        <v>0</v>
      </c>
      <c r="BK119" s="273"/>
      <c r="BL119" s="273"/>
      <c r="BM119" s="273" t="s">
        <v>829</v>
      </c>
      <c r="BN119" s="281" t="s">
        <v>827</v>
      </c>
      <c r="BO119" s="273" t="n">
        <v>1</v>
      </c>
      <c r="BP119" s="265" t="n">
        <v>45603</v>
      </c>
      <c r="BQ119" s="282" t="n">
        <f aca="false">AZ119+145</f>
        <v>45599.1398842593</v>
      </c>
      <c r="BR119" s="283" t="n">
        <f aca="false">BP119-AT119</f>
        <v>167.375</v>
      </c>
      <c r="BS119" s="283" t="s">
        <v>106</v>
      </c>
      <c r="BT119" s="281" t="s">
        <v>827</v>
      </c>
      <c r="BU119" s="284" t="n">
        <v>0.2</v>
      </c>
      <c r="BV119" s="331" t="n">
        <v>0.59303</v>
      </c>
      <c r="BW119" s="284" t="n">
        <v>0.2</v>
      </c>
      <c r="BX119" s="284" t="n">
        <v>0.2</v>
      </c>
      <c r="BY119" s="284" t="n">
        <v>0.2</v>
      </c>
      <c r="BZ119" s="284" t="n">
        <v>0.2</v>
      </c>
      <c r="CA119" s="284" t="n">
        <v>0.2</v>
      </c>
      <c r="CB119" s="284" t="n">
        <v>0.2</v>
      </c>
      <c r="CC119" s="284" t="n">
        <v>0.2</v>
      </c>
      <c r="CD119" s="284" t="n">
        <v>0.2</v>
      </c>
      <c r="CE119" s="284" t="n">
        <v>0.2</v>
      </c>
      <c r="CF119" s="285" t="s">
        <v>814</v>
      </c>
      <c r="CG119" s="332" t="s">
        <v>810</v>
      </c>
      <c r="CH119" s="285" t="s">
        <v>814</v>
      </c>
      <c r="CI119" s="335" t="s">
        <v>810</v>
      </c>
      <c r="CJ119" s="289" t="n">
        <v>0.265505</v>
      </c>
      <c r="CK119" s="290" t="n">
        <v>0.160453825601012</v>
      </c>
      <c r="CL119" s="290" t="n">
        <v>0.586412651202024</v>
      </c>
      <c r="CM119" s="285" t="s">
        <v>814</v>
      </c>
      <c r="CN119" s="336" t="s">
        <v>810</v>
      </c>
      <c r="CO119" s="291" t="s">
        <v>828</v>
      </c>
      <c r="CP119" s="285" t="s">
        <v>810</v>
      </c>
      <c r="CQ119" s="337"/>
      <c r="CR119" s="293" t="n">
        <v>96</v>
      </c>
      <c r="CS119" s="294" t="n">
        <f aca="false">$CS$7+(CR119/24)</f>
        <v>45437.25</v>
      </c>
      <c r="CT119" s="295" t="n">
        <v>0.5</v>
      </c>
      <c r="CU119" s="296" t="n">
        <v>0.16485</v>
      </c>
      <c r="CV119" s="297" t="n">
        <f aca="false">(CS119-AG119)*24</f>
        <v>1.21194444444444</v>
      </c>
      <c r="CW119" s="281" t="s">
        <v>819</v>
      </c>
      <c r="CX119" s="360" t="n">
        <f aca="false">(AT119-CS119)*24</f>
        <v>-39</v>
      </c>
      <c r="CY119" s="346" t="s">
        <v>829</v>
      </c>
      <c r="CZ119" s="260" t="s">
        <v>192</v>
      </c>
      <c r="DA119" s="304" t="n">
        <v>106</v>
      </c>
      <c r="DB119" s="306" t="s">
        <v>282</v>
      </c>
    </row>
    <row r="120" customFormat="false" ht="15.75" hidden="false" customHeight="true" outlineLevel="0" collapsed="false">
      <c r="A120" s="273" t="s">
        <v>192</v>
      </c>
      <c r="B120" s="304" t="n">
        <v>107</v>
      </c>
      <c r="C120" s="305" t="n">
        <v>16262731362</v>
      </c>
      <c r="D120" s="306" t="s">
        <v>525</v>
      </c>
      <c r="E120" s="306" t="s">
        <v>526</v>
      </c>
      <c r="F120" s="305" t="s">
        <v>527</v>
      </c>
      <c r="G120" s="305" t="n">
        <v>89232</v>
      </c>
      <c r="H120" s="307"/>
      <c r="I120" s="308" t="n">
        <v>44848</v>
      </c>
      <c r="J120" s="309" t="n">
        <v>1.6027397260274</v>
      </c>
      <c r="K120" s="308" t="n">
        <v>45323</v>
      </c>
      <c r="L120" s="310" t="n">
        <v>65.1</v>
      </c>
      <c r="M120" s="310" t="n">
        <v>3.75</v>
      </c>
      <c r="N120" s="310" t="n">
        <v>3.5</v>
      </c>
      <c r="O120" s="311" t="n">
        <v>110</v>
      </c>
      <c r="P120" s="312" t="n">
        <v>69</v>
      </c>
      <c r="Q120" s="312" t="n">
        <v>0</v>
      </c>
      <c r="R120" s="312" t="n">
        <v>0</v>
      </c>
      <c r="S120" s="312" t="n">
        <v>0</v>
      </c>
      <c r="T120" s="312" t="n">
        <v>1071</v>
      </c>
      <c r="U120" s="312" t="n">
        <v>1232</v>
      </c>
      <c r="V120" s="312" t="n">
        <v>1201</v>
      </c>
      <c r="W120" s="313" t="n">
        <v>0</v>
      </c>
      <c r="X120" s="314" t="n">
        <f aca="false">EXP(1.204+(0.102*J120)+(0.007*P120)-(0.001*V120)+(0.008*O120)-2.723)</f>
        <v>0.303152121608517</v>
      </c>
      <c r="Y120" s="314" t="n">
        <f aca="false">(X120/(1+X120))</f>
        <v>0.232629879951642</v>
      </c>
      <c r="Z120" s="314" t="n">
        <f aca="false">EXP(2.859+(0.011*P120)-(0.002*V120)+(0.275*J120)-1.952)</f>
        <v>0.74434802696643</v>
      </c>
      <c r="AA120" s="314" t="n">
        <f aca="false">(Z120/(1+Z120))</f>
        <v>0.426719906497624</v>
      </c>
      <c r="AB120" s="304" t="n">
        <v>107</v>
      </c>
      <c r="AC120" s="273" t="n">
        <v>52</v>
      </c>
      <c r="AD120" s="315"/>
      <c r="AE120" s="315"/>
      <c r="AF120" s="315"/>
      <c r="AG120" s="316" t="n">
        <v>45434.9280092593</v>
      </c>
      <c r="AH120" s="316" t="n">
        <v>45434.9280439815</v>
      </c>
      <c r="AI120" s="309" t="n">
        <f aca="false">(AH120-AG120)*24</f>
        <v>0.000833333333333333</v>
      </c>
      <c r="AJ120" s="318" t="n">
        <v>1</v>
      </c>
      <c r="AK120" s="315"/>
      <c r="AL120" s="315"/>
      <c r="AM120" s="315"/>
      <c r="AN120" s="318"/>
      <c r="AO120" s="318" t="n">
        <f aca="false">(AG120-$AO$7)*24</f>
        <v>38.7722222222222</v>
      </c>
      <c r="AP120" s="318" t="n">
        <f aca="false">AO120+35</f>
        <v>73.7722222222222</v>
      </c>
      <c r="AQ120" s="273" t="n">
        <v>2</v>
      </c>
      <c r="AR120" s="273" t="n">
        <v>1</v>
      </c>
      <c r="AS120" s="273" t="s">
        <v>815</v>
      </c>
      <c r="AT120" s="275" t="n">
        <v>45435.625</v>
      </c>
      <c r="AU120" s="276" t="s">
        <v>811</v>
      </c>
      <c r="AV120" s="19" t="n">
        <v>52</v>
      </c>
      <c r="AW120" s="277"/>
      <c r="AX120" s="277"/>
      <c r="AY120" s="277"/>
      <c r="AZ120" s="278" t="n">
        <v>45450.595462963</v>
      </c>
      <c r="BA120" s="278" t="n">
        <v>45450.6730787037</v>
      </c>
      <c r="BB120" s="279" t="n">
        <f aca="false">(BA120-AZ120)*24</f>
        <v>1.86277777777778</v>
      </c>
      <c r="BC120" s="280" t="n">
        <v>1.86277777771465</v>
      </c>
      <c r="BD120" s="277"/>
      <c r="BE120" s="277"/>
      <c r="BF120" s="277"/>
      <c r="BG120" s="280"/>
      <c r="BH120" s="19" t="n">
        <v>2</v>
      </c>
      <c r="BI120" s="19" t="n">
        <v>2</v>
      </c>
      <c r="BJ120" s="260" t="n">
        <v>1</v>
      </c>
      <c r="BK120" s="273" t="n">
        <v>1</v>
      </c>
      <c r="BL120" s="273"/>
      <c r="BM120" s="273" t="s">
        <v>812</v>
      </c>
      <c r="BN120" s="281" t="s">
        <v>819</v>
      </c>
      <c r="BO120" s="273" t="n">
        <v>1</v>
      </c>
      <c r="BP120" s="265" t="n">
        <v>45581</v>
      </c>
      <c r="BQ120" s="282" t="n">
        <f aca="false">AT120+145</f>
        <v>45580.625</v>
      </c>
      <c r="BR120" s="283" t="n">
        <f aca="false">BP120-AT120</f>
        <v>145.375</v>
      </c>
      <c r="BS120" s="283" t="s">
        <v>35</v>
      </c>
      <c r="BT120" s="281" t="s">
        <v>819</v>
      </c>
      <c r="BU120" s="284" t="n">
        <v>0.2</v>
      </c>
      <c r="BV120" s="284" t="n">
        <v>0.2</v>
      </c>
      <c r="BW120" s="284" t="n">
        <v>0.2</v>
      </c>
      <c r="BX120" s="284" t="n">
        <v>0.2</v>
      </c>
      <c r="BY120" s="284" t="n">
        <v>0.2</v>
      </c>
      <c r="BZ120" s="284" t="n">
        <v>0.2</v>
      </c>
      <c r="CA120" s="284" t="n">
        <v>0.2</v>
      </c>
      <c r="CB120" s="284" t="n">
        <v>0.50075</v>
      </c>
      <c r="CC120" s="284" t="n">
        <v>1.4936</v>
      </c>
      <c r="CD120" s="284" t="n">
        <v>1.8562</v>
      </c>
      <c r="CE120" s="284" t="n">
        <v>0.55759</v>
      </c>
      <c r="CF120" s="285" t="s">
        <v>814</v>
      </c>
      <c r="CG120" s="286" t="s">
        <v>815</v>
      </c>
      <c r="CH120" s="285" t="s">
        <v>814</v>
      </c>
      <c r="CI120" s="288" t="s">
        <v>815</v>
      </c>
      <c r="CJ120" s="289" t="n">
        <v>0.2</v>
      </c>
      <c r="CK120" s="290" t="n">
        <v>0</v>
      </c>
      <c r="CL120" s="290" t="n">
        <v>0.5</v>
      </c>
      <c r="CM120" s="285" t="s">
        <v>814</v>
      </c>
      <c r="CN120" s="286" t="s">
        <v>815</v>
      </c>
      <c r="CO120" s="291" t="s">
        <v>822</v>
      </c>
      <c r="CP120" s="285" t="s">
        <v>810</v>
      </c>
      <c r="CQ120" s="292" t="n">
        <v>5</v>
      </c>
      <c r="CR120" s="293" t="n">
        <v>48</v>
      </c>
      <c r="CS120" s="294" t="n">
        <f aca="false">$CS$7+(CR120/24)</f>
        <v>45435.25</v>
      </c>
      <c r="CT120" s="295" t="n">
        <v>1.5</v>
      </c>
      <c r="CU120" s="296" t="n">
        <v>0.40079</v>
      </c>
      <c r="CV120" s="297" t="n">
        <f aca="false">(CS120-AG120)*24</f>
        <v>7.72777777777778</v>
      </c>
      <c r="CW120" s="281" t="s">
        <v>819</v>
      </c>
      <c r="CX120" s="320" t="n">
        <f aca="false">(AT120-CS120)*24</f>
        <v>9</v>
      </c>
      <c r="CY120" s="299" t="s">
        <v>812</v>
      </c>
      <c r="CZ120" s="260" t="s">
        <v>192</v>
      </c>
      <c r="DA120" s="304" t="n">
        <v>107</v>
      </c>
      <c r="DB120" s="306" t="s">
        <v>525</v>
      </c>
    </row>
    <row r="121" customFormat="false" ht="15.75" hidden="false" customHeight="true" outlineLevel="0" collapsed="false">
      <c r="A121" s="273" t="s">
        <v>192</v>
      </c>
      <c r="B121" s="304" t="n">
        <v>108</v>
      </c>
      <c r="C121" s="305" t="n">
        <v>16262731371</v>
      </c>
      <c r="D121" s="306" t="s">
        <v>522</v>
      </c>
      <c r="E121" s="306" t="s">
        <v>523</v>
      </c>
      <c r="F121" s="305" t="s">
        <v>524</v>
      </c>
      <c r="G121" s="305" t="n">
        <v>89220</v>
      </c>
      <c r="H121" s="307"/>
      <c r="I121" s="308" t="n">
        <v>44848</v>
      </c>
      <c r="J121" s="309" t="n">
        <v>1.6027397260274</v>
      </c>
      <c r="K121" s="308" t="n">
        <v>45332</v>
      </c>
      <c r="L121" s="310" t="n">
        <v>56.7</v>
      </c>
      <c r="M121" s="310" t="n">
        <v>3.5</v>
      </c>
      <c r="N121" s="310" t="n">
        <v>3</v>
      </c>
      <c r="O121" s="311" t="n">
        <v>101</v>
      </c>
      <c r="P121" s="312" t="n">
        <v>85</v>
      </c>
      <c r="Q121" s="312" t="n">
        <v>0</v>
      </c>
      <c r="R121" s="312" t="n">
        <v>0</v>
      </c>
      <c r="S121" s="312" t="n">
        <v>0</v>
      </c>
      <c r="T121" s="312" t="n">
        <v>0</v>
      </c>
      <c r="U121" s="312" t="n">
        <v>1792</v>
      </c>
      <c r="V121" s="312" t="n">
        <v>1716</v>
      </c>
      <c r="W121" s="313" t="n">
        <v>0</v>
      </c>
      <c r="X121" s="314" t="n">
        <f aca="false">EXP(0.585+(0.102*J121)+(0.007*P121)-(0.001*V121)+(0.008*O121)-2.723)</f>
        <v>0.101517858725261</v>
      </c>
      <c r="Y121" s="314" t="n">
        <f aca="false">(X121/(1+X121))</f>
        <v>0.0921617910423562</v>
      </c>
      <c r="Z121" s="314" t="n">
        <f aca="false">EXP(1.741+(0.011*P121)-(0.002*V121)+(0.275*J121)-1.952)</f>
        <v>0.103597034369608</v>
      </c>
      <c r="AA121" s="314" t="n">
        <f aca="false">(Z121/(1+Z121))</f>
        <v>0.0938721572668815</v>
      </c>
      <c r="AB121" s="304" t="n">
        <v>108</v>
      </c>
      <c r="AC121" s="273"/>
      <c r="AD121" s="315"/>
      <c r="AE121" s="315"/>
      <c r="AF121" s="315"/>
      <c r="AG121" s="316"/>
      <c r="AH121" s="316"/>
      <c r="AI121" s="309"/>
      <c r="AJ121" s="318"/>
      <c r="AK121" s="315"/>
      <c r="AL121" s="315"/>
      <c r="AM121" s="315"/>
      <c r="AN121" s="318"/>
      <c r="AO121" s="318"/>
      <c r="AP121" s="318"/>
      <c r="AQ121" s="273"/>
      <c r="AR121" s="273"/>
      <c r="AS121" s="272" t="s">
        <v>810</v>
      </c>
      <c r="AT121" s="275" t="n">
        <v>45435.625</v>
      </c>
      <c r="AU121" s="319" t="s">
        <v>838</v>
      </c>
      <c r="AV121" s="19"/>
      <c r="AW121" s="277"/>
      <c r="AX121" s="277"/>
      <c r="AY121" s="277"/>
      <c r="AZ121" s="278"/>
      <c r="BA121" s="278"/>
      <c r="BB121" s="279"/>
      <c r="BC121" s="280"/>
      <c r="BD121" s="277"/>
      <c r="BE121" s="277"/>
      <c r="BF121" s="277"/>
      <c r="BG121" s="280"/>
      <c r="BH121" s="19"/>
      <c r="BI121" s="19"/>
      <c r="BJ121" s="273" t="n">
        <v>0</v>
      </c>
      <c r="BK121" s="273"/>
      <c r="BL121" s="273"/>
      <c r="BM121" s="273" t="s">
        <v>829</v>
      </c>
      <c r="BN121" s="281" t="s">
        <v>819</v>
      </c>
      <c r="BO121" s="273"/>
      <c r="BP121" s="265" t="s">
        <v>843</v>
      </c>
      <c r="BQ121" s="282" t="n">
        <f aca="false">AT121+145</f>
        <v>45580.625</v>
      </c>
      <c r="BR121" s="283"/>
      <c r="BS121" s="265" t="s">
        <v>843</v>
      </c>
      <c r="BT121" s="281" t="s">
        <v>819</v>
      </c>
      <c r="BU121" s="284" t="n">
        <v>0.2</v>
      </c>
      <c r="BV121" s="284" t="n">
        <v>0.61355</v>
      </c>
      <c r="BW121" s="284" t="n">
        <v>0.2</v>
      </c>
      <c r="BX121" s="284" t="n">
        <v>0.544115</v>
      </c>
      <c r="BY121" s="284" t="n">
        <v>0.2</v>
      </c>
      <c r="BZ121" s="284" t="n">
        <v>0.53671</v>
      </c>
      <c r="CA121" s="284" t="n">
        <v>0.2</v>
      </c>
      <c r="CB121" s="284" t="n">
        <v>0.2</v>
      </c>
      <c r="CC121" s="284" t="n">
        <v>0.2</v>
      </c>
      <c r="CD121" s="284" t="n">
        <v>0.2</v>
      </c>
      <c r="CE121" s="284" t="n">
        <v>0.60152</v>
      </c>
      <c r="CF121" s="285" t="s">
        <v>814</v>
      </c>
      <c r="CG121" s="332" t="s">
        <v>810</v>
      </c>
      <c r="CH121" s="285" t="s">
        <v>814</v>
      </c>
      <c r="CI121" s="335" t="s">
        <v>810</v>
      </c>
      <c r="CJ121" s="289" t="n">
        <v>0.382395833333333</v>
      </c>
      <c r="CK121" s="290" t="n">
        <v>0.201595099008301</v>
      </c>
      <c r="CL121" s="290" t="n">
        <v>0.785586031349935</v>
      </c>
      <c r="CM121" s="285" t="s">
        <v>814</v>
      </c>
      <c r="CN121" s="336" t="s">
        <v>810</v>
      </c>
      <c r="CO121" s="291" t="s">
        <v>828</v>
      </c>
      <c r="CP121" s="285" t="s">
        <v>810</v>
      </c>
      <c r="CQ121" s="337"/>
      <c r="CR121" s="293" t="n">
        <v>96</v>
      </c>
      <c r="CS121" s="294" t="n">
        <f aca="false">$CS$7+(CR121/24)</f>
        <v>45437.25</v>
      </c>
      <c r="CT121" s="295" t="n">
        <v>0.5</v>
      </c>
      <c r="CU121" s="296" t="n">
        <v>0.16662</v>
      </c>
      <c r="CV121" s="297"/>
      <c r="CW121" s="281" t="s">
        <v>813</v>
      </c>
      <c r="CX121" s="360" t="n">
        <f aca="false">(AT121-CS121)*24</f>
        <v>-39</v>
      </c>
      <c r="CY121" s="346" t="s">
        <v>829</v>
      </c>
      <c r="CZ121" s="260" t="s">
        <v>192</v>
      </c>
      <c r="DA121" s="304" t="n">
        <v>108</v>
      </c>
      <c r="DB121" s="306" t="s">
        <v>522</v>
      </c>
    </row>
    <row r="122" customFormat="false" ht="15.75" hidden="false" customHeight="true" outlineLevel="0" collapsed="false">
      <c r="A122" s="273" t="s">
        <v>192</v>
      </c>
      <c r="B122" s="304" t="n">
        <v>110</v>
      </c>
      <c r="C122" s="305" t="n">
        <v>16262731383</v>
      </c>
      <c r="D122" s="306" t="s">
        <v>480</v>
      </c>
      <c r="E122" s="306" t="s">
        <v>481</v>
      </c>
      <c r="F122" s="305" t="s">
        <v>482</v>
      </c>
      <c r="G122" s="305" t="n">
        <v>88944</v>
      </c>
      <c r="H122" s="307"/>
      <c r="I122" s="308" t="n">
        <v>44848</v>
      </c>
      <c r="J122" s="309" t="n">
        <v>1.6027397260274</v>
      </c>
      <c r="K122" s="308" t="n">
        <v>45285</v>
      </c>
      <c r="L122" s="310" t="n">
        <v>43.2</v>
      </c>
      <c r="M122" s="310" t="n">
        <v>3</v>
      </c>
      <c r="N122" s="310" t="n">
        <v>2.75</v>
      </c>
      <c r="O122" s="311" t="n">
        <v>148</v>
      </c>
      <c r="P122" s="312" t="n">
        <v>139</v>
      </c>
      <c r="Q122" s="312" t="n">
        <v>0</v>
      </c>
      <c r="R122" s="312" t="n">
        <v>0</v>
      </c>
      <c r="S122" s="312" t="n">
        <v>0</v>
      </c>
      <c r="T122" s="312" t="n">
        <v>1607</v>
      </c>
      <c r="U122" s="312" t="n">
        <v>1568</v>
      </c>
      <c r="V122" s="312" t="n">
        <v>1115</v>
      </c>
      <c r="W122" s="313" t="n">
        <v>0</v>
      </c>
      <c r="X122" s="314" t="n">
        <f aca="false">EXP(0.585+(0.102*J122)+(0.007*P122)-(0.001*V122)+(0.008*O122)-2.723)</f>
        <v>0.393560471107095</v>
      </c>
      <c r="Y122" s="314" t="n">
        <f aca="false">(X122/(1+X122))</f>
        <v>0.282413629883199</v>
      </c>
      <c r="Z122" s="314" t="n">
        <f aca="false">EXP(1.741+(0.011*P122)-(0.002*V122)+(0.275*J122)-1.952)</f>
        <v>0.624223641275517</v>
      </c>
      <c r="AA122" s="314" t="n">
        <f aca="false">(Z122/(1+Z122))</f>
        <v>0.384321238413516</v>
      </c>
      <c r="AB122" s="304" t="n">
        <v>110</v>
      </c>
      <c r="AC122" s="273" t="n">
        <v>73</v>
      </c>
      <c r="AD122" s="315"/>
      <c r="AE122" s="315"/>
      <c r="AF122" s="315"/>
      <c r="AG122" s="316" t="n">
        <v>45435.73</v>
      </c>
      <c r="AH122" s="316" t="n">
        <v>45435.8335069444</v>
      </c>
      <c r="AI122" s="309" t="n">
        <f aca="false">(AH122-AG122)*24</f>
        <v>2.48416666666667</v>
      </c>
      <c r="AJ122" s="318" t="n">
        <v>2.48416666657431</v>
      </c>
      <c r="AK122" s="315"/>
      <c r="AL122" s="315"/>
      <c r="AM122" s="315"/>
      <c r="AN122" s="318"/>
      <c r="AO122" s="318" t="n">
        <f aca="false">(AG122-$AO$7)*24</f>
        <v>58.02</v>
      </c>
      <c r="AP122" s="318" t="n">
        <f aca="false">AO122+35</f>
        <v>93.02</v>
      </c>
      <c r="AQ122" s="273" t="n">
        <v>6</v>
      </c>
      <c r="AR122" s="273" t="n">
        <v>2</v>
      </c>
      <c r="AS122" s="272" t="s">
        <v>810</v>
      </c>
      <c r="AT122" s="275" t="n">
        <v>45435.625</v>
      </c>
      <c r="AU122" s="319" t="s">
        <v>818</v>
      </c>
      <c r="AV122" s="19"/>
      <c r="AW122" s="277"/>
      <c r="AX122" s="277"/>
      <c r="AY122" s="277"/>
      <c r="AZ122" s="278"/>
      <c r="BA122" s="278"/>
      <c r="BB122" s="279"/>
      <c r="BC122" s="280"/>
      <c r="BD122" s="277"/>
      <c r="BE122" s="277"/>
      <c r="BF122" s="277"/>
      <c r="BG122" s="280"/>
      <c r="BH122" s="19"/>
      <c r="BI122" s="19"/>
      <c r="BJ122" s="260" t="n">
        <v>1</v>
      </c>
      <c r="BK122" s="273" t="n">
        <v>1</v>
      </c>
      <c r="BL122" s="273"/>
      <c r="BM122" s="273" t="s">
        <v>812</v>
      </c>
      <c r="BN122" s="281" t="s">
        <v>839</v>
      </c>
      <c r="BO122" s="273" t="n">
        <v>1</v>
      </c>
      <c r="BP122" s="265" t="n">
        <v>45584</v>
      </c>
      <c r="BQ122" s="282" t="n">
        <f aca="false">AT122+145</f>
        <v>45580.625</v>
      </c>
      <c r="BR122" s="283" t="n">
        <f aca="false">BP122-AT122</f>
        <v>148.375</v>
      </c>
      <c r="BS122" s="283" t="s">
        <v>35</v>
      </c>
      <c r="BT122" s="281" t="s">
        <v>839</v>
      </c>
      <c r="BU122" s="284" t="n">
        <v>0.2</v>
      </c>
      <c r="BV122" s="284" t="n">
        <v>0.2</v>
      </c>
      <c r="BW122" s="284" t="n">
        <v>0.2</v>
      </c>
      <c r="BX122" s="284" t="n">
        <v>0.2</v>
      </c>
      <c r="BY122" s="284" t="n">
        <v>0.2</v>
      </c>
      <c r="BZ122" s="284" t="n">
        <v>0.2</v>
      </c>
      <c r="CA122" s="284" t="n">
        <v>0.2</v>
      </c>
      <c r="CB122" s="284" t="n">
        <v>0.29276</v>
      </c>
      <c r="CC122" s="284" t="n">
        <v>0.2</v>
      </c>
      <c r="CD122" s="284" t="n">
        <v>0.2</v>
      </c>
      <c r="CE122" s="284" t="n">
        <v>0.41839</v>
      </c>
      <c r="CF122" s="285" t="s">
        <v>814</v>
      </c>
      <c r="CG122" s="332" t="s">
        <v>810</v>
      </c>
      <c r="CH122" s="285" t="s">
        <v>814</v>
      </c>
      <c r="CI122" s="335" t="s">
        <v>810</v>
      </c>
      <c r="CJ122" s="289" t="n">
        <v>0.2</v>
      </c>
      <c r="CK122" s="290" t="n">
        <v>0</v>
      </c>
      <c r="CL122" s="290" t="n">
        <v>0.5</v>
      </c>
      <c r="CM122" s="285" t="s">
        <v>814</v>
      </c>
      <c r="CN122" s="336" t="s">
        <v>810</v>
      </c>
      <c r="CO122" s="291" t="s">
        <v>828</v>
      </c>
      <c r="CP122" s="285" t="s">
        <v>810</v>
      </c>
      <c r="CQ122" s="337"/>
      <c r="CR122" s="293" t="n">
        <v>72</v>
      </c>
      <c r="CS122" s="294" t="n">
        <f aca="false">$CS$7+(CR122/24)</f>
        <v>45436.25</v>
      </c>
      <c r="CT122" s="295" t="n">
        <v>0.5</v>
      </c>
      <c r="CU122" s="296" t="n">
        <v>0.11316</v>
      </c>
      <c r="CV122" s="297" t="n">
        <f aca="false">(CS122-AG122)*24</f>
        <v>12.48</v>
      </c>
      <c r="CW122" s="281" t="s">
        <v>819</v>
      </c>
      <c r="CX122" s="320" t="n">
        <f aca="false">(AT122-CS122)*24</f>
        <v>-15</v>
      </c>
      <c r="CY122" s="299" t="s">
        <v>812</v>
      </c>
      <c r="CZ122" s="260" t="s">
        <v>192</v>
      </c>
      <c r="DA122" s="304" t="n">
        <v>110</v>
      </c>
      <c r="DB122" s="306" t="s">
        <v>480</v>
      </c>
    </row>
    <row r="123" customFormat="false" ht="15.75" hidden="false" customHeight="true" outlineLevel="0" collapsed="false">
      <c r="A123" s="273" t="s">
        <v>192</v>
      </c>
      <c r="B123" s="304" t="n">
        <v>111</v>
      </c>
      <c r="C123" s="305" t="n">
        <v>16262731428</v>
      </c>
      <c r="D123" s="306" t="s">
        <v>513</v>
      </c>
      <c r="E123" s="306" t="s">
        <v>514</v>
      </c>
      <c r="F123" s="305" t="s">
        <v>515</v>
      </c>
      <c r="G123" s="305" t="n">
        <v>89159</v>
      </c>
      <c r="H123" s="307"/>
      <c r="I123" s="308" t="n">
        <v>44848</v>
      </c>
      <c r="J123" s="309" t="n">
        <v>1.6027397260274</v>
      </c>
      <c r="K123" s="308" t="n">
        <v>45321</v>
      </c>
      <c r="L123" s="310" t="n">
        <v>57.4</v>
      </c>
      <c r="M123" s="310" t="n">
        <v>3</v>
      </c>
      <c r="N123" s="310" t="n">
        <v>2.75</v>
      </c>
      <c r="O123" s="311" t="n">
        <v>112</v>
      </c>
      <c r="P123" s="312" t="n">
        <v>151</v>
      </c>
      <c r="Q123" s="312" t="n">
        <v>0</v>
      </c>
      <c r="R123" s="312" t="n">
        <v>0</v>
      </c>
      <c r="S123" s="312" t="n">
        <v>0</v>
      </c>
      <c r="T123" s="312" t="n">
        <v>0</v>
      </c>
      <c r="U123" s="312" t="n">
        <v>2604</v>
      </c>
      <c r="V123" s="312" t="n">
        <v>2431</v>
      </c>
      <c r="W123" s="313" t="n">
        <v>0</v>
      </c>
      <c r="X123" s="314" t="n">
        <f aca="false">EXP(0.585+(0.102*J123)+(0.007*P123)-(0.001*V123)+(0.008*O123)-2.723)</f>
        <v>0.0860763532656354</v>
      </c>
      <c r="Y123" s="314" t="n">
        <f aca="false">(X123/(1+X123))</f>
        <v>0.079254421668255</v>
      </c>
      <c r="Z123" s="314" t="n">
        <f aca="false">EXP(1.741+(0.011*P123)-(0.002*V123)+(0.275*J123)-1.952)</f>
        <v>0.0512393967351059</v>
      </c>
      <c r="AA123" s="314" t="n">
        <f aca="false">(Z123/(1+Z123))</f>
        <v>0.0487418916131217</v>
      </c>
      <c r="AB123" s="304" t="n">
        <v>111</v>
      </c>
      <c r="AC123" s="273" t="n">
        <v>80</v>
      </c>
      <c r="AD123" s="315"/>
      <c r="AE123" s="315"/>
      <c r="AF123" s="315"/>
      <c r="AG123" s="373" t="n">
        <v>45435.7987152778</v>
      </c>
      <c r="AH123" s="382" t="n">
        <v>45435.7987152778</v>
      </c>
      <c r="AI123" s="309" t="n">
        <f aca="false">(AH123-AG123)*24</f>
        <v>0</v>
      </c>
      <c r="AJ123" s="318" t="n">
        <v>1</v>
      </c>
      <c r="AK123" s="315"/>
      <c r="AL123" s="315"/>
      <c r="AM123" s="315"/>
      <c r="AN123" s="318"/>
      <c r="AO123" s="318" t="n">
        <f aca="false">(AG123-$AO$7)*24</f>
        <v>59.6691666666667</v>
      </c>
      <c r="AP123" s="318" t="n">
        <f aca="false">AO123+35</f>
        <v>94.6691666666667</v>
      </c>
      <c r="AQ123" s="273" t="n">
        <v>5</v>
      </c>
      <c r="AR123" s="273" t="n">
        <v>1</v>
      </c>
      <c r="AS123" s="272" t="s">
        <v>810</v>
      </c>
      <c r="AT123" s="275" t="n">
        <v>45435.625</v>
      </c>
      <c r="AU123" s="319" t="s">
        <v>838</v>
      </c>
      <c r="AV123" s="19" t="n">
        <v>80</v>
      </c>
      <c r="AW123" s="278" t="n">
        <v>45450.4976388889</v>
      </c>
      <c r="AX123" s="278" t="n">
        <v>45455.4956828704</v>
      </c>
      <c r="AY123" s="279" t="n">
        <f aca="false">(AX123-AW123)*24</f>
        <v>119.953055555556</v>
      </c>
      <c r="AZ123" s="278" t="n">
        <v>45455.4956712963</v>
      </c>
      <c r="BA123" s="278" t="n">
        <v>45455.4956828704</v>
      </c>
      <c r="BB123" s="279" t="n">
        <f aca="false">(BA123-AZ123)*24</f>
        <v>0.000277777777777778</v>
      </c>
      <c r="BC123" s="280" t="n">
        <v>1</v>
      </c>
      <c r="BD123" s="277"/>
      <c r="BE123" s="277"/>
      <c r="BF123" s="277"/>
      <c r="BG123" s="280"/>
      <c r="BH123" s="19" t="n">
        <v>3</v>
      </c>
      <c r="BI123" s="19" t="n">
        <v>2</v>
      </c>
      <c r="BJ123" s="260" t="n">
        <v>1</v>
      </c>
      <c r="BK123" s="273" t="n">
        <v>1</v>
      </c>
      <c r="BL123" s="273"/>
      <c r="BM123" s="273" t="s">
        <v>812</v>
      </c>
      <c r="BN123" s="281" t="s">
        <v>839</v>
      </c>
      <c r="BO123" s="273" t="n">
        <v>1</v>
      </c>
      <c r="BP123" s="265" t="n">
        <v>45583</v>
      </c>
      <c r="BQ123" s="282" t="n">
        <f aca="false">AT123+145</f>
        <v>45580.625</v>
      </c>
      <c r="BR123" s="283" t="n">
        <f aca="false">BP123-AT123</f>
        <v>147.375</v>
      </c>
      <c r="BS123" s="283" t="s">
        <v>35</v>
      </c>
      <c r="BT123" s="281" t="s">
        <v>839</v>
      </c>
      <c r="BU123" s="284" t="n">
        <v>0.2</v>
      </c>
      <c r="BV123" s="284" t="n">
        <v>0.2</v>
      </c>
      <c r="BW123" s="284" t="n">
        <v>0.2</v>
      </c>
      <c r="BX123" s="284" t="n">
        <v>0.2</v>
      </c>
      <c r="BY123" s="284" t="n">
        <v>0.2</v>
      </c>
      <c r="BZ123" s="284" t="n">
        <v>0.2</v>
      </c>
      <c r="CA123" s="284" t="n">
        <v>0.2</v>
      </c>
      <c r="CB123" s="284" t="n">
        <v>0.2</v>
      </c>
      <c r="CC123" s="284" t="n">
        <v>0.2</v>
      </c>
      <c r="CD123" s="284" t="n">
        <v>0.2</v>
      </c>
      <c r="CE123" s="284" t="n">
        <v>0.2</v>
      </c>
      <c r="CF123" s="285" t="s">
        <v>814</v>
      </c>
      <c r="CG123" s="332" t="s">
        <v>810</v>
      </c>
      <c r="CH123" s="285" t="s">
        <v>814</v>
      </c>
      <c r="CI123" s="335" t="s">
        <v>810</v>
      </c>
      <c r="CJ123" s="289" t="n">
        <v>0.2</v>
      </c>
      <c r="CK123" s="290" t="n">
        <v>0</v>
      </c>
      <c r="CL123" s="290" t="n">
        <v>0.5</v>
      </c>
      <c r="CM123" s="285" t="s">
        <v>814</v>
      </c>
      <c r="CN123" s="336" t="s">
        <v>810</v>
      </c>
      <c r="CO123" s="291" t="s">
        <v>828</v>
      </c>
      <c r="CP123" s="285" t="s">
        <v>810</v>
      </c>
      <c r="CQ123" s="337"/>
      <c r="CR123" s="293" t="n">
        <v>60</v>
      </c>
      <c r="CS123" s="294" t="n">
        <f aca="false">$CS$7+(CR123/24)</f>
        <v>45435.75</v>
      </c>
      <c r="CT123" s="295" t="n">
        <v>1</v>
      </c>
      <c r="CU123" s="296" t="n">
        <v>0.26327</v>
      </c>
      <c r="CV123" s="297" t="n">
        <f aca="false">(CS123-AG123)*24</f>
        <v>-1.16916666671056</v>
      </c>
      <c r="CW123" s="281" t="s">
        <v>819</v>
      </c>
      <c r="CX123" s="320" t="n">
        <f aca="false">(AT123-CS123)*24</f>
        <v>-3</v>
      </c>
      <c r="CY123" s="299" t="s">
        <v>812</v>
      </c>
      <c r="CZ123" s="260" t="s">
        <v>192</v>
      </c>
      <c r="DA123" s="304" t="n">
        <v>111</v>
      </c>
      <c r="DB123" s="306" t="s">
        <v>513</v>
      </c>
    </row>
    <row r="124" customFormat="false" ht="15.75" hidden="false" customHeight="true" outlineLevel="0" collapsed="false">
      <c r="A124" s="273" t="s">
        <v>192</v>
      </c>
      <c r="B124" s="304" t="n">
        <v>112</v>
      </c>
      <c r="C124" s="305" t="n">
        <v>16262731446</v>
      </c>
      <c r="D124" s="306" t="s">
        <v>519</v>
      </c>
      <c r="E124" s="306" t="s">
        <v>520</v>
      </c>
      <c r="F124" s="305" t="s">
        <v>521</v>
      </c>
      <c r="G124" s="305" t="n">
        <v>89212</v>
      </c>
      <c r="H124" s="307"/>
      <c r="I124" s="308" t="n">
        <v>44849</v>
      </c>
      <c r="J124" s="309" t="n">
        <v>1.6</v>
      </c>
      <c r="K124" s="308" t="n">
        <v>45283</v>
      </c>
      <c r="L124" s="310" t="n">
        <v>47.8</v>
      </c>
      <c r="M124" s="310" t="n">
        <v>2.75</v>
      </c>
      <c r="N124" s="310" t="n">
        <v>3</v>
      </c>
      <c r="O124" s="311" t="n">
        <v>150</v>
      </c>
      <c r="P124" s="312" t="n">
        <v>213</v>
      </c>
      <c r="Q124" s="312" t="n">
        <v>0</v>
      </c>
      <c r="R124" s="312" t="n">
        <v>0</v>
      </c>
      <c r="S124" s="312" t="n">
        <v>0</v>
      </c>
      <c r="T124" s="312" t="n">
        <v>2425</v>
      </c>
      <c r="U124" s="312" t="n">
        <v>1987</v>
      </c>
      <c r="V124" s="312" t="n">
        <v>2002</v>
      </c>
      <c r="W124" s="313" t="n">
        <v>0</v>
      </c>
      <c r="X124" s="314" t="n">
        <f aca="false">EXP(0.585+(0.102*J124)+(0.007*P124)-(0.001*V124)+(0.008*O124)-2.723)</f>
        <v>0.276429351669652</v>
      </c>
      <c r="Y124" s="314" t="n">
        <f aca="false">(X124/(1+X124))</f>
        <v>0.216564552756535</v>
      </c>
      <c r="Z124" s="314" t="n">
        <f aca="false">EXP(1.741+(0.011*P124)-(0.002*V124)+(0.275*J124)-1.952)</f>
        <v>0.238830782698192</v>
      </c>
      <c r="AA124" s="314" t="n">
        <f aca="false">(Z124/(1+Z124))</f>
        <v>0.192787252329987</v>
      </c>
      <c r="AB124" s="304" t="n">
        <v>112</v>
      </c>
      <c r="AC124" s="273" t="n">
        <v>86</v>
      </c>
      <c r="AD124" s="315"/>
      <c r="AE124" s="315"/>
      <c r="AF124" s="315"/>
      <c r="AG124" s="317" t="n">
        <v>45437.5852199074</v>
      </c>
      <c r="AH124" s="317" t="n">
        <v>45437.5852199074</v>
      </c>
      <c r="AI124" s="309" t="n">
        <f aca="false">(AH124-AG124)*24</f>
        <v>0</v>
      </c>
      <c r="AJ124" s="318" t="n">
        <v>1</v>
      </c>
      <c r="AK124" s="315"/>
      <c r="AL124" s="315"/>
      <c r="AM124" s="315"/>
      <c r="AN124" s="318"/>
      <c r="AO124" s="318" t="n">
        <f aca="false">(AG124-$AO$7)*24</f>
        <v>102.545277777778</v>
      </c>
      <c r="AP124" s="318" t="n">
        <f aca="false">AO124+35</f>
        <v>137.545277777778</v>
      </c>
      <c r="AQ124" s="273" t="n">
        <v>1</v>
      </c>
      <c r="AR124" s="273" t="n">
        <v>1</v>
      </c>
      <c r="AS124" s="272" t="s">
        <v>810</v>
      </c>
      <c r="AT124" s="275" t="n">
        <v>45435.625</v>
      </c>
      <c r="AU124" s="319" t="s">
        <v>824</v>
      </c>
      <c r="AV124" s="19" t="n">
        <v>86</v>
      </c>
      <c r="AW124" s="277"/>
      <c r="AX124" s="277"/>
      <c r="AY124" s="277"/>
      <c r="AZ124" s="354" t="n">
        <v>45458.4418287037</v>
      </c>
      <c r="BA124" s="354" t="n">
        <v>45459.4581828704</v>
      </c>
      <c r="BB124" s="279" t="n">
        <f aca="false">(BA124-AZ124)*24</f>
        <v>24.3925</v>
      </c>
      <c r="BC124" s="277" t="n">
        <v>24.3925000000745</v>
      </c>
      <c r="BD124" s="277"/>
      <c r="BE124" s="277"/>
      <c r="BF124" s="277"/>
      <c r="BG124" s="277"/>
      <c r="BH124" s="19" t="n">
        <v>3</v>
      </c>
      <c r="BI124" s="19" t="n">
        <v>1</v>
      </c>
      <c r="BJ124" s="273" t="n">
        <v>0</v>
      </c>
      <c r="BK124" s="273"/>
      <c r="BL124" s="273"/>
      <c r="BM124" s="273" t="s">
        <v>829</v>
      </c>
      <c r="BN124" s="281" t="s">
        <v>827</v>
      </c>
      <c r="BO124" s="273"/>
      <c r="BP124" s="265" t="s">
        <v>843</v>
      </c>
      <c r="BQ124" s="282" t="n">
        <f aca="false">AZ124+145</f>
        <v>45603.4418287037</v>
      </c>
      <c r="BR124" s="283"/>
      <c r="BS124" s="265" t="s">
        <v>843</v>
      </c>
      <c r="BT124" s="281" t="s">
        <v>827</v>
      </c>
      <c r="BU124" s="284" t="n">
        <v>0.2</v>
      </c>
      <c r="BV124" s="284" t="n">
        <v>0.2</v>
      </c>
      <c r="BW124" s="284" t="n">
        <v>0.2</v>
      </c>
      <c r="BX124" s="284" t="n">
        <v>0.2</v>
      </c>
      <c r="BY124" s="284" t="n">
        <v>0.2</v>
      </c>
      <c r="BZ124" s="284" t="n">
        <v>0.2</v>
      </c>
      <c r="CA124" s="284" t="n">
        <v>0.2</v>
      </c>
      <c r="CB124" s="284" t="n">
        <v>0.2</v>
      </c>
      <c r="CC124" s="284" t="n">
        <v>0.2</v>
      </c>
      <c r="CD124" s="284" t="n">
        <v>0.2</v>
      </c>
      <c r="CE124" s="284" t="n">
        <v>0.2</v>
      </c>
      <c r="CF124" s="285" t="s">
        <v>814</v>
      </c>
      <c r="CG124" s="332" t="s">
        <v>810</v>
      </c>
      <c r="CH124" s="285" t="s">
        <v>814</v>
      </c>
      <c r="CI124" s="335" t="s">
        <v>810</v>
      </c>
      <c r="CJ124" s="289" t="n">
        <v>0.2</v>
      </c>
      <c r="CK124" s="290" t="n">
        <v>0</v>
      </c>
      <c r="CL124" s="290" t="n">
        <v>0.5</v>
      </c>
      <c r="CM124" s="285" t="s">
        <v>814</v>
      </c>
      <c r="CN124" s="336" t="s">
        <v>810</v>
      </c>
      <c r="CO124" s="291" t="s">
        <v>828</v>
      </c>
      <c r="CP124" s="285" t="s">
        <v>810</v>
      </c>
      <c r="CQ124" s="337"/>
      <c r="CR124" s="362"/>
      <c r="CS124" s="294"/>
      <c r="CT124" s="363"/>
      <c r="CU124" s="364"/>
      <c r="CV124" s="297"/>
      <c r="CW124" s="281" t="s">
        <v>842</v>
      </c>
      <c r="CX124" s="360"/>
      <c r="CY124" s="346" t="s">
        <v>829</v>
      </c>
      <c r="CZ124" s="260" t="s">
        <v>192</v>
      </c>
      <c r="DA124" s="304" t="n">
        <v>112</v>
      </c>
      <c r="DB124" s="306" t="s">
        <v>519</v>
      </c>
    </row>
    <row r="125" customFormat="false" ht="15.75" hidden="false" customHeight="true" outlineLevel="0" collapsed="false">
      <c r="A125" s="273" t="s">
        <v>192</v>
      </c>
      <c r="B125" s="304" t="n">
        <v>113</v>
      </c>
      <c r="C125" s="305" t="n">
        <v>16262731488</v>
      </c>
      <c r="D125" s="306" t="s">
        <v>456</v>
      </c>
      <c r="E125" s="306" t="s">
        <v>457</v>
      </c>
      <c r="F125" s="305" t="s">
        <v>458</v>
      </c>
      <c r="G125" s="305" t="n">
        <v>88828</v>
      </c>
      <c r="H125" s="307"/>
      <c r="I125" s="308" t="n">
        <v>44849</v>
      </c>
      <c r="J125" s="309" t="n">
        <v>1.6</v>
      </c>
      <c r="K125" s="308" t="n">
        <v>45296</v>
      </c>
      <c r="L125" s="310" t="n">
        <v>61</v>
      </c>
      <c r="M125" s="310" t="n">
        <v>2.75</v>
      </c>
      <c r="N125" s="310" t="n">
        <v>3</v>
      </c>
      <c r="O125" s="311" t="n">
        <v>137</v>
      </c>
      <c r="P125" s="312" t="n">
        <v>165</v>
      </c>
      <c r="Q125" s="312" t="n">
        <v>0</v>
      </c>
      <c r="R125" s="312" t="n">
        <v>0</v>
      </c>
      <c r="S125" s="312" t="n">
        <v>0</v>
      </c>
      <c r="T125" s="312" t="n">
        <v>0</v>
      </c>
      <c r="U125" s="312" t="n">
        <v>2043</v>
      </c>
      <c r="V125" s="312" t="n">
        <v>1744</v>
      </c>
      <c r="W125" s="313" t="n">
        <v>0</v>
      </c>
      <c r="X125" s="314" t="n">
        <f aca="false">EXP(0.585+(0.102*J125)+(0.007*P125)-(0.001*V125)+(0.008*O125)-2.723)</f>
        <v>0.230431878082074</v>
      </c>
      <c r="Y125" s="314" t="n">
        <f aca="false">(X125/(1+X125))</f>
        <v>0.187277233455019</v>
      </c>
      <c r="Z125" s="314" t="n">
        <f aca="false">EXP(1.741+(0.011*P125)-(0.002*V125)+(0.275*J125)-1.952)</f>
        <v>0.235981940544759</v>
      </c>
      <c r="AA125" s="314" t="n">
        <f aca="false">(Z125/(1+Z125))</f>
        <v>0.190926689787028</v>
      </c>
      <c r="AB125" s="304" t="n">
        <v>113</v>
      </c>
      <c r="AC125" s="273" t="n">
        <v>35</v>
      </c>
      <c r="AD125" s="315"/>
      <c r="AE125" s="315"/>
      <c r="AF125" s="315"/>
      <c r="AG125" s="317" t="n">
        <v>45433.6459143519</v>
      </c>
      <c r="AH125" s="316" t="n">
        <v>45435.8543171296</v>
      </c>
      <c r="AI125" s="309" t="n">
        <f aca="false">(AH125-AG125)*24</f>
        <v>53.0016666666667</v>
      </c>
      <c r="AJ125" s="318" t="n">
        <v>53.0016666665906</v>
      </c>
      <c r="AK125" s="315"/>
      <c r="AL125" s="315"/>
      <c r="AM125" s="315"/>
      <c r="AN125" s="318"/>
      <c r="AO125" s="318" t="n">
        <f aca="false">(AG125-$AO$7)*24</f>
        <v>8.00194444444444</v>
      </c>
      <c r="AP125" s="318" t="n">
        <f aca="false">AO125+35</f>
        <v>43.0019444444445</v>
      </c>
      <c r="AQ125" s="273" t="n">
        <v>7</v>
      </c>
      <c r="AR125" s="273" t="n">
        <v>2</v>
      </c>
      <c r="AS125" s="272" t="s">
        <v>810</v>
      </c>
      <c r="AT125" s="275" t="n">
        <v>45435.625</v>
      </c>
      <c r="AU125" s="319" t="s">
        <v>838</v>
      </c>
      <c r="AV125" s="19" t="n">
        <v>35</v>
      </c>
      <c r="AW125" s="277"/>
      <c r="AX125" s="277"/>
      <c r="AY125" s="277"/>
      <c r="AZ125" s="278" t="n">
        <v>45456.4601041667</v>
      </c>
      <c r="BA125" s="278" t="n">
        <v>45456.4601041667</v>
      </c>
      <c r="BB125" s="279" t="n">
        <f aca="false">(BA125-AZ125)*24</f>
        <v>0</v>
      </c>
      <c r="BC125" s="280" t="n">
        <v>1</v>
      </c>
      <c r="BD125" s="277"/>
      <c r="BE125" s="277"/>
      <c r="BF125" s="277"/>
      <c r="BG125" s="280"/>
      <c r="BH125" s="19" t="n">
        <v>1</v>
      </c>
      <c r="BI125" s="19" t="n">
        <v>1</v>
      </c>
      <c r="BJ125" s="260" t="n">
        <v>1</v>
      </c>
      <c r="BK125" s="273" t="n">
        <v>1</v>
      </c>
      <c r="BL125" s="273"/>
      <c r="BM125" s="273" t="s">
        <v>812</v>
      </c>
      <c r="BN125" s="281" t="s">
        <v>819</v>
      </c>
      <c r="BO125" s="273" t="n">
        <v>1</v>
      </c>
      <c r="BP125" s="265" t="n">
        <v>45585</v>
      </c>
      <c r="BQ125" s="282" t="n">
        <f aca="false">AT125+145</f>
        <v>45580.625</v>
      </c>
      <c r="BR125" s="283" t="n">
        <f aca="false">BP125-AT125</f>
        <v>149.375</v>
      </c>
      <c r="BS125" s="283" t="s">
        <v>35</v>
      </c>
      <c r="BT125" s="281" t="s">
        <v>819</v>
      </c>
      <c r="BU125" s="284" t="n">
        <v>0.2</v>
      </c>
      <c r="BV125" s="284" t="n">
        <v>0.2</v>
      </c>
      <c r="BW125" s="284" t="n">
        <v>0.2</v>
      </c>
      <c r="BX125" s="284" t="n">
        <v>0.2</v>
      </c>
      <c r="BY125" s="284" t="n">
        <v>0.2</v>
      </c>
      <c r="BZ125" s="284" t="n">
        <v>0.2</v>
      </c>
      <c r="CA125" s="284" t="n">
        <v>0.2</v>
      </c>
      <c r="CB125" s="284" t="n">
        <v>0.2</v>
      </c>
      <c r="CC125" s="284" t="n">
        <v>0.2</v>
      </c>
      <c r="CD125" s="284" t="n">
        <v>0.2</v>
      </c>
      <c r="CE125" s="284" t="n">
        <v>0.2</v>
      </c>
      <c r="CF125" s="285" t="s">
        <v>814</v>
      </c>
      <c r="CG125" s="332" t="s">
        <v>810</v>
      </c>
      <c r="CH125" s="285" t="s">
        <v>814</v>
      </c>
      <c r="CI125" s="335" t="s">
        <v>810</v>
      </c>
      <c r="CJ125" s="289" t="n">
        <v>0.2</v>
      </c>
      <c r="CK125" s="290" t="n">
        <v>0</v>
      </c>
      <c r="CL125" s="290" t="n">
        <v>0.5</v>
      </c>
      <c r="CM125" s="285" t="s">
        <v>814</v>
      </c>
      <c r="CN125" s="336" t="s">
        <v>810</v>
      </c>
      <c r="CO125" s="291" t="s">
        <v>828</v>
      </c>
      <c r="CP125" s="285" t="s">
        <v>810</v>
      </c>
      <c r="CQ125" s="337"/>
      <c r="CR125" s="293" t="n">
        <v>60</v>
      </c>
      <c r="CS125" s="294" t="n">
        <f aca="false">$CS$7+(CR125/24)</f>
        <v>45435.75</v>
      </c>
      <c r="CT125" s="295" t="n">
        <v>1</v>
      </c>
      <c r="CU125" s="296" t="n">
        <v>0.57926</v>
      </c>
      <c r="CV125" s="297" t="n">
        <f aca="false">(CS125-AG125)*24</f>
        <v>50.4980555555556</v>
      </c>
      <c r="CW125" s="281" t="s">
        <v>819</v>
      </c>
      <c r="CX125" s="320" t="n">
        <f aca="false">(AT125-CS125)*24</f>
        <v>-3</v>
      </c>
      <c r="CY125" s="299" t="s">
        <v>812</v>
      </c>
      <c r="CZ125" s="260" t="s">
        <v>192</v>
      </c>
      <c r="DA125" s="304" t="n">
        <v>113</v>
      </c>
      <c r="DB125" s="306" t="s">
        <v>456</v>
      </c>
    </row>
    <row r="126" customFormat="false" ht="15.75" hidden="false" customHeight="true" outlineLevel="0" collapsed="false">
      <c r="A126" s="273" t="s">
        <v>192</v>
      </c>
      <c r="B126" s="304" t="n">
        <v>115</v>
      </c>
      <c r="C126" s="305" t="n">
        <v>16262731518</v>
      </c>
      <c r="D126" s="306" t="s">
        <v>215</v>
      </c>
      <c r="E126" s="306" t="s">
        <v>216</v>
      </c>
      <c r="F126" s="305" t="s">
        <v>217</v>
      </c>
      <c r="G126" s="305" t="n">
        <v>88181</v>
      </c>
      <c r="H126" s="307"/>
      <c r="I126" s="308" t="n">
        <v>44849</v>
      </c>
      <c r="J126" s="309" t="n">
        <v>1.6</v>
      </c>
      <c r="K126" s="308" t="n">
        <v>45244</v>
      </c>
      <c r="L126" s="310" t="n">
        <v>64.7</v>
      </c>
      <c r="M126" s="310" t="n">
        <v>3</v>
      </c>
      <c r="N126" s="310" t="n">
        <v>2.75</v>
      </c>
      <c r="O126" s="311" t="n">
        <v>189</v>
      </c>
      <c r="P126" s="312" t="n">
        <v>249</v>
      </c>
      <c r="Q126" s="312" t="n">
        <v>0</v>
      </c>
      <c r="R126" s="312" t="n">
        <v>0</v>
      </c>
      <c r="S126" s="312" t="n">
        <v>1874</v>
      </c>
      <c r="T126" s="312" t="n">
        <v>2030</v>
      </c>
      <c r="U126" s="312" t="n">
        <v>1708</v>
      </c>
      <c r="V126" s="312" t="n">
        <v>1544</v>
      </c>
      <c r="W126" s="313" t="n">
        <v>0</v>
      </c>
      <c r="X126" s="314" t="n">
        <f aca="false">EXP(0.585+(0.102*J126)+(0.007*P126)-(0.001*V126)+(0.008*O126)-2.723)</f>
        <v>0.768127149725133</v>
      </c>
      <c r="Y126" s="314" t="n">
        <f aca="false">(X126/(1+X126))</f>
        <v>0.434429814532594</v>
      </c>
      <c r="Z126" s="314" t="n">
        <f aca="false">EXP(1.741+(0.011*P126)-(0.002*V126)+(0.275*J126)-1.952)</f>
        <v>0.886920436717158</v>
      </c>
      <c r="AA126" s="314" t="n">
        <f aca="false">(Z126/(1+Z126))</f>
        <v>0.470035948235428</v>
      </c>
      <c r="AB126" s="304" t="n">
        <v>115</v>
      </c>
      <c r="AC126" s="273"/>
      <c r="AD126" s="315"/>
      <c r="AE126" s="315"/>
      <c r="AF126" s="315"/>
      <c r="AG126" s="317"/>
      <c r="AH126" s="316"/>
      <c r="AI126" s="309"/>
      <c r="AJ126" s="318"/>
      <c r="AK126" s="315"/>
      <c r="AL126" s="315"/>
      <c r="AM126" s="315"/>
      <c r="AN126" s="318"/>
      <c r="AO126" s="318"/>
      <c r="AP126" s="318"/>
      <c r="AQ126" s="273"/>
      <c r="AR126" s="273"/>
      <c r="AS126" s="272" t="s">
        <v>810</v>
      </c>
      <c r="AT126" s="275" t="n">
        <v>45435.625</v>
      </c>
      <c r="AU126" s="319" t="s">
        <v>818</v>
      </c>
      <c r="AV126" s="19" t="n">
        <v>91</v>
      </c>
      <c r="AW126" s="277"/>
      <c r="AX126" s="277"/>
      <c r="AY126" s="277"/>
      <c r="AZ126" s="278" t="n">
        <v>45452.277337963</v>
      </c>
      <c r="BA126" s="354" t="n">
        <v>45452.8499074074</v>
      </c>
      <c r="BB126" s="279" t="n">
        <f aca="false">(BA126-AZ126)*24</f>
        <v>13.7416666666667</v>
      </c>
      <c r="BC126" s="277" t="n">
        <v>13.7416666665813</v>
      </c>
      <c r="BD126" s="277"/>
      <c r="BE126" s="277"/>
      <c r="BF126" s="277"/>
      <c r="BG126" s="277"/>
      <c r="BH126" s="19" t="n">
        <v>63</v>
      </c>
      <c r="BI126" s="19" t="n">
        <v>4</v>
      </c>
      <c r="BJ126" s="273" t="n">
        <v>0</v>
      </c>
      <c r="BK126" s="273"/>
      <c r="BL126" s="273"/>
      <c r="BM126" s="273" t="s">
        <v>829</v>
      </c>
      <c r="BN126" s="281" t="s">
        <v>827</v>
      </c>
      <c r="BO126" s="273" t="n">
        <v>1</v>
      </c>
      <c r="BP126" s="265" t="n">
        <v>45599</v>
      </c>
      <c r="BQ126" s="282" t="n">
        <f aca="false">AZ126+145</f>
        <v>45597.277337963</v>
      </c>
      <c r="BR126" s="283" t="n">
        <f aca="false">BP126-AT126</f>
        <v>163.375</v>
      </c>
      <c r="BS126" s="283" t="s">
        <v>106</v>
      </c>
      <c r="BT126" s="281" t="s">
        <v>827</v>
      </c>
      <c r="BU126" s="284" t="n">
        <v>0.2</v>
      </c>
      <c r="BV126" s="284" t="n">
        <v>0.2</v>
      </c>
      <c r="BW126" s="284" t="n">
        <v>0.2</v>
      </c>
      <c r="BX126" s="284" t="n">
        <v>0.2</v>
      </c>
      <c r="BY126" s="284" t="n">
        <v>0.2</v>
      </c>
      <c r="BZ126" s="284" t="n">
        <v>0.2</v>
      </c>
      <c r="CA126" s="284" t="n">
        <v>0.2</v>
      </c>
      <c r="CB126" s="284" t="n">
        <v>0.2</v>
      </c>
      <c r="CC126" s="284" t="n">
        <v>0.44019</v>
      </c>
      <c r="CD126" s="284" t="n">
        <v>0.2</v>
      </c>
      <c r="CE126" s="284" t="n">
        <v>0.2</v>
      </c>
      <c r="CF126" s="285" t="s">
        <v>814</v>
      </c>
      <c r="CG126" s="332" t="s">
        <v>810</v>
      </c>
      <c r="CH126" s="285" t="s">
        <v>814</v>
      </c>
      <c r="CI126" s="335" t="s">
        <v>810</v>
      </c>
      <c r="CJ126" s="289" t="n">
        <v>0.2</v>
      </c>
      <c r="CK126" s="290" t="n">
        <v>0</v>
      </c>
      <c r="CL126" s="290" t="n">
        <v>0.5</v>
      </c>
      <c r="CM126" s="285" t="s">
        <v>814</v>
      </c>
      <c r="CN126" s="336" t="s">
        <v>810</v>
      </c>
      <c r="CO126" s="291" t="s">
        <v>828</v>
      </c>
      <c r="CP126" s="285" t="s">
        <v>810</v>
      </c>
      <c r="CQ126" s="337"/>
      <c r="CR126" s="362"/>
      <c r="CS126" s="294"/>
      <c r="CT126" s="363"/>
      <c r="CU126" s="364"/>
      <c r="CV126" s="297"/>
      <c r="CW126" s="281" t="s">
        <v>819</v>
      </c>
      <c r="CX126" s="360"/>
      <c r="CY126" s="346" t="s">
        <v>829</v>
      </c>
      <c r="CZ126" s="260" t="s">
        <v>192</v>
      </c>
      <c r="DA126" s="304" t="n">
        <v>115</v>
      </c>
      <c r="DB126" s="306" t="s">
        <v>215</v>
      </c>
    </row>
    <row r="127" customFormat="false" ht="15.75" hidden="false" customHeight="true" outlineLevel="0" collapsed="false">
      <c r="A127" s="273" t="s">
        <v>192</v>
      </c>
      <c r="B127" s="304" t="n">
        <v>117</v>
      </c>
      <c r="C127" s="305" t="n">
        <v>16262731541</v>
      </c>
      <c r="D127" s="306" t="s">
        <v>442</v>
      </c>
      <c r="E127" s="306" t="s">
        <v>443</v>
      </c>
      <c r="F127" s="305" t="s">
        <v>444</v>
      </c>
      <c r="G127" s="305" t="n">
        <v>88790</v>
      </c>
      <c r="H127" s="307"/>
      <c r="I127" s="308" t="n">
        <v>44850</v>
      </c>
      <c r="J127" s="309" t="n">
        <v>1.5972602739726</v>
      </c>
      <c r="K127" s="308" t="n">
        <v>45296</v>
      </c>
      <c r="L127" s="310" t="n">
        <v>61</v>
      </c>
      <c r="M127" s="310" t="n">
        <v>3</v>
      </c>
      <c r="N127" s="310" t="n">
        <v>3</v>
      </c>
      <c r="O127" s="311" t="n">
        <v>137</v>
      </c>
      <c r="P127" s="312" t="n">
        <v>163</v>
      </c>
      <c r="Q127" s="312" t="n">
        <v>0</v>
      </c>
      <c r="R127" s="312" t="n">
        <v>0</v>
      </c>
      <c r="S127" s="312" t="n">
        <v>0</v>
      </c>
      <c r="T127" s="312" t="n">
        <v>0</v>
      </c>
      <c r="U127" s="312" t="n">
        <v>2015</v>
      </c>
      <c r="V127" s="312" t="n">
        <v>1744</v>
      </c>
      <c r="W127" s="313" t="n">
        <v>0</v>
      </c>
      <c r="X127" s="314" t="n">
        <f aca="false">EXP(0.585+(0.102*J127)+(0.007*P127)-(0.001*V127)+(0.008*O127)-2.723)</f>
        <v>0.227164818550423</v>
      </c>
      <c r="Y127" s="314" t="n">
        <f aca="false">(X127/(1+X127))</f>
        <v>0.185113535783041</v>
      </c>
      <c r="Z127" s="314" t="n">
        <f aca="false">EXP(1.741+(0.011*P127)-(0.002*V127)+(0.275*J127)-1.952)</f>
        <v>0.230673168646146</v>
      </c>
      <c r="AA127" s="314" t="n">
        <f aca="false">(Z127/(1+Z127))</f>
        <v>0.187436579039021</v>
      </c>
      <c r="AB127" s="304" t="n">
        <v>117</v>
      </c>
      <c r="AC127" s="273" t="n">
        <v>69</v>
      </c>
      <c r="AD127" s="315"/>
      <c r="AE127" s="315"/>
      <c r="AF127" s="315"/>
      <c r="AG127" s="316" t="n">
        <v>45435.6325462963</v>
      </c>
      <c r="AH127" s="316" t="n">
        <v>45436.050775463</v>
      </c>
      <c r="AI127" s="309" t="n">
        <f aca="false">(AH127-AG127)*24</f>
        <v>10.0375</v>
      </c>
      <c r="AJ127" s="318" t="n">
        <v>10.0374999999767</v>
      </c>
      <c r="AK127" s="315"/>
      <c r="AL127" s="315"/>
      <c r="AM127" s="315"/>
      <c r="AN127" s="318"/>
      <c r="AO127" s="318" t="n">
        <f aca="false">(AG127-$AO$7)*24</f>
        <v>55.6811111111111</v>
      </c>
      <c r="AP127" s="318" t="n">
        <f aca="false">AO127+35</f>
        <v>90.6811111111111</v>
      </c>
      <c r="AQ127" s="273" t="n">
        <v>22</v>
      </c>
      <c r="AR127" s="273" t="n">
        <v>2</v>
      </c>
      <c r="AS127" s="273" t="s">
        <v>815</v>
      </c>
      <c r="AT127" s="275" t="n">
        <v>45435.625</v>
      </c>
      <c r="AU127" s="319" t="s">
        <v>838</v>
      </c>
      <c r="AV127" s="19" t="n">
        <v>69</v>
      </c>
      <c r="AW127" s="277"/>
      <c r="AX127" s="277"/>
      <c r="AY127" s="277"/>
      <c r="AZ127" s="278" t="n">
        <v>45454.5052777778</v>
      </c>
      <c r="BA127" s="278" t="n">
        <v>45454.9326967593</v>
      </c>
      <c r="BB127" s="279" t="n">
        <f aca="false">(BA127-AZ127)*24</f>
        <v>10.2580555555556</v>
      </c>
      <c r="BC127" s="280" t="n">
        <v>10.258055555576</v>
      </c>
      <c r="BD127" s="277"/>
      <c r="BE127" s="277"/>
      <c r="BF127" s="277"/>
      <c r="BG127" s="280"/>
      <c r="BH127" s="19" t="n">
        <v>8</v>
      </c>
      <c r="BI127" s="19" t="n">
        <v>1</v>
      </c>
      <c r="BJ127" s="273" t="n">
        <v>0</v>
      </c>
      <c r="BK127" s="273"/>
      <c r="BL127" s="273"/>
      <c r="BM127" s="273" t="s">
        <v>829</v>
      </c>
      <c r="BN127" s="281" t="s">
        <v>827</v>
      </c>
      <c r="BO127" s="273" t="n">
        <v>1</v>
      </c>
      <c r="BP127" s="265" t="n">
        <v>45653</v>
      </c>
      <c r="BQ127" s="282" t="n">
        <f aca="false">AZ127+145</f>
        <v>45599.5052777778</v>
      </c>
      <c r="BR127" s="283" t="n">
        <f aca="false">BP127-AT127</f>
        <v>217.375</v>
      </c>
      <c r="BS127" s="283" t="s">
        <v>830</v>
      </c>
      <c r="BT127" s="281" t="s">
        <v>827</v>
      </c>
      <c r="BU127" s="284" t="n">
        <v>0.2</v>
      </c>
      <c r="BV127" s="284" t="n">
        <v>0.2</v>
      </c>
      <c r="BW127" s="284" t="n">
        <v>0.2</v>
      </c>
      <c r="BX127" s="284" t="n">
        <v>0.2</v>
      </c>
      <c r="BY127" s="284" t="n">
        <v>0.2</v>
      </c>
      <c r="BZ127" s="284" t="n">
        <v>0.2</v>
      </c>
      <c r="CA127" s="284" t="n">
        <v>0.2</v>
      </c>
      <c r="CB127" s="284" t="n">
        <v>0.2</v>
      </c>
      <c r="CC127" s="284" t="n">
        <v>0.2</v>
      </c>
      <c r="CD127" s="284" t="n">
        <v>0.2</v>
      </c>
      <c r="CE127" s="284" t="n">
        <v>0.2</v>
      </c>
      <c r="CF127" s="285" t="s">
        <v>814</v>
      </c>
      <c r="CG127" s="332" t="s">
        <v>810</v>
      </c>
      <c r="CH127" s="285" t="s">
        <v>814</v>
      </c>
      <c r="CI127" s="335" t="s">
        <v>810</v>
      </c>
      <c r="CJ127" s="344" t="n">
        <v>0.2</v>
      </c>
      <c r="CK127" s="345" t="n">
        <v>0</v>
      </c>
      <c r="CL127" s="290" t="n">
        <v>0.5</v>
      </c>
      <c r="CM127" s="285" t="s">
        <v>814</v>
      </c>
      <c r="CN127" s="336" t="s">
        <v>810</v>
      </c>
      <c r="CO127" s="291" t="s">
        <v>828</v>
      </c>
      <c r="CP127" s="285" t="s">
        <v>810</v>
      </c>
      <c r="CQ127" s="337"/>
      <c r="CR127" s="293" t="n">
        <v>72</v>
      </c>
      <c r="CS127" s="294" t="n">
        <f aca="false">$CS$7+(CR127/24)</f>
        <v>45436.25</v>
      </c>
      <c r="CT127" s="295" t="n">
        <v>0.5</v>
      </c>
      <c r="CU127" s="296" t="n">
        <v>0.16895</v>
      </c>
      <c r="CV127" s="297" t="n">
        <f aca="false">(CS127-AG127)*24</f>
        <v>14.8188888888889</v>
      </c>
      <c r="CW127" s="281" t="s">
        <v>819</v>
      </c>
      <c r="CX127" s="320" t="n">
        <f aca="false">(AT127-CS127)*24</f>
        <v>-15</v>
      </c>
      <c r="CY127" s="346" t="s">
        <v>829</v>
      </c>
      <c r="CZ127" s="260" t="s">
        <v>192</v>
      </c>
      <c r="DA127" s="304" t="n">
        <v>117</v>
      </c>
      <c r="DB127" s="306" t="s">
        <v>442</v>
      </c>
    </row>
    <row r="128" customFormat="false" ht="15.75" hidden="false" customHeight="true" outlineLevel="0" collapsed="false">
      <c r="A128" s="273" t="s">
        <v>192</v>
      </c>
      <c r="B128" s="359" t="n">
        <v>119</v>
      </c>
      <c r="C128" s="305" t="n">
        <v>16262731597</v>
      </c>
      <c r="D128" s="306" t="s">
        <v>540</v>
      </c>
      <c r="E128" s="306" t="s">
        <v>541</v>
      </c>
      <c r="F128" s="305" t="s">
        <v>542</v>
      </c>
      <c r="G128" s="305" t="n">
        <v>89376</v>
      </c>
      <c r="H128" s="307"/>
      <c r="I128" s="308" t="n">
        <v>44850</v>
      </c>
      <c r="J128" s="309" t="n">
        <v>1.5972602739726</v>
      </c>
      <c r="K128" s="308" t="n">
        <v>45332</v>
      </c>
      <c r="L128" s="310" t="n">
        <v>58.1</v>
      </c>
      <c r="M128" s="310" t="n">
        <v>2.75</v>
      </c>
      <c r="N128" s="310" t="n">
        <v>3</v>
      </c>
      <c r="O128" s="311" t="n">
        <v>101</v>
      </c>
      <c r="P128" s="312" t="n">
        <v>94</v>
      </c>
      <c r="Q128" s="312" t="n">
        <v>0</v>
      </c>
      <c r="R128" s="312" t="n">
        <v>0</v>
      </c>
      <c r="S128" s="312" t="n">
        <v>0</v>
      </c>
      <c r="T128" s="312" t="n">
        <v>0</v>
      </c>
      <c r="U128" s="312" t="n">
        <v>1959</v>
      </c>
      <c r="V128" s="312" t="n">
        <v>1916</v>
      </c>
      <c r="W128" s="313" t="n">
        <v>0</v>
      </c>
      <c r="X128" s="314" t="n">
        <f aca="false">EXP(0.585+(0.102*J128)+(0.007*P128)-(0.001*V128)+(0.008*O128)-2.723)</f>
        <v>0.0884710895529824</v>
      </c>
      <c r="Y128" s="314" t="n">
        <f aca="false">(X128/(1+X128))</f>
        <v>0.0812801464385389</v>
      </c>
      <c r="Z128" s="314" t="n">
        <f aca="false">EXP(1.741+(0.011*P128)-(0.002*V128)+(0.275*J128)-1.952)</f>
        <v>0.0765544195290841</v>
      </c>
      <c r="AA128" s="314" t="n">
        <f aca="false">(Z128/(1+Z128))</f>
        <v>0.0711105896184711</v>
      </c>
      <c r="AB128" s="359" t="n">
        <v>119</v>
      </c>
      <c r="AC128" s="273"/>
      <c r="AD128" s="315"/>
      <c r="AE128" s="315"/>
      <c r="AF128" s="315"/>
      <c r="AG128" s="316"/>
      <c r="AH128" s="316"/>
      <c r="AI128" s="309"/>
      <c r="AJ128" s="318"/>
      <c r="AK128" s="315"/>
      <c r="AL128" s="315"/>
      <c r="AM128" s="315"/>
      <c r="AN128" s="318"/>
      <c r="AO128" s="318"/>
      <c r="AP128" s="318"/>
      <c r="AQ128" s="273"/>
      <c r="AR128" s="273"/>
      <c r="AS128" s="272" t="s">
        <v>810</v>
      </c>
      <c r="AT128" s="275" t="n">
        <v>45435.625</v>
      </c>
      <c r="AU128" s="319" t="s">
        <v>818</v>
      </c>
      <c r="AV128" s="19"/>
      <c r="AW128" s="277"/>
      <c r="AX128" s="277"/>
      <c r="AY128" s="277"/>
      <c r="AZ128" s="277"/>
      <c r="BA128" s="277"/>
      <c r="BB128" s="277"/>
      <c r="BC128" s="277"/>
      <c r="BD128" s="277"/>
      <c r="BE128" s="277"/>
      <c r="BF128" s="277"/>
      <c r="BG128" s="277"/>
      <c r="BH128" s="19"/>
      <c r="BI128" s="19"/>
      <c r="BJ128" s="273" t="n">
        <v>0</v>
      </c>
      <c r="BK128" s="273"/>
      <c r="BL128" s="273"/>
      <c r="BM128" s="273" t="s">
        <v>829</v>
      </c>
      <c r="BN128" s="281" t="s">
        <v>819</v>
      </c>
      <c r="BO128" s="273"/>
      <c r="BP128" s="265" t="s">
        <v>843</v>
      </c>
      <c r="BQ128" s="282" t="n">
        <f aca="false">AT128+145</f>
        <v>45580.625</v>
      </c>
      <c r="BR128" s="283"/>
      <c r="BS128" s="265" t="s">
        <v>843</v>
      </c>
      <c r="BT128" s="281" t="s">
        <v>819</v>
      </c>
      <c r="BU128" s="284" t="n">
        <v>0.70918</v>
      </c>
      <c r="BV128" s="284" t="n">
        <v>0.2</v>
      </c>
      <c r="BW128" s="284" t="n">
        <v>0.2</v>
      </c>
      <c r="BX128" s="284" t="n">
        <v>0.42349</v>
      </c>
      <c r="BY128" s="284" t="n">
        <v>0.98074</v>
      </c>
      <c r="BZ128" s="284" t="n">
        <v>0.2</v>
      </c>
      <c r="CA128" s="284" t="n">
        <v>0.2</v>
      </c>
      <c r="CB128" s="284" t="n">
        <v>0.2</v>
      </c>
      <c r="CC128" s="284" t="n">
        <v>0.2</v>
      </c>
      <c r="CD128" s="284" t="n">
        <v>0.2</v>
      </c>
      <c r="CE128" s="284" t="n">
        <v>0.35469</v>
      </c>
      <c r="CF128" s="285" t="s">
        <v>814</v>
      </c>
      <c r="CG128" s="332" t="s">
        <v>810</v>
      </c>
      <c r="CH128" s="285" t="s">
        <v>814</v>
      </c>
      <c r="CI128" s="335" t="s">
        <v>810</v>
      </c>
      <c r="CJ128" s="289" t="n">
        <v>0.452235</v>
      </c>
      <c r="CK128" s="290" t="n">
        <v>0.327729165241667</v>
      </c>
      <c r="CL128" s="290" t="n">
        <v>1.10769333048333</v>
      </c>
      <c r="CM128" s="285" t="s">
        <v>814</v>
      </c>
      <c r="CN128" s="336" t="s">
        <v>810</v>
      </c>
      <c r="CO128" s="291" t="s">
        <v>828</v>
      </c>
      <c r="CP128" s="285" t="s">
        <v>810</v>
      </c>
      <c r="CQ128" s="337"/>
      <c r="CR128" s="362"/>
      <c r="CS128" s="294"/>
      <c r="CT128" s="363"/>
      <c r="CU128" s="364"/>
      <c r="CV128" s="297"/>
      <c r="CW128" s="281" t="s">
        <v>819</v>
      </c>
      <c r="CX128" s="360"/>
      <c r="CY128" s="346" t="s">
        <v>829</v>
      </c>
      <c r="CZ128" s="260" t="s">
        <v>192</v>
      </c>
      <c r="DA128" s="361" t="n">
        <v>119</v>
      </c>
      <c r="DB128" s="306" t="s">
        <v>540</v>
      </c>
    </row>
    <row r="129" customFormat="false" ht="15.75" hidden="false" customHeight="true" outlineLevel="0" collapsed="false">
      <c r="A129" s="273" t="s">
        <v>192</v>
      </c>
      <c r="B129" s="304" t="n">
        <v>120</v>
      </c>
      <c r="C129" s="305" t="n">
        <v>16262731606</v>
      </c>
      <c r="D129" s="306" t="s">
        <v>543</v>
      </c>
      <c r="E129" s="306" t="s">
        <v>544</v>
      </c>
      <c r="F129" s="305" t="s">
        <v>545</v>
      </c>
      <c r="G129" s="305" t="n">
        <v>89394</v>
      </c>
      <c r="H129" s="307"/>
      <c r="I129" s="308" t="n">
        <v>44850</v>
      </c>
      <c r="J129" s="309" t="n">
        <v>1.5972602739726</v>
      </c>
      <c r="K129" s="308" t="n">
        <v>45246</v>
      </c>
      <c r="L129" s="310" t="n">
        <v>59.3</v>
      </c>
      <c r="M129" s="310" t="n">
        <v>3</v>
      </c>
      <c r="N129" s="310" t="n">
        <v>3</v>
      </c>
      <c r="O129" s="311" t="n">
        <v>187</v>
      </c>
      <c r="P129" s="312" t="n">
        <v>223</v>
      </c>
      <c r="Q129" s="312" t="n">
        <v>0</v>
      </c>
      <c r="R129" s="312" t="n">
        <v>0</v>
      </c>
      <c r="S129" s="312" t="n">
        <v>2044</v>
      </c>
      <c r="T129" s="312" t="n">
        <v>1833</v>
      </c>
      <c r="U129" s="312" t="n">
        <v>1400</v>
      </c>
      <c r="V129" s="312" t="n">
        <v>1029</v>
      </c>
      <c r="W129" s="313" t="n">
        <v>0</v>
      </c>
      <c r="X129" s="314" t="n">
        <f aca="false">EXP(0.585+(0.102*J129)+(0.007*P129)-(0.001*V129)+(0.008*O129)-2.723)</f>
        <v>1.05434587184544</v>
      </c>
      <c r="Y129" s="314" t="n">
        <f aca="false">(X129/(1+X129))</f>
        <v>0.513227050174521</v>
      </c>
      <c r="Z129" s="314" t="n">
        <f aca="false">EXP(1.741+(0.011*P129)-(0.002*V129)+(0.275*J129)-1.952)</f>
        <v>1.86497299918553</v>
      </c>
      <c r="AA129" s="314" t="n">
        <f aca="false">(Z129/(1+Z129))</f>
        <v>0.650956570870201</v>
      </c>
      <c r="AB129" s="304" t="n">
        <v>120</v>
      </c>
      <c r="AC129" s="273" t="n">
        <v>38</v>
      </c>
      <c r="AD129" s="317" t="n">
        <v>45433.7520486111</v>
      </c>
      <c r="AE129" s="317" t="n">
        <v>45443.5935763889</v>
      </c>
      <c r="AF129" s="309" t="n">
        <f aca="false">(AE129-AD129)*24</f>
        <v>236.196666666667</v>
      </c>
      <c r="AG129" s="317" t="n">
        <v>45433.7520486111</v>
      </c>
      <c r="AH129" s="382" t="n">
        <v>45435.7987152778</v>
      </c>
      <c r="AI129" s="309" t="n">
        <f aca="false">(AH129-AG129)*24</f>
        <v>49.12</v>
      </c>
      <c r="AJ129" s="318" t="n">
        <v>49.1200000000536</v>
      </c>
      <c r="AK129" s="317" t="n">
        <v>45443.5935763889</v>
      </c>
      <c r="AL129" s="317" t="n">
        <v>45443.5935763889</v>
      </c>
      <c r="AM129" s="309" t="n">
        <f aca="false">(AL129-AK129)*24</f>
        <v>0</v>
      </c>
      <c r="AN129" s="318" t="n">
        <v>1</v>
      </c>
      <c r="AO129" s="318" t="n">
        <f aca="false">(AG129-$AO$7)*24</f>
        <v>10.5491666666667</v>
      </c>
      <c r="AP129" s="318" t="n">
        <f aca="false">AO129+35</f>
        <v>45.5491666666667</v>
      </c>
      <c r="AQ129" s="273" t="n">
        <v>46</v>
      </c>
      <c r="AR129" s="273" t="n">
        <v>3</v>
      </c>
      <c r="AS129" s="272" t="s">
        <v>810</v>
      </c>
      <c r="AT129" s="275" t="n">
        <v>45435.625</v>
      </c>
      <c r="AU129" s="319" t="s">
        <v>818</v>
      </c>
      <c r="AV129" s="19"/>
      <c r="AW129" s="277"/>
      <c r="AX129" s="277"/>
      <c r="AY129" s="277"/>
      <c r="AZ129" s="277"/>
      <c r="BA129" s="277"/>
      <c r="BB129" s="277"/>
      <c r="BC129" s="277"/>
      <c r="BD129" s="277"/>
      <c r="BE129" s="277"/>
      <c r="BF129" s="277"/>
      <c r="BG129" s="277"/>
      <c r="BH129" s="19"/>
      <c r="BI129" s="19"/>
      <c r="BJ129" s="260" t="n">
        <v>1</v>
      </c>
      <c r="BK129" s="273" t="n">
        <v>1</v>
      </c>
      <c r="BL129" s="273"/>
      <c r="BM129" s="273" t="s">
        <v>812</v>
      </c>
      <c r="BN129" s="281" t="s">
        <v>819</v>
      </c>
      <c r="BO129" s="273" t="n">
        <v>2</v>
      </c>
      <c r="BP129" s="265" t="n">
        <v>45579</v>
      </c>
      <c r="BQ129" s="282" t="n">
        <f aca="false">AT129+145</f>
        <v>45580.625</v>
      </c>
      <c r="BR129" s="283" t="n">
        <f aca="false">BP129-AT129</f>
        <v>143.375</v>
      </c>
      <c r="BS129" s="283" t="s">
        <v>35</v>
      </c>
      <c r="BT129" s="281" t="s">
        <v>819</v>
      </c>
      <c r="BU129" s="284" t="n">
        <v>0.2</v>
      </c>
      <c r="BV129" s="284" t="n">
        <v>0.2</v>
      </c>
      <c r="BW129" s="284" t="n">
        <v>0.2</v>
      </c>
      <c r="BX129" s="284" t="n">
        <v>0.2</v>
      </c>
      <c r="BY129" s="284" t="n">
        <v>0.2</v>
      </c>
      <c r="BZ129" s="284" t="n">
        <v>0.2</v>
      </c>
      <c r="CA129" s="284" t="n">
        <v>0.2</v>
      </c>
      <c r="CB129" s="284" t="n">
        <v>0.47218</v>
      </c>
      <c r="CC129" s="331" t="n">
        <v>0.81334</v>
      </c>
      <c r="CD129" s="331" t="n">
        <v>1.132</v>
      </c>
      <c r="CE129" s="331" t="n">
        <v>0.80711</v>
      </c>
      <c r="CF129" s="285" t="s">
        <v>814</v>
      </c>
      <c r="CG129" s="332" t="s">
        <v>810</v>
      </c>
      <c r="CH129" s="285" t="s">
        <v>814</v>
      </c>
      <c r="CI129" s="288" t="s">
        <v>815</v>
      </c>
      <c r="CJ129" s="289" t="n">
        <v>0.2</v>
      </c>
      <c r="CK129" s="290" t="n">
        <v>0</v>
      </c>
      <c r="CL129" s="290" t="n">
        <v>0.5</v>
      </c>
      <c r="CM129" s="285" t="s">
        <v>814</v>
      </c>
      <c r="CN129" s="286" t="s">
        <v>815</v>
      </c>
      <c r="CO129" s="291" t="s">
        <v>822</v>
      </c>
      <c r="CP129" s="285" t="s">
        <v>810</v>
      </c>
      <c r="CQ129" s="292" t="n">
        <v>6</v>
      </c>
      <c r="CR129" s="293" t="n">
        <v>96</v>
      </c>
      <c r="CS129" s="294" t="n">
        <f aca="false">$CS$7+(CR129/24)</f>
        <v>45437.25</v>
      </c>
      <c r="CT129" s="295" t="n">
        <v>1</v>
      </c>
      <c r="CU129" s="296" t="n">
        <v>0.31752</v>
      </c>
      <c r="CV129" s="297" t="n">
        <f aca="false">(CS129-AG129)*24</f>
        <v>83.9508333333333</v>
      </c>
      <c r="CW129" s="281" t="s">
        <v>819</v>
      </c>
      <c r="CX129" s="320" t="n">
        <f aca="false">(AT129-CS129)*24</f>
        <v>-39</v>
      </c>
      <c r="CY129" s="299" t="s">
        <v>812</v>
      </c>
      <c r="CZ129" s="260" t="s">
        <v>192</v>
      </c>
      <c r="DA129" s="304" t="n">
        <v>120</v>
      </c>
      <c r="DB129" s="306" t="s">
        <v>543</v>
      </c>
    </row>
    <row r="130" customFormat="false" ht="6" hidden="false" customHeight="true" outlineLevel="0" collapsed="false">
      <c r="A130" s="3"/>
      <c r="B130" s="384"/>
      <c r="C130" s="385"/>
      <c r="D130" s="386"/>
      <c r="E130" s="386"/>
      <c r="F130" s="387"/>
      <c r="G130" s="385"/>
      <c r="H130" s="388"/>
      <c r="I130" s="389"/>
      <c r="J130" s="389"/>
      <c r="K130" s="389"/>
      <c r="L130" s="390"/>
      <c r="M130" s="390"/>
      <c r="N130" s="390"/>
      <c r="O130" s="391"/>
      <c r="P130" s="392"/>
      <c r="Q130" s="392"/>
      <c r="R130" s="392"/>
      <c r="S130" s="392"/>
      <c r="T130" s="392"/>
      <c r="U130" s="392"/>
      <c r="V130" s="392"/>
      <c r="W130" s="392"/>
      <c r="X130" s="392"/>
      <c r="Y130" s="388"/>
      <c r="Z130" s="388"/>
      <c r="AA130" s="388"/>
      <c r="AB130" s="384"/>
      <c r="AC130" s="1"/>
      <c r="AD130" s="6"/>
      <c r="AE130" s="6"/>
      <c r="AF130" s="393"/>
      <c r="AG130" s="6"/>
      <c r="AH130" s="6"/>
      <c r="AI130" s="393"/>
      <c r="AJ130" s="210"/>
      <c r="AK130" s="6"/>
      <c r="AL130" s="6"/>
      <c r="AM130" s="393"/>
      <c r="AN130" s="210"/>
      <c r="AO130" s="393"/>
      <c r="AP130" s="393"/>
      <c r="AQ130" s="393"/>
      <c r="AV130" s="394"/>
      <c r="AW130" s="395"/>
      <c r="AX130" s="395"/>
      <c r="AY130" s="393"/>
      <c r="AZ130" s="395"/>
      <c r="BA130" s="395"/>
      <c r="BB130" s="393"/>
      <c r="BC130" s="393"/>
      <c r="BD130" s="395"/>
      <c r="BE130" s="395"/>
      <c r="BF130" s="393"/>
      <c r="BG130" s="393"/>
      <c r="BH130" s="393"/>
      <c r="BI130" s="394"/>
      <c r="BJ130" s="394"/>
      <c r="BK130" s="394"/>
      <c r="BL130" s="394"/>
      <c r="BM130" s="394"/>
      <c r="BN130" s="396"/>
      <c r="BO130" s="273"/>
      <c r="BP130" s="389"/>
      <c r="BQ130" s="389"/>
      <c r="BR130" s="388"/>
      <c r="BS130" s="388"/>
      <c r="BT130" s="388"/>
      <c r="BU130" s="397"/>
      <c r="BV130" s="397"/>
      <c r="BW130" s="398"/>
      <c r="BX130" s="398"/>
      <c r="BY130" s="398"/>
      <c r="BZ130" s="398"/>
      <c r="CA130" s="398"/>
      <c r="CB130" s="398"/>
      <c r="CC130" s="398"/>
      <c r="CD130" s="398"/>
      <c r="CE130" s="398"/>
      <c r="CF130" s="399"/>
      <c r="CG130" s="399"/>
      <c r="CH130" s="399"/>
      <c r="CI130" s="399"/>
      <c r="CJ130" s="399"/>
      <c r="CK130" s="399"/>
      <c r="CL130" s="399"/>
      <c r="CM130" s="399"/>
      <c r="CN130" s="399"/>
      <c r="CO130" s="399"/>
      <c r="CP130" s="399"/>
      <c r="CQ130" s="396"/>
      <c r="CR130" s="396"/>
      <c r="CS130" s="396"/>
      <c r="CT130" s="396"/>
      <c r="CU130" s="396"/>
      <c r="CV130" s="396"/>
      <c r="CW130" s="396"/>
      <c r="CX130" s="396"/>
      <c r="CY130" s="394"/>
      <c r="CZ130" s="3"/>
      <c r="DA130" s="384"/>
      <c r="DB130" s="386"/>
      <c r="WYQ130" s="400"/>
      <c r="WYR130" s="400"/>
      <c r="WYS130" s="400"/>
      <c r="WYT130" s="400"/>
      <c r="WYU130" s="400"/>
      <c r="WYV130" s="400"/>
      <c r="WYW130" s="400"/>
      <c r="WYX130" s="400"/>
      <c r="WYY130" s="400"/>
      <c r="WYZ130" s="400"/>
      <c r="WZA130" s="400"/>
      <c r="WZB130" s="400"/>
      <c r="WZC130" s="400"/>
      <c r="WZD130" s="400"/>
      <c r="WZE130" s="400"/>
      <c r="WZF130" s="400"/>
      <c r="WZG130" s="400"/>
      <c r="WZH130" s="400"/>
      <c r="WZI130" s="400"/>
      <c r="WZJ130" s="400"/>
      <c r="WZK130" s="400"/>
      <c r="WZL130" s="400"/>
      <c r="WZM130" s="400"/>
      <c r="WZN130" s="400"/>
      <c r="WZO130" s="400"/>
      <c r="WZP130" s="400"/>
      <c r="WZQ130" s="400"/>
      <c r="WZR130" s="400"/>
      <c r="WZS130" s="400"/>
      <c r="WZT130" s="400"/>
      <c r="WZU130" s="400"/>
      <c r="WZV130" s="400"/>
      <c r="WZW130" s="400"/>
      <c r="WZX130" s="400"/>
      <c r="WZY130" s="400"/>
      <c r="WZZ130" s="400"/>
      <c r="XAA130" s="400"/>
      <c r="XAB130" s="400"/>
      <c r="XAC130" s="400"/>
      <c r="XAD130" s="400"/>
      <c r="XAE130" s="400"/>
      <c r="XAF130" s="400"/>
      <c r="XAG130" s="400"/>
      <c r="XAH130" s="400"/>
      <c r="XAI130" s="400"/>
      <c r="XAJ130" s="400"/>
      <c r="XAK130" s="400"/>
      <c r="XAL130" s="400"/>
      <c r="XAM130" s="400"/>
      <c r="XAN130" s="400"/>
      <c r="XAO130" s="400"/>
      <c r="XAP130" s="400"/>
      <c r="XAQ130" s="400"/>
      <c r="XAR130" s="400"/>
      <c r="XAS130" s="400"/>
      <c r="XAT130" s="400"/>
      <c r="XAU130" s="400"/>
      <c r="XAV130" s="400"/>
      <c r="XAW130" s="400"/>
      <c r="XAX130" s="400"/>
      <c r="XAY130" s="400"/>
      <c r="XAZ130" s="400"/>
      <c r="XBA130" s="400"/>
      <c r="XBB130" s="400"/>
      <c r="XBC130" s="400"/>
      <c r="XBD130" s="400"/>
      <c r="XBE130" s="400"/>
      <c r="XBF130" s="400"/>
      <c r="XBG130" s="400"/>
      <c r="XBH130" s="400"/>
      <c r="XBI130" s="400"/>
      <c r="XBJ130" s="400"/>
      <c r="XBK130" s="400"/>
      <c r="XBL130" s="400"/>
      <c r="XBM130" s="400"/>
      <c r="XBN130" s="400"/>
      <c r="XBO130" s="400"/>
      <c r="XBP130" s="400"/>
      <c r="XBQ130" s="400"/>
      <c r="XBR130" s="400"/>
      <c r="XBS130" s="400"/>
      <c r="XBT130" s="400"/>
      <c r="XBU130" s="400"/>
      <c r="XBV130" s="400"/>
      <c r="XBW130" s="400"/>
      <c r="XBX130" s="400"/>
      <c r="XBY130" s="400"/>
      <c r="XBZ130" s="400"/>
      <c r="XCA130" s="400"/>
      <c r="XCB130" s="400"/>
      <c r="XCC130" s="400"/>
      <c r="XCD130" s="400"/>
      <c r="XCE130" s="400"/>
      <c r="XCF130" s="400"/>
      <c r="XCG130" s="400"/>
      <c r="XCH130" s="400"/>
      <c r="XCI130" s="400"/>
      <c r="XCJ130" s="400"/>
      <c r="XCK130" s="400"/>
      <c r="XCL130" s="400"/>
      <c r="XCM130" s="400"/>
      <c r="XCN130" s="400"/>
      <c r="XCO130" s="400"/>
      <c r="XCP130" s="400"/>
      <c r="XCQ130" s="400"/>
      <c r="XCR130" s="400"/>
      <c r="XCS130" s="400"/>
      <c r="XCT130" s="400"/>
      <c r="XCU130" s="400"/>
      <c r="XCV130" s="400"/>
      <c r="XCW130" s="400"/>
      <c r="XCX130" s="400"/>
      <c r="XCY130" s="400"/>
      <c r="XCZ130" s="400"/>
      <c r="XDA130" s="400"/>
      <c r="XDB130" s="400"/>
      <c r="XDC130" s="400"/>
      <c r="XDD130" s="400"/>
      <c r="XDE130" s="400"/>
      <c r="XDF130" s="400"/>
      <c r="XDG130" s="400"/>
      <c r="XDH130" s="400"/>
      <c r="XDI130" s="400"/>
      <c r="XDJ130" s="400"/>
      <c r="XDK130" s="400"/>
      <c r="XDL130" s="400"/>
      <c r="XDM130" s="400"/>
      <c r="XDN130" s="400"/>
      <c r="XDO130" s="400"/>
      <c r="XDP130" s="400"/>
      <c r="XDQ130" s="400"/>
      <c r="XDR130" s="400"/>
      <c r="XDS130" s="400"/>
      <c r="XDT130" s="400"/>
      <c r="XDU130" s="400"/>
      <c r="XDV130" s="400"/>
      <c r="XDW130" s="400"/>
      <c r="XDX130" s="400"/>
      <c r="XDY130" s="400"/>
      <c r="XDZ130" s="400"/>
      <c r="XEA130" s="400"/>
      <c r="XEB130" s="400"/>
      <c r="XEC130" s="400"/>
      <c r="XED130" s="400"/>
      <c r="XEE130" s="400"/>
      <c r="XEF130" s="400"/>
      <c r="XEG130" s="400"/>
      <c r="XEH130" s="400"/>
      <c r="XEI130" s="400"/>
      <c r="XEJ130" s="400"/>
      <c r="XEK130" s="400"/>
      <c r="XEL130" s="400"/>
      <c r="XEM130" s="400"/>
      <c r="XEN130" s="400"/>
      <c r="XEO130" s="400"/>
      <c r="XEP130" s="400"/>
      <c r="XEQ130" s="400"/>
      <c r="XER130" s="400"/>
      <c r="XES130" s="400"/>
      <c r="XET130" s="400"/>
      <c r="XEU130" s="400"/>
      <c r="XEV130" s="400"/>
      <c r="XEW130" s="400"/>
      <c r="XEX130" s="400"/>
      <c r="XEY130" s="400"/>
      <c r="XEZ130" s="400"/>
      <c r="XFA130" s="400"/>
      <c r="XFB130" s="400"/>
      <c r="XFC130" s="400"/>
      <c r="XFD130" s="400"/>
    </row>
    <row r="131" customFormat="false" ht="15.75" hidden="false" customHeight="true" outlineLevel="0" collapsed="false">
      <c r="A131" s="260" t="s">
        <v>185</v>
      </c>
      <c r="B131" s="401" t="n">
        <v>116</v>
      </c>
      <c r="C131" s="305" t="n">
        <v>16262731536</v>
      </c>
      <c r="D131" s="306" t="s">
        <v>546</v>
      </c>
      <c r="E131" s="263" t="s">
        <v>547</v>
      </c>
      <c r="F131" s="262" t="s">
        <v>548</v>
      </c>
      <c r="G131" s="305"/>
      <c r="H131" s="402"/>
      <c r="I131" s="105" t="n">
        <v>44850</v>
      </c>
      <c r="J131" s="279" t="n">
        <v>1.5972602739726</v>
      </c>
      <c r="K131" s="105" t="n">
        <v>45323</v>
      </c>
      <c r="L131" s="310" t="n">
        <v>60.4</v>
      </c>
      <c r="M131" s="310" t="n">
        <v>2.75</v>
      </c>
      <c r="N131" s="310"/>
      <c r="O131" s="311" t="n">
        <v>110</v>
      </c>
      <c r="P131" s="312" t="n">
        <v>101</v>
      </c>
      <c r="Q131" s="312" t="n">
        <v>0</v>
      </c>
      <c r="R131" s="312" t="n">
        <v>0</v>
      </c>
      <c r="S131" s="312" t="n">
        <v>0</v>
      </c>
      <c r="T131" s="312" t="n">
        <v>0</v>
      </c>
      <c r="U131" s="312" t="n">
        <v>1847</v>
      </c>
      <c r="V131" s="312" t="n">
        <v>1630</v>
      </c>
      <c r="W131" s="403" t="n">
        <v>0</v>
      </c>
      <c r="X131" s="404" t="n">
        <f aca="false">EXP(0.585+(0.102*J131)+(0.007*P131)-(0.001*V131)+(0.008*O131)-2.723)</f>
        <v>0.132910481067832</v>
      </c>
      <c r="Y131" s="404" t="n">
        <f aca="false">(X131/(1+X131))</f>
        <v>0.117317725706409</v>
      </c>
      <c r="Z131" s="404" t="n">
        <f aca="false">EXP(1.741+(0.011*P131)-(0.002*V131)+(0.275*J131)-1.952)</f>
        <v>0.146496546430294</v>
      </c>
      <c r="AA131" s="404" t="n">
        <f aca="false">(Z131/(1+Z131))</f>
        <v>0.127777573239468</v>
      </c>
      <c r="AB131" s="401" t="n">
        <v>116</v>
      </c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273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260" t="s">
        <v>185</v>
      </c>
      <c r="DA131" s="401" t="n">
        <v>116</v>
      </c>
      <c r="DB131" s="306" t="s">
        <v>546</v>
      </c>
      <c r="WYQ131" s="400"/>
      <c r="WYR131" s="400"/>
      <c r="WYS131" s="400"/>
      <c r="WYT131" s="400"/>
      <c r="WYU131" s="400"/>
      <c r="WYV131" s="400"/>
      <c r="WYW131" s="400"/>
      <c r="WYX131" s="400"/>
      <c r="WYY131" s="400"/>
      <c r="WYZ131" s="400"/>
      <c r="WZA131" s="400"/>
      <c r="WZB131" s="400"/>
      <c r="WZC131" s="400"/>
      <c r="WZD131" s="400"/>
      <c r="WZE131" s="400"/>
      <c r="WZF131" s="400"/>
      <c r="WZG131" s="400"/>
      <c r="WZH131" s="400"/>
      <c r="WZI131" s="400"/>
      <c r="WZJ131" s="400"/>
      <c r="WZK131" s="400"/>
      <c r="WZL131" s="400"/>
      <c r="WZM131" s="400"/>
      <c r="WZN131" s="400"/>
      <c r="WZO131" s="400"/>
      <c r="WZP131" s="400"/>
      <c r="WZQ131" s="400"/>
      <c r="WZR131" s="400"/>
      <c r="WZS131" s="400"/>
      <c r="WZT131" s="400"/>
      <c r="WZU131" s="400"/>
      <c r="WZV131" s="400"/>
      <c r="WZW131" s="400"/>
      <c r="WZX131" s="400"/>
      <c r="WZY131" s="400"/>
      <c r="WZZ131" s="400"/>
      <c r="XAA131" s="400"/>
      <c r="XAB131" s="400"/>
      <c r="XAC131" s="400"/>
      <c r="XAD131" s="400"/>
      <c r="XAE131" s="400"/>
      <c r="XAF131" s="400"/>
      <c r="XAG131" s="400"/>
      <c r="XAH131" s="400"/>
      <c r="XAI131" s="400"/>
      <c r="XAJ131" s="400"/>
      <c r="XAK131" s="400"/>
      <c r="XAL131" s="400"/>
      <c r="XAM131" s="400"/>
      <c r="XAN131" s="400"/>
      <c r="XAO131" s="400"/>
      <c r="XAP131" s="400"/>
      <c r="XAQ131" s="400"/>
      <c r="XAR131" s="400"/>
      <c r="XAS131" s="400"/>
      <c r="XAT131" s="400"/>
      <c r="XAU131" s="400"/>
      <c r="XAV131" s="400"/>
      <c r="XAW131" s="400"/>
      <c r="XAX131" s="400"/>
      <c r="XAY131" s="400"/>
      <c r="XAZ131" s="400"/>
      <c r="XBA131" s="400"/>
      <c r="XBB131" s="400"/>
      <c r="XBC131" s="400"/>
      <c r="XBD131" s="400"/>
      <c r="XBE131" s="400"/>
      <c r="XBF131" s="400"/>
      <c r="XBG131" s="400"/>
      <c r="XBH131" s="400"/>
      <c r="XBI131" s="400"/>
      <c r="XBJ131" s="400"/>
      <c r="XBK131" s="400"/>
      <c r="XBL131" s="400"/>
      <c r="XBM131" s="400"/>
      <c r="XBN131" s="400"/>
      <c r="XBO131" s="400"/>
      <c r="XBP131" s="400"/>
      <c r="XBQ131" s="400"/>
      <c r="XBR131" s="400"/>
      <c r="XBS131" s="400"/>
      <c r="XBT131" s="400"/>
      <c r="XBU131" s="400"/>
      <c r="XBV131" s="400"/>
      <c r="XBW131" s="400"/>
      <c r="XBX131" s="400"/>
      <c r="XBY131" s="400"/>
      <c r="XBZ131" s="400"/>
      <c r="XCA131" s="400"/>
      <c r="XCB131" s="400"/>
      <c r="XCC131" s="400"/>
      <c r="XCD131" s="400"/>
      <c r="XCE131" s="400"/>
      <c r="XCF131" s="400"/>
      <c r="XCG131" s="400"/>
      <c r="XCH131" s="400"/>
      <c r="XCI131" s="400"/>
      <c r="XCJ131" s="400"/>
      <c r="XCK131" s="400"/>
      <c r="XCL131" s="400"/>
      <c r="XCM131" s="400"/>
      <c r="XCN131" s="400"/>
      <c r="XCO131" s="400"/>
      <c r="XCP131" s="400"/>
      <c r="XCQ131" s="400"/>
      <c r="XCR131" s="400"/>
      <c r="XCS131" s="400"/>
      <c r="XCT131" s="400"/>
      <c r="XCU131" s="400"/>
      <c r="XCV131" s="400"/>
      <c r="XCW131" s="400"/>
      <c r="XCX131" s="400"/>
      <c r="XCY131" s="400"/>
      <c r="XCZ131" s="400"/>
      <c r="XDA131" s="400"/>
      <c r="XDB131" s="400"/>
      <c r="XDC131" s="400"/>
      <c r="XDD131" s="400"/>
      <c r="XDE131" s="400"/>
      <c r="XDF131" s="400"/>
      <c r="XDG131" s="400"/>
      <c r="XDH131" s="400"/>
      <c r="XDI131" s="400"/>
      <c r="XDJ131" s="400"/>
      <c r="XDK131" s="400"/>
      <c r="XDL131" s="400"/>
      <c r="XDM131" s="400"/>
      <c r="XDN131" s="400"/>
      <c r="XDO131" s="400"/>
      <c r="XDP131" s="400"/>
      <c r="XDQ131" s="400"/>
      <c r="XDR131" s="400"/>
      <c r="XDS131" s="400"/>
      <c r="XDT131" s="400"/>
      <c r="XDU131" s="400"/>
      <c r="XDV131" s="400"/>
      <c r="XDW131" s="400"/>
      <c r="XDX131" s="400"/>
      <c r="XDY131" s="400"/>
      <c r="XDZ131" s="400"/>
      <c r="XEA131" s="400"/>
      <c r="XEB131" s="400"/>
      <c r="XEC131" s="400"/>
      <c r="XED131" s="400"/>
      <c r="XEE131" s="400"/>
      <c r="XEF131" s="400"/>
      <c r="XEG131" s="400"/>
      <c r="XEH131" s="400"/>
      <c r="XEI131" s="400"/>
      <c r="XEJ131" s="400"/>
      <c r="XEK131" s="400"/>
      <c r="XEL131" s="400"/>
      <c r="XEM131" s="400"/>
      <c r="XEN131" s="400"/>
      <c r="XEO131" s="400"/>
      <c r="XEP131" s="400"/>
      <c r="XEQ131" s="400"/>
      <c r="XER131" s="400"/>
      <c r="XES131" s="400"/>
      <c r="XET131" s="400"/>
      <c r="XEU131" s="400"/>
      <c r="XEV131" s="400"/>
      <c r="XEW131" s="400"/>
      <c r="XEX131" s="400"/>
      <c r="XEY131" s="400"/>
      <c r="XEZ131" s="400"/>
      <c r="XFA131" s="400"/>
      <c r="XFB131" s="400"/>
      <c r="XFC131" s="400"/>
      <c r="XFD131" s="400"/>
    </row>
    <row r="132" s="400" customFormat="true" ht="15.75" hidden="false" customHeight="true" outlineLevel="0" collapsed="false">
      <c r="A132" s="260" t="s">
        <v>192</v>
      </c>
      <c r="B132" s="401" t="n">
        <v>34</v>
      </c>
      <c r="C132" s="305" t="n">
        <v>16262791600</v>
      </c>
      <c r="D132" s="306" t="s">
        <v>549</v>
      </c>
      <c r="E132" s="263" t="s">
        <v>550</v>
      </c>
      <c r="F132" s="262" t="s">
        <v>551</v>
      </c>
      <c r="G132" s="305"/>
      <c r="H132" s="402"/>
      <c r="I132" s="105" t="n">
        <v>43386</v>
      </c>
      <c r="J132" s="279" t="n">
        <v>5.60821917808219</v>
      </c>
      <c r="K132" s="105" t="n">
        <v>45225</v>
      </c>
      <c r="L132" s="310" t="n">
        <v>78.3</v>
      </c>
      <c r="M132" s="310" t="n">
        <v>3.5</v>
      </c>
      <c r="N132" s="310"/>
      <c r="O132" s="311" t="n">
        <v>208</v>
      </c>
      <c r="P132" s="312" t="n">
        <v>264</v>
      </c>
      <c r="Q132" s="312" t="n">
        <v>0</v>
      </c>
      <c r="R132" s="312" t="n">
        <v>1885</v>
      </c>
      <c r="S132" s="312" t="n">
        <v>1562</v>
      </c>
      <c r="T132" s="312" t="n">
        <v>1156</v>
      </c>
      <c r="U132" s="312" t="n">
        <v>979</v>
      </c>
      <c r="V132" s="312" t="n">
        <v>1001</v>
      </c>
      <c r="W132" s="403" t="n">
        <v>-9</v>
      </c>
      <c r="X132" s="404" t="n">
        <f aca="false">EXP(0.585+(0.102*J132)+(0.007*P132)-(0.001*V132)+(0.008*O132)-2.723)</f>
        <v>2.57291206373378</v>
      </c>
      <c r="Y132" s="404" t="n">
        <f aca="false">(X132/(1+X132))</f>
        <v>0.720116257505936</v>
      </c>
      <c r="Z132" s="404" t="n">
        <f aca="false">EXP(1.741+(0.011*P132)-(0.002*V132)+(0.275*J132)-1.952)</f>
        <v>9.33023567050396</v>
      </c>
      <c r="AA132" s="404" t="n">
        <f aca="false">(Z132/(1+Z132))</f>
        <v>0.903196787382566</v>
      </c>
      <c r="AB132" s="401" t="n">
        <v>34</v>
      </c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281"/>
      <c r="BO132" s="273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260" t="s">
        <v>192</v>
      </c>
      <c r="DA132" s="401" t="n">
        <v>34</v>
      </c>
      <c r="DB132" s="306" t="s">
        <v>549</v>
      </c>
      <c r="DC132" s="1"/>
      <c r="DD132" s="1"/>
      <c r="DE132" s="1"/>
      <c r="DF132" s="1"/>
      <c r="DG132" s="1"/>
      <c r="DH132" s="1"/>
      <c r="DI132" s="1"/>
    </row>
    <row r="133" s="400" customFormat="true" ht="15" hidden="false" customHeight="false" outlineLevel="0" collapsed="false">
      <c r="A133" s="1"/>
      <c r="B133" s="209"/>
      <c r="C133" s="209"/>
      <c r="D133" s="209"/>
      <c r="E133" s="209"/>
      <c r="F133" s="8"/>
      <c r="G133" s="1"/>
      <c r="H133" s="1"/>
      <c r="I133" s="1"/>
      <c r="J133" s="1"/>
      <c r="K133" s="1"/>
      <c r="L133" s="210"/>
      <c r="M133" s="210"/>
      <c r="N133" s="210"/>
      <c r="O133" s="1"/>
      <c r="P133" s="1"/>
      <c r="Q133" s="1"/>
      <c r="R133" s="1"/>
      <c r="S133" s="1"/>
      <c r="T133" s="1"/>
      <c r="U133" s="1"/>
      <c r="V133" s="1"/>
      <c r="W133" s="8"/>
      <c r="X133" s="1"/>
      <c r="Y133" s="1"/>
      <c r="Z133" s="1"/>
      <c r="AA133" s="1"/>
      <c r="AB133" s="209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396"/>
      <c r="BO133" s="3"/>
      <c r="BP133" s="1"/>
      <c r="BQ133" s="1"/>
      <c r="BR133" s="1"/>
      <c r="BS133" s="1"/>
      <c r="BT133" s="1"/>
      <c r="BU133" s="397"/>
      <c r="BV133" s="397"/>
      <c r="BW133" s="398"/>
      <c r="BX133" s="398"/>
      <c r="BY133" s="398"/>
      <c r="BZ133" s="398"/>
      <c r="CA133" s="398"/>
      <c r="CB133" s="398"/>
      <c r="CC133" s="398"/>
      <c r="CD133" s="398"/>
      <c r="CE133" s="398"/>
      <c r="CF133" s="399"/>
      <c r="CG133" s="399"/>
      <c r="CH133" s="399"/>
      <c r="CI133" s="399"/>
      <c r="CJ133" s="399"/>
      <c r="CK133" s="399"/>
      <c r="CL133" s="399"/>
      <c r="CM133" s="399"/>
      <c r="CN133" s="399"/>
      <c r="CO133" s="399"/>
      <c r="CP133" s="399"/>
      <c r="CQ133" s="396"/>
      <c r="CR133" s="396"/>
      <c r="CS133" s="396"/>
      <c r="CT133" s="396"/>
      <c r="CU133" s="396"/>
      <c r="CV133" s="396"/>
      <c r="CW133" s="396"/>
      <c r="CX133" s="396"/>
      <c r="CY133" s="1"/>
      <c r="CZ133" s="1"/>
      <c r="DA133" s="209"/>
      <c r="DB133" s="209"/>
      <c r="DC133" s="1"/>
      <c r="DD133" s="1"/>
      <c r="DE133" s="1"/>
      <c r="DF133" s="1"/>
      <c r="DG133" s="1"/>
      <c r="DH133" s="1"/>
      <c r="DI133" s="1"/>
    </row>
    <row r="134" s="400" customFormat="true" ht="15" hidden="false" customHeight="false" outlineLevel="0" collapsed="false">
      <c r="A134" s="1"/>
      <c r="B134" s="209"/>
      <c r="C134" s="209"/>
      <c r="D134" s="209"/>
      <c r="E134" s="209"/>
      <c r="F134" s="8"/>
      <c r="G134" s="1"/>
      <c r="H134" s="1"/>
      <c r="I134" s="3" t="s">
        <v>846</v>
      </c>
      <c r="J134" s="356" t="n">
        <f aca="false">SUBTOTAL(1,J10:J129)</f>
        <v>4.05228310502283</v>
      </c>
      <c r="K134" s="405" t="n">
        <f aca="false">SUBTOTAL(1,K10:K129)</f>
        <v>45224</v>
      </c>
      <c r="L134" s="356" t="n">
        <f aca="false">SUBTOTAL(1,L10:L129)</f>
        <v>68.5816666666667</v>
      </c>
      <c r="M134" s="356" t="n">
        <f aca="false">SUBTOTAL(1,M10:M129)</f>
        <v>3.29583333333333</v>
      </c>
      <c r="N134" s="356"/>
      <c r="O134" s="356" t="n">
        <f aca="false">SUBTOTAL(1,O10:O129)</f>
        <v>209</v>
      </c>
      <c r="P134" s="356" t="n">
        <f aca="false">SUBTOTAL(1,P10:P129)</f>
        <v>268.563025210084</v>
      </c>
      <c r="Q134" s="356" t="n">
        <f aca="false">SUBTOTAL(1,Q10:Q129)</f>
        <v>1696.84166666667</v>
      </c>
      <c r="R134" s="356" t="n">
        <f aca="false">SUBTOTAL(1,R10:R129)</f>
        <v>1632.94166666667</v>
      </c>
      <c r="S134" s="356" t="n">
        <f aca="false">SUBTOTAL(1,S10:S129)</f>
        <v>1700.61666666667</v>
      </c>
      <c r="T134" s="356" t="n">
        <f aca="false">SUBTOTAL(1,T10:T129)</f>
        <v>1520.625</v>
      </c>
      <c r="U134" s="356" t="n">
        <f aca="false">SUBTOTAL(1,U10:U129)</f>
        <v>1415.50833333333</v>
      </c>
      <c r="V134" s="356" t="n">
        <f aca="false">SUBTOTAL(1,V10:V129)</f>
        <v>1286.35833333333</v>
      </c>
      <c r="W134" s="356" t="n">
        <f aca="false">SUBTOTAL(1,W10:W129)</f>
        <v>-53.3083333333333</v>
      </c>
      <c r="X134" s="356"/>
      <c r="Y134" s="356" t="n">
        <f aca="false">SUBTOTAL(1,Y10:Y129)</f>
        <v>0.685287147056098</v>
      </c>
      <c r="Z134" s="1"/>
      <c r="AA134" s="356" t="n">
        <f aca="false">SUBTOTAL(1,AA10:AA129)</f>
        <v>0.797447097005889</v>
      </c>
      <c r="AB134" s="209"/>
      <c r="AC134" s="1"/>
      <c r="AD134" s="406" t="n">
        <f aca="false">SUBTOTAL(1,AD10:AD129)</f>
        <v>45434.6197048611</v>
      </c>
      <c r="AE134" s="406" t="n">
        <f aca="false">SUBTOTAL(1,AE10:AE129)</f>
        <v>45443.6022193287</v>
      </c>
      <c r="AF134" s="356" t="n">
        <f aca="false">SUBTOTAL(1,AF10:AF129)</f>
        <v>215.580347222222</v>
      </c>
      <c r="AG134" s="406" t="n">
        <f aca="false">SUBTOTAL(1,AG10:AG129)</f>
        <v>45435.4922024208</v>
      </c>
      <c r="AH134" s="406" t="n">
        <f aca="false">SUBTOTAL(1,AH10:AH129)</f>
        <v>45435.8825290049</v>
      </c>
      <c r="AI134" s="356" t="n">
        <f aca="false">SUBTOTAL(1,AI10:AI129)</f>
        <v>9.36783801874163</v>
      </c>
      <c r="AJ134" s="356" t="n">
        <f aca="false">SUBTOTAL(1,AJ10:AJ129)</f>
        <v>9.71869143239764</v>
      </c>
      <c r="AK134" s="406" t="n">
        <f aca="false">SUBTOTAL(1,AK10:AK129)</f>
        <v>45443.6022106482</v>
      </c>
      <c r="AL134" s="406" t="n">
        <f aca="false">SUBTOTAL(1,AL10:AL129)</f>
        <v>45443.6022193287</v>
      </c>
      <c r="AM134" s="356" t="n">
        <f aca="false">SUBTOTAL(1,AM10:AM129)</f>
        <v>0.000208333333333333</v>
      </c>
      <c r="AN134" s="356" t="n">
        <f aca="false">SUBTOTAL(1,AN10:AN129)</f>
        <v>1</v>
      </c>
      <c r="AO134" s="356" t="n">
        <f aca="false">SUBTOTAL(1,AO10:AO129)</f>
        <v>52.3128580990629</v>
      </c>
      <c r="AP134" s="356" t="n">
        <f aca="false">SUBTOTAL(1,AP10:AP129)</f>
        <v>87.3128580990629</v>
      </c>
      <c r="AQ134" s="356" t="n">
        <f aca="false">SUBTOTAL(1,AQ10:AQ129)</f>
        <v>8.13253012048193</v>
      </c>
      <c r="AR134" s="356" t="n">
        <f aca="false">SUBTOTAL(1,AR10:AR129)</f>
        <v>1.51851851851852</v>
      </c>
      <c r="AS134" s="356"/>
      <c r="AT134" s="356"/>
      <c r="AU134" s="356"/>
      <c r="AV134" s="1"/>
      <c r="AW134" s="406" t="n">
        <f aca="false">SUBTOTAL(1,AW10:AW129)</f>
        <v>45449.431554784</v>
      </c>
      <c r="AX134" s="406" t="n">
        <f aca="false">SUBTOTAL(1,AX10:AX129)</f>
        <v>45454.7249594907</v>
      </c>
      <c r="AY134" s="356" t="n">
        <f aca="false">SUBTOTAL(1,AY10:AY129)</f>
        <v>127.041712962963</v>
      </c>
      <c r="AZ134" s="406" t="n">
        <f aca="false">SUBTOTAL(1,AZ10:AZ129)</f>
        <v>45453.9836467236</v>
      </c>
      <c r="BA134" s="406" t="n">
        <f aca="false">SUBTOTAL(1,BA10:BA129)</f>
        <v>45454.3944845086</v>
      </c>
      <c r="BB134" s="356" t="n">
        <f aca="false">SUBTOTAL(1,BB10:BB129)</f>
        <v>9.86010683760684</v>
      </c>
      <c r="BC134" s="356" t="n">
        <f aca="false">SUBTOTAL(1,BC10:BC129)</f>
        <v>10.2540170940069</v>
      </c>
      <c r="BD134" s="406" t="n">
        <f aca="false">SUBTOTAL(1,BD10:BD129)</f>
        <v>45455.0526678241</v>
      </c>
      <c r="BE134" s="406" t="n">
        <f aca="false">SUBTOTAL(1,BE10:BE129)</f>
        <v>45455.0526793982</v>
      </c>
      <c r="BF134" s="356" t="n">
        <f aca="false">SUBTOTAL(1,BF10:BF129)</f>
        <v>0.000277777777777778</v>
      </c>
      <c r="BG134" s="356" t="n">
        <f aca="false">SUBTOTAL(1,BG10:BG129)</f>
        <v>1</v>
      </c>
      <c r="BH134" s="356" t="n">
        <f aca="false">SUBTOTAL(1,BH10:BH129)</f>
        <v>18.5961538461538</v>
      </c>
      <c r="BI134" s="356" t="n">
        <f aca="false">SUBTOTAL(1,BI10:BI129)</f>
        <v>1.7843137254902</v>
      </c>
      <c r="BJ134" s="1"/>
      <c r="BK134" s="356" t="n">
        <f aca="false">SUBTOTAL(1,BK10:BK129)</f>
        <v>1.42168674698795</v>
      </c>
      <c r="BL134" s="1"/>
      <c r="BM134" s="1"/>
      <c r="BN134" s="396"/>
      <c r="BO134" s="356" t="n">
        <f aca="false">SUBTOTAL(1,BO10:BO129)</f>
        <v>1.41071428571429</v>
      </c>
      <c r="BP134" s="405" t="n">
        <f aca="false">SUBTOTAL(1,BP10:BP129)</f>
        <v>45591.1964285714</v>
      </c>
      <c r="BQ134" s="1"/>
      <c r="BR134" s="356" t="n">
        <f aca="false">SUBTOTAL(1,BR10:BR129)</f>
        <v>155.571428571429</v>
      </c>
      <c r="BS134" s="356"/>
      <c r="BT134" s="356"/>
      <c r="BU134" s="356" t="n">
        <f aca="false">SUBTOTAL(1,BU10:BU129)</f>
        <v>0.686338416666667</v>
      </c>
      <c r="BV134" s="356" t="n">
        <f aca="false">SUBTOTAL(1,BV10:BV129)</f>
        <v>0.884328666666667</v>
      </c>
      <c r="BW134" s="356" t="n">
        <f aca="false">SUBTOTAL(1,BW10:BW129)</f>
        <v>0.394766083333333</v>
      </c>
      <c r="BX134" s="356" t="n">
        <f aca="false">SUBTOTAL(1,BX10:BX129)</f>
        <v>0.390340541666667</v>
      </c>
      <c r="BY134" s="356" t="n">
        <f aca="false">SUBTOTAL(1,BY10:BY129)</f>
        <v>0.45358575</v>
      </c>
      <c r="BZ134" s="356" t="n">
        <f aca="false">SUBTOTAL(1,BZ10:BZ129)</f>
        <v>0.447001375</v>
      </c>
      <c r="CA134" s="356" t="n">
        <f aca="false">SUBTOTAL(1,CA10:CA129)</f>
        <v>0.583540041666667</v>
      </c>
      <c r="CB134" s="356" t="n">
        <f aca="false">SUBTOTAL(1,CB10:CB129)</f>
        <v>0.883684333333333</v>
      </c>
      <c r="CC134" s="356" t="n">
        <f aca="false">SUBTOTAL(1,CC10:CC129)</f>
        <v>1.31102816666667</v>
      </c>
      <c r="CD134" s="356" t="n">
        <f aca="false">SUBTOTAL(1,CD10:CD129)</f>
        <v>1.70914641666667</v>
      </c>
      <c r="CE134" s="356" t="n">
        <f aca="false">SUBTOTAL(1,CE10:CE129)</f>
        <v>1.83121191666667</v>
      </c>
      <c r="CF134" s="399"/>
      <c r="CG134" s="399"/>
      <c r="CH134" s="399"/>
      <c r="CI134" s="399"/>
      <c r="CJ134" s="399"/>
      <c r="CK134" s="399"/>
      <c r="CL134" s="399"/>
      <c r="CM134" s="399"/>
      <c r="CN134" s="399"/>
      <c r="CO134" s="399"/>
      <c r="CP134" s="356"/>
      <c r="CQ134" s="356" t="n">
        <f aca="false">SUBTOTAL(1,CQ10:CQ129)</f>
        <v>5</v>
      </c>
      <c r="CR134" s="356" t="n">
        <f aca="false">SUBTOTAL(1,CR10:CR129)</f>
        <v>58.0183486238532</v>
      </c>
      <c r="CS134" s="406" t="n">
        <f aca="false">SUBTOTAL(1,CS10:CS129)</f>
        <v>45435.6674311927</v>
      </c>
      <c r="CT134" s="356" t="n">
        <f aca="false">SUBTOTAL(1,CT10:CT129)</f>
        <v>1.47641509433962</v>
      </c>
      <c r="CU134" s="356" t="n">
        <f aca="false">SUBTOTAL(1,CU10:CU129)</f>
        <v>0.408904770642202</v>
      </c>
      <c r="CV134" s="356" t="n">
        <f aca="false">SUBTOTAL(1,CV10:CV129)</f>
        <v>4.07452083332443</v>
      </c>
      <c r="CW134" s="356"/>
      <c r="CX134" s="356" t="n">
        <f aca="false">SUBTOTAL(1,CX10:CX129)</f>
        <v>-1.01834862385321</v>
      </c>
      <c r="CY134" s="1"/>
      <c r="CZ134" s="1"/>
      <c r="DA134" s="209"/>
      <c r="DB134" s="209"/>
      <c r="DC134" s="394" t="s">
        <v>846</v>
      </c>
      <c r="DD134" s="1"/>
      <c r="DE134" s="1"/>
      <c r="DF134" s="1"/>
      <c r="DG134" s="1"/>
      <c r="DH134" s="1"/>
      <c r="DI134" s="1"/>
    </row>
    <row r="135" s="400" customFormat="true" ht="15" hidden="false" customHeight="false" outlineLevel="0" collapsed="false">
      <c r="A135" s="1"/>
      <c r="B135" s="209"/>
      <c r="C135" s="209"/>
      <c r="D135" s="209"/>
      <c r="E135" s="209"/>
      <c r="F135" s="8"/>
      <c r="G135" s="1"/>
      <c r="H135" s="1"/>
      <c r="I135" s="3" t="s">
        <v>847</v>
      </c>
      <c r="J135" s="356" t="n">
        <f aca="false">SUBTOTAL(7,J10:J129)</f>
        <v>1.741717622829</v>
      </c>
      <c r="K135" s="356" t="n">
        <f aca="false">SUBTOTAL(7,K10:K129)</f>
        <v>32.5898886211066</v>
      </c>
      <c r="L135" s="356" t="n">
        <f aca="false">SUBTOTAL(7,L10:L129)</f>
        <v>9.34047830756036</v>
      </c>
      <c r="M135" s="356" t="n">
        <f aca="false">SUBTOTAL(7,M10:M129)</f>
        <v>0.384826891854867</v>
      </c>
      <c r="N135" s="356"/>
      <c r="O135" s="356" t="n">
        <f aca="false">SUBTOTAL(7,O10:O129)</f>
        <v>32.5898886211066</v>
      </c>
      <c r="P135" s="356" t="n">
        <f aca="false">SUBTOTAL(7,P10:P129)</f>
        <v>70.4006257983865</v>
      </c>
      <c r="Q135" s="356" t="n">
        <f aca="false">SUBTOTAL(7,Q10:Q129)</f>
        <v>1290.89575437735</v>
      </c>
      <c r="R135" s="356" t="n">
        <f aca="false">SUBTOTAL(7,R10:R129)</f>
        <v>935.152342739755</v>
      </c>
      <c r="S135" s="356" t="n">
        <f aca="false">SUBTOTAL(7,S10:S129)</f>
        <v>669.818992021598</v>
      </c>
      <c r="T135" s="356" t="n">
        <f aca="false">SUBTOTAL(7,T10:T129)</f>
        <v>540.498448174453</v>
      </c>
      <c r="U135" s="356" t="n">
        <f aca="false">SUBTOTAL(7,U10:U129)</f>
        <v>355.968863614144</v>
      </c>
      <c r="V135" s="356" t="n">
        <f aca="false">SUBTOTAL(7,V10:V129)</f>
        <v>354.448151874074</v>
      </c>
      <c r="W135" s="356" t="n">
        <f aca="false">SUBTOTAL(7,W10:W129)</f>
        <v>89.5869884603817</v>
      </c>
      <c r="X135" s="356"/>
      <c r="Y135" s="356" t="n">
        <f aca="false">SUBTOTAL(7,Y10:Y129)</f>
        <v>0.213446227985916</v>
      </c>
      <c r="Z135" s="1"/>
      <c r="AA135" s="356" t="n">
        <f aca="false">SUBTOTAL(7,AA10:AA129)</f>
        <v>0.242169155358675</v>
      </c>
      <c r="AB135" s="209"/>
      <c r="AC135" s="1"/>
      <c r="AD135" s="356" t="n">
        <f aca="false">SUBTOTAL(7,AD10:AD129)</f>
        <v>1.17626958001272</v>
      </c>
      <c r="AE135" s="356" t="n">
        <f aca="false">SUBTOTAL(7,AE10:AE129)</f>
        <v>0.822625232041664</v>
      </c>
      <c r="AF135" s="356" t="n">
        <f aca="false">SUBTOTAL(7,AF10:AF129)</f>
        <v>45.4882813976872</v>
      </c>
      <c r="AG135" s="356" t="n">
        <f aca="false">SUBTOTAL(7,AG10:AG129)</f>
        <v>1.61896835308634</v>
      </c>
      <c r="AH135" s="356" t="n">
        <f aca="false">SUBTOTAL(7,AH10:AH129)</f>
        <v>1.50054767130192</v>
      </c>
      <c r="AI135" s="356" t="n">
        <f aca="false">SUBTOTAL(7,AI10:AI129)</f>
        <v>12.2993348267358</v>
      </c>
      <c r="AJ135" s="356" t="n">
        <f aca="false">SUBTOTAL(7,AJ10:AJ129)</f>
        <v>12.035826333926</v>
      </c>
      <c r="AK135" s="356" t="n">
        <f aca="false">SUBTOTAL(7,AK10:AK129)</f>
        <v>0.822611304710792</v>
      </c>
      <c r="AL135" s="356" t="n">
        <f aca="false">SUBTOTAL(7,AL10:AL129)</f>
        <v>0.822625232041664</v>
      </c>
      <c r="AM135" s="356" t="n">
        <f aca="false">SUBTOTAL(7,AM10:AM129)</f>
        <v>0.000416666666666667</v>
      </c>
      <c r="AN135" s="356" t="n">
        <f aca="false">SUBTOTAL(7,AN10:AN129)</f>
        <v>0</v>
      </c>
      <c r="AO135" s="356" t="n">
        <f aca="false">SUBTOTAL(7,AO10:AO129)</f>
        <v>38.8552404740692</v>
      </c>
      <c r="AP135" s="356" t="n">
        <f aca="false">SUBTOTAL(7,AP10:AP129)</f>
        <v>38.8552404740692</v>
      </c>
      <c r="AQ135" s="356" t="n">
        <f aca="false">SUBTOTAL(7,AQ10:AQ129)</f>
        <v>11.6595727281642</v>
      </c>
      <c r="AR135" s="356" t="n">
        <f aca="false">SUBTOTAL(7,AR10:AR129)</f>
        <v>0.634647758821992</v>
      </c>
      <c r="AS135" s="356"/>
      <c r="AT135" s="356"/>
      <c r="AU135" s="356"/>
      <c r="AV135" s="1"/>
      <c r="AW135" s="356" t="n">
        <f aca="false">SUBTOTAL(7,AW10:AW129)</f>
        <v>1.63468818181007</v>
      </c>
      <c r="AX135" s="356" t="n">
        <f aca="false">SUBTOTAL(7,AX10:AX129)</f>
        <v>1.67920219299923</v>
      </c>
      <c r="AY135" s="356" t="n">
        <f aca="false">SUBTOTAL(7,AY10:AY129)</f>
        <v>58.7034717258458</v>
      </c>
      <c r="AZ135" s="356" t="n">
        <f aca="false">SUBTOTAL(7,AZ10:AZ129)</f>
        <v>3.82437261933518</v>
      </c>
      <c r="BA135" s="356" t="n">
        <f aca="false">SUBTOTAL(7,BA10:BA129)</f>
        <v>3.77883436571394</v>
      </c>
      <c r="BB135" s="356" t="n">
        <f aca="false">SUBTOTAL(7,BB10:BB129)</f>
        <v>11.7834222447099</v>
      </c>
      <c r="BC135" s="356" t="n">
        <f aca="false">SUBTOTAL(7,BC10:BC129)</f>
        <v>11.4532586114189</v>
      </c>
      <c r="BD135" s="356" t="n">
        <f aca="false">SUBTOTAL(7,BD10:BD129)</f>
        <v>1.9882222233955</v>
      </c>
      <c r="BE135" s="356" t="n">
        <f aca="false">SUBTOTAL(7,BE10:BE129)</f>
        <v>1.98823859160671</v>
      </c>
      <c r="BF135" s="356" t="n">
        <f aca="false">SUBTOTAL(7,BF10:BF129)</f>
        <v>0.000392837100659193</v>
      </c>
      <c r="BG135" s="356" t="n">
        <f aca="false">SUBTOTAL(7,BG10:BG129)</f>
        <v>0</v>
      </c>
      <c r="BH135" s="356" t="n">
        <f aca="false">SUBTOTAL(7,BH10:BH129)</f>
        <v>26.1520888194983</v>
      </c>
      <c r="BI135" s="356" t="n">
        <f aca="false">SUBTOTAL(7,BI10:BI129)</f>
        <v>0.901415009641976</v>
      </c>
      <c r="BJ135" s="1"/>
      <c r="BK135" s="356" t="n">
        <f aca="false">SUBTOTAL(7,BK10:BK129)</f>
        <v>0.543710870253641</v>
      </c>
      <c r="BL135" s="1"/>
      <c r="BM135" s="1"/>
      <c r="BN135" s="396"/>
      <c r="BO135" s="356" t="n">
        <f aca="false">SUBTOTAL(7,BO10:BO129)</f>
        <v>0.494174558439115</v>
      </c>
      <c r="BP135" s="356" t="n">
        <f aca="false">SUBTOTAL(7,BP10:BP129)</f>
        <v>16.0179174933473</v>
      </c>
      <c r="BQ135" s="1"/>
      <c r="BR135" s="356" t="n">
        <f aca="false">SUBTOTAL(7,BR10:BR129)</f>
        <v>16.0179174933473</v>
      </c>
      <c r="BS135" s="356"/>
      <c r="BT135" s="356"/>
      <c r="BU135" s="356" t="n">
        <f aca="false">SUBTOTAL(7,BU10:BU129)</f>
        <v>1.09574485054649</v>
      </c>
      <c r="BV135" s="356" t="n">
        <f aca="false">SUBTOTAL(7,BV10:BV129)</f>
        <v>1.31850306183584</v>
      </c>
      <c r="BW135" s="356" t="n">
        <f aca="false">SUBTOTAL(7,BW10:BW129)</f>
        <v>0.861134798602124</v>
      </c>
      <c r="BX135" s="356" t="n">
        <f aca="false">SUBTOTAL(7,BX10:BX129)</f>
        <v>0.706855414106148</v>
      </c>
      <c r="BY135" s="356" t="n">
        <f aca="false">SUBTOTAL(7,BY10:BY129)</f>
        <v>0.90965552172945</v>
      </c>
      <c r="BZ135" s="356" t="n">
        <f aca="false">SUBTOTAL(7,BZ10:BZ129)</f>
        <v>0.901592323358313</v>
      </c>
      <c r="CA135" s="356" t="n">
        <f aca="false">SUBTOTAL(7,CA10:CA129)</f>
        <v>0.838496440955074</v>
      </c>
      <c r="CB135" s="356" t="n">
        <f aca="false">SUBTOTAL(7,CB10:CB129)</f>
        <v>1.04830458958378</v>
      </c>
      <c r="CC135" s="356" t="n">
        <f aca="false">SUBTOTAL(7,CC10:CC129)</f>
        <v>1.02165348536393</v>
      </c>
      <c r="CD135" s="356" t="n">
        <f aca="false">SUBTOTAL(7,CD10:CD129)</f>
        <v>1.34051457400783</v>
      </c>
      <c r="CE135" s="356" t="n">
        <f aca="false">SUBTOTAL(7,CE10:CE129)</f>
        <v>1.55466502504872</v>
      </c>
      <c r="CF135" s="399"/>
      <c r="CG135" s="399"/>
      <c r="CH135" s="399"/>
      <c r="CI135" s="399"/>
      <c r="CJ135" s="399"/>
      <c r="CK135" s="399"/>
      <c r="CL135" s="399"/>
      <c r="CM135" s="399"/>
      <c r="CN135" s="399"/>
      <c r="CO135" s="399"/>
      <c r="CP135" s="356"/>
      <c r="CQ135" s="356" t="n">
        <f aca="false">SUBTOTAL(7,CQ10:CQ129)</f>
        <v>0.974679434480896</v>
      </c>
      <c r="CR135" s="356" t="n">
        <f aca="false">SUBTOTAL(7,CR10:CR129)</f>
        <v>15.9594286838337</v>
      </c>
      <c r="CS135" s="356" t="n">
        <f aca="false">SUBTOTAL(7,CS10:CS129)</f>
        <v>0.664976195159736</v>
      </c>
      <c r="CT135" s="356" t="n">
        <f aca="false">SUBTOTAL(7,CT10:CT129)</f>
        <v>0.464871080294096</v>
      </c>
      <c r="CU135" s="356" t="n">
        <f aca="false">SUBTOTAL(7,CU10:CU129)</f>
        <v>0.203863768417359</v>
      </c>
      <c r="CV135" s="356" t="n">
        <f aca="false">SUBTOTAL(7,CV10:CV129)</f>
        <v>37.5763173890235</v>
      </c>
      <c r="CW135" s="356"/>
      <c r="CX135" s="356" t="n">
        <f aca="false">SUBTOTAL(7,CX10:CX129)</f>
        <v>15.9594286838337</v>
      </c>
      <c r="CY135" s="1"/>
      <c r="CZ135" s="1"/>
      <c r="DA135" s="209"/>
      <c r="DB135" s="209"/>
      <c r="DC135" s="394" t="s">
        <v>847</v>
      </c>
      <c r="DD135" s="1"/>
      <c r="DE135" s="1"/>
      <c r="DF135" s="1"/>
      <c r="DG135" s="1"/>
      <c r="DH135" s="1"/>
      <c r="DI135" s="1"/>
    </row>
    <row r="136" s="400" customFormat="true" ht="15" hidden="false" customHeight="false" outlineLevel="0" collapsed="false">
      <c r="A136" s="1"/>
      <c r="B136" s="209"/>
      <c r="C136" s="209"/>
      <c r="D136" s="209"/>
      <c r="E136" s="209"/>
      <c r="F136" s="8"/>
      <c r="G136" s="1"/>
      <c r="H136" s="1"/>
      <c r="I136" s="3" t="s">
        <v>848</v>
      </c>
      <c r="J136" s="356" t="n">
        <f aca="false">J135/(SQRT(J137))</f>
        <v>0.158996338471286</v>
      </c>
      <c r="K136" s="356" t="n">
        <f aca="false">K135/(SQRT(K137))</f>
        <v>2.97503619072684</v>
      </c>
      <c r="L136" s="356" t="n">
        <f aca="false">L135/(SQRT(L137))</f>
        <v>0.852665111156414</v>
      </c>
      <c r="M136" s="356" t="n">
        <f aca="false">M135/(SQRT(M137))</f>
        <v>0.0351297282339187</v>
      </c>
      <c r="N136" s="356"/>
      <c r="O136" s="356" t="n">
        <f aca="false">O135/(SQRT(O137))</f>
        <v>2.97503619072684</v>
      </c>
      <c r="P136" s="356" t="n">
        <f aca="false">P135/(SQRT(P137))</f>
        <v>6.45361478592264</v>
      </c>
      <c r="Q136" s="356" t="n">
        <f aca="false">Q135/(SQRT(Q137))</f>
        <v>117.842120676687</v>
      </c>
      <c r="R136" s="356" t="n">
        <f aca="false">R135/(SQRT(R137))</f>
        <v>85.3673388037277</v>
      </c>
      <c r="S136" s="356" t="n">
        <f aca="false">S135/(SQRT(S137))</f>
        <v>61.1458285626003</v>
      </c>
      <c r="T136" s="356" t="n">
        <f aca="false">T135/(SQRT(T137))</f>
        <v>49.3405320602808</v>
      </c>
      <c r="U136" s="356" t="n">
        <f aca="false">U135/(SQRT(U137))</f>
        <v>32.4953627284911</v>
      </c>
      <c r="V136" s="356" t="n">
        <f aca="false">V135/(SQRT(V137))</f>
        <v>32.3565413745746</v>
      </c>
      <c r="W136" s="356" t="n">
        <f aca="false">W135/(SQRT(W137))</f>
        <v>8.17813573978434</v>
      </c>
      <c r="X136" s="356"/>
      <c r="Y136" s="356" t="n">
        <f aca="false">Y135/(SQRT(Y137))</f>
        <v>0.019566583639103</v>
      </c>
      <c r="Z136" s="1"/>
      <c r="AA136" s="356" t="n">
        <f aca="false">AA135/(SQRT(AA137))</f>
        <v>0.0221996100743888</v>
      </c>
      <c r="AB136" s="209"/>
      <c r="AC136" s="1"/>
      <c r="AD136" s="356" t="n">
        <f aca="false">AD135/(SQRT(AD137))</f>
        <v>0.588134790006359</v>
      </c>
      <c r="AE136" s="356" t="n">
        <f aca="false">AE135/(SQRT(AE137))</f>
        <v>0.411312616020832</v>
      </c>
      <c r="AF136" s="356" t="n">
        <f aca="false">AF135/(SQRT(AF137))</f>
        <v>22.7441406988436</v>
      </c>
      <c r="AG136" s="356" t="n">
        <f aca="false">AG135/(SQRT(AG137))</f>
        <v>0.17770486322325</v>
      </c>
      <c r="AH136" s="356" t="n">
        <f aca="false">AH135/(SQRT(AH137))</f>
        <v>0.164706504719708</v>
      </c>
      <c r="AI136" s="356" t="n">
        <f aca="false">AI135/(SQRT(AI137))</f>
        <v>1.35002738562208</v>
      </c>
      <c r="AJ136" s="356" t="n">
        <f aca="false">AJ135/(SQRT(AJ137))</f>
        <v>1.32110357090781</v>
      </c>
      <c r="AK136" s="356" t="n">
        <f aca="false">AK135/(SQRT(AK137))</f>
        <v>0.411305652355396</v>
      </c>
      <c r="AL136" s="356" t="n">
        <f aca="false">AL135/(SQRT(AL137))</f>
        <v>0.411312616020832</v>
      </c>
      <c r="AM136" s="356" t="n">
        <f aca="false">AM135/(SQRT(AM137))</f>
        <v>0.000208333333333333</v>
      </c>
      <c r="AN136" s="356" t="n">
        <f aca="false">AN135/(SQRT(AN137))</f>
        <v>0</v>
      </c>
      <c r="AO136" s="356" t="n">
        <f aca="false">AO135/(SQRT(AO137))</f>
        <v>4.26491671735767</v>
      </c>
      <c r="AP136" s="356" t="n">
        <f aca="false">AP135/(SQRT(AP137))</f>
        <v>4.26491671735767</v>
      </c>
      <c r="AQ136" s="356" t="n">
        <f aca="false">AQ135/(SQRT(AQ137))</f>
        <v>1.27980437230292</v>
      </c>
      <c r="AR136" s="356" t="n">
        <f aca="false">AR135/(SQRT(AR137))</f>
        <v>0.070516417646888</v>
      </c>
      <c r="AS136" s="356"/>
      <c r="AT136" s="356"/>
      <c r="AU136" s="356"/>
      <c r="AV136" s="1"/>
      <c r="AW136" s="356" t="n">
        <f aca="false">AW135/(SQRT(AW137))</f>
        <v>0.667358655665441</v>
      </c>
      <c r="AX136" s="356" t="n">
        <f aca="false">AX135/(SQRT(AX137))</f>
        <v>0.685531424635104</v>
      </c>
      <c r="AY136" s="356" t="n">
        <f aca="false">AY135/(SQRT(AY137))</f>
        <v>23.9655919763703</v>
      </c>
      <c r="AZ136" s="356" t="n">
        <f aca="false">AZ135/(SQRT(AZ137))</f>
        <v>0.530345060595904</v>
      </c>
      <c r="BA136" s="356" t="n">
        <f aca="false">BA135/(SQRT(BA137))</f>
        <v>0.524030041041041</v>
      </c>
      <c r="BB136" s="356" t="n">
        <f aca="false">BB135/(SQRT(BB137))</f>
        <v>1.63406665783633</v>
      </c>
      <c r="BC136" s="356" t="n">
        <f aca="false">BC135/(SQRT(BC137))</f>
        <v>1.58828119979309</v>
      </c>
      <c r="BD136" s="356" t="n">
        <f aca="false">BD135/(SQRT(BD137))</f>
        <v>1.40588541666875</v>
      </c>
      <c r="BE136" s="356" t="n">
        <f aca="false">BE135/(SQRT(BE137))</f>
        <v>1.40589699074189</v>
      </c>
      <c r="BF136" s="356" t="n">
        <f aca="false">BF135/(SQRT(BF137))</f>
        <v>0.000277777777777778</v>
      </c>
      <c r="BG136" s="356" t="n">
        <f aca="false">BG135/(SQRT(BG137))</f>
        <v>0</v>
      </c>
      <c r="BH136" s="356" t="n">
        <f aca="false">BH135/(SQRT(BH137))</f>
        <v>3.62664219996883</v>
      </c>
      <c r="BI136" s="356" t="n">
        <f aca="false">BI135/(SQRT(BI137))</f>
        <v>0.126223348544558</v>
      </c>
      <c r="BJ136" s="1"/>
      <c r="BK136" s="356" t="n">
        <f aca="false">BK135/(SQRT(BK137))</f>
        <v>0.0596800213217414</v>
      </c>
      <c r="BL136" s="1"/>
      <c r="BM136" s="1"/>
      <c r="BN136" s="396"/>
      <c r="BO136" s="356" t="n">
        <f aca="false">BO135/(SQRT(BO137))</f>
        <v>0.0466951066387519</v>
      </c>
      <c r="BP136" s="356" t="n">
        <f aca="false">BP135/(SQRT(BP137))</f>
        <v>1.46222912256048</v>
      </c>
      <c r="BQ136" s="1"/>
      <c r="BR136" s="356" t="n">
        <f aca="false">BR135/(SQRT(BR137))</f>
        <v>1.51355093601957</v>
      </c>
      <c r="BS136" s="356"/>
      <c r="BT136" s="356"/>
      <c r="BU136" s="356" t="n">
        <f aca="false">BU135/(SQRT(BU137))</f>
        <v>0.10002736198574</v>
      </c>
      <c r="BV136" s="356" t="n">
        <f aca="false">BV135/(SQRT(BV137))</f>
        <v>0.120362311517853</v>
      </c>
      <c r="BW136" s="356" t="n">
        <f aca="false">BW135/(SQRT(BW137))</f>
        <v>0.0786104923745086</v>
      </c>
      <c r="BX136" s="356" t="n">
        <f aca="false">BX135/(SQRT(BX137))</f>
        <v>0.0645267758667654</v>
      </c>
      <c r="BY136" s="356" t="n">
        <f aca="false">BY135/(SQRT(BY137))</f>
        <v>0.0830398081350584</v>
      </c>
      <c r="BZ136" s="356" t="n">
        <f aca="false">BZ135/(SQRT(BZ137))</f>
        <v>0.08230374219614</v>
      </c>
      <c r="CA136" s="356" t="n">
        <f aca="false">CA135/(SQRT(CA137))</f>
        <v>0.0765439025164821</v>
      </c>
      <c r="CB136" s="356" t="n">
        <f aca="false">CB135/(SQRT(CB137))</f>
        <v>0.0956966784752049</v>
      </c>
      <c r="CC136" s="356" t="n">
        <f aca="false">CC135/(SQRT(CC137))</f>
        <v>0.0932637766479335</v>
      </c>
      <c r="CD136" s="356" t="n">
        <f aca="false">CD135/(SQRT(CD137))</f>
        <v>0.122371678474753</v>
      </c>
      <c r="CE136" s="356" t="n">
        <f aca="false">CE135/(SQRT(CE137))</f>
        <v>0.141920850597253</v>
      </c>
      <c r="CF136" s="399"/>
      <c r="CG136" s="399"/>
      <c r="CH136" s="399"/>
      <c r="CI136" s="399"/>
      <c r="CJ136" s="399"/>
      <c r="CK136" s="399"/>
      <c r="CL136" s="399"/>
      <c r="CM136" s="399"/>
      <c r="CN136" s="399"/>
      <c r="CO136" s="399"/>
      <c r="CP136" s="356"/>
      <c r="CQ136" s="356" t="n">
        <f aca="false">CQ135/(SQRT(CQ137))</f>
        <v>0.108297714942322</v>
      </c>
      <c r="CR136" s="356" t="n">
        <f aca="false">CR135/(SQRT(CR137))</f>
        <v>1.52863602904883</v>
      </c>
      <c r="CS136" s="356" t="n">
        <f aca="false">CS135/(SQRT(CS137))</f>
        <v>0.0636931678770346</v>
      </c>
      <c r="CT136" s="356" t="n">
        <f aca="false">CT135/(SQRT(CT137))</f>
        <v>0.0451522708108404</v>
      </c>
      <c r="CU136" s="356" t="n">
        <f aca="false">CU135/(SQRT(CU137))</f>
        <v>0.0195266075994384</v>
      </c>
      <c r="CV136" s="356" t="n">
        <f aca="false">CV135/(SQRT(CV137))</f>
        <v>4.2011600012982</v>
      </c>
      <c r="CW136" s="356"/>
      <c r="CX136" s="356" t="n">
        <f aca="false">CX135/(SQRT(CX137))</f>
        <v>1.52863602904883</v>
      </c>
      <c r="CY136" s="1"/>
      <c r="CZ136" s="1"/>
      <c r="DA136" s="209"/>
      <c r="DB136" s="209"/>
      <c r="DC136" s="394" t="s">
        <v>848</v>
      </c>
      <c r="DD136" s="1"/>
      <c r="DE136" s="1"/>
      <c r="DF136" s="1"/>
      <c r="DG136" s="1"/>
      <c r="DH136" s="1"/>
      <c r="DI136" s="1"/>
    </row>
    <row r="137" s="400" customFormat="true" ht="15" hidden="false" customHeight="false" outlineLevel="0" collapsed="false">
      <c r="A137" s="1"/>
      <c r="B137" s="209"/>
      <c r="C137" s="209"/>
      <c r="D137" s="209"/>
      <c r="E137" s="209"/>
      <c r="F137" s="8"/>
      <c r="G137" s="1"/>
      <c r="H137" s="1"/>
      <c r="I137" s="3" t="s">
        <v>849</v>
      </c>
      <c r="J137" s="356" t="n">
        <f aca="false">SUBTOTAL(3,J10:J129)</f>
        <v>120</v>
      </c>
      <c r="K137" s="356" t="n">
        <f aca="false">SUBTOTAL(3,K10:K129)</f>
        <v>120</v>
      </c>
      <c r="L137" s="356" t="n">
        <f aca="false">SUBTOTAL(3,L10:L129)</f>
        <v>120</v>
      </c>
      <c r="M137" s="356" t="n">
        <f aca="false">SUBTOTAL(3,M10:M129)</f>
        <v>120</v>
      </c>
      <c r="N137" s="356"/>
      <c r="O137" s="356" t="n">
        <f aca="false">SUBTOTAL(3,O10:O129)</f>
        <v>120</v>
      </c>
      <c r="P137" s="356" t="n">
        <f aca="false">SUBTOTAL(3,P10:P129)</f>
        <v>119</v>
      </c>
      <c r="Q137" s="356" t="n">
        <f aca="false">SUBTOTAL(3,Q10:Q129)</f>
        <v>120</v>
      </c>
      <c r="R137" s="356" t="n">
        <f aca="false">SUBTOTAL(3,R10:R129)</f>
        <v>120</v>
      </c>
      <c r="S137" s="356" t="n">
        <f aca="false">SUBTOTAL(3,S10:S129)</f>
        <v>120</v>
      </c>
      <c r="T137" s="356" t="n">
        <f aca="false">SUBTOTAL(3,T10:T129)</f>
        <v>120</v>
      </c>
      <c r="U137" s="356" t="n">
        <f aca="false">SUBTOTAL(3,U10:U129)</f>
        <v>120</v>
      </c>
      <c r="V137" s="356" t="n">
        <f aca="false">SUBTOTAL(3,V10:V129)</f>
        <v>120</v>
      </c>
      <c r="W137" s="356" t="n">
        <f aca="false">SUBTOTAL(3,W10:W129)</f>
        <v>120</v>
      </c>
      <c r="X137" s="356"/>
      <c r="Y137" s="356" t="n">
        <f aca="false">SUBTOTAL(3,Y10:Y129)</f>
        <v>119</v>
      </c>
      <c r="Z137" s="1"/>
      <c r="AA137" s="356" t="n">
        <f aca="false">SUBTOTAL(3,AA10:AA129)</f>
        <v>119</v>
      </c>
      <c r="AB137" s="209"/>
      <c r="AC137" s="1"/>
      <c r="AD137" s="356" t="n">
        <f aca="false">SUBTOTAL(3,AD10:AD129)</f>
        <v>4</v>
      </c>
      <c r="AE137" s="356" t="n">
        <f aca="false">SUBTOTAL(3,AE10:AE129)</f>
        <v>4</v>
      </c>
      <c r="AF137" s="356" t="n">
        <f aca="false">SUBTOTAL(3,AF10:AF129)</f>
        <v>4</v>
      </c>
      <c r="AG137" s="356" t="n">
        <f aca="false">SUBTOTAL(3,AG10:AG129)</f>
        <v>83</v>
      </c>
      <c r="AH137" s="356" t="n">
        <f aca="false">SUBTOTAL(3,AH10:AH129)</f>
        <v>83</v>
      </c>
      <c r="AI137" s="356" t="n">
        <f aca="false">SUBTOTAL(3,AI10:AI129)</f>
        <v>83</v>
      </c>
      <c r="AJ137" s="356" t="n">
        <f aca="false">SUBTOTAL(3,AJ10:AJ129)</f>
        <v>83</v>
      </c>
      <c r="AK137" s="356" t="n">
        <f aca="false">SUBTOTAL(3,AK10:AK129)</f>
        <v>4</v>
      </c>
      <c r="AL137" s="356" t="n">
        <f aca="false">SUBTOTAL(3,AL10:AL129)</f>
        <v>4</v>
      </c>
      <c r="AM137" s="356" t="n">
        <f aca="false">SUBTOTAL(3,AM10:AM129)</f>
        <v>4</v>
      </c>
      <c r="AN137" s="356" t="n">
        <f aca="false">SUBTOTAL(3,AN10:AN129)</f>
        <v>4</v>
      </c>
      <c r="AO137" s="356" t="n">
        <f aca="false">SUBTOTAL(3,AO10:AO129)</f>
        <v>83</v>
      </c>
      <c r="AP137" s="356" t="n">
        <f aca="false">SUBTOTAL(3,AP10:AP129)</f>
        <v>83</v>
      </c>
      <c r="AQ137" s="356" t="n">
        <f aca="false">SUBTOTAL(3,AQ10:AQ129)</f>
        <v>83</v>
      </c>
      <c r="AR137" s="356" t="n">
        <f aca="false">SUBTOTAL(3,AR10:AR129)</f>
        <v>81</v>
      </c>
      <c r="AS137" s="356"/>
      <c r="AT137" s="356"/>
      <c r="AU137" s="356"/>
      <c r="AV137" s="1"/>
      <c r="AW137" s="356" t="n">
        <f aca="false">SUBTOTAL(3,AW10:AW129)</f>
        <v>6</v>
      </c>
      <c r="AX137" s="356" t="n">
        <f aca="false">SUBTOTAL(3,AX10:AX129)</f>
        <v>6</v>
      </c>
      <c r="AY137" s="356" t="n">
        <f aca="false">SUBTOTAL(3,AY10:AY129)</f>
        <v>6</v>
      </c>
      <c r="AZ137" s="356" t="n">
        <f aca="false">SUBTOTAL(3,AZ10:AZ129)</f>
        <v>52</v>
      </c>
      <c r="BA137" s="356" t="n">
        <f aca="false">SUBTOTAL(3,BA10:BA129)</f>
        <v>52</v>
      </c>
      <c r="BB137" s="356" t="n">
        <f aca="false">SUBTOTAL(3,BB10:BB129)</f>
        <v>52</v>
      </c>
      <c r="BC137" s="356" t="n">
        <f aca="false">SUBTOTAL(3,BC10:BC129)</f>
        <v>52</v>
      </c>
      <c r="BD137" s="356" t="n">
        <f aca="false">SUBTOTAL(3,BD10:BD129)</f>
        <v>2</v>
      </c>
      <c r="BE137" s="356" t="n">
        <f aca="false">SUBTOTAL(3,BE10:BE129)</f>
        <v>2</v>
      </c>
      <c r="BF137" s="356" t="n">
        <f aca="false">SUBTOTAL(3,BF10:BF129)</f>
        <v>2</v>
      </c>
      <c r="BG137" s="356" t="n">
        <f aca="false">SUBTOTAL(3,BG10:BG129)</f>
        <v>2</v>
      </c>
      <c r="BH137" s="356" t="n">
        <f aca="false">SUBTOTAL(3,BH10:BH129)</f>
        <v>52</v>
      </c>
      <c r="BI137" s="356" t="n">
        <f aca="false">SUBTOTAL(3,BI10:BI129)</f>
        <v>51</v>
      </c>
      <c r="BJ137" s="1"/>
      <c r="BK137" s="356" t="n">
        <f aca="false">SUBTOTAL(3,BK10:BK129)</f>
        <v>83</v>
      </c>
      <c r="BL137" s="1"/>
      <c r="BM137" s="1"/>
      <c r="BN137" s="396"/>
      <c r="BO137" s="356" t="n">
        <f aca="false">SUBTOTAL(3,BO10:BO129)</f>
        <v>112</v>
      </c>
      <c r="BP137" s="356" t="n">
        <f aca="false">SUBTOTAL(3,BP10:BP129)</f>
        <v>120</v>
      </c>
      <c r="BQ137" s="1"/>
      <c r="BR137" s="356" t="n">
        <f aca="false">SUBTOTAL(3,BR10:BR129)</f>
        <v>112</v>
      </c>
      <c r="BS137" s="356"/>
      <c r="BT137" s="356"/>
      <c r="BU137" s="356" t="n">
        <f aca="false">SUBTOTAL(3,BU10:BU129)</f>
        <v>120</v>
      </c>
      <c r="BV137" s="356" t="n">
        <f aca="false">SUBTOTAL(3,BV10:BV129)</f>
        <v>120</v>
      </c>
      <c r="BW137" s="356" t="n">
        <f aca="false">SUBTOTAL(3,BW10:BW129)</f>
        <v>120</v>
      </c>
      <c r="BX137" s="356" t="n">
        <f aca="false">SUBTOTAL(3,BX10:BX129)</f>
        <v>120</v>
      </c>
      <c r="BY137" s="356" t="n">
        <f aca="false">SUBTOTAL(3,BY10:BY129)</f>
        <v>120</v>
      </c>
      <c r="BZ137" s="356" t="n">
        <f aca="false">SUBTOTAL(3,BZ10:BZ129)</f>
        <v>120</v>
      </c>
      <c r="CA137" s="356" t="n">
        <f aca="false">SUBTOTAL(3,CA10:CA129)</f>
        <v>120</v>
      </c>
      <c r="CB137" s="356" t="n">
        <f aca="false">SUBTOTAL(3,CB10:CB129)</f>
        <v>120</v>
      </c>
      <c r="CC137" s="356" t="n">
        <f aca="false">SUBTOTAL(3,CC10:CC129)</f>
        <v>120</v>
      </c>
      <c r="CD137" s="356" t="n">
        <f aca="false">SUBTOTAL(3,CD10:CD129)</f>
        <v>120</v>
      </c>
      <c r="CE137" s="356" t="n">
        <f aca="false">SUBTOTAL(3,CE10:CE129)</f>
        <v>120</v>
      </c>
      <c r="CF137" s="399"/>
      <c r="CG137" s="399"/>
      <c r="CH137" s="399"/>
      <c r="CI137" s="399"/>
      <c r="CJ137" s="399"/>
      <c r="CK137" s="399"/>
      <c r="CL137" s="399"/>
      <c r="CM137" s="399"/>
      <c r="CN137" s="399"/>
      <c r="CO137" s="399"/>
      <c r="CP137" s="356"/>
      <c r="CQ137" s="356" t="n">
        <f aca="false">SUBTOTAL(3,CQ10:CQ129)</f>
        <v>81</v>
      </c>
      <c r="CR137" s="356" t="n">
        <f aca="false">SUBTOTAL(3,CR10:CR129)</f>
        <v>109</v>
      </c>
      <c r="CS137" s="356" t="n">
        <f aca="false">SUBTOTAL(3,CS10:CS129)</f>
        <v>109</v>
      </c>
      <c r="CT137" s="356" t="n">
        <f aca="false">SUBTOTAL(3,CT10:CT129)</f>
        <v>106</v>
      </c>
      <c r="CU137" s="356" t="n">
        <f aca="false">SUBTOTAL(3,CU10:CU129)</f>
        <v>109</v>
      </c>
      <c r="CV137" s="356" t="n">
        <f aca="false">SUBTOTAL(3,CV10:CV129)</f>
        <v>80</v>
      </c>
      <c r="CW137" s="356"/>
      <c r="CX137" s="356" t="n">
        <f aca="false">SUBTOTAL(3,CX10:CX129)</f>
        <v>109</v>
      </c>
      <c r="CY137" s="1"/>
      <c r="CZ137" s="1"/>
      <c r="DA137" s="209"/>
      <c r="DB137" s="209"/>
      <c r="DC137" s="3" t="s">
        <v>849</v>
      </c>
      <c r="DD137" s="1"/>
      <c r="DE137" s="1"/>
      <c r="DF137" s="1"/>
      <c r="DG137" s="1"/>
      <c r="DH137" s="1"/>
      <c r="DI137" s="1"/>
    </row>
    <row r="138" s="400" customFormat="true" ht="15" hidden="false" customHeight="false" outlineLevel="0" collapsed="false">
      <c r="A138" s="1"/>
      <c r="B138" s="209"/>
      <c r="C138" s="209"/>
      <c r="D138" s="209"/>
      <c r="E138" s="209"/>
      <c r="F138" s="8"/>
      <c r="G138" s="1"/>
      <c r="H138" s="1"/>
      <c r="I138" s="3" t="s">
        <v>850</v>
      </c>
      <c r="J138" s="356" t="n">
        <f aca="false">SUBTOTAL(5,J14:J134)</f>
        <v>1.5972602739726</v>
      </c>
      <c r="K138" s="405" t="n">
        <f aca="false">SUBTOTAL(5,K14:K134)</f>
        <v>45201</v>
      </c>
      <c r="L138" s="356" t="n">
        <f aca="false">SUBTOTAL(5,L14:L134)</f>
        <v>43.2</v>
      </c>
      <c r="M138" s="356" t="n">
        <f aca="false">SUBTOTAL(5,M14:M134)</f>
        <v>2.5</v>
      </c>
      <c r="N138" s="356"/>
      <c r="O138" s="356" t="n">
        <f aca="false">SUBTOTAL(5,O14:O134)</f>
        <v>101</v>
      </c>
      <c r="P138" s="356" t="n">
        <f aca="false">SUBTOTAL(5,P14:P134)</f>
        <v>69</v>
      </c>
      <c r="Q138" s="356" t="n">
        <f aca="false">SUBTOTAL(5,Q14:Q134)</f>
        <v>0</v>
      </c>
      <c r="R138" s="356" t="n">
        <f aca="false">SUBTOTAL(5,R14:R134)</f>
        <v>0</v>
      </c>
      <c r="S138" s="356" t="n">
        <f aca="false">SUBTOTAL(5,S14:S134)</f>
        <v>0</v>
      </c>
      <c r="T138" s="356" t="n">
        <f aca="false">SUBTOTAL(5,T14:T134)</f>
        <v>0</v>
      </c>
      <c r="U138" s="356" t="n">
        <f aca="false">SUBTOTAL(5,U14:U134)</f>
        <v>503</v>
      </c>
      <c r="V138" s="356" t="n">
        <f aca="false">SUBTOTAL(5,V14:V134)</f>
        <v>286</v>
      </c>
      <c r="W138" s="356" t="n">
        <f aca="false">SUBTOTAL(5,W14:W134)</f>
        <v>-336</v>
      </c>
      <c r="X138" s="356"/>
      <c r="Y138" s="356" t="n">
        <f aca="false">SUBTOTAL(5,Y14:Y134)</f>
        <v>0.079254421668255</v>
      </c>
      <c r="Z138" s="1"/>
      <c r="AA138" s="356" t="n">
        <f aca="false">SUBTOTAL(5,AA14:AA134)</f>
        <v>0.0487418916131217</v>
      </c>
      <c r="AB138" s="209"/>
      <c r="AC138" s="1"/>
      <c r="AD138" s="406" t="n">
        <f aca="false">SUBTOTAL(5,AD14:AD134)</f>
        <v>45433.474212963</v>
      </c>
      <c r="AE138" s="406" t="n">
        <f aca="false">SUBTOTAL(5,AE14:AE134)</f>
        <v>45442.5783217593</v>
      </c>
      <c r="AF138" s="356" t="n">
        <f aca="false">SUBTOTAL(5,AF14:AF134)</f>
        <v>162.710555555556</v>
      </c>
      <c r="AG138" s="406" t="n">
        <f aca="false">SUBTOTAL(5,AG14:AG134)</f>
        <v>45433.474212963</v>
      </c>
      <c r="AH138" s="406" t="n">
        <f aca="false">SUBTOTAL(5,AH14:AH134)</f>
        <v>45434.2686111111</v>
      </c>
      <c r="AI138" s="356" t="n">
        <f aca="false">SUBTOTAL(5,AI14:AI134)</f>
        <v>0</v>
      </c>
      <c r="AJ138" s="356" t="n">
        <f aca="false">SUBTOTAL(5,AJ14:AJ134)</f>
        <v>1</v>
      </c>
      <c r="AK138" s="406" t="n">
        <f aca="false">SUBTOTAL(5,AK14:AK134)</f>
        <v>45442.5783217593</v>
      </c>
      <c r="AL138" s="406" t="n">
        <f aca="false">SUBTOTAL(5,AL14:AL134)</f>
        <v>45442.5783217593</v>
      </c>
      <c r="AM138" s="356" t="n">
        <f aca="false">SUBTOTAL(5,AM14:AM134)</f>
        <v>0</v>
      </c>
      <c r="AN138" s="356" t="n">
        <f aca="false">SUBTOTAL(5,AN14:AN134)</f>
        <v>1</v>
      </c>
      <c r="AO138" s="356" t="n">
        <f aca="false">SUBTOTAL(5,AO14:AO134)</f>
        <v>3.88111111111111</v>
      </c>
      <c r="AP138" s="356" t="n">
        <f aca="false">SUBTOTAL(5,AP14:AP134)</f>
        <v>38.8811111111111</v>
      </c>
      <c r="AQ138" s="356" t="n">
        <f aca="false">SUBTOTAL(5,AQ14:AQ134)</f>
        <v>1</v>
      </c>
      <c r="AR138" s="356" t="n">
        <f aca="false">SUBTOTAL(5,AR14:AR134)</f>
        <v>1</v>
      </c>
      <c r="AS138" s="356"/>
      <c r="AT138" s="356"/>
      <c r="AU138" s="356"/>
      <c r="AV138" s="1"/>
      <c r="AW138" s="406" t="n">
        <f aca="false">SUBTOTAL(5,AW14:AW134)</f>
        <v>45446.490462963</v>
      </c>
      <c r="AX138" s="406" t="n">
        <f aca="false">SUBTOTAL(5,AX14:AX134)</f>
        <v>45452.7401273148</v>
      </c>
      <c r="AY138" s="356" t="n">
        <f aca="false">SUBTOTAL(5,AY14:AY134)</f>
        <v>47.8525</v>
      </c>
      <c r="AZ138" s="406" t="n">
        <f aca="false">SUBTOTAL(5,AZ14:AZ134)</f>
        <v>45446.490462963</v>
      </c>
      <c r="BA138" s="406" t="n">
        <f aca="false">SUBTOTAL(5,BA14:BA134)</f>
        <v>45446.490462963</v>
      </c>
      <c r="BB138" s="356" t="n">
        <f aca="false">SUBTOTAL(5,BB14:BB134)</f>
        <v>0</v>
      </c>
      <c r="BC138" s="356" t="n">
        <f aca="false">SUBTOTAL(5,BC14:BC134)</f>
        <v>1</v>
      </c>
      <c r="BD138" s="406" t="n">
        <f aca="false">SUBTOTAL(5,BD14:BD134)</f>
        <v>45453.6467824074</v>
      </c>
      <c r="BE138" s="406" t="n">
        <f aca="false">SUBTOTAL(5,BE14:BE134)</f>
        <v>45453.6467824074</v>
      </c>
      <c r="BF138" s="356" t="n">
        <f aca="false">SUBTOTAL(5,BF14:BF134)</f>
        <v>0</v>
      </c>
      <c r="BG138" s="356" t="n">
        <f aca="false">SUBTOTAL(5,BG14:BG134)</f>
        <v>1</v>
      </c>
      <c r="BH138" s="356" t="n">
        <f aca="false">SUBTOTAL(5,BH14:BH134)</f>
        <v>1</v>
      </c>
      <c r="BI138" s="356" t="n">
        <f aca="false">SUBTOTAL(5,BI14:BI134)</f>
        <v>1</v>
      </c>
      <c r="BJ138" s="1"/>
      <c r="BK138" s="356" t="n">
        <f aca="false">SUBTOTAL(5,BK14:BK134)</f>
        <v>1</v>
      </c>
      <c r="BL138" s="1"/>
      <c r="BM138" s="1"/>
      <c r="BN138" s="396"/>
      <c r="BO138" s="356" t="n">
        <f aca="false">SUBTOTAL(5,BO14:BO134)</f>
        <v>1</v>
      </c>
      <c r="BP138" s="405" t="n">
        <f aca="false">SUBTOTAL(5,BP14:BP134)</f>
        <v>45579</v>
      </c>
      <c r="BQ138" s="1"/>
      <c r="BR138" s="356" t="n">
        <f aca="false">SUBTOTAL(5,BR14:BR134)</f>
        <v>143.375</v>
      </c>
      <c r="BS138" s="356"/>
      <c r="BT138" s="356"/>
      <c r="BU138" s="356" t="n">
        <f aca="false">SUBTOTAL(5,BU14:BU134)</f>
        <v>0.2</v>
      </c>
      <c r="BV138" s="356" t="n">
        <f aca="false">SUBTOTAL(5,BV14:BV134)</f>
        <v>0.2</v>
      </c>
      <c r="BW138" s="356" t="n">
        <f aca="false">SUBTOTAL(5,BW14:BW134)</f>
        <v>0.2</v>
      </c>
      <c r="BX138" s="356" t="n">
        <f aca="false">SUBTOTAL(5,BX14:BX134)</f>
        <v>0.2</v>
      </c>
      <c r="BY138" s="356" t="n">
        <f aca="false">SUBTOTAL(5,BY14:BY134)</f>
        <v>0.2</v>
      </c>
      <c r="BZ138" s="356" t="n">
        <f aca="false">SUBTOTAL(5,BZ14:BZ134)</f>
        <v>0.2</v>
      </c>
      <c r="CA138" s="356" t="n">
        <f aca="false">SUBTOTAL(5,CA14:CA134)</f>
        <v>0.2</v>
      </c>
      <c r="CB138" s="356" t="n">
        <f aca="false">SUBTOTAL(5,CB14:CB134)</f>
        <v>0.2</v>
      </c>
      <c r="CC138" s="356" t="n">
        <f aca="false">SUBTOTAL(5,CC14:CC134)</f>
        <v>0.2</v>
      </c>
      <c r="CD138" s="356" t="n">
        <f aca="false">SUBTOTAL(5,CD14:CD134)</f>
        <v>0.2</v>
      </c>
      <c r="CE138" s="356" t="n">
        <f aca="false">SUBTOTAL(5,CE14:CE134)</f>
        <v>0.2</v>
      </c>
      <c r="CF138" s="399"/>
      <c r="CG138" s="399"/>
      <c r="CH138" s="399"/>
      <c r="CI138" s="399"/>
      <c r="CJ138" s="399"/>
      <c r="CK138" s="399"/>
      <c r="CL138" s="399"/>
      <c r="CM138" s="399"/>
      <c r="CN138" s="399"/>
      <c r="CO138" s="399"/>
      <c r="CP138" s="356"/>
      <c r="CQ138" s="356" t="n">
        <f aca="false">SUBTOTAL(5,CQ14:CQ134)</f>
        <v>3</v>
      </c>
      <c r="CR138" s="356" t="n">
        <f aca="false">SUBTOTAL(5,CR14:CR134)</f>
        <v>36</v>
      </c>
      <c r="CS138" s="406" t="n">
        <f aca="false">SUBTOTAL(5,CS14:CS134)</f>
        <v>45434.75</v>
      </c>
      <c r="CT138" s="356" t="n">
        <f aca="false">SUBTOTAL(5,CT14:CT134)</f>
        <v>0.5</v>
      </c>
      <c r="CU138" s="356" t="n">
        <f aca="false">SUBTOTAL(5,CU14:CU134)</f>
        <v>0.11316</v>
      </c>
      <c r="CV138" s="356" t="n">
        <f aca="false">SUBTOTAL(5,CV14:CV134)</f>
        <v>-223.823611111184</v>
      </c>
      <c r="CW138" s="356"/>
      <c r="CX138" s="356" t="n">
        <f aca="false">SUBTOTAL(5,CX14:CX134)</f>
        <v>-63</v>
      </c>
      <c r="CY138" s="1"/>
      <c r="CZ138" s="1"/>
      <c r="DA138" s="209"/>
      <c r="DB138" s="209"/>
      <c r="DC138" s="3" t="s">
        <v>850</v>
      </c>
      <c r="DD138" s="1"/>
      <c r="DE138" s="1"/>
      <c r="DF138" s="1"/>
      <c r="DG138" s="1"/>
      <c r="DH138" s="1"/>
      <c r="DI138" s="1"/>
    </row>
    <row r="139" s="400" customFormat="true" ht="15" hidden="false" customHeight="false" outlineLevel="0" collapsed="false">
      <c r="A139" s="1"/>
      <c r="B139" s="209"/>
      <c r="C139" s="209"/>
      <c r="D139" s="209"/>
      <c r="E139" s="209"/>
      <c r="F139" s="8"/>
      <c r="G139" s="1"/>
      <c r="H139" s="1"/>
      <c r="I139" s="3" t="s">
        <v>851</v>
      </c>
      <c r="J139" s="356" t="n">
        <f aca="false">SUBTOTAL(4,J15:J135)</f>
        <v>7.61643835616438</v>
      </c>
      <c r="K139" s="405" t="n">
        <f aca="false">SUBTOTAL(4,K15:K135)</f>
        <v>45332</v>
      </c>
      <c r="L139" s="356" t="n">
        <f aca="false">SUBTOTAL(4,L15:L135)</f>
        <v>94.9</v>
      </c>
      <c r="M139" s="356" t="n">
        <f aca="false">SUBTOTAL(4,M15:M135)</f>
        <v>4</v>
      </c>
      <c r="N139" s="356"/>
      <c r="O139" s="356" t="n">
        <f aca="false">SUBTOTAL(4,O15:O135)</f>
        <v>232</v>
      </c>
      <c r="P139" s="356" t="n">
        <f aca="false">SUBTOTAL(4,P15:P135)</f>
        <v>397</v>
      </c>
      <c r="Q139" s="356" t="n">
        <f aca="false">SUBTOTAL(4,Q15:Q135)</f>
        <v>3516</v>
      </c>
      <c r="R139" s="356" t="n">
        <f aca="false">SUBTOTAL(4,R15:R135)</f>
        <v>3277</v>
      </c>
      <c r="S139" s="356" t="n">
        <f aca="false">SUBTOTAL(4,S15:S135)</f>
        <v>2641</v>
      </c>
      <c r="T139" s="356" t="n">
        <f aca="false">SUBTOTAL(4,T15:T135)</f>
        <v>2848</v>
      </c>
      <c r="U139" s="356" t="n">
        <f aca="false">SUBTOTAL(4,U15:U135)</f>
        <v>2604</v>
      </c>
      <c r="V139" s="356" t="n">
        <f aca="false">SUBTOTAL(4,V15:V135)</f>
        <v>2431</v>
      </c>
      <c r="W139" s="356" t="n">
        <f aca="false">SUBTOTAL(4,W15:W135)</f>
        <v>261</v>
      </c>
      <c r="X139" s="356"/>
      <c r="Y139" s="356" t="n">
        <f aca="false">SUBTOTAL(4,Y15:Y135)</f>
        <v>0.961295195897975</v>
      </c>
      <c r="Z139" s="1"/>
      <c r="AA139" s="356" t="n">
        <f aca="false">SUBTOTAL(4,AA15:AA135)</f>
        <v>0.997815134382357</v>
      </c>
      <c r="AB139" s="209"/>
      <c r="AC139" s="1"/>
      <c r="AD139" s="406" t="n">
        <f aca="false">SUBTOTAL(4,AD15:AD135)</f>
        <v>45435.7987152778</v>
      </c>
      <c r="AE139" s="406" t="n">
        <f aca="false">SUBTOTAL(4,AE15:AE135)</f>
        <v>45444.5921064815</v>
      </c>
      <c r="AF139" s="356" t="n">
        <f aca="false">SUBTOTAL(4,AF15:AF135)</f>
        <v>266.829444444444</v>
      </c>
      <c r="AG139" s="406" t="n">
        <f aca="false">SUBTOTAL(4,AG15:AG135)</f>
        <v>45445.5759837963</v>
      </c>
      <c r="AH139" s="406" t="n">
        <f aca="false">SUBTOTAL(4,AH15:AH135)</f>
        <v>45445.5759837963</v>
      </c>
      <c r="AI139" s="356" t="n">
        <f aca="false">SUBTOTAL(4,AI15:AI135)</f>
        <v>53.0016666666667</v>
      </c>
      <c r="AJ139" s="356" t="n">
        <f aca="false">SUBTOTAL(4,AJ15:AJ135)</f>
        <v>53.0016666665906</v>
      </c>
      <c r="AK139" s="406" t="n">
        <f aca="false">SUBTOTAL(4,AK15:AK135)</f>
        <v>45444.5920717593</v>
      </c>
      <c r="AL139" s="406" t="n">
        <f aca="false">SUBTOTAL(4,AL15:AL135)</f>
        <v>45444.5921064815</v>
      </c>
      <c r="AM139" s="356" t="n">
        <f aca="false">SUBTOTAL(4,AM15:AM135)</f>
        <v>0.000833333333333333</v>
      </c>
      <c r="AN139" s="356" t="n">
        <f aca="false">SUBTOTAL(4,AN15:AN135)</f>
        <v>1</v>
      </c>
      <c r="AO139" s="356" t="n">
        <f aca="false">SUBTOTAL(4,AO15:AO135)</f>
        <v>294.323611111111</v>
      </c>
      <c r="AP139" s="356" t="n">
        <f aca="false">SUBTOTAL(4,AP15:AP135)</f>
        <v>329.323611111111</v>
      </c>
      <c r="AQ139" s="356" t="n">
        <f aca="false">SUBTOTAL(4,AQ15:AQ135)</f>
        <v>81</v>
      </c>
      <c r="AR139" s="356" t="n">
        <f aca="false">SUBTOTAL(4,AR15:AR135)</f>
        <v>4</v>
      </c>
      <c r="AS139" s="356"/>
      <c r="AT139" s="356"/>
      <c r="AU139" s="356"/>
      <c r="AV139" s="1"/>
      <c r="AW139" s="406" t="n">
        <f aca="false">SUBTOTAL(4,AW15:AW135)</f>
        <v>45450.7462731482</v>
      </c>
      <c r="AX139" s="406" t="n">
        <f aca="false">SUBTOTAL(4,AX15:AX135)</f>
        <v>45456.6231018519</v>
      </c>
      <c r="AY139" s="356" t="n">
        <f aca="false">SUBTOTAL(4,AY15:AY135)</f>
        <v>185.134722222222</v>
      </c>
      <c r="AZ139" s="406" t="n">
        <f aca="false">SUBTOTAL(4,AZ15:AZ135)</f>
        <v>45461.7336342593</v>
      </c>
      <c r="BA139" s="406" t="n">
        <f aca="false">SUBTOTAL(4,BA15:BA135)</f>
        <v>45461.7336342593</v>
      </c>
      <c r="BB139" s="356" t="n">
        <f aca="false">SUBTOTAL(4,BB15:BB135)</f>
        <v>48.2380555555556</v>
      </c>
      <c r="BC139" s="356" t="n">
        <f aca="false">SUBTOTAL(4,BC15:BC135)</f>
        <v>48.2380555554992</v>
      </c>
      <c r="BD139" s="406" t="n">
        <f aca="false">SUBTOTAL(4,BD15:BD135)</f>
        <v>45456.4585532407</v>
      </c>
      <c r="BE139" s="406" t="n">
        <f aca="false">SUBTOTAL(4,BE15:BE135)</f>
        <v>45456.4585763889</v>
      </c>
      <c r="BF139" s="356" t="n">
        <f aca="false">SUBTOTAL(4,BF15:BF135)</f>
        <v>0.000555555555555556</v>
      </c>
      <c r="BG139" s="356" t="n">
        <f aca="false">SUBTOTAL(4,BG15:BG135)</f>
        <v>1</v>
      </c>
      <c r="BH139" s="356" t="n">
        <f aca="false">SUBTOTAL(4,BH15:BH135)</f>
        <v>126</v>
      </c>
      <c r="BI139" s="356" t="n">
        <f aca="false">SUBTOTAL(4,BI15:BI135)</f>
        <v>4</v>
      </c>
      <c r="BJ139" s="1"/>
      <c r="BK139" s="356" t="n">
        <f aca="false">SUBTOTAL(4,BK15:BK135)</f>
        <v>3</v>
      </c>
      <c r="BL139" s="1"/>
      <c r="BM139" s="1"/>
      <c r="BN139" s="396"/>
      <c r="BO139" s="356" t="n">
        <f aca="false">SUBTOTAL(4,BO15:BO135)</f>
        <v>2</v>
      </c>
      <c r="BP139" s="405" t="n">
        <f aca="false">SUBTOTAL(4,BP15:BP135)</f>
        <v>45667</v>
      </c>
      <c r="BQ139" s="1"/>
      <c r="BR139" s="356" t="n">
        <f aca="false">SUBTOTAL(4,BR15:BR135)</f>
        <v>231.375</v>
      </c>
      <c r="BS139" s="356"/>
      <c r="BT139" s="356"/>
      <c r="BU139" s="356" t="n">
        <f aca="false">SUBTOTAL(4,BU15:BU135)</f>
        <v>7.5359</v>
      </c>
      <c r="BV139" s="356" t="n">
        <f aca="false">SUBTOTAL(4,BV15:BV135)</f>
        <v>7.1759</v>
      </c>
      <c r="BW139" s="356" t="n">
        <f aca="false">SUBTOTAL(4,BW15:BW135)</f>
        <v>9.1813</v>
      </c>
      <c r="BX139" s="356" t="n">
        <f aca="false">SUBTOTAL(4,BX15:BX135)</f>
        <v>7.4524</v>
      </c>
      <c r="BY139" s="356" t="n">
        <f aca="false">SUBTOTAL(4,BY15:BY135)</f>
        <v>9.6002</v>
      </c>
      <c r="BZ139" s="356" t="n">
        <f aca="false">SUBTOTAL(4,BZ15:BZ135)</f>
        <v>9.4</v>
      </c>
      <c r="CA139" s="356" t="n">
        <f aca="false">SUBTOTAL(4,CA15:CA135)</f>
        <v>7.8997</v>
      </c>
      <c r="CB139" s="356" t="n">
        <f aca="false">SUBTOTAL(4,CB15:CB135)</f>
        <v>9.4282</v>
      </c>
      <c r="CC139" s="356" t="n">
        <f aca="false">SUBTOTAL(4,CC15:CC135)</f>
        <v>5.9432</v>
      </c>
      <c r="CD139" s="356" t="n">
        <f aca="false">SUBTOTAL(4,CD15:CD135)</f>
        <v>7.5823</v>
      </c>
      <c r="CE139" s="356" t="n">
        <f aca="false">SUBTOTAL(4,CE15:CE135)</f>
        <v>8.6972</v>
      </c>
      <c r="CF139" s="399"/>
      <c r="CG139" s="399"/>
      <c r="CH139" s="399"/>
      <c r="CI139" s="399"/>
      <c r="CJ139" s="399"/>
      <c r="CK139" s="399"/>
      <c r="CL139" s="399"/>
      <c r="CM139" s="399"/>
      <c r="CN139" s="399"/>
      <c r="CO139" s="399"/>
      <c r="CP139" s="356"/>
      <c r="CQ139" s="356" t="n">
        <f aca="false">SUBTOTAL(4,CQ15:CQ135)</f>
        <v>7</v>
      </c>
      <c r="CR139" s="356" t="n">
        <f aca="false">SUBTOTAL(4,CR15:CR135)</f>
        <v>120</v>
      </c>
      <c r="CS139" s="406" t="n">
        <f aca="false">SUBTOTAL(4,CS15:CS135)</f>
        <v>45438.25</v>
      </c>
      <c r="CT139" s="356" t="n">
        <f aca="false">SUBTOTAL(4,CT15:CT135)</f>
        <v>2.5</v>
      </c>
      <c r="CU139" s="356" t="n">
        <f aca="false">SUBTOTAL(4,CU15:CU135)</f>
        <v>1.095</v>
      </c>
      <c r="CV139" s="356" t="n">
        <f aca="false">SUBTOTAL(4,CV15:CV135)</f>
        <v>83.9508333333333</v>
      </c>
      <c r="CW139" s="356"/>
      <c r="CX139" s="356" t="n">
        <f aca="false">SUBTOTAL(4,CX15:CX135)</f>
        <v>21</v>
      </c>
      <c r="CY139" s="1"/>
      <c r="CZ139" s="1"/>
      <c r="DA139" s="209"/>
      <c r="DB139" s="209"/>
      <c r="DC139" s="3" t="s">
        <v>851</v>
      </c>
      <c r="DD139" s="1"/>
      <c r="DE139" s="1"/>
      <c r="DF139" s="1"/>
      <c r="DG139" s="1"/>
      <c r="DH139" s="1"/>
      <c r="DI139" s="1"/>
    </row>
    <row r="140" s="400" customFormat="true" ht="15" hidden="false" customHeight="false" outlineLevel="0" collapsed="false">
      <c r="A140" s="1"/>
      <c r="B140" s="209"/>
      <c r="C140" s="209"/>
      <c r="D140" s="209"/>
      <c r="E140" s="209"/>
      <c r="F140" s="8"/>
      <c r="G140" s="1"/>
      <c r="H140" s="1"/>
      <c r="I140" s="3" t="s">
        <v>852</v>
      </c>
      <c r="J140" s="356" t="n">
        <f aca="false">J139-J138</f>
        <v>6.01917808219178</v>
      </c>
      <c r="K140" s="356" t="n">
        <f aca="false">K139-K138</f>
        <v>131</v>
      </c>
      <c r="L140" s="356" t="n">
        <f aca="false">L139-L138</f>
        <v>51.7</v>
      </c>
      <c r="M140" s="356" t="n">
        <f aca="false">M139-M138</f>
        <v>1.5</v>
      </c>
      <c r="N140" s="356"/>
      <c r="O140" s="356" t="n">
        <f aca="false">O139-O138</f>
        <v>131</v>
      </c>
      <c r="P140" s="356" t="n">
        <f aca="false">P139-P138</f>
        <v>328</v>
      </c>
      <c r="Q140" s="356" t="n">
        <f aca="false">Q139-Q138</f>
        <v>3516</v>
      </c>
      <c r="R140" s="356" t="n">
        <f aca="false">R139-R138</f>
        <v>3277</v>
      </c>
      <c r="S140" s="356" t="n">
        <f aca="false">S139-S138</f>
        <v>2641</v>
      </c>
      <c r="T140" s="356" t="n">
        <f aca="false">T139-T138</f>
        <v>2848</v>
      </c>
      <c r="U140" s="356" t="n">
        <f aca="false">U139-U138</f>
        <v>2101</v>
      </c>
      <c r="V140" s="356" t="n">
        <f aca="false">V139-V138</f>
        <v>2145</v>
      </c>
      <c r="W140" s="356" t="n">
        <f aca="false">W139-W138</f>
        <v>597</v>
      </c>
      <c r="X140" s="356"/>
      <c r="Y140" s="356" t="n">
        <f aca="false">Y139-Y138</f>
        <v>0.88204077422972</v>
      </c>
      <c r="Z140" s="1"/>
      <c r="AA140" s="356" t="n">
        <f aca="false">AA139-AA138</f>
        <v>0.949073242769236</v>
      </c>
      <c r="AB140" s="209"/>
      <c r="AC140" s="1"/>
      <c r="AD140" s="356" t="n">
        <f aca="false">AD139-AD138</f>
        <v>2.32450231481482</v>
      </c>
      <c r="AE140" s="356" t="n">
        <f aca="false">AE139-AE138</f>
        <v>2.01378472222222</v>
      </c>
      <c r="AF140" s="356" t="n">
        <f aca="false">AF139-AF138</f>
        <v>104.118888888889</v>
      </c>
      <c r="AG140" s="356" t="n">
        <f aca="false">AG139-AG138</f>
        <v>12.1017708333333</v>
      </c>
      <c r="AH140" s="356" t="n">
        <f aca="false">AH139-AH138</f>
        <v>11.3073726851852</v>
      </c>
      <c r="AI140" s="356" t="n">
        <f aca="false">AI139-AI138</f>
        <v>53.0016666666667</v>
      </c>
      <c r="AJ140" s="356" t="n">
        <f aca="false">AJ139-AJ138</f>
        <v>52.0016666665906</v>
      </c>
      <c r="AK140" s="356" t="n">
        <f aca="false">AK139-AK138</f>
        <v>2.01375</v>
      </c>
      <c r="AL140" s="356" t="n">
        <f aca="false">AL139-AL138</f>
        <v>2.01378472222222</v>
      </c>
      <c r="AM140" s="356" t="n">
        <f aca="false">AM139-AM138</f>
        <v>0.000833333333333333</v>
      </c>
      <c r="AN140" s="356" t="n">
        <f aca="false">AN139-AN138</f>
        <v>0</v>
      </c>
      <c r="AO140" s="356" t="n">
        <f aca="false">AO139-AO138</f>
        <v>290.4425</v>
      </c>
      <c r="AP140" s="356" t="n">
        <f aca="false">AP139-AP138</f>
        <v>290.4425</v>
      </c>
      <c r="AQ140" s="356" t="n">
        <f aca="false">AQ139-AQ138</f>
        <v>80</v>
      </c>
      <c r="AR140" s="356" t="n">
        <f aca="false">AR139-AR138</f>
        <v>3</v>
      </c>
      <c r="AS140" s="356"/>
      <c r="AT140" s="356"/>
      <c r="AU140" s="356"/>
      <c r="AV140" s="1"/>
      <c r="AW140" s="356" t="n">
        <f aca="false">AW139-AW138</f>
        <v>4.25581018518519</v>
      </c>
      <c r="AX140" s="356" t="n">
        <f aca="false">AX139-AX138</f>
        <v>3.88297453703704</v>
      </c>
      <c r="AY140" s="356" t="n">
        <f aca="false">AY139-AY138</f>
        <v>137.282222222222</v>
      </c>
      <c r="AZ140" s="356" t="n">
        <f aca="false">AZ139-AZ138</f>
        <v>15.2431712962963</v>
      </c>
      <c r="BA140" s="356" t="n">
        <f aca="false">BA139-BA138</f>
        <v>15.2431712962963</v>
      </c>
      <c r="BB140" s="356" t="n">
        <f aca="false">BB139-BB138</f>
        <v>48.2380555555556</v>
      </c>
      <c r="BC140" s="356" t="n">
        <f aca="false">BC139-BC138</f>
        <v>47.2380555554992</v>
      </c>
      <c r="BD140" s="356" t="n">
        <f aca="false">BD139-BD138</f>
        <v>2.81177083333333</v>
      </c>
      <c r="BE140" s="356" t="n">
        <f aca="false">BE139-BE138</f>
        <v>2.81179398148148</v>
      </c>
      <c r="BF140" s="356" t="n">
        <f aca="false">BF139-BF138</f>
        <v>0.000555555555555556</v>
      </c>
      <c r="BG140" s="356" t="n">
        <f aca="false">BG139-BG138</f>
        <v>0</v>
      </c>
      <c r="BH140" s="356" t="n">
        <f aca="false">BH139-BH138</f>
        <v>125</v>
      </c>
      <c r="BI140" s="356" t="n">
        <f aca="false">BI139-BI138</f>
        <v>3</v>
      </c>
      <c r="BJ140" s="1"/>
      <c r="BK140" s="356" t="n">
        <f aca="false">BK139-BK138</f>
        <v>2</v>
      </c>
      <c r="BL140" s="1"/>
      <c r="BM140" s="1"/>
      <c r="BN140" s="396"/>
      <c r="BO140" s="356" t="n">
        <f aca="false">BO139-BO138</f>
        <v>1</v>
      </c>
      <c r="BP140" s="356" t="n">
        <f aca="false">BP139-BP138</f>
        <v>88</v>
      </c>
      <c r="BQ140" s="1"/>
      <c r="BR140" s="356" t="n">
        <f aca="false">BR139-BR138</f>
        <v>88</v>
      </c>
      <c r="BS140" s="356"/>
      <c r="BT140" s="356"/>
      <c r="BU140" s="356" t="n">
        <f aca="false">BU139-BU138</f>
        <v>7.3359</v>
      </c>
      <c r="BV140" s="356" t="n">
        <f aca="false">BV139-BV138</f>
        <v>6.9759</v>
      </c>
      <c r="BW140" s="356" t="n">
        <f aca="false">BW139-BW138</f>
        <v>8.9813</v>
      </c>
      <c r="BX140" s="356" t="n">
        <f aca="false">BX139-BX138</f>
        <v>7.2524</v>
      </c>
      <c r="BY140" s="356" t="n">
        <f aca="false">BY139-BY138</f>
        <v>9.4002</v>
      </c>
      <c r="BZ140" s="356" t="n">
        <f aca="false">BZ139-BZ138</f>
        <v>9.2</v>
      </c>
      <c r="CA140" s="356" t="n">
        <f aca="false">CA139-CA138</f>
        <v>7.6997</v>
      </c>
      <c r="CB140" s="356" t="n">
        <f aca="false">CB139-CB138</f>
        <v>9.2282</v>
      </c>
      <c r="CC140" s="356" t="n">
        <f aca="false">CC139-CC138</f>
        <v>5.7432</v>
      </c>
      <c r="CD140" s="356" t="n">
        <f aca="false">CD139-CD138</f>
        <v>7.3823</v>
      </c>
      <c r="CE140" s="356" t="n">
        <f aca="false">CE139-CE138</f>
        <v>8.4972</v>
      </c>
      <c r="CF140" s="399"/>
      <c r="CG140" s="399"/>
      <c r="CH140" s="399"/>
      <c r="CI140" s="399"/>
      <c r="CJ140" s="399"/>
      <c r="CK140" s="399"/>
      <c r="CL140" s="399"/>
      <c r="CM140" s="399"/>
      <c r="CN140" s="399"/>
      <c r="CO140" s="399"/>
      <c r="CP140" s="356"/>
      <c r="CQ140" s="356" t="n">
        <f aca="false">CQ139-CQ138</f>
        <v>4</v>
      </c>
      <c r="CR140" s="356" t="n">
        <f aca="false">CR139-CR138</f>
        <v>84</v>
      </c>
      <c r="CS140" s="356" t="n">
        <f aca="false">CS139-CS138</f>
        <v>3.5</v>
      </c>
      <c r="CT140" s="356" t="n">
        <f aca="false">CT139-CT138</f>
        <v>2</v>
      </c>
      <c r="CU140" s="356" t="n">
        <f aca="false">CU139-CU138</f>
        <v>0.98184</v>
      </c>
      <c r="CV140" s="356" t="n">
        <f aca="false">CV139-CV138</f>
        <v>307.774444444517</v>
      </c>
      <c r="CW140" s="356"/>
      <c r="CX140" s="356" t="n">
        <f aca="false">CX139-CX138</f>
        <v>84</v>
      </c>
      <c r="CY140" s="1"/>
      <c r="CZ140" s="1"/>
      <c r="DA140" s="209"/>
      <c r="DB140" s="209"/>
      <c r="DC140" s="3" t="s">
        <v>852</v>
      </c>
      <c r="DD140" s="1"/>
      <c r="DE140" s="1"/>
      <c r="DF140" s="1"/>
      <c r="DG140" s="1"/>
      <c r="DH140" s="1"/>
      <c r="DI140" s="1"/>
    </row>
    <row r="141" s="400" customFormat="true" ht="15" hidden="false" customHeight="false" outlineLevel="0" collapsed="false">
      <c r="B141" s="407"/>
      <c r="C141" s="407"/>
      <c r="D141" s="407"/>
      <c r="E141" s="407"/>
      <c r="F141" s="408"/>
      <c r="L141" s="409"/>
      <c r="M141" s="409"/>
      <c r="N141" s="409"/>
      <c r="W141" s="408"/>
      <c r="AB141" s="407"/>
      <c r="BN141" s="410"/>
      <c r="BU141" s="411"/>
      <c r="BV141" s="411"/>
      <c r="BW141" s="412"/>
      <c r="BX141" s="412"/>
      <c r="BY141" s="412"/>
      <c r="BZ141" s="412"/>
      <c r="CA141" s="412"/>
      <c r="CB141" s="412"/>
      <c r="CC141" s="412"/>
      <c r="CD141" s="412"/>
      <c r="CE141" s="412"/>
      <c r="CF141" s="413"/>
      <c r="CG141" s="413"/>
      <c r="CH141" s="413"/>
      <c r="CI141" s="413"/>
      <c r="CJ141" s="413"/>
      <c r="CK141" s="413"/>
      <c r="CL141" s="413"/>
      <c r="CM141" s="413"/>
      <c r="CN141" s="413"/>
      <c r="CO141" s="413"/>
      <c r="CP141" s="413"/>
      <c r="CQ141" s="410"/>
      <c r="CR141" s="410"/>
      <c r="CS141" s="410"/>
      <c r="CT141" s="410"/>
      <c r="CU141" s="410"/>
      <c r="CV141" s="410"/>
      <c r="CW141" s="410"/>
      <c r="CX141" s="410"/>
      <c r="DA141" s="407"/>
      <c r="DB141" s="407"/>
    </row>
    <row r="142" s="400" customFormat="true" ht="15" hidden="false" customHeight="false" outlineLevel="0" collapsed="false">
      <c r="B142" s="407"/>
      <c r="C142" s="407"/>
      <c r="D142" s="407"/>
      <c r="E142" s="407"/>
      <c r="F142" s="408"/>
      <c r="H142" s="414" t="s">
        <v>853</v>
      </c>
      <c r="I142" s="415" t="s">
        <v>846</v>
      </c>
      <c r="J142" s="416" t="n">
        <v>4.05228310502283</v>
      </c>
      <c r="K142" s="417" t="n">
        <v>45224</v>
      </c>
      <c r="L142" s="416" t="n">
        <v>68.5816666666667</v>
      </c>
      <c r="M142" s="416" t="n">
        <v>3.29583333333333</v>
      </c>
      <c r="N142" s="416"/>
      <c r="O142" s="416" t="n">
        <v>209</v>
      </c>
      <c r="P142" s="416" t="n">
        <v>268.563025210084</v>
      </c>
      <c r="Q142" s="416" t="n">
        <v>1696.84166666667</v>
      </c>
      <c r="R142" s="416" t="n">
        <v>1632.94166666667</v>
      </c>
      <c r="S142" s="416" t="n">
        <v>1700.61666666667</v>
      </c>
      <c r="T142" s="416" t="n">
        <v>1520.625</v>
      </c>
      <c r="U142" s="416" t="n">
        <v>1415.50833333333</v>
      </c>
      <c r="V142" s="416" t="n">
        <v>1286.35833333333</v>
      </c>
      <c r="W142" s="412" t="n">
        <v>-53.3083333333333</v>
      </c>
      <c r="Y142" s="416" t="n">
        <v>0.685287147056098</v>
      </c>
      <c r="AA142" s="416" t="n">
        <v>0.79744709700589</v>
      </c>
      <c r="AB142" s="407"/>
      <c r="AC142" s="415"/>
      <c r="AD142" s="418" t="n">
        <v>45434.6197048611</v>
      </c>
      <c r="AE142" s="418" t="n">
        <v>45443.6022193287</v>
      </c>
      <c r="AF142" s="416" t="n">
        <v>215.580347222305</v>
      </c>
      <c r="AG142" s="418" t="n">
        <v>45435.4922024208</v>
      </c>
      <c r="AH142" s="418" t="n">
        <v>45435.8825290049</v>
      </c>
      <c r="AI142" s="416" t="n">
        <v>9.36783801874634</v>
      </c>
      <c r="AJ142" s="416" t="n">
        <v>9.71869143239764</v>
      </c>
      <c r="AK142" s="418" t="n">
        <v>45443.6022106482</v>
      </c>
      <c r="AL142" s="418" t="n">
        <v>45443.6022193287</v>
      </c>
      <c r="AM142" s="416" t="n">
        <v>0.000208333338377997</v>
      </c>
      <c r="AN142" s="416" t="n">
        <v>1</v>
      </c>
      <c r="AO142" s="416" t="n">
        <v>52.3128580990562</v>
      </c>
      <c r="AP142" s="416" t="n">
        <v>87.3128580990562</v>
      </c>
      <c r="AQ142" s="416" t="n">
        <v>8.13253012048193</v>
      </c>
      <c r="AR142" s="416" t="n">
        <v>1.51851851851852</v>
      </c>
      <c r="AS142" s="416"/>
      <c r="AT142" s="418"/>
      <c r="AU142" s="416"/>
      <c r="AW142" s="418" t="n">
        <v>45449.431554784</v>
      </c>
      <c r="AX142" s="418" t="n">
        <v>45454.7249594907</v>
      </c>
      <c r="AY142" s="416" t="n">
        <v>127.041712962964</v>
      </c>
      <c r="AZ142" s="418" t="n">
        <v>45453.9836467236</v>
      </c>
      <c r="BA142" s="418" t="n">
        <v>45454.3944845085</v>
      </c>
      <c r="BB142" s="416" t="n">
        <v>9.8601068375921</v>
      </c>
      <c r="BC142" s="416" t="n">
        <v>10.2540170940069</v>
      </c>
      <c r="BD142" s="418" t="n">
        <v>45455.0526678241</v>
      </c>
      <c r="BE142" s="418" t="n">
        <v>45455.0526793982</v>
      </c>
      <c r="BF142" s="416" t="n">
        <v>0.000277777755400166</v>
      </c>
      <c r="BG142" s="416" t="n">
        <v>1</v>
      </c>
      <c r="BH142" s="416" t="n">
        <v>18.5961538461538</v>
      </c>
      <c r="BI142" s="416" t="n">
        <v>1.7843137254902</v>
      </c>
      <c r="BJ142" s="415"/>
      <c r="BK142" s="416" t="n">
        <v>1.42168674698795</v>
      </c>
      <c r="BL142" s="415"/>
      <c r="BM142" s="415"/>
      <c r="BN142" s="418"/>
      <c r="BO142" s="416" t="n">
        <v>1.41071428571429</v>
      </c>
      <c r="BP142" s="417" t="n">
        <v>45591.1964285714</v>
      </c>
      <c r="BQ142" s="418"/>
      <c r="BR142" s="416" t="n">
        <v>155.571428571429</v>
      </c>
      <c r="BS142" s="416"/>
      <c r="BT142" s="416"/>
      <c r="BU142" s="416" t="n">
        <v>0.686338416666668</v>
      </c>
      <c r="BV142" s="416" t="n">
        <v>0.884328666666668</v>
      </c>
      <c r="BW142" s="416" t="n">
        <v>0.394766083333334</v>
      </c>
      <c r="BX142" s="416" t="n">
        <v>0.390340541666667</v>
      </c>
      <c r="BY142" s="416" t="n">
        <v>0.453585750000001</v>
      </c>
      <c r="BZ142" s="416" t="n">
        <v>0.447001375000001</v>
      </c>
      <c r="CA142" s="416" t="n">
        <v>0.583540041666667</v>
      </c>
      <c r="CB142" s="416" t="n">
        <v>0.883684333333334</v>
      </c>
      <c r="CC142" s="416" t="n">
        <v>1.31102816666667</v>
      </c>
      <c r="CD142" s="416" t="n">
        <v>1.70914641666667</v>
      </c>
      <c r="CE142" s="416" t="n">
        <v>1.83121191666667</v>
      </c>
      <c r="CQ142" s="400" t="n">
        <v>5</v>
      </c>
      <c r="CR142" s="416" t="n">
        <v>58.0183486238532</v>
      </c>
      <c r="CS142" s="418" t="n">
        <v>45435.6674311927</v>
      </c>
      <c r="CT142" s="416" t="n">
        <v>1.47641509433962</v>
      </c>
      <c r="CU142" s="416" t="n">
        <v>0.408904770642202</v>
      </c>
      <c r="CV142" s="416" t="n">
        <v>4.07452083333992</v>
      </c>
      <c r="CW142" s="416"/>
      <c r="CX142" s="416" t="n">
        <v>-1.01834862385321</v>
      </c>
      <c r="CY142" s="415"/>
      <c r="DA142" s="407"/>
      <c r="DB142" s="407"/>
      <c r="DC142" s="414" t="s">
        <v>846</v>
      </c>
      <c r="DD142" s="415"/>
    </row>
    <row r="143" s="400" customFormat="true" ht="15" hidden="false" customHeight="false" outlineLevel="0" collapsed="false">
      <c r="B143" s="407"/>
      <c r="C143" s="407"/>
      <c r="D143" s="407"/>
      <c r="E143" s="407"/>
      <c r="F143" s="408"/>
      <c r="I143" s="415" t="s">
        <v>847</v>
      </c>
      <c r="J143" s="416" t="n">
        <v>1.74171762282899</v>
      </c>
      <c r="K143" s="416" t="n">
        <v>32.5898886211066</v>
      </c>
      <c r="L143" s="416" t="n">
        <v>9.34047830756048</v>
      </c>
      <c r="M143" s="416" t="n">
        <v>0.384826891854868</v>
      </c>
      <c r="N143" s="416"/>
      <c r="O143" s="416" t="n">
        <v>32.5898886211066</v>
      </c>
      <c r="P143" s="416" t="n">
        <v>70.4006257983865</v>
      </c>
      <c r="Q143" s="416" t="n">
        <v>1290.89575437735</v>
      </c>
      <c r="R143" s="416" t="n">
        <v>935.152342739755</v>
      </c>
      <c r="S143" s="416" t="n">
        <v>669.818992021598</v>
      </c>
      <c r="T143" s="416" t="n">
        <v>540.498448174453</v>
      </c>
      <c r="U143" s="416" t="n">
        <v>355.968863614144</v>
      </c>
      <c r="V143" s="416" t="n">
        <v>354.448151874074</v>
      </c>
      <c r="W143" s="412" t="n">
        <v>89.5869884603817</v>
      </c>
      <c r="Y143" s="416" t="n">
        <v>0.213446227985915</v>
      </c>
      <c r="AA143" s="416" t="n">
        <v>0.242169155358675</v>
      </c>
      <c r="AB143" s="407"/>
      <c r="AC143" s="415"/>
      <c r="AD143" s="416" t="n">
        <v>1.17626958001272</v>
      </c>
      <c r="AE143" s="416" t="n">
        <v>0.822625232041664</v>
      </c>
      <c r="AF143" s="416" t="n">
        <v>45.4882813977245</v>
      </c>
      <c r="AG143" s="416" t="n">
        <v>1.61896835308634</v>
      </c>
      <c r="AH143" s="416" t="n">
        <v>1.50054767130192</v>
      </c>
      <c r="AI143" s="416" t="n">
        <v>12.2993348267357</v>
      </c>
      <c r="AJ143" s="416" t="n">
        <v>12.035826333926</v>
      </c>
      <c r="AK143" s="416" t="n">
        <v>0.822611304710792</v>
      </c>
      <c r="AL143" s="416" t="n">
        <v>0.822625232041664</v>
      </c>
      <c r="AM143" s="416" t="n">
        <v>0.000416666676755995</v>
      </c>
      <c r="AN143" s="416" t="n">
        <v>0</v>
      </c>
      <c r="AO143" s="416" t="n">
        <v>38.8552404740722</v>
      </c>
      <c r="AP143" s="416" t="n">
        <v>38.8552404740721</v>
      </c>
      <c r="AQ143" s="416" t="n">
        <v>11.6595727281642</v>
      </c>
      <c r="AR143" s="416" t="n">
        <v>0.634647758821992</v>
      </c>
      <c r="AS143" s="416"/>
      <c r="AT143" s="416"/>
      <c r="AU143" s="416"/>
      <c r="AW143" s="416" t="n">
        <v>1.63468818181007</v>
      </c>
      <c r="AX143" s="416" t="n">
        <v>1.67920219299923</v>
      </c>
      <c r="AY143" s="416" t="n">
        <v>58.7034717258693</v>
      </c>
      <c r="AZ143" s="416" t="n">
        <v>3.82437261933518</v>
      </c>
      <c r="BA143" s="416" t="n">
        <v>3.77883436571394</v>
      </c>
      <c r="BB143" s="416" t="n">
        <v>11.7834222447013</v>
      </c>
      <c r="BC143" s="416" t="n">
        <v>11.4532586114189</v>
      </c>
      <c r="BD143" s="416" t="n">
        <v>1.9882222233955</v>
      </c>
      <c r="BE143" s="416" t="n">
        <v>1.98823859160671</v>
      </c>
      <c r="BF143" s="416" t="n">
        <v>0.000392837069012471</v>
      </c>
      <c r="BG143" s="416" t="n">
        <v>0</v>
      </c>
      <c r="BH143" s="416" t="n">
        <v>26.1520888194983</v>
      </c>
      <c r="BI143" s="416" t="n">
        <v>0.901415009641976</v>
      </c>
      <c r="BJ143" s="415"/>
      <c r="BK143" s="416" t="n">
        <v>0.543710870253641</v>
      </c>
      <c r="BL143" s="415"/>
      <c r="BM143" s="415"/>
      <c r="BN143" s="416"/>
      <c r="BO143" s="416" t="n">
        <v>0.494174558439115</v>
      </c>
      <c r="BP143" s="416" t="n">
        <v>16.0179174933473</v>
      </c>
      <c r="BQ143" s="416"/>
      <c r="BR143" s="416" t="n">
        <v>16.0179174933473</v>
      </c>
      <c r="BS143" s="416"/>
      <c r="BT143" s="416"/>
      <c r="BU143" s="416" t="n">
        <v>1.09574485054649</v>
      </c>
      <c r="BV143" s="416" t="n">
        <v>1.31850306183584</v>
      </c>
      <c r="BW143" s="416" t="n">
        <v>0.861134798602126</v>
      </c>
      <c r="BX143" s="416" t="n">
        <v>0.706855414106149</v>
      </c>
      <c r="BY143" s="416" t="n">
        <v>0.909655521729451</v>
      </c>
      <c r="BZ143" s="416" t="n">
        <v>0.901592323358313</v>
      </c>
      <c r="CA143" s="416" t="n">
        <v>0.838496440955075</v>
      </c>
      <c r="CB143" s="416" t="n">
        <v>1.04830458958377</v>
      </c>
      <c r="CC143" s="416" t="n">
        <v>1.02165348536394</v>
      </c>
      <c r="CD143" s="416" t="n">
        <v>1.34051457400783</v>
      </c>
      <c r="CE143" s="416" t="n">
        <v>1.55466502504872</v>
      </c>
      <c r="CQ143" s="400" t="n">
        <v>0.974679434480896</v>
      </c>
      <c r="CR143" s="416" t="n">
        <v>15.9594286838337</v>
      </c>
      <c r="CS143" s="416" t="n">
        <v>0.664976195159736</v>
      </c>
      <c r="CT143" s="416" t="n">
        <v>0.464871080294097</v>
      </c>
      <c r="CU143" s="416" t="n">
        <v>0.203863768417358</v>
      </c>
      <c r="CV143" s="416" t="n">
        <v>37.5763173890201</v>
      </c>
      <c r="CW143" s="416"/>
      <c r="CX143" s="416" t="n">
        <v>15.9594286838337</v>
      </c>
      <c r="CY143" s="415"/>
      <c r="DA143" s="407"/>
      <c r="DB143" s="407"/>
      <c r="DC143" s="400" t="s">
        <v>847</v>
      </c>
      <c r="DD143" s="415"/>
    </row>
    <row r="144" s="400" customFormat="true" ht="15" hidden="false" customHeight="false" outlineLevel="0" collapsed="false">
      <c r="B144" s="407"/>
      <c r="C144" s="407"/>
      <c r="D144" s="407"/>
      <c r="E144" s="407"/>
      <c r="F144" s="408"/>
      <c r="I144" s="415" t="s">
        <v>848</v>
      </c>
      <c r="J144" s="416" t="n">
        <v>0.158996338471286</v>
      </c>
      <c r="K144" s="416" t="n">
        <v>2.97503619072684</v>
      </c>
      <c r="L144" s="416" t="n">
        <v>0.852665111156425</v>
      </c>
      <c r="M144" s="416" t="n">
        <v>0.0351297282339187</v>
      </c>
      <c r="N144" s="416"/>
      <c r="O144" s="416" t="n">
        <v>2.97503619072684</v>
      </c>
      <c r="P144" s="416" t="n">
        <v>6.42666846870941</v>
      </c>
      <c r="Q144" s="416" t="n">
        <v>117.842120676687</v>
      </c>
      <c r="R144" s="416" t="n">
        <v>85.3673388037277</v>
      </c>
      <c r="S144" s="416" t="n">
        <v>61.1458285626003</v>
      </c>
      <c r="T144" s="416" t="n">
        <v>49.3405320602808</v>
      </c>
      <c r="U144" s="416" t="n">
        <v>32.4953627284911</v>
      </c>
      <c r="V144" s="416" t="n">
        <v>32.3565413745746</v>
      </c>
      <c r="W144" s="412" t="n">
        <v>8.17813573978434</v>
      </c>
      <c r="Y144" s="416" t="n">
        <v>0.019566583639103</v>
      </c>
      <c r="AA144" s="416" t="n">
        <v>0.0221996100743889</v>
      </c>
      <c r="AB144" s="407"/>
      <c r="AC144" s="415"/>
      <c r="AD144" s="416" t="n">
        <v>0.588134790006359</v>
      </c>
      <c r="AE144" s="416" t="n">
        <v>0.411312616020832</v>
      </c>
      <c r="AF144" s="416" t="n">
        <v>22.7441406988623</v>
      </c>
      <c r="AG144" s="416" t="n">
        <v>0.17770486322325</v>
      </c>
      <c r="AH144" s="416" t="n">
        <v>0.164706504719708</v>
      </c>
      <c r="AI144" s="416" t="n">
        <v>1.35002738562207</v>
      </c>
      <c r="AJ144" s="416" t="n">
        <v>1.32110357090781</v>
      </c>
      <c r="AK144" s="416" t="n">
        <v>0.411305652355396</v>
      </c>
      <c r="AL144" s="416" t="n">
        <v>0.411312616020832</v>
      </c>
      <c r="AM144" s="416" t="n">
        <v>0.000208333338377997</v>
      </c>
      <c r="AN144" s="416" t="n">
        <v>0</v>
      </c>
      <c r="AO144" s="416" t="n">
        <v>4.264916717358</v>
      </c>
      <c r="AP144" s="416" t="n">
        <v>4.26491671735799</v>
      </c>
      <c r="AQ144" s="416" t="n">
        <v>1.27980437230292</v>
      </c>
      <c r="AR144" s="416" t="n">
        <v>0.070516417646888</v>
      </c>
      <c r="AS144" s="416"/>
      <c r="AT144" s="416"/>
      <c r="AU144" s="416"/>
      <c r="AW144" s="416" t="n">
        <v>0.667358655665441</v>
      </c>
      <c r="AX144" s="416" t="n">
        <v>0.685531424635104</v>
      </c>
      <c r="AY144" s="416" t="n">
        <v>23.9655919763799</v>
      </c>
      <c r="AZ144" s="416" t="n">
        <v>0.530345060595904</v>
      </c>
      <c r="BA144" s="416" t="n">
        <v>0.524030041041041</v>
      </c>
      <c r="BB144" s="416" t="n">
        <v>1.63406665783513</v>
      </c>
      <c r="BC144" s="416" t="n">
        <v>1.58828119979309</v>
      </c>
      <c r="BD144" s="416" t="n">
        <v>1.40588541666875</v>
      </c>
      <c r="BE144" s="416" t="n">
        <v>1.40589699074189</v>
      </c>
      <c r="BF144" s="416" t="n">
        <v>0.000277777755400166</v>
      </c>
      <c r="BG144" s="416" t="n">
        <v>0</v>
      </c>
      <c r="BH144" s="416" t="n">
        <v>3.62664219996883</v>
      </c>
      <c r="BI144" s="416" t="n">
        <v>0.126223348544558</v>
      </c>
      <c r="BJ144" s="415"/>
      <c r="BK144" s="416" t="n">
        <v>0.0596800213217415</v>
      </c>
      <c r="BL144" s="415"/>
      <c r="BM144" s="415"/>
      <c r="BN144" s="416"/>
      <c r="BO144" s="416" t="n">
        <v>0.0466951066387519</v>
      </c>
      <c r="BP144" s="416" t="n">
        <v>1.46222912256048</v>
      </c>
      <c r="BQ144" s="416"/>
      <c r="BR144" s="416" t="n">
        <v>1.51355093601957</v>
      </c>
      <c r="BS144" s="416"/>
      <c r="BT144" s="416"/>
      <c r="BU144" s="416" t="n">
        <v>0.10002736198574</v>
      </c>
      <c r="BV144" s="416" t="n">
        <v>0.120362311517853</v>
      </c>
      <c r="BW144" s="416" t="n">
        <v>0.0786104923745088</v>
      </c>
      <c r="BX144" s="416" t="n">
        <v>0.0645267758667656</v>
      </c>
      <c r="BY144" s="416" t="n">
        <v>0.0830398081350585</v>
      </c>
      <c r="BZ144" s="416" t="n">
        <v>0.08230374219614</v>
      </c>
      <c r="CA144" s="416" t="n">
        <v>0.0765439025164822</v>
      </c>
      <c r="CB144" s="416" t="n">
        <v>0.0956966784752048</v>
      </c>
      <c r="CC144" s="416" t="n">
        <v>0.0932637766479338</v>
      </c>
      <c r="CD144" s="416" t="n">
        <v>0.122371678474753</v>
      </c>
      <c r="CE144" s="416" t="n">
        <v>0.141920850597253</v>
      </c>
      <c r="CQ144" s="400" t="n">
        <v>0.108297714942322</v>
      </c>
      <c r="CR144" s="416" t="n">
        <v>1.52863602904883</v>
      </c>
      <c r="CS144" s="416" t="n">
        <v>0.0636931678770346</v>
      </c>
      <c r="CT144" s="416" t="n">
        <v>0.0451522708108405</v>
      </c>
      <c r="CU144" s="416" t="n">
        <v>0.0195266075994383</v>
      </c>
      <c r="CV144" s="416" t="n">
        <v>4.20116000129781</v>
      </c>
      <c r="CW144" s="416"/>
      <c r="CX144" s="416" t="n">
        <v>1.52863602904883</v>
      </c>
      <c r="CY144" s="415"/>
      <c r="DA144" s="407"/>
      <c r="DB144" s="407"/>
      <c r="DC144" s="400" t="s">
        <v>848</v>
      </c>
      <c r="DD144" s="415"/>
    </row>
    <row r="145" s="400" customFormat="true" ht="15" hidden="false" customHeight="false" outlineLevel="0" collapsed="false">
      <c r="B145" s="407"/>
      <c r="C145" s="407"/>
      <c r="D145" s="407"/>
      <c r="E145" s="407"/>
      <c r="F145" s="408"/>
      <c r="I145" s="415" t="s">
        <v>849</v>
      </c>
      <c r="J145" s="416" t="n">
        <v>120</v>
      </c>
      <c r="K145" s="416" t="n">
        <v>120</v>
      </c>
      <c r="L145" s="416" t="n">
        <v>120</v>
      </c>
      <c r="M145" s="416" t="n">
        <v>120</v>
      </c>
      <c r="N145" s="416"/>
      <c r="O145" s="416" t="n">
        <v>120</v>
      </c>
      <c r="P145" s="416" t="n">
        <v>120</v>
      </c>
      <c r="Q145" s="416" t="n">
        <v>120</v>
      </c>
      <c r="R145" s="416" t="n">
        <v>120</v>
      </c>
      <c r="S145" s="416" t="n">
        <v>120</v>
      </c>
      <c r="T145" s="416" t="n">
        <v>120</v>
      </c>
      <c r="U145" s="416" t="n">
        <v>120</v>
      </c>
      <c r="V145" s="416" t="n">
        <v>120</v>
      </c>
      <c r="W145" s="412" t="n">
        <v>120</v>
      </c>
      <c r="Y145" s="416" t="n">
        <v>119</v>
      </c>
      <c r="AA145" s="416" t="n">
        <v>119</v>
      </c>
      <c r="AB145" s="407"/>
      <c r="AC145" s="415"/>
      <c r="AD145" s="415" t="n">
        <v>4</v>
      </c>
      <c r="AE145" s="415" t="n">
        <v>4</v>
      </c>
      <c r="AF145" s="416" t="n">
        <v>4</v>
      </c>
      <c r="AG145" s="415" t="n">
        <v>83</v>
      </c>
      <c r="AH145" s="415" t="n">
        <v>83</v>
      </c>
      <c r="AI145" s="416" t="n">
        <v>83</v>
      </c>
      <c r="AJ145" s="416" t="n">
        <v>83</v>
      </c>
      <c r="AK145" s="415" t="n">
        <v>4</v>
      </c>
      <c r="AL145" s="415" t="n">
        <v>4</v>
      </c>
      <c r="AM145" s="416" t="n">
        <v>4</v>
      </c>
      <c r="AN145" s="416" t="n">
        <v>4</v>
      </c>
      <c r="AO145" s="416" t="n">
        <v>83</v>
      </c>
      <c r="AP145" s="416" t="n">
        <v>83</v>
      </c>
      <c r="AQ145" s="416" t="n">
        <v>83</v>
      </c>
      <c r="AR145" s="416" t="n">
        <v>81</v>
      </c>
      <c r="AS145" s="416"/>
      <c r="AT145" s="415"/>
      <c r="AU145" s="416"/>
      <c r="AW145" s="415" t="n">
        <v>6</v>
      </c>
      <c r="AX145" s="415" t="n">
        <v>6</v>
      </c>
      <c r="AY145" s="416" t="n">
        <v>6</v>
      </c>
      <c r="AZ145" s="415" t="n">
        <v>52</v>
      </c>
      <c r="BA145" s="415" t="n">
        <v>52</v>
      </c>
      <c r="BB145" s="416" t="n">
        <v>52</v>
      </c>
      <c r="BC145" s="416" t="n">
        <v>52</v>
      </c>
      <c r="BD145" s="415" t="n">
        <v>2</v>
      </c>
      <c r="BE145" s="415" t="n">
        <v>2</v>
      </c>
      <c r="BF145" s="416" t="n">
        <v>2</v>
      </c>
      <c r="BG145" s="416" t="n">
        <v>2</v>
      </c>
      <c r="BH145" s="416" t="n">
        <v>52</v>
      </c>
      <c r="BI145" s="416" t="n">
        <v>51</v>
      </c>
      <c r="BJ145" s="415"/>
      <c r="BK145" s="416" t="n">
        <v>83</v>
      </c>
      <c r="BL145" s="415"/>
      <c r="BM145" s="415"/>
      <c r="BN145" s="415"/>
      <c r="BO145" s="416" t="n">
        <v>112</v>
      </c>
      <c r="BP145" s="415" t="n">
        <v>120</v>
      </c>
      <c r="BQ145" s="415"/>
      <c r="BR145" s="416" t="n">
        <v>112</v>
      </c>
      <c r="BS145" s="416"/>
      <c r="BT145" s="416"/>
      <c r="BU145" s="416" t="n">
        <v>120</v>
      </c>
      <c r="BV145" s="416" t="n">
        <v>120</v>
      </c>
      <c r="BW145" s="416" t="n">
        <v>120</v>
      </c>
      <c r="BX145" s="416" t="n">
        <v>120</v>
      </c>
      <c r="BY145" s="416" t="n">
        <v>120</v>
      </c>
      <c r="BZ145" s="416" t="n">
        <v>120</v>
      </c>
      <c r="CA145" s="416" t="n">
        <v>120</v>
      </c>
      <c r="CB145" s="416" t="n">
        <v>120</v>
      </c>
      <c r="CC145" s="416" t="n">
        <v>120</v>
      </c>
      <c r="CD145" s="416" t="n">
        <v>120</v>
      </c>
      <c r="CE145" s="416" t="n">
        <v>120</v>
      </c>
      <c r="CQ145" s="400" t="n">
        <v>81</v>
      </c>
      <c r="CR145" s="416" t="n">
        <v>109</v>
      </c>
      <c r="CS145" s="415" t="n">
        <v>109</v>
      </c>
      <c r="CT145" s="416" t="n">
        <v>106</v>
      </c>
      <c r="CU145" s="416" t="n">
        <v>109</v>
      </c>
      <c r="CV145" s="416" t="n">
        <v>80</v>
      </c>
      <c r="CW145" s="416"/>
      <c r="CX145" s="416" t="n">
        <v>109</v>
      </c>
      <c r="CY145" s="415"/>
      <c r="DA145" s="407"/>
      <c r="DB145" s="407"/>
      <c r="DC145" s="400" t="s">
        <v>849</v>
      </c>
      <c r="DD145" s="415"/>
    </row>
    <row r="146" s="400" customFormat="true" ht="15" hidden="false" customHeight="false" outlineLevel="0" collapsed="false">
      <c r="B146" s="407"/>
      <c r="C146" s="407"/>
      <c r="D146" s="407"/>
      <c r="E146" s="407"/>
      <c r="F146" s="408"/>
      <c r="I146" s="415" t="s">
        <v>850</v>
      </c>
      <c r="J146" s="416" t="n">
        <v>1.5972602739726</v>
      </c>
      <c r="K146" s="417" t="n">
        <v>45201</v>
      </c>
      <c r="L146" s="416" t="n">
        <v>43.2</v>
      </c>
      <c r="M146" s="416" t="n">
        <v>2.5</v>
      </c>
      <c r="N146" s="416"/>
      <c r="O146" s="416" t="n">
        <v>101</v>
      </c>
      <c r="P146" s="416" t="n">
        <v>69</v>
      </c>
      <c r="Q146" s="416" t="n">
        <v>0</v>
      </c>
      <c r="R146" s="416" t="n">
        <v>0</v>
      </c>
      <c r="S146" s="416" t="n">
        <v>0</v>
      </c>
      <c r="T146" s="416" t="n">
        <v>0</v>
      </c>
      <c r="U146" s="416" t="n">
        <v>503</v>
      </c>
      <c r="V146" s="416" t="n">
        <v>286</v>
      </c>
      <c r="W146" s="412" t="n">
        <v>-336</v>
      </c>
      <c r="Y146" s="416" t="n">
        <v>0.079254421668255</v>
      </c>
      <c r="AA146" s="416" t="n">
        <v>0.0487418916131217</v>
      </c>
      <c r="AB146" s="407"/>
      <c r="AC146" s="415"/>
      <c r="AD146" s="418" t="n">
        <v>45433.474212963</v>
      </c>
      <c r="AE146" s="418" t="n">
        <v>45442.5783217593</v>
      </c>
      <c r="AF146" s="416" t="n">
        <v>162.71055555559</v>
      </c>
      <c r="AG146" s="418" t="n">
        <v>45433.474212963</v>
      </c>
      <c r="AH146" s="418" t="n">
        <v>45434.2686111111</v>
      </c>
      <c r="AI146" s="416" t="n">
        <v>0</v>
      </c>
      <c r="AJ146" s="416" t="n">
        <v>1</v>
      </c>
      <c r="AK146" s="418" t="n">
        <v>45442.5783217593</v>
      </c>
      <c r="AL146" s="418" t="n">
        <v>45442.5783217593</v>
      </c>
      <c r="AM146" s="416" t="n">
        <v>0</v>
      </c>
      <c r="AN146" s="416" t="n">
        <v>1</v>
      </c>
      <c r="AO146" s="416" t="n">
        <v>3.88111111102626</v>
      </c>
      <c r="AP146" s="416" t="n">
        <v>38.8811111110263</v>
      </c>
      <c r="AQ146" s="416" t="n">
        <v>1</v>
      </c>
      <c r="AR146" s="416" t="n">
        <v>1</v>
      </c>
      <c r="AS146" s="416"/>
      <c r="AT146" s="418"/>
      <c r="AU146" s="416"/>
      <c r="AW146" s="418" t="n">
        <v>45446.490462963</v>
      </c>
      <c r="AX146" s="418" t="n">
        <v>45452.7401273148</v>
      </c>
      <c r="AY146" s="416" t="n">
        <v>47.8524999999208</v>
      </c>
      <c r="AZ146" s="418" t="n">
        <v>45446.490462963</v>
      </c>
      <c r="BA146" s="418" t="n">
        <v>45446.490462963</v>
      </c>
      <c r="BB146" s="416" t="n">
        <v>0</v>
      </c>
      <c r="BC146" s="416" t="n">
        <v>1</v>
      </c>
      <c r="BD146" s="418" t="n">
        <v>45453.6467824074</v>
      </c>
      <c r="BE146" s="418" t="n">
        <v>45453.6467824074</v>
      </c>
      <c r="BF146" s="416" t="n">
        <v>0</v>
      </c>
      <c r="BG146" s="416" t="n">
        <v>1</v>
      </c>
      <c r="BH146" s="416" t="n">
        <v>1</v>
      </c>
      <c r="BI146" s="416" t="n">
        <v>1</v>
      </c>
      <c r="BJ146" s="415"/>
      <c r="BK146" s="416" t="n">
        <v>1</v>
      </c>
      <c r="BL146" s="415"/>
      <c r="BM146" s="415"/>
      <c r="BN146" s="418"/>
      <c r="BO146" s="416" t="n">
        <v>1</v>
      </c>
      <c r="BP146" s="417" t="n">
        <v>45579</v>
      </c>
      <c r="BQ146" s="418"/>
      <c r="BR146" s="416" t="n">
        <v>143.375</v>
      </c>
      <c r="BS146" s="416"/>
      <c r="BT146" s="416"/>
      <c r="BU146" s="416" t="n">
        <v>0.2</v>
      </c>
      <c r="BV146" s="416" t="n">
        <v>0.2</v>
      </c>
      <c r="BW146" s="416" t="n">
        <v>0.2</v>
      </c>
      <c r="BX146" s="416" t="n">
        <v>0.2</v>
      </c>
      <c r="BY146" s="416" t="n">
        <v>0.2</v>
      </c>
      <c r="BZ146" s="416" t="n">
        <v>0.2</v>
      </c>
      <c r="CA146" s="416" t="n">
        <v>0.2</v>
      </c>
      <c r="CB146" s="416" t="n">
        <v>0.2</v>
      </c>
      <c r="CC146" s="416" t="n">
        <v>0.2</v>
      </c>
      <c r="CD146" s="416" t="n">
        <v>0.2</v>
      </c>
      <c r="CE146" s="416" t="n">
        <v>0.2</v>
      </c>
      <c r="CQ146" s="400" t="n">
        <v>3</v>
      </c>
      <c r="CR146" s="416" t="n">
        <v>36</v>
      </c>
      <c r="CS146" s="418" t="n">
        <v>45434.75</v>
      </c>
      <c r="CT146" s="416" t="n">
        <v>0.5</v>
      </c>
      <c r="CU146" s="416" t="n">
        <v>0.11316</v>
      </c>
      <c r="CV146" s="416" t="n">
        <v>-223.823611111147</v>
      </c>
      <c r="CW146" s="416"/>
      <c r="CX146" s="416" t="n">
        <v>-63</v>
      </c>
      <c r="CY146" s="415"/>
      <c r="DA146" s="407"/>
      <c r="DB146" s="407"/>
      <c r="DC146" s="400" t="s">
        <v>850</v>
      </c>
      <c r="DD146" s="415"/>
    </row>
    <row r="147" s="400" customFormat="true" ht="15" hidden="false" customHeight="false" outlineLevel="0" collapsed="false">
      <c r="B147" s="407"/>
      <c r="C147" s="407"/>
      <c r="D147" s="407"/>
      <c r="E147" s="407"/>
      <c r="F147" s="408"/>
      <c r="I147" s="415" t="s">
        <v>851</v>
      </c>
      <c r="J147" s="416" t="n">
        <v>7.61643835616438</v>
      </c>
      <c r="K147" s="417" t="n">
        <v>45332</v>
      </c>
      <c r="L147" s="416" t="n">
        <v>94.9</v>
      </c>
      <c r="M147" s="416" t="n">
        <v>4</v>
      </c>
      <c r="N147" s="416"/>
      <c r="O147" s="416" t="n">
        <v>232</v>
      </c>
      <c r="P147" s="416" t="n">
        <v>397</v>
      </c>
      <c r="Q147" s="416" t="n">
        <v>3516</v>
      </c>
      <c r="R147" s="416" t="n">
        <v>3277</v>
      </c>
      <c r="S147" s="416" t="n">
        <v>2641</v>
      </c>
      <c r="T147" s="416" t="n">
        <v>2848</v>
      </c>
      <c r="U147" s="416" t="n">
        <v>2604</v>
      </c>
      <c r="V147" s="416" t="n">
        <v>2431</v>
      </c>
      <c r="W147" s="412" t="n">
        <v>261</v>
      </c>
      <c r="Y147" s="416" t="n">
        <v>0.961295195897975</v>
      </c>
      <c r="AA147" s="416" t="n">
        <v>0.997815134382357</v>
      </c>
      <c r="AB147" s="407"/>
      <c r="AC147" s="415"/>
      <c r="AD147" s="418" t="n">
        <v>45435.7987152778</v>
      </c>
      <c r="AE147" s="418" t="n">
        <v>45444.5921064815</v>
      </c>
      <c r="AF147" s="416" t="n">
        <v>266.829444444564</v>
      </c>
      <c r="AG147" s="418" t="n">
        <v>45445.5759837963</v>
      </c>
      <c r="AH147" s="418" t="n">
        <v>45445.5759837963</v>
      </c>
      <c r="AI147" s="416" t="n">
        <v>53.0016666665906</v>
      </c>
      <c r="AJ147" s="416" t="n">
        <v>53.0016666665906</v>
      </c>
      <c r="AK147" s="418" t="n">
        <v>45444.5920717593</v>
      </c>
      <c r="AL147" s="418" t="n">
        <v>45444.5921064815</v>
      </c>
      <c r="AM147" s="416" t="n">
        <v>0.000833333353511989</v>
      </c>
      <c r="AN147" s="416" t="n">
        <v>1</v>
      </c>
      <c r="AO147" s="416" t="n">
        <v>294.323611111147</v>
      </c>
      <c r="AP147" s="416" t="n">
        <v>329.323611111147</v>
      </c>
      <c r="AQ147" s="416" t="n">
        <v>81</v>
      </c>
      <c r="AR147" s="416" t="n">
        <v>4</v>
      </c>
      <c r="AS147" s="416"/>
      <c r="AT147" s="418"/>
      <c r="AU147" s="416"/>
      <c r="AW147" s="418" t="n">
        <v>45450.7462731482</v>
      </c>
      <c r="AX147" s="418" t="n">
        <v>45456.6231018519</v>
      </c>
      <c r="AY147" s="416" t="n">
        <v>185.134722222167</v>
      </c>
      <c r="AZ147" s="418" t="n">
        <v>45461.7336342593</v>
      </c>
      <c r="BA147" s="418" t="n">
        <v>45461.7336342593</v>
      </c>
      <c r="BB147" s="416" t="n">
        <v>48.2380555554992</v>
      </c>
      <c r="BC147" s="416" t="n">
        <v>48.2380555554992</v>
      </c>
      <c r="BD147" s="418" t="n">
        <v>45456.4585532407</v>
      </c>
      <c r="BE147" s="418" t="n">
        <v>45456.4585763889</v>
      </c>
      <c r="BF147" s="416" t="n">
        <v>0.000555555510800332</v>
      </c>
      <c r="BG147" s="416" t="n">
        <v>1</v>
      </c>
      <c r="BH147" s="416" t="n">
        <v>126</v>
      </c>
      <c r="BI147" s="416" t="n">
        <v>4</v>
      </c>
      <c r="BJ147" s="415"/>
      <c r="BK147" s="416" t="n">
        <v>3</v>
      </c>
      <c r="BL147" s="415"/>
      <c r="BM147" s="415"/>
      <c r="BN147" s="418"/>
      <c r="BO147" s="416" t="n">
        <v>2</v>
      </c>
      <c r="BP147" s="417" t="n">
        <v>45667</v>
      </c>
      <c r="BQ147" s="418"/>
      <c r="BR147" s="416" t="n">
        <v>231.375</v>
      </c>
      <c r="BS147" s="416"/>
      <c r="BT147" s="416"/>
      <c r="BU147" s="416" t="n">
        <v>7.5359</v>
      </c>
      <c r="BV147" s="416" t="n">
        <v>7.1759</v>
      </c>
      <c r="BW147" s="416" t="n">
        <v>9.1813</v>
      </c>
      <c r="BX147" s="416" t="n">
        <v>7.4524</v>
      </c>
      <c r="BY147" s="416" t="n">
        <v>9.6002</v>
      </c>
      <c r="BZ147" s="416" t="n">
        <v>9.4</v>
      </c>
      <c r="CA147" s="416" t="n">
        <v>7.8997</v>
      </c>
      <c r="CB147" s="416" t="n">
        <v>9.4282</v>
      </c>
      <c r="CC147" s="416" t="n">
        <v>5.9432</v>
      </c>
      <c r="CD147" s="416" t="n">
        <v>7.5823</v>
      </c>
      <c r="CE147" s="416" t="n">
        <v>8.6972</v>
      </c>
      <c r="CQ147" s="400" t="n">
        <v>7</v>
      </c>
      <c r="CR147" s="416" t="n">
        <v>120</v>
      </c>
      <c r="CS147" s="418" t="n">
        <v>45438.25</v>
      </c>
      <c r="CT147" s="416" t="n">
        <v>2.5</v>
      </c>
      <c r="CU147" s="416" t="n">
        <v>1.095</v>
      </c>
      <c r="CV147" s="416" t="n">
        <v>83.9508333333652</v>
      </c>
      <c r="CW147" s="416"/>
      <c r="CX147" s="416" t="n">
        <v>21</v>
      </c>
      <c r="CY147" s="415"/>
      <c r="DA147" s="407"/>
      <c r="DB147" s="407"/>
      <c r="DC147" s="400" t="s">
        <v>851</v>
      </c>
      <c r="DD147" s="415"/>
    </row>
    <row r="148" s="400" customFormat="true" ht="15" hidden="false" customHeight="false" outlineLevel="0" collapsed="false">
      <c r="B148" s="407"/>
      <c r="C148" s="407"/>
      <c r="D148" s="407"/>
      <c r="E148" s="407"/>
      <c r="F148" s="408"/>
      <c r="I148" s="415" t="s">
        <v>852</v>
      </c>
      <c r="J148" s="416" t="n">
        <v>6.01917808219178</v>
      </c>
      <c r="K148" s="416" t="n">
        <v>131</v>
      </c>
      <c r="L148" s="416" t="n">
        <v>51.7</v>
      </c>
      <c r="M148" s="416" t="n">
        <v>1.5</v>
      </c>
      <c r="N148" s="416"/>
      <c r="O148" s="416" t="n">
        <v>131</v>
      </c>
      <c r="P148" s="416" t="n">
        <v>328</v>
      </c>
      <c r="Q148" s="416" t="n">
        <v>3516</v>
      </c>
      <c r="R148" s="416" t="n">
        <v>3277</v>
      </c>
      <c r="S148" s="416" t="n">
        <v>2641</v>
      </c>
      <c r="T148" s="416" t="n">
        <v>2848</v>
      </c>
      <c r="U148" s="416" t="n">
        <v>2101</v>
      </c>
      <c r="V148" s="416" t="n">
        <v>2145</v>
      </c>
      <c r="W148" s="412" t="n">
        <v>597</v>
      </c>
      <c r="Y148" s="416" t="n">
        <v>0.88204077422972</v>
      </c>
      <c r="AA148" s="416" t="n">
        <v>0.949073242769236</v>
      </c>
      <c r="AB148" s="407"/>
      <c r="AC148" s="415"/>
      <c r="AD148" s="416" t="n">
        <v>2.32450231481926</v>
      </c>
      <c r="AE148" s="416" t="n">
        <v>2.01378472222132</v>
      </c>
      <c r="AF148" s="416" t="n">
        <v>104.118888888974</v>
      </c>
      <c r="AG148" s="416" t="n">
        <v>12.1017708333384</v>
      </c>
      <c r="AH148" s="416" t="n">
        <v>11.3073726851871</v>
      </c>
      <c r="AI148" s="416" t="n">
        <v>53.0016666665906</v>
      </c>
      <c r="AJ148" s="416" t="n">
        <v>52.0016666665906</v>
      </c>
      <c r="AK148" s="416" t="n">
        <v>2.01374999999825</v>
      </c>
      <c r="AL148" s="416" t="n">
        <v>2.01378472222132</v>
      </c>
      <c r="AM148" s="416" t="n">
        <v>0.000833333353511989</v>
      </c>
      <c r="AN148" s="416" t="n">
        <v>0</v>
      </c>
      <c r="AO148" s="416" t="n">
        <v>290.442500000121</v>
      </c>
      <c r="AP148" s="416" t="n">
        <v>290.442500000121</v>
      </c>
      <c r="AQ148" s="416" t="n">
        <v>80</v>
      </c>
      <c r="AR148" s="416" t="n">
        <v>3</v>
      </c>
      <c r="AS148" s="416"/>
      <c r="AT148" s="416"/>
      <c r="AU148" s="416"/>
      <c r="AW148" s="416" t="n">
        <v>4.25581018519006</v>
      </c>
      <c r="AX148" s="416" t="n">
        <v>3.88297453703854</v>
      </c>
      <c r="AY148" s="416" t="n">
        <v>137.282222222246</v>
      </c>
      <c r="AZ148" s="416" t="n">
        <v>15.2431712963007</v>
      </c>
      <c r="BA148" s="416" t="n">
        <v>15.2431712963007</v>
      </c>
      <c r="BB148" s="416" t="n">
        <v>48.2380555554992</v>
      </c>
      <c r="BC148" s="416" t="n">
        <v>47.2380555554992</v>
      </c>
      <c r="BD148" s="416" t="n">
        <v>2.81177083333751</v>
      </c>
      <c r="BE148" s="416" t="n">
        <v>2.81179398148379</v>
      </c>
      <c r="BF148" s="416" t="n">
        <v>0.000555555510800332</v>
      </c>
      <c r="BG148" s="416" t="n">
        <v>0</v>
      </c>
      <c r="BH148" s="416" t="n">
        <v>125</v>
      </c>
      <c r="BI148" s="416" t="n">
        <v>3</v>
      </c>
      <c r="BK148" s="416" t="n">
        <v>2</v>
      </c>
      <c r="BN148" s="416"/>
      <c r="BO148" s="416" t="n">
        <v>1</v>
      </c>
      <c r="BP148" s="415" t="n">
        <v>88</v>
      </c>
      <c r="BQ148" s="416"/>
      <c r="BR148" s="416" t="n">
        <v>88</v>
      </c>
      <c r="BS148" s="416"/>
      <c r="BT148" s="416"/>
      <c r="BU148" s="416" t="n">
        <v>7.3359</v>
      </c>
      <c r="BV148" s="416" t="n">
        <v>6.9759</v>
      </c>
      <c r="BW148" s="416" t="n">
        <v>8.9813</v>
      </c>
      <c r="BX148" s="416" t="n">
        <v>7.2524</v>
      </c>
      <c r="BY148" s="416" t="n">
        <v>9.4002</v>
      </c>
      <c r="BZ148" s="416" t="n">
        <v>9.2</v>
      </c>
      <c r="CA148" s="416" t="n">
        <v>7.6997</v>
      </c>
      <c r="CB148" s="416" t="n">
        <v>9.2282</v>
      </c>
      <c r="CC148" s="416" t="n">
        <v>5.7432</v>
      </c>
      <c r="CD148" s="416" t="n">
        <v>7.3823</v>
      </c>
      <c r="CE148" s="416" t="n">
        <v>8.4972</v>
      </c>
      <c r="CQ148" s="400" t="n">
        <v>4</v>
      </c>
      <c r="CR148" s="416" t="n">
        <v>84</v>
      </c>
      <c r="CS148" s="416" t="n">
        <v>3.5</v>
      </c>
      <c r="CT148" s="416" t="n">
        <v>2</v>
      </c>
      <c r="CU148" s="416" t="n">
        <v>0.98184</v>
      </c>
      <c r="CV148" s="416" t="n">
        <v>307.774444444513</v>
      </c>
      <c r="CW148" s="416"/>
      <c r="CX148" s="416" t="n">
        <v>84</v>
      </c>
      <c r="DA148" s="407"/>
      <c r="DB148" s="407"/>
      <c r="DC148" s="400" t="s">
        <v>852</v>
      </c>
      <c r="DD148" s="415"/>
    </row>
    <row r="149" s="400" customFormat="true" ht="15" hidden="false" customHeight="false" outlineLevel="0" collapsed="false">
      <c r="B149" s="407"/>
      <c r="C149" s="407"/>
      <c r="D149" s="407"/>
      <c r="E149" s="407"/>
      <c r="F149" s="408"/>
      <c r="J149" s="415"/>
      <c r="K149" s="415"/>
      <c r="L149" s="415"/>
      <c r="M149" s="415"/>
      <c r="N149" s="415"/>
      <c r="O149" s="415"/>
      <c r="P149" s="415"/>
      <c r="Q149" s="415"/>
      <c r="R149" s="415"/>
      <c r="S149" s="415"/>
      <c r="T149" s="415"/>
      <c r="U149" s="415"/>
      <c r="V149" s="415"/>
      <c r="W149" s="419"/>
      <c r="Y149" s="415"/>
      <c r="AA149" s="415"/>
      <c r="AB149" s="407"/>
      <c r="AD149" s="415"/>
      <c r="AE149" s="415"/>
      <c r="AF149" s="415"/>
      <c r="AG149" s="415"/>
      <c r="AH149" s="415"/>
      <c r="AI149" s="415"/>
      <c r="AJ149" s="415"/>
      <c r="AK149" s="415"/>
      <c r="AL149" s="415"/>
      <c r="AM149" s="415"/>
      <c r="AN149" s="415"/>
      <c r="AO149" s="415"/>
      <c r="AP149" s="415"/>
      <c r="AQ149" s="415"/>
      <c r="AR149" s="415"/>
      <c r="AS149" s="415"/>
      <c r="AT149" s="415"/>
      <c r="AU149" s="415"/>
      <c r="AW149" s="415"/>
      <c r="AX149" s="415"/>
      <c r="AY149" s="415"/>
      <c r="AZ149" s="415"/>
      <c r="BA149" s="415"/>
      <c r="BB149" s="415"/>
      <c r="BC149" s="415"/>
      <c r="BD149" s="415"/>
      <c r="BE149" s="415"/>
      <c r="BF149" s="409"/>
      <c r="BG149" s="415"/>
      <c r="BH149" s="415"/>
      <c r="BI149" s="415"/>
      <c r="BK149" s="415"/>
      <c r="BN149" s="415"/>
      <c r="BO149" s="415"/>
      <c r="BP149" s="415"/>
      <c r="BQ149" s="415"/>
      <c r="BR149" s="415"/>
      <c r="BS149" s="415"/>
      <c r="BT149" s="415"/>
      <c r="BU149" s="415"/>
      <c r="BV149" s="415"/>
      <c r="BW149" s="415"/>
      <c r="BX149" s="415"/>
      <c r="BY149" s="415"/>
      <c r="BZ149" s="415"/>
      <c r="CA149" s="415"/>
      <c r="CB149" s="415"/>
      <c r="CC149" s="415"/>
      <c r="CD149" s="415"/>
      <c r="CE149" s="415"/>
      <c r="CR149" s="415"/>
      <c r="CS149" s="415"/>
      <c r="CT149" s="415"/>
      <c r="CU149" s="415"/>
      <c r="CV149" s="415"/>
      <c r="CW149" s="415"/>
      <c r="CX149" s="415"/>
      <c r="DA149" s="407"/>
      <c r="DB149" s="407"/>
    </row>
    <row r="150" s="400" customFormat="true" ht="15" hidden="false" customHeight="false" outlineLevel="0" collapsed="false">
      <c r="B150" s="407"/>
      <c r="C150" s="407"/>
      <c r="D150" s="407"/>
      <c r="E150" s="407"/>
      <c r="F150" s="408"/>
      <c r="H150" s="414" t="s">
        <v>185</v>
      </c>
      <c r="I150" s="415" t="s">
        <v>846</v>
      </c>
      <c r="J150" s="416" t="n">
        <v>4.08698630136986</v>
      </c>
      <c r="K150" s="417" t="n">
        <v>45220.925</v>
      </c>
      <c r="L150" s="416" t="n">
        <v>68.8275</v>
      </c>
      <c r="M150" s="416" t="n">
        <v>3.3</v>
      </c>
      <c r="N150" s="416"/>
      <c r="O150" s="416" t="n">
        <v>212.075</v>
      </c>
      <c r="P150" s="416" t="n">
        <v>265.475</v>
      </c>
      <c r="Q150" s="416" t="n">
        <v>1627.575</v>
      </c>
      <c r="R150" s="416" t="n">
        <v>1559.475</v>
      </c>
      <c r="S150" s="416" t="n">
        <v>1743.425</v>
      </c>
      <c r="T150" s="416" t="n">
        <v>1511.125</v>
      </c>
      <c r="U150" s="416" t="n">
        <v>1339</v>
      </c>
      <c r="V150" s="416" t="n">
        <v>1249.35</v>
      </c>
      <c r="W150" s="412" t="n">
        <v>-71.175</v>
      </c>
      <c r="Y150" s="416" t="n">
        <v>0.70246979095102</v>
      </c>
      <c r="AA150" s="416" t="n">
        <v>0.819116926098473</v>
      </c>
      <c r="AB150" s="407"/>
      <c r="AC150" s="415"/>
      <c r="AD150" s="418" t="n">
        <v>45435.4538425926</v>
      </c>
      <c r="AE150" s="418" t="n">
        <v>45443.6448726852</v>
      </c>
      <c r="AF150" s="416" t="n">
        <v>196.584722222295</v>
      </c>
      <c r="AG150" s="418" t="n">
        <v>45435.3340174438</v>
      </c>
      <c r="AH150" s="418" t="n">
        <v>45435.6987417328</v>
      </c>
      <c r="AI150" s="416" t="n">
        <v>8.75338293650878</v>
      </c>
      <c r="AJ150" s="416" t="n">
        <v>9.06837301587179</v>
      </c>
      <c r="AK150" s="418" t="n">
        <v>45443.6448726852</v>
      </c>
      <c r="AL150" s="418" t="n">
        <v>45443.6448726852</v>
      </c>
      <c r="AM150" s="416" t="n">
        <v>0</v>
      </c>
      <c r="AN150" s="416" t="n">
        <v>1</v>
      </c>
      <c r="AO150" s="416" t="n">
        <v>48.5164186507921</v>
      </c>
      <c r="AP150" s="416" t="n">
        <v>83.5164186507921</v>
      </c>
      <c r="AQ150" s="416" t="n">
        <v>7.57142857142857</v>
      </c>
      <c r="AR150" s="416" t="n">
        <v>1.5</v>
      </c>
      <c r="AS150" s="416"/>
      <c r="AT150" s="418"/>
      <c r="AU150" s="416"/>
      <c r="AW150" s="418" t="n">
        <v>45447.6175462963</v>
      </c>
      <c r="AX150" s="418" t="n">
        <v>45455.0526793982</v>
      </c>
      <c r="AY150" s="416" t="n">
        <v>178.443194444437</v>
      </c>
      <c r="AZ150" s="418" t="n">
        <v>45454.2973119213</v>
      </c>
      <c r="BA150" s="418" t="n">
        <v>45454.6146332465</v>
      </c>
      <c r="BB150" s="416" t="n">
        <v>7.61571180554893</v>
      </c>
      <c r="BC150" s="416" t="n">
        <v>8.17821180554893</v>
      </c>
      <c r="BD150" s="418" t="n">
        <v>45455.0526678241</v>
      </c>
      <c r="BE150" s="418" t="n">
        <v>45455.0526793982</v>
      </c>
      <c r="BF150" s="416" t="n">
        <v>0.000277777755400166</v>
      </c>
      <c r="BG150" s="416" t="n">
        <v>1</v>
      </c>
      <c r="BH150" s="416" t="n">
        <v>17.1875</v>
      </c>
      <c r="BI150" s="416" t="n">
        <v>1.75</v>
      </c>
      <c r="BJ150" s="415"/>
      <c r="BK150" s="416" t="n">
        <v>1.56666666666667</v>
      </c>
      <c r="BL150" s="415"/>
      <c r="BM150" s="415"/>
      <c r="BN150" s="418"/>
      <c r="BO150" s="416" t="n">
        <v>1.44736842105263</v>
      </c>
      <c r="BP150" s="417" t="n">
        <v>45591.2105263158</v>
      </c>
      <c r="BQ150" s="418"/>
      <c r="BR150" s="416" t="n">
        <v>155.585526315789</v>
      </c>
      <c r="BS150" s="416"/>
      <c r="BT150" s="416"/>
      <c r="BU150" s="416" t="n">
        <v>0.75462275</v>
      </c>
      <c r="BV150" s="416" t="n">
        <v>0.7656825</v>
      </c>
      <c r="BW150" s="416" t="n">
        <v>0.297976</v>
      </c>
      <c r="BX150" s="416" t="n">
        <v>0.322208</v>
      </c>
      <c r="BY150" s="416" t="n">
        <v>0.36094825</v>
      </c>
      <c r="BZ150" s="416" t="n">
        <v>0.352468375</v>
      </c>
      <c r="CA150" s="416" t="n">
        <v>0.506968125</v>
      </c>
      <c r="CB150" s="416" t="n">
        <v>0.73898025</v>
      </c>
      <c r="CC150" s="416" t="n">
        <v>1.38533225</v>
      </c>
      <c r="CD150" s="416" t="n">
        <v>1.70079875</v>
      </c>
      <c r="CE150" s="416" t="n">
        <v>1.80339925</v>
      </c>
      <c r="CQ150" s="400" t="n">
        <v>4.96551724137931</v>
      </c>
      <c r="CR150" s="416" t="n">
        <v>54.4864864864865</v>
      </c>
      <c r="CS150" s="418" t="n">
        <v>45435.5202702703</v>
      </c>
      <c r="CT150" s="416" t="n">
        <v>1.59722222222222</v>
      </c>
      <c r="CU150" s="416" t="n">
        <v>0.421761351351351</v>
      </c>
      <c r="CV150" s="416" t="n">
        <v>5.73165637860075</v>
      </c>
      <c r="CW150" s="416"/>
      <c r="CX150" s="416" t="n">
        <v>2.51351351351351</v>
      </c>
      <c r="CY150" s="415"/>
      <c r="DA150" s="407"/>
      <c r="DB150" s="407"/>
      <c r="DC150" s="414" t="s">
        <v>846</v>
      </c>
      <c r="DD150" s="415"/>
    </row>
    <row r="151" s="400" customFormat="true" ht="15" hidden="false" customHeight="false" outlineLevel="0" collapsed="false">
      <c r="B151" s="407"/>
      <c r="C151" s="407"/>
      <c r="D151" s="407"/>
      <c r="E151" s="407"/>
      <c r="F151" s="408"/>
      <c r="I151" s="415" t="s">
        <v>847</v>
      </c>
      <c r="J151" s="416" t="n">
        <v>1.81523526813317</v>
      </c>
      <c r="K151" s="416" t="n">
        <v>25.3674407712337</v>
      </c>
      <c r="L151" s="416" t="n">
        <v>9.74874054981924</v>
      </c>
      <c r="M151" s="416" t="n">
        <v>0.393048571409666</v>
      </c>
      <c r="N151" s="416"/>
      <c r="O151" s="416" t="n">
        <v>25.3674407712337</v>
      </c>
      <c r="P151" s="416" t="n">
        <v>59.728869238525</v>
      </c>
      <c r="Q151" s="416" t="n">
        <v>1336.97852786586</v>
      </c>
      <c r="R151" s="416" t="n">
        <v>923.142042227633</v>
      </c>
      <c r="S151" s="416" t="n">
        <v>503.85396172263</v>
      </c>
      <c r="T151" s="416" t="n">
        <v>398.899395291723</v>
      </c>
      <c r="U151" s="416" t="n">
        <v>291.532291389954</v>
      </c>
      <c r="V151" s="416" t="n">
        <v>284.997125491577</v>
      </c>
      <c r="W151" s="412" t="n">
        <v>92.0367506028894</v>
      </c>
      <c r="Y151" s="416" t="n">
        <v>0.188273779405316</v>
      </c>
      <c r="AA151" s="416" t="n">
        <v>0.216170381819084</v>
      </c>
      <c r="AB151" s="407"/>
      <c r="AC151" s="415"/>
      <c r="AD151" s="416" t="e">
        <f aca="false">#DIV/0!</f>
        <v>#DIV/0!</v>
      </c>
      <c r="AE151" s="416" t="e">
        <f aca="false">#DIV/0!</f>
        <v>#DIV/0!</v>
      </c>
      <c r="AF151" s="416" t="e">
        <f aca="false">#DIV/0!</f>
        <v>#DIV/0!</v>
      </c>
      <c r="AG151" s="416" t="n">
        <v>0.646118084978776</v>
      </c>
      <c r="AH151" s="416" t="n">
        <v>0.647868532064015</v>
      </c>
      <c r="AI151" s="416" t="n">
        <v>9.78971045692202</v>
      </c>
      <c r="AJ151" s="416" t="n">
        <v>9.50520772530353</v>
      </c>
      <c r="AK151" s="416" t="e">
        <f aca="false">#DIV/0!</f>
        <v>#DIV/0!</v>
      </c>
      <c r="AL151" s="416" t="e">
        <f aca="false">#DIV/0!</f>
        <v>#DIV/0!</v>
      </c>
      <c r="AM151" s="416" t="e">
        <f aca="false">#DIV/0!</f>
        <v>#DIV/0!</v>
      </c>
      <c r="AN151" s="416" t="e">
        <f aca="false">#DIV/0!</f>
        <v>#DIV/0!</v>
      </c>
      <c r="AO151" s="416" t="n">
        <v>15.5068340394906</v>
      </c>
      <c r="AP151" s="416" t="n">
        <v>15.5068340394905</v>
      </c>
      <c r="AQ151" s="416" t="n">
        <v>9.26334301478272</v>
      </c>
      <c r="AR151" s="416" t="n">
        <v>0.509175077217316</v>
      </c>
      <c r="AS151" s="416"/>
      <c r="AT151" s="416"/>
      <c r="AU151" s="416"/>
      <c r="AW151" s="416" t="n">
        <v>1.59393653592913</v>
      </c>
      <c r="AX151" s="416" t="n">
        <v>1.98823859160671</v>
      </c>
      <c r="AY151" s="416" t="n">
        <v>9.46324933626176</v>
      </c>
      <c r="AZ151" s="416" t="n">
        <v>4.60702374962648</v>
      </c>
      <c r="BA151" s="416" t="n">
        <v>4.48079738002503</v>
      </c>
      <c r="BB151" s="416" t="n">
        <v>10.5221656877618</v>
      </c>
      <c r="BC151" s="416" t="n">
        <v>10.0915616528886</v>
      </c>
      <c r="BD151" s="416" t="n">
        <v>1.9882222233955</v>
      </c>
      <c r="BE151" s="416" t="n">
        <v>1.98823859160671</v>
      </c>
      <c r="BF151" s="416" t="n">
        <v>0.000392837069012471</v>
      </c>
      <c r="BG151" s="416" t="n">
        <v>0</v>
      </c>
      <c r="BH151" s="416" t="n">
        <v>32.8820493075883</v>
      </c>
      <c r="BI151" s="416" t="n">
        <v>0.856348838577675</v>
      </c>
      <c r="BJ151" s="415"/>
      <c r="BK151" s="416" t="n">
        <v>0.568320777155935</v>
      </c>
      <c r="BL151" s="415"/>
      <c r="BM151" s="415"/>
      <c r="BN151" s="416"/>
      <c r="BO151" s="416" t="n">
        <v>0.503896622873567</v>
      </c>
      <c r="BP151" s="416" t="n">
        <v>17.0961634620435</v>
      </c>
      <c r="BQ151" s="416"/>
      <c r="BR151" s="416" t="n">
        <v>17.0961634620435</v>
      </c>
      <c r="BS151" s="416"/>
      <c r="BT151" s="416"/>
      <c r="BU151" s="416" t="n">
        <v>1.11125906232523</v>
      </c>
      <c r="BV151" s="416" t="n">
        <v>0.866293839276229</v>
      </c>
      <c r="BW151" s="416" t="n">
        <v>0.226935969302086</v>
      </c>
      <c r="BX151" s="416" t="n">
        <v>0.210911426471897</v>
      </c>
      <c r="BY151" s="416" t="n">
        <v>0.223507438479871</v>
      </c>
      <c r="BZ151" s="416" t="n">
        <v>0.240879117700324</v>
      </c>
      <c r="CA151" s="416" t="n">
        <v>0.401685984831256</v>
      </c>
      <c r="CB151" s="416" t="n">
        <v>0.624328541355605</v>
      </c>
      <c r="CC151" s="416" t="n">
        <v>0.958043015782527</v>
      </c>
      <c r="CD151" s="416" t="n">
        <v>1.20440874277283</v>
      </c>
      <c r="CE151" s="416" t="n">
        <v>1.33317852871343</v>
      </c>
      <c r="CQ151" s="400" t="n">
        <v>0.981353242819383</v>
      </c>
      <c r="CR151" s="416" t="n">
        <v>12.8357608561689</v>
      </c>
      <c r="CS151" s="416" t="n">
        <v>0.534823369007036</v>
      </c>
      <c r="CT151" s="416" t="n">
        <v>0.444320419202894</v>
      </c>
      <c r="CU151" s="416" t="n">
        <v>0.220571885298726</v>
      </c>
      <c r="CV151" s="416" t="n">
        <v>11.3818603255913</v>
      </c>
      <c r="CW151" s="416"/>
      <c r="CX151" s="416" t="n">
        <v>12.8357608561689</v>
      </c>
      <c r="CY151" s="415"/>
      <c r="DA151" s="407"/>
      <c r="DB151" s="407"/>
      <c r="DC151" s="400" t="s">
        <v>847</v>
      </c>
      <c r="DD151" s="415"/>
    </row>
    <row r="152" s="400" customFormat="true" ht="15" hidden="false" customHeight="false" outlineLevel="0" collapsed="false">
      <c r="B152" s="407"/>
      <c r="C152" s="407"/>
      <c r="D152" s="407"/>
      <c r="E152" s="407"/>
      <c r="F152" s="408"/>
      <c r="I152" s="415" t="s">
        <v>848</v>
      </c>
      <c r="J152" s="416" t="n">
        <v>0.287013896818364</v>
      </c>
      <c r="K152" s="416" t="n">
        <v>4.01094456232585</v>
      </c>
      <c r="L152" s="416" t="n">
        <v>1.54141122277355</v>
      </c>
      <c r="M152" s="416" t="n">
        <v>0.0621464358364941</v>
      </c>
      <c r="N152" s="416"/>
      <c r="O152" s="416" t="n">
        <v>4.01094456232584</v>
      </c>
      <c r="P152" s="416" t="n">
        <v>9.4439634430053</v>
      </c>
      <c r="Q152" s="416" t="n">
        <v>211.394866539751</v>
      </c>
      <c r="R152" s="416" t="n">
        <v>145.961572864933</v>
      </c>
      <c r="S152" s="416" t="n">
        <v>79.6663063571404</v>
      </c>
      <c r="T152" s="416" t="n">
        <v>63.0715323192846</v>
      </c>
      <c r="U152" s="416" t="n">
        <v>46.0953026140075</v>
      </c>
      <c r="V152" s="416" t="n">
        <v>45.0620021577109</v>
      </c>
      <c r="W152" s="412" t="n">
        <v>14.5522880173003</v>
      </c>
      <c r="Y152" s="416" t="n">
        <v>0.029768698330445</v>
      </c>
      <c r="AA152" s="416" t="n">
        <v>0.0341795384608279</v>
      </c>
      <c r="AB152" s="407"/>
      <c r="AC152" s="415"/>
      <c r="AD152" s="416" t="e">
        <f aca="false">#DIV/0!</f>
        <v>#DIV/0!</v>
      </c>
      <c r="AE152" s="416" t="e">
        <f aca="false">#DIV/0!</f>
        <v>#DIV/0!</v>
      </c>
      <c r="AF152" s="416" t="e">
        <f aca="false">#DIV/0!</f>
        <v>#DIV/0!</v>
      </c>
      <c r="AG152" s="416" t="n">
        <v>0.122104840745367</v>
      </c>
      <c r="AH152" s="416" t="n">
        <v>0.122435644150419</v>
      </c>
      <c r="AI152" s="416" t="n">
        <v>1.85008137688173</v>
      </c>
      <c r="AJ152" s="416" t="n">
        <v>1.79631541436879</v>
      </c>
      <c r="AK152" s="416" t="e">
        <f aca="false">#DIV/0!</f>
        <v>#DIV/0!</v>
      </c>
      <c r="AL152" s="416" t="e">
        <f aca="false">#DIV/0!</f>
        <v>#DIV/0!</v>
      </c>
      <c r="AM152" s="416" t="e">
        <f aca="false">#DIV/0!</f>
        <v>#DIV/0!</v>
      </c>
      <c r="AN152" s="416" t="e">
        <f aca="false">#DIV/0!</f>
        <v>#DIV/0!</v>
      </c>
      <c r="AO152" s="416" t="n">
        <v>2.93051617788881</v>
      </c>
      <c r="AP152" s="416" t="n">
        <v>2.93051617788879</v>
      </c>
      <c r="AQ152" s="416" t="n">
        <v>1.75060728044303</v>
      </c>
      <c r="AR152" s="416" t="n">
        <v>0.0962250448649376</v>
      </c>
      <c r="AS152" s="416"/>
      <c r="AT152" s="416"/>
      <c r="AU152" s="416"/>
      <c r="AW152" s="416" t="n">
        <v>1.12708333333649</v>
      </c>
      <c r="AX152" s="416" t="n">
        <v>1.40589699074189</v>
      </c>
      <c r="AY152" s="416" t="n">
        <v>6.69152777772979</v>
      </c>
      <c r="AZ152" s="416" t="n">
        <v>1.15175593740662</v>
      </c>
      <c r="BA152" s="416" t="n">
        <v>1.12019934500626</v>
      </c>
      <c r="BB152" s="416" t="n">
        <v>2.63054142194044</v>
      </c>
      <c r="BC152" s="416" t="n">
        <v>2.52289041322216</v>
      </c>
      <c r="BD152" s="416" t="n">
        <v>1.40588541666875</v>
      </c>
      <c r="BE152" s="416" t="n">
        <v>1.40589699074189</v>
      </c>
      <c r="BF152" s="416" t="n">
        <v>0.000277777755400166</v>
      </c>
      <c r="BG152" s="416" t="n">
        <v>0</v>
      </c>
      <c r="BH152" s="416" t="n">
        <v>8.22051232689707</v>
      </c>
      <c r="BI152" s="416" t="n">
        <v>0.214087209644419</v>
      </c>
      <c r="BJ152" s="415"/>
      <c r="BK152" s="416" t="n">
        <v>0.103760703182391</v>
      </c>
      <c r="BL152" s="415"/>
      <c r="BM152" s="415"/>
      <c r="BN152" s="416"/>
      <c r="BO152" s="416" t="n">
        <v>0.0817428262655419</v>
      </c>
      <c r="BP152" s="416" t="n">
        <v>2.70314078953035</v>
      </c>
      <c r="BQ152" s="416"/>
      <c r="BR152" s="416" t="n">
        <v>2.77336393269651</v>
      </c>
      <c r="BS152" s="416"/>
      <c r="BT152" s="416"/>
      <c r="BU152" s="416" t="n">
        <v>0.175705485372536</v>
      </c>
      <c r="BV152" s="416" t="n">
        <v>0.136973082754236</v>
      </c>
      <c r="BW152" s="416" t="n">
        <v>0.0358817273006321</v>
      </c>
      <c r="BX152" s="416" t="n">
        <v>0.0333480246103163</v>
      </c>
      <c r="BY152" s="416" t="n">
        <v>0.0353396289793178</v>
      </c>
      <c r="BZ152" s="416" t="n">
        <v>0.0380863326352403</v>
      </c>
      <c r="CA152" s="416" t="n">
        <v>0.0635121308117307</v>
      </c>
      <c r="CB152" s="416" t="n">
        <v>0.0987150099467171</v>
      </c>
      <c r="CC152" s="416" t="n">
        <v>0.151479901314471</v>
      </c>
      <c r="CD152" s="416" t="n">
        <v>0.1904337430491</v>
      </c>
      <c r="CE152" s="416" t="n">
        <v>0.210794033918331</v>
      </c>
      <c r="CQ152" s="400" t="n">
        <v>0.182232722296492</v>
      </c>
      <c r="CR152" s="416" t="n">
        <v>2.11018608604791</v>
      </c>
      <c r="CS152" s="416" t="n">
        <v>0.0879244202519961</v>
      </c>
      <c r="CT152" s="416" t="n">
        <v>0.0740534032004823</v>
      </c>
      <c r="CU152" s="416" t="n">
        <v>0.0362617945711439</v>
      </c>
      <c r="CV152" s="416" t="n">
        <v>2.19044004095295</v>
      </c>
      <c r="CW152" s="416"/>
      <c r="CX152" s="416" t="n">
        <v>2.11018608604791</v>
      </c>
      <c r="CY152" s="415"/>
      <c r="DA152" s="407"/>
      <c r="DB152" s="407"/>
      <c r="DC152" s="400" t="s">
        <v>848</v>
      </c>
      <c r="DD152" s="415"/>
    </row>
    <row r="153" s="400" customFormat="true" ht="15" hidden="false" customHeight="false" outlineLevel="0" collapsed="false">
      <c r="B153" s="407"/>
      <c r="C153" s="407"/>
      <c r="D153" s="407"/>
      <c r="E153" s="407"/>
      <c r="F153" s="408"/>
      <c r="I153" s="415" t="s">
        <v>849</v>
      </c>
      <c r="J153" s="416" t="n">
        <v>40</v>
      </c>
      <c r="K153" s="416" t="n">
        <v>40</v>
      </c>
      <c r="L153" s="416" t="n">
        <v>40</v>
      </c>
      <c r="M153" s="416" t="n">
        <v>40</v>
      </c>
      <c r="N153" s="416"/>
      <c r="O153" s="416" t="n">
        <v>40</v>
      </c>
      <c r="P153" s="416" t="n">
        <v>40</v>
      </c>
      <c r="Q153" s="416" t="n">
        <v>40</v>
      </c>
      <c r="R153" s="416" t="n">
        <v>40</v>
      </c>
      <c r="S153" s="416" t="n">
        <v>40</v>
      </c>
      <c r="T153" s="416" t="n">
        <v>40</v>
      </c>
      <c r="U153" s="416" t="n">
        <v>40</v>
      </c>
      <c r="V153" s="416" t="n">
        <v>40</v>
      </c>
      <c r="W153" s="412" t="n">
        <v>40</v>
      </c>
      <c r="Y153" s="416" t="n">
        <v>40</v>
      </c>
      <c r="AA153" s="416" t="n">
        <v>40</v>
      </c>
      <c r="AB153" s="407"/>
      <c r="AC153" s="415"/>
      <c r="AD153" s="415" t="n">
        <v>1</v>
      </c>
      <c r="AE153" s="415" t="n">
        <v>1</v>
      </c>
      <c r="AF153" s="416" t="n">
        <v>1</v>
      </c>
      <c r="AG153" s="415" t="n">
        <v>28</v>
      </c>
      <c r="AH153" s="415" t="n">
        <v>28</v>
      </c>
      <c r="AI153" s="416" t="n">
        <v>28</v>
      </c>
      <c r="AJ153" s="416" t="n">
        <v>28</v>
      </c>
      <c r="AK153" s="415" t="n">
        <v>1</v>
      </c>
      <c r="AL153" s="415" t="n">
        <v>1</v>
      </c>
      <c r="AM153" s="416" t="n">
        <v>1</v>
      </c>
      <c r="AN153" s="416" t="n">
        <v>1</v>
      </c>
      <c r="AO153" s="416" t="n">
        <v>28</v>
      </c>
      <c r="AP153" s="416" t="n">
        <v>28</v>
      </c>
      <c r="AQ153" s="416" t="n">
        <v>28</v>
      </c>
      <c r="AR153" s="416" t="n">
        <v>28</v>
      </c>
      <c r="AS153" s="416"/>
      <c r="AT153" s="415"/>
      <c r="AU153" s="416"/>
      <c r="AW153" s="415" t="n">
        <v>2</v>
      </c>
      <c r="AX153" s="415" t="n">
        <v>2</v>
      </c>
      <c r="AY153" s="416" t="n">
        <v>2</v>
      </c>
      <c r="AZ153" s="415" t="n">
        <v>16</v>
      </c>
      <c r="BA153" s="415" t="n">
        <v>16</v>
      </c>
      <c r="BB153" s="416" t="n">
        <v>16</v>
      </c>
      <c r="BC153" s="416" t="n">
        <v>16</v>
      </c>
      <c r="BD153" s="415" t="n">
        <v>2</v>
      </c>
      <c r="BE153" s="415" t="n">
        <v>2</v>
      </c>
      <c r="BF153" s="416" t="n">
        <v>2</v>
      </c>
      <c r="BG153" s="416" t="n">
        <v>2</v>
      </c>
      <c r="BH153" s="416" t="n">
        <v>16</v>
      </c>
      <c r="BI153" s="416" t="n">
        <v>16</v>
      </c>
      <c r="BJ153" s="415"/>
      <c r="BK153" s="416" t="n">
        <v>30</v>
      </c>
      <c r="BL153" s="415"/>
      <c r="BM153" s="415"/>
      <c r="BN153" s="415"/>
      <c r="BO153" s="416" t="n">
        <v>38</v>
      </c>
      <c r="BP153" s="415" t="n">
        <v>40</v>
      </c>
      <c r="BQ153" s="415"/>
      <c r="BR153" s="416" t="n">
        <v>38</v>
      </c>
      <c r="BS153" s="416"/>
      <c r="BT153" s="416"/>
      <c r="BU153" s="416" t="n">
        <v>40</v>
      </c>
      <c r="BV153" s="416" t="n">
        <v>40</v>
      </c>
      <c r="BW153" s="416" t="n">
        <v>40</v>
      </c>
      <c r="BX153" s="416" t="n">
        <v>40</v>
      </c>
      <c r="BY153" s="416" t="n">
        <v>40</v>
      </c>
      <c r="BZ153" s="416" t="n">
        <v>40</v>
      </c>
      <c r="CA153" s="416" t="n">
        <v>40</v>
      </c>
      <c r="CB153" s="416" t="n">
        <v>40</v>
      </c>
      <c r="CC153" s="416" t="n">
        <v>40</v>
      </c>
      <c r="CD153" s="416" t="n">
        <v>40</v>
      </c>
      <c r="CE153" s="416" t="n">
        <v>40</v>
      </c>
      <c r="CQ153" s="400" t="n">
        <v>29</v>
      </c>
      <c r="CR153" s="416" t="n">
        <v>37</v>
      </c>
      <c r="CS153" s="415" t="n">
        <v>37</v>
      </c>
      <c r="CT153" s="416" t="n">
        <v>36</v>
      </c>
      <c r="CU153" s="416" t="n">
        <v>37</v>
      </c>
      <c r="CV153" s="416" t="n">
        <v>27</v>
      </c>
      <c r="CW153" s="416"/>
      <c r="CX153" s="416" t="n">
        <v>37</v>
      </c>
      <c r="CY153" s="415"/>
      <c r="DA153" s="407"/>
      <c r="DB153" s="407"/>
      <c r="DC153" s="400" t="s">
        <v>849</v>
      </c>
      <c r="DD153" s="415"/>
    </row>
    <row r="154" s="400" customFormat="true" ht="15" hidden="false" customHeight="false" outlineLevel="0" collapsed="false">
      <c r="B154" s="407"/>
      <c r="C154" s="407"/>
      <c r="D154" s="407"/>
      <c r="E154" s="407"/>
      <c r="F154" s="408"/>
      <c r="I154" s="415" t="s">
        <v>850</v>
      </c>
      <c r="J154" s="416" t="n">
        <v>1.5972602739726</v>
      </c>
      <c r="K154" s="417" t="n">
        <v>45202</v>
      </c>
      <c r="L154" s="416" t="n">
        <v>50.8</v>
      </c>
      <c r="M154" s="416" t="n">
        <v>2.75</v>
      </c>
      <c r="N154" s="416"/>
      <c r="O154" s="416" t="n">
        <v>110</v>
      </c>
      <c r="P154" s="416" t="n">
        <v>91</v>
      </c>
      <c r="Q154" s="416" t="n">
        <v>0</v>
      </c>
      <c r="R154" s="416" t="n">
        <v>0</v>
      </c>
      <c r="S154" s="416" t="n">
        <v>0</v>
      </c>
      <c r="T154" s="416" t="n">
        <v>0</v>
      </c>
      <c r="U154" s="416" t="n">
        <v>503</v>
      </c>
      <c r="V154" s="416" t="n">
        <v>772</v>
      </c>
      <c r="W154" s="412" t="n">
        <v>-332</v>
      </c>
      <c r="Y154" s="416" t="n">
        <v>0.115058641977917</v>
      </c>
      <c r="AA154" s="416" t="n">
        <v>0.0839573937042414</v>
      </c>
      <c r="AB154" s="407"/>
      <c r="AC154" s="415"/>
      <c r="AD154" s="418" t="n">
        <v>0</v>
      </c>
      <c r="AE154" s="418" t="n">
        <v>0</v>
      </c>
      <c r="AF154" s="416" t="n">
        <v>0</v>
      </c>
      <c r="AG154" s="418" t="n">
        <v>45434.2611111111</v>
      </c>
      <c r="AH154" s="418" t="n">
        <v>45434.2686111111</v>
      </c>
      <c r="AI154" s="416" t="n">
        <v>0</v>
      </c>
      <c r="AJ154" s="416" t="n">
        <v>1</v>
      </c>
      <c r="AK154" s="418" t="n">
        <v>0</v>
      </c>
      <c r="AL154" s="418" t="n">
        <v>0</v>
      </c>
      <c r="AM154" s="416" t="n">
        <v>0</v>
      </c>
      <c r="AN154" s="416" t="n">
        <v>0</v>
      </c>
      <c r="AO154" s="416" t="n">
        <v>22.7666666666628</v>
      </c>
      <c r="AP154" s="416" t="n">
        <v>57.7666666666628</v>
      </c>
      <c r="AQ154" s="416" t="n">
        <v>1</v>
      </c>
      <c r="AR154" s="416" t="n">
        <v>1</v>
      </c>
      <c r="AS154" s="416"/>
      <c r="AT154" s="418"/>
      <c r="AU154" s="416"/>
      <c r="AW154" s="418" t="n">
        <v>45446.490462963</v>
      </c>
      <c r="AX154" s="418" t="n">
        <v>45453.6467824074</v>
      </c>
      <c r="AY154" s="416" t="n">
        <v>171.751666666707</v>
      </c>
      <c r="AZ154" s="418" t="n">
        <v>45446.490462963</v>
      </c>
      <c r="BA154" s="418" t="n">
        <v>45446.490462963</v>
      </c>
      <c r="BB154" s="416" t="n">
        <v>0</v>
      </c>
      <c r="BC154" s="416" t="n">
        <v>1</v>
      </c>
      <c r="BD154" s="418" t="n">
        <v>45453.6467824074</v>
      </c>
      <c r="BE154" s="418" t="n">
        <v>45453.6467824074</v>
      </c>
      <c r="BF154" s="416" t="n">
        <v>0</v>
      </c>
      <c r="BG154" s="416" t="n">
        <v>1</v>
      </c>
      <c r="BH154" s="416" t="n">
        <v>1</v>
      </c>
      <c r="BI154" s="416" t="n">
        <v>1</v>
      </c>
      <c r="BJ154" s="415"/>
      <c r="BK154" s="416" t="n">
        <v>1</v>
      </c>
      <c r="BL154" s="415"/>
      <c r="BM154" s="415"/>
      <c r="BN154" s="418"/>
      <c r="BO154" s="416" t="n">
        <v>1</v>
      </c>
      <c r="BP154" s="417" t="n">
        <v>45581</v>
      </c>
      <c r="BQ154" s="418"/>
      <c r="BR154" s="416" t="n">
        <v>145.375</v>
      </c>
      <c r="BS154" s="416"/>
      <c r="BT154" s="416"/>
      <c r="BU154" s="416" t="n">
        <v>0.2</v>
      </c>
      <c r="BV154" s="416" t="n">
        <v>0.2</v>
      </c>
      <c r="BW154" s="416" t="n">
        <v>0.2</v>
      </c>
      <c r="BX154" s="416" t="n">
        <v>0.2</v>
      </c>
      <c r="BY154" s="416" t="n">
        <v>0.2</v>
      </c>
      <c r="BZ154" s="416" t="n">
        <v>0.2</v>
      </c>
      <c r="CA154" s="416" t="n">
        <v>0.2</v>
      </c>
      <c r="CB154" s="416" t="n">
        <v>0.2</v>
      </c>
      <c r="CC154" s="416" t="n">
        <v>0.2</v>
      </c>
      <c r="CD154" s="416" t="n">
        <v>0.2</v>
      </c>
      <c r="CE154" s="416" t="n">
        <v>0.2</v>
      </c>
      <c r="CQ154" s="400" t="n">
        <v>4</v>
      </c>
      <c r="CR154" s="416" t="n">
        <v>36</v>
      </c>
      <c r="CS154" s="418" t="n">
        <v>45434.75</v>
      </c>
      <c r="CT154" s="416" t="n">
        <v>1</v>
      </c>
      <c r="CU154" s="416" t="n">
        <v>0.16742</v>
      </c>
      <c r="CV154" s="416" t="n">
        <v>-11.6666666666279</v>
      </c>
      <c r="CW154" s="416"/>
      <c r="CX154" s="416" t="n">
        <v>-51</v>
      </c>
      <c r="CY154" s="415"/>
      <c r="DA154" s="407"/>
      <c r="DB154" s="407"/>
      <c r="DC154" s="400" t="s">
        <v>850</v>
      </c>
      <c r="DD154" s="415"/>
    </row>
    <row r="155" s="400" customFormat="true" ht="15" hidden="false" customHeight="false" outlineLevel="0" collapsed="false">
      <c r="B155" s="407"/>
      <c r="C155" s="407"/>
      <c r="D155" s="407"/>
      <c r="E155" s="407"/>
      <c r="F155" s="408"/>
      <c r="I155" s="415" t="s">
        <v>851</v>
      </c>
      <c r="J155" s="416" t="n">
        <v>5.61643835616438</v>
      </c>
      <c r="K155" s="417" t="n">
        <v>45323</v>
      </c>
      <c r="L155" s="416" t="n">
        <v>94.9</v>
      </c>
      <c r="M155" s="416" t="n">
        <v>4</v>
      </c>
      <c r="N155" s="416"/>
      <c r="O155" s="416" t="n">
        <v>231</v>
      </c>
      <c r="P155" s="416" t="n">
        <v>349</v>
      </c>
      <c r="Q155" s="416" t="n">
        <v>3486</v>
      </c>
      <c r="R155" s="416" t="n">
        <v>3103</v>
      </c>
      <c r="S155" s="416" t="n">
        <v>2612</v>
      </c>
      <c r="T155" s="416" t="n">
        <v>2086</v>
      </c>
      <c r="U155" s="416" t="n">
        <v>1959</v>
      </c>
      <c r="V155" s="416" t="n">
        <v>2145</v>
      </c>
      <c r="W155" s="412" t="n">
        <v>37</v>
      </c>
      <c r="Y155" s="416" t="n">
        <v>0.881144986687426</v>
      </c>
      <c r="AA155" s="416" t="n">
        <v>0.982707076224491</v>
      </c>
      <c r="AB155" s="407"/>
      <c r="AC155" s="415"/>
      <c r="AD155" s="418" t="n">
        <v>0</v>
      </c>
      <c r="AE155" s="418" t="n">
        <v>0</v>
      </c>
      <c r="AF155" s="416" t="n">
        <v>0</v>
      </c>
      <c r="AG155" s="418" t="n">
        <v>45437.2937615741</v>
      </c>
      <c r="AH155" s="418" t="n">
        <v>45438.3819675926</v>
      </c>
      <c r="AI155" s="416" t="n">
        <v>31.9561111110379</v>
      </c>
      <c r="AJ155" s="416" t="n">
        <v>31.9561111110379</v>
      </c>
      <c r="AK155" s="418" t="n">
        <v>0</v>
      </c>
      <c r="AL155" s="418" t="n">
        <v>0</v>
      </c>
      <c r="AM155" s="416" t="n">
        <v>0</v>
      </c>
      <c r="AN155" s="416" t="n">
        <v>0</v>
      </c>
      <c r="AO155" s="416" t="n">
        <v>95.5502777777729</v>
      </c>
      <c r="AP155" s="416" t="n">
        <v>130.550277777773</v>
      </c>
      <c r="AQ155" s="416" t="n">
        <v>33</v>
      </c>
      <c r="AR155" s="416" t="n">
        <v>2</v>
      </c>
      <c r="AS155" s="416"/>
      <c r="AT155" s="418"/>
      <c r="AU155" s="416"/>
      <c r="AW155" s="418" t="n">
        <v>45448.7446296296</v>
      </c>
      <c r="AX155" s="418" t="n">
        <v>45456.4585763889</v>
      </c>
      <c r="AY155" s="416" t="n">
        <v>185.134722222167</v>
      </c>
      <c r="AZ155" s="418" t="n">
        <v>45461.7336342593</v>
      </c>
      <c r="BA155" s="418" t="n">
        <v>45461.7336342593</v>
      </c>
      <c r="BB155" s="416" t="n">
        <v>35.5791666666046</v>
      </c>
      <c r="BC155" s="416" t="n">
        <v>35.5791666666046</v>
      </c>
      <c r="BD155" s="418" t="n">
        <v>45456.4585532407</v>
      </c>
      <c r="BE155" s="418" t="n">
        <v>45456.4585763889</v>
      </c>
      <c r="BF155" s="416" t="n">
        <v>0.000555555510800332</v>
      </c>
      <c r="BG155" s="416" t="n">
        <v>1</v>
      </c>
      <c r="BH155" s="416" t="n">
        <v>126</v>
      </c>
      <c r="BI155" s="416" t="n">
        <v>3</v>
      </c>
      <c r="BJ155" s="415"/>
      <c r="BK155" s="416" t="n">
        <v>3</v>
      </c>
      <c r="BL155" s="415"/>
      <c r="BM155" s="415"/>
      <c r="BN155" s="418"/>
      <c r="BO155" s="416" t="n">
        <v>2</v>
      </c>
      <c r="BP155" s="417" t="n">
        <v>45667</v>
      </c>
      <c r="BQ155" s="418"/>
      <c r="BR155" s="416" t="n">
        <v>231.375</v>
      </c>
      <c r="BS155" s="416"/>
      <c r="BT155" s="416"/>
      <c r="BU155" s="416" t="n">
        <v>3.8429</v>
      </c>
      <c r="BV155" s="416" t="n">
        <v>2.9753</v>
      </c>
      <c r="BW155" s="416" t="n">
        <v>1.0453</v>
      </c>
      <c r="BX155" s="416" t="n">
        <v>1.0054</v>
      </c>
      <c r="BY155" s="416" t="n">
        <v>0.9547</v>
      </c>
      <c r="BZ155" s="416" t="n">
        <v>0.84514</v>
      </c>
      <c r="CA155" s="416" t="n">
        <v>1.2573</v>
      </c>
      <c r="CB155" s="416" t="n">
        <v>2.1436</v>
      </c>
      <c r="CC155" s="416" t="n">
        <v>3.8152</v>
      </c>
      <c r="CD155" s="416" t="n">
        <v>4.0149</v>
      </c>
      <c r="CE155" s="416" t="n">
        <v>4.609</v>
      </c>
      <c r="CQ155" s="400" t="n">
        <v>7</v>
      </c>
      <c r="CR155" s="416" t="n">
        <v>108</v>
      </c>
      <c r="CS155" s="418" t="n">
        <v>45437.75</v>
      </c>
      <c r="CT155" s="416" t="n">
        <v>2.5</v>
      </c>
      <c r="CU155" s="416" t="n">
        <v>1.095</v>
      </c>
      <c r="CV155" s="416" t="n">
        <v>39.6752777777729</v>
      </c>
      <c r="CW155" s="416"/>
      <c r="CX155" s="416" t="n">
        <v>21</v>
      </c>
      <c r="CY155" s="415"/>
      <c r="DA155" s="407"/>
      <c r="DB155" s="407"/>
      <c r="DC155" s="400" t="s">
        <v>851</v>
      </c>
      <c r="DD155" s="415"/>
    </row>
    <row r="156" s="400" customFormat="true" ht="15" hidden="false" customHeight="false" outlineLevel="0" collapsed="false">
      <c r="B156" s="407"/>
      <c r="C156" s="407"/>
      <c r="D156" s="407"/>
      <c r="E156" s="407"/>
      <c r="F156" s="408"/>
      <c r="I156" s="415" t="s">
        <v>852</v>
      </c>
      <c r="J156" s="416" t="n">
        <v>4.01917808219178</v>
      </c>
      <c r="K156" s="416" t="n">
        <v>121</v>
      </c>
      <c r="L156" s="416" t="n">
        <v>44.1</v>
      </c>
      <c r="M156" s="416" t="n">
        <v>1.25</v>
      </c>
      <c r="N156" s="416"/>
      <c r="O156" s="416" t="n">
        <v>121</v>
      </c>
      <c r="P156" s="416" t="n">
        <v>258</v>
      </c>
      <c r="Q156" s="416" t="n">
        <v>3486</v>
      </c>
      <c r="R156" s="416" t="n">
        <v>3103</v>
      </c>
      <c r="S156" s="416" t="n">
        <v>2612</v>
      </c>
      <c r="T156" s="416" t="n">
        <v>2086</v>
      </c>
      <c r="U156" s="416" t="n">
        <v>1456</v>
      </c>
      <c r="V156" s="416" t="n">
        <v>1373</v>
      </c>
      <c r="W156" s="412" t="n">
        <v>369</v>
      </c>
      <c r="Y156" s="416" t="n">
        <v>0.766086344709509</v>
      </c>
      <c r="AA156" s="416" t="n">
        <v>0.89874968252025</v>
      </c>
      <c r="AB156" s="407"/>
      <c r="AC156" s="415"/>
      <c r="AD156" s="416" t="n">
        <v>0</v>
      </c>
      <c r="AE156" s="416" t="n">
        <v>0</v>
      </c>
      <c r="AF156" s="416" t="n">
        <v>0</v>
      </c>
      <c r="AG156" s="416" t="n">
        <v>3.03265046296292</v>
      </c>
      <c r="AH156" s="416" t="n">
        <v>4.11335648148088</v>
      </c>
      <c r="AI156" s="416" t="n">
        <v>31.9561111110379</v>
      </c>
      <c r="AJ156" s="416" t="n">
        <v>30.9561111110379</v>
      </c>
      <c r="AK156" s="416" t="n">
        <v>0</v>
      </c>
      <c r="AL156" s="416" t="n">
        <v>0</v>
      </c>
      <c r="AM156" s="416" t="n">
        <v>0</v>
      </c>
      <c r="AN156" s="416" t="n">
        <v>0</v>
      </c>
      <c r="AO156" s="416" t="n">
        <v>72.7836111111101</v>
      </c>
      <c r="AP156" s="416" t="n">
        <v>72.7836111111101</v>
      </c>
      <c r="AQ156" s="416" t="n">
        <v>32</v>
      </c>
      <c r="AR156" s="416" t="n">
        <v>1</v>
      </c>
      <c r="AS156" s="416"/>
      <c r="AT156" s="416"/>
      <c r="AU156" s="416"/>
      <c r="AW156" s="416" t="n">
        <v>2.25416666667297</v>
      </c>
      <c r="AX156" s="416" t="n">
        <v>2.81179398148379</v>
      </c>
      <c r="AY156" s="416" t="n">
        <v>13.3830555554596</v>
      </c>
      <c r="AZ156" s="416" t="n">
        <v>15.2431712963007</v>
      </c>
      <c r="BA156" s="416" t="n">
        <v>15.2431712963007</v>
      </c>
      <c r="BB156" s="416" t="n">
        <v>35.5791666666046</v>
      </c>
      <c r="BC156" s="416" t="n">
        <v>34.5791666666046</v>
      </c>
      <c r="BD156" s="416" t="n">
        <v>2.81177083333751</v>
      </c>
      <c r="BE156" s="416" t="n">
        <v>2.81179398148379</v>
      </c>
      <c r="BF156" s="416" t="n">
        <v>0.000555555510800332</v>
      </c>
      <c r="BG156" s="416" t="n">
        <v>0</v>
      </c>
      <c r="BH156" s="416" t="n">
        <v>125</v>
      </c>
      <c r="BI156" s="416" t="n">
        <v>2</v>
      </c>
      <c r="BK156" s="416" t="n">
        <v>2</v>
      </c>
      <c r="BN156" s="416"/>
      <c r="BO156" s="416" t="n">
        <v>1</v>
      </c>
      <c r="BP156" s="415" t="n">
        <v>86</v>
      </c>
      <c r="BQ156" s="416"/>
      <c r="BR156" s="416" t="n">
        <v>86</v>
      </c>
      <c r="BS156" s="416"/>
      <c r="BT156" s="416"/>
      <c r="BU156" s="416" t="n">
        <v>3.6429</v>
      </c>
      <c r="BV156" s="416" t="n">
        <v>2.7753</v>
      </c>
      <c r="BW156" s="416" t="n">
        <v>0.8453</v>
      </c>
      <c r="BX156" s="416" t="n">
        <v>0.8054</v>
      </c>
      <c r="BY156" s="416" t="n">
        <v>0.7547</v>
      </c>
      <c r="BZ156" s="416" t="n">
        <v>0.64514</v>
      </c>
      <c r="CA156" s="416" t="n">
        <v>1.0573</v>
      </c>
      <c r="CB156" s="416" t="n">
        <v>1.9436</v>
      </c>
      <c r="CC156" s="416" t="n">
        <v>3.6152</v>
      </c>
      <c r="CD156" s="416" t="n">
        <v>3.8149</v>
      </c>
      <c r="CE156" s="416" t="n">
        <v>4.409</v>
      </c>
      <c r="CQ156" s="400" t="n">
        <v>3</v>
      </c>
      <c r="CR156" s="416" t="n">
        <v>72</v>
      </c>
      <c r="CS156" s="416" t="n">
        <v>3</v>
      </c>
      <c r="CT156" s="416" t="n">
        <v>1.5</v>
      </c>
      <c r="CU156" s="416" t="n">
        <v>0.92758</v>
      </c>
      <c r="CV156" s="416" t="n">
        <v>51.3419444444007</v>
      </c>
      <c r="CW156" s="416"/>
      <c r="CX156" s="416" t="n">
        <v>72</v>
      </c>
      <c r="DA156" s="407"/>
      <c r="DB156" s="407"/>
      <c r="DC156" s="400" t="s">
        <v>852</v>
      </c>
      <c r="DD156" s="415"/>
    </row>
    <row r="157" s="400" customFormat="true" ht="15" hidden="false" customHeight="false" outlineLevel="0" collapsed="false">
      <c r="B157" s="407"/>
      <c r="C157" s="407"/>
      <c r="D157" s="407"/>
      <c r="E157" s="407"/>
      <c r="F157" s="408"/>
      <c r="J157" s="415"/>
      <c r="K157" s="415"/>
      <c r="L157" s="415"/>
      <c r="M157" s="415"/>
      <c r="N157" s="415"/>
      <c r="O157" s="415"/>
      <c r="P157" s="415"/>
      <c r="Q157" s="415"/>
      <c r="R157" s="415"/>
      <c r="S157" s="415"/>
      <c r="T157" s="415"/>
      <c r="U157" s="415"/>
      <c r="V157" s="415"/>
      <c r="W157" s="419"/>
      <c r="Y157" s="415"/>
      <c r="AA157" s="415"/>
      <c r="AB157" s="407"/>
      <c r="AD157" s="415"/>
      <c r="AE157" s="415"/>
      <c r="AF157" s="415"/>
      <c r="AG157" s="415"/>
      <c r="AH157" s="415"/>
      <c r="AI157" s="415"/>
      <c r="AJ157" s="415"/>
      <c r="AK157" s="415"/>
      <c r="AL157" s="415"/>
      <c r="AM157" s="415"/>
      <c r="AN157" s="415"/>
      <c r="AO157" s="415"/>
      <c r="AP157" s="415"/>
      <c r="AQ157" s="415"/>
      <c r="AR157" s="415"/>
      <c r="AS157" s="415"/>
      <c r="AT157" s="415"/>
      <c r="AU157" s="415"/>
      <c r="AW157" s="415"/>
      <c r="AX157" s="415"/>
      <c r="AY157" s="415"/>
      <c r="AZ157" s="415"/>
      <c r="BA157" s="415"/>
      <c r="BB157" s="415"/>
      <c r="BC157" s="415"/>
      <c r="BD157" s="415"/>
      <c r="BE157" s="415"/>
      <c r="BG157" s="415"/>
      <c r="BH157" s="415"/>
      <c r="BI157" s="415"/>
      <c r="BK157" s="415"/>
      <c r="BN157" s="415"/>
      <c r="BO157" s="415"/>
      <c r="BP157" s="415"/>
      <c r="BQ157" s="415"/>
      <c r="BR157" s="415"/>
      <c r="BS157" s="415"/>
      <c r="BT157" s="415"/>
      <c r="BU157" s="415"/>
      <c r="BV157" s="415"/>
      <c r="BW157" s="415"/>
      <c r="BX157" s="415"/>
      <c r="BY157" s="415"/>
      <c r="BZ157" s="415"/>
      <c r="CA157" s="415"/>
      <c r="CB157" s="415"/>
      <c r="CC157" s="415"/>
      <c r="CD157" s="415"/>
      <c r="CE157" s="415"/>
      <c r="CR157" s="415"/>
      <c r="CS157" s="415"/>
      <c r="CT157" s="415"/>
      <c r="CU157" s="415"/>
      <c r="CV157" s="415"/>
      <c r="CW157" s="415"/>
      <c r="CX157" s="415"/>
      <c r="DA157" s="407"/>
      <c r="DB157" s="407"/>
    </row>
    <row r="158" s="400" customFormat="true" ht="15" hidden="false" customHeight="false" outlineLevel="0" collapsed="false">
      <c r="B158" s="407"/>
      <c r="C158" s="407"/>
      <c r="D158" s="407"/>
      <c r="E158" s="407"/>
      <c r="F158" s="408"/>
      <c r="H158" s="414" t="s">
        <v>192</v>
      </c>
      <c r="I158" s="415" t="s">
        <v>846</v>
      </c>
      <c r="J158" s="416" t="n">
        <v>4.03493150684932</v>
      </c>
      <c r="K158" s="417" t="n">
        <v>45225.5375</v>
      </c>
      <c r="L158" s="416" t="n">
        <v>68.45875</v>
      </c>
      <c r="M158" s="416" t="n">
        <v>3.29375</v>
      </c>
      <c r="N158" s="416"/>
      <c r="O158" s="416" t="n">
        <v>207.4625</v>
      </c>
      <c r="P158" s="416" t="n">
        <v>270.126582278481</v>
      </c>
      <c r="Q158" s="416" t="n">
        <v>1731.475</v>
      </c>
      <c r="R158" s="416" t="n">
        <v>1669.675</v>
      </c>
      <c r="S158" s="416" t="n">
        <v>1679.2125</v>
      </c>
      <c r="T158" s="416" t="n">
        <v>1525.375</v>
      </c>
      <c r="U158" s="416" t="n">
        <v>1453.7625</v>
      </c>
      <c r="V158" s="416" t="n">
        <v>1304.8625</v>
      </c>
      <c r="W158" s="412" t="n">
        <v>-44.375</v>
      </c>
      <c r="Y158" s="416" t="n">
        <v>0.67658707419791</v>
      </c>
      <c r="AA158" s="416" t="n">
        <v>0.786475031642555</v>
      </c>
      <c r="AB158" s="407"/>
      <c r="AC158" s="415"/>
      <c r="AD158" s="418" t="n">
        <v>45434.3416589506</v>
      </c>
      <c r="AE158" s="418" t="n">
        <v>45443.5880015432</v>
      </c>
      <c r="AF158" s="416" t="n">
        <v>221.912222222309</v>
      </c>
      <c r="AG158" s="418" t="n">
        <v>45435.5727329546</v>
      </c>
      <c r="AH158" s="418" t="n">
        <v>45435.9760934343</v>
      </c>
      <c r="AI158" s="416" t="n">
        <v>9.68065151515819</v>
      </c>
      <c r="AJ158" s="416" t="n">
        <v>10.0497626262653</v>
      </c>
      <c r="AK158" s="418" t="n">
        <v>45443.5879899691</v>
      </c>
      <c r="AL158" s="418" t="n">
        <v>45443.5880015432</v>
      </c>
      <c r="AM158" s="416" t="n">
        <v>0.000277777784503996</v>
      </c>
      <c r="AN158" s="416" t="n">
        <v>1</v>
      </c>
      <c r="AO158" s="416" t="n">
        <v>54.2455909090815</v>
      </c>
      <c r="AP158" s="416" t="n">
        <v>89.2455909090815</v>
      </c>
      <c r="AQ158" s="416" t="n">
        <v>8.41818181818182</v>
      </c>
      <c r="AR158" s="416" t="n">
        <v>1.52830188679245</v>
      </c>
      <c r="AS158" s="416"/>
      <c r="AT158" s="418"/>
      <c r="AU158" s="416"/>
      <c r="AW158" s="418" t="n">
        <v>45450.3385590278</v>
      </c>
      <c r="AX158" s="418" t="n">
        <v>45454.561099537</v>
      </c>
      <c r="AY158" s="416" t="n">
        <v>101.340972222228</v>
      </c>
      <c r="AZ158" s="418" t="n">
        <v>45453.8442399691</v>
      </c>
      <c r="BA158" s="418" t="n">
        <v>45454.296640625</v>
      </c>
      <c r="BB158" s="416" t="n">
        <v>10.8576157407224</v>
      </c>
      <c r="BC158" s="416" t="n">
        <v>11.1765972222105</v>
      </c>
      <c r="BD158" s="418" t="e">
        <f aca="false">#DIV/0!</f>
        <v>#DIV/0!</v>
      </c>
      <c r="BE158" s="418" t="e">
        <f aca="false">#DIV/0!</f>
        <v>#DIV/0!</v>
      </c>
      <c r="BF158" s="416" t="e">
        <f aca="false">#DIV/0!</f>
        <v>#DIV/0!</v>
      </c>
      <c r="BG158" s="416" t="e">
        <f aca="false">#DIV/0!</f>
        <v>#DIV/0!</v>
      </c>
      <c r="BH158" s="416" t="n">
        <v>19.2222222222222</v>
      </c>
      <c r="BI158" s="416" t="n">
        <v>1.8</v>
      </c>
      <c r="BJ158" s="415"/>
      <c r="BK158" s="416" t="n">
        <v>1.33962264150943</v>
      </c>
      <c r="BL158" s="415"/>
      <c r="BM158" s="415"/>
      <c r="BN158" s="418"/>
      <c r="BO158" s="416" t="n">
        <v>1.39189189189189</v>
      </c>
      <c r="BP158" s="417" t="n">
        <v>45591.1891891892</v>
      </c>
      <c r="BQ158" s="418"/>
      <c r="BR158" s="416" t="n">
        <v>155.564189189189</v>
      </c>
      <c r="BS158" s="416"/>
      <c r="BT158" s="416"/>
      <c r="BU158" s="416" t="n">
        <v>0.652196250000001</v>
      </c>
      <c r="BV158" s="416" t="n">
        <v>0.943651750000001</v>
      </c>
      <c r="BW158" s="416" t="n">
        <v>0.443161125</v>
      </c>
      <c r="BX158" s="416" t="n">
        <v>0.4244068125</v>
      </c>
      <c r="BY158" s="416" t="n">
        <v>0.499904500000001</v>
      </c>
      <c r="BZ158" s="416" t="n">
        <v>0.494267875000001</v>
      </c>
      <c r="CA158" s="416" t="n">
        <v>0.621826000000001</v>
      </c>
      <c r="CB158" s="416" t="n">
        <v>0.956036375000001</v>
      </c>
      <c r="CC158" s="416" t="n">
        <v>1.273876125</v>
      </c>
      <c r="CD158" s="416" t="n">
        <v>1.71332025</v>
      </c>
      <c r="CE158" s="416" t="n">
        <v>1.84511825</v>
      </c>
      <c r="CQ158" s="400" t="n">
        <v>5.01923076923077</v>
      </c>
      <c r="CR158" s="416" t="n">
        <v>59.8333333333333</v>
      </c>
      <c r="CS158" s="418" t="n">
        <v>45435.7430555556</v>
      </c>
      <c r="CT158" s="416" t="n">
        <v>1.41428571428571</v>
      </c>
      <c r="CU158" s="416" t="n">
        <v>0.402297916666667</v>
      </c>
      <c r="CV158" s="416" t="n">
        <v>3.23031970650893</v>
      </c>
      <c r="CW158" s="416"/>
      <c r="CX158" s="416" t="n">
        <v>-2.83333333333333</v>
      </c>
      <c r="CY158" s="415"/>
      <c r="DA158" s="407"/>
      <c r="DB158" s="407"/>
      <c r="DC158" s="414" t="s">
        <v>846</v>
      </c>
      <c r="DD158" s="415"/>
    </row>
    <row r="159" s="400" customFormat="true" ht="15" hidden="false" customHeight="false" outlineLevel="0" collapsed="false">
      <c r="B159" s="407"/>
      <c r="C159" s="407"/>
      <c r="D159" s="407"/>
      <c r="E159" s="407"/>
      <c r="F159" s="408"/>
      <c r="I159" s="415" t="s">
        <v>847</v>
      </c>
      <c r="J159" s="416" t="n">
        <v>1.71521748358844</v>
      </c>
      <c r="K159" s="416" t="n">
        <v>35.7072994523139</v>
      </c>
      <c r="L159" s="416" t="n">
        <v>9.18997381230686</v>
      </c>
      <c r="M159" s="416" t="n">
        <v>0.383139512548561</v>
      </c>
      <c r="N159" s="416"/>
      <c r="O159" s="416" t="n">
        <v>35.7072994523139</v>
      </c>
      <c r="P159" s="416" t="n">
        <v>75.5432236755728</v>
      </c>
      <c r="Q159" s="416" t="n">
        <v>1274.39330787813</v>
      </c>
      <c r="R159" s="416" t="n">
        <v>944.721374436112</v>
      </c>
      <c r="S159" s="416" t="n">
        <v>741.017119905924</v>
      </c>
      <c r="T159" s="416" t="n">
        <v>601.194662444618</v>
      </c>
      <c r="U159" s="416" t="n">
        <v>380.091302947002</v>
      </c>
      <c r="V159" s="416" t="n">
        <v>384.847454367197</v>
      </c>
      <c r="W159" s="412" t="n">
        <v>87.5518472070526</v>
      </c>
      <c r="Y159" s="416" t="n">
        <v>0.225768588121805</v>
      </c>
      <c r="AA159" s="416" t="n">
        <v>0.254937566042653</v>
      </c>
      <c r="AB159" s="407"/>
      <c r="AC159" s="415"/>
      <c r="AD159" s="416" t="n">
        <v>1.26947155038601</v>
      </c>
      <c r="AE159" s="416" t="n">
        <v>1.00690393585548</v>
      </c>
      <c r="AF159" s="416" t="n">
        <v>53.5090625098575</v>
      </c>
      <c r="AG159" s="416" t="n">
        <v>1.93695940537115</v>
      </c>
      <c r="AH159" s="416" t="n">
        <v>1.78405841770905</v>
      </c>
      <c r="AI159" s="416" t="n">
        <v>13.4720885670885</v>
      </c>
      <c r="AJ159" s="416" t="n">
        <v>13.2086665841839</v>
      </c>
      <c r="AK159" s="416" t="n">
        <v>1.0068866230552</v>
      </c>
      <c r="AL159" s="416" t="n">
        <v>1.00690393585548</v>
      </c>
      <c r="AM159" s="416" t="n">
        <v>0.00048112523597484</v>
      </c>
      <c r="AN159" s="416" t="n">
        <v>0</v>
      </c>
      <c r="AO159" s="416" t="n">
        <v>46.4870257289076</v>
      </c>
      <c r="AP159" s="416" t="n">
        <v>46.4870257289076</v>
      </c>
      <c r="AQ159" s="416" t="n">
        <v>12.778295993005</v>
      </c>
      <c r="AR159" s="416" t="n">
        <v>0.696247457802448</v>
      </c>
      <c r="AS159" s="416"/>
      <c r="AT159" s="416"/>
      <c r="AU159" s="416"/>
      <c r="AW159" s="416" t="n">
        <v>0.562290908793309</v>
      </c>
      <c r="AX159" s="416" t="n">
        <v>1.80954011787338</v>
      </c>
      <c r="AY159" s="416" t="n">
        <v>55.4214097615681</v>
      </c>
      <c r="AZ159" s="416" t="n">
        <v>3.48578049718088</v>
      </c>
      <c r="BA159" s="416" t="n">
        <v>3.48865827314284</v>
      </c>
      <c r="BB159" s="416" t="n">
        <v>12.3104411651816</v>
      </c>
      <c r="BC159" s="416" t="n">
        <v>12.0271769589132</v>
      </c>
      <c r="BD159" s="416" t="e">
        <f aca="false">#DIV/0!</f>
        <v>#DIV/0!</v>
      </c>
      <c r="BE159" s="416" t="e">
        <f aca="false">#DIV/0!</f>
        <v>#DIV/0!</v>
      </c>
      <c r="BF159" s="416" t="e">
        <f aca="false">#DIV/0!</f>
        <v>#DIV/0!</v>
      </c>
      <c r="BG159" s="416" t="e">
        <f aca="false">#DIV/0!</f>
        <v>#DIV/0!</v>
      </c>
      <c r="BH159" s="416" t="n">
        <v>23.0627852500964</v>
      </c>
      <c r="BI159" s="416" t="n">
        <v>0.933053179242275</v>
      </c>
      <c r="BJ159" s="415"/>
      <c r="BK159" s="416" t="n">
        <v>0.516772388016199</v>
      </c>
      <c r="BL159" s="415"/>
      <c r="BM159" s="415"/>
      <c r="BN159" s="416"/>
      <c r="BO159" s="416" t="n">
        <v>0.49150502910142</v>
      </c>
      <c r="BP159" s="416" t="n">
        <v>15.5560635895484</v>
      </c>
      <c r="BQ159" s="416"/>
      <c r="BR159" s="416" t="n">
        <v>15.5560635895484</v>
      </c>
      <c r="BS159" s="416"/>
      <c r="BT159" s="416"/>
      <c r="BU159" s="416" t="n">
        <v>1.09334824308134</v>
      </c>
      <c r="BV159" s="416" t="n">
        <v>1.49582896102121</v>
      </c>
      <c r="BW159" s="416" t="n">
        <v>1.04138556178957</v>
      </c>
      <c r="BX159" s="416" t="n">
        <v>0.852726976657326</v>
      </c>
      <c r="BY159" s="416" t="n">
        <v>1.10239174505565</v>
      </c>
      <c r="BZ159" s="416" t="n">
        <v>1.09042031657603</v>
      </c>
      <c r="CA159" s="416" t="n">
        <v>0.987398887029882</v>
      </c>
      <c r="CB159" s="416" t="n">
        <v>1.20292967119808</v>
      </c>
      <c r="CC159" s="416" t="n">
        <v>1.05591791769057</v>
      </c>
      <c r="CD159" s="416" t="n">
        <v>1.41091110734171</v>
      </c>
      <c r="CE159" s="416" t="n">
        <v>1.66215267703409</v>
      </c>
      <c r="CQ159" s="400" t="n">
        <v>0.980003693778246</v>
      </c>
      <c r="CR159" s="416" t="n">
        <v>17.14807097105</v>
      </c>
      <c r="CS159" s="416" t="n">
        <v>0.714502957127085</v>
      </c>
      <c r="CT159" s="416" t="n">
        <v>0.466030326277542</v>
      </c>
      <c r="CU159" s="416" t="n">
        <v>0.196009414468763</v>
      </c>
      <c r="CV159" s="416" t="n">
        <v>45.587249153786</v>
      </c>
      <c r="CW159" s="416"/>
      <c r="CX159" s="416" t="n">
        <v>17.14807097105</v>
      </c>
      <c r="CY159" s="415"/>
      <c r="DA159" s="407"/>
      <c r="DB159" s="407"/>
      <c r="DC159" s="400" t="s">
        <v>847</v>
      </c>
      <c r="DD159" s="415"/>
    </row>
    <row r="160" s="400" customFormat="true" ht="15" hidden="false" customHeight="false" outlineLevel="0" collapsed="false">
      <c r="B160" s="407"/>
      <c r="C160" s="407"/>
      <c r="D160" s="407"/>
      <c r="E160" s="407"/>
      <c r="F160" s="408"/>
      <c r="I160" s="415" t="s">
        <v>848</v>
      </c>
      <c r="J160" s="416" t="n">
        <v>0.191767144474995</v>
      </c>
      <c r="K160" s="416" t="n">
        <v>3.99219744341574</v>
      </c>
      <c r="L160" s="416" t="n">
        <v>1.02747030778805</v>
      </c>
      <c r="M160" s="416" t="n">
        <v>0.0428362997462358</v>
      </c>
      <c r="N160" s="416"/>
      <c r="O160" s="416" t="n">
        <v>3.99219744341575</v>
      </c>
      <c r="P160" s="416" t="n">
        <v>8.44598916890262</v>
      </c>
      <c r="Q160" s="416" t="n">
        <v>142.481503324316</v>
      </c>
      <c r="R160" s="416" t="n">
        <v>105.623060651809</v>
      </c>
      <c r="S160" s="416" t="n">
        <v>82.8482326300379</v>
      </c>
      <c r="T160" s="416" t="n">
        <v>67.2156066468103</v>
      </c>
      <c r="U160" s="416" t="n">
        <v>42.4954995522981</v>
      </c>
      <c r="V160" s="416" t="n">
        <v>43.02725344664</v>
      </c>
      <c r="W160" s="412" t="n">
        <v>9.78859409553224</v>
      </c>
      <c r="Y160" s="416" t="n">
        <v>0.0254009506904993</v>
      </c>
      <c r="AA160" s="416" t="n">
        <v>0.0286827171046118</v>
      </c>
      <c r="AB160" s="407"/>
      <c r="AC160" s="415"/>
      <c r="AD160" s="416" t="n">
        <v>0.732929741343935</v>
      </c>
      <c r="AE160" s="416" t="n">
        <v>0.581336258414257</v>
      </c>
      <c r="AF160" s="416" t="n">
        <v>30.8934716441507</v>
      </c>
      <c r="AG160" s="416" t="n">
        <v>0.261179552939622</v>
      </c>
      <c r="AH160" s="416" t="n">
        <v>0.240562387969166</v>
      </c>
      <c r="AI160" s="416" t="n">
        <v>1.81657605180473</v>
      </c>
      <c r="AJ160" s="416" t="n">
        <v>1.78105623887593</v>
      </c>
      <c r="AK160" s="416" t="n">
        <v>0.58132626286435</v>
      </c>
      <c r="AL160" s="416" t="n">
        <v>0.581336258414257</v>
      </c>
      <c r="AM160" s="416" t="n">
        <v>0.000277777784503996</v>
      </c>
      <c r="AN160" s="416" t="n">
        <v>0</v>
      </c>
      <c r="AO160" s="416" t="n">
        <v>6.26830927055094</v>
      </c>
      <c r="AP160" s="416" t="n">
        <v>6.26830927055094</v>
      </c>
      <c r="AQ160" s="416" t="n">
        <v>1.72302508019972</v>
      </c>
      <c r="AR160" s="416" t="n">
        <v>0.0956369434515853</v>
      </c>
      <c r="AS160" s="416"/>
      <c r="AT160" s="416"/>
      <c r="AU160" s="416"/>
      <c r="AW160" s="416" t="n">
        <v>0.281145454396655</v>
      </c>
      <c r="AX160" s="416" t="n">
        <v>0.904770058936692</v>
      </c>
      <c r="AY160" s="416" t="n">
        <v>27.710704880784</v>
      </c>
      <c r="AZ160" s="416" t="n">
        <v>0.580963416196814</v>
      </c>
      <c r="BA160" s="416" t="n">
        <v>0.581443045523807</v>
      </c>
      <c r="BB160" s="416" t="n">
        <v>2.05174019419693</v>
      </c>
      <c r="BC160" s="416" t="n">
        <v>2.00452949315221</v>
      </c>
      <c r="BD160" s="416" t="e">
        <f aca="false">#DIV/0!</f>
        <v>#DIV/0!</v>
      </c>
      <c r="BE160" s="416" t="e">
        <f aca="false">#DIV/0!</f>
        <v>#DIV/0!</v>
      </c>
      <c r="BF160" s="416" t="e">
        <f aca="false">#DIV/0!</f>
        <v>#DIV/0!</v>
      </c>
      <c r="BG160" s="416" t="e">
        <f aca="false">#DIV/0!</f>
        <v>#DIV/0!</v>
      </c>
      <c r="BH160" s="416" t="n">
        <v>3.84379754168273</v>
      </c>
      <c r="BI160" s="416" t="n">
        <v>0.157714772864916</v>
      </c>
      <c r="BJ160" s="415"/>
      <c r="BK160" s="416" t="n">
        <v>0.0709841466510159</v>
      </c>
      <c r="BL160" s="415"/>
      <c r="BM160" s="415"/>
      <c r="BN160" s="416"/>
      <c r="BO160" s="416" t="n">
        <v>0.0571362990637523</v>
      </c>
      <c r="BP160" s="416" t="n">
        <v>1.73922078242698</v>
      </c>
      <c r="BQ160" s="416"/>
      <c r="BR160" s="416" t="n">
        <v>1.8083556604337</v>
      </c>
      <c r="BS160" s="416"/>
      <c r="BT160" s="416"/>
      <c r="BU160" s="416" t="n">
        <v>0.122240049730492</v>
      </c>
      <c r="BV160" s="416" t="n">
        <v>0.167238761977816</v>
      </c>
      <c r="BW160" s="416" t="n">
        <v>0.116430445347415</v>
      </c>
      <c r="BX160" s="416" t="n">
        <v>0.0953377743026829</v>
      </c>
      <c r="BY160" s="416" t="n">
        <v>0.123251143988952</v>
      </c>
      <c r="BZ160" s="416" t="n">
        <v>0.121912697595542</v>
      </c>
      <c r="CA160" s="416" t="n">
        <v>0.110394551615323</v>
      </c>
      <c r="CB160" s="416" t="n">
        <v>0.134491625847519</v>
      </c>
      <c r="CC160" s="416" t="n">
        <v>0.118055212130807</v>
      </c>
      <c r="CD160" s="416" t="n">
        <v>0.157744657311278</v>
      </c>
      <c r="CE160" s="416" t="n">
        <v>0.185834318741574</v>
      </c>
      <c r="CQ160" s="400" t="n">
        <v>0.135902060310061</v>
      </c>
      <c r="CR160" s="416" t="n">
        <v>2.02091954464961</v>
      </c>
      <c r="CS160" s="416" t="n">
        <v>0.0842049810270671</v>
      </c>
      <c r="CT160" s="416" t="n">
        <v>0.055701277878436</v>
      </c>
      <c r="CU160" s="416" t="n">
        <v>0.0230999310245445</v>
      </c>
      <c r="CV160" s="416" t="n">
        <v>6.26189025263344</v>
      </c>
      <c r="CW160" s="416"/>
      <c r="CX160" s="416" t="n">
        <v>2.02091954464961</v>
      </c>
      <c r="CY160" s="415"/>
      <c r="DA160" s="407"/>
      <c r="DB160" s="407"/>
      <c r="DC160" s="400" t="s">
        <v>848</v>
      </c>
      <c r="DD160" s="415"/>
    </row>
    <row r="161" s="400" customFormat="true" ht="15" hidden="false" customHeight="false" outlineLevel="0" collapsed="false">
      <c r="B161" s="407"/>
      <c r="C161" s="407"/>
      <c r="D161" s="407"/>
      <c r="E161" s="407"/>
      <c r="F161" s="408"/>
      <c r="I161" s="415" t="s">
        <v>849</v>
      </c>
      <c r="J161" s="416" t="n">
        <v>80</v>
      </c>
      <c r="K161" s="416" t="n">
        <v>80</v>
      </c>
      <c r="L161" s="416" t="n">
        <v>80</v>
      </c>
      <c r="M161" s="416" t="n">
        <v>80</v>
      </c>
      <c r="N161" s="416"/>
      <c r="O161" s="416" t="n">
        <v>80</v>
      </c>
      <c r="P161" s="416" t="n">
        <v>80</v>
      </c>
      <c r="Q161" s="416" t="n">
        <v>80</v>
      </c>
      <c r="R161" s="416" t="n">
        <v>80</v>
      </c>
      <c r="S161" s="416" t="n">
        <v>80</v>
      </c>
      <c r="T161" s="416" t="n">
        <v>80</v>
      </c>
      <c r="U161" s="416" t="n">
        <v>80</v>
      </c>
      <c r="V161" s="416" t="n">
        <v>80</v>
      </c>
      <c r="W161" s="412" t="n">
        <v>80</v>
      </c>
      <c r="Y161" s="416" t="n">
        <v>79</v>
      </c>
      <c r="AA161" s="416" t="n">
        <v>79</v>
      </c>
      <c r="AB161" s="407"/>
      <c r="AC161" s="415"/>
      <c r="AD161" s="415" t="n">
        <v>3</v>
      </c>
      <c r="AE161" s="415" t="n">
        <v>3</v>
      </c>
      <c r="AF161" s="416" t="n">
        <v>3</v>
      </c>
      <c r="AG161" s="415" t="n">
        <v>55</v>
      </c>
      <c r="AH161" s="415" t="n">
        <v>55</v>
      </c>
      <c r="AI161" s="416" t="n">
        <v>55</v>
      </c>
      <c r="AJ161" s="416" t="n">
        <v>55</v>
      </c>
      <c r="AK161" s="415" t="n">
        <v>3</v>
      </c>
      <c r="AL161" s="415" t="n">
        <v>3</v>
      </c>
      <c r="AM161" s="416" t="n">
        <v>3</v>
      </c>
      <c r="AN161" s="416" t="n">
        <v>3</v>
      </c>
      <c r="AO161" s="416" t="n">
        <v>55</v>
      </c>
      <c r="AP161" s="416" t="n">
        <v>55</v>
      </c>
      <c r="AQ161" s="416" t="n">
        <v>55</v>
      </c>
      <c r="AR161" s="416" t="n">
        <v>53</v>
      </c>
      <c r="AS161" s="416"/>
      <c r="AT161" s="415"/>
      <c r="AU161" s="416"/>
      <c r="AW161" s="415" t="n">
        <v>4</v>
      </c>
      <c r="AX161" s="415" t="n">
        <v>4</v>
      </c>
      <c r="AY161" s="416" t="n">
        <v>4</v>
      </c>
      <c r="AZ161" s="415" t="n">
        <v>36</v>
      </c>
      <c r="BA161" s="415" t="n">
        <v>36</v>
      </c>
      <c r="BB161" s="416" t="n">
        <v>36</v>
      </c>
      <c r="BC161" s="416" t="n">
        <v>36</v>
      </c>
      <c r="BD161" s="415" t="n">
        <v>0</v>
      </c>
      <c r="BE161" s="415" t="n">
        <v>0</v>
      </c>
      <c r="BF161" s="416" t="n">
        <v>0</v>
      </c>
      <c r="BG161" s="416" t="n">
        <v>0</v>
      </c>
      <c r="BH161" s="416" t="n">
        <v>36</v>
      </c>
      <c r="BI161" s="416" t="n">
        <v>35</v>
      </c>
      <c r="BJ161" s="415"/>
      <c r="BK161" s="416" t="n">
        <v>53</v>
      </c>
      <c r="BL161" s="415"/>
      <c r="BM161" s="415"/>
      <c r="BN161" s="415"/>
      <c r="BO161" s="416" t="n">
        <v>74</v>
      </c>
      <c r="BP161" s="415" t="n">
        <v>80</v>
      </c>
      <c r="BQ161" s="415"/>
      <c r="BR161" s="416" t="n">
        <v>74</v>
      </c>
      <c r="BS161" s="416"/>
      <c r="BT161" s="416"/>
      <c r="BU161" s="416" t="n">
        <v>80</v>
      </c>
      <c r="BV161" s="416" t="n">
        <v>80</v>
      </c>
      <c r="BW161" s="416" t="n">
        <v>80</v>
      </c>
      <c r="BX161" s="416" t="n">
        <v>80</v>
      </c>
      <c r="BY161" s="416" t="n">
        <v>80</v>
      </c>
      <c r="BZ161" s="416" t="n">
        <v>80</v>
      </c>
      <c r="CA161" s="416" t="n">
        <v>80</v>
      </c>
      <c r="CB161" s="416" t="n">
        <v>80</v>
      </c>
      <c r="CC161" s="416" t="n">
        <v>80</v>
      </c>
      <c r="CD161" s="416" t="n">
        <v>80</v>
      </c>
      <c r="CE161" s="416" t="n">
        <v>80</v>
      </c>
      <c r="CQ161" s="400" t="n">
        <v>52</v>
      </c>
      <c r="CR161" s="416" t="n">
        <v>72</v>
      </c>
      <c r="CS161" s="415" t="n">
        <v>72</v>
      </c>
      <c r="CT161" s="416" t="n">
        <v>70</v>
      </c>
      <c r="CU161" s="416" t="n">
        <v>72</v>
      </c>
      <c r="CV161" s="416" t="n">
        <v>53</v>
      </c>
      <c r="CW161" s="416"/>
      <c r="CX161" s="416" t="n">
        <v>72</v>
      </c>
      <c r="CY161" s="415"/>
      <c r="DA161" s="407"/>
      <c r="DB161" s="407"/>
      <c r="DC161" s="400" t="s">
        <v>849</v>
      </c>
      <c r="DD161" s="415"/>
    </row>
    <row r="162" s="400" customFormat="true" ht="15" hidden="false" customHeight="false" outlineLevel="0" collapsed="false">
      <c r="B162" s="407"/>
      <c r="C162" s="407"/>
      <c r="D162" s="407"/>
      <c r="E162" s="407"/>
      <c r="F162" s="408"/>
      <c r="I162" s="415" t="s">
        <v>850</v>
      </c>
      <c r="J162" s="416" t="n">
        <v>1.5972602739726</v>
      </c>
      <c r="K162" s="417" t="n">
        <v>45201</v>
      </c>
      <c r="L162" s="416" t="n">
        <v>43.2</v>
      </c>
      <c r="M162" s="416" t="n">
        <v>2.5</v>
      </c>
      <c r="N162" s="416"/>
      <c r="O162" s="416" t="n">
        <v>101</v>
      </c>
      <c r="P162" s="416" t="n">
        <v>69</v>
      </c>
      <c r="Q162" s="416" t="n">
        <v>0</v>
      </c>
      <c r="R162" s="416" t="n">
        <v>0</v>
      </c>
      <c r="S162" s="416" t="n">
        <v>0</v>
      </c>
      <c r="T162" s="416" t="n">
        <v>0</v>
      </c>
      <c r="U162" s="416" t="n">
        <v>588</v>
      </c>
      <c r="V162" s="416" t="n">
        <v>286</v>
      </c>
      <c r="W162" s="412" t="n">
        <v>-336</v>
      </c>
      <c r="Y162" s="416" t="n">
        <v>0.079254421668255</v>
      </c>
      <c r="AA162" s="416" t="n">
        <v>0.0487418916131217</v>
      </c>
      <c r="AB162" s="407"/>
      <c r="AC162" s="415"/>
      <c r="AD162" s="418" t="n">
        <v>45433.474212963</v>
      </c>
      <c r="AE162" s="418" t="n">
        <v>45442.5783217593</v>
      </c>
      <c r="AF162" s="416" t="n">
        <v>162.71055555559</v>
      </c>
      <c r="AG162" s="418" t="n">
        <v>45433.474212963</v>
      </c>
      <c r="AH162" s="418" t="n">
        <v>45434.5585300926</v>
      </c>
      <c r="AI162" s="416" t="n">
        <v>0</v>
      </c>
      <c r="AJ162" s="416" t="n">
        <v>1</v>
      </c>
      <c r="AK162" s="418" t="n">
        <v>45442.5783217593</v>
      </c>
      <c r="AL162" s="418" t="n">
        <v>45442.5783217593</v>
      </c>
      <c r="AM162" s="416" t="n">
        <v>0</v>
      </c>
      <c r="AN162" s="416" t="n">
        <v>1</v>
      </c>
      <c r="AO162" s="416" t="n">
        <v>3.88111111102626</v>
      </c>
      <c r="AP162" s="416" t="n">
        <v>38.8811111110263</v>
      </c>
      <c r="AQ162" s="416" t="n">
        <v>1</v>
      </c>
      <c r="AR162" s="416" t="n">
        <v>1</v>
      </c>
      <c r="AS162" s="416"/>
      <c r="AT162" s="418"/>
      <c r="AU162" s="416"/>
      <c r="AW162" s="418" t="n">
        <v>45449.5091087963</v>
      </c>
      <c r="AX162" s="418" t="n">
        <v>45452.7401273148</v>
      </c>
      <c r="AY162" s="416" t="n">
        <v>47.8524999999208</v>
      </c>
      <c r="AZ162" s="418" t="n">
        <v>45447.5959953704</v>
      </c>
      <c r="BA162" s="418" t="n">
        <v>45447.5960069444</v>
      </c>
      <c r="BB162" s="416" t="n">
        <v>0</v>
      </c>
      <c r="BC162" s="416" t="n">
        <v>1</v>
      </c>
      <c r="BD162" s="418" t="n">
        <v>0</v>
      </c>
      <c r="BE162" s="418" t="n">
        <v>0</v>
      </c>
      <c r="BF162" s="416" t="n">
        <v>0</v>
      </c>
      <c r="BG162" s="416" t="n">
        <v>0</v>
      </c>
      <c r="BH162" s="416" t="n">
        <v>1</v>
      </c>
      <c r="BI162" s="416" t="n">
        <v>1</v>
      </c>
      <c r="BJ162" s="415"/>
      <c r="BK162" s="416" t="n">
        <v>1</v>
      </c>
      <c r="BL162" s="415"/>
      <c r="BM162" s="415"/>
      <c r="BN162" s="418"/>
      <c r="BO162" s="416" t="n">
        <v>1</v>
      </c>
      <c r="BP162" s="417" t="n">
        <v>45579</v>
      </c>
      <c r="BQ162" s="418"/>
      <c r="BR162" s="416" t="n">
        <v>143.375</v>
      </c>
      <c r="BS162" s="416"/>
      <c r="BT162" s="416"/>
      <c r="BU162" s="416" t="n">
        <v>0.2</v>
      </c>
      <c r="BV162" s="416" t="n">
        <v>0.2</v>
      </c>
      <c r="BW162" s="416" t="n">
        <v>0.2</v>
      </c>
      <c r="BX162" s="416" t="n">
        <v>0.2</v>
      </c>
      <c r="BY162" s="416" t="n">
        <v>0.2</v>
      </c>
      <c r="BZ162" s="416" t="n">
        <v>0.2</v>
      </c>
      <c r="CA162" s="416" t="n">
        <v>0.2</v>
      </c>
      <c r="CB162" s="416" t="n">
        <v>0.2</v>
      </c>
      <c r="CC162" s="416" t="n">
        <v>0.2</v>
      </c>
      <c r="CD162" s="416" t="n">
        <v>0.2</v>
      </c>
      <c r="CE162" s="416" t="n">
        <v>0.2</v>
      </c>
      <c r="CQ162" s="400" t="n">
        <v>3</v>
      </c>
      <c r="CR162" s="416" t="n">
        <v>36</v>
      </c>
      <c r="CS162" s="418" t="n">
        <v>45434.75</v>
      </c>
      <c r="CT162" s="416" t="n">
        <v>0.5</v>
      </c>
      <c r="CU162" s="416" t="n">
        <v>0.11316</v>
      </c>
      <c r="CV162" s="416" t="n">
        <v>-223.823611111147</v>
      </c>
      <c r="CW162" s="416"/>
      <c r="CX162" s="416" t="n">
        <v>-63</v>
      </c>
      <c r="CY162" s="415"/>
      <c r="DA162" s="407"/>
      <c r="DB162" s="407"/>
      <c r="DC162" s="400" t="s">
        <v>850</v>
      </c>
      <c r="DD162" s="415"/>
    </row>
    <row r="163" s="400" customFormat="true" ht="15" hidden="false" customHeight="false" outlineLevel="0" collapsed="false">
      <c r="B163" s="407"/>
      <c r="C163" s="407"/>
      <c r="D163" s="407"/>
      <c r="E163" s="407"/>
      <c r="F163" s="408"/>
      <c r="I163" s="415" t="s">
        <v>851</v>
      </c>
      <c r="J163" s="416" t="n">
        <v>7.61643835616438</v>
      </c>
      <c r="K163" s="417" t="n">
        <v>45332</v>
      </c>
      <c r="L163" s="416" t="n">
        <v>90.4</v>
      </c>
      <c r="M163" s="416" t="n">
        <v>4</v>
      </c>
      <c r="N163" s="416"/>
      <c r="O163" s="416" t="n">
        <v>232</v>
      </c>
      <c r="P163" s="416" t="n">
        <v>397</v>
      </c>
      <c r="Q163" s="416" t="n">
        <v>3516</v>
      </c>
      <c r="R163" s="416" t="n">
        <v>3277</v>
      </c>
      <c r="S163" s="416" t="n">
        <v>2641</v>
      </c>
      <c r="T163" s="416" t="n">
        <v>2848</v>
      </c>
      <c r="U163" s="416" t="n">
        <v>2604</v>
      </c>
      <c r="V163" s="416" t="n">
        <v>2431</v>
      </c>
      <c r="W163" s="412" t="n">
        <v>261</v>
      </c>
      <c r="Y163" s="416" t="n">
        <v>0.961295195897975</v>
      </c>
      <c r="AA163" s="416" t="n">
        <v>0.997815134382357</v>
      </c>
      <c r="AB163" s="407"/>
      <c r="AC163" s="415"/>
      <c r="AD163" s="418" t="n">
        <v>45435.7987152778</v>
      </c>
      <c r="AE163" s="418" t="n">
        <v>45444.5921064815</v>
      </c>
      <c r="AF163" s="416" t="n">
        <v>266.829444444564</v>
      </c>
      <c r="AG163" s="418" t="n">
        <v>45445.5759837963</v>
      </c>
      <c r="AH163" s="418" t="n">
        <v>45445.5759837963</v>
      </c>
      <c r="AI163" s="416" t="n">
        <v>53.0016666665906</v>
      </c>
      <c r="AJ163" s="416" t="n">
        <v>53.0016666665906</v>
      </c>
      <c r="AK163" s="418" t="n">
        <v>45444.5920717593</v>
      </c>
      <c r="AL163" s="418" t="n">
        <v>45444.5921064815</v>
      </c>
      <c r="AM163" s="416" t="n">
        <v>0.000833333353511989</v>
      </c>
      <c r="AN163" s="416" t="n">
        <v>1</v>
      </c>
      <c r="AO163" s="416" t="n">
        <v>294.323611111147</v>
      </c>
      <c r="AP163" s="416" t="n">
        <v>329.323611111147</v>
      </c>
      <c r="AQ163" s="416" t="n">
        <v>81</v>
      </c>
      <c r="AR163" s="416" t="n">
        <v>4</v>
      </c>
      <c r="AS163" s="416"/>
      <c r="AT163" s="418"/>
      <c r="AU163" s="416"/>
      <c r="AW163" s="418" t="n">
        <v>45450.7462731482</v>
      </c>
      <c r="AX163" s="418" t="n">
        <v>45456.6231018519</v>
      </c>
      <c r="AY163" s="416" t="n">
        <v>170.735833333398</v>
      </c>
      <c r="AZ163" s="418" t="n">
        <v>45461.4472337963</v>
      </c>
      <c r="BA163" s="418" t="n">
        <v>45461.4472337963</v>
      </c>
      <c r="BB163" s="416" t="n">
        <v>48.2380555554992</v>
      </c>
      <c r="BC163" s="416" t="n">
        <v>48.2380555554992</v>
      </c>
      <c r="BD163" s="418" t="n">
        <v>0</v>
      </c>
      <c r="BE163" s="418" t="n">
        <v>0</v>
      </c>
      <c r="BF163" s="416" t="n">
        <v>0</v>
      </c>
      <c r="BG163" s="416" t="n">
        <v>0</v>
      </c>
      <c r="BH163" s="416" t="n">
        <v>102</v>
      </c>
      <c r="BI163" s="416" t="n">
        <v>4</v>
      </c>
      <c r="BJ163" s="415"/>
      <c r="BK163" s="416" t="n">
        <v>3</v>
      </c>
      <c r="BL163" s="415"/>
      <c r="BM163" s="415"/>
      <c r="BN163" s="418"/>
      <c r="BO163" s="416" t="n">
        <v>2</v>
      </c>
      <c r="BP163" s="417" t="n">
        <v>45666</v>
      </c>
      <c r="BQ163" s="418"/>
      <c r="BR163" s="416" t="n">
        <v>230.375</v>
      </c>
      <c r="BS163" s="416"/>
      <c r="BT163" s="416"/>
      <c r="BU163" s="416" t="n">
        <v>7.5359</v>
      </c>
      <c r="BV163" s="416" t="n">
        <v>7.1759</v>
      </c>
      <c r="BW163" s="416" t="n">
        <v>9.1813</v>
      </c>
      <c r="BX163" s="416" t="n">
        <v>7.4524</v>
      </c>
      <c r="BY163" s="416" t="n">
        <v>9.6002</v>
      </c>
      <c r="BZ163" s="416" t="n">
        <v>9.4</v>
      </c>
      <c r="CA163" s="416" t="n">
        <v>7.8997</v>
      </c>
      <c r="CB163" s="416" t="n">
        <v>9.4282</v>
      </c>
      <c r="CC163" s="416" t="n">
        <v>5.9432</v>
      </c>
      <c r="CD163" s="416" t="n">
        <v>7.5823</v>
      </c>
      <c r="CE163" s="416" t="n">
        <v>8.6972</v>
      </c>
      <c r="CQ163" s="400" t="n">
        <v>7</v>
      </c>
      <c r="CR163" s="416" t="n">
        <v>120</v>
      </c>
      <c r="CS163" s="418" t="n">
        <v>45438.25</v>
      </c>
      <c r="CT163" s="416" t="n">
        <v>2</v>
      </c>
      <c r="CU163" s="416" t="n">
        <v>1.009</v>
      </c>
      <c r="CV163" s="416" t="n">
        <v>83.9508333333652</v>
      </c>
      <c r="CW163" s="416"/>
      <c r="CX163" s="416" t="n">
        <v>21</v>
      </c>
      <c r="CY163" s="415"/>
      <c r="DA163" s="407"/>
      <c r="DB163" s="407"/>
      <c r="DC163" s="400" t="s">
        <v>851</v>
      </c>
      <c r="DD163" s="415"/>
    </row>
    <row r="164" s="400" customFormat="true" ht="15" hidden="false" customHeight="false" outlineLevel="0" collapsed="false">
      <c r="B164" s="407"/>
      <c r="C164" s="407"/>
      <c r="D164" s="407"/>
      <c r="E164" s="407"/>
      <c r="F164" s="408"/>
      <c r="I164" s="415" t="s">
        <v>852</v>
      </c>
      <c r="J164" s="416" t="n">
        <v>6.01917808219178</v>
      </c>
      <c r="K164" s="416" t="n">
        <v>131</v>
      </c>
      <c r="L164" s="416" t="n">
        <v>47.2</v>
      </c>
      <c r="M164" s="416" t="n">
        <v>1.5</v>
      </c>
      <c r="N164" s="416"/>
      <c r="O164" s="416" t="n">
        <v>131</v>
      </c>
      <c r="P164" s="416" t="n">
        <v>328</v>
      </c>
      <c r="Q164" s="416" t="n">
        <v>3516</v>
      </c>
      <c r="R164" s="416" t="n">
        <v>3277</v>
      </c>
      <c r="S164" s="416" t="n">
        <v>2641</v>
      </c>
      <c r="T164" s="416" t="n">
        <v>2848</v>
      </c>
      <c r="U164" s="416" t="n">
        <v>2016</v>
      </c>
      <c r="V164" s="416" t="n">
        <v>2145</v>
      </c>
      <c r="W164" s="412" t="n">
        <v>597</v>
      </c>
      <c r="Y164" s="416" t="n">
        <v>0.88204077422972</v>
      </c>
      <c r="AA164" s="416" t="n">
        <v>0.949073242769236</v>
      </c>
      <c r="AB164" s="407"/>
      <c r="AC164" s="415"/>
      <c r="AD164" s="416" t="n">
        <v>2.32450231481926</v>
      </c>
      <c r="AE164" s="416" t="n">
        <v>2.01378472222132</v>
      </c>
      <c r="AF164" s="416" t="n">
        <v>104.118888888974</v>
      </c>
      <c r="AG164" s="416" t="n">
        <v>12.1017708333384</v>
      </c>
      <c r="AH164" s="416" t="n">
        <v>11.0174537037019</v>
      </c>
      <c r="AI164" s="416" t="n">
        <v>53.0016666665906</v>
      </c>
      <c r="AJ164" s="416" t="n">
        <v>52.0016666665906</v>
      </c>
      <c r="AK164" s="416" t="n">
        <v>2.01374999999825</v>
      </c>
      <c r="AL164" s="416" t="n">
        <v>2.01378472222132</v>
      </c>
      <c r="AM164" s="416" t="n">
        <v>0.000833333353511989</v>
      </c>
      <c r="AN164" s="416" t="n">
        <v>0</v>
      </c>
      <c r="AO164" s="416" t="n">
        <v>290.442500000121</v>
      </c>
      <c r="AP164" s="416" t="n">
        <v>290.442500000121</v>
      </c>
      <c r="AQ164" s="416" t="n">
        <v>80</v>
      </c>
      <c r="AR164" s="416" t="n">
        <v>3</v>
      </c>
      <c r="AS164" s="416"/>
      <c r="AT164" s="416"/>
      <c r="AU164" s="416"/>
      <c r="AW164" s="416" t="n">
        <v>1.23716435185634</v>
      </c>
      <c r="AX164" s="416" t="n">
        <v>3.88297453703854</v>
      </c>
      <c r="AY164" s="416" t="n">
        <v>122.883333333477</v>
      </c>
      <c r="AZ164" s="416" t="n">
        <v>13.8512384259229</v>
      </c>
      <c r="BA164" s="416" t="n">
        <v>13.8512268518534</v>
      </c>
      <c r="BB164" s="416" t="n">
        <v>48.2380555554992</v>
      </c>
      <c r="BC164" s="416" t="n">
        <v>47.2380555554992</v>
      </c>
      <c r="BD164" s="416" t="n">
        <v>0</v>
      </c>
      <c r="BE164" s="416" t="n">
        <v>0</v>
      </c>
      <c r="BF164" s="416" t="n">
        <v>0</v>
      </c>
      <c r="BG164" s="416" t="n">
        <v>0</v>
      </c>
      <c r="BH164" s="416" t="n">
        <v>101</v>
      </c>
      <c r="BI164" s="416" t="n">
        <v>3</v>
      </c>
      <c r="BK164" s="416" t="n">
        <v>2</v>
      </c>
      <c r="BN164" s="416"/>
      <c r="BO164" s="416" t="n">
        <v>1</v>
      </c>
      <c r="BP164" s="415" t="n">
        <v>87</v>
      </c>
      <c r="BQ164" s="416"/>
      <c r="BR164" s="416" t="n">
        <v>87</v>
      </c>
      <c r="BS164" s="416"/>
      <c r="BT164" s="416"/>
      <c r="BU164" s="416" t="n">
        <v>7.3359</v>
      </c>
      <c r="BV164" s="416" t="n">
        <v>6.9759</v>
      </c>
      <c r="BW164" s="416" t="n">
        <v>8.9813</v>
      </c>
      <c r="BX164" s="416" t="n">
        <v>7.2524</v>
      </c>
      <c r="BY164" s="416" t="n">
        <v>9.4002</v>
      </c>
      <c r="BZ164" s="416" t="n">
        <v>9.2</v>
      </c>
      <c r="CA164" s="416" t="n">
        <v>7.6997</v>
      </c>
      <c r="CB164" s="416" t="n">
        <v>9.2282</v>
      </c>
      <c r="CC164" s="416" t="n">
        <v>5.7432</v>
      </c>
      <c r="CD164" s="416" t="n">
        <v>7.3823</v>
      </c>
      <c r="CE164" s="416" t="n">
        <v>8.4972</v>
      </c>
      <c r="CQ164" s="400" t="n">
        <v>4</v>
      </c>
      <c r="CR164" s="416" t="n">
        <v>84</v>
      </c>
      <c r="CS164" s="416" t="n">
        <v>3.5</v>
      </c>
      <c r="CT164" s="416" t="n">
        <v>1.5</v>
      </c>
      <c r="CU164" s="416" t="n">
        <v>0.89584</v>
      </c>
      <c r="CV164" s="416" t="n">
        <v>307.774444444513</v>
      </c>
      <c r="CW164" s="416"/>
      <c r="CX164" s="416" t="n">
        <v>84</v>
      </c>
      <c r="DA164" s="407"/>
      <c r="DB164" s="407"/>
      <c r="DC164" s="400" t="s">
        <v>852</v>
      </c>
      <c r="DD164" s="415"/>
    </row>
    <row r="165" s="400" customFormat="true" ht="15" hidden="false" customHeight="false" outlineLevel="0" collapsed="false">
      <c r="B165" s="407"/>
      <c r="C165" s="407"/>
      <c r="D165" s="407"/>
      <c r="E165" s="407"/>
      <c r="F165" s="408"/>
      <c r="L165" s="409"/>
      <c r="M165" s="409"/>
      <c r="N165" s="409"/>
      <c r="W165" s="408"/>
      <c r="AB165" s="407"/>
      <c r="DA165" s="407"/>
      <c r="DB165" s="407"/>
    </row>
    <row r="166" s="400" customFormat="true" ht="15" hidden="false" customHeight="false" outlineLevel="0" collapsed="false">
      <c r="B166" s="407"/>
      <c r="C166" s="407"/>
      <c r="D166" s="407"/>
      <c r="E166" s="407"/>
      <c r="F166" s="408"/>
      <c r="H166" s="414" t="s">
        <v>812</v>
      </c>
      <c r="I166" s="415" t="s">
        <v>846</v>
      </c>
      <c r="J166" s="416" t="n">
        <v>4.2252516916983</v>
      </c>
      <c r="K166" s="417" t="n">
        <v>45218.6024096386</v>
      </c>
      <c r="L166" s="416" t="n">
        <v>69.455421686747</v>
      </c>
      <c r="M166" s="416" t="n">
        <v>3.31024096385542</v>
      </c>
      <c r="N166" s="416"/>
      <c r="O166" s="416" t="n">
        <v>214.397590361446</v>
      </c>
      <c r="P166" s="416" t="n">
        <v>278.69512195122</v>
      </c>
      <c r="Q166" s="416" t="n">
        <v>1892.89156626506</v>
      </c>
      <c r="R166" s="416" t="n">
        <v>1707.15662650602</v>
      </c>
      <c r="S166" s="416" t="n">
        <v>1757.39759036145</v>
      </c>
      <c r="T166" s="416" t="n">
        <v>1554.74698795181</v>
      </c>
      <c r="U166" s="416" t="n">
        <v>1408.33734939759</v>
      </c>
      <c r="V166" s="416" t="n">
        <v>1243.51807228916</v>
      </c>
      <c r="W166" s="412" t="n">
        <v>-56.9397590361446</v>
      </c>
      <c r="Y166" s="416" t="n">
        <v>0.719601402124249</v>
      </c>
      <c r="AA166" s="416" t="n">
        <v>0.835520650027267</v>
      </c>
      <c r="AB166" s="407"/>
      <c r="AC166" s="415"/>
      <c r="AD166" s="418" t="n">
        <v>45434.6197048611</v>
      </c>
      <c r="AE166" s="418" t="n">
        <v>45443.6022193287</v>
      </c>
      <c r="AF166" s="416" t="n">
        <v>215.580347222305</v>
      </c>
      <c r="AG166" s="418" t="n">
        <v>45435.4196076015</v>
      </c>
      <c r="AH166" s="418" t="n">
        <v>45435.8253989322</v>
      </c>
      <c r="AI166" s="416" t="n">
        <v>9.73899193549052</v>
      </c>
      <c r="AJ166" s="416" t="n">
        <v>10.1095116487498</v>
      </c>
      <c r="AK166" s="418" t="n">
        <v>45443.6022106482</v>
      </c>
      <c r="AL166" s="418" t="n">
        <v>45443.6022193287</v>
      </c>
      <c r="AM166" s="416" t="n">
        <v>0.000208333338377997</v>
      </c>
      <c r="AN166" s="416" t="n">
        <v>1</v>
      </c>
      <c r="AO166" s="416" t="n">
        <v>50.5705824372689</v>
      </c>
      <c r="AP166" s="416" t="n">
        <v>85.5705824372689</v>
      </c>
      <c r="AQ166" s="416" t="n">
        <v>7.75806451612903</v>
      </c>
      <c r="AR166" s="416" t="n">
        <v>1.5</v>
      </c>
      <c r="AS166" s="416"/>
      <c r="AT166" s="418"/>
      <c r="AU166" s="416"/>
      <c r="AW166" s="418" t="n">
        <v>45449.9478279321</v>
      </c>
      <c r="AX166" s="418" t="n">
        <v>45455.1132484568</v>
      </c>
      <c r="AY166" s="416" t="n">
        <v>123.970092592586</v>
      </c>
      <c r="AZ166" s="418" t="n">
        <v>45455.1741329509</v>
      </c>
      <c r="BA166" s="418" t="n">
        <v>45455.2452133655</v>
      </c>
      <c r="BB166" s="416" t="n">
        <v>1.70592995167143</v>
      </c>
      <c r="BC166" s="416" t="n">
        <v>2.55303140095708</v>
      </c>
      <c r="BD166" s="418" t="n">
        <v>45456.4585532407</v>
      </c>
      <c r="BE166" s="418" t="n">
        <v>45456.4585763889</v>
      </c>
      <c r="BF166" s="416" t="n">
        <v>0.000555555510800332</v>
      </c>
      <c r="BG166" s="416" t="n">
        <v>1</v>
      </c>
      <c r="BH166" s="416" t="n">
        <v>3.47826086956522</v>
      </c>
      <c r="BI166" s="416" t="n">
        <v>1.21739130434783</v>
      </c>
      <c r="BJ166" s="415"/>
      <c r="BK166" s="416" t="n">
        <v>1.42168674698795</v>
      </c>
      <c r="BL166" s="415"/>
      <c r="BM166" s="415"/>
      <c r="BN166" s="418"/>
      <c r="BO166" s="416" t="n">
        <v>1.39506172839506</v>
      </c>
      <c r="BP166" s="417" t="n">
        <v>45583.6419753086</v>
      </c>
      <c r="BQ166" s="418"/>
      <c r="BR166" s="416" t="n">
        <v>148.016975308642</v>
      </c>
      <c r="BS166" s="416"/>
      <c r="BT166" s="416"/>
      <c r="BU166" s="416" t="n">
        <v>0.746583373493976</v>
      </c>
      <c r="BV166" s="416" t="n">
        <v>0.909655783132531</v>
      </c>
      <c r="BW166" s="416" t="n">
        <v>0.32952313253012</v>
      </c>
      <c r="BX166" s="416" t="n">
        <v>0.337471204819277</v>
      </c>
      <c r="BY166" s="416" t="n">
        <v>0.377149397590361</v>
      </c>
      <c r="BZ166" s="416" t="n">
        <v>0.384392108433735</v>
      </c>
      <c r="CA166" s="416" t="n">
        <v>0.545263554216868</v>
      </c>
      <c r="CB166" s="416" t="n">
        <v>0.882302048192771</v>
      </c>
      <c r="CC166" s="416" t="n">
        <v>1.46516590361446</v>
      </c>
      <c r="CD166" s="416" t="n">
        <v>1.91327530120482</v>
      </c>
      <c r="CE166" s="416" t="n">
        <v>2.11421903614458</v>
      </c>
      <c r="CQ166" s="400" t="n">
        <v>4.93939393939394</v>
      </c>
      <c r="CR166" s="416" t="n">
        <v>54.0740740740741</v>
      </c>
      <c r="CS166" s="418" t="n">
        <v>45435.5030864198</v>
      </c>
      <c r="CT166" s="416" t="n">
        <v>1.51851851851852</v>
      </c>
      <c r="CU166" s="416" t="n">
        <v>0.414914074074074</v>
      </c>
      <c r="CV166" s="416" t="n">
        <v>2.27603825137256</v>
      </c>
      <c r="CW166" s="416"/>
      <c r="CX166" s="416" t="n">
        <v>2.92592592592593</v>
      </c>
      <c r="CY166" s="415"/>
      <c r="DA166" s="407"/>
      <c r="DB166" s="407"/>
      <c r="DC166" s="414" t="s">
        <v>846</v>
      </c>
      <c r="DD166" s="415"/>
    </row>
    <row r="167" s="400" customFormat="true" ht="15" hidden="false" customHeight="false" outlineLevel="0" collapsed="false">
      <c r="B167" s="407"/>
      <c r="C167" s="407"/>
      <c r="D167" s="407"/>
      <c r="E167" s="407"/>
      <c r="F167" s="408"/>
      <c r="I167" s="415" t="s">
        <v>847</v>
      </c>
      <c r="J167" s="416" t="n">
        <v>1.69771674181203</v>
      </c>
      <c r="K167" s="416" t="n">
        <v>27.149513654646</v>
      </c>
      <c r="L167" s="416" t="n">
        <v>9.06692263673308</v>
      </c>
      <c r="M167" s="416" t="n">
        <v>0.373656865885601</v>
      </c>
      <c r="N167" s="416"/>
      <c r="O167" s="416" t="n">
        <v>27.1495136546459</v>
      </c>
      <c r="P167" s="416" t="n">
        <v>63.4940823575661</v>
      </c>
      <c r="Q167" s="416" t="n">
        <v>1243.87659191079</v>
      </c>
      <c r="R167" s="416" t="n">
        <v>863.904811856871</v>
      </c>
      <c r="S167" s="416" t="n">
        <v>581.018952290674</v>
      </c>
      <c r="T167" s="416" t="n">
        <v>448.099260654772</v>
      </c>
      <c r="U167" s="416" t="n">
        <v>344.174065331116</v>
      </c>
      <c r="V167" s="416" t="n">
        <v>336.695504089804</v>
      </c>
      <c r="W167" s="412" t="n">
        <v>91.0853726306167</v>
      </c>
      <c r="Y167" s="416" t="n">
        <v>0.183266331279894</v>
      </c>
      <c r="AA167" s="416" t="n">
        <v>0.201896135789091</v>
      </c>
      <c r="AB167" s="407"/>
      <c r="AC167" s="415"/>
      <c r="AD167" s="416" t="n">
        <v>1.17626958001272</v>
      </c>
      <c r="AE167" s="416" t="n">
        <v>0.822625232041664</v>
      </c>
      <c r="AF167" s="416" t="n">
        <v>45.4882813977245</v>
      </c>
      <c r="AG167" s="416" t="n">
        <v>1.78736654922228</v>
      </c>
      <c r="AH167" s="416" t="n">
        <v>1.65998377984369</v>
      </c>
      <c r="AI167" s="416" t="n">
        <v>12.556604606048</v>
      </c>
      <c r="AJ167" s="416" t="n">
        <v>12.2709247966344</v>
      </c>
      <c r="AK167" s="416" t="n">
        <v>0.822611304710792</v>
      </c>
      <c r="AL167" s="416" t="n">
        <v>0.822625232041664</v>
      </c>
      <c r="AM167" s="416" t="n">
        <v>0.000416666676755995</v>
      </c>
      <c r="AN167" s="416" t="n">
        <v>0</v>
      </c>
      <c r="AO167" s="416" t="n">
        <v>42.8967971813348</v>
      </c>
      <c r="AP167" s="416" t="n">
        <v>42.8967971813348</v>
      </c>
      <c r="AQ167" s="416" t="n">
        <v>12.2911209907349</v>
      </c>
      <c r="AR167" s="416" t="n">
        <v>0.650944554904119</v>
      </c>
      <c r="AS167" s="416"/>
      <c r="AT167" s="416"/>
      <c r="AU167" s="416"/>
      <c r="AW167" s="416" t="n">
        <v>1.04328645796735</v>
      </c>
      <c r="AX167" s="416" t="n">
        <v>1.57183428654691</v>
      </c>
      <c r="AY167" s="416" t="n">
        <v>59.2583152114855</v>
      </c>
      <c r="AZ167" s="416" t="n">
        <v>4.87253058847738</v>
      </c>
      <c r="BA167" s="416" t="n">
        <v>4.81822496203327</v>
      </c>
      <c r="BB167" s="416" t="n">
        <v>7.29745233839479</v>
      </c>
      <c r="BC167" s="416" t="n">
        <v>7.09775931217964</v>
      </c>
      <c r="BD167" s="416" t="e">
        <f aca="false">#DIV/0!</f>
        <v>#DIV/0!</v>
      </c>
      <c r="BE167" s="416" t="e">
        <f aca="false">#DIV/0!</f>
        <v>#DIV/0!</v>
      </c>
      <c r="BF167" s="416" t="e">
        <f aca="false">#DIV/0!</f>
        <v>#DIV/0!</v>
      </c>
      <c r="BG167" s="416" t="e">
        <f aca="false">#DIV/0!</f>
        <v>#DIV/0!</v>
      </c>
      <c r="BH167" s="416" t="n">
        <v>6.67334974641257</v>
      </c>
      <c r="BI167" s="416" t="n">
        <v>0.42174116783665</v>
      </c>
      <c r="BJ167" s="415"/>
      <c r="BK167" s="416" t="n">
        <v>0.543710870253641</v>
      </c>
      <c r="BL167" s="415"/>
      <c r="BM167" s="415"/>
      <c r="BN167" s="416"/>
      <c r="BO167" s="416" t="n">
        <v>0.491909858248415</v>
      </c>
      <c r="BP167" s="416" t="n">
        <v>2.5656804261994</v>
      </c>
      <c r="BQ167" s="416"/>
      <c r="BR167" s="416" t="n">
        <v>2.5656804261994</v>
      </c>
      <c r="BS167" s="416"/>
      <c r="BT167" s="416"/>
      <c r="BU167" s="416" t="n">
        <v>1.16515506369301</v>
      </c>
      <c r="BV167" s="416" t="n">
        <v>1.32177729649682</v>
      </c>
      <c r="BW167" s="416" t="n">
        <v>0.249332990224835</v>
      </c>
      <c r="BX167" s="416" t="n">
        <v>0.236389234451115</v>
      </c>
      <c r="BY167" s="416" t="n">
        <v>0.257426708794663</v>
      </c>
      <c r="BZ167" s="416" t="n">
        <v>0.265654948445554</v>
      </c>
      <c r="CA167" s="416" t="n">
        <v>0.430470596662741</v>
      </c>
      <c r="CB167" s="416" t="n">
        <v>0.648112118770336</v>
      </c>
      <c r="CC167" s="416" t="n">
        <v>0.918604210974237</v>
      </c>
      <c r="CD167" s="416" t="n">
        <v>1.23238190216299</v>
      </c>
      <c r="CE167" s="416" t="n">
        <v>1.5036248804299</v>
      </c>
      <c r="CQ167" s="400" t="n">
        <v>0.92617971139993</v>
      </c>
      <c r="CR167" s="416" t="n">
        <v>10.0620298371872</v>
      </c>
      <c r="CS167" s="416" t="n">
        <v>0.419251243216131</v>
      </c>
      <c r="CT167" s="416" t="n">
        <v>0.450308536203543</v>
      </c>
      <c r="CU167" s="416" t="n">
        <v>0.194310241487536</v>
      </c>
      <c r="CV167" s="416" t="n">
        <v>41.8890431005574</v>
      </c>
      <c r="CW167" s="416"/>
      <c r="CX167" s="416" t="n">
        <v>10.0620298371871</v>
      </c>
      <c r="CY167" s="415"/>
      <c r="DA167" s="407"/>
      <c r="DB167" s="407"/>
      <c r="DC167" s="400" t="s">
        <v>847</v>
      </c>
      <c r="DD167" s="415"/>
    </row>
    <row r="168" s="400" customFormat="true" ht="15" hidden="false" customHeight="false" outlineLevel="0" collapsed="false">
      <c r="B168" s="407"/>
      <c r="C168" s="407"/>
      <c r="D168" s="407"/>
      <c r="E168" s="407"/>
      <c r="F168" s="408"/>
      <c r="I168" s="415" t="s">
        <v>848</v>
      </c>
      <c r="J168" s="416" t="n">
        <v>0.186348621837105</v>
      </c>
      <c r="K168" s="416" t="n">
        <v>2.98004627538221</v>
      </c>
      <c r="L168" s="416" t="n">
        <v>0.995224053604778</v>
      </c>
      <c r="M168" s="416" t="n">
        <v>0.0410141693739999</v>
      </c>
      <c r="N168" s="416"/>
      <c r="O168" s="416" t="n">
        <v>2.98004627538221</v>
      </c>
      <c r="P168" s="416" t="n">
        <v>6.9693809637027</v>
      </c>
      <c r="Q168" s="416" t="n">
        <v>136.533193629586</v>
      </c>
      <c r="R168" s="416" t="n">
        <v>94.8258723750022</v>
      </c>
      <c r="S168" s="416" t="n">
        <v>63.775115338171</v>
      </c>
      <c r="T168" s="416" t="n">
        <v>49.1852837476984</v>
      </c>
      <c r="U168" s="416" t="n">
        <v>37.7780115887133</v>
      </c>
      <c r="V168" s="416" t="n">
        <v>36.9571328482731</v>
      </c>
      <c r="W168" s="412" t="n">
        <v>9.99791852268484</v>
      </c>
      <c r="Y168" s="416" t="n">
        <v>0.0202383806413771</v>
      </c>
      <c r="AA168" s="416" t="n">
        <v>0.0222956983838037</v>
      </c>
      <c r="AB168" s="407"/>
      <c r="AC168" s="415"/>
      <c r="AD168" s="416" t="n">
        <v>0.588134790006359</v>
      </c>
      <c r="AE168" s="416" t="n">
        <v>0.411312616020832</v>
      </c>
      <c r="AF168" s="416" t="n">
        <v>22.7441406988623</v>
      </c>
      <c r="AG168" s="416" t="n">
        <v>0.226995778747122</v>
      </c>
      <c r="AH168" s="416" t="n">
        <v>0.210818150858405</v>
      </c>
      <c r="AI168" s="416" t="n">
        <v>1.59469037965928</v>
      </c>
      <c r="AJ168" s="416" t="n">
        <v>1.55840900758235</v>
      </c>
      <c r="AK168" s="416" t="n">
        <v>0.411305652355396</v>
      </c>
      <c r="AL168" s="416" t="n">
        <v>0.411312616020832</v>
      </c>
      <c r="AM168" s="416" t="n">
        <v>0.000208333338377997</v>
      </c>
      <c r="AN168" s="416" t="n">
        <v>0</v>
      </c>
      <c r="AO168" s="416" t="n">
        <v>5.44789868993094</v>
      </c>
      <c r="AP168" s="416" t="n">
        <v>5.44789868993093</v>
      </c>
      <c r="AQ168" s="416" t="n">
        <v>1.56097392679804</v>
      </c>
      <c r="AR168" s="416" t="n">
        <v>0.0840365806816018</v>
      </c>
      <c r="AS168" s="416"/>
      <c r="AT168" s="416"/>
      <c r="AU168" s="416"/>
      <c r="AW168" s="416" t="n">
        <v>0.602341717349344</v>
      </c>
      <c r="AX168" s="416" t="n">
        <v>0.907498948459342</v>
      </c>
      <c r="AY168" s="416" t="n">
        <v>34.2128042390748</v>
      </c>
      <c r="AZ168" s="416" t="n">
        <v>1.01599286063153</v>
      </c>
      <c r="BA168" s="416" t="n">
        <v>1.00466935475354</v>
      </c>
      <c r="BB168" s="416" t="n">
        <v>1.52162399844982</v>
      </c>
      <c r="BC168" s="416" t="n">
        <v>1.47998512409728</v>
      </c>
      <c r="BD168" s="416" t="e">
        <f aca="false">#DIV/0!</f>
        <v>#DIV/0!</v>
      </c>
      <c r="BE168" s="416" t="e">
        <f aca="false">#DIV/0!</f>
        <v>#DIV/0!</v>
      </c>
      <c r="BF168" s="416" t="e">
        <f aca="false">#DIV/0!</f>
        <v>#DIV/0!</v>
      </c>
      <c r="BG168" s="416" t="e">
        <f aca="false">#DIV/0!</f>
        <v>#DIV/0!</v>
      </c>
      <c r="BH168" s="416" t="n">
        <v>1.39148961217114</v>
      </c>
      <c r="BI168" s="416" t="n">
        <v>0.0879391124952055</v>
      </c>
      <c r="BJ168" s="415"/>
      <c r="BK168" s="416" t="n">
        <v>0.0596800213217415</v>
      </c>
      <c r="BL168" s="415"/>
      <c r="BM168" s="415"/>
      <c r="BN168" s="416"/>
      <c r="BO168" s="416" t="n">
        <v>0.0546566509164905</v>
      </c>
      <c r="BP168" s="416" t="n">
        <v>0.28162001335181</v>
      </c>
      <c r="BQ168" s="416"/>
      <c r="BR168" s="416" t="n">
        <v>0.285075602911044</v>
      </c>
      <c r="BS168" s="416"/>
      <c r="BT168" s="416"/>
      <c r="BU168" s="416" t="n">
        <v>0.127892383339503</v>
      </c>
      <c r="BV168" s="416" t="n">
        <v>0.145083906821147</v>
      </c>
      <c r="BW168" s="416" t="n">
        <v>0.0273678511630458</v>
      </c>
      <c r="BX168" s="416" t="n">
        <v>0.0259470893890561</v>
      </c>
      <c r="BY168" s="416" t="n">
        <v>0.0282562521924277</v>
      </c>
      <c r="BZ168" s="416" t="n">
        <v>0.0291594188287256</v>
      </c>
      <c r="CA168" s="416" t="n">
        <v>0.0472502864900062</v>
      </c>
      <c r="CB168" s="416" t="n">
        <v>0.0711395471071762</v>
      </c>
      <c r="CC168" s="416" t="n">
        <v>0.100829911441</v>
      </c>
      <c r="CD168" s="416" t="n">
        <v>0.135271487515608</v>
      </c>
      <c r="CE168" s="416" t="n">
        <v>0.165044272302475</v>
      </c>
      <c r="CQ168" s="400" t="n">
        <v>0.114004841591025</v>
      </c>
      <c r="CR168" s="416" t="n">
        <v>1.11800331524302</v>
      </c>
      <c r="CS168" s="416" t="n">
        <v>0.046583471468459</v>
      </c>
      <c r="CT168" s="416" t="n">
        <v>0.0500342818003937</v>
      </c>
      <c r="CU168" s="416" t="n">
        <v>0.0215900268319485</v>
      </c>
      <c r="CV168" s="416" t="n">
        <v>5.36334238196998</v>
      </c>
      <c r="CW168" s="416"/>
      <c r="CX168" s="416" t="n">
        <v>1.11800331524302</v>
      </c>
      <c r="CY168" s="415"/>
      <c r="DA168" s="407"/>
      <c r="DB168" s="407"/>
      <c r="DC168" s="400" t="s">
        <v>848</v>
      </c>
      <c r="DD168" s="415"/>
    </row>
    <row r="169" s="400" customFormat="true" ht="15" hidden="false" customHeight="false" outlineLevel="0" collapsed="false">
      <c r="B169" s="407"/>
      <c r="C169" s="407"/>
      <c r="D169" s="407"/>
      <c r="E169" s="407"/>
      <c r="F169" s="408"/>
      <c r="I169" s="415" t="s">
        <v>849</v>
      </c>
      <c r="J169" s="416" t="n">
        <v>83</v>
      </c>
      <c r="K169" s="416" t="n">
        <v>83</v>
      </c>
      <c r="L169" s="416" t="n">
        <v>83</v>
      </c>
      <c r="M169" s="416" t="n">
        <v>83</v>
      </c>
      <c r="N169" s="416"/>
      <c r="O169" s="416" t="n">
        <v>83</v>
      </c>
      <c r="P169" s="416" t="n">
        <v>83</v>
      </c>
      <c r="Q169" s="416" t="n">
        <v>83</v>
      </c>
      <c r="R169" s="416" t="n">
        <v>83</v>
      </c>
      <c r="S169" s="416" t="n">
        <v>83</v>
      </c>
      <c r="T169" s="416" t="n">
        <v>83</v>
      </c>
      <c r="U169" s="416" t="n">
        <v>83</v>
      </c>
      <c r="V169" s="416" t="n">
        <v>83</v>
      </c>
      <c r="W169" s="412" t="n">
        <v>83</v>
      </c>
      <c r="Y169" s="416" t="n">
        <v>82</v>
      </c>
      <c r="AA169" s="416" t="n">
        <v>82</v>
      </c>
      <c r="AB169" s="407"/>
      <c r="AC169" s="415"/>
      <c r="AD169" s="415" t="n">
        <v>4</v>
      </c>
      <c r="AE169" s="415" t="n">
        <v>4</v>
      </c>
      <c r="AF169" s="416" t="n">
        <v>4</v>
      </c>
      <c r="AG169" s="415" t="n">
        <v>62</v>
      </c>
      <c r="AH169" s="415" t="n">
        <v>62</v>
      </c>
      <c r="AI169" s="416" t="n">
        <v>62</v>
      </c>
      <c r="AJ169" s="416" t="n">
        <v>62</v>
      </c>
      <c r="AK169" s="415" t="n">
        <v>4</v>
      </c>
      <c r="AL169" s="415" t="n">
        <v>4</v>
      </c>
      <c r="AM169" s="416" t="n">
        <v>4</v>
      </c>
      <c r="AN169" s="416" t="n">
        <v>4</v>
      </c>
      <c r="AO169" s="416" t="n">
        <v>62</v>
      </c>
      <c r="AP169" s="416" t="n">
        <v>62</v>
      </c>
      <c r="AQ169" s="416" t="n">
        <v>62</v>
      </c>
      <c r="AR169" s="416" t="n">
        <v>60</v>
      </c>
      <c r="AS169" s="416"/>
      <c r="AT169" s="415"/>
      <c r="AU169" s="416"/>
      <c r="AW169" s="415" t="n">
        <v>3</v>
      </c>
      <c r="AX169" s="415" t="n">
        <v>3</v>
      </c>
      <c r="AY169" s="416" t="n">
        <v>3</v>
      </c>
      <c r="AZ169" s="415" t="n">
        <v>23</v>
      </c>
      <c r="BA169" s="415" t="n">
        <v>23</v>
      </c>
      <c r="BB169" s="416" t="n">
        <v>23</v>
      </c>
      <c r="BC169" s="416" t="n">
        <v>23</v>
      </c>
      <c r="BD169" s="415" t="n">
        <v>1</v>
      </c>
      <c r="BE169" s="415" t="n">
        <v>1</v>
      </c>
      <c r="BF169" s="416" t="n">
        <v>1</v>
      </c>
      <c r="BG169" s="416" t="n">
        <v>1</v>
      </c>
      <c r="BH169" s="416" t="n">
        <v>23</v>
      </c>
      <c r="BI169" s="416" t="n">
        <v>23</v>
      </c>
      <c r="BJ169" s="415"/>
      <c r="BK169" s="416" t="n">
        <v>83</v>
      </c>
      <c r="BL169" s="415"/>
      <c r="BM169" s="415"/>
      <c r="BN169" s="415"/>
      <c r="BO169" s="416" t="n">
        <v>81</v>
      </c>
      <c r="BP169" s="415" t="n">
        <v>83</v>
      </c>
      <c r="BQ169" s="415"/>
      <c r="BR169" s="416" t="n">
        <v>81</v>
      </c>
      <c r="BS169" s="416"/>
      <c r="BT169" s="416"/>
      <c r="BU169" s="416" t="n">
        <v>83</v>
      </c>
      <c r="BV169" s="416" t="n">
        <v>83</v>
      </c>
      <c r="BW169" s="416" t="n">
        <v>83</v>
      </c>
      <c r="BX169" s="416" t="n">
        <v>83</v>
      </c>
      <c r="BY169" s="416" t="n">
        <v>83</v>
      </c>
      <c r="BZ169" s="416" t="n">
        <v>83</v>
      </c>
      <c r="CA169" s="416" t="n">
        <v>83</v>
      </c>
      <c r="CB169" s="416" t="n">
        <v>83</v>
      </c>
      <c r="CC169" s="416" t="n">
        <v>83</v>
      </c>
      <c r="CD169" s="416" t="n">
        <v>83</v>
      </c>
      <c r="CE169" s="416" t="n">
        <v>83</v>
      </c>
      <c r="CQ169" s="400" t="n">
        <v>66</v>
      </c>
      <c r="CR169" s="416" t="n">
        <v>81</v>
      </c>
      <c r="CS169" s="415" t="n">
        <v>81</v>
      </c>
      <c r="CT169" s="416" t="n">
        <v>81</v>
      </c>
      <c r="CU169" s="416" t="n">
        <v>81</v>
      </c>
      <c r="CV169" s="416" t="n">
        <v>61</v>
      </c>
      <c r="CW169" s="416"/>
      <c r="CX169" s="416" t="n">
        <v>81</v>
      </c>
      <c r="CY169" s="415"/>
      <c r="DA169" s="407"/>
      <c r="DB169" s="407"/>
      <c r="DC169" s="400" t="s">
        <v>849</v>
      </c>
      <c r="DD169" s="415"/>
    </row>
    <row r="170" s="400" customFormat="true" ht="15" hidden="false" customHeight="false" outlineLevel="0" collapsed="false">
      <c r="B170" s="407"/>
      <c r="C170" s="407"/>
      <c r="D170" s="407"/>
      <c r="E170" s="407"/>
      <c r="F170" s="408"/>
      <c r="I170" s="415" t="s">
        <v>850</v>
      </c>
      <c r="J170" s="416" t="n">
        <v>1.5972602739726</v>
      </c>
      <c r="K170" s="417" t="n">
        <v>45201</v>
      </c>
      <c r="L170" s="416" t="n">
        <v>43.2</v>
      </c>
      <c r="M170" s="416" t="n">
        <v>2.75</v>
      </c>
      <c r="N170" s="416"/>
      <c r="O170" s="416" t="n">
        <v>110</v>
      </c>
      <c r="P170" s="416" t="n">
        <v>69</v>
      </c>
      <c r="Q170" s="416" t="n">
        <v>0</v>
      </c>
      <c r="R170" s="416" t="n">
        <v>0</v>
      </c>
      <c r="S170" s="416" t="n">
        <v>0</v>
      </c>
      <c r="T170" s="416" t="n">
        <v>0</v>
      </c>
      <c r="U170" s="416" t="n">
        <v>503</v>
      </c>
      <c r="V170" s="416" t="n">
        <v>286</v>
      </c>
      <c r="W170" s="412" t="n">
        <v>-336</v>
      </c>
      <c r="Y170" s="416" t="n">
        <v>0.079254421668255</v>
      </c>
      <c r="AA170" s="416" t="n">
        <v>0.0487418916131217</v>
      </c>
      <c r="AB170" s="407"/>
      <c r="AC170" s="415"/>
      <c r="AD170" s="418" t="n">
        <v>45433.474212963</v>
      </c>
      <c r="AE170" s="418" t="n">
        <v>45442.5783217593</v>
      </c>
      <c r="AF170" s="416" t="n">
        <v>162.71055555559</v>
      </c>
      <c r="AG170" s="418" t="n">
        <v>45433.474212963</v>
      </c>
      <c r="AH170" s="418" t="n">
        <v>45434.2686111111</v>
      </c>
      <c r="AI170" s="416" t="n">
        <v>0</v>
      </c>
      <c r="AJ170" s="416" t="n">
        <v>1</v>
      </c>
      <c r="AK170" s="418" t="n">
        <v>45442.5783217593</v>
      </c>
      <c r="AL170" s="418" t="n">
        <v>45442.5783217593</v>
      </c>
      <c r="AM170" s="416" t="n">
        <v>0</v>
      </c>
      <c r="AN170" s="416" t="n">
        <v>1</v>
      </c>
      <c r="AO170" s="416" t="n">
        <v>3.88111111102626</v>
      </c>
      <c r="AP170" s="416" t="n">
        <v>38.8811111110263</v>
      </c>
      <c r="AQ170" s="416" t="n">
        <v>1</v>
      </c>
      <c r="AR170" s="416" t="n">
        <v>1</v>
      </c>
      <c r="AS170" s="416"/>
      <c r="AT170" s="418"/>
      <c r="AU170" s="416"/>
      <c r="AW170" s="418" t="n">
        <v>45448.7446296296</v>
      </c>
      <c r="AX170" s="418" t="n">
        <v>45453.3854861111</v>
      </c>
      <c r="AY170" s="416" t="n">
        <v>66.8225000000093</v>
      </c>
      <c r="AZ170" s="418" t="n">
        <v>45447.5959953704</v>
      </c>
      <c r="BA170" s="418" t="n">
        <v>45447.5960069444</v>
      </c>
      <c r="BB170" s="416" t="n">
        <v>0</v>
      </c>
      <c r="BC170" s="416" t="n">
        <v>1</v>
      </c>
      <c r="BD170" s="418" t="n">
        <v>45456.4585532407</v>
      </c>
      <c r="BE170" s="418" t="n">
        <v>45456.4585763889</v>
      </c>
      <c r="BF170" s="416" t="n">
        <v>0.000555555510800332</v>
      </c>
      <c r="BG170" s="416" t="n">
        <v>1</v>
      </c>
      <c r="BH170" s="416" t="n">
        <v>1</v>
      </c>
      <c r="BI170" s="416" t="n">
        <v>1</v>
      </c>
      <c r="BJ170" s="415"/>
      <c r="BK170" s="416" t="n">
        <v>1</v>
      </c>
      <c r="BL170" s="415"/>
      <c r="BM170" s="415"/>
      <c r="BN170" s="418"/>
      <c r="BO170" s="416" t="n">
        <v>1</v>
      </c>
      <c r="BP170" s="417" t="n">
        <v>45579</v>
      </c>
      <c r="BQ170" s="418"/>
      <c r="BR170" s="416" t="n">
        <v>143.375</v>
      </c>
      <c r="BS170" s="416"/>
      <c r="BT170" s="416"/>
      <c r="BU170" s="416" t="n">
        <v>0.2</v>
      </c>
      <c r="BV170" s="416" t="n">
        <v>0.2</v>
      </c>
      <c r="BW170" s="416" t="n">
        <v>0.2</v>
      </c>
      <c r="BX170" s="416" t="n">
        <v>0.2</v>
      </c>
      <c r="BY170" s="416" t="n">
        <v>0.2</v>
      </c>
      <c r="BZ170" s="416" t="n">
        <v>0.2</v>
      </c>
      <c r="CA170" s="416" t="n">
        <v>0.2</v>
      </c>
      <c r="CB170" s="416" t="n">
        <v>0.2</v>
      </c>
      <c r="CC170" s="416" t="n">
        <v>0.2</v>
      </c>
      <c r="CD170" s="416" t="n">
        <v>0.2</v>
      </c>
      <c r="CE170" s="416" t="n">
        <v>0.2</v>
      </c>
      <c r="CQ170" s="400" t="n">
        <v>3</v>
      </c>
      <c r="CR170" s="416" t="n">
        <v>36</v>
      </c>
      <c r="CS170" s="418" t="n">
        <v>45434.75</v>
      </c>
      <c r="CT170" s="416" t="n">
        <v>0.5</v>
      </c>
      <c r="CU170" s="416" t="n">
        <v>0.11316</v>
      </c>
      <c r="CV170" s="416" t="n">
        <v>-223.823611111147</v>
      </c>
      <c r="CW170" s="416"/>
      <c r="CX170" s="416" t="n">
        <v>-39</v>
      </c>
      <c r="CY170" s="415"/>
      <c r="DA170" s="407"/>
      <c r="DB170" s="407"/>
      <c r="DC170" s="400" t="s">
        <v>850</v>
      </c>
      <c r="DD170" s="415"/>
    </row>
    <row r="171" s="400" customFormat="true" ht="15" hidden="false" customHeight="false" outlineLevel="0" collapsed="false">
      <c r="B171" s="407"/>
      <c r="C171" s="407"/>
      <c r="D171" s="407"/>
      <c r="E171" s="407"/>
      <c r="F171" s="408"/>
      <c r="I171" s="415" t="s">
        <v>851</v>
      </c>
      <c r="J171" s="416" t="n">
        <v>7.61643835616438</v>
      </c>
      <c r="K171" s="417" t="n">
        <v>45323</v>
      </c>
      <c r="L171" s="416" t="n">
        <v>94.9</v>
      </c>
      <c r="M171" s="416" t="n">
        <v>4</v>
      </c>
      <c r="N171" s="416"/>
      <c r="O171" s="416" t="n">
        <v>232</v>
      </c>
      <c r="P171" s="416" t="n">
        <v>374</v>
      </c>
      <c r="Q171" s="416" t="n">
        <v>3516</v>
      </c>
      <c r="R171" s="416" t="n">
        <v>2987</v>
      </c>
      <c r="S171" s="416" t="n">
        <v>2612</v>
      </c>
      <c r="T171" s="416" t="n">
        <v>2538</v>
      </c>
      <c r="U171" s="416" t="n">
        <v>2604</v>
      </c>
      <c r="V171" s="416" t="n">
        <v>2431</v>
      </c>
      <c r="W171" s="412" t="n">
        <v>46</v>
      </c>
      <c r="Y171" s="416" t="n">
        <v>0.961295195897975</v>
      </c>
      <c r="AA171" s="416" t="n">
        <v>0.997815134382357</v>
      </c>
      <c r="AB171" s="407"/>
      <c r="AC171" s="415"/>
      <c r="AD171" s="418" t="n">
        <v>45435.7987152778</v>
      </c>
      <c r="AE171" s="418" t="n">
        <v>45444.5921064815</v>
      </c>
      <c r="AF171" s="416" t="n">
        <v>266.829444444564</v>
      </c>
      <c r="AG171" s="418" t="n">
        <v>45445.5759837963</v>
      </c>
      <c r="AH171" s="418" t="n">
        <v>45445.5759837963</v>
      </c>
      <c r="AI171" s="416" t="n">
        <v>53.0016666665906</v>
      </c>
      <c r="AJ171" s="416" t="n">
        <v>53.0016666665906</v>
      </c>
      <c r="AK171" s="418" t="n">
        <v>45444.5920717593</v>
      </c>
      <c r="AL171" s="418" t="n">
        <v>45444.5921064815</v>
      </c>
      <c r="AM171" s="416" t="n">
        <v>0.000833333353511989</v>
      </c>
      <c r="AN171" s="416" t="n">
        <v>1</v>
      </c>
      <c r="AO171" s="416" t="n">
        <v>294.323611111147</v>
      </c>
      <c r="AP171" s="416" t="n">
        <v>329.323611111147</v>
      </c>
      <c r="AQ171" s="416" t="n">
        <v>81</v>
      </c>
      <c r="AR171" s="416" t="n">
        <v>4</v>
      </c>
      <c r="AS171" s="416"/>
      <c r="AT171" s="418"/>
      <c r="AU171" s="416"/>
      <c r="AW171" s="418" t="n">
        <v>45450.6012152778</v>
      </c>
      <c r="AX171" s="418" t="n">
        <v>45456.4585763889</v>
      </c>
      <c r="AY171" s="416" t="n">
        <v>185.134722222167</v>
      </c>
      <c r="AZ171" s="418" t="n">
        <v>45461.7336342593</v>
      </c>
      <c r="BA171" s="418" t="n">
        <v>45461.7336342593</v>
      </c>
      <c r="BB171" s="416" t="n">
        <v>35.0949999999139</v>
      </c>
      <c r="BC171" s="416" t="n">
        <v>35.0949999999139</v>
      </c>
      <c r="BD171" s="418" t="n">
        <v>45456.4585532407</v>
      </c>
      <c r="BE171" s="418" t="n">
        <v>45456.4585763889</v>
      </c>
      <c r="BF171" s="416" t="n">
        <v>0.000555555510800332</v>
      </c>
      <c r="BG171" s="416" t="n">
        <v>1</v>
      </c>
      <c r="BH171" s="416" t="n">
        <v>30</v>
      </c>
      <c r="BI171" s="416" t="n">
        <v>2</v>
      </c>
      <c r="BJ171" s="415"/>
      <c r="BK171" s="416" t="n">
        <v>3</v>
      </c>
      <c r="BL171" s="415"/>
      <c r="BM171" s="415"/>
      <c r="BN171" s="418"/>
      <c r="BO171" s="416" t="n">
        <v>2</v>
      </c>
      <c r="BP171" s="417" t="n">
        <v>45599</v>
      </c>
      <c r="BQ171" s="418"/>
      <c r="BR171" s="416" t="n">
        <v>163.375</v>
      </c>
      <c r="BS171" s="416"/>
      <c r="BT171" s="416"/>
      <c r="BU171" s="416" t="n">
        <v>7.5359</v>
      </c>
      <c r="BV171" s="416" t="n">
        <v>7.1759</v>
      </c>
      <c r="BW171" s="416" t="n">
        <v>1.153</v>
      </c>
      <c r="BX171" s="416" t="n">
        <v>1.0584</v>
      </c>
      <c r="BY171" s="416" t="n">
        <v>1.1742</v>
      </c>
      <c r="BZ171" s="416" t="n">
        <v>1.1869</v>
      </c>
      <c r="CA171" s="416" t="n">
        <v>1.8059</v>
      </c>
      <c r="CB171" s="416" t="n">
        <v>2.3901</v>
      </c>
      <c r="CC171" s="416" t="n">
        <v>3.8152</v>
      </c>
      <c r="CD171" s="416" t="n">
        <v>6.6606</v>
      </c>
      <c r="CE171" s="416" t="n">
        <v>8.6972</v>
      </c>
      <c r="CQ171" s="400" t="n">
        <v>7</v>
      </c>
      <c r="CR171" s="416" t="n">
        <v>96</v>
      </c>
      <c r="CS171" s="418" t="n">
        <v>45437.25</v>
      </c>
      <c r="CT171" s="416" t="n">
        <v>2</v>
      </c>
      <c r="CU171" s="416" t="n">
        <v>1.095</v>
      </c>
      <c r="CV171" s="416" t="n">
        <v>83.9508333333652</v>
      </c>
      <c r="CW171" s="416"/>
      <c r="CX171" s="416" t="n">
        <v>21</v>
      </c>
      <c r="CY171" s="415"/>
      <c r="DA171" s="407"/>
      <c r="DB171" s="407"/>
      <c r="DC171" s="400" t="s">
        <v>851</v>
      </c>
      <c r="DD171" s="415"/>
    </row>
    <row r="172" s="400" customFormat="true" ht="15" hidden="false" customHeight="false" outlineLevel="0" collapsed="false">
      <c r="B172" s="407"/>
      <c r="C172" s="407"/>
      <c r="D172" s="407"/>
      <c r="E172" s="407"/>
      <c r="F172" s="408"/>
      <c r="I172" s="415" t="s">
        <v>852</v>
      </c>
      <c r="J172" s="416" t="n">
        <v>6.01917808219178</v>
      </c>
      <c r="K172" s="416" t="n">
        <v>122</v>
      </c>
      <c r="L172" s="416" t="n">
        <v>51.7</v>
      </c>
      <c r="M172" s="416" t="n">
        <v>1.25</v>
      </c>
      <c r="N172" s="416"/>
      <c r="O172" s="416" t="n">
        <v>122</v>
      </c>
      <c r="P172" s="416" t="n">
        <v>305</v>
      </c>
      <c r="Q172" s="416" t="n">
        <v>3516</v>
      </c>
      <c r="R172" s="416" t="n">
        <v>2987</v>
      </c>
      <c r="S172" s="416" t="n">
        <v>2612</v>
      </c>
      <c r="T172" s="416" t="n">
        <v>2538</v>
      </c>
      <c r="U172" s="416" t="n">
        <v>2101</v>
      </c>
      <c r="V172" s="416" t="n">
        <v>2145</v>
      </c>
      <c r="W172" s="412" t="n">
        <v>382</v>
      </c>
      <c r="Y172" s="416" t="n">
        <v>0.88204077422972</v>
      </c>
      <c r="AA172" s="416" t="n">
        <v>0.949073242769236</v>
      </c>
      <c r="AB172" s="407"/>
      <c r="AC172" s="415"/>
      <c r="AD172" s="416" t="n">
        <v>2.32450231481926</v>
      </c>
      <c r="AE172" s="416" t="n">
        <v>2.01378472222132</v>
      </c>
      <c r="AF172" s="416" t="n">
        <v>104.118888888974</v>
      </c>
      <c r="AG172" s="416" t="n">
        <v>12.1017708333384</v>
      </c>
      <c r="AH172" s="416" t="n">
        <v>11.3073726851871</v>
      </c>
      <c r="AI172" s="416" t="n">
        <v>53.0016666665906</v>
      </c>
      <c r="AJ172" s="416" t="n">
        <v>52.0016666665906</v>
      </c>
      <c r="AK172" s="416" t="n">
        <v>2.01374999999825</v>
      </c>
      <c r="AL172" s="416" t="n">
        <v>2.01378472222132</v>
      </c>
      <c r="AM172" s="416" t="n">
        <v>0.000833333353511989</v>
      </c>
      <c r="AN172" s="416" t="n">
        <v>0</v>
      </c>
      <c r="AO172" s="416" t="n">
        <v>290.442500000121</v>
      </c>
      <c r="AP172" s="416" t="n">
        <v>290.442500000121</v>
      </c>
      <c r="AQ172" s="416" t="n">
        <v>80</v>
      </c>
      <c r="AR172" s="416" t="n">
        <v>3</v>
      </c>
      <c r="AS172" s="416"/>
      <c r="AT172" s="416"/>
      <c r="AU172" s="416"/>
      <c r="AW172" s="416" t="n">
        <v>1.85658564814366</v>
      </c>
      <c r="AX172" s="416" t="n">
        <v>3.07309027777956</v>
      </c>
      <c r="AY172" s="416" t="n">
        <v>118.312222222157</v>
      </c>
      <c r="AZ172" s="416" t="n">
        <v>14.1376388888893</v>
      </c>
      <c r="BA172" s="416" t="n">
        <v>14.1376273148198</v>
      </c>
      <c r="BB172" s="416" t="n">
        <v>35.0949999999139</v>
      </c>
      <c r="BC172" s="416" t="n">
        <v>34.0949999999139</v>
      </c>
      <c r="BD172" s="416" t="n">
        <v>0</v>
      </c>
      <c r="BE172" s="416" t="n">
        <v>0</v>
      </c>
      <c r="BF172" s="416" t="n">
        <v>0</v>
      </c>
      <c r="BG172" s="416" t="n">
        <v>0</v>
      </c>
      <c r="BH172" s="416" t="n">
        <v>29</v>
      </c>
      <c r="BI172" s="416" t="n">
        <v>1</v>
      </c>
      <c r="BK172" s="416" t="n">
        <v>2</v>
      </c>
      <c r="BN172" s="416"/>
      <c r="BO172" s="416" t="n">
        <v>1</v>
      </c>
      <c r="BP172" s="415" t="n">
        <v>20</v>
      </c>
      <c r="BQ172" s="416"/>
      <c r="BR172" s="416" t="n">
        <v>20</v>
      </c>
      <c r="BS172" s="416"/>
      <c r="BT172" s="416"/>
      <c r="BU172" s="416" t="n">
        <v>7.3359</v>
      </c>
      <c r="BV172" s="416" t="n">
        <v>6.9759</v>
      </c>
      <c r="BW172" s="416" t="n">
        <v>0.953</v>
      </c>
      <c r="BX172" s="416" t="n">
        <v>0.8584</v>
      </c>
      <c r="BY172" s="416" t="n">
        <v>0.9742</v>
      </c>
      <c r="BZ172" s="416" t="n">
        <v>0.9869</v>
      </c>
      <c r="CA172" s="416" t="n">
        <v>1.6059</v>
      </c>
      <c r="CB172" s="416" t="n">
        <v>2.1901</v>
      </c>
      <c r="CC172" s="416" t="n">
        <v>3.6152</v>
      </c>
      <c r="CD172" s="416" t="n">
        <v>6.4606</v>
      </c>
      <c r="CE172" s="416" t="n">
        <v>8.4972</v>
      </c>
      <c r="CQ172" s="400" t="n">
        <v>4</v>
      </c>
      <c r="CR172" s="416" t="n">
        <v>60</v>
      </c>
      <c r="CS172" s="416" t="n">
        <v>2.5</v>
      </c>
      <c r="CT172" s="416" t="n">
        <v>1.5</v>
      </c>
      <c r="CU172" s="416" t="n">
        <v>0.98184</v>
      </c>
      <c r="CV172" s="416" t="n">
        <v>307.774444444513</v>
      </c>
      <c r="CW172" s="416"/>
      <c r="CX172" s="416" t="n">
        <v>60</v>
      </c>
      <c r="DA172" s="407"/>
      <c r="DB172" s="407"/>
      <c r="DC172" s="400" t="s">
        <v>852</v>
      </c>
      <c r="DD172" s="415"/>
    </row>
    <row r="173" s="400" customFormat="true" ht="15" hidden="false" customHeight="false" outlineLevel="0" collapsed="false">
      <c r="B173" s="407"/>
      <c r="C173" s="407"/>
      <c r="D173" s="407"/>
      <c r="E173" s="407"/>
      <c r="F173" s="408"/>
      <c r="L173" s="409"/>
      <c r="M173" s="409"/>
      <c r="N173" s="409"/>
      <c r="W173" s="408"/>
      <c r="AB173" s="407"/>
      <c r="DA173" s="407"/>
      <c r="DB173" s="407"/>
    </row>
    <row r="174" s="400" customFormat="true" ht="15" hidden="false" customHeight="false" outlineLevel="0" collapsed="false">
      <c r="B174" s="407"/>
      <c r="C174" s="407"/>
      <c r="D174" s="407"/>
      <c r="E174" s="407"/>
      <c r="F174" s="408"/>
      <c r="H174" s="414" t="s">
        <v>854</v>
      </c>
      <c r="I174" s="415" t="s">
        <v>846</v>
      </c>
      <c r="J174" s="416" t="n">
        <v>3.66427249166975</v>
      </c>
      <c r="K174" s="417" t="n">
        <v>45236.1081081081</v>
      </c>
      <c r="L174" s="416" t="n">
        <v>66.6216216216216</v>
      </c>
      <c r="M174" s="416" t="n">
        <v>3.26351351351351</v>
      </c>
      <c r="N174" s="416"/>
      <c r="O174" s="416" t="n">
        <v>196.891891891892</v>
      </c>
      <c r="P174" s="416" t="n">
        <v>246.108108108108</v>
      </c>
      <c r="Q174" s="416" t="n">
        <v>1257.05405405405</v>
      </c>
      <c r="R174" s="416" t="n">
        <v>1466.45945945946</v>
      </c>
      <c r="S174" s="416" t="n">
        <v>1573.24324324324</v>
      </c>
      <c r="T174" s="416" t="n">
        <v>1444.08108108108</v>
      </c>
      <c r="U174" s="416" t="n">
        <v>1431.59459459459</v>
      </c>
      <c r="V174" s="416" t="n">
        <v>1382.45945945946</v>
      </c>
      <c r="W174" s="412" t="n">
        <v>-45.1621621621622</v>
      </c>
      <c r="Y174" s="416" t="n">
        <v>0.609239338526682</v>
      </c>
      <c r="AA174" s="416" t="n">
        <v>0.713067871390945</v>
      </c>
      <c r="AB174" s="407"/>
      <c r="AC174" s="415"/>
      <c r="AD174" s="418" t="e">
        <f aca="false">#DIV/0!</f>
        <v>#DIV/0!</v>
      </c>
      <c r="AE174" s="418" t="e">
        <f aca="false">#DIV/0!</f>
        <v>#DIV/0!</v>
      </c>
      <c r="AF174" s="416" t="e">
        <f aca="false">#DIV/0!</f>
        <v>#DIV/0!</v>
      </c>
      <c r="AG174" s="418" t="n">
        <v>45435.7065299824</v>
      </c>
      <c r="AH174" s="418" t="n">
        <v>45436.0511987434</v>
      </c>
      <c r="AI174" s="416" t="n">
        <v>8.27205026454924</v>
      </c>
      <c r="AJ174" s="416" t="n">
        <v>8.56484126983421</v>
      </c>
      <c r="AK174" s="418" t="e">
        <f aca="false">#DIV/0!</f>
        <v>#DIV/0!</v>
      </c>
      <c r="AL174" s="418" t="e">
        <f aca="false">#DIV/0!</f>
        <v>#DIV/0!</v>
      </c>
      <c r="AM174" s="416" t="e">
        <f aca="false">#DIV/0!</f>
        <v>#DIV/0!</v>
      </c>
      <c r="AN174" s="416" t="e">
        <f aca="false">#DIV/0!</f>
        <v>#DIV/0!</v>
      </c>
      <c r="AO174" s="416" t="n">
        <v>57.4567195767138</v>
      </c>
      <c r="AP174" s="416" t="n">
        <v>92.4567195767138</v>
      </c>
      <c r="AQ174" s="416" t="n">
        <v>9.23809523809524</v>
      </c>
      <c r="AR174" s="416" t="n">
        <v>1.57142857142857</v>
      </c>
      <c r="AS174" s="416"/>
      <c r="AT174" s="418"/>
      <c r="AU174" s="416"/>
      <c r="AW174" s="418" t="n">
        <v>45448.9152816358</v>
      </c>
      <c r="AX174" s="418" t="n">
        <v>45454.3366705247</v>
      </c>
      <c r="AY174" s="416" t="n">
        <v>130.113333333342</v>
      </c>
      <c r="AZ174" s="418" t="n">
        <v>45453.0394679917</v>
      </c>
      <c r="BA174" s="418" t="n">
        <v>45453.7197685185</v>
      </c>
      <c r="BB174" s="416" t="n">
        <v>16.3272126436671</v>
      </c>
      <c r="BC174" s="416" t="n">
        <v>16.3616954022878</v>
      </c>
      <c r="BD174" s="418" t="n">
        <v>45453.6467824074</v>
      </c>
      <c r="BE174" s="418" t="n">
        <v>45453.6467824074</v>
      </c>
      <c r="BF174" s="416" t="n">
        <v>0</v>
      </c>
      <c r="BG174" s="416" t="n">
        <v>1</v>
      </c>
      <c r="BH174" s="416" t="n">
        <v>30.5862068965517</v>
      </c>
      <c r="BI174" s="416" t="n">
        <v>2.25</v>
      </c>
      <c r="BJ174" s="415"/>
      <c r="BK174" s="416" t="e">
        <f aca="false">#DIV/0!</f>
        <v>#DIV/0!</v>
      </c>
      <c r="BL174" s="415"/>
      <c r="BM174" s="415"/>
      <c r="BN174" s="418"/>
      <c r="BO174" s="416" t="n">
        <v>1.45161290322581</v>
      </c>
      <c r="BP174" s="417" t="n">
        <v>45610.935483871</v>
      </c>
      <c r="BQ174" s="418"/>
      <c r="BR174" s="416" t="n">
        <v>175.310483870968</v>
      </c>
      <c r="BS174" s="416"/>
      <c r="BT174" s="416"/>
      <c r="BU174" s="416" t="n">
        <v>0.551194324324324</v>
      </c>
      <c r="BV174" s="416" t="n">
        <v>0.827513783783784</v>
      </c>
      <c r="BW174" s="416" t="n">
        <v>0.541121891891892</v>
      </c>
      <c r="BX174" s="416" t="n">
        <v>0.508939324324324</v>
      </c>
      <c r="BY174" s="416" t="n">
        <v>0.625051081081081</v>
      </c>
      <c r="BZ174" s="416" t="n">
        <v>0.587449189189189</v>
      </c>
      <c r="CA174" s="416" t="n">
        <v>0.669403513513513</v>
      </c>
      <c r="CB174" s="416" t="n">
        <v>0.886785135135135</v>
      </c>
      <c r="CC174" s="416" t="n">
        <v>0.96525972972973</v>
      </c>
      <c r="CD174" s="416" t="n">
        <v>1.25123567567568</v>
      </c>
      <c r="CE174" s="416" t="n">
        <v>1.19635810810811</v>
      </c>
      <c r="CQ174" s="400" t="n">
        <v>5.26666666666667</v>
      </c>
      <c r="CR174" s="416" t="n">
        <v>69.4285714285714</v>
      </c>
      <c r="CS174" s="418" t="n">
        <v>45436.1428571429</v>
      </c>
      <c r="CT174" s="416" t="n">
        <v>1.34</v>
      </c>
      <c r="CU174" s="416" t="n">
        <v>0.391520714285714</v>
      </c>
      <c r="CV174" s="416" t="n">
        <v>9.84859649123514</v>
      </c>
      <c r="CW174" s="416"/>
      <c r="CX174" s="416" t="n">
        <v>-12.4285714285714</v>
      </c>
      <c r="CY174" s="415"/>
      <c r="DA174" s="407"/>
      <c r="DB174" s="407"/>
      <c r="DC174" s="414" t="s">
        <v>846</v>
      </c>
      <c r="DD174" s="415"/>
    </row>
    <row r="175" s="400" customFormat="true" ht="15" hidden="false" customHeight="false" outlineLevel="0" collapsed="false">
      <c r="B175" s="407"/>
      <c r="C175" s="407"/>
      <c r="D175" s="407"/>
      <c r="E175" s="407"/>
      <c r="F175" s="408"/>
      <c r="I175" s="415" t="s">
        <v>847</v>
      </c>
      <c r="J175" s="416" t="n">
        <v>1.79968022043054</v>
      </c>
      <c r="K175" s="416" t="n">
        <v>40.1751607780671</v>
      </c>
      <c r="L175" s="416" t="n">
        <v>9.76877494694004</v>
      </c>
      <c r="M175" s="416" t="n">
        <v>0.412251381078585</v>
      </c>
      <c r="N175" s="416"/>
      <c r="O175" s="416" t="n">
        <v>40.1751607780671</v>
      </c>
      <c r="P175" s="416" t="n">
        <v>80.140773290152</v>
      </c>
      <c r="Q175" s="416" t="n">
        <v>1302.60205285732</v>
      </c>
      <c r="R175" s="416" t="n">
        <v>1072.18413101986</v>
      </c>
      <c r="S175" s="416" t="n">
        <v>830.671529058983</v>
      </c>
      <c r="T175" s="416" t="n">
        <v>706.832699770933</v>
      </c>
      <c r="U175" s="416" t="n">
        <v>385.56340157831</v>
      </c>
      <c r="V175" s="416" t="n">
        <v>378.612569096006</v>
      </c>
      <c r="W175" s="412" t="n">
        <v>86.7959015652728</v>
      </c>
      <c r="Y175" s="416" t="n">
        <v>0.255220641898115</v>
      </c>
      <c r="AA175" s="416" t="n">
        <v>0.299823500966624</v>
      </c>
      <c r="AB175" s="407"/>
      <c r="AC175" s="415"/>
      <c r="AD175" s="416" t="e">
        <f aca="false">#DIV/0!</f>
        <v>#DIV/0!</v>
      </c>
      <c r="AE175" s="416" t="e">
        <f aca="false">#DIV/0!</f>
        <v>#DIV/0!</v>
      </c>
      <c r="AF175" s="416" t="e">
        <f aca="false">#DIV/0!</f>
        <v>#DIV/0!</v>
      </c>
      <c r="AG175" s="416" t="n">
        <v>0.968503133788972</v>
      </c>
      <c r="AH175" s="416" t="n">
        <v>0.887317280586468</v>
      </c>
      <c r="AI175" s="416" t="n">
        <v>11.7322508166176</v>
      </c>
      <c r="AJ175" s="416" t="n">
        <v>11.5240432911949</v>
      </c>
      <c r="AK175" s="416" t="e">
        <f aca="false">#DIV/0!</f>
        <v>#DIV/0!</v>
      </c>
      <c r="AL175" s="416" t="e">
        <f aca="false">#DIV/0!</f>
        <v>#DIV/0!</v>
      </c>
      <c r="AM175" s="416" t="e">
        <f aca="false">#DIV/0!</f>
        <v>#DIV/0!</v>
      </c>
      <c r="AN175" s="416" t="e">
        <f aca="false">#DIV/0!</f>
        <v>#DIV/0!</v>
      </c>
      <c r="AO175" s="416" t="n">
        <v>23.2440752109353</v>
      </c>
      <c r="AP175" s="416" t="n">
        <v>23.2440752109353</v>
      </c>
      <c r="AQ175" s="416" t="n">
        <v>9.74117427164078</v>
      </c>
      <c r="AR175" s="416" t="n">
        <v>0.597614304667197</v>
      </c>
      <c r="AS175" s="416"/>
      <c r="AT175" s="416"/>
      <c r="AU175" s="416"/>
      <c r="AW175" s="416" t="n">
        <v>2.18916721734448</v>
      </c>
      <c r="AX175" s="416" t="n">
        <v>2.03133749647862</v>
      </c>
      <c r="AY175" s="416" t="n">
        <v>71.2417820163977</v>
      </c>
      <c r="AZ175" s="416" t="n">
        <v>2.4286480274056</v>
      </c>
      <c r="BA175" s="416" t="n">
        <v>2.5889504850852</v>
      </c>
      <c r="BB175" s="416" t="n">
        <v>10.6361498005915</v>
      </c>
      <c r="BC175" s="416" t="n">
        <v>10.5828132301716</v>
      </c>
      <c r="BD175" s="416" t="e">
        <f aca="false">#DIV/0!</f>
        <v>#DIV/0!</v>
      </c>
      <c r="BE175" s="416" t="e">
        <f aca="false">#DIV/0!</f>
        <v>#DIV/0!</v>
      </c>
      <c r="BF175" s="416" t="e">
        <f aca="false">#DIV/0!</f>
        <v>#DIV/0!</v>
      </c>
      <c r="BG175" s="416" t="e">
        <f aca="false">#DIV/0!</f>
        <v>#DIV/0!</v>
      </c>
      <c r="BH175" s="416" t="n">
        <v>29.565323850488</v>
      </c>
      <c r="BI175" s="416" t="n">
        <v>0.927960727138337</v>
      </c>
      <c r="BJ175" s="415"/>
      <c r="BK175" s="416" t="e">
        <f aca="false">#DIV/0!</f>
        <v>#DIV/0!</v>
      </c>
      <c r="BL175" s="415"/>
      <c r="BM175" s="415"/>
      <c r="BN175" s="416"/>
      <c r="BO175" s="416" t="n">
        <v>0.505879411020674</v>
      </c>
      <c r="BP175" s="416" t="n">
        <v>19.366526936738</v>
      </c>
      <c r="BQ175" s="416"/>
      <c r="BR175" s="416" t="n">
        <v>19.366526936738</v>
      </c>
      <c r="BS175" s="416"/>
      <c r="BT175" s="416"/>
      <c r="BU175" s="416" t="n">
        <v>0.921639060474268</v>
      </c>
      <c r="BV175" s="416" t="n">
        <v>1.32749875015499</v>
      </c>
      <c r="BW175" s="416" t="n">
        <v>1.50924275128445</v>
      </c>
      <c r="BX175" s="416" t="n">
        <v>1.22614035998023</v>
      </c>
      <c r="BY175" s="416" t="n">
        <v>1.59393422271014</v>
      </c>
      <c r="BZ175" s="416" t="n">
        <v>1.58016549763234</v>
      </c>
      <c r="CA175" s="416" t="n">
        <v>1.37514329161489</v>
      </c>
      <c r="CB175" s="416" t="n">
        <v>1.63579406925815</v>
      </c>
      <c r="CC175" s="416" t="n">
        <v>1.16212743878172</v>
      </c>
      <c r="CD175" s="416" t="n">
        <v>1.47276252018583</v>
      </c>
      <c r="CE175" s="416" t="n">
        <v>1.49692315646654</v>
      </c>
      <c r="CQ175" s="400" t="n">
        <v>1.16291915126588</v>
      </c>
      <c r="CR175" s="416" t="n">
        <v>23.1763426179123</v>
      </c>
      <c r="CS175" s="416" t="n">
        <v>0.965680942413012</v>
      </c>
      <c r="CT175" s="416" t="n">
        <v>0.494132236012453</v>
      </c>
      <c r="CU175" s="416" t="n">
        <v>0.232269216291156</v>
      </c>
      <c r="CV175" s="416" t="n">
        <v>17.375123949155</v>
      </c>
      <c r="CW175" s="416"/>
      <c r="CX175" s="416" t="n">
        <v>23.1763426179123</v>
      </c>
      <c r="CY175" s="415"/>
      <c r="DA175" s="407"/>
      <c r="DB175" s="407"/>
      <c r="DC175" s="400" t="s">
        <v>847</v>
      </c>
      <c r="DD175" s="415"/>
    </row>
    <row r="176" s="400" customFormat="true" ht="15" hidden="false" customHeight="false" outlineLevel="0" collapsed="false">
      <c r="B176" s="407"/>
      <c r="C176" s="407"/>
      <c r="D176" s="407"/>
      <c r="E176" s="407"/>
      <c r="F176" s="408"/>
      <c r="I176" s="415" t="s">
        <v>848</v>
      </c>
      <c r="J176" s="416" t="n">
        <v>0.295865605712263</v>
      </c>
      <c r="K176" s="416" t="n">
        <v>6.60475574674415</v>
      </c>
      <c r="L176" s="416" t="n">
        <v>1.60597670849089</v>
      </c>
      <c r="M176" s="416" t="n">
        <v>0.0677737095645543</v>
      </c>
      <c r="N176" s="416"/>
      <c r="O176" s="416" t="n">
        <v>6.60475574674415</v>
      </c>
      <c r="P176" s="416" t="n">
        <v>13.1750619707692</v>
      </c>
      <c r="Q176" s="416" t="n">
        <v>214.146458351623</v>
      </c>
      <c r="R176" s="416" t="n">
        <v>176.265985344539</v>
      </c>
      <c r="S176" s="416" t="n">
        <v>136.56155816069</v>
      </c>
      <c r="T176" s="416" t="n">
        <v>116.202580036653</v>
      </c>
      <c r="U176" s="416" t="n">
        <v>63.3862327614829</v>
      </c>
      <c r="V176" s="416" t="n">
        <v>62.2435229404629</v>
      </c>
      <c r="W176" s="412" t="n">
        <v>14.2691583195863</v>
      </c>
      <c r="Y176" s="416" t="n">
        <v>0.0419580150674733</v>
      </c>
      <c r="AA176" s="416" t="n">
        <v>0.0492906799292598</v>
      </c>
      <c r="AB176" s="407"/>
      <c r="AC176" s="415"/>
      <c r="AD176" s="416" t="e">
        <f aca="false">#DIV/0!</f>
        <v>#DIV/0!</v>
      </c>
      <c r="AE176" s="416" t="e">
        <f aca="false">#DIV/0!</f>
        <v>#DIV/0!</v>
      </c>
      <c r="AF176" s="416" t="e">
        <f aca="false">#DIV/0!</f>
        <v>#DIV/0!</v>
      </c>
      <c r="AG176" s="416" t="n">
        <v>0.211344710542377</v>
      </c>
      <c r="AH176" s="416" t="n">
        <v>0.193628504939517</v>
      </c>
      <c r="AI176" s="416" t="n">
        <v>2.5601870209218</v>
      </c>
      <c r="AJ176" s="416" t="n">
        <v>2.5147524139928</v>
      </c>
      <c r="AK176" s="416" t="e">
        <f aca="false">#DIV/0!</f>
        <v>#DIV/0!</v>
      </c>
      <c r="AL176" s="416" t="e">
        <f aca="false">#DIV/0!</f>
        <v>#DIV/0!</v>
      </c>
      <c r="AM176" s="416" t="e">
        <f aca="false">#DIV/0!</f>
        <v>#DIV/0!</v>
      </c>
      <c r="AN176" s="416" t="e">
        <f aca="false">#DIV/0!</f>
        <v>#DIV/0!</v>
      </c>
      <c r="AO176" s="416" t="n">
        <v>5.07227305301704</v>
      </c>
      <c r="AP176" s="416" t="n">
        <v>5.07227305301704</v>
      </c>
      <c r="AQ176" s="416" t="n">
        <v>2.12569849797858</v>
      </c>
      <c r="AR176" s="416" t="n">
        <v>0.130410132739325</v>
      </c>
      <c r="AS176" s="416"/>
      <c r="AT176" s="416"/>
      <c r="AU176" s="416"/>
      <c r="AW176" s="416" t="n">
        <v>1.26391628223494</v>
      </c>
      <c r="AX176" s="416" t="n">
        <v>1.17279325040691</v>
      </c>
      <c r="AY176" s="416" t="n">
        <v>41.1314620247158</v>
      </c>
      <c r="AZ176" s="416" t="n">
        <v>0.450988616762113</v>
      </c>
      <c r="BA176" s="416" t="n">
        <v>0.480756035851539</v>
      </c>
      <c r="BB176" s="416" t="n">
        <v>1.97508343412262</v>
      </c>
      <c r="BC176" s="416" t="n">
        <v>1.9651790816413</v>
      </c>
      <c r="BD176" s="416" t="e">
        <f aca="false">#DIV/0!</f>
        <v>#DIV/0!</v>
      </c>
      <c r="BE176" s="416" t="e">
        <f aca="false">#DIV/0!</f>
        <v>#DIV/0!</v>
      </c>
      <c r="BF176" s="416" t="e">
        <f aca="false">#DIV/0!</f>
        <v>#DIV/0!</v>
      </c>
      <c r="BG176" s="416" t="e">
        <f aca="false">#DIV/0!</f>
        <v>#DIV/0!</v>
      </c>
      <c r="BH176" s="416" t="n">
        <v>5.49014281073043</v>
      </c>
      <c r="BI176" s="416" t="n">
        <v>0.17536809360305</v>
      </c>
      <c r="BJ176" s="415"/>
      <c r="BK176" s="416" t="e">
        <f aca="false">#DIV/0!</f>
        <v>#DIV/0!</v>
      </c>
      <c r="BL176" s="415"/>
      <c r="BM176" s="415"/>
      <c r="BN176" s="416"/>
      <c r="BO176" s="416" t="n">
        <v>0.0908586244054951</v>
      </c>
      <c r="BP176" s="416" t="n">
        <v>3.18383741602165</v>
      </c>
      <c r="BQ176" s="416"/>
      <c r="BR176" s="416" t="n">
        <v>3.4783309196825</v>
      </c>
      <c r="BS176" s="416"/>
      <c r="BT176" s="416"/>
      <c r="BU176" s="416" t="n">
        <v>0.151516528203031</v>
      </c>
      <c r="BV176" s="416" t="n">
        <v>0.218239450174608</v>
      </c>
      <c r="BW176" s="416" t="n">
        <v>0.248117979909115</v>
      </c>
      <c r="BX176" s="416" t="n">
        <v>0.201576233474976</v>
      </c>
      <c r="BY176" s="416" t="n">
        <v>0.262041172044899</v>
      </c>
      <c r="BZ176" s="416" t="n">
        <v>0.259777607585623</v>
      </c>
      <c r="CA176" s="416" t="n">
        <v>0.226072164541243</v>
      </c>
      <c r="CB176" s="416" t="n">
        <v>0.268922888426149</v>
      </c>
      <c r="CC176" s="416" t="n">
        <v>0.191052574055484</v>
      </c>
      <c r="CD176" s="416" t="n">
        <v>0.242120666859836</v>
      </c>
      <c r="CE176" s="416" t="n">
        <v>0.246092650997039</v>
      </c>
      <c r="CQ176" s="400" t="n">
        <v>0.300264433722561</v>
      </c>
      <c r="CR176" s="416" t="n">
        <v>4.37991706193025</v>
      </c>
      <c r="CS176" s="416" t="n">
        <v>0.182496544247094</v>
      </c>
      <c r="CT176" s="416" t="n">
        <v>0.0988264472024906</v>
      </c>
      <c r="CU176" s="416" t="n">
        <v>0.0438947559658765</v>
      </c>
      <c r="CV176" s="416" t="n">
        <v>3.98612681188737</v>
      </c>
      <c r="CW176" s="416"/>
      <c r="CX176" s="416" t="n">
        <v>4.37991706193025</v>
      </c>
      <c r="CY176" s="415"/>
      <c r="DA176" s="407"/>
      <c r="DB176" s="407"/>
      <c r="DC176" s="400" t="s">
        <v>848</v>
      </c>
      <c r="DD176" s="415"/>
    </row>
    <row r="177" s="400" customFormat="true" ht="15" hidden="false" customHeight="false" outlineLevel="0" collapsed="false">
      <c r="B177" s="407"/>
      <c r="C177" s="407"/>
      <c r="D177" s="407"/>
      <c r="E177" s="407"/>
      <c r="F177" s="408"/>
      <c r="I177" s="415" t="s">
        <v>849</v>
      </c>
      <c r="J177" s="416" t="n">
        <v>37</v>
      </c>
      <c r="K177" s="416" t="n">
        <v>37</v>
      </c>
      <c r="L177" s="416" t="n">
        <v>37</v>
      </c>
      <c r="M177" s="416" t="n">
        <v>37</v>
      </c>
      <c r="N177" s="416"/>
      <c r="O177" s="416" t="n">
        <v>37</v>
      </c>
      <c r="P177" s="416" t="n">
        <v>37</v>
      </c>
      <c r="Q177" s="416" t="n">
        <v>37</v>
      </c>
      <c r="R177" s="416" t="n">
        <v>37</v>
      </c>
      <c r="S177" s="416" t="n">
        <v>37</v>
      </c>
      <c r="T177" s="416" t="n">
        <v>37</v>
      </c>
      <c r="U177" s="416" t="n">
        <v>37</v>
      </c>
      <c r="V177" s="416" t="n">
        <v>37</v>
      </c>
      <c r="W177" s="412" t="n">
        <v>37</v>
      </c>
      <c r="Y177" s="416" t="n">
        <v>37</v>
      </c>
      <c r="AA177" s="416" t="n">
        <v>37</v>
      </c>
      <c r="AB177" s="407"/>
      <c r="AC177" s="415"/>
      <c r="AD177" s="415" t="n">
        <v>0</v>
      </c>
      <c r="AE177" s="415" t="n">
        <v>0</v>
      </c>
      <c r="AF177" s="416" t="n">
        <v>0</v>
      </c>
      <c r="AG177" s="415" t="n">
        <v>21</v>
      </c>
      <c r="AH177" s="415" t="n">
        <v>21</v>
      </c>
      <c r="AI177" s="416" t="n">
        <v>21</v>
      </c>
      <c r="AJ177" s="416" t="n">
        <v>21</v>
      </c>
      <c r="AK177" s="415" t="n">
        <v>0</v>
      </c>
      <c r="AL177" s="415" t="n">
        <v>0</v>
      </c>
      <c r="AM177" s="416" t="n">
        <v>0</v>
      </c>
      <c r="AN177" s="416" t="n">
        <v>0</v>
      </c>
      <c r="AO177" s="416" t="n">
        <v>21</v>
      </c>
      <c r="AP177" s="416" t="n">
        <v>21</v>
      </c>
      <c r="AQ177" s="416" t="n">
        <v>21</v>
      </c>
      <c r="AR177" s="416" t="n">
        <v>21</v>
      </c>
      <c r="AS177" s="416"/>
      <c r="AT177" s="415"/>
      <c r="AU177" s="416"/>
      <c r="AW177" s="415" t="n">
        <v>3</v>
      </c>
      <c r="AX177" s="415" t="n">
        <v>3</v>
      </c>
      <c r="AY177" s="416" t="n">
        <v>3</v>
      </c>
      <c r="AZ177" s="415" t="n">
        <v>29</v>
      </c>
      <c r="BA177" s="415" t="n">
        <v>29</v>
      </c>
      <c r="BB177" s="416" t="n">
        <v>29</v>
      </c>
      <c r="BC177" s="416" t="n">
        <v>29</v>
      </c>
      <c r="BD177" s="415" t="n">
        <v>1</v>
      </c>
      <c r="BE177" s="415" t="n">
        <v>1</v>
      </c>
      <c r="BF177" s="416" t="n">
        <v>1</v>
      </c>
      <c r="BG177" s="416" t="n">
        <v>1</v>
      </c>
      <c r="BH177" s="416" t="n">
        <v>29</v>
      </c>
      <c r="BI177" s="416" t="n">
        <v>28</v>
      </c>
      <c r="BJ177" s="415"/>
      <c r="BK177" s="416" t="n">
        <v>0</v>
      </c>
      <c r="BL177" s="415"/>
      <c r="BM177" s="415"/>
      <c r="BN177" s="415"/>
      <c r="BO177" s="416" t="n">
        <v>31</v>
      </c>
      <c r="BP177" s="415" t="n">
        <v>37</v>
      </c>
      <c r="BQ177" s="415"/>
      <c r="BR177" s="416" t="n">
        <v>31</v>
      </c>
      <c r="BS177" s="416"/>
      <c r="BT177" s="416"/>
      <c r="BU177" s="416" t="n">
        <v>37</v>
      </c>
      <c r="BV177" s="416" t="n">
        <v>37</v>
      </c>
      <c r="BW177" s="416" t="n">
        <v>37</v>
      </c>
      <c r="BX177" s="416" t="n">
        <v>37</v>
      </c>
      <c r="BY177" s="416" t="n">
        <v>37</v>
      </c>
      <c r="BZ177" s="416" t="n">
        <v>37</v>
      </c>
      <c r="CA177" s="416" t="n">
        <v>37</v>
      </c>
      <c r="CB177" s="416" t="n">
        <v>37</v>
      </c>
      <c r="CC177" s="416" t="n">
        <v>37</v>
      </c>
      <c r="CD177" s="416" t="n">
        <v>37</v>
      </c>
      <c r="CE177" s="416" t="n">
        <v>37</v>
      </c>
      <c r="CQ177" s="400" t="n">
        <v>15</v>
      </c>
      <c r="CR177" s="416" t="n">
        <v>28</v>
      </c>
      <c r="CS177" s="415" t="n">
        <v>28</v>
      </c>
      <c r="CT177" s="416" t="n">
        <v>25</v>
      </c>
      <c r="CU177" s="416" t="n">
        <v>28</v>
      </c>
      <c r="CV177" s="416" t="n">
        <v>19</v>
      </c>
      <c r="CW177" s="416"/>
      <c r="CX177" s="416" t="n">
        <v>28</v>
      </c>
      <c r="CY177" s="415"/>
      <c r="DA177" s="407"/>
      <c r="DB177" s="407"/>
      <c r="DC177" s="400" t="s">
        <v>849</v>
      </c>
      <c r="DD177" s="415"/>
    </row>
    <row r="178" s="400" customFormat="true" ht="15" hidden="false" customHeight="false" outlineLevel="0" collapsed="false">
      <c r="B178" s="407"/>
      <c r="C178" s="407"/>
      <c r="D178" s="407"/>
      <c r="E178" s="407"/>
      <c r="F178" s="408"/>
      <c r="I178" s="415" t="s">
        <v>850</v>
      </c>
      <c r="J178" s="416" t="n">
        <v>1.5972602739726</v>
      </c>
      <c r="K178" s="417" t="n">
        <v>45201</v>
      </c>
      <c r="L178" s="416" t="n">
        <v>47.8</v>
      </c>
      <c r="M178" s="416" t="n">
        <v>2.5</v>
      </c>
      <c r="N178" s="416"/>
      <c r="O178" s="416" t="n">
        <v>101</v>
      </c>
      <c r="P178" s="416" t="n">
        <v>85</v>
      </c>
      <c r="Q178" s="416" t="n">
        <v>0</v>
      </c>
      <c r="R178" s="416" t="n">
        <v>0</v>
      </c>
      <c r="S178" s="416" t="n">
        <v>0</v>
      </c>
      <c r="T178" s="416" t="n">
        <v>0</v>
      </c>
      <c r="U178" s="416" t="n">
        <v>588</v>
      </c>
      <c r="V178" s="416" t="n">
        <v>943</v>
      </c>
      <c r="W178" s="412" t="n">
        <v>-217</v>
      </c>
      <c r="Y178" s="416" t="n">
        <v>0.0812801464385389</v>
      </c>
      <c r="AA178" s="416" t="n">
        <v>0.0711105896184711</v>
      </c>
      <c r="AB178" s="407"/>
      <c r="AC178" s="415"/>
      <c r="AD178" s="418" t="n">
        <v>0</v>
      </c>
      <c r="AE178" s="418" t="n">
        <v>0</v>
      </c>
      <c r="AF178" s="416" t="n">
        <v>0</v>
      </c>
      <c r="AG178" s="418" t="n">
        <v>45433.6464814815</v>
      </c>
      <c r="AH178" s="418" t="n">
        <v>45434.5585300926</v>
      </c>
      <c r="AI178" s="416" t="n">
        <v>0</v>
      </c>
      <c r="AJ178" s="416" t="n">
        <v>1</v>
      </c>
      <c r="AK178" s="418" t="n">
        <v>0</v>
      </c>
      <c r="AL178" s="418" t="n">
        <v>0</v>
      </c>
      <c r="AM178" s="416" t="n">
        <v>0</v>
      </c>
      <c r="AN178" s="416" t="n">
        <v>0</v>
      </c>
      <c r="AO178" s="416" t="n">
        <v>8.01555555558298</v>
      </c>
      <c r="AP178" s="416" t="n">
        <v>43.015555555583</v>
      </c>
      <c r="AQ178" s="416" t="n">
        <v>1</v>
      </c>
      <c r="AR178" s="416" t="n">
        <v>1</v>
      </c>
      <c r="AS178" s="416"/>
      <c r="AT178" s="418"/>
      <c r="AU178" s="416"/>
      <c r="AW178" s="418" t="n">
        <v>45446.490462963</v>
      </c>
      <c r="AX178" s="418" t="n">
        <v>45452.7401273148</v>
      </c>
      <c r="AY178" s="416" t="n">
        <v>47.8524999999208</v>
      </c>
      <c r="AZ178" s="418" t="n">
        <v>45446.490462963</v>
      </c>
      <c r="BA178" s="418" t="n">
        <v>45446.490462963</v>
      </c>
      <c r="BB178" s="416" t="n">
        <v>0</v>
      </c>
      <c r="BC178" s="416" t="n">
        <v>1</v>
      </c>
      <c r="BD178" s="418" t="n">
        <v>45453.6467824074</v>
      </c>
      <c r="BE178" s="418" t="n">
        <v>45453.6467824074</v>
      </c>
      <c r="BF178" s="416" t="n">
        <v>0</v>
      </c>
      <c r="BG178" s="416" t="n">
        <v>1</v>
      </c>
      <c r="BH178" s="416" t="n">
        <v>2</v>
      </c>
      <c r="BI178" s="416" t="n">
        <v>1</v>
      </c>
      <c r="BJ178" s="415"/>
      <c r="BK178" s="416" t="n">
        <v>0</v>
      </c>
      <c r="BL178" s="415"/>
      <c r="BM178" s="415"/>
      <c r="BN178" s="418"/>
      <c r="BO178" s="416" t="n">
        <v>1</v>
      </c>
      <c r="BP178" s="417" t="n">
        <v>45583</v>
      </c>
      <c r="BQ178" s="418"/>
      <c r="BR178" s="416" t="n">
        <v>147.375</v>
      </c>
      <c r="BS178" s="416"/>
      <c r="BT178" s="416"/>
      <c r="BU178" s="416" t="n">
        <v>0.2</v>
      </c>
      <c r="BV178" s="416" t="n">
        <v>0.2</v>
      </c>
      <c r="BW178" s="416" t="n">
        <v>0.2</v>
      </c>
      <c r="BX178" s="416" t="n">
        <v>0.2</v>
      </c>
      <c r="BY178" s="416" t="n">
        <v>0.2</v>
      </c>
      <c r="BZ178" s="416" t="n">
        <v>0.2</v>
      </c>
      <c r="CA178" s="416" t="n">
        <v>0.2</v>
      </c>
      <c r="CB178" s="416" t="n">
        <v>0.2</v>
      </c>
      <c r="CC178" s="416" t="n">
        <v>0.2</v>
      </c>
      <c r="CD178" s="416" t="n">
        <v>0.2</v>
      </c>
      <c r="CE178" s="416" t="n">
        <v>0.2</v>
      </c>
      <c r="CQ178" s="400" t="n">
        <v>4</v>
      </c>
      <c r="CR178" s="416" t="n">
        <v>36</v>
      </c>
      <c r="CS178" s="418" t="n">
        <v>45434.75</v>
      </c>
      <c r="CT178" s="416" t="n">
        <v>0.5</v>
      </c>
      <c r="CU178" s="416" t="n">
        <v>0.15292</v>
      </c>
      <c r="CV178" s="416" t="n">
        <v>-9.88194444437977</v>
      </c>
      <c r="CW178" s="416"/>
      <c r="CX178" s="416" t="n">
        <v>-63</v>
      </c>
      <c r="CY178" s="415"/>
      <c r="DA178" s="407"/>
      <c r="DB178" s="407"/>
      <c r="DC178" s="400" t="s">
        <v>850</v>
      </c>
      <c r="DD178" s="415"/>
    </row>
    <row r="179" s="400" customFormat="true" ht="15" hidden="false" customHeight="false" outlineLevel="0" collapsed="false">
      <c r="B179" s="407"/>
      <c r="C179" s="407"/>
      <c r="D179" s="407"/>
      <c r="E179" s="407"/>
      <c r="F179" s="408"/>
      <c r="I179" s="415" t="s">
        <v>851</v>
      </c>
      <c r="J179" s="416" t="n">
        <v>6.61643835616438</v>
      </c>
      <c r="K179" s="417" t="n">
        <v>45332</v>
      </c>
      <c r="L179" s="416" t="n">
        <v>87.9</v>
      </c>
      <c r="M179" s="416" t="n">
        <v>4</v>
      </c>
      <c r="N179" s="416"/>
      <c r="O179" s="416" t="n">
        <v>232</v>
      </c>
      <c r="P179" s="416" t="n">
        <v>397</v>
      </c>
      <c r="Q179" s="416" t="n">
        <v>3367</v>
      </c>
      <c r="R179" s="416" t="n">
        <v>3277</v>
      </c>
      <c r="S179" s="416" t="n">
        <v>2641</v>
      </c>
      <c r="T179" s="416" t="n">
        <v>2848</v>
      </c>
      <c r="U179" s="416" t="n">
        <v>2296</v>
      </c>
      <c r="V179" s="416" t="n">
        <v>2145</v>
      </c>
      <c r="W179" s="412" t="n">
        <v>261</v>
      </c>
      <c r="Y179" s="416" t="n">
        <v>0.879353034467021</v>
      </c>
      <c r="AA179" s="416" t="n">
        <v>0.982707076224491</v>
      </c>
      <c r="AB179" s="407"/>
      <c r="AC179" s="415"/>
      <c r="AD179" s="418" t="n">
        <v>0</v>
      </c>
      <c r="AE179" s="418" t="n">
        <v>0</v>
      </c>
      <c r="AF179" s="416" t="n">
        <v>0</v>
      </c>
      <c r="AG179" s="418" t="n">
        <v>45437.5852199074</v>
      </c>
      <c r="AH179" s="418" t="n">
        <v>45438.3819675926</v>
      </c>
      <c r="AI179" s="416" t="n">
        <v>48.0027777777286</v>
      </c>
      <c r="AJ179" s="416" t="n">
        <v>48.0027777777286</v>
      </c>
      <c r="AK179" s="418" t="n">
        <v>0</v>
      </c>
      <c r="AL179" s="418" t="n">
        <v>0</v>
      </c>
      <c r="AM179" s="416" t="n">
        <v>0</v>
      </c>
      <c r="AN179" s="416" t="n">
        <v>0</v>
      </c>
      <c r="AO179" s="416" t="n">
        <v>102.545277777768</v>
      </c>
      <c r="AP179" s="416" t="n">
        <v>137.545277777768</v>
      </c>
      <c r="AQ179" s="416" t="n">
        <v>33</v>
      </c>
      <c r="AR179" s="416" t="n">
        <v>3</v>
      </c>
      <c r="AS179" s="416"/>
      <c r="AT179" s="418"/>
      <c r="AU179" s="416"/>
      <c r="AW179" s="418" t="n">
        <v>45450.7462731482</v>
      </c>
      <c r="AX179" s="418" t="n">
        <v>45456.6231018519</v>
      </c>
      <c r="AY179" s="416" t="n">
        <v>171.751666666707</v>
      </c>
      <c r="AZ179" s="418" t="n">
        <v>45458.4418287037</v>
      </c>
      <c r="BA179" s="418" t="n">
        <v>45459.4581828704</v>
      </c>
      <c r="BB179" s="416" t="n">
        <v>48.2380555554992</v>
      </c>
      <c r="BC179" s="416" t="n">
        <v>48.2380555554992</v>
      </c>
      <c r="BD179" s="418" t="n">
        <v>45453.6467824074</v>
      </c>
      <c r="BE179" s="418" t="n">
        <v>45453.6467824074</v>
      </c>
      <c r="BF179" s="416" t="n">
        <v>0</v>
      </c>
      <c r="BG179" s="416" t="n">
        <v>1</v>
      </c>
      <c r="BH179" s="416" t="n">
        <v>126</v>
      </c>
      <c r="BI179" s="416" t="n">
        <v>4</v>
      </c>
      <c r="BJ179" s="415"/>
      <c r="BK179" s="416" t="n">
        <v>0</v>
      </c>
      <c r="BL179" s="415"/>
      <c r="BM179" s="415"/>
      <c r="BN179" s="418"/>
      <c r="BO179" s="416" t="n">
        <v>2</v>
      </c>
      <c r="BP179" s="417" t="n">
        <v>45667</v>
      </c>
      <c r="BQ179" s="418"/>
      <c r="BR179" s="416" t="n">
        <v>231.375</v>
      </c>
      <c r="BS179" s="416"/>
      <c r="BT179" s="416"/>
      <c r="BU179" s="416" t="n">
        <v>5.3888</v>
      </c>
      <c r="BV179" s="416" t="n">
        <v>6.1953</v>
      </c>
      <c r="BW179" s="416" t="n">
        <v>9.1813</v>
      </c>
      <c r="BX179" s="416" t="n">
        <v>7.4524</v>
      </c>
      <c r="BY179" s="416" t="n">
        <v>9.6002</v>
      </c>
      <c r="BZ179" s="416" t="n">
        <v>9.4</v>
      </c>
      <c r="CA179" s="416" t="n">
        <v>7.8997</v>
      </c>
      <c r="CB179" s="416" t="n">
        <v>9.4282</v>
      </c>
      <c r="CC179" s="416" t="n">
        <v>5.9432</v>
      </c>
      <c r="CD179" s="416" t="n">
        <v>7.5823</v>
      </c>
      <c r="CE179" s="416" t="n">
        <v>7.9907</v>
      </c>
      <c r="CQ179" s="400" t="n">
        <v>7</v>
      </c>
      <c r="CR179" s="416" t="n">
        <v>120</v>
      </c>
      <c r="CS179" s="418" t="n">
        <v>45438.25</v>
      </c>
      <c r="CT179" s="416" t="n">
        <v>2.5</v>
      </c>
      <c r="CU179" s="416" t="n">
        <v>1.009</v>
      </c>
      <c r="CV179" s="416" t="n">
        <v>59.3272222222877</v>
      </c>
      <c r="CW179" s="416"/>
      <c r="CX179" s="416" t="n">
        <v>21</v>
      </c>
      <c r="CY179" s="415"/>
      <c r="DA179" s="407"/>
      <c r="DB179" s="407"/>
      <c r="DC179" s="400" t="s">
        <v>851</v>
      </c>
      <c r="DD179" s="415"/>
    </row>
    <row r="180" s="400" customFormat="true" ht="15" hidden="false" customHeight="false" outlineLevel="0" collapsed="false">
      <c r="B180" s="407"/>
      <c r="C180" s="407"/>
      <c r="D180" s="407"/>
      <c r="E180" s="407"/>
      <c r="F180" s="408"/>
      <c r="I180" s="415" t="s">
        <v>852</v>
      </c>
      <c r="J180" s="416" t="n">
        <v>5.01917808219178</v>
      </c>
      <c r="K180" s="416" t="n">
        <v>131</v>
      </c>
      <c r="L180" s="416" t="n">
        <v>40.1</v>
      </c>
      <c r="M180" s="416" t="n">
        <v>1.5</v>
      </c>
      <c r="N180" s="416"/>
      <c r="O180" s="416" t="n">
        <v>131</v>
      </c>
      <c r="P180" s="416" t="n">
        <v>312</v>
      </c>
      <c r="Q180" s="416" t="n">
        <v>3367</v>
      </c>
      <c r="R180" s="416" t="n">
        <v>3277</v>
      </c>
      <c r="S180" s="416" t="n">
        <v>2641</v>
      </c>
      <c r="T180" s="416" t="n">
        <v>2848</v>
      </c>
      <c r="U180" s="416" t="n">
        <v>1708</v>
      </c>
      <c r="V180" s="416" t="n">
        <v>1202</v>
      </c>
      <c r="W180" s="412" t="n">
        <v>478</v>
      </c>
      <c r="Y180" s="416" t="n">
        <v>0.798072888028482</v>
      </c>
      <c r="AA180" s="416" t="n">
        <v>0.91159648660602</v>
      </c>
      <c r="AB180" s="407"/>
      <c r="AC180" s="415"/>
      <c r="AD180" s="416" t="n">
        <v>0</v>
      </c>
      <c r="AE180" s="416" t="n">
        <v>0</v>
      </c>
      <c r="AF180" s="416" t="n">
        <v>0</v>
      </c>
      <c r="AG180" s="416" t="n">
        <v>3.93873842592438</v>
      </c>
      <c r="AH180" s="416" t="n">
        <v>3.82343749999563</v>
      </c>
      <c r="AI180" s="416" t="n">
        <v>48.0027777777286</v>
      </c>
      <c r="AJ180" s="416" t="n">
        <v>47.0027777777286</v>
      </c>
      <c r="AK180" s="416" t="n">
        <v>0</v>
      </c>
      <c r="AL180" s="416" t="n">
        <v>0</v>
      </c>
      <c r="AM180" s="416" t="n">
        <v>0</v>
      </c>
      <c r="AN180" s="416" t="n">
        <v>0</v>
      </c>
      <c r="AO180" s="416" t="n">
        <v>94.5297222221852</v>
      </c>
      <c r="AP180" s="416" t="n">
        <v>94.5297222221852</v>
      </c>
      <c r="AQ180" s="416" t="n">
        <v>32</v>
      </c>
      <c r="AR180" s="416" t="n">
        <v>2</v>
      </c>
      <c r="AS180" s="416"/>
      <c r="AT180" s="416"/>
      <c r="AU180" s="416"/>
      <c r="AW180" s="416" t="n">
        <v>4.25581018519006</v>
      </c>
      <c r="AX180" s="416" t="n">
        <v>3.88297453703854</v>
      </c>
      <c r="AY180" s="416" t="n">
        <v>123.899166666786</v>
      </c>
      <c r="AZ180" s="416" t="n">
        <v>11.9513657407442</v>
      </c>
      <c r="BA180" s="416" t="n">
        <v>12.967719907414</v>
      </c>
      <c r="BB180" s="416" t="n">
        <v>48.2380555554992</v>
      </c>
      <c r="BC180" s="416" t="n">
        <v>47.2380555554992</v>
      </c>
      <c r="BD180" s="416" t="n">
        <v>0</v>
      </c>
      <c r="BE180" s="416" t="n">
        <v>0</v>
      </c>
      <c r="BF180" s="416" t="n">
        <v>0</v>
      </c>
      <c r="BG180" s="416" t="n">
        <v>0</v>
      </c>
      <c r="BH180" s="416" t="n">
        <v>124</v>
      </c>
      <c r="BI180" s="416" t="n">
        <v>3</v>
      </c>
      <c r="BK180" s="416" t="n">
        <v>0</v>
      </c>
      <c r="BN180" s="416"/>
      <c r="BO180" s="416" t="n">
        <v>1</v>
      </c>
      <c r="BP180" s="415" t="n">
        <v>84</v>
      </c>
      <c r="BQ180" s="416"/>
      <c r="BR180" s="416" t="n">
        <v>84</v>
      </c>
      <c r="BS180" s="416"/>
      <c r="BT180" s="416"/>
      <c r="BU180" s="416" t="n">
        <v>5.1888</v>
      </c>
      <c r="BV180" s="416" t="n">
        <v>5.9953</v>
      </c>
      <c r="BW180" s="416" t="n">
        <v>8.9813</v>
      </c>
      <c r="BX180" s="416" t="n">
        <v>7.2524</v>
      </c>
      <c r="BY180" s="416" t="n">
        <v>9.4002</v>
      </c>
      <c r="BZ180" s="416" t="n">
        <v>9.2</v>
      </c>
      <c r="CA180" s="416" t="n">
        <v>7.6997</v>
      </c>
      <c r="CB180" s="416" t="n">
        <v>9.2282</v>
      </c>
      <c r="CC180" s="416" t="n">
        <v>5.7432</v>
      </c>
      <c r="CD180" s="416" t="n">
        <v>7.3823</v>
      </c>
      <c r="CE180" s="416" t="n">
        <v>7.7907</v>
      </c>
      <c r="CQ180" s="400" t="n">
        <v>3</v>
      </c>
      <c r="CR180" s="416" t="n">
        <v>84</v>
      </c>
      <c r="CS180" s="416" t="n">
        <v>3.5</v>
      </c>
      <c r="CT180" s="416" t="n">
        <v>2</v>
      </c>
      <c r="CU180" s="416" t="n">
        <v>0.85608</v>
      </c>
      <c r="CV180" s="416" t="n">
        <v>69.2091666666674</v>
      </c>
      <c r="CW180" s="416"/>
      <c r="CX180" s="416" t="n">
        <v>84</v>
      </c>
      <c r="DA180" s="407"/>
      <c r="DB180" s="407"/>
      <c r="DC180" s="400" t="s">
        <v>852</v>
      </c>
      <c r="DD180" s="415"/>
    </row>
    <row r="181" s="400" customFormat="true" ht="15" hidden="false" customHeight="false" outlineLevel="0" collapsed="false">
      <c r="B181" s="407"/>
      <c r="C181" s="407"/>
      <c r="D181" s="407"/>
      <c r="E181" s="407"/>
      <c r="F181" s="408"/>
      <c r="L181" s="409"/>
      <c r="M181" s="409"/>
      <c r="N181" s="409"/>
      <c r="W181" s="408"/>
      <c r="AB181" s="407"/>
      <c r="DA181" s="407"/>
      <c r="DB181" s="407"/>
    </row>
    <row r="182" s="400" customFormat="true" ht="15" hidden="false" customHeight="false" outlineLevel="0" collapsed="false">
      <c r="B182" s="407"/>
      <c r="C182" s="407"/>
      <c r="D182" s="407"/>
      <c r="E182" s="407"/>
      <c r="F182" s="408"/>
      <c r="H182" s="414" t="s">
        <v>855</v>
      </c>
      <c r="I182" s="415" t="s">
        <v>846</v>
      </c>
      <c r="J182" s="416" t="n">
        <v>4.35183561643836</v>
      </c>
      <c r="K182" s="417" t="n">
        <v>45216.72</v>
      </c>
      <c r="L182" s="416" t="n">
        <v>71.876</v>
      </c>
      <c r="M182" s="416" t="n">
        <v>3.42</v>
      </c>
      <c r="N182" s="416"/>
      <c r="O182" s="416" t="n">
        <v>216.28</v>
      </c>
      <c r="P182" s="416" t="n">
        <v>274.8</v>
      </c>
      <c r="Q182" s="416" t="n">
        <v>1856.2</v>
      </c>
      <c r="R182" s="416" t="n">
        <v>1774.8</v>
      </c>
      <c r="S182" s="416" t="n">
        <v>1749.72</v>
      </c>
      <c r="T182" s="416" t="n">
        <v>1517.96</v>
      </c>
      <c r="U182" s="416" t="n">
        <v>1334.98</v>
      </c>
      <c r="V182" s="416" t="n">
        <v>1156.74</v>
      </c>
      <c r="W182" s="412" t="n">
        <v>-65.76</v>
      </c>
      <c r="Y182" s="416" t="n">
        <v>0.75294457688019</v>
      </c>
      <c r="AA182" s="416" t="n">
        <v>0.8758932915306</v>
      </c>
      <c r="AB182" s="407"/>
      <c r="AC182" s="415"/>
      <c r="AD182" s="418" t="n">
        <v>45435.4538425926</v>
      </c>
      <c r="AE182" s="418" t="n">
        <v>45443.6448726852</v>
      </c>
      <c r="AF182" s="416" t="n">
        <v>196.584722222295</v>
      </c>
      <c r="AG182" s="418" t="n">
        <v>45435.0312331018</v>
      </c>
      <c r="AH182" s="418" t="n">
        <v>45435.4406094907</v>
      </c>
      <c r="AI182" s="416" t="n">
        <v>9.82503333334113</v>
      </c>
      <c r="AJ182" s="416" t="n">
        <v>10.0244833333394</v>
      </c>
      <c r="AK182" s="418" t="n">
        <v>45443.6448726852</v>
      </c>
      <c r="AL182" s="418" t="n">
        <v>45443.6448726852</v>
      </c>
      <c r="AM182" s="416" t="n">
        <v>0</v>
      </c>
      <c r="AN182" s="416" t="n">
        <v>1</v>
      </c>
      <c r="AO182" s="416" t="n">
        <v>41.249594444437</v>
      </c>
      <c r="AP182" s="416" t="n">
        <v>76.249594444437</v>
      </c>
      <c r="AQ182" s="416" t="n">
        <v>7.6</v>
      </c>
      <c r="AR182" s="416" t="n">
        <v>1.55102040816327</v>
      </c>
      <c r="AS182" s="416"/>
      <c r="AT182" s="418"/>
      <c r="AU182" s="416"/>
      <c r="AW182" s="418" t="e">
        <f aca="false">#DIV/0!</f>
        <v>#DIV/0!</v>
      </c>
      <c r="AX182" s="418" t="e">
        <f aca="false">#DIV/0!</f>
        <v>#DIV/0!</v>
      </c>
      <c r="AY182" s="416" t="e">
        <f aca="false">#DIV/0!</f>
        <v>#DIV/0!</v>
      </c>
      <c r="AZ182" s="418" t="n">
        <v>45453.6794474903</v>
      </c>
      <c r="BA182" s="418" t="n">
        <v>45453.931231116</v>
      </c>
      <c r="BB182" s="416" t="n">
        <v>6.04280701751429</v>
      </c>
      <c r="BC182" s="416" t="n">
        <v>6.56909356723344</v>
      </c>
      <c r="BD182" s="418" t="e">
        <f aca="false">#DIV/0!</f>
        <v>#DIV/0!</v>
      </c>
      <c r="BE182" s="418" t="e">
        <f aca="false">#DIV/0!</f>
        <v>#DIV/0!</v>
      </c>
      <c r="BF182" s="416" t="e">
        <f aca="false">#DIV/0!</f>
        <v>#DIV/0!</v>
      </c>
      <c r="BG182" s="416" t="e">
        <f aca="false">#DIV/0!</f>
        <v>#DIV/0!</v>
      </c>
      <c r="BH182" s="416" t="n">
        <v>6.73684210526316</v>
      </c>
      <c r="BI182" s="416" t="n">
        <v>1.57894736842105</v>
      </c>
      <c r="BJ182" s="415"/>
      <c r="BK182" s="416" t="n">
        <v>1.5</v>
      </c>
      <c r="BL182" s="415"/>
      <c r="BM182" s="415"/>
      <c r="BN182" s="418"/>
      <c r="BO182" s="416" t="n">
        <v>1.46808510638298</v>
      </c>
      <c r="BP182" s="417" t="n">
        <v>45587.2553191489</v>
      </c>
      <c r="BQ182" s="418"/>
      <c r="BR182" s="416" t="n">
        <v>151.630319148936</v>
      </c>
      <c r="BS182" s="416"/>
      <c r="BT182" s="416"/>
      <c r="BU182" s="416" t="n">
        <v>0.900647400000001</v>
      </c>
      <c r="BV182" s="416" t="n">
        <v>1.22733</v>
      </c>
      <c r="BW182" s="416" t="n">
        <v>0.3415118</v>
      </c>
      <c r="BX182" s="416" t="n">
        <v>0.3575674</v>
      </c>
      <c r="BY182" s="416" t="n">
        <v>0.4204966</v>
      </c>
      <c r="BZ182" s="416" t="n">
        <v>0.3932032</v>
      </c>
      <c r="CA182" s="416" t="n">
        <v>0.6016006</v>
      </c>
      <c r="CB182" s="416" t="n">
        <v>1.0074416</v>
      </c>
      <c r="CC182" s="416" t="n">
        <v>1.6415652</v>
      </c>
      <c r="CD182" s="416" t="n">
        <v>2.203652</v>
      </c>
      <c r="CE182" s="416" t="n">
        <v>2.3529282</v>
      </c>
      <c r="CQ182" s="400" t="n">
        <v>4.97777777777778</v>
      </c>
      <c r="CR182" s="416" t="n">
        <v>51.36</v>
      </c>
      <c r="CS182" s="418" t="n">
        <v>45435.39</v>
      </c>
      <c r="CT182" s="416" t="n">
        <v>1.65</v>
      </c>
      <c r="CU182" s="416" t="n">
        <v>0.4571468</v>
      </c>
      <c r="CV182" s="416" t="n">
        <v>8.61040555556305</v>
      </c>
      <c r="CW182" s="416"/>
      <c r="CX182" s="416" t="n">
        <v>5.64</v>
      </c>
      <c r="CY182" s="415"/>
      <c r="DA182" s="407"/>
      <c r="DB182" s="407"/>
      <c r="DC182" s="414" t="s">
        <v>846</v>
      </c>
      <c r="DD182" s="415"/>
    </row>
    <row r="183" s="400" customFormat="true" ht="15" hidden="false" customHeight="false" outlineLevel="0" collapsed="false">
      <c r="B183" s="407"/>
      <c r="C183" s="407"/>
      <c r="D183" s="407"/>
      <c r="E183" s="407"/>
      <c r="F183" s="408"/>
      <c r="I183" s="415" t="s">
        <v>847</v>
      </c>
      <c r="J183" s="416" t="n">
        <v>1.60296647595909</v>
      </c>
      <c r="K183" s="416" t="n">
        <v>24.9391422532238</v>
      </c>
      <c r="L183" s="416" t="n">
        <v>8.46429620252508</v>
      </c>
      <c r="M183" s="416" t="n">
        <v>0.351527279981835</v>
      </c>
      <c r="N183" s="416"/>
      <c r="O183" s="416" t="n">
        <v>24.9391422532238</v>
      </c>
      <c r="P183" s="416" t="n">
        <v>60.552557707317</v>
      </c>
      <c r="Q183" s="416" t="n">
        <v>1236.12189809047</v>
      </c>
      <c r="R183" s="416" t="n">
        <v>788.950555860021</v>
      </c>
      <c r="S183" s="416" t="n">
        <v>507.397040526149</v>
      </c>
      <c r="T183" s="416" t="n">
        <v>367.172703622852</v>
      </c>
      <c r="U183" s="416" t="n">
        <v>269.049990802863</v>
      </c>
      <c r="V183" s="416" t="n">
        <v>225.552094530152</v>
      </c>
      <c r="W183" s="412" t="n">
        <v>92.4669957667191</v>
      </c>
      <c r="Y183" s="416" t="n">
        <v>0.159668783132531</v>
      </c>
      <c r="AA183" s="416" t="n">
        <v>0.164350837244143</v>
      </c>
      <c r="AB183" s="407"/>
      <c r="AC183" s="415"/>
      <c r="AD183" s="416" t="e">
        <f aca="false">#DIV/0!</f>
        <v>#DIV/0!</v>
      </c>
      <c r="AE183" s="416" t="e">
        <f aca="false">#DIV/0!</f>
        <v>#DIV/0!</v>
      </c>
      <c r="AF183" s="416" t="e">
        <f aca="false">#DIV/0!</f>
        <v>#DIV/0!</v>
      </c>
      <c r="AG183" s="416" t="n">
        <v>0.357406817674975</v>
      </c>
      <c r="AH183" s="416" t="n">
        <v>0.396515091290565</v>
      </c>
      <c r="AI183" s="416" t="n">
        <v>9.33508316721641</v>
      </c>
      <c r="AJ183" s="416" t="n">
        <v>9.12767029253322</v>
      </c>
      <c r="AK183" s="416" t="e">
        <f aca="false">#DIV/0!</f>
        <v>#DIV/0!</v>
      </c>
      <c r="AL183" s="416" t="e">
        <f aca="false">#DIV/0!</f>
        <v>#DIV/0!</v>
      </c>
      <c r="AM183" s="416" t="e">
        <f aca="false">#DIV/0!</f>
        <v>#DIV/0!</v>
      </c>
      <c r="AN183" s="416" t="e">
        <f aca="false">#DIV/0!</f>
        <v>#DIV/0!</v>
      </c>
      <c r="AO183" s="416" t="n">
        <v>8.57776362419938</v>
      </c>
      <c r="AP183" s="416" t="n">
        <v>8.57776362419943</v>
      </c>
      <c r="AQ183" s="416" t="n">
        <v>7.41482244134913</v>
      </c>
      <c r="AR183" s="416" t="n">
        <v>0.542418369042596</v>
      </c>
      <c r="AS183" s="416"/>
      <c r="AT183" s="416"/>
      <c r="AU183" s="416"/>
      <c r="AW183" s="416" t="e">
        <f aca="false">#DIV/0!</f>
        <v>#DIV/0!</v>
      </c>
      <c r="AX183" s="416" t="e">
        <f aca="false">#DIV/0!</f>
        <v>#DIV/0!</v>
      </c>
      <c r="AY183" s="416" t="e">
        <f aca="false">#DIV/0!</f>
        <v>#DIV/0!</v>
      </c>
      <c r="AZ183" s="416" t="n">
        <v>4.11362044312877</v>
      </c>
      <c r="BA183" s="416" t="n">
        <v>4.04155350763278</v>
      </c>
      <c r="BB183" s="416" t="n">
        <v>9.53822754026165</v>
      </c>
      <c r="BC183" s="416" t="n">
        <v>9.19386306058852</v>
      </c>
      <c r="BD183" s="416" t="e">
        <f aca="false">#DIV/0!</f>
        <v>#DIV/0!</v>
      </c>
      <c r="BE183" s="416" t="e">
        <f aca="false">#DIV/0!</f>
        <v>#DIV/0!</v>
      </c>
      <c r="BF183" s="416" t="e">
        <f aca="false">#DIV/0!</f>
        <v>#DIV/0!</v>
      </c>
      <c r="BG183" s="416" t="e">
        <f aca="false">#DIV/0!</f>
        <v>#DIV/0!</v>
      </c>
      <c r="BH183" s="416" t="n">
        <v>9.06055005236779</v>
      </c>
      <c r="BI183" s="416" t="n">
        <v>0.901590537370498</v>
      </c>
      <c r="BJ183" s="415"/>
      <c r="BK183" s="416" t="n">
        <v>0.506060827347474</v>
      </c>
      <c r="BL183" s="415"/>
      <c r="BM183" s="415"/>
      <c r="BN183" s="416"/>
      <c r="BO183" s="416" t="n">
        <v>0.504374939460682</v>
      </c>
      <c r="BP183" s="416" t="n">
        <v>11.1208149629156</v>
      </c>
      <c r="BQ183" s="416"/>
      <c r="BR183" s="416" t="n">
        <v>11.1208149629156</v>
      </c>
      <c r="BS183" s="416"/>
      <c r="BT183" s="416"/>
      <c r="BU183" s="416" t="n">
        <v>1.35621116289254</v>
      </c>
      <c r="BV183" s="416" t="n">
        <v>1.57819258515453</v>
      </c>
      <c r="BW183" s="416" t="n">
        <v>0.265238495449138</v>
      </c>
      <c r="BX183" s="416" t="n">
        <v>0.248714115900574</v>
      </c>
      <c r="BY183" s="416" t="n">
        <v>0.285748351816341</v>
      </c>
      <c r="BZ183" s="416" t="n">
        <v>0.268912118217541</v>
      </c>
      <c r="CA183" s="416" t="n">
        <v>0.444865001001381</v>
      </c>
      <c r="CB183" s="416" t="n">
        <v>0.690296586108686</v>
      </c>
      <c r="CC183" s="416" t="n">
        <v>0.909295690826741</v>
      </c>
      <c r="CD183" s="416" t="n">
        <v>1.27141812428934</v>
      </c>
      <c r="CE183" s="416" t="n">
        <v>1.60710818471893</v>
      </c>
      <c r="CQ183" s="400" t="n">
        <v>0.865733763633458</v>
      </c>
      <c r="CR183" s="416" t="n">
        <v>8.0553189424942</v>
      </c>
      <c r="CS183" s="416" t="n">
        <v>0.335638289270592</v>
      </c>
      <c r="CT183" s="416" t="n">
        <v>0.41954786158824</v>
      </c>
      <c r="CU183" s="416" t="n">
        <v>0.214294400209104</v>
      </c>
      <c r="CV183" s="416" t="n">
        <v>8.90953835450926</v>
      </c>
      <c r="CW183" s="416"/>
      <c r="CX183" s="416" t="n">
        <v>8.05531894249422</v>
      </c>
      <c r="CY183" s="415"/>
      <c r="DA183" s="407"/>
      <c r="DB183" s="407"/>
      <c r="DC183" s="400" t="s">
        <v>847</v>
      </c>
      <c r="DD183" s="415"/>
    </row>
    <row r="184" s="400" customFormat="true" ht="15" hidden="false" customHeight="false" outlineLevel="0" collapsed="false">
      <c r="B184" s="407"/>
      <c r="C184" s="407"/>
      <c r="D184" s="407"/>
      <c r="E184" s="407"/>
      <c r="F184" s="408"/>
      <c r="I184" s="415" t="s">
        <v>848</v>
      </c>
      <c r="J184" s="416" t="n">
        <v>0.226693693033075</v>
      </c>
      <c r="K184" s="416" t="n">
        <v>3.52692732084609</v>
      </c>
      <c r="L184" s="416" t="n">
        <v>1.19703224855541</v>
      </c>
      <c r="M184" s="416" t="n">
        <v>0.0497134646894436</v>
      </c>
      <c r="N184" s="416"/>
      <c r="O184" s="416" t="n">
        <v>3.5269273208461</v>
      </c>
      <c r="P184" s="416" t="n">
        <v>8.56342483460672</v>
      </c>
      <c r="Q184" s="416" t="n">
        <v>174.814035302591</v>
      </c>
      <c r="R184" s="416" t="n">
        <v>111.574457613903</v>
      </c>
      <c r="S184" s="416" t="n">
        <v>71.756777622005</v>
      </c>
      <c r="T184" s="416" t="n">
        <v>51.9260617196633</v>
      </c>
      <c r="U184" s="416" t="n">
        <v>38.0494145949765</v>
      </c>
      <c r="V184" s="416" t="n">
        <v>31.89788311062</v>
      </c>
      <c r="W184" s="412" t="n">
        <v>13.076807948519</v>
      </c>
      <c r="Y184" s="416" t="n">
        <v>0.0225805758593633</v>
      </c>
      <c r="AA184" s="416" t="n">
        <v>0.023242718301804</v>
      </c>
      <c r="AB184" s="407"/>
      <c r="AC184" s="415"/>
      <c r="AD184" s="416" t="e">
        <f aca="false">#DIV/0!</f>
        <v>#DIV/0!</v>
      </c>
      <c r="AE184" s="416" t="e">
        <f aca="false">#DIV/0!</f>
        <v>#DIV/0!</v>
      </c>
      <c r="AF184" s="416" t="e">
        <f aca="false">#DIV/0!</f>
        <v>#DIV/0!</v>
      </c>
      <c r="AG184" s="416" t="n">
        <v>0.0505449568840557</v>
      </c>
      <c r="AH184" s="416" t="n">
        <v>0.0560757019788723</v>
      </c>
      <c r="AI184" s="416" t="n">
        <v>1.32018012209582</v>
      </c>
      <c r="AJ184" s="416" t="n">
        <v>1.29084751205705</v>
      </c>
      <c r="AK184" s="416" t="e">
        <f aca="false">#DIV/0!</f>
        <v>#DIV/0!</v>
      </c>
      <c r="AL184" s="416" t="e">
        <f aca="false">#DIV/0!</f>
        <v>#DIV/0!</v>
      </c>
      <c r="AM184" s="416" t="e">
        <f aca="false">#DIV/0!</f>
        <v>#DIV/0!</v>
      </c>
      <c r="AN184" s="416" t="e">
        <f aca="false">#DIV/0!</f>
        <v>#DIV/0!</v>
      </c>
      <c r="AO184" s="416" t="n">
        <v>1.21307896521734</v>
      </c>
      <c r="AP184" s="416" t="n">
        <v>1.21307896521734</v>
      </c>
      <c r="AQ184" s="416" t="n">
        <v>1.04861424591443</v>
      </c>
      <c r="AR184" s="416" t="n">
        <v>0.0774883384346566</v>
      </c>
      <c r="AS184" s="416"/>
      <c r="AT184" s="416"/>
      <c r="AU184" s="416"/>
      <c r="AW184" s="416" t="e">
        <f aca="false">#DIV/0!</f>
        <v>#DIV/0!</v>
      </c>
      <c r="AX184" s="416" t="e">
        <f aca="false">#DIV/0!</f>
        <v>#DIV/0!</v>
      </c>
      <c r="AY184" s="416" t="e">
        <f aca="false">#DIV/0!</f>
        <v>#DIV/0!</v>
      </c>
      <c r="AZ184" s="416" t="n">
        <v>0.943729252825332</v>
      </c>
      <c r="BA184" s="416" t="n">
        <v>0.927195963930716</v>
      </c>
      <c r="BB184" s="416" t="n">
        <v>2.18821947097353</v>
      </c>
      <c r="BC184" s="416" t="n">
        <v>2.10921684115036</v>
      </c>
      <c r="BD184" s="416" t="e">
        <f aca="false">#DIV/0!</f>
        <v>#DIV/0!</v>
      </c>
      <c r="BE184" s="416" t="e">
        <f aca="false">#DIV/0!</f>
        <v>#DIV/0!</v>
      </c>
      <c r="BF184" s="416" t="e">
        <f aca="false">#DIV/0!</f>
        <v>#DIV/0!</v>
      </c>
      <c r="BG184" s="416" t="e">
        <f aca="false">#DIV/0!</f>
        <v>#DIV/0!</v>
      </c>
      <c r="BH184" s="416" t="n">
        <v>2.07863273953491</v>
      </c>
      <c r="BI184" s="416" t="n">
        <v>0.206839054781607</v>
      </c>
      <c r="BJ184" s="415"/>
      <c r="BK184" s="416" t="n">
        <v>0.078086880944303</v>
      </c>
      <c r="BL184" s="415"/>
      <c r="BM184" s="415"/>
      <c r="BN184" s="416"/>
      <c r="BO184" s="416" t="n">
        <v>0.0735706462561835</v>
      </c>
      <c r="BP184" s="416" t="n">
        <v>1.60515137811184</v>
      </c>
      <c r="BQ184" s="416"/>
      <c r="BR184" s="416" t="n">
        <v>1.62213758001535</v>
      </c>
      <c r="BS184" s="416"/>
      <c r="BT184" s="416"/>
      <c r="BU184" s="416" t="n">
        <v>0.191797222000441</v>
      </c>
      <c r="BV184" s="416" t="n">
        <v>0.223190135796219</v>
      </c>
      <c r="BW184" s="416" t="n">
        <v>0.0375103877527606</v>
      </c>
      <c r="BX184" s="416" t="n">
        <v>0.0351734875860225</v>
      </c>
      <c r="BY184" s="416" t="n">
        <v>0.0404109194564428</v>
      </c>
      <c r="BZ184" s="416" t="n">
        <v>0.0380299164669724</v>
      </c>
      <c r="CA184" s="416" t="n">
        <v>0.0629134117841274</v>
      </c>
      <c r="CB184" s="416" t="n">
        <v>0.0976226794134751</v>
      </c>
      <c r="CC184" s="416" t="n">
        <v>0.128593829817459</v>
      </c>
      <c r="CD184" s="416" t="n">
        <v>0.179805675481695</v>
      </c>
      <c r="CE184" s="416" t="n">
        <v>0.227279419103032</v>
      </c>
      <c r="CQ184" s="400" t="n">
        <v>0.129055969726743</v>
      </c>
      <c r="CR184" s="416" t="n">
        <v>1.13919412977162</v>
      </c>
      <c r="CS184" s="416" t="n">
        <v>0.0474664220738176</v>
      </c>
      <c r="CT184" s="416" t="n">
        <v>0.059333027592272</v>
      </c>
      <c r="CU184" s="416" t="n">
        <v>0.0303058047116323</v>
      </c>
      <c r="CV184" s="416" t="n">
        <v>1.25999899754303</v>
      </c>
      <c r="CW184" s="416"/>
      <c r="CX184" s="416" t="n">
        <v>1.13919412977162</v>
      </c>
      <c r="CY184" s="415"/>
      <c r="DA184" s="407"/>
      <c r="DB184" s="407"/>
      <c r="DC184" s="400" t="s">
        <v>848</v>
      </c>
      <c r="DD184" s="415"/>
    </row>
    <row r="185" s="400" customFormat="true" ht="15" hidden="false" customHeight="false" outlineLevel="0" collapsed="false">
      <c r="B185" s="407"/>
      <c r="C185" s="407"/>
      <c r="D185" s="407"/>
      <c r="E185" s="407"/>
      <c r="F185" s="408"/>
      <c r="I185" s="415" t="s">
        <v>849</v>
      </c>
      <c r="J185" s="416" t="n">
        <v>50</v>
      </c>
      <c r="K185" s="416" t="n">
        <v>50</v>
      </c>
      <c r="L185" s="416" t="n">
        <v>50</v>
      </c>
      <c r="M185" s="416" t="n">
        <v>50</v>
      </c>
      <c r="N185" s="416"/>
      <c r="O185" s="416" t="n">
        <v>50</v>
      </c>
      <c r="P185" s="416" t="n">
        <v>50</v>
      </c>
      <c r="Q185" s="416" t="n">
        <v>50</v>
      </c>
      <c r="R185" s="416" t="n">
        <v>50</v>
      </c>
      <c r="S185" s="416" t="n">
        <v>50</v>
      </c>
      <c r="T185" s="416" t="n">
        <v>50</v>
      </c>
      <c r="U185" s="416" t="n">
        <v>50</v>
      </c>
      <c r="V185" s="416" t="n">
        <v>50</v>
      </c>
      <c r="W185" s="412" t="n">
        <v>50</v>
      </c>
      <c r="Y185" s="416" t="n">
        <v>50</v>
      </c>
      <c r="AA185" s="416" t="n">
        <v>50</v>
      </c>
      <c r="AB185" s="407"/>
      <c r="AC185" s="415"/>
      <c r="AD185" s="415" t="n">
        <v>1</v>
      </c>
      <c r="AE185" s="415" t="n">
        <v>1</v>
      </c>
      <c r="AF185" s="416" t="n">
        <v>1</v>
      </c>
      <c r="AG185" s="415" t="n">
        <v>50</v>
      </c>
      <c r="AH185" s="415" t="n">
        <v>50</v>
      </c>
      <c r="AI185" s="416" t="n">
        <v>50</v>
      </c>
      <c r="AJ185" s="416" t="n">
        <v>50</v>
      </c>
      <c r="AK185" s="415" t="n">
        <v>1</v>
      </c>
      <c r="AL185" s="415" t="n">
        <v>1</v>
      </c>
      <c r="AM185" s="416" t="n">
        <v>1</v>
      </c>
      <c r="AN185" s="416" t="n">
        <v>1</v>
      </c>
      <c r="AO185" s="416" t="n">
        <v>50</v>
      </c>
      <c r="AP185" s="416" t="n">
        <v>50</v>
      </c>
      <c r="AQ185" s="416" t="n">
        <v>50</v>
      </c>
      <c r="AR185" s="416" t="n">
        <v>49</v>
      </c>
      <c r="AS185" s="416"/>
      <c r="AT185" s="415"/>
      <c r="AU185" s="416"/>
      <c r="AW185" s="415" t="n">
        <v>0</v>
      </c>
      <c r="AX185" s="415" t="n">
        <v>0</v>
      </c>
      <c r="AY185" s="416" t="n">
        <v>0</v>
      </c>
      <c r="AZ185" s="415" t="n">
        <v>19</v>
      </c>
      <c r="BA185" s="415" t="n">
        <v>19</v>
      </c>
      <c r="BB185" s="416" t="n">
        <v>19</v>
      </c>
      <c r="BC185" s="416" t="n">
        <v>19</v>
      </c>
      <c r="BD185" s="415" t="n">
        <v>0</v>
      </c>
      <c r="BE185" s="415" t="n">
        <v>0</v>
      </c>
      <c r="BF185" s="416" t="n">
        <v>0</v>
      </c>
      <c r="BG185" s="416" t="n">
        <v>0</v>
      </c>
      <c r="BH185" s="416" t="n">
        <v>19</v>
      </c>
      <c r="BI185" s="416" t="n">
        <v>19</v>
      </c>
      <c r="BJ185" s="415"/>
      <c r="BK185" s="416" t="n">
        <v>42</v>
      </c>
      <c r="BL185" s="415"/>
      <c r="BM185" s="415"/>
      <c r="BN185" s="415"/>
      <c r="BO185" s="416" t="n">
        <v>47</v>
      </c>
      <c r="BP185" s="415" t="n">
        <v>48</v>
      </c>
      <c r="BQ185" s="415"/>
      <c r="BR185" s="416" t="n">
        <v>47</v>
      </c>
      <c r="BS185" s="416"/>
      <c r="BT185" s="416"/>
      <c r="BU185" s="416" t="n">
        <v>50</v>
      </c>
      <c r="BV185" s="416" t="n">
        <v>50</v>
      </c>
      <c r="BW185" s="416" t="n">
        <v>50</v>
      </c>
      <c r="BX185" s="416" t="n">
        <v>50</v>
      </c>
      <c r="BY185" s="416" t="n">
        <v>50</v>
      </c>
      <c r="BZ185" s="416" t="n">
        <v>50</v>
      </c>
      <c r="CA185" s="416" t="n">
        <v>50</v>
      </c>
      <c r="CB185" s="416" t="n">
        <v>50</v>
      </c>
      <c r="CC185" s="416" t="n">
        <v>50</v>
      </c>
      <c r="CD185" s="416" t="n">
        <v>50</v>
      </c>
      <c r="CE185" s="416" t="n">
        <v>50</v>
      </c>
      <c r="CQ185" s="400" t="n">
        <v>45</v>
      </c>
      <c r="CR185" s="416" t="n">
        <v>50</v>
      </c>
      <c r="CS185" s="415" t="n">
        <v>50</v>
      </c>
      <c r="CT185" s="416" t="n">
        <v>50</v>
      </c>
      <c r="CU185" s="416" t="n">
        <v>50</v>
      </c>
      <c r="CV185" s="416" t="n">
        <v>50</v>
      </c>
      <c r="CW185" s="416"/>
      <c r="CX185" s="416" t="n">
        <v>50</v>
      </c>
      <c r="CY185" s="415"/>
      <c r="DA185" s="407"/>
      <c r="DB185" s="407"/>
      <c r="DC185" s="400" t="s">
        <v>849</v>
      </c>
      <c r="DD185" s="415"/>
    </row>
    <row r="186" s="400" customFormat="true" ht="15" hidden="false" customHeight="false" outlineLevel="0" collapsed="false">
      <c r="B186" s="407"/>
      <c r="C186" s="407"/>
      <c r="D186" s="407"/>
      <c r="E186" s="407"/>
      <c r="F186" s="408"/>
      <c r="I186" s="415" t="s">
        <v>850</v>
      </c>
      <c r="J186" s="416" t="n">
        <v>1.5972602739726</v>
      </c>
      <c r="K186" s="417" t="n">
        <v>45202</v>
      </c>
      <c r="L186" s="416" t="n">
        <v>53.2</v>
      </c>
      <c r="M186" s="416" t="n">
        <v>2.75</v>
      </c>
      <c r="N186" s="416"/>
      <c r="O186" s="416" t="n">
        <v>110</v>
      </c>
      <c r="P186" s="416" t="n">
        <v>69</v>
      </c>
      <c r="Q186" s="416" t="n">
        <v>0</v>
      </c>
      <c r="R186" s="416" t="n">
        <v>0</v>
      </c>
      <c r="S186" s="416" t="n">
        <v>0</v>
      </c>
      <c r="T186" s="416" t="n">
        <v>0</v>
      </c>
      <c r="U186" s="416" t="n">
        <v>503</v>
      </c>
      <c r="V186" s="416" t="n">
        <v>715</v>
      </c>
      <c r="W186" s="412" t="n">
        <v>-332</v>
      </c>
      <c r="Y186" s="416" t="n">
        <v>0.185113535783041</v>
      </c>
      <c r="AA186" s="416" t="n">
        <v>0.187436579039021</v>
      </c>
      <c r="AB186" s="407"/>
      <c r="AC186" s="415"/>
      <c r="AD186" s="418" t="n">
        <v>0</v>
      </c>
      <c r="AE186" s="418" t="n">
        <v>0</v>
      </c>
      <c r="AF186" s="416" t="n">
        <v>0</v>
      </c>
      <c r="AG186" s="418" t="n">
        <v>45434.2611111111</v>
      </c>
      <c r="AH186" s="418" t="n">
        <v>45434.2686111111</v>
      </c>
      <c r="AI186" s="416" t="n">
        <v>0</v>
      </c>
      <c r="AJ186" s="416" t="n">
        <v>1</v>
      </c>
      <c r="AK186" s="418" t="n">
        <v>0</v>
      </c>
      <c r="AL186" s="418" t="n">
        <v>0</v>
      </c>
      <c r="AM186" s="416" t="n">
        <v>0</v>
      </c>
      <c r="AN186" s="416" t="n">
        <v>0</v>
      </c>
      <c r="AO186" s="416" t="n">
        <v>22.7666666666628</v>
      </c>
      <c r="AP186" s="416" t="n">
        <v>57.7666666666628</v>
      </c>
      <c r="AQ186" s="416" t="n">
        <v>1</v>
      </c>
      <c r="AR186" s="416" t="n">
        <v>1</v>
      </c>
      <c r="AS186" s="416"/>
      <c r="AT186" s="418"/>
      <c r="AU186" s="416"/>
      <c r="AW186" s="418" t="n">
        <v>0</v>
      </c>
      <c r="AX186" s="418" t="n">
        <v>0</v>
      </c>
      <c r="AY186" s="416" t="n">
        <v>0</v>
      </c>
      <c r="AZ186" s="418" t="n">
        <v>45447.5959953704</v>
      </c>
      <c r="BA186" s="418" t="n">
        <v>45447.5960069444</v>
      </c>
      <c r="BB186" s="416" t="n">
        <v>0</v>
      </c>
      <c r="BC186" s="416" t="n">
        <v>1</v>
      </c>
      <c r="BD186" s="418" t="n">
        <v>0</v>
      </c>
      <c r="BE186" s="418" t="n">
        <v>0</v>
      </c>
      <c r="BF186" s="416" t="n">
        <v>0</v>
      </c>
      <c r="BG186" s="416" t="n">
        <v>0</v>
      </c>
      <c r="BH186" s="416" t="n">
        <v>1</v>
      </c>
      <c r="BI186" s="416" t="n">
        <v>1</v>
      </c>
      <c r="BJ186" s="415"/>
      <c r="BK186" s="416" t="n">
        <v>1</v>
      </c>
      <c r="BL186" s="415"/>
      <c r="BM186" s="415"/>
      <c r="BN186" s="418"/>
      <c r="BO186" s="416" t="n">
        <v>1</v>
      </c>
      <c r="BP186" s="417" t="n">
        <v>45579</v>
      </c>
      <c r="BQ186" s="418"/>
      <c r="BR186" s="416" t="n">
        <v>143.375</v>
      </c>
      <c r="BS186" s="416"/>
      <c r="BT186" s="416"/>
      <c r="BU186" s="416" t="n">
        <v>0.2</v>
      </c>
      <c r="BV186" s="416" t="n">
        <v>0.2</v>
      </c>
      <c r="BW186" s="416" t="n">
        <v>0.2</v>
      </c>
      <c r="BX186" s="416" t="n">
        <v>0.2</v>
      </c>
      <c r="BY186" s="416" t="n">
        <v>0.2</v>
      </c>
      <c r="BZ186" s="416" t="n">
        <v>0.2</v>
      </c>
      <c r="CA186" s="416" t="n">
        <v>0.2</v>
      </c>
      <c r="CB186" s="416" t="n">
        <v>0.2</v>
      </c>
      <c r="CC186" s="416" t="n">
        <v>0.2</v>
      </c>
      <c r="CD186" s="416" t="n">
        <v>0.2</v>
      </c>
      <c r="CE186" s="416" t="n">
        <v>0.2</v>
      </c>
      <c r="CQ186" s="400" t="n">
        <v>4</v>
      </c>
      <c r="CR186" s="416" t="n">
        <v>36</v>
      </c>
      <c r="CS186" s="418" t="n">
        <v>45434.75</v>
      </c>
      <c r="CT186" s="416" t="n">
        <v>0.5</v>
      </c>
      <c r="CU186" s="416" t="n">
        <v>0.13532</v>
      </c>
      <c r="CV186" s="416" t="n">
        <v>-5.90333333326271</v>
      </c>
      <c r="CW186" s="416"/>
      <c r="CX186" s="416" t="n">
        <v>-15</v>
      </c>
      <c r="CY186" s="415"/>
      <c r="DA186" s="407"/>
      <c r="DB186" s="407"/>
      <c r="DC186" s="400" t="s">
        <v>850</v>
      </c>
      <c r="DD186" s="415"/>
      <c r="WYQ186" s="0"/>
      <c r="WYR186" s="0"/>
      <c r="WYS186" s="0"/>
      <c r="WYT186" s="0"/>
      <c r="WYU186" s="0"/>
      <c r="WYV186" s="0"/>
      <c r="WYW186" s="0"/>
      <c r="WYX186" s="0"/>
      <c r="WYY186" s="0"/>
      <c r="WYZ186" s="0"/>
      <c r="WZA186" s="0"/>
      <c r="WZB186" s="0"/>
      <c r="WZC186" s="0"/>
      <c r="WZD186" s="0"/>
      <c r="WZE186" s="0"/>
      <c r="WZF186" s="0"/>
      <c r="WZG186" s="0"/>
      <c r="WZH186" s="0"/>
      <c r="WZI186" s="0"/>
      <c r="WZJ186" s="0"/>
      <c r="WZK186" s="0"/>
      <c r="WZL186" s="0"/>
      <c r="WZM186" s="0"/>
      <c r="WZN186" s="0"/>
      <c r="WZO186" s="0"/>
      <c r="WZP186" s="0"/>
      <c r="WZQ186" s="0"/>
      <c r="WZR186" s="0"/>
      <c r="WZS186" s="0"/>
      <c r="WZT186" s="0"/>
      <c r="WZU186" s="0"/>
      <c r="WZV186" s="0"/>
      <c r="WZW186" s="0"/>
      <c r="WZX186" s="0"/>
      <c r="WZY186" s="0"/>
      <c r="WZZ186" s="0"/>
      <c r="XAA186" s="0"/>
      <c r="XAB186" s="0"/>
      <c r="XAC186" s="0"/>
      <c r="XAD186" s="0"/>
      <c r="XAE186" s="0"/>
      <c r="XAF186" s="0"/>
      <c r="XAG186" s="0"/>
      <c r="XAH186" s="0"/>
      <c r="XAI186" s="0"/>
      <c r="XAJ186" s="0"/>
      <c r="XAK186" s="0"/>
      <c r="XAL186" s="0"/>
      <c r="XAM186" s="0"/>
      <c r="XAN186" s="0"/>
      <c r="XAO186" s="0"/>
      <c r="XAP186" s="0"/>
      <c r="XAQ186" s="0"/>
      <c r="XAR186" s="0"/>
      <c r="XAS186" s="0"/>
      <c r="XAT186" s="0"/>
      <c r="XAU186" s="0"/>
      <c r="XAV186" s="0"/>
      <c r="XAW186" s="0"/>
      <c r="XAX186" s="0"/>
      <c r="XAY186" s="0"/>
      <c r="XAZ186" s="0"/>
      <c r="XBA186" s="0"/>
      <c r="XBB186" s="0"/>
      <c r="XBC186" s="0"/>
      <c r="XBD186" s="0"/>
      <c r="XBE186" s="0"/>
      <c r="XBF186" s="0"/>
      <c r="XBG186" s="0"/>
      <c r="XBH186" s="0"/>
      <c r="XBI186" s="0"/>
      <c r="XBJ186" s="0"/>
      <c r="XBK186" s="0"/>
      <c r="XBL186" s="0"/>
      <c r="XBM186" s="0"/>
      <c r="XBN186" s="0"/>
      <c r="XBO186" s="0"/>
      <c r="XBP186" s="0"/>
      <c r="XBQ186" s="0"/>
      <c r="XBR186" s="0"/>
      <c r="XBS186" s="0"/>
      <c r="XBT186" s="0"/>
      <c r="XBU186" s="0"/>
      <c r="XBV186" s="0"/>
      <c r="XBW186" s="0"/>
      <c r="XBX186" s="0"/>
      <c r="XBY186" s="0"/>
      <c r="XBZ186" s="0"/>
      <c r="XCA186" s="0"/>
      <c r="XCB186" s="0"/>
      <c r="XCC186" s="0"/>
      <c r="XCD186" s="0"/>
      <c r="XCE186" s="0"/>
      <c r="XCF186" s="0"/>
      <c r="XCG186" s="0"/>
      <c r="XCH186" s="0"/>
      <c r="XCI186" s="0"/>
      <c r="XCJ186" s="0"/>
      <c r="XCK186" s="0"/>
      <c r="XCL186" s="0"/>
      <c r="XCM186" s="0"/>
      <c r="XCN186" s="0"/>
      <c r="XCO186" s="0"/>
      <c r="XCP186" s="0"/>
      <c r="XCQ186" s="0"/>
      <c r="XCR186" s="0"/>
      <c r="XCS186" s="0"/>
      <c r="XCT186" s="0"/>
      <c r="XCU186" s="0"/>
      <c r="XCV186" s="0"/>
      <c r="XCW186" s="0"/>
      <c r="XCX186" s="0"/>
      <c r="XCY186" s="0"/>
      <c r="XCZ186" s="0"/>
      <c r="XDA186" s="0"/>
      <c r="XDB186" s="0"/>
      <c r="XDC186" s="0"/>
      <c r="XDD186" s="0"/>
      <c r="XDE186" s="0"/>
      <c r="XDF186" s="0"/>
      <c r="XDG186" s="0"/>
      <c r="XDH186" s="0"/>
      <c r="XDI186" s="0"/>
      <c r="XDJ186" s="0"/>
      <c r="XDK186" s="0"/>
      <c r="XDL186" s="0"/>
      <c r="XDM186" s="0"/>
      <c r="XDN186" s="0"/>
      <c r="XDO186" s="0"/>
      <c r="XDP186" s="0"/>
      <c r="XDQ186" s="0"/>
      <c r="XDR186" s="0"/>
      <c r="XDS186" s="0"/>
      <c r="XDT186" s="0"/>
      <c r="XDU186" s="0"/>
      <c r="XDV186" s="0"/>
      <c r="XDW186" s="0"/>
      <c r="XDX186" s="0"/>
      <c r="XDY186" s="0"/>
      <c r="XDZ186" s="0"/>
      <c r="XEA186" s="0"/>
      <c r="XEB186" s="0"/>
      <c r="XEC186" s="0"/>
      <c r="XED186" s="0"/>
      <c r="XEE186" s="0"/>
      <c r="XEF186" s="0"/>
      <c r="XEG186" s="0"/>
      <c r="XEH186" s="0"/>
      <c r="XEI186" s="0"/>
      <c r="XEJ186" s="0"/>
      <c r="XEK186" s="0"/>
      <c r="XEL186" s="0"/>
      <c r="XEM186" s="0"/>
      <c r="XEN186" s="0"/>
      <c r="XEO186" s="0"/>
      <c r="XEP186" s="0"/>
      <c r="XEQ186" s="0"/>
      <c r="XER186" s="0"/>
      <c r="XES186" s="0"/>
      <c r="XET186" s="0"/>
      <c r="XEU186" s="0"/>
      <c r="XEV186" s="0"/>
      <c r="XEW186" s="0"/>
      <c r="XEX186" s="0"/>
      <c r="XEY186" s="0"/>
      <c r="XEZ186" s="0"/>
      <c r="XFA186" s="0"/>
      <c r="XFB186" s="0"/>
      <c r="XFC186" s="0"/>
      <c r="XFD186" s="0"/>
    </row>
    <row r="187" s="400" customFormat="true" ht="15" hidden="false" customHeight="false" outlineLevel="0" collapsed="false">
      <c r="B187" s="407"/>
      <c r="C187" s="407"/>
      <c r="D187" s="407"/>
      <c r="E187" s="407"/>
      <c r="F187" s="408"/>
      <c r="I187" s="415" t="s">
        <v>851</v>
      </c>
      <c r="J187" s="416" t="n">
        <v>6.61643835616438</v>
      </c>
      <c r="K187" s="417" t="n">
        <v>45323</v>
      </c>
      <c r="L187" s="416" t="n">
        <v>94.9</v>
      </c>
      <c r="M187" s="416" t="n">
        <v>4</v>
      </c>
      <c r="N187" s="416"/>
      <c r="O187" s="416" t="n">
        <v>231</v>
      </c>
      <c r="P187" s="416" t="n">
        <v>374</v>
      </c>
      <c r="Q187" s="416" t="n">
        <v>3516</v>
      </c>
      <c r="R187" s="416" t="n">
        <v>3103</v>
      </c>
      <c r="S187" s="416" t="n">
        <v>2612</v>
      </c>
      <c r="T187" s="416" t="n">
        <v>2143</v>
      </c>
      <c r="U187" s="416" t="n">
        <v>2015</v>
      </c>
      <c r="V187" s="416" t="n">
        <v>1744</v>
      </c>
      <c r="W187" s="412" t="n">
        <v>46</v>
      </c>
      <c r="Y187" s="416" t="n">
        <v>0.906510959466299</v>
      </c>
      <c r="AA187" s="416" t="n">
        <v>0.98574804710884</v>
      </c>
      <c r="AB187" s="407"/>
      <c r="AC187" s="415"/>
      <c r="AD187" s="418" t="n">
        <v>0</v>
      </c>
      <c r="AE187" s="418" t="n">
        <v>0</v>
      </c>
      <c r="AF187" s="416" t="n">
        <v>0</v>
      </c>
      <c r="AG187" s="418" t="n">
        <v>45435.6325462963</v>
      </c>
      <c r="AH187" s="418" t="n">
        <v>45436.2786574074</v>
      </c>
      <c r="AI187" s="416" t="n">
        <v>38.5769444443868</v>
      </c>
      <c r="AJ187" s="416" t="n">
        <v>38.5769444443868</v>
      </c>
      <c r="AK187" s="418" t="n">
        <v>0</v>
      </c>
      <c r="AL187" s="418" t="n">
        <v>0</v>
      </c>
      <c r="AM187" s="416" t="n">
        <v>0</v>
      </c>
      <c r="AN187" s="416" t="n">
        <v>0</v>
      </c>
      <c r="AO187" s="416" t="n">
        <v>55.6811111111892</v>
      </c>
      <c r="AP187" s="416" t="n">
        <v>90.6811111111892</v>
      </c>
      <c r="AQ187" s="416" t="n">
        <v>29</v>
      </c>
      <c r="AR187" s="416" t="n">
        <v>3</v>
      </c>
      <c r="AS187" s="416"/>
      <c r="AT187" s="418"/>
      <c r="AU187" s="416"/>
      <c r="AW187" s="418" t="n">
        <v>0</v>
      </c>
      <c r="AX187" s="418" t="n">
        <v>0</v>
      </c>
      <c r="AY187" s="416" t="n">
        <v>0</v>
      </c>
      <c r="AZ187" s="418" t="n">
        <v>45461.7336342593</v>
      </c>
      <c r="BA187" s="418" t="n">
        <v>45461.7336342593</v>
      </c>
      <c r="BB187" s="416" t="n">
        <v>35.5791666666046</v>
      </c>
      <c r="BC187" s="416" t="n">
        <v>35.5791666666046</v>
      </c>
      <c r="BD187" s="418" t="n">
        <v>0</v>
      </c>
      <c r="BE187" s="418" t="n">
        <v>0</v>
      </c>
      <c r="BF187" s="416" t="n">
        <v>0</v>
      </c>
      <c r="BG187" s="416" t="n">
        <v>0</v>
      </c>
      <c r="BH187" s="416" t="n">
        <v>33</v>
      </c>
      <c r="BI187" s="416" t="n">
        <v>4</v>
      </c>
      <c r="BJ187" s="415"/>
      <c r="BK187" s="416" t="n">
        <v>2</v>
      </c>
      <c r="BL187" s="415"/>
      <c r="BM187" s="415"/>
      <c r="BN187" s="418"/>
      <c r="BO187" s="416" t="n">
        <v>2</v>
      </c>
      <c r="BP187" s="417" t="n">
        <v>45629</v>
      </c>
      <c r="BQ187" s="418"/>
      <c r="BR187" s="416" t="n">
        <v>193.375</v>
      </c>
      <c r="BS187" s="416"/>
      <c r="BT187" s="416"/>
      <c r="BU187" s="416" t="n">
        <v>7.5359</v>
      </c>
      <c r="BV187" s="416" t="n">
        <v>7.1759</v>
      </c>
      <c r="BW187" s="416" t="n">
        <v>1.153</v>
      </c>
      <c r="BX187" s="416" t="n">
        <v>1.0584</v>
      </c>
      <c r="BY187" s="416" t="n">
        <v>1.1742</v>
      </c>
      <c r="BZ187" s="416" t="n">
        <v>1.1869</v>
      </c>
      <c r="CA187" s="416" t="n">
        <v>1.5939</v>
      </c>
      <c r="CB187" s="416" t="n">
        <v>2.3901</v>
      </c>
      <c r="CC187" s="416" t="n">
        <v>3.8152</v>
      </c>
      <c r="CD187" s="416" t="n">
        <v>6.6606</v>
      </c>
      <c r="CE187" s="416" t="n">
        <v>8.6972</v>
      </c>
      <c r="CQ187" s="400" t="n">
        <v>7</v>
      </c>
      <c r="CR187" s="416" t="n">
        <v>72</v>
      </c>
      <c r="CS187" s="418" t="n">
        <v>45436.25</v>
      </c>
      <c r="CT187" s="416" t="n">
        <v>2.5</v>
      </c>
      <c r="CU187" s="416" t="n">
        <v>1.095</v>
      </c>
      <c r="CV187" s="416" t="n">
        <v>39.6752777777729</v>
      </c>
      <c r="CW187" s="416"/>
      <c r="CX187" s="416" t="n">
        <v>21</v>
      </c>
      <c r="CY187" s="415"/>
      <c r="DA187" s="407"/>
      <c r="DB187" s="407"/>
      <c r="DC187" s="400" t="s">
        <v>851</v>
      </c>
      <c r="DD187" s="415"/>
      <c r="WYQ187" s="0"/>
      <c r="WYR187" s="0"/>
      <c r="WYS187" s="0"/>
      <c r="WYT187" s="0"/>
      <c r="WYU187" s="0"/>
      <c r="WYV187" s="0"/>
      <c r="WYW187" s="0"/>
      <c r="WYX187" s="0"/>
      <c r="WYY187" s="0"/>
      <c r="WYZ187" s="0"/>
      <c r="WZA187" s="0"/>
      <c r="WZB187" s="0"/>
      <c r="WZC187" s="0"/>
      <c r="WZD187" s="0"/>
      <c r="WZE187" s="0"/>
      <c r="WZF187" s="0"/>
      <c r="WZG187" s="0"/>
      <c r="WZH187" s="0"/>
      <c r="WZI187" s="0"/>
      <c r="WZJ187" s="0"/>
      <c r="WZK187" s="0"/>
      <c r="WZL187" s="0"/>
      <c r="WZM187" s="0"/>
      <c r="WZN187" s="0"/>
      <c r="WZO187" s="0"/>
      <c r="WZP187" s="0"/>
      <c r="WZQ187" s="0"/>
      <c r="WZR187" s="0"/>
      <c r="WZS187" s="0"/>
      <c r="WZT187" s="0"/>
      <c r="WZU187" s="0"/>
      <c r="WZV187" s="0"/>
      <c r="WZW187" s="0"/>
      <c r="WZX187" s="0"/>
      <c r="WZY187" s="0"/>
      <c r="WZZ187" s="0"/>
      <c r="XAA187" s="0"/>
      <c r="XAB187" s="0"/>
      <c r="XAC187" s="0"/>
      <c r="XAD187" s="0"/>
      <c r="XAE187" s="0"/>
      <c r="XAF187" s="0"/>
      <c r="XAG187" s="0"/>
      <c r="XAH187" s="0"/>
      <c r="XAI187" s="0"/>
      <c r="XAJ187" s="0"/>
      <c r="XAK187" s="0"/>
      <c r="XAL187" s="0"/>
      <c r="XAM187" s="0"/>
      <c r="XAN187" s="0"/>
      <c r="XAO187" s="0"/>
      <c r="XAP187" s="0"/>
      <c r="XAQ187" s="0"/>
      <c r="XAR187" s="0"/>
      <c r="XAS187" s="0"/>
      <c r="XAT187" s="0"/>
      <c r="XAU187" s="0"/>
      <c r="XAV187" s="0"/>
      <c r="XAW187" s="0"/>
      <c r="XAX187" s="0"/>
      <c r="XAY187" s="0"/>
      <c r="XAZ187" s="0"/>
      <c r="XBA187" s="0"/>
      <c r="XBB187" s="0"/>
      <c r="XBC187" s="0"/>
      <c r="XBD187" s="0"/>
      <c r="XBE187" s="0"/>
      <c r="XBF187" s="0"/>
      <c r="XBG187" s="0"/>
      <c r="XBH187" s="0"/>
      <c r="XBI187" s="0"/>
      <c r="XBJ187" s="0"/>
      <c r="XBK187" s="0"/>
      <c r="XBL187" s="0"/>
      <c r="XBM187" s="0"/>
      <c r="XBN187" s="0"/>
      <c r="XBO187" s="0"/>
      <c r="XBP187" s="0"/>
      <c r="XBQ187" s="0"/>
      <c r="XBR187" s="0"/>
      <c r="XBS187" s="0"/>
      <c r="XBT187" s="0"/>
      <c r="XBU187" s="0"/>
      <c r="XBV187" s="0"/>
      <c r="XBW187" s="0"/>
      <c r="XBX187" s="0"/>
      <c r="XBY187" s="0"/>
      <c r="XBZ187" s="0"/>
      <c r="XCA187" s="0"/>
      <c r="XCB187" s="0"/>
      <c r="XCC187" s="0"/>
      <c r="XCD187" s="0"/>
      <c r="XCE187" s="0"/>
      <c r="XCF187" s="0"/>
      <c r="XCG187" s="0"/>
      <c r="XCH187" s="0"/>
      <c r="XCI187" s="0"/>
      <c r="XCJ187" s="0"/>
      <c r="XCK187" s="0"/>
      <c r="XCL187" s="0"/>
      <c r="XCM187" s="0"/>
      <c r="XCN187" s="0"/>
      <c r="XCO187" s="0"/>
      <c r="XCP187" s="0"/>
      <c r="XCQ187" s="0"/>
      <c r="XCR187" s="0"/>
      <c r="XCS187" s="0"/>
      <c r="XCT187" s="0"/>
      <c r="XCU187" s="0"/>
      <c r="XCV187" s="0"/>
      <c r="XCW187" s="0"/>
      <c r="XCX187" s="0"/>
      <c r="XCY187" s="0"/>
      <c r="XCZ187" s="0"/>
      <c r="XDA187" s="0"/>
      <c r="XDB187" s="0"/>
      <c r="XDC187" s="0"/>
      <c r="XDD187" s="0"/>
      <c r="XDE187" s="0"/>
      <c r="XDF187" s="0"/>
      <c r="XDG187" s="0"/>
      <c r="XDH187" s="0"/>
      <c r="XDI187" s="0"/>
      <c r="XDJ187" s="0"/>
      <c r="XDK187" s="0"/>
      <c r="XDL187" s="0"/>
      <c r="XDM187" s="0"/>
      <c r="XDN187" s="0"/>
      <c r="XDO187" s="0"/>
      <c r="XDP187" s="0"/>
      <c r="XDQ187" s="0"/>
      <c r="XDR187" s="0"/>
      <c r="XDS187" s="0"/>
      <c r="XDT187" s="0"/>
      <c r="XDU187" s="0"/>
      <c r="XDV187" s="0"/>
      <c r="XDW187" s="0"/>
      <c r="XDX187" s="0"/>
      <c r="XDY187" s="0"/>
      <c r="XDZ187" s="0"/>
      <c r="XEA187" s="0"/>
      <c r="XEB187" s="0"/>
      <c r="XEC187" s="0"/>
      <c r="XED187" s="0"/>
      <c r="XEE187" s="0"/>
      <c r="XEF187" s="0"/>
      <c r="XEG187" s="0"/>
      <c r="XEH187" s="0"/>
      <c r="XEI187" s="0"/>
      <c r="XEJ187" s="0"/>
      <c r="XEK187" s="0"/>
      <c r="XEL187" s="0"/>
      <c r="XEM187" s="0"/>
      <c r="XEN187" s="0"/>
      <c r="XEO187" s="0"/>
      <c r="XEP187" s="0"/>
      <c r="XEQ187" s="0"/>
      <c r="XER187" s="0"/>
      <c r="XES187" s="0"/>
      <c r="XET187" s="0"/>
      <c r="XEU187" s="0"/>
      <c r="XEV187" s="0"/>
      <c r="XEW187" s="0"/>
      <c r="XEX187" s="0"/>
      <c r="XEY187" s="0"/>
      <c r="XEZ187" s="0"/>
      <c r="XFA187" s="0"/>
      <c r="XFB187" s="0"/>
      <c r="XFC187" s="0"/>
      <c r="XFD187" s="0"/>
    </row>
    <row r="188" customFormat="false" ht="15" hidden="false" customHeight="false" outlineLevel="0" collapsed="false">
      <c r="A188" s="400"/>
      <c r="B188" s="407"/>
      <c r="C188" s="407"/>
      <c r="D188" s="407"/>
      <c r="E188" s="407"/>
      <c r="F188" s="408"/>
      <c r="G188" s="400"/>
      <c r="H188" s="400"/>
      <c r="I188" s="415" t="s">
        <v>852</v>
      </c>
      <c r="J188" s="416" t="n">
        <v>5.01917808219178</v>
      </c>
      <c r="K188" s="416" t="n">
        <v>121</v>
      </c>
      <c r="L188" s="416" t="n">
        <v>41.7</v>
      </c>
      <c r="M188" s="416" t="n">
        <v>1.25</v>
      </c>
      <c r="N188" s="416"/>
      <c r="O188" s="416" t="n">
        <v>121</v>
      </c>
      <c r="P188" s="416" t="n">
        <v>305</v>
      </c>
      <c r="Q188" s="416" t="n">
        <v>3516</v>
      </c>
      <c r="R188" s="416" t="n">
        <v>3103</v>
      </c>
      <c r="S188" s="416" t="n">
        <v>2612</v>
      </c>
      <c r="T188" s="416" t="n">
        <v>2143</v>
      </c>
      <c r="U188" s="416" t="n">
        <v>1512</v>
      </c>
      <c r="V188" s="416" t="n">
        <v>1029</v>
      </c>
      <c r="W188" s="412" t="n">
        <v>378</v>
      </c>
      <c r="X188" s="400"/>
      <c r="Y188" s="416" t="n">
        <v>0.721397423683258</v>
      </c>
      <c r="Z188" s="400"/>
      <c r="AA188" s="416" t="n">
        <v>0.798311468069818</v>
      </c>
      <c r="AB188" s="407"/>
      <c r="AC188" s="415"/>
      <c r="AD188" s="416" t="n">
        <v>0</v>
      </c>
      <c r="AE188" s="416" t="n">
        <v>0</v>
      </c>
      <c r="AF188" s="416" t="n">
        <v>0</v>
      </c>
      <c r="AG188" s="416" t="n">
        <v>1.3714351851886</v>
      </c>
      <c r="AH188" s="416" t="n">
        <v>2.0100462962946</v>
      </c>
      <c r="AI188" s="416" t="n">
        <v>38.5769444443868</v>
      </c>
      <c r="AJ188" s="416" t="n">
        <v>37.5769444443868</v>
      </c>
      <c r="AK188" s="416" t="n">
        <v>0</v>
      </c>
      <c r="AL188" s="416" t="n">
        <v>0</v>
      </c>
      <c r="AM188" s="416" t="n">
        <v>0</v>
      </c>
      <c r="AN188" s="416" t="n">
        <v>0</v>
      </c>
      <c r="AO188" s="416" t="n">
        <v>32.9144444445265</v>
      </c>
      <c r="AP188" s="416" t="n">
        <v>32.9144444445265</v>
      </c>
      <c r="AQ188" s="416" t="n">
        <v>28</v>
      </c>
      <c r="AR188" s="416" t="n">
        <v>2</v>
      </c>
      <c r="AS188" s="416"/>
      <c r="AT188" s="416"/>
      <c r="AU188" s="416"/>
      <c r="AV188" s="400"/>
      <c r="AW188" s="416" t="n">
        <v>0</v>
      </c>
      <c r="AX188" s="416" t="n">
        <v>0</v>
      </c>
      <c r="AY188" s="416" t="n">
        <v>0</v>
      </c>
      <c r="AZ188" s="416" t="n">
        <v>14.1376388888893</v>
      </c>
      <c r="BA188" s="416" t="n">
        <v>14.1376273148198</v>
      </c>
      <c r="BB188" s="416" t="n">
        <v>35.5791666666046</v>
      </c>
      <c r="BC188" s="416" t="n">
        <v>34.5791666666046</v>
      </c>
      <c r="BD188" s="416" t="n">
        <v>0</v>
      </c>
      <c r="BE188" s="416" t="n">
        <v>0</v>
      </c>
      <c r="BF188" s="416" t="n">
        <v>0</v>
      </c>
      <c r="BG188" s="416" t="n">
        <v>0</v>
      </c>
      <c r="BH188" s="416" t="n">
        <v>32</v>
      </c>
      <c r="BI188" s="416" t="n">
        <v>3</v>
      </c>
      <c r="BJ188" s="400"/>
      <c r="BK188" s="416" t="n">
        <v>1</v>
      </c>
      <c r="BL188" s="400"/>
      <c r="BM188" s="400"/>
      <c r="BN188" s="416"/>
      <c r="BO188" s="416" t="n">
        <v>1</v>
      </c>
      <c r="BP188" s="415" t="n">
        <v>50</v>
      </c>
      <c r="BQ188" s="416"/>
      <c r="BR188" s="416" t="n">
        <v>50</v>
      </c>
      <c r="BS188" s="416"/>
      <c r="BT188" s="416"/>
      <c r="BU188" s="416" t="n">
        <v>7.3359</v>
      </c>
      <c r="BV188" s="416" t="n">
        <v>6.9759</v>
      </c>
      <c r="BW188" s="416" t="n">
        <v>0.953</v>
      </c>
      <c r="BX188" s="416" t="n">
        <v>0.8584</v>
      </c>
      <c r="BY188" s="416" t="n">
        <v>0.9742</v>
      </c>
      <c r="BZ188" s="416" t="n">
        <v>0.9869</v>
      </c>
      <c r="CA188" s="416" t="n">
        <v>1.3939</v>
      </c>
      <c r="CB188" s="416" t="n">
        <v>2.1901</v>
      </c>
      <c r="CC188" s="416" t="n">
        <v>3.6152</v>
      </c>
      <c r="CD188" s="416" t="n">
        <v>6.4606</v>
      </c>
      <c r="CE188" s="416" t="n">
        <v>8.4972</v>
      </c>
      <c r="CF188" s="400"/>
      <c r="CG188" s="400"/>
      <c r="CH188" s="400"/>
      <c r="CI188" s="400"/>
      <c r="CJ188" s="400"/>
      <c r="CK188" s="400"/>
      <c r="CL188" s="400"/>
      <c r="CM188" s="400"/>
      <c r="CN188" s="400"/>
      <c r="CO188" s="400"/>
      <c r="CP188" s="400"/>
      <c r="CQ188" s="400" t="n">
        <v>3</v>
      </c>
      <c r="CR188" s="416" t="n">
        <v>36</v>
      </c>
      <c r="CS188" s="416" t="n">
        <v>1.5</v>
      </c>
      <c r="CT188" s="416" t="n">
        <v>2</v>
      </c>
      <c r="CU188" s="416" t="n">
        <v>0.95968</v>
      </c>
      <c r="CV188" s="416" t="n">
        <v>45.5786111110356</v>
      </c>
      <c r="CW188" s="416"/>
      <c r="CX188" s="416" t="n">
        <v>36</v>
      </c>
      <c r="CY188" s="400"/>
      <c r="CZ188" s="400"/>
      <c r="DA188" s="407"/>
      <c r="DB188" s="407"/>
      <c r="DC188" s="400" t="s">
        <v>852</v>
      </c>
      <c r="DD188" s="415"/>
      <c r="DE188" s="400"/>
      <c r="DF188" s="400"/>
      <c r="DG188" s="400"/>
      <c r="DH188" s="400"/>
      <c r="DI188" s="400"/>
    </row>
    <row r="189" customFormat="false" ht="15" hidden="false" customHeight="false" outlineLevel="0" collapsed="false">
      <c r="A189" s="400"/>
      <c r="B189" s="407"/>
      <c r="C189" s="407"/>
      <c r="D189" s="407"/>
      <c r="E189" s="407"/>
      <c r="F189" s="408"/>
      <c r="G189" s="400"/>
      <c r="H189" s="400"/>
      <c r="I189" s="400"/>
      <c r="J189" s="400"/>
      <c r="K189" s="400"/>
      <c r="L189" s="409"/>
      <c r="M189" s="409"/>
      <c r="N189" s="409"/>
      <c r="O189" s="400"/>
      <c r="P189" s="400"/>
      <c r="Q189" s="400"/>
      <c r="R189" s="400"/>
      <c r="S189" s="400"/>
      <c r="T189" s="400"/>
      <c r="U189" s="400"/>
      <c r="V189" s="400"/>
      <c r="W189" s="408"/>
      <c r="X189" s="400"/>
      <c r="Y189" s="400"/>
      <c r="Z189" s="400"/>
      <c r="AA189" s="400"/>
      <c r="AB189" s="407"/>
      <c r="AC189" s="400"/>
      <c r="AD189" s="400"/>
      <c r="AE189" s="400"/>
      <c r="AF189" s="400"/>
      <c r="AG189" s="400"/>
      <c r="AH189" s="400"/>
      <c r="AI189" s="400"/>
      <c r="AJ189" s="400"/>
      <c r="AK189" s="400"/>
      <c r="AL189" s="400"/>
      <c r="AM189" s="400"/>
      <c r="AN189" s="400"/>
      <c r="AO189" s="400"/>
      <c r="AP189" s="400"/>
      <c r="AQ189" s="400"/>
      <c r="AR189" s="400"/>
      <c r="AS189" s="400"/>
      <c r="AT189" s="400"/>
      <c r="AU189" s="400"/>
      <c r="AV189" s="400"/>
      <c r="AW189" s="400"/>
      <c r="AX189" s="400"/>
      <c r="AY189" s="400"/>
      <c r="AZ189" s="400"/>
      <c r="BA189" s="400"/>
      <c r="BB189" s="400"/>
      <c r="BC189" s="400"/>
      <c r="BD189" s="400"/>
      <c r="BE189" s="400"/>
      <c r="BF189" s="400"/>
      <c r="BG189" s="400"/>
      <c r="BH189" s="400"/>
      <c r="BI189" s="400"/>
      <c r="BJ189" s="400"/>
      <c r="BK189" s="400"/>
      <c r="BL189" s="400"/>
      <c r="BM189" s="400"/>
      <c r="BN189" s="400"/>
      <c r="BO189" s="400"/>
      <c r="BP189" s="400"/>
      <c r="BQ189" s="400"/>
      <c r="BR189" s="400"/>
      <c r="BS189" s="400"/>
      <c r="BT189" s="400"/>
      <c r="BU189" s="400"/>
      <c r="BV189" s="400"/>
      <c r="BW189" s="400"/>
      <c r="BX189" s="400"/>
      <c r="BY189" s="400"/>
      <c r="BZ189" s="400"/>
      <c r="CA189" s="400"/>
      <c r="CB189" s="400"/>
      <c r="CC189" s="400"/>
      <c r="CD189" s="400"/>
      <c r="CE189" s="400"/>
      <c r="CF189" s="400"/>
      <c r="CG189" s="400"/>
      <c r="CH189" s="400"/>
      <c r="CI189" s="400"/>
      <c r="CJ189" s="400"/>
      <c r="CK189" s="400"/>
      <c r="CL189" s="400"/>
      <c r="CM189" s="400"/>
      <c r="CN189" s="400"/>
      <c r="CO189" s="400"/>
      <c r="CP189" s="400"/>
      <c r="CQ189" s="400"/>
      <c r="CR189" s="400"/>
      <c r="CS189" s="400"/>
      <c r="CT189" s="400"/>
      <c r="CU189" s="400"/>
      <c r="CV189" s="400"/>
      <c r="CW189" s="400"/>
      <c r="CX189" s="400"/>
      <c r="CY189" s="400"/>
      <c r="CZ189" s="400"/>
      <c r="DA189" s="407"/>
      <c r="DB189" s="407"/>
      <c r="DC189" s="400"/>
      <c r="DD189" s="400"/>
      <c r="DE189" s="400"/>
      <c r="DF189" s="400"/>
      <c r="DG189" s="400"/>
      <c r="DH189" s="400"/>
      <c r="DI189" s="400"/>
    </row>
    <row r="190" customFormat="false" ht="15" hidden="false" customHeight="false" outlineLevel="0" collapsed="false">
      <c r="A190" s="400"/>
      <c r="B190" s="407"/>
      <c r="C190" s="407"/>
      <c r="D190" s="407"/>
      <c r="E190" s="407"/>
      <c r="F190" s="408"/>
      <c r="G190" s="400"/>
      <c r="H190" s="414" t="s">
        <v>856</v>
      </c>
      <c r="I190" s="415" t="s">
        <v>846</v>
      </c>
      <c r="J190" s="416" t="n">
        <v>3.83831702544031</v>
      </c>
      <c r="K190" s="417" t="n">
        <v>45229.2</v>
      </c>
      <c r="L190" s="416" t="n">
        <v>66.2285714285714</v>
      </c>
      <c r="M190" s="416" t="n">
        <v>3.20714285714286</v>
      </c>
      <c r="N190" s="416"/>
      <c r="O190" s="416" t="n">
        <v>203.8</v>
      </c>
      <c r="P190" s="416" t="n">
        <v>264.04347826087</v>
      </c>
      <c r="Q190" s="416" t="n">
        <v>1583.01428571429</v>
      </c>
      <c r="R190" s="416" t="n">
        <v>1531.61428571429</v>
      </c>
      <c r="S190" s="416" t="n">
        <v>1665.54285714286</v>
      </c>
      <c r="T190" s="416" t="n">
        <v>1522.52857142857</v>
      </c>
      <c r="U190" s="416" t="n">
        <v>1473.02857142857</v>
      </c>
      <c r="V190" s="416" t="n">
        <v>1378.94285714286</v>
      </c>
      <c r="W190" s="412" t="n">
        <v>-44.4142857142857</v>
      </c>
      <c r="X190" s="400"/>
      <c r="Y190" s="416" t="n">
        <v>0.636260023995162</v>
      </c>
      <c r="Z190" s="400"/>
      <c r="AA190" s="416" t="n">
        <v>0.740602028509722</v>
      </c>
      <c r="AB190" s="407"/>
      <c r="AC190" s="415"/>
      <c r="AD190" s="418" t="n">
        <v>45434.3416589506</v>
      </c>
      <c r="AE190" s="418" t="n">
        <v>45443.5880015432</v>
      </c>
      <c r="AF190" s="416" t="n">
        <v>221.912222222309</v>
      </c>
      <c r="AG190" s="418" t="n">
        <v>45436.1906407828</v>
      </c>
      <c r="AH190" s="418" t="n">
        <v>45436.5521040264</v>
      </c>
      <c r="AI190" s="416" t="n">
        <v>8.67511784511788</v>
      </c>
      <c r="AJ190" s="416" t="n">
        <v>9.25537037036459</v>
      </c>
      <c r="AK190" s="418" t="n">
        <v>45443.5879899691</v>
      </c>
      <c r="AL190" s="418" t="n">
        <v>45443.5880015432</v>
      </c>
      <c r="AM190" s="416" t="n">
        <v>0.000277777784503996</v>
      </c>
      <c r="AN190" s="416" t="n">
        <v>1</v>
      </c>
      <c r="AO190" s="416" t="n">
        <v>69.0753787878732</v>
      </c>
      <c r="AP190" s="416" t="n">
        <v>104.075378787873</v>
      </c>
      <c r="AQ190" s="416" t="n">
        <v>8.93939393939394</v>
      </c>
      <c r="AR190" s="416" t="n">
        <v>1.46875</v>
      </c>
      <c r="AS190" s="416"/>
      <c r="AT190" s="418"/>
      <c r="AU190" s="416"/>
      <c r="AV190" s="400"/>
      <c r="AW190" s="418" t="n">
        <v>45449.431554784</v>
      </c>
      <c r="AX190" s="418" t="n">
        <v>45454.7249594907</v>
      </c>
      <c r="AY190" s="416" t="n">
        <v>127.041712962964</v>
      </c>
      <c r="AZ190" s="418" t="n">
        <v>45454.1587917368</v>
      </c>
      <c r="BA190" s="418" t="n">
        <v>45454.6612061588</v>
      </c>
      <c r="BB190" s="416" t="n">
        <v>12.0579461279399</v>
      </c>
      <c r="BC190" s="416" t="n">
        <v>12.3756397306341</v>
      </c>
      <c r="BD190" s="418" t="n">
        <v>45455.0526678241</v>
      </c>
      <c r="BE190" s="418" t="n">
        <v>45455.0526793982</v>
      </c>
      <c r="BF190" s="416" t="n">
        <v>0.000277777755400166</v>
      </c>
      <c r="BG190" s="416" t="n">
        <v>1</v>
      </c>
      <c r="BH190" s="416" t="n">
        <v>25.4242424242424</v>
      </c>
      <c r="BI190" s="416" t="n">
        <v>1.90625</v>
      </c>
      <c r="BJ190" s="415"/>
      <c r="BK190" s="416" t="n">
        <v>1.34146341463415</v>
      </c>
      <c r="BL190" s="415"/>
      <c r="BM190" s="415"/>
      <c r="BN190" s="418"/>
      <c r="BO190" s="416" t="n">
        <v>1.36923076923077</v>
      </c>
      <c r="BP190" s="417" t="n">
        <v>45594.0461538462</v>
      </c>
      <c r="BQ190" s="418"/>
      <c r="BR190" s="416" t="n">
        <v>158.421153846154</v>
      </c>
      <c r="BS190" s="416"/>
      <c r="BT190" s="416"/>
      <c r="BU190" s="416" t="n">
        <v>0.533260571428572</v>
      </c>
      <c r="BV190" s="416" t="n">
        <v>0.639327714285715</v>
      </c>
      <c r="BW190" s="416" t="n">
        <v>0.432804857142857</v>
      </c>
      <c r="BX190" s="416" t="n">
        <v>0.413749928571428</v>
      </c>
      <c r="BY190" s="416" t="n">
        <v>0.477220857142857</v>
      </c>
      <c r="BZ190" s="416" t="n">
        <v>0.485428642857143</v>
      </c>
      <c r="CA190" s="416" t="n">
        <v>0.570639642857144</v>
      </c>
      <c r="CB190" s="416" t="n">
        <v>0.795286285714286</v>
      </c>
      <c r="CC190" s="416" t="n">
        <v>1.07493028571429</v>
      </c>
      <c r="CD190" s="416" t="n">
        <v>1.35592814285714</v>
      </c>
      <c r="CE190" s="416" t="n">
        <v>1.45855742857143</v>
      </c>
      <c r="CF190" s="400"/>
      <c r="CG190" s="400"/>
      <c r="CH190" s="400"/>
      <c r="CI190" s="400"/>
      <c r="CJ190" s="400"/>
      <c r="CK190" s="400"/>
      <c r="CL190" s="400"/>
      <c r="CM190" s="400"/>
      <c r="CN190" s="400"/>
      <c r="CO190" s="400"/>
      <c r="CP190" s="400"/>
      <c r="CQ190" s="400" t="n">
        <v>5.02777777777778</v>
      </c>
      <c r="CR190" s="416" t="n">
        <v>63.6610169491525</v>
      </c>
      <c r="CS190" s="418" t="n">
        <v>45435.9025423729</v>
      </c>
      <c r="CT190" s="416" t="n">
        <v>1.32142857142857</v>
      </c>
      <c r="CU190" s="416" t="n">
        <v>0.368021694915254</v>
      </c>
      <c r="CV190" s="416" t="n">
        <v>-3.48528703703196</v>
      </c>
      <c r="CW190" s="416"/>
      <c r="CX190" s="416" t="n">
        <v>-6.66101694915254</v>
      </c>
      <c r="CY190" s="415"/>
      <c r="CZ190" s="400"/>
      <c r="DA190" s="407"/>
      <c r="DB190" s="407"/>
      <c r="DC190" s="414" t="s">
        <v>846</v>
      </c>
      <c r="DD190" s="415"/>
      <c r="DE190" s="400"/>
      <c r="DF190" s="400"/>
      <c r="DG190" s="400"/>
      <c r="DH190" s="400"/>
      <c r="DI190" s="400"/>
    </row>
    <row r="191" customFormat="false" ht="15" hidden="false" customHeight="false" outlineLevel="0" collapsed="false">
      <c r="A191" s="400"/>
      <c r="B191" s="407"/>
      <c r="C191" s="407"/>
      <c r="D191" s="407"/>
      <c r="E191" s="407"/>
      <c r="F191" s="408"/>
      <c r="G191" s="400"/>
      <c r="H191" s="400"/>
      <c r="I191" s="415" t="s">
        <v>847</v>
      </c>
      <c r="J191" s="416" t="n">
        <v>1.81538988200407</v>
      </c>
      <c r="K191" s="416" t="n">
        <v>36.3898377277925</v>
      </c>
      <c r="L191" s="416" t="n">
        <v>9.27932317086311</v>
      </c>
      <c r="M191" s="416" t="n">
        <v>0.385355634191734</v>
      </c>
      <c r="N191" s="416"/>
      <c r="O191" s="416" t="n">
        <v>36.3898377277926</v>
      </c>
      <c r="P191" s="416" t="n">
        <v>76.8706772639471</v>
      </c>
      <c r="Q191" s="416" t="n">
        <v>1325.63585500801</v>
      </c>
      <c r="R191" s="416" t="n">
        <v>1020.38694412217</v>
      </c>
      <c r="S191" s="416" t="n">
        <v>766.77789399301</v>
      </c>
      <c r="T191" s="416" t="n">
        <v>638.815791221438</v>
      </c>
      <c r="U191" s="416" t="n">
        <v>398.840673991274</v>
      </c>
      <c r="V191" s="416" t="n">
        <v>399.592070459772</v>
      </c>
      <c r="W191" s="412" t="n">
        <v>87.0471291399744</v>
      </c>
      <c r="X191" s="400"/>
      <c r="Y191" s="416" t="n">
        <v>0.234271578892587</v>
      </c>
      <c r="Z191" s="400"/>
      <c r="AA191" s="416" t="n">
        <v>0.272947238302158</v>
      </c>
      <c r="AB191" s="407"/>
      <c r="AC191" s="415"/>
      <c r="AD191" s="416" t="n">
        <v>1.26947155038601</v>
      </c>
      <c r="AE191" s="416" t="n">
        <v>1.00690393585548</v>
      </c>
      <c r="AF191" s="416" t="n">
        <v>53.5090625098575</v>
      </c>
      <c r="AG191" s="416" t="n">
        <v>2.38448755523115</v>
      </c>
      <c r="AH191" s="416" t="n">
        <v>2.18210913462227</v>
      </c>
      <c r="AI191" s="416" t="n">
        <v>15.9178617644803</v>
      </c>
      <c r="AJ191" s="416" t="n">
        <v>15.5969229387914</v>
      </c>
      <c r="AK191" s="416" t="n">
        <v>1.0068866230552</v>
      </c>
      <c r="AL191" s="416" t="n">
        <v>1.00690393585548</v>
      </c>
      <c r="AM191" s="416" t="n">
        <v>0.00048112523597484</v>
      </c>
      <c r="AN191" s="416" t="n">
        <v>0</v>
      </c>
      <c r="AO191" s="416" t="n">
        <v>57.2277013255475</v>
      </c>
      <c r="AP191" s="416" t="n">
        <v>57.2277013255475</v>
      </c>
      <c r="AQ191" s="416" t="n">
        <v>16.2190848114563</v>
      </c>
      <c r="AR191" s="416" t="n">
        <v>0.761339015665291</v>
      </c>
      <c r="AS191" s="416"/>
      <c r="AT191" s="416"/>
      <c r="AU191" s="416"/>
      <c r="AV191" s="400"/>
      <c r="AW191" s="416" t="n">
        <v>1.63468818181007</v>
      </c>
      <c r="AX191" s="416" t="n">
        <v>1.67920219299923</v>
      </c>
      <c r="AY191" s="416" t="n">
        <v>58.7034717258693</v>
      </c>
      <c r="AZ191" s="416" t="n">
        <v>3.7019965006691</v>
      </c>
      <c r="BA191" s="416" t="n">
        <v>3.65641199154416</v>
      </c>
      <c r="BB191" s="416" t="n">
        <v>12.5092849356376</v>
      </c>
      <c r="BC191" s="416" t="n">
        <v>12.1988841158082</v>
      </c>
      <c r="BD191" s="416" t="n">
        <v>1.9882222233955</v>
      </c>
      <c r="BE191" s="416" t="n">
        <v>1.98823859160671</v>
      </c>
      <c r="BF191" s="416" t="n">
        <v>0.000392837069012471</v>
      </c>
      <c r="BG191" s="416" t="n">
        <v>0</v>
      </c>
      <c r="BH191" s="416" t="n">
        <v>30.2035079740648</v>
      </c>
      <c r="BI191" s="416" t="n">
        <v>0.892960823473272</v>
      </c>
      <c r="BJ191" s="415"/>
      <c r="BK191" s="416" t="n">
        <v>0.574880687515287</v>
      </c>
      <c r="BL191" s="415"/>
      <c r="BM191" s="415"/>
      <c r="BN191" s="416"/>
      <c r="BO191" s="416" t="n">
        <v>0.486352199068187</v>
      </c>
      <c r="BP191" s="416" t="n">
        <v>18.3425996395948</v>
      </c>
      <c r="BQ191" s="416"/>
      <c r="BR191" s="416" t="n">
        <v>18.3425996395948</v>
      </c>
      <c r="BS191" s="416"/>
      <c r="BT191" s="416"/>
      <c r="BU191" s="416" t="n">
        <v>0.841111363122377</v>
      </c>
      <c r="BV191" s="416" t="n">
        <v>1.0408149692041</v>
      </c>
      <c r="BW191" s="416" t="n">
        <v>1.10699040352824</v>
      </c>
      <c r="BX191" s="416" t="n">
        <v>0.903572329245767</v>
      </c>
      <c r="BY191" s="416" t="n">
        <v>1.16950692717461</v>
      </c>
      <c r="BZ191" s="416" t="n">
        <v>1.16058410283198</v>
      </c>
      <c r="CA191" s="416" t="n">
        <v>1.03518380572277</v>
      </c>
      <c r="CB191" s="416" t="n">
        <v>1.24010525172427</v>
      </c>
      <c r="CC191" s="416" t="n">
        <v>1.03790843374991</v>
      </c>
      <c r="CD191" s="416" t="n">
        <v>1.28351663740541</v>
      </c>
      <c r="CE191" s="416" t="n">
        <v>1.41284782087347</v>
      </c>
      <c r="CF191" s="400"/>
      <c r="CG191" s="400"/>
      <c r="CH191" s="400"/>
      <c r="CI191" s="400"/>
      <c r="CJ191" s="400"/>
      <c r="CK191" s="400"/>
      <c r="CL191" s="400"/>
      <c r="CM191" s="400"/>
      <c r="CN191" s="400"/>
      <c r="CO191" s="400"/>
      <c r="CP191" s="400"/>
      <c r="CQ191" s="400" t="n">
        <v>1.10805134257298</v>
      </c>
      <c r="CR191" s="416" t="n">
        <v>18.6774898349374</v>
      </c>
      <c r="CS191" s="416" t="n">
        <v>0.778228743122392</v>
      </c>
      <c r="CT191" s="416" t="n">
        <v>0.451548562057398</v>
      </c>
      <c r="CU191" s="416" t="n">
        <v>0.186776922586466</v>
      </c>
      <c r="CV191" s="416" t="n">
        <v>60.1473889365068</v>
      </c>
      <c r="CW191" s="416"/>
      <c r="CX191" s="416" t="n">
        <v>18.6774898349374</v>
      </c>
      <c r="CY191" s="415"/>
      <c r="CZ191" s="400"/>
      <c r="DA191" s="407"/>
      <c r="DB191" s="407"/>
      <c r="DC191" s="400" t="s">
        <v>847</v>
      </c>
      <c r="DD191" s="415"/>
      <c r="DE191" s="400"/>
      <c r="DF191" s="400"/>
      <c r="DG191" s="400"/>
      <c r="DH191" s="400"/>
      <c r="DI191" s="400"/>
    </row>
    <row r="192" customFormat="false" ht="15" hidden="false" customHeight="false" outlineLevel="0" collapsed="false">
      <c r="A192" s="400"/>
      <c r="B192" s="407"/>
      <c r="C192" s="407"/>
      <c r="D192" s="407"/>
      <c r="E192" s="407"/>
      <c r="F192" s="408"/>
      <c r="G192" s="400"/>
      <c r="H192" s="400"/>
      <c r="I192" s="415" t="s">
        <v>848</v>
      </c>
      <c r="J192" s="416" t="n">
        <v>0.216980592406746</v>
      </c>
      <c r="K192" s="416" t="n">
        <v>4.34941751412937</v>
      </c>
      <c r="L192" s="416" t="n">
        <v>1.10909125290751</v>
      </c>
      <c r="M192" s="416" t="n">
        <v>0.0460588078754159</v>
      </c>
      <c r="N192" s="416"/>
      <c r="O192" s="416" t="n">
        <v>4.34941751412938</v>
      </c>
      <c r="P192" s="416" t="n">
        <v>9.18780326847804</v>
      </c>
      <c r="Q192" s="416" t="n">
        <v>158.443789946503</v>
      </c>
      <c r="R192" s="416" t="n">
        <v>121.959566820612</v>
      </c>
      <c r="S192" s="416" t="n">
        <v>91.6474875905621</v>
      </c>
      <c r="T192" s="416" t="n">
        <v>76.3530909762449</v>
      </c>
      <c r="U192" s="416" t="n">
        <v>47.6705784120583</v>
      </c>
      <c r="V192" s="416" t="n">
        <v>47.7603874676684</v>
      </c>
      <c r="W192" s="412" t="n">
        <v>10.4041219108523</v>
      </c>
      <c r="X192" s="400"/>
      <c r="Y192" s="416" t="n">
        <v>0.0282029838787342</v>
      </c>
      <c r="Z192" s="400"/>
      <c r="AA192" s="416" t="n">
        <v>0.03285898613041</v>
      </c>
      <c r="AB192" s="407"/>
      <c r="AC192" s="415"/>
      <c r="AD192" s="416" t="n">
        <v>0.732929741343935</v>
      </c>
      <c r="AE192" s="416" t="n">
        <v>0.581336258414257</v>
      </c>
      <c r="AF192" s="416" t="n">
        <v>30.8934716441507</v>
      </c>
      <c r="AG192" s="416" t="n">
        <v>0.41508600427017</v>
      </c>
      <c r="AH192" s="416" t="n">
        <v>0.379856443194562</v>
      </c>
      <c r="AI192" s="416" t="n">
        <v>2.77094406378756</v>
      </c>
      <c r="AJ192" s="416" t="n">
        <v>2.71507578530646</v>
      </c>
      <c r="AK192" s="416" t="n">
        <v>0.58132626286435</v>
      </c>
      <c r="AL192" s="416" t="n">
        <v>0.581336258414257</v>
      </c>
      <c r="AM192" s="416" t="n">
        <v>0.000277777784503996</v>
      </c>
      <c r="AN192" s="416" t="n">
        <v>0</v>
      </c>
      <c r="AO192" s="416" t="n">
        <v>9.96206410248409</v>
      </c>
      <c r="AP192" s="416" t="n">
        <v>9.96206410248409</v>
      </c>
      <c r="AQ192" s="416" t="n">
        <v>2.82338026572497</v>
      </c>
      <c r="AR192" s="416" t="n">
        <v>0.134586995189705</v>
      </c>
      <c r="AS192" s="416"/>
      <c r="AT192" s="416"/>
      <c r="AU192" s="416"/>
      <c r="AV192" s="400"/>
      <c r="AW192" s="416" t="n">
        <v>0.667358655665441</v>
      </c>
      <c r="AX192" s="416" t="n">
        <v>0.685531424635104</v>
      </c>
      <c r="AY192" s="416" t="n">
        <v>23.9655919763799</v>
      </c>
      <c r="AZ192" s="416" t="n">
        <v>0.644434873192672</v>
      </c>
      <c r="BA192" s="416" t="n">
        <v>0.636499628696312</v>
      </c>
      <c r="BB192" s="416" t="n">
        <v>2.17758699927772</v>
      </c>
      <c r="BC192" s="416" t="n">
        <v>2.12355315215508</v>
      </c>
      <c r="BD192" s="416" t="n">
        <v>1.40588541666875</v>
      </c>
      <c r="BE192" s="416" t="n">
        <v>1.40589699074189</v>
      </c>
      <c r="BF192" s="416" t="n">
        <v>0.000277777755400166</v>
      </c>
      <c r="BG192" s="416" t="n">
        <v>0</v>
      </c>
      <c r="BH192" s="416" t="n">
        <v>5.25775586976442</v>
      </c>
      <c r="BI192" s="416" t="n">
        <v>0.157854663402969</v>
      </c>
      <c r="BJ192" s="415"/>
      <c r="BK192" s="416" t="n">
        <v>0.0897812796063705</v>
      </c>
      <c r="BL192" s="415"/>
      <c r="BM192" s="415"/>
      <c r="BN192" s="416"/>
      <c r="BO192" s="416" t="n">
        <v>0.0603245659283005</v>
      </c>
      <c r="BP192" s="416" t="n">
        <v>2.16169609829123</v>
      </c>
      <c r="BQ192" s="416"/>
      <c r="BR192" s="416" t="n">
        <v>2.27511947797325</v>
      </c>
      <c r="BS192" s="416"/>
      <c r="BT192" s="416"/>
      <c r="BU192" s="416" t="n">
        <v>0.100532036484011</v>
      </c>
      <c r="BV192" s="416" t="n">
        <v>0.124401182821624</v>
      </c>
      <c r="BW192" s="416" t="n">
        <v>0.132310660055557</v>
      </c>
      <c r="BX192" s="416" t="n">
        <v>0.107997549851746</v>
      </c>
      <c r="BY192" s="416" t="n">
        <v>0.139782813817385</v>
      </c>
      <c r="BZ192" s="416" t="n">
        <v>0.138716332324348</v>
      </c>
      <c r="CA192" s="416" t="n">
        <v>0.123728130051951</v>
      </c>
      <c r="CB192" s="416" t="n">
        <v>0.148220927544668</v>
      </c>
      <c r="CC192" s="416" t="n">
        <v>0.124053785388734</v>
      </c>
      <c r="CD192" s="416" t="n">
        <v>0.153409580558363</v>
      </c>
      <c r="CE192" s="416" t="n">
        <v>0.168867613614373</v>
      </c>
      <c r="CF192" s="400"/>
      <c r="CG192" s="400"/>
      <c r="CH192" s="400"/>
      <c r="CI192" s="400"/>
      <c r="CJ192" s="400"/>
      <c r="CK192" s="400"/>
      <c r="CL192" s="400"/>
      <c r="CM192" s="400"/>
      <c r="CN192" s="400"/>
      <c r="CO192" s="400"/>
      <c r="CP192" s="400"/>
      <c r="CQ192" s="400" t="n">
        <v>0.184675223762163</v>
      </c>
      <c r="CR192" s="416" t="n">
        <v>2.43160206146591</v>
      </c>
      <c r="CS192" s="416" t="n">
        <v>0.10131675256108</v>
      </c>
      <c r="CT192" s="416" t="n">
        <v>0.0603407147396148</v>
      </c>
      <c r="CU192" s="416" t="n">
        <v>0.0243162841478817</v>
      </c>
      <c r="CV192" s="416" t="n">
        <v>10.9813605651872</v>
      </c>
      <c r="CW192" s="416"/>
      <c r="CX192" s="416" t="n">
        <v>2.43160206146591</v>
      </c>
      <c r="CY192" s="415"/>
      <c r="CZ192" s="400"/>
      <c r="DA192" s="407"/>
      <c r="DB192" s="407"/>
      <c r="DC192" s="400" t="s">
        <v>848</v>
      </c>
      <c r="DD192" s="415"/>
      <c r="DE192" s="400"/>
      <c r="DF192" s="400"/>
      <c r="DG192" s="400"/>
      <c r="DH192" s="400"/>
      <c r="DI192" s="400"/>
    </row>
    <row r="193" customFormat="false" ht="15" hidden="false" customHeight="false" outlineLevel="0" collapsed="false">
      <c r="A193" s="400"/>
      <c r="B193" s="407"/>
      <c r="C193" s="407"/>
      <c r="D193" s="407"/>
      <c r="E193" s="407"/>
      <c r="F193" s="408"/>
      <c r="G193" s="400"/>
      <c r="H193" s="400"/>
      <c r="I193" s="415" t="s">
        <v>849</v>
      </c>
      <c r="J193" s="416" t="n">
        <v>70</v>
      </c>
      <c r="K193" s="416" t="n">
        <v>70</v>
      </c>
      <c r="L193" s="416" t="n">
        <v>70</v>
      </c>
      <c r="M193" s="416" t="n">
        <v>70</v>
      </c>
      <c r="N193" s="416"/>
      <c r="O193" s="416" t="n">
        <v>70</v>
      </c>
      <c r="P193" s="416" t="n">
        <v>70</v>
      </c>
      <c r="Q193" s="416" t="n">
        <v>70</v>
      </c>
      <c r="R193" s="416" t="n">
        <v>70</v>
      </c>
      <c r="S193" s="416" t="n">
        <v>70</v>
      </c>
      <c r="T193" s="416" t="n">
        <v>70</v>
      </c>
      <c r="U193" s="416" t="n">
        <v>70</v>
      </c>
      <c r="V193" s="416" t="n">
        <v>70</v>
      </c>
      <c r="W193" s="412" t="n">
        <v>70</v>
      </c>
      <c r="X193" s="400"/>
      <c r="Y193" s="416" t="n">
        <v>69</v>
      </c>
      <c r="Z193" s="400"/>
      <c r="AA193" s="416" t="n">
        <v>69</v>
      </c>
      <c r="AB193" s="407"/>
      <c r="AC193" s="415"/>
      <c r="AD193" s="415" t="n">
        <v>3</v>
      </c>
      <c r="AE193" s="415" t="n">
        <v>3</v>
      </c>
      <c r="AF193" s="416" t="n">
        <v>3</v>
      </c>
      <c r="AG193" s="415" t="n">
        <v>33</v>
      </c>
      <c r="AH193" s="415" t="n">
        <v>33</v>
      </c>
      <c r="AI193" s="416" t="n">
        <v>33</v>
      </c>
      <c r="AJ193" s="416" t="n">
        <v>33</v>
      </c>
      <c r="AK193" s="415" t="n">
        <v>3</v>
      </c>
      <c r="AL193" s="415" t="n">
        <v>3</v>
      </c>
      <c r="AM193" s="416" t="n">
        <v>3</v>
      </c>
      <c r="AN193" s="416" t="n">
        <v>3</v>
      </c>
      <c r="AO193" s="416" t="n">
        <v>33</v>
      </c>
      <c r="AP193" s="416" t="n">
        <v>33</v>
      </c>
      <c r="AQ193" s="416" t="n">
        <v>33</v>
      </c>
      <c r="AR193" s="416" t="n">
        <v>32</v>
      </c>
      <c r="AS193" s="416"/>
      <c r="AT193" s="415"/>
      <c r="AU193" s="416"/>
      <c r="AV193" s="400"/>
      <c r="AW193" s="415" t="n">
        <v>6</v>
      </c>
      <c r="AX193" s="415" t="n">
        <v>6</v>
      </c>
      <c r="AY193" s="416" t="n">
        <v>6</v>
      </c>
      <c r="AZ193" s="415" t="n">
        <v>33</v>
      </c>
      <c r="BA193" s="415" t="n">
        <v>33</v>
      </c>
      <c r="BB193" s="416" t="n">
        <v>33</v>
      </c>
      <c r="BC193" s="416" t="n">
        <v>33</v>
      </c>
      <c r="BD193" s="415" t="n">
        <v>2</v>
      </c>
      <c r="BE193" s="415" t="n">
        <v>2</v>
      </c>
      <c r="BF193" s="416" t="n">
        <v>2</v>
      </c>
      <c r="BG193" s="416" t="n">
        <v>2</v>
      </c>
      <c r="BH193" s="416" t="n">
        <v>33</v>
      </c>
      <c r="BI193" s="416" t="n">
        <v>32</v>
      </c>
      <c r="BJ193" s="415"/>
      <c r="BK193" s="416" t="n">
        <v>41</v>
      </c>
      <c r="BL193" s="415"/>
      <c r="BM193" s="415"/>
      <c r="BN193" s="415"/>
      <c r="BO193" s="416" t="n">
        <v>65</v>
      </c>
      <c r="BP193" s="415" t="n">
        <v>72</v>
      </c>
      <c r="BQ193" s="415"/>
      <c r="BR193" s="416" t="n">
        <v>65</v>
      </c>
      <c r="BS193" s="416"/>
      <c r="BT193" s="416"/>
      <c r="BU193" s="416" t="n">
        <v>70</v>
      </c>
      <c r="BV193" s="416" t="n">
        <v>70</v>
      </c>
      <c r="BW193" s="416" t="n">
        <v>70</v>
      </c>
      <c r="BX193" s="416" t="n">
        <v>70</v>
      </c>
      <c r="BY193" s="416" t="n">
        <v>70</v>
      </c>
      <c r="BZ193" s="416" t="n">
        <v>70</v>
      </c>
      <c r="CA193" s="416" t="n">
        <v>70</v>
      </c>
      <c r="CB193" s="416" t="n">
        <v>70</v>
      </c>
      <c r="CC193" s="416" t="n">
        <v>70</v>
      </c>
      <c r="CD193" s="416" t="n">
        <v>70</v>
      </c>
      <c r="CE193" s="416" t="n">
        <v>70</v>
      </c>
      <c r="CF193" s="400"/>
      <c r="CG193" s="400"/>
      <c r="CH193" s="400"/>
      <c r="CI193" s="400"/>
      <c r="CJ193" s="400"/>
      <c r="CK193" s="400"/>
      <c r="CL193" s="400"/>
      <c r="CM193" s="400"/>
      <c r="CN193" s="400"/>
      <c r="CO193" s="400"/>
      <c r="CP193" s="400"/>
      <c r="CQ193" s="400" t="n">
        <v>36</v>
      </c>
      <c r="CR193" s="416" t="n">
        <v>59</v>
      </c>
      <c r="CS193" s="415" t="n">
        <v>59</v>
      </c>
      <c r="CT193" s="416" t="n">
        <v>56</v>
      </c>
      <c r="CU193" s="416" t="n">
        <v>59</v>
      </c>
      <c r="CV193" s="416" t="n">
        <v>30</v>
      </c>
      <c r="CW193" s="416"/>
      <c r="CX193" s="416" t="n">
        <v>59</v>
      </c>
      <c r="CY193" s="415"/>
      <c r="CZ193" s="400"/>
      <c r="DA193" s="407"/>
      <c r="DB193" s="407"/>
      <c r="DC193" s="400" t="s">
        <v>849</v>
      </c>
      <c r="DD193" s="415"/>
      <c r="DE193" s="400"/>
      <c r="DF193" s="400"/>
      <c r="DG193" s="400"/>
      <c r="DH193" s="400"/>
      <c r="DI193" s="400"/>
    </row>
    <row r="194" customFormat="false" ht="15" hidden="false" customHeight="false" outlineLevel="0" collapsed="false">
      <c r="A194" s="400"/>
      <c r="B194" s="407"/>
      <c r="C194" s="407"/>
      <c r="D194" s="407"/>
      <c r="E194" s="407"/>
      <c r="F194" s="408"/>
      <c r="G194" s="400"/>
      <c r="H194" s="400"/>
      <c r="I194" s="415" t="s">
        <v>850</v>
      </c>
      <c r="J194" s="416" t="n">
        <v>1.5972602739726</v>
      </c>
      <c r="K194" s="417" t="n">
        <v>45201</v>
      </c>
      <c r="L194" s="416" t="n">
        <v>43.2</v>
      </c>
      <c r="M194" s="416" t="n">
        <v>2.5</v>
      </c>
      <c r="N194" s="416"/>
      <c r="O194" s="416" t="n">
        <v>101</v>
      </c>
      <c r="P194" s="416" t="n">
        <v>85</v>
      </c>
      <c r="Q194" s="416" t="n">
        <v>0</v>
      </c>
      <c r="R194" s="416" t="n">
        <v>0</v>
      </c>
      <c r="S194" s="416" t="n">
        <v>0</v>
      </c>
      <c r="T194" s="416" t="n">
        <v>0</v>
      </c>
      <c r="U194" s="416" t="n">
        <v>588</v>
      </c>
      <c r="V194" s="416" t="n">
        <v>286</v>
      </c>
      <c r="W194" s="412" t="n">
        <v>-336</v>
      </c>
      <c r="X194" s="400"/>
      <c r="Y194" s="416" t="n">
        <v>0.079254421668255</v>
      </c>
      <c r="Z194" s="400"/>
      <c r="AA194" s="416" t="n">
        <v>0.0487418916131217</v>
      </c>
      <c r="AB194" s="407"/>
      <c r="AC194" s="415"/>
      <c r="AD194" s="418" t="n">
        <v>45433.474212963</v>
      </c>
      <c r="AE194" s="418" t="n">
        <v>45442.5783217593</v>
      </c>
      <c r="AF194" s="416" t="n">
        <v>162.71055555559</v>
      </c>
      <c r="AG194" s="418" t="n">
        <v>45433.474212963</v>
      </c>
      <c r="AH194" s="418" t="n">
        <v>45434.5598726852</v>
      </c>
      <c r="AI194" s="416" t="n">
        <v>0</v>
      </c>
      <c r="AJ194" s="416" t="n">
        <v>1</v>
      </c>
      <c r="AK194" s="418" t="n">
        <v>45442.5783217593</v>
      </c>
      <c r="AL194" s="418" t="n">
        <v>45442.5783217593</v>
      </c>
      <c r="AM194" s="416" t="n">
        <v>0</v>
      </c>
      <c r="AN194" s="416" t="n">
        <v>1</v>
      </c>
      <c r="AO194" s="416" t="n">
        <v>3.88111111102626</v>
      </c>
      <c r="AP194" s="416" t="n">
        <v>38.8811111110263</v>
      </c>
      <c r="AQ194" s="416" t="n">
        <v>1</v>
      </c>
      <c r="AR194" s="416" t="n">
        <v>1</v>
      </c>
      <c r="AS194" s="416"/>
      <c r="AT194" s="418"/>
      <c r="AU194" s="416"/>
      <c r="AV194" s="400"/>
      <c r="AW194" s="418" t="n">
        <v>45446.490462963</v>
      </c>
      <c r="AX194" s="418" t="n">
        <v>45452.7401273148</v>
      </c>
      <c r="AY194" s="416" t="n">
        <v>47.8524999999208</v>
      </c>
      <c r="AZ194" s="418" t="n">
        <v>45446.490462963</v>
      </c>
      <c r="BA194" s="418" t="n">
        <v>45446.490462963</v>
      </c>
      <c r="BB194" s="416" t="n">
        <v>0</v>
      </c>
      <c r="BC194" s="416" t="n">
        <v>1</v>
      </c>
      <c r="BD194" s="418" t="n">
        <v>45453.6467824074</v>
      </c>
      <c r="BE194" s="418" t="n">
        <v>45453.6467824074</v>
      </c>
      <c r="BF194" s="416" t="n">
        <v>0</v>
      </c>
      <c r="BG194" s="416" t="n">
        <v>1</v>
      </c>
      <c r="BH194" s="416" t="n">
        <v>1</v>
      </c>
      <c r="BI194" s="416" t="n">
        <v>1</v>
      </c>
      <c r="BJ194" s="415"/>
      <c r="BK194" s="416" t="n">
        <v>1</v>
      </c>
      <c r="BL194" s="415"/>
      <c r="BM194" s="415"/>
      <c r="BN194" s="418"/>
      <c r="BO194" s="416" t="n">
        <v>1</v>
      </c>
      <c r="BP194" s="417" t="n">
        <v>45579</v>
      </c>
      <c r="BQ194" s="418"/>
      <c r="BR194" s="416" t="n">
        <v>143.375</v>
      </c>
      <c r="BS194" s="416"/>
      <c r="BT194" s="416"/>
      <c r="BU194" s="416" t="n">
        <v>0.2</v>
      </c>
      <c r="BV194" s="416" t="n">
        <v>0.2</v>
      </c>
      <c r="BW194" s="416" t="n">
        <v>0.2</v>
      </c>
      <c r="BX194" s="416" t="n">
        <v>0.2</v>
      </c>
      <c r="BY194" s="416" t="n">
        <v>0.2</v>
      </c>
      <c r="BZ194" s="416" t="n">
        <v>0.2</v>
      </c>
      <c r="CA194" s="416" t="n">
        <v>0.2</v>
      </c>
      <c r="CB194" s="416" t="n">
        <v>0.2</v>
      </c>
      <c r="CC194" s="416" t="n">
        <v>0.2</v>
      </c>
      <c r="CD194" s="416" t="n">
        <v>0.2</v>
      </c>
      <c r="CE194" s="416" t="n">
        <v>0.2</v>
      </c>
      <c r="CF194" s="400"/>
      <c r="CG194" s="400"/>
      <c r="CH194" s="400"/>
      <c r="CI194" s="400"/>
      <c r="CJ194" s="400"/>
      <c r="CK194" s="400"/>
      <c r="CL194" s="400"/>
      <c r="CM194" s="400"/>
      <c r="CN194" s="400"/>
      <c r="CO194" s="400"/>
      <c r="CP194" s="400"/>
      <c r="CQ194" s="400" t="n">
        <v>3</v>
      </c>
      <c r="CR194" s="416" t="n">
        <v>36</v>
      </c>
      <c r="CS194" s="418" t="n">
        <v>45434.75</v>
      </c>
      <c r="CT194" s="416" t="n">
        <v>0.5</v>
      </c>
      <c r="CU194" s="416" t="n">
        <v>0.11316</v>
      </c>
      <c r="CV194" s="416" t="n">
        <v>-223.823611111147</v>
      </c>
      <c r="CW194" s="416"/>
      <c r="CX194" s="416" t="n">
        <v>-63</v>
      </c>
      <c r="CY194" s="415"/>
      <c r="CZ194" s="400"/>
      <c r="DA194" s="407"/>
      <c r="DB194" s="407"/>
      <c r="DC194" s="400" t="s">
        <v>850</v>
      </c>
      <c r="DD194" s="415"/>
      <c r="DE194" s="400"/>
      <c r="DF194" s="400"/>
      <c r="DG194" s="400"/>
      <c r="DH194" s="400"/>
      <c r="DI194" s="400"/>
    </row>
    <row r="195" customFormat="false" ht="15" hidden="false" customHeight="false" outlineLevel="0" collapsed="false">
      <c r="A195" s="400"/>
      <c r="B195" s="407"/>
      <c r="C195" s="407"/>
      <c r="D195" s="407"/>
      <c r="E195" s="407"/>
      <c r="F195" s="408"/>
      <c r="G195" s="400"/>
      <c r="H195" s="400"/>
      <c r="I195" s="415" t="s">
        <v>851</v>
      </c>
      <c r="J195" s="416" t="n">
        <v>7.61643835616438</v>
      </c>
      <c r="K195" s="417" t="n">
        <v>45332</v>
      </c>
      <c r="L195" s="416" t="n">
        <v>87.9</v>
      </c>
      <c r="M195" s="416" t="n">
        <v>4</v>
      </c>
      <c r="N195" s="416"/>
      <c r="O195" s="416" t="n">
        <v>232</v>
      </c>
      <c r="P195" s="416" t="n">
        <v>397</v>
      </c>
      <c r="Q195" s="416" t="n">
        <v>3367</v>
      </c>
      <c r="R195" s="416" t="n">
        <v>3277</v>
      </c>
      <c r="S195" s="416" t="n">
        <v>2641</v>
      </c>
      <c r="T195" s="416" t="n">
        <v>2848</v>
      </c>
      <c r="U195" s="416" t="n">
        <v>2604</v>
      </c>
      <c r="V195" s="416" t="n">
        <v>2431</v>
      </c>
      <c r="W195" s="412" t="n">
        <v>261</v>
      </c>
      <c r="X195" s="400"/>
      <c r="Y195" s="416" t="n">
        <v>0.961295195897975</v>
      </c>
      <c r="Z195" s="400"/>
      <c r="AA195" s="416" t="n">
        <v>0.997815134382357</v>
      </c>
      <c r="AB195" s="407"/>
      <c r="AC195" s="415"/>
      <c r="AD195" s="418" t="n">
        <v>45435.7987152778</v>
      </c>
      <c r="AE195" s="418" t="n">
        <v>45444.5921064815</v>
      </c>
      <c r="AF195" s="416" t="n">
        <v>266.829444444564</v>
      </c>
      <c r="AG195" s="418" t="n">
        <v>45445.5759837963</v>
      </c>
      <c r="AH195" s="418" t="n">
        <v>45445.5759837963</v>
      </c>
      <c r="AI195" s="416" t="n">
        <v>53.0016666665906</v>
      </c>
      <c r="AJ195" s="416" t="n">
        <v>53.0016666665906</v>
      </c>
      <c r="AK195" s="418" t="n">
        <v>45444.5920717593</v>
      </c>
      <c r="AL195" s="418" t="n">
        <v>45444.5921064815</v>
      </c>
      <c r="AM195" s="416" t="n">
        <v>0.000833333353511989</v>
      </c>
      <c r="AN195" s="416" t="n">
        <v>1</v>
      </c>
      <c r="AO195" s="416" t="n">
        <v>294.323611111147</v>
      </c>
      <c r="AP195" s="416" t="n">
        <v>329.323611111147</v>
      </c>
      <c r="AQ195" s="416" t="n">
        <v>81</v>
      </c>
      <c r="AR195" s="416" t="n">
        <v>4</v>
      </c>
      <c r="AS195" s="416"/>
      <c r="AT195" s="418"/>
      <c r="AU195" s="416"/>
      <c r="AV195" s="400"/>
      <c r="AW195" s="418" t="n">
        <v>45450.7462731482</v>
      </c>
      <c r="AX195" s="418" t="n">
        <v>45456.6231018519</v>
      </c>
      <c r="AY195" s="416" t="n">
        <v>185.134722222167</v>
      </c>
      <c r="AZ195" s="418" t="n">
        <v>45461.7305787037</v>
      </c>
      <c r="BA195" s="418" t="n">
        <v>45461.7305787037</v>
      </c>
      <c r="BB195" s="416" t="n">
        <v>48.2380555554992</v>
      </c>
      <c r="BC195" s="416" t="n">
        <v>48.2380555554992</v>
      </c>
      <c r="BD195" s="418" t="n">
        <v>45456.4585532407</v>
      </c>
      <c r="BE195" s="418" t="n">
        <v>45456.4585763889</v>
      </c>
      <c r="BF195" s="416" t="n">
        <v>0.000555555510800332</v>
      </c>
      <c r="BG195" s="416" t="n">
        <v>1</v>
      </c>
      <c r="BH195" s="416" t="n">
        <v>126</v>
      </c>
      <c r="BI195" s="416" t="n">
        <v>4</v>
      </c>
      <c r="BJ195" s="415"/>
      <c r="BK195" s="416" t="n">
        <v>3</v>
      </c>
      <c r="BL195" s="415"/>
      <c r="BM195" s="415"/>
      <c r="BN195" s="418"/>
      <c r="BO195" s="416" t="n">
        <v>2</v>
      </c>
      <c r="BP195" s="417" t="n">
        <v>45667</v>
      </c>
      <c r="BQ195" s="418"/>
      <c r="BR195" s="416" t="n">
        <v>231.375</v>
      </c>
      <c r="BS195" s="416"/>
      <c r="BT195" s="416"/>
      <c r="BU195" s="416" t="n">
        <v>5.3888</v>
      </c>
      <c r="BV195" s="416" t="n">
        <v>6.1953</v>
      </c>
      <c r="BW195" s="416" t="n">
        <v>9.1813</v>
      </c>
      <c r="BX195" s="416" t="n">
        <v>7.4524</v>
      </c>
      <c r="BY195" s="416" t="n">
        <v>9.6002</v>
      </c>
      <c r="BZ195" s="416" t="n">
        <v>9.4</v>
      </c>
      <c r="CA195" s="416" t="n">
        <v>7.8997</v>
      </c>
      <c r="CB195" s="416" t="n">
        <v>9.4282</v>
      </c>
      <c r="CC195" s="416" t="n">
        <v>5.9432</v>
      </c>
      <c r="CD195" s="416" t="n">
        <v>7.5823</v>
      </c>
      <c r="CE195" s="416" t="n">
        <v>7.9907</v>
      </c>
      <c r="CF195" s="400"/>
      <c r="CG195" s="400"/>
      <c r="CH195" s="400"/>
      <c r="CI195" s="400"/>
      <c r="CJ195" s="400"/>
      <c r="CK195" s="400"/>
      <c r="CL195" s="400"/>
      <c r="CM195" s="400"/>
      <c r="CN195" s="400"/>
      <c r="CO195" s="400"/>
      <c r="CP195" s="400"/>
      <c r="CQ195" s="400" t="n">
        <v>7</v>
      </c>
      <c r="CR195" s="416" t="n">
        <v>120</v>
      </c>
      <c r="CS195" s="418" t="n">
        <v>45438.25</v>
      </c>
      <c r="CT195" s="416" t="n">
        <v>2</v>
      </c>
      <c r="CU195" s="416" t="n">
        <v>1.009</v>
      </c>
      <c r="CV195" s="416" t="n">
        <v>83.9508333333652</v>
      </c>
      <c r="CW195" s="416"/>
      <c r="CX195" s="416" t="n">
        <v>21</v>
      </c>
      <c r="CY195" s="415"/>
      <c r="CZ195" s="400"/>
      <c r="DA195" s="407"/>
      <c r="DB195" s="407"/>
      <c r="DC195" s="400" t="s">
        <v>851</v>
      </c>
      <c r="DD195" s="415"/>
      <c r="DE195" s="400"/>
      <c r="DF195" s="400"/>
      <c r="DG195" s="400"/>
      <c r="DH195" s="400"/>
      <c r="DI195" s="400"/>
    </row>
    <row r="196" customFormat="false" ht="15" hidden="false" customHeight="false" outlineLevel="0" collapsed="false">
      <c r="A196" s="400"/>
      <c r="B196" s="407"/>
      <c r="C196" s="407"/>
      <c r="D196" s="407"/>
      <c r="E196" s="407"/>
      <c r="F196" s="408"/>
      <c r="G196" s="400"/>
      <c r="H196" s="400"/>
      <c r="I196" s="415" t="s">
        <v>852</v>
      </c>
      <c r="J196" s="416" t="n">
        <v>6.01917808219178</v>
      </c>
      <c r="K196" s="416" t="n">
        <v>131</v>
      </c>
      <c r="L196" s="416" t="n">
        <v>44.7</v>
      </c>
      <c r="M196" s="416" t="n">
        <v>1.5</v>
      </c>
      <c r="N196" s="416"/>
      <c r="O196" s="416" t="n">
        <v>131</v>
      </c>
      <c r="P196" s="416" t="n">
        <v>312</v>
      </c>
      <c r="Q196" s="416" t="n">
        <v>3367</v>
      </c>
      <c r="R196" s="416" t="n">
        <v>3277</v>
      </c>
      <c r="S196" s="416" t="n">
        <v>2641</v>
      </c>
      <c r="T196" s="416" t="n">
        <v>2848</v>
      </c>
      <c r="U196" s="416" t="n">
        <v>2016</v>
      </c>
      <c r="V196" s="416" t="n">
        <v>2145</v>
      </c>
      <c r="W196" s="412" t="n">
        <v>597</v>
      </c>
      <c r="X196" s="400"/>
      <c r="Y196" s="416" t="n">
        <v>0.88204077422972</v>
      </c>
      <c r="Z196" s="400"/>
      <c r="AA196" s="416" t="n">
        <v>0.949073242769236</v>
      </c>
      <c r="AB196" s="407"/>
      <c r="AC196" s="415"/>
      <c r="AD196" s="416" t="n">
        <v>2.32450231481926</v>
      </c>
      <c r="AE196" s="416" t="n">
        <v>2.01378472222132</v>
      </c>
      <c r="AF196" s="416" t="n">
        <v>104.118888888974</v>
      </c>
      <c r="AG196" s="416" t="n">
        <v>12.1017708333384</v>
      </c>
      <c r="AH196" s="416" t="n">
        <v>11.0161111111156</v>
      </c>
      <c r="AI196" s="416" t="n">
        <v>53.0016666665906</v>
      </c>
      <c r="AJ196" s="416" t="n">
        <v>52.0016666665906</v>
      </c>
      <c r="AK196" s="416" t="n">
        <v>2.01374999999825</v>
      </c>
      <c r="AL196" s="416" t="n">
        <v>2.01378472222132</v>
      </c>
      <c r="AM196" s="416" t="n">
        <v>0.000833333353511989</v>
      </c>
      <c r="AN196" s="416" t="n">
        <v>0</v>
      </c>
      <c r="AO196" s="416" t="n">
        <v>290.442500000121</v>
      </c>
      <c r="AP196" s="416" t="n">
        <v>290.442500000121</v>
      </c>
      <c r="AQ196" s="416" t="n">
        <v>80</v>
      </c>
      <c r="AR196" s="416" t="n">
        <v>3</v>
      </c>
      <c r="AS196" s="416"/>
      <c r="AT196" s="416"/>
      <c r="AU196" s="416"/>
      <c r="AV196" s="400"/>
      <c r="AW196" s="416" t="n">
        <v>4.25581018519006</v>
      </c>
      <c r="AX196" s="416" t="n">
        <v>3.88297453703854</v>
      </c>
      <c r="AY196" s="416" t="n">
        <v>137.282222222246</v>
      </c>
      <c r="AZ196" s="416" t="n">
        <v>15.2401157407439</v>
      </c>
      <c r="BA196" s="416" t="n">
        <v>15.2401157407439</v>
      </c>
      <c r="BB196" s="416" t="n">
        <v>48.2380555554992</v>
      </c>
      <c r="BC196" s="416" t="n">
        <v>47.2380555554992</v>
      </c>
      <c r="BD196" s="416" t="n">
        <v>2.81177083333751</v>
      </c>
      <c r="BE196" s="416" t="n">
        <v>2.81179398148379</v>
      </c>
      <c r="BF196" s="416" t="n">
        <v>0.000555555510800332</v>
      </c>
      <c r="BG196" s="416" t="n">
        <v>0</v>
      </c>
      <c r="BH196" s="416" t="n">
        <v>125</v>
      </c>
      <c r="BI196" s="416" t="n">
        <v>3</v>
      </c>
      <c r="BJ196" s="400"/>
      <c r="BK196" s="416" t="n">
        <v>2</v>
      </c>
      <c r="BL196" s="400"/>
      <c r="BM196" s="400"/>
      <c r="BN196" s="416"/>
      <c r="BO196" s="416" t="n">
        <v>1</v>
      </c>
      <c r="BP196" s="415" t="n">
        <v>88</v>
      </c>
      <c r="BQ196" s="416"/>
      <c r="BR196" s="416" t="n">
        <v>88</v>
      </c>
      <c r="BS196" s="416"/>
      <c r="BT196" s="416"/>
      <c r="BU196" s="416" t="n">
        <v>5.1888</v>
      </c>
      <c r="BV196" s="416" t="n">
        <v>5.9953</v>
      </c>
      <c r="BW196" s="416" t="n">
        <v>8.9813</v>
      </c>
      <c r="BX196" s="416" t="n">
        <v>7.2524</v>
      </c>
      <c r="BY196" s="416" t="n">
        <v>9.4002</v>
      </c>
      <c r="BZ196" s="416" t="n">
        <v>9.2</v>
      </c>
      <c r="CA196" s="416" t="n">
        <v>7.6997</v>
      </c>
      <c r="CB196" s="416" t="n">
        <v>9.2282</v>
      </c>
      <c r="CC196" s="416" t="n">
        <v>5.7432</v>
      </c>
      <c r="CD196" s="416" t="n">
        <v>7.3823</v>
      </c>
      <c r="CE196" s="416" t="n">
        <v>7.7907</v>
      </c>
      <c r="CF196" s="400"/>
      <c r="CG196" s="400"/>
      <c r="CH196" s="400"/>
      <c r="CI196" s="400"/>
      <c r="CJ196" s="400"/>
      <c r="CK196" s="400"/>
      <c r="CL196" s="400"/>
      <c r="CM196" s="400"/>
      <c r="CN196" s="400"/>
      <c r="CO196" s="400"/>
      <c r="CP196" s="400"/>
      <c r="CQ196" s="400" t="n">
        <v>4</v>
      </c>
      <c r="CR196" s="416" t="n">
        <v>84</v>
      </c>
      <c r="CS196" s="416" t="n">
        <v>3.5</v>
      </c>
      <c r="CT196" s="416" t="n">
        <v>1.5</v>
      </c>
      <c r="CU196" s="416" t="n">
        <v>0.89584</v>
      </c>
      <c r="CV196" s="416" t="n">
        <v>307.774444444513</v>
      </c>
      <c r="CW196" s="416"/>
      <c r="CX196" s="416" t="n">
        <v>84</v>
      </c>
      <c r="CY196" s="400"/>
      <c r="CZ196" s="400"/>
      <c r="DA196" s="407"/>
      <c r="DB196" s="407"/>
      <c r="DC196" s="400" t="s">
        <v>852</v>
      </c>
      <c r="DD196" s="415"/>
      <c r="DE196" s="400"/>
      <c r="DF196" s="400"/>
      <c r="DG196" s="400"/>
      <c r="DH196" s="400"/>
      <c r="DI196" s="400"/>
    </row>
    <row r="197" customFormat="false" ht="15" hidden="false" customHeight="false" outlineLevel="0" collapsed="false">
      <c r="AB197" s="407"/>
      <c r="AC197" s="400"/>
      <c r="AD197" s="400"/>
      <c r="AE197" s="400"/>
      <c r="AF197" s="400"/>
      <c r="AG197" s="400"/>
      <c r="AH197" s="400"/>
      <c r="AI197" s="400"/>
      <c r="AJ197" s="400"/>
      <c r="AK197" s="400"/>
      <c r="AL197" s="400"/>
      <c r="AM197" s="400"/>
      <c r="AN197" s="400"/>
      <c r="AO197" s="400"/>
      <c r="AP197" s="400"/>
      <c r="AQ197" s="400"/>
      <c r="AR197" s="400"/>
      <c r="AS197" s="400"/>
      <c r="AT197" s="400"/>
      <c r="AU197" s="400"/>
      <c r="AV197" s="400"/>
      <c r="AW197" s="400"/>
      <c r="AX197" s="400"/>
      <c r="AY197" s="400"/>
      <c r="AZ197" s="400"/>
      <c r="BA197" s="400"/>
      <c r="BB197" s="400"/>
      <c r="BC197" s="400"/>
      <c r="BD197" s="400"/>
      <c r="BE197" s="400"/>
      <c r="BF197" s="400"/>
      <c r="BG197" s="400"/>
      <c r="BH197" s="400"/>
      <c r="BI197" s="400"/>
      <c r="BJ197" s="400"/>
      <c r="BK197" s="400"/>
      <c r="BL197" s="400"/>
      <c r="BM197" s="400"/>
      <c r="BN197" s="400"/>
      <c r="BO197" s="400"/>
      <c r="BP197" s="400"/>
      <c r="BQ197" s="400"/>
      <c r="BR197" s="400"/>
      <c r="BS197" s="400"/>
      <c r="BT197" s="400"/>
      <c r="BU197" s="400"/>
      <c r="BV197" s="400"/>
      <c r="BW197" s="400"/>
      <c r="BX197" s="400"/>
      <c r="BY197" s="400"/>
      <c r="BZ197" s="400"/>
      <c r="CA197" s="400"/>
      <c r="CB197" s="400"/>
      <c r="CC197" s="400"/>
      <c r="CD197" s="400"/>
      <c r="CE197" s="400"/>
      <c r="CF197" s="400"/>
      <c r="CG197" s="400"/>
      <c r="CH197" s="400"/>
      <c r="CI197" s="400"/>
      <c r="CJ197" s="400"/>
      <c r="CK197" s="400"/>
      <c r="CL197" s="400"/>
      <c r="CM197" s="400"/>
      <c r="CN197" s="400"/>
      <c r="CO197" s="400"/>
      <c r="CP197" s="400"/>
      <c r="CQ197" s="400"/>
      <c r="CR197" s="400"/>
      <c r="CS197" s="400"/>
      <c r="CT197" s="400"/>
      <c r="CU197" s="400"/>
      <c r="CV197" s="400"/>
      <c r="CW197" s="400"/>
      <c r="CX197" s="400"/>
      <c r="CY197" s="400"/>
      <c r="CZ197" s="400"/>
      <c r="DA197" s="407"/>
      <c r="DB197" s="407"/>
    </row>
    <row r="198" customFormat="false" ht="15" hidden="false" customHeight="false" outlineLevel="0" collapsed="false">
      <c r="AB198" s="407"/>
      <c r="AC198" s="400"/>
      <c r="AD198" s="400"/>
      <c r="AE198" s="400"/>
      <c r="AF198" s="400"/>
      <c r="AG198" s="400"/>
      <c r="AH198" s="400"/>
      <c r="AI198" s="400"/>
      <c r="AJ198" s="400"/>
      <c r="AK198" s="400"/>
      <c r="AL198" s="400"/>
      <c r="AM198" s="400"/>
      <c r="AN198" s="400"/>
      <c r="AO198" s="400"/>
      <c r="AP198" s="400"/>
      <c r="AQ198" s="400"/>
      <c r="AR198" s="400"/>
      <c r="AS198" s="400"/>
      <c r="AT198" s="400"/>
      <c r="AU198" s="400"/>
      <c r="AV198" s="400"/>
      <c r="AW198" s="400"/>
      <c r="AX198" s="400"/>
      <c r="AY198" s="400"/>
      <c r="AZ198" s="414" t="s">
        <v>857</v>
      </c>
      <c r="BA198" s="400"/>
      <c r="BB198" s="400"/>
      <c r="BC198" s="400"/>
      <c r="BD198" s="400"/>
      <c r="BE198" s="400"/>
      <c r="BF198" s="400"/>
      <c r="BG198" s="400"/>
      <c r="BH198" s="400"/>
      <c r="BI198" s="400"/>
      <c r="BJ198" s="400"/>
      <c r="BK198" s="407" t="s">
        <v>858</v>
      </c>
      <c r="BL198" s="400"/>
      <c r="BM198" s="400"/>
      <c r="BN198" s="400"/>
      <c r="BO198" s="400"/>
      <c r="BP198" s="400"/>
      <c r="BQ198" s="407" t="s">
        <v>859</v>
      </c>
      <c r="BR198" s="400"/>
      <c r="BS198" s="400"/>
      <c r="BT198" s="400"/>
      <c r="BU198" s="400"/>
      <c r="BV198" s="400"/>
      <c r="BW198" s="400"/>
      <c r="BX198" s="400"/>
      <c r="BY198" s="400"/>
      <c r="BZ198" s="400"/>
      <c r="CA198" s="400"/>
      <c r="CB198" s="400"/>
      <c r="CC198" s="400"/>
      <c r="CD198" s="400"/>
      <c r="CE198" s="400"/>
      <c r="CF198" s="400"/>
      <c r="CG198" s="400"/>
      <c r="CH198" s="400"/>
      <c r="CI198" s="400"/>
      <c r="CJ198" s="400"/>
      <c r="CK198" s="400"/>
      <c r="CL198" s="400"/>
      <c r="CM198" s="400"/>
      <c r="CN198" s="400"/>
      <c r="CO198" s="400"/>
      <c r="CP198" s="400"/>
      <c r="CQ198" s="400"/>
      <c r="CR198" s="400"/>
      <c r="CS198" s="400"/>
      <c r="CT198" s="400"/>
      <c r="CU198" s="400"/>
      <c r="CV198" s="400"/>
      <c r="CW198" s="400"/>
      <c r="CX198" s="400"/>
      <c r="CY198" s="400"/>
      <c r="CZ198" s="400"/>
      <c r="DA198" s="407"/>
      <c r="DB198" s="407"/>
    </row>
    <row r="199" customFormat="false" ht="22.35" hidden="false" customHeight="false" outlineLevel="0" collapsed="false">
      <c r="AB199" s="420" t="s">
        <v>860</v>
      </c>
      <c r="AC199" s="421" t="s">
        <v>861</v>
      </c>
      <c r="AD199" s="420" t="s">
        <v>862</v>
      </c>
      <c r="AE199" s="420"/>
      <c r="AF199" s="420"/>
      <c r="AG199" s="420"/>
      <c r="AH199" s="420"/>
      <c r="AI199" s="400"/>
      <c r="AJ199" s="400"/>
      <c r="AK199" s="400"/>
      <c r="AL199" s="400"/>
      <c r="AM199" s="400"/>
      <c r="AN199" s="400"/>
      <c r="AO199" s="400"/>
      <c r="AP199" s="400"/>
      <c r="AQ199" s="400"/>
      <c r="AR199" s="400"/>
      <c r="AS199" s="400"/>
      <c r="AT199" s="400"/>
      <c r="AU199" s="400"/>
      <c r="AV199" s="400"/>
      <c r="AW199" s="400"/>
      <c r="AX199" s="400"/>
      <c r="AY199" s="400"/>
      <c r="AZ199" s="414" t="s">
        <v>853</v>
      </c>
      <c r="BA199" s="400"/>
      <c r="BB199" s="400"/>
      <c r="BC199" s="400"/>
      <c r="BD199" s="400"/>
      <c r="BE199" s="400"/>
      <c r="BF199" s="400"/>
      <c r="BG199" s="400"/>
      <c r="BH199" s="400"/>
      <c r="BI199" s="400"/>
      <c r="BJ199" s="422" t="s">
        <v>863</v>
      </c>
      <c r="BK199" s="400" t="n">
        <v>30</v>
      </c>
      <c r="BL199" s="400"/>
      <c r="BM199" s="400"/>
      <c r="BN199" s="400"/>
      <c r="BO199" s="400"/>
      <c r="BP199" s="422" t="s">
        <v>864</v>
      </c>
      <c r="BQ199" s="400" t="n">
        <v>29</v>
      </c>
      <c r="BR199" s="400"/>
      <c r="BS199" s="400"/>
      <c r="BT199" s="400"/>
      <c r="BU199" s="400"/>
      <c r="BV199" s="400"/>
      <c r="BW199" s="400"/>
      <c r="BX199" s="400"/>
      <c r="BY199" s="400"/>
      <c r="BZ199" s="400"/>
      <c r="CA199" s="400"/>
      <c r="CB199" s="400"/>
      <c r="CC199" s="400"/>
      <c r="CD199" s="400"/>
      <c r="CE199" s="400"/>
      <c r="CF199" s="400"/>
      <c r="CG199" s="400"/>
      <c r="CH199" s="400"/>
      <c r="CI199" s="400"/>
      <c r="CJ199" s="400"/>
      <c r="CK199" s="400"/>
      <c r="CL199" s="400"/>
      <c r="CM199" s="400"/>
      <c r="CN199" s="400"/>
      <c r="CO199" s="400"/>
      <c r="CP199" s="400"/>
      <c r="CQ199" s="400"/>
      <c r="CR199" s="400"/>
      <c r="CS199" s="423" t="s">
        <v>865</v>
      </c>
      <c r="CT199" s="424"/>
      <c r="CU199" s="424"/>
      <c r="CV199" s="425" t="s">
        <v>866</v>
      </c>
      <c r="CW199" s="425" t="s">
        <v>867</v>
      </c>
      <c r="CX199" s="426" t="n">
        <v>0.0754</v>
      </c>
      <c r="CY199" s="427" t="s">
        <v>868</v>
      </c>
      <c r="CZ199" s="400"/>
      <c r="DA199" s="407"/>
      <c r="DB199" s="407"/>
    </row>
    <row r="200" customFormat="false" ht="22.35" hidden="false" customHeight="false" outlineLevel="0" collapsed="false">
      <c r="AB200" s="428" t="n">
        <f aca="false">13/40</f>
        <v>0.325</v>
      </c>
      <c r="AC200" s="428" t="n">
        <f aca="false">18/40</f>
        <v>0.45</v>
      </c>
      <c r="AD200" s="428" t="n">
        <f aca="false">18/40</f>
        <v>0.45</v>
      </c>
      <c r="AE200" s="429" t="s">
        <v>869</v>
      </c>
      <c r="AF200" s="430"/>
      <c r="AG200" s="430"/>
      <c r="AH200" s="431"/>
      <c r="AI200" s="400"/>
      <c r="AJ200" s="400" t="s">
        <v>870</v>
      </c>
      <c r="AK200" s="400"/>
      <c r="AL200" s="400"/>
      <c r="AM200" s="400"/>
      <c r="AN200" s="400"/>
      <c r="AO200" s="400"/>
      <c r="AP200" s="400"/>
      <c r="AQ200" s="400"/>
      <c r="AR200" s="400"/>
      <c r="AS200" s="400"/>
      <c r="AT200" s="400"/>
      <c r="AU200" s="400"/>
      <c r="AV200" s="400"/>
      <c r="AW200" s="400"/>
      <c r="AX200" s="400"/>
      <c r="AY200" s="400"/>
      <c r="AZ200" s="400" t="s">
        <v>871</v>
      </c>
      <c r="BA200" s="400"/>
      <c r="BB200" s="400"/>
      <c r="BC200" s="400"/>
      <c r="BD200" s="400"/>
      <c r="BE200" s="400"/>
      <c r="BF200" s="400"/>
      <c r="BG200" s="400"/>
      <c r="BH200" s="400"/>
      <c r="BI200" s="400"/>
      <c r="BJ200" s="422" t="s">
        <v>872</v>
      </c>
      <c r="BK200" s="400" t="n">
        <v>5</v>
      </c>
      <c r="BL200" s="400"/>
      <c r="BM200" s="400"/>
      <c r="BN200" s="400"/>
      <c r="BO200" s="400"/>
      <c r="BP200" s="422" t="s">
        <v>872</v>
      </c>
      <c r="BQ200" s="400" t="n">
        <v>9</v>
      </c>
      <c r="BR200" s="400"/>
      <c r="BS200" s="400"/>
      <c r="BT200" s="400"/>
      <c r="BU200" s="400"/>
      <c r="BV200" s="400"/>
      <c r="BW200" s="400"/>
      <c r="BX200" s="400"/>
      <c r="BY200" s="400"/>
      <c r="BZ200" s="400"/>
      <c r="CA200" s="400"/>
      <c r="CB200" s="400"/>
      <c r="CC200" s="400"/>
      <c r="CD200" s="400"/>
      <c r="CE200" s="400"/>
      <c r="CF200" s="400"/>
      <c r="CG200" s="400"/>
      <c r="CH200" s="400"/>
      <c r="CI200" s="400"/>
      <c r="CJ200" s="400"/>
      <c r="CK200" s="400"/>
      <c r="CL200" s="400"/>
      <c r="CM200" s="400"/>
      <c r="CN200" s="400"/>
      <c r="CO200" s="400"/>
      <c r="CP200" s="400"/>
      <c r="CQ200" s="400"/>
      <c r="CR200" s="400"/>
      <c r="CS200" s="423" t="s">
        <v>873</v>
      </c>
      <c r="CT200" s="423"/>
      <c r="CU200" s="423"/>
      <c r="CV200" s="432" t="s">
        <v>874</v>
      </c>
      <c r="CW200" s="432" t="s">
        <v>875</v>
      </c>
      <c r="CX200" s="433" t="s">
        <v>876</v>
      </c>
      <c r="CY200" s="427" t="s">
        <v>868</v>
      </c>
      <c r="CZ200" s="400"/>
      <c r="DA200" s="407"/>
      <c r="DB200" s="407"/>
    </row>
    <row r="201" customFormat="false" ht="22.35" hidden="false" customHeight="false" outlineLevel="0" collapsed="false">
      <c r="AB201" s="434" t="n">
        <f aca="false">14/40</f>
        <v>0.35</v>
      </c>
      <c r="AC201" s="434" t="n">
        <f aca="false">19/40</f>
        <v>0.475</v>
      </c>
      <c r="AD201" s="434" t="n">
        <f aca="false">19/40</f>
        <v>0.475</v>
      </c>
      <c r="AE201" s="435" t="s">
        <v>877</v>
      </c>
      <c r="AF201" s="415"/>
      <c r="AG201" s="415"/>
      <c r="AH201" s="436"/>
      <c r="AI201" s="400"/>
      <c r="AJ201" s="400" t="s">
        <v>878</v>
      </c>
      <c r="AK201" s="400"/>
      <c r="AL201" s="400"/>
      <c r="AM201" s="400"/>
      <c r="AN201" s="400"/>
      <c r="AO201" s="400"/>
      <c r="AP201" s="400"/>
      <c r="AQ201" s="400"/>
      <c r="AR201" s="400"/>
      <c r="AS201" s="400"/>
      <c r="AT201" s="400"/>
      <c r="AU201" s="400"/>
      <c r="AV201" s="400"/>
      <c r="AW201" s="400"/>
      <c r="AX201" s="400"/>
      <c r="AY201" s="400"/>
      <c r="AZ201" s="400" t="s">
        <v>879</v>
      </c>
      <c r="BA201" s="400"/>
      <c r="BB201" s="400"/>
      <c r="BC201" s="400"/>
      <c r="BD201" s="400"/>
      <c r="BE201" s="400"/>
      <c r="BF201" s="400"/>
      <c r="BG201" s="400"/>
      <c r="BH201" s="400"/>
      <c r="BI201" s="400"/>
      <c r="BJ201" s="422" t="s">
        <v>880</v>
      </c>
      <c r="BK201" s="400" t="n">
        <v>5</v>
      </c>
      <c r="BL201" s="400"/>
      <c r="BM201" s="400"/>
      <c r="BN201" s="400"/>
      <c r="BO201" s="400"/>
      <c r="BP201" s="422" t="s">
        <v>881</v>
      </c>
      <c r="BQ201" s="400" t="n">
        <v>2</v>
      </c>
      <c r="BR201" s="400"/>
      <c r="BS201" s="400"/>
      <c r="BT201" s="400"/>
      <c r="BU201" s="400"/>
      <c r="BV201" s="400"/>
      <c r="BW201" s="400"/>
      <c r="BX201" s="400"/>
      <c r="BY201" s="400"/>
      <c r="BZ201" s="400"/>
      <c r="CA201" s="400"/>
      <c r="CB201" s="400"/>
      <c r="CC201" s="400"/>
      <c r="CD201" s="400"/>
      <c r="CE201" s="400"/>
      <c r="CF201" s="400"/>
      <c r="CG201" s="400"/>
      <c r="CH201" s="400"/>
      <c r="CI201" s="400"/>
      <c r="CJ201" s="400"/>
      <c r="CK201" s="400"/>
      <c r="CL201" s="400"/>
      <c r="CM201" s="400"/>
      <c r="CN201" s="400"/>
      <c r="CO201" s="400"/>
      <c r="CP201" s="400"/>
      <c r="CQ201" s="400"/>
      <c r="CR201" s="400"/>
      <c r="CS201" s="423" t="s">
        <v>882</v>
      </c>
      <c r="CT201" s="423"/>
      <c r="CU201" s="423"/>
      <c r="CV201" s="432" t="s">
        <v>883</v>
      </c>
      <c r="CW201" s="432" t="s">
        <v>884</v>
      </c>
      <c r="CX201" s="433" t="s">
        <v>876</v>
      </c>
      <c r="CY201" s="427" t="s">
        <v>868</v>
      </c>
      <c r="CZ201" s="400"/>
      <c r="DA201" s="407"/>
      <c r="DB201" s="407"/>
    </row>
    <row r="202" customFormat="false" ht="15" hidden="false" customHeight="false" outlineLevel="0" collapsed="false">
      <c r="AB202" s="434" t="n">
        <f aca="false">13/40</f>
        <v>0.325</v>
      </c>
      <c r="AC202" s="434" t="n">
        <f aca="false">23/40</f>
        <v>0.575</v>
      </c>
      <c r="AD202" s="434" t="n">
        <f aca="false">25/40</f>
        <v>0.625</v>
      </c>
      <c r="AE202" s="435" t="s">
        <v>885</v>
      </c>
      <c r="AF202" s="415"/>
      <c r="AG202" s="415"/>
      <c r="AH202" s="436"/>
      <c r="AI202" s="400"/>
      <c r="AJ202" s="400" t="s">
        <v>886</v>
      </c>
      <c r="AK202" s="400"/>
      <c r="AL202" s="400"/>
      <c r="AM202" s="400"/>
      <c r="AN202" s="400"/>
      <c r="AO202" s="400"/>
      <c r="AP202" s="400"/>
      <c r="AQ202" s="400"/>
      <c r="AR202" s="400"/>
      <c r="AS202" s="400"/>
      <c r="AT202" s="400"/>
      <c r="AU202" s="400"/>
      <c r="AV202" s="400"/>
      <c r="AW202" s="400"/>
      <c r="AX202" s="400"/>
      <c r="AY202" s="400"/>
      <c r="AZ202" s="400" t="s">
        <v>887</v>
      </c>
      <c r="BA202" s="400"/>
      <c r="BB202" s="400"/>
      <c r="BC202" s="400"/>
      <c r="BD202" s="400"/>
      <c r="BE202" s="400"/>
      <c r="BF202" s="400"/>
      <c r="BG202" s="400"/>
      <c r="BH202" s="400"/>
      <c r="BI202" s="400"/>
      <c r="BJ202" s="422" t="s">
        <v>888</v>
      </c>
      <c r="BK202" s="437" t="n">
        <f aca="false">SUM(BK199:BK201)</f>
        <v>40</v>
      </c>
      <c r="BL202" s="400"/>
      <c r="BM202" s="400"/>
      <c r="BN202" s="400"/>
      <c r="BO202" s="400"/>
      <c r="BP202" s="422" t="s">
        <v>888</v>
      </c>
      <c r="BQ202" s="437" t="n">
        <f aca="false">SUM(BQ199:BQ201)</f>
        <v>40</v>
      </c>
      <c r="BR202" s="400"/>
      <c r="BS202" s="400"/>
      <c r="BT202" s="400"/>
      <c r="BU202" s="400"/>
      <c r="BV202" s="400"/>
      <c r="BW202" s="400"/>
      <c r="BX202" s="400"/>
      <c r="BY202" s="400"/>
      <c r="BZ202" s="400"/>
      <c r="CA202" s="400"/>
      <c r="CB202" s="400"/>
      <c r="CC202" s="400"/>
      <c r="CD202" s="400"/>
      <c r="CE202" s="400"/>
      <c r="CF202" s="400"/>
      <c r="CG202" s="400"/>
      <c r="CH202" s="400"/>
      <c r="CI202" s="400"/>
      <c r="CJ202" s="400"/>
      <c r="CK202" s="400"/>
      <c r="CL202" s="400"/>
      <c r="CM202" s="400"/>
      <c r="CN202" s="400"/>
      <c r="CO202" s="400"/>
      <c r="CP202" s="400"/>
      <c r="CQ202" s="400"/>
      <c r="CR202" s="400"/>
      <c r="CS202" s="400"/>
      <c r="CT202" s="400"/>
      <c r="CU202" s="400"/>
      <c r="CV202" s="400"/>
      <c r="CW202" s="400"/>
      <c r="CX202" s="400"/>
      <c r="CY202" s="400"/>
      <c r="CZ202" s="400"/>
      <c r="DA202" s="407"/>
      <c r="DB202" s="407"/>
    </row>
    <row r="203" customFormat="false" ht="15" hidden="false" customHeight="false" outlineLevel="0" collapsed="false">
      <c r="AB203" s="438"/>
      <c r="AC203" s="434"/>
      <c r="AD203" s="434" t="n">
        <f aca="false">28/40</f>
        <v>0.7</v>
      </c>
      <c r="AE203" s="415" t="s">
        <v>889</v>
      </c>
      <c r="AF203" s="415"/>
      <c r="AG203" s="415"/>
      <c r="AH203" s="436"/>
      <c r="AI203" s="400"/>
      <c r="AJ203" s="400" t="s">
        <v>890</v>
      </c>
      <c r="AK203" s="400"/>
      <c r="AL203" s="400"/>
      <c r="AM203" s="400"/>
      <c r="AN203" s="400"/>
      <c r="AO203" s="400"/>
      <c r="AP203" s="400"/>
      <c r="AQ203" s="400"/>
      <c r="AR203" s="400"/>
      <c r="AS203" s="400"/>
      <c r="AT203" s="400"/>
      <c r="AU203" s="400"/>
      <c r="AV203" s="400"/>
      <c r="AW203" s="400"/>
      <c r="AX203" s="400"/>
      <c r="AY203" s="400"/>
      <c r="AZ203" s="400" t="s">
        <v>891</v>
      </c>
      <c r="BA203" s="400"/>
      <c r="BB203" s="400"/>
      <c r="BC203" s="400"/>
      <c r="BD203" s="400"/>
      <c r="BE203" s="400"/>
      <c r="BF203" s="400"/>
      <c r="BG203" s="400"/>
      <c r="BH203" s="400"/>
      <c r="BI203" s="400"/>
      <c r="BJ203" s="439" t="s">
        <v>892</v>
      </c>
      <c r="BK203" s="440" t="n">
        <f aca="false">BK199/BK202</f>
        <v>0.75</v>
      </c>
      <c r="BL203" s="400" t="s">
        <v>876</v>
      </c>
      <c r="BM203" s="400"/>
      <c r="BN203" s="400"/>
      <c r="BO203" s="400"/>
      <c r="BP203" s="439" t="s">
        <v>892</v>
      </c>
      <c r="BQ203" s="440" t="n">
        <f aca="false">BQ199/BQ202</f>
        <v>0.725</v>
      </c>
      <c r="BR203" s="400" t="s">
        <v>876</v>
      </c>
      <c r="BS203" s="400"/>
      <c r="BT203" s="400"/>
      <c r="BU203" s="400"/>
      <c r="BV203" s="400"/>
      <c r="BW203" s="400"/>
      <c r="BX203" s="400"/>
      <c r="BY203" s="400"/>
      <c r="BZ203" s="400"/>
      <c r="CA203" s="400"/>
      <c r="CB203" s="400"/>
      <c r="CC203" s="400"/>
      <c r="CD203" s="400"/>
      <c r="CE203" s="400"/>
      <c r="CF203" s="400"/>
      <c r="CG203" s="400"/>
      <c r="CH203" s="400"/>
      <c r="CI203" s="400"/>
      <c r="CJ203" s="400"/>
      <c r="CK203" s="400"/>
      <c r="CL203" s="400"/>
      <c r="CM203" s="400"/>
      <c r="CN203" s="400"/>
      <c r="CO203" s="400"/>
      <c r="CP203" s="400"/>
      <c r="CQ203" s="400"/>
      <c r="CR203" s="400"/>
      <c r="CS203" s="400"/>
      <c r="CT203" s="400"/>
      <c r="CU203" s="400"/>
      <c r="CV203" s="400"/>
      <c r="CW203" s="400"/>
      <c r="CX203" s="400"/>
      <c r="CY203" s="400"/>
      <c r="CZ203" s="400"/>
      <c r="DA203" s="407"/>
      <c r="DB203" s="407"/>
    </row>
    <row r="204" customFormat="false" ht="15" hidden="false" customHeight="false" outlineLevel="0" collapsed="false">
      <c r="AB204" s="441"/>
      <c r="AC204" s="442"/>
      <c r="AD204" s="442"/>
      <c r="AE204" s="415"/>
      <c r="AF204" s="415"/>
      <c r="AG204" s="415"/>
      <c r="AH204" s="436"/>
      <c r="AI204" s="400"/>
      <c r="AJ204" s="400" t="s">
        <v>893</v>
      </c>
      <c r="AK204" s="400"/>
      <c r="AL204" s="400"/>
      <c r="AM204" s="400"/>
      <c r="AN204" s="400"/>
      <c r="AO204" s="400"/>
      <c r="AP204" s="400"/>
      <c r="AQ204" s="400"/>
      <c r="AR204" s="400"/>
      <c r="AS204" s="400"/>
      <c r="AT204" s="400"/>
      <c r="AU204" s="400"/>
      <c r="AV204" s="400"/>
      <c r="AW204" s="400"/>
      <c r="AX204" s="400"/>
      <c r="AY204" s="400"/>
      <c r="AZ204" s="400" t="s">
        <v>894</v>
      </c>
      <c r="BA204" s="400"/>
      <c r="BB204" s="400"/>
      <c r="BC204" s="400"/>
      <c r="BD204" s="400"/>
      <c r="BE204" s="400"/>
      <c r="BF204" s="400"/>
      <c r="BG204" s="400"/>
      <c r="BH204" s="400"/>
      <c r="BI204" s="400"/>
      <c r="BJ204" s="439" t="s">
        <v>895</v>
      </c>
      <c r="BK204" s="440" t="n">
        <f aca="false">(BK199+BK200)/BK202</f>
        <v>0.875</v>
      </c>
      <c r="BL204" s="400" t="s">
        <v>876</v>
      </c>
      <c r="BM204" s="400"/>
      <c r="BN204" s="400"/>
      <c r="BO204" s="400"/>
      <c r="BP204" s="439" t="s">
        <v>895</v>
      </c>
      <c r="BQ204" s="440" t="n">
        <f aca="false">(BQ199+BQ200)/BQ202</f>
        <v>0.95</v>
      </c>
      <c r="BR204" s="400" t="s">
        <v>876</v>
      </c>
      <c r="BS204" s="400"/>
      <c r="BT204" s="400"/>
      <c r="BU204" s="400"/>
      <c r="BV204" s="400"/>
      <c r="BW204" s="400"/>
      <c r="BX204" s="400"/>
      <c r="BY204" s="400"/>
      <c r="BZ204" s="400"/>
      <c r="CA204" s="400"/>
      <c r="CB204" s="400"/>
      <c r="CC204" s="400"/>
      <c r="CD204" s="400"/>
      <c r="CE204" s="400"/>
      <c r="CF204" s="400"/>
      <c r="CG204" s="400"/>
      <c r="CH204" s="400"/>
      <c r="CI204" s="400"/>
      <c r="CJ204" s="400"/>
      <c r="CK204" s="400"/>
      <c r="CL204" s="400"/>
      <c r="CM204" s="400"/>
      <c r="CN204" s="400"/>
      <c r="CO204" s="400"/>
      <c r="CP204" s="400"/>
      <c r="CQ204" s="400"/>
      <c r="CR204" s="400"/>
      <c r="CS204" s="400"/>
      <c r="CT204" s="400"/>
      <c r="CU204" s="400"/>
      <c r="CV204" s="400"/>
      <c r="CW204" s="400"/>
      <c r="CX204" s="400"/>
      <c r="CY204" s="400"/>
      <c r="CZ204" s="400"/>
      <c r="DA204" s="407"/>
      <c r="DB204" s="407"/>
    </row>
    <row r="205" customFormat="false" ht="15" hidden="false" customHeight="false" outlineLevel="0" collapsed="false">
      <c r="AB205" s="434" t="n">
        <f aca="false">22/80</f>
        <v>0.275</v>
      </c>
      <c r="AC205" s="434" t="n">
        <f aca="false">29/80</f>
        <v>0.3625</v>
      </c>
      <c r="AD205" s="434" t="n">
        <f aca="false">34/80</f>
        <v>0.425</v>
      </c>
      <c r="AE205" s="435" t="s">
        <v>896</v>
      </c>
      <c r="AF205" s="415"/>
      <c r="AG205" s="415"/>
      <c r="AH205" s="436"/>
      <c r="AI205" s="400"/>
      <c r="AJ205" s="400"/>
      <c r="AK205" s="400"/>
      <c r="AL205" s="400"/>
      <c r="AM205" s="400"/>
      <c r="AN205" s="400"/>
      <c r="AO205" s="400"/>
      <c r="AP205" s="400"/>
      <c r="AQ205" s="400"/>
      <c r="AR205" s="400"/>
      <c r="AS205" s="400"/>
      <c r="AT205" s="400"/>
      <c r="AU205" s="400"/>
      <c r="AV205" s="400"/>
      <c r="AW205" s="400"/>
      <c r="AX205" s="400"/>
      <c r="AY205" s="400"/>
      <c r="AZ205" s="400"/>
      <c r="BA205" s="400"/>
      <c r="BB205" s="400"/>
      <c r="BC205" s="400"/>
      <c r="BD205" s="400"/>
      <c r="BE205" s="400"/>
      <c r="BF205" s="400"/>
      <c r="BG205" s="400"/>
      <c r="BH205" s="400"/>
      <c r="BI205" s="400"/>
      <c r="BJ205" s="439" t="s">
        <v>897</v>
      </c>
      <c r="BK205" s="440" t="n">
        <f aca="false">AVERAGE(BK10:BK49)</f>
        <v>1.56666666666667</v>
      </c>
      <c r="BL205" s="400" t="s">
        <v>876</v>
      </c>
      <c r="BM205" s="400" t="s">
        <v>898</v>
      </c>
      <c r="BN205" s="400"/>
      <c r="BO205" s="400"/>
      <c r="BP205" s="439" t="s">
        <v>897</v>
      </c>
      <c r="BQ205" s="443" t="n">
        <f aca="false">AVERAGE(BO10:BO49)</f>
        <v>1.44736842105263</v>
      </c>
      <c r="BR205" s="444" t="s">
        <v>876</v>
      </c>
      <c r="BS205" s="444" t="s">
        <v>899</v>
      </c>
      <c r="BT205" s="444"/>
      <c r="BU205" s="400"/>
      <c r="BV205" s="400"/>
      <c r="BW205" s="400"/>
      <c r="BX205" s="400"/>
      <c r="BY205" s="400"/>
      <c r="BZ205" s="400"/>
      <c r="CA205" s="400"/>
      <c r="CB205" s="400"/>
      <c r="CC205" s="400"/>
      <c r="CD205" s="400"/>
      <c r="CE205" s="400"/>
      <c r="CF205" s="400"/>
      <c r="CG205" s="400"/>
      <c r="CH205" s="400"/>
      <c r="CI205" s="400"/>
      <c r="CJ205" s="400"/>
      <c r="CK205" s="400"/>
      <c r="CL205" s="400"/>
      <c r="CM205" s="400"/>
      <c r="CN205" s="400"/>
      <c r="CO205" s="400"/>
      <c r="CP205" s="400"/>
      <c r="CQ205" s="400"/>
      <c r="CR205" s="400"/>
      <c r="CS205" s="400"/>
      <c r="CT205" s="400"/>
      <c r="CU205" s="400"/>
      <c r="CV205" s="400"/>
      <c r="CW205" s="400"/>
      <c r="CX205" s="400"/>
      <c r="CY205" s="400"/>
      <c r="CZ205" s="400"/>
      <c r="DA205" s="407"/>
      <c r="DB205" s="407"/>
    </row>
    <row r="206" customFormat="false" ht="15" hidden="false" customHeight="false" outlineLevel="0" collapsed="false">
      <c r="AB206" s="434" t="n">
        <f aca="false">23/80</f>
        <v>0.2875</v>
      </c>
      <c r="AC206" s="434" t="n">
        <f aca="false">31/80</f>
        <v>0.3875</v>
      </c>
      <c r="AD206" s="434" t="n">
        <f aca="false">36/80</f>
        <v>0.45</v>
      </c>
      <c r="AE206" s="435" t="s">
        <v>900</v>
      </c>
      <c r="AF206" s="415"/>
      <c r="AG206" s="415"/>
      <c r="AH206" s="436"/>
      <c r="AI206" s="400"/>
      <c r="AJ206" s="414" t="s">
        <v>901</v>
      </c>
      <c r="AK206" s="400"/>
      <c r="AL206" s="400"/>
      <c r="AM206" s="414"/>
      <c r="AN206" s="400"/>
      <c r="AO206" s="400"/>
      <c r="AP206" s="400"/>
      <c r="AQ206" s="400"/>
      <c r="AR206" s="400"/>
      <c r="AS206" s="400"/>
      <c r="AT206" s="400"/>
      <c r="AU206" s="400"/>
      <c r="AV206" s="400"/>
      <c r="AW206" s="400"/>
      <c r="AX206" s="400"/>
      <c r="AY206" s="400"/>
      <c r="AZ206" s="414" t="s">
        <v>185</v>
      </c>
      <c r="BA206" s="400"/>
      <c r="BB206" s="400"/>
      <c r="BC206" s="400"/>
      <c r="BD206" s="400"/>
      <c r="BE206" s="400"/>
      <c r="BF206" s="400"/>
      <c r="BG206" s="400"/>
      <c r="BH206" s="400"/>
      <c r="BI206" s="400"/>
      <c r="BJ206" s="422"/>
      <c r="BK206" s="400"/>
      <c r="BL206" s="400"/>
      <c r="BM206" s="400"/>
      <c r="BN206" s="400"/>
      <c r="BO206" s="400"/>
      <c r="BP206" s="400"/>
      <c r="BQ206" s="400"/>
      <c r="BR206" s="400"/>
      <c r="BS206" s="400"/>
      <c r="BT206" s="400"/>
      <c r="BU206" s="400"/>
      <c r="BV206" s="400"/>
      <c r="BW206" s="400"/>
      <c r="BX206" s="400"/>
      <c r="BY206" s="400"/>
      <c r="BZ206" s="400"/>
      <c r="CA206" s="400"/>
      <c r="CB206" s="400"/>
      <c r="CC206" s="400"/>
      <c r="CD206" s="400"/>
      <c r="CE206" s="400"/>
      <c r="CF206" s="400"/>
      <c r="CG206" s="400"/>
      <c r="CH206" s="400"/>
      <c r="CI206" s="400"/>
      <c r="CJ206" s="400"/>
      <c r="CK206" s="400"/>
      <c r="CL206" s="400"/>
      <c r="CM206" s="400"/>
      <c r="CN206" s="400"/>
      <c r="CO206" s="400"/>
      <c r="CP206" s="400"/>
      <c r="CQ206" s="400"/>
      <c r="CR206" s="400"/>
      <c r="CS206" s="400"/>
      <c r="CT206" s="400"/>
      <c r="CU206" s="400"/>
      <c r="CV206" s="400"/>
      <c r="CW206" s="400"/>
      <c r="CX206" s="400"/>
      <c r="CY206" s="400"/>
      <c r="CZ206" s="400"/>
      <c r="DA206" s="407"/>
      <c r="DB206" s="407"/>
    </row>
    <row r="207" customFormat="false" ht="15" hidden="false" customHeight="false" outlineLevel="0" collapsed="false">
      <c r="AB207" s="434" t="n">
        <f aca="false">27/80</f>
        <v>0.3375</v>
      </c>
      <c r="AC207" s="434" t="n">
        <f aca="false">42/80</f>
        <v>0.525</v>
      </c>
      <c r="AD207" s="434" t="n">
        <f aca="false">48/80</f>
        <v>0.6</v>
      </c>
      <c r="AE207" s="435" t="s">
        <v>902</v>
      </c>
      <c r="AF207" s="415"/>
      <c r="AG207" s="415"/>
      <c r="AH207" s="436"/>
      <c r="AI207" s="400"/>
      <c r="AJ207" s="414" t="s">
        <v>903</v>
      </c>
      <c r="AK207" s="400"/>
      <c r="AL207" s="400"/>
      <c r="AM207" s="414"/>
      <c r="AN207" s="400"/>
      <c r="AO207" s="400"/>
      <c r="AP207" s="400"/>
      <c r="AQ207" s="400"/>
      <c r="AR207" s="400"/>
      <c r="AS207" s="400"/>
      <c r="AT207" s="400"/>
      <c r="AU207" s="400"/>
      <c r="AV207" s="400"/>
      <c r="AW207" s="400"/>
      <c r="AX207" s="400"/>
      <c r="AY207" s="400"/>
      <c r="AZ207" s="400" t="s">
        <v>904</v>
      </c>
      <c r="BA207" s="400"/>
      <c r="BB207" s="400"/>
      <c r="BC207" s="400"/>
      <c r="BD207" s="400"/>
      <c r="BE207" s="400"/>
      <c r="BF207" s="400"/>
      <c r="BG207" s="400"/>
      <c r="BH207" s="400"/>
      <c r="BI207" s="400"/>
      <c r="BJ207" s="422" t="s">
        <v>905</v>
      </c>
      <c r="BK207" s="400" t="n">
        <v>53</v>
      </c>
      <c r="BL207" s="400"/>
      <c r="BM207" s="400"/>
      <c r="BN207" s="400"/>
      <c r="BO207" s="400"/>
      <c r="BP207" s="422" t="s">
        <v>906</v>
      </c>
      <c r="BQ207" s="400" t="n">
        <v>52</v>
      </c>
      <c r="BR207" s="400"/>
      <c r="BS207" s="400"/>
      <c r="BT207" s="445"/>
      <c r="BU207" s="400"/>
      <c r="BV207" s="400"/>
      <c r="BW207" s="400"/>
      <c r="BX207" s="400"/>
      <c r="BY207" s="400"/>
      <c r="BZ207" s="400"/>
      <c r="CA207" s="400"/>
      <c r="CB207" s="400"/>
      <c r="CC207" s="400"/>
      <c r="CD207" s="400"/>
      <c r="CE207" s="400"/>
      <c r="CF207" s="400"/>
      <c r="CG207" s="400"/>
      <c r="CH207" s="400"/>
      <c r="CI207" s="400"/>
      <c r="CJ207" s="400"/>
      <c r="CK207" s="400"/>
      <c r="CL207" s="400"/>
      <c r="CM207" s="400"/>
      <c r="CN207" s="400"/>
      <c r="CO207" s="400"/>
      <c r="CP207" s="400"/>
      <c r="CQ207" s="400"/>
      <c r="CR207" s="400"/>
      <c r="CS207" s="400"/>
      <c r="CT207" s="400"/>
      <c r="CU207" s="400"/>
      <c r="CV207" s="400"/>
      <c r="CW207" s="400"/>
      <c r="CX207" s="400"/>
      <c r="CY207" s="400"/>
      <c r="CZ207" s="400"/>
      <c r="DA207" s="407"/>
      <c r="DB207" s="407"/>
    </row>
    <row r="208" customFormat="false" ht="15" hidden="false" customHeight="false" outlineLevel="0" collapsed="false">
      <c r="AB208" s="446"/>
      <c r="AC208" s="447"/>
      <c r="AD208" s="447" t="n">
        <f aca="false">55/80</f>
        <v>0.6875</v>
      </c>
      <c r="AE208" s="448" t="s">
        <v>907</v>
      </c>
      <c r="AF208" s="448"/>
      <c r="AG208" s="448"/>
      <c r="AH208" s="449"/>
      <c r="AI208" s="400"/>
      <c r="AJ208" s="400"/>
      <c r="AK208" s="400"/>
      <c r="AL208" s="400"/>
      <c r="AM208" s="400"/>
      <c r="AN208" s="400"/>
      <c r="AO208" s="400"/>
      <c r="AP208" s="400"/>
      <c r="AQ208" s="400"/>
      <c r="AR208" s="400"/>
      <c r="AS208" s="400"/>
      <c r="AT208" s="400"/>
      <c r="AU208" s="400"/>
      <c r="AV208" s="400"/>
      <c r="AW208" s="400"/>
      <c r="AX208" s="400"/>
      <c r="AY208" s="400"/>
      <c r="AZ208" s="400" t="s">
        <v>908</v>
      </c>
      <c r="BA208" s="400"/>
      <c r="BB208" s="400"/>
      <c r="BC208" s="400"/>
      <c r="BD208" s="400"/>
      <c r="BE208" s="400"/>
      <c r="BF208" s="400"/>
      <c r="BG208" s="400"/>
      <c r="BH208" s="400"/>
      <c r="BI208" s="400"/>
      <c r="BJ208" s="422" t="s">
        <v>909</v>
      </c>
      <c r="BK208" s="400" t="n">
        <v>12</v>
      </c>
      <c r="BL208" s="400"/>
      <c r="BM208" s="400"/>
      <c r="BN208" s="400"/>
      <c r="BO208" s="400"/>
      <c r="BP208" s="422" t="s">
        <v>909</v>
      </c>
      <c r="BQ208" s="400" t="n">
        <v>22</v>
      </c>
      <c r="BR208" s="400"/>
      <c r="BS208" s="400"/>
      <c r="BT208" s="400"/>
      <c r="BU208" s="400"/>
      <c r="BV208" s="400"/>
      <c r="BW208" s="400"/>
      <c r="BX208" s="400"/>
      <c r="BY208" s="400"/>
      <c r="BZ208" s="400"/>
      <c r="CA208" s="400"/>
      <c r="CB208" s="400"/>
      <c r="CC208" s="400"/>
      <c r="CD208" s="400"/>
      <c r="CE208" s="400"/>
      <c r="CF208" s="400"/>
      <c r="CG208" s="400"/>
      <c r="CH208" s="400"/>
      <c r="CI208" s="400"/>
      <c r="CJ208" s="400"/>
      <c r="CK208" s="400"/>
      <c r="CL208" s="400"/>
      <c r="CM208" s="400"/>
      <c r="CN208" s="400"/>
      <c r="CO208" s="400"/>
      <c r="CP208" s="400"/>
      <c r="CQ208" s="400"/>
      <c r="CR208" s="400"/>
      <c r="CS208" s="400"/>
      <c r="CT208" s="400"/>
      <c r="CU208" s="400"/>
      <c r="CV208" s="400"/>
      <c r="CW208" s="400"/>
      <c r="CX208" s="400"/>
      <c r="CY208" s="400"/>
      <c r="CZ208" s="400"/>
      <c r="DA208" s="407"/>
      <c r="DB208" s="407"/>
    </row>
    <row r="209" customFormat="false" ht="15" hidden="false" customHeight="false" outlineLevel="0" collapsed="false">
      <c r="AB209" s="407"/>
      <c r="AC209" s="400"/>
      <c r="AD209" s="400"/>
      <c r="AE209" s="400"/>
      <c r="AF209" s="400"/>
      <c r="AG209" s="400"/>
      <c r="AH209" s="400"/>
      <c r="AI209" s="400"/>
      <c r="AJ209" s="450" t="s">
        <v>910</v>
      </c>
      <c r="AK209" s="451"/>
      <c r="AL209" s="451"/>
      <c r="AM209" s="450"/>
      <c r="AN209" s="451"/>
      <c r="AO209" s="451"/>
      <c r="AP209" s="400"/>
      <c r="AQ209" s="400"/>
      <c r="AR209" s="400"/>
      <c r="AS209" s="400"/>
      <c r="AT209" s="400"/>
      <c r="AU209" s="400"/>
      <c r="AV209" s="400"/>
      <c r="AW209" s="400"/>
      <c r="AX209" s="400"/>
      <c r="AY209" s="400"/>
      <c r="AZ209" s="400" t="s">
        <v>911</v>
      </c>
      <c r="BA209" s="400"/>
      <c r="BB209" s="400"/>
      <c r="BC209" s="400"/>
      <c r="BD209" s="400"/>
      <c r="BE209" s="400"/>
      <c r="BF209" s="400"/>
      <c r="BG209" s="400"/>
      <c r="BH209" s="400"/>
      <c r="BI209" s="400"/>
      <c r="BJ209" s="422" t="s">
        <v>912</v>
      </c>
      <c r="BK209" s="400" t="n">
        <v>15</v>
      </c>
      <c r="BL209" s="400"/>
      <c r="BM209" s="400"/>
      <c r="BN209" s="400"/>
      <c r="BO209" s="400"/>
      <c r="BP209" s="422" t="s">
        <v>913</v>
      </c>
      <c r="BQ209" s="400" t="n">
        <v>6</v>
      </c>
      <c r="BR209" s="400"/>
      <c r="BS209" s="400"/>
      <c r="BT209" s="400"/>
      <c r="BU209" s="400"/>
      <c r="BV209" s="400"/>
      <c r="BW209" s="400"/>
      <c r="BX209" s="400"/>
      <c r="BY209" s="400"/>
      <c r="BZ209" s="400"/>
      <c r="CA209" s="400"/>
      <c r="CB209" s="400"/>
      <c r="CC209" s="400"/>
      <c r="CD209" s="400"/>
      <c r="CE209" s="400"/>
      <c r="CF209" s="400"/>
      <c r="CG209" s="400"/>
      <c r="CH209" s="400"/>
      <c r="CI209" s="400"/>
      <c r="CJ209" s="400"/>
      <c r="CK209" s="400"/>
      <c r="CL209" s="400"/>
      <c r="CM209" s="400"/>
      <c r="CN209" s="400"/>
      <c r="CO209" s="400"/>
      <c r="CP209" s="400"/>
      <c r="CQ209" s="400"/>
      <c r="CR209" s="400"/>
      <c r="CS209" s="400"/>
      <c r="CT209" s="400"/>
      <c r="CU209" s="400"/>
      <c r="CV209" s="400"/>
      <c r="CW209" s="400"/>
      <c r="CX209" s="400"/>
      <c r="CY209" s="400"/>
      <c r="CZ209" s="400"/>
      <c r="DA209" s="407"/>
      <c r="DB209" s="407"/>
    </row>
    <row r="210" customFormat="false" ht="15" hidden="false" customHeight="false" outlineLevel="0" collapsed="false">
      <c r="AB210" s="407"/>
      <c r="AC210" s="400"/>
      <c r="AD210" s="400"/>
      <c r="AE210" s="400"/>
      <c r="AF210" s="400"/>
      <c r="AG210" s="400"/>
      <c r="AH210" s="400"/>
      <c r="AI210" s="400"/>
      <c r="AJ210" s="414" t="s">
        <v>914</v>
      </c>
      <c r="AK210" s="400"/>
      <c r="AL210" s="400"/>
      <c r="AM210" s="400"/>
      <c r="AN210" s="400"/>
      <c r="AO210" s="400"/>
      <c r="AP210" s="400"/>
      <c r="AQ210" s="400"/>
      <c r="AR210" s="400"/>
      <c r="AS210" s="400"/>
      <c r="AT210" s="400"/>
      <c r="AU210" s="400"/>
      <c r="AV210" s="400"/>
      <c r="AW210" s="400"/>
      <c r="AX210" s="400"/>
      <c r="AY210" s="400"/>
      <c r="AZ210" s="400" t="s">
        <v>915</v>
      </c>
      <c r="BA210" s="400"/>
      <c r="BB210" s="400"/>
      <c r="BC210" s="400"/>
      <c r="BD210" s="400"/>
      <c r="BE210" s="400"/>
      <c r="BF210" s="400"/>
      <c r="BG210" s="400"/>
      <c r="BH210" s="400"/>
      <c r="BI210" s="400"/>
      <c r="BJ210" s="422" t="s">
        <v>916</v>
      </c>
      <c r="BK210" s="437" t="n">
        <f aca="false">SUM(BK207:BK209)</f>
        <v>80</v>
      </c>
      <c r="BL210" s="400"/>
      <c r="BM210" s="400"/>
      <c r="BN210" s="400"/>
      <c r="BO210" s="400"/>
      <c r="BP210" s="422" t="s">
        <v>916</v>
      </c>
      <c r="BQ210" s="437" t="n">
        <f aca="false">SUM(BQ207:BQ209)</f>
        <v>80</v>
      </c>
      <c r="BR210" s="400"/>
      <c r="BS210" s="400"/>
      <c r="BT210" s="400"/>
      <c r="BU210" s="400"/>
      <c r="BV210" s="400"/>
      <c r="BW210" s="400"/>
      <c r="BX210" s="400"/>
      <c r="BY210" s="400"/>
      <c r="BZ210" s="400"/>
      <c r="CA210" s="400"/>
      <c r="CB210" s="400"/>
      <c r="CC210" s="400"/>
      <c r="CD210" s="400"/>
      <c r="CE210" s="400"/>
      <c r="CF210" s="400"/>
      <c r="CG210" s="400"/>
      <c r="CH210" s="400"/>
      <c r="CI210" s="400"/>
      <c r="CJ210" s="400"/>
      <c r="CK210" s="400"/>
      <c r="CL210" s="400"/>
      <c r="CM210" s="400"/>
      <c r="CN210" s="400"/>
      <c r="CO210" s="400"/>
      <c r="CP210" s="400"/>
      <c r="CQ210" s="400"/>
      <c r="CR210" s="400"/>
      <c r="CS210" s="400"/>
      <c r="CT210" s="400"/>
      <c r="CU210" s="400"/>
      <c r="CV210" s="400"/>
      <c r="CW210" s="400"/>
      <c r="CX210" s="400"/>
      <c r="CY210" s="400"/>
      <c r="CZ210" s="400"/>
      <c r="DA210" s="407"/>
      <c r="DB210" s="407"/>
    </row>
    <row r="211" customFormat="false" ht="15" hidden="false" customHeight="false" outlineLevel="0" collapsed="false">
      <c r="AB211" s="420" t="s">
        <v>860</v>
      </c>
      <c r="AC211" s="421" t="s">
        <v>861</v>
      </c>
      <c r="AD211" s="420" t="s">
        <v>917</v>
      </c>
      <c r="AE211" s="420"/>
      <c r="AF211" s="420"/>
      <c r="AG211" s="420"/>
      <c r="AH211" s="420"/>
      <c r="AI211" s="400"/>
      <c r="AJ211" s="400"/>
      <c r="AK211" s="400"/>
      <c r="AL211" s="400"/>
      <c r="AM211" s="400"/>
      <c r="AN211" s="400"/>
      <c r="AO211" s="400"/>
      <c r="AP211" s="400"/>
      <c r="AQ211" s="400"/>
      <c r="AR211" s="400"/>
      <c r="AS211" s="400"/>
      <c r="AT211" s="400"/>
      <c r="AU211" s="400"/>
      <c r="AV211" s="400"/>
      <c r="AW211" s="400"/>
      <c r="AX211" s="400"/>
      <c r="AY211" s="400"/>
      <c r="AZ211" s="400" t="s">
        <v>918</v>
      </c>
      <c r="BA211" s="400"/>
      <c r="BB211" s="400"/>
      <c r="BC211" s="400"/>
      <c r="BD211" s="400"/>
      <c r="BE211" s="400"/>
      <c r="BF211" s="400"/>
      <c r="BG211" s="400"/>
      <c r="BH211" s="400"/>
      <c r="BI211" s="400"/>
      <c r="BJ211" s="439" t="s">
        <v>919</v>
      </c>
      <c r="BK211" s="440" t="n">
        <f aca="false">BK207/BK210</f>
        <v>0.6625</v>
      </c>
      <c r="BL211" s="400"/>
      <c r="BM211" s="400"/>
      <c r="BN211" s="400"/>
      <c r="BO211" s="400"/>
      <c r="BP211" s="439" t="s">
        <v>919</v>
      </c>
      <c r="BQ211" s="440" t="n">
        <f aca="false">BQ207/BQ210</f>
        <v>0.65</v>
      </c>
      <c r="BR211" s="400"/>
      <c r="BS211" s="400"/>
      <c r="BT211" s="400"/>
      <c r="BU211" s="400"/>
      <c r="BV211" s="400"/>
      <c r="BW211" s="400"/>
      <c r="BX211" s="400"/>
      <c r="BY211" s="400"/>
      <c r="BZ211" s="400"/>
      <c r="CA211" s="400"/>
      <c r="CB211" s="400"/>
      <c r="CC211" s="400"/>
      <c r="CD211" s="400"/>
      <c r="CE211" s="400"/>
      <c r="CF211" s="400"/>
      <c r="CG211" s="400"/>
      <c r="CH211" s="400"/>
      <c r="CI211" s="400"/>
      <c r="CJ211" s="400"/>
      <c r="CK211" s="400"/>
      <c r="CL211" s="400"/>
      <c r="CM211" s="400"/>
      <c r="CN211" s="400"/>
      <c r="CO211" s="400"/>
      <c r="CP211" s="400"/>
      <c r="CQ211" s="400"/>
      <c r="CR211" s="400"/>
      <c r="CS211" s="400"/>
      <c r="CT211" s="400"/>
      <c r="CU211" s="400"/>
      <c r="CV211" s="400"/>
      <c r="CW211" s="400"/>
      <c r="CX211" s="400"/>
      <c r="CY211" s="400"/>
      <c r="CZ211" s="400"/>
      <c r="DA211" s="407"/>
      <c r="DB211" s="407"/>
    </row>
    <row r="212" customFormat="false" ht="15" hidden="false" customHeight="false" outlineLevel="0" collapsed="false">
      <c r="AB212" s="452" t="n">
        <f aca="false">18/50</f>
        <v>0.36</v>
      </c>
      <c r="AC212" s="452" t="n">
        <f aca="false">20/50</f>
        <v>0.4</v>
      </c>
      <c r="AD212" s="428" t="n">
        <f aca="false">24/50</f>
        <v>0.48</v>
      </c>
      <c r="AE212" s="429" t="s">
        <v>920</v>
      </c>
      <c r="AF212" s="430"/>
      <c r="AG212" s="430"/>
      <c r="AH212" s="431"/>
      <c r="AI212" s="400"/>
      <c r="AJ212" s="400"/>
      <c r="AK212" s="400"/>
      <c r="AL212" s="400"/>
      <c r="AM212" s="400"/>
      <c r="AN212" s="400"/>
      <c r="AO212" s="400"/>
      <c r="AP212" s="400"/>
      <c r="AQ212" s="400"/>
      <c r="AR212" s="400"/>
      <c r="AS212" s="400"/>
      <c r="AT212" s="400"/>
      <c r="AU212" s="400"/>
      <c r="AV212" s="400"/>
      <c r="AW212" s="400"/>
      <c r="AX212" s="400"/>
      <c r="AY212" s="400"/>
      <c r="AZ212" s="400"/>
      <c r="BA212" s="400"/>
      <c r="BB212" s="400"/>
      <c r="BC212" s="400"/>
      <c r="BD212" s="400"/>
      <c r="BE212" s="400"/>
      <c r="BF212" s="400"/>
      <c r="BG212" s="400"/>
      <c r="BH212" s="400"/>
      <c r="BI212" s="400"/>
      <c r="BJ212" s="439" t="s">
        <v>921</v>
      </c>
      <c r="BK212" s="440" t="n">
        <f aca="false">(BK207+BK208)/BK210</f>
        <v>0.8125</v>
      </c>
      <c r="BL212" s="400"/>
      <c r="BM212" s="400"/>
      <c r="BN212" s="400"/>
      <c r="BO212" s="400"/>
      <c r="BP212" s="439" t="s">
        <v>921</v>
      </c>
      <c r="BQ212" s="440" t="n">
        <f aca="false">(BQ207+BQ208)/BQ210</f>
        <v>0.925</v>
      </c>
      <c r="BR212" s="400"/>
      <c r="BS212" s="400"/>
      <c r="BT212" s="400"/>
      <c r="BU212" s="400"/>
      <c r="BV212" s="400"/>
      <c r="BW212" s="400"/>
      <c r="BX212" s="400"/>
      <c r="BY212" s="400"/>
      <c r="BZ212" s="400"/>
      <c r="CA212" s="400"/>
      <c r="CB212" s="400"/>
      <c r="CC212" s="400"/>
      <c r="CD212" s="400"/>
      <c r="CE212" s="400"/>
      <c r="CF212" s="400"/>
      <c r="CG212" s="400"/>
      <c r="CH212" s="400"/>
      <c r="CI212" s="400"/>
      <c r="CJ212" s="400"/>
      <c r="CK212" s="400"/>
      <c r="CL212" s="400"/>
      <c r="CM212" s="400"/>
      <c r="CN212" s="400"/>
      <c r="CO212" s="400"/>
      <c r="CP212" s="400"/>
      <c r="CQ212" s="400"/>
      <c r="CR212" s="400"/>
      <c r="CS212" s="400"/>
      <c r="CT212" s="400"/>
      <c r="CU212" s="400"/>
      <c r="CV212" s="400"/>
      <c r="CW212" s="400"/>
      <c r="CX212" s="400"/>
      <c r="CY212" s="400"/>
      <c r="CZ212" s="400"/>
      <c r="DA212" s="407"/>
      <c r="DB212" s="407"/>
    </row>
    <row r="213" customFormat="false" ht="19.7" hidden="false" customHeight="false" outlineLevel="0" collapsed="false">
      <c r="AB213" s="453" t="n">
        <f aca="false">(17/50)</f>
        <v>0.34</v>
      </c>
      <c r="AC213" s="453" t="n">
        <f aca="false">(19/50)</f>
        <v>0.38</v>
      </c>
      <c r="AD213" s="454" t="n">
        <f aca="false">(24/50)</f>
        <v>0.48</v>
      </c>
      <c r="AE213" s="223" t="s">
        <v>922</v>
      </c>
      <c r="AF213" s="3"/>
      <c r="AG213" s="3"/>
      <c r="AH213" s="334"/>
      <c r="AJ213" s="455"/>
      <c r="AM213" s="455"/>
      <c r="AZ213" s="456" t="s">
        <v>192</v>
      </c>
      <c r="BJ213" s="457" t="s">
        <v>923</v>
      </c>
      <c r="BK213" s="440" t="n">
        <f aca="false">AVERAGE(BK50:BK129)</f>
        <v>1.33962264150943</v>
      </c>
      <c r="BP213" s="457" t="s">
        <v>923</v>
      </c>
      <c r="BQ213" s="440" t="n">
        <f aca="false">AVERAGE(BO50:BO129)</f>
        <v>1.39189189189189</v>
      </c>
    </row>
    <row r="214" customFormat="false" ht="15" hidden="false" customHeight="false" outlineLevel="0" collapsed="false">
      <c r="AB214" s="453" t="n">
        <f aca="false">(17/50)</f>
        <v>0.34</v>
      </c>
      <c r="AC214" s="453" t="n">
        <f aca="false">(22/50)</f>
        <v>0.44</v>
      </c>
      <c r="AD214" s="454" t="n">
        <f aca="false">(28/50)</f>
        <v>0.56</v>
      </c>
      <c r="AE214" s="223" t="s">
        <v>924</v>
      </c>
      <c r="AF214" s="3"/>
      <c r="AG214" s="3"/>
      <c r="AH214" s="334"/>
      <c r="AZ214" s="1" t="s">
        <v>925</v>
      </c>
    </row>
    <row r="215" customFormat="false" ht="15" hidden="false" customHeight="false" outlineLevel="0" collapsed="false">
      <c r="AB215" s="453"/>
      <c r="AC215" s="453"/>
      <c r="AD215" s="454" t="n">
        <f aca="false">(33/50)</f>
        <v>0.66</v>
      </c>
      <c r="AE215" s="3" t="s">
        <v>926</v>
      </c>
      <c r="AF215" s="3"/>
      <c r="AG215" s="3"/>
      <c r="AH215" s="334"/>
      <c r="AZ215" s="1" t="s">
        <v>927</v>
      </c>
    </row>
    <row r="216" customFormat="false" ht="15" hidden="false" customHeight="false" outlineLevel="0" collapsed="false">
      <c r="AB216" s="458"/>
      <c r="AC216" s="458"/>
      <c r="AD216" s="459"/>
      <c r="AE216" s="3"/>
      <c r="AF216" s="3"/>
      <c r="AG216" s="3"/>
      <c r="AH216" s="334"/>
      <c r="AZ216" s="1" t="s">
        <v>928</v>
      </c>
    </row>
    <row r="217" customFormat="false" ht="15" hidden="false" customHeight="false" outlineLevel="0" collapsed="false">
      <c r="AB217" s="453" t="n">
        <f aca="false">11/50</f>
        <v>0.22</v>
      </c>
      <c r="AC217" s="453" t="n">
        <f aca="false">14/50</f>
        <v>0.28</v>
      </c>
      <c r="AD217" s="454" t="n">
        <f aca="false">29/50</f>
        <v>0.58</v>
      </c>
      <c r="AE217" s="223" t="s">
        <v>929</v>
      </c>
      <c r="AF217" s="3"/>
      <c r="AG217" s="3"/>
      <c r="AH217" s="334"/>
      <c r="AZ217" s="1" t="s">
        <v>891</v>
      </c>
    </row>
    <row r="218" customFormat="false" ht="15" hidden="false" customHeight="false" outlineLevel="0" collapsed="false">
      <c r="AB218" s="453" t="n">
        <f aca="false">(12/50)</f>
        <v>0.24</v>
      </c>
      <c r="AC218" s="453" t="n">
        <f aca="false">(15/50)</f>
        <v>0.3</v>
      </c>
      <c r="AD218" s="454" t="n">
        <f aca="false">(30/50)</f>
        <v>0.6</v>
      </c>
      <c r="AE218" s="223" t="s">
        <v>930</v>
      </c>
      <c r="AF218" s="3"/>
      <c r="AG218" s="3"/>
      <c r="AH218" s="334"/>
      <c r="AZ218" s="1" t="s">
        <v>931</v>
      </c>
    </row>
    <row r="219" customFormat="false" ht="15" hidden="false" customHeight="false" outlineLevel="0" collapsed="false">
      <c r="AB219" s="453" t="n">
        <f aca="false">(17/50)</f>
        <v>0.34</v>
      </c>
      <c r="AC219" s="453" t="n">
        <f aca="false">(20/50)</f>
        <v>0.4</v>
      </c>
      <c r="AD219" s="454" t="n">
        <f aca="false">(37/50)</f>
        <v>0.74</v>
      </c>
      <c r="AE219" s="223" t="s">
        <v>932</v>
      </c>
      <c r="AF219" s="3"/>
      <c r="AG219" s="3"/>
      <c r="AH219" s="334"/>
    </row>
    <row r="220" customFormat="false" ht="15" hidden="false" customHeight="false" outlineLevel="0" collapsed="false">
      <c r="AB220" s="460"/>
      <c r="AC220" s="460"/>
      <c r="AD220" s="461" t="n">
        <f aca="false">(43/50)</f>
        <v>0.86</v>
      </c>
      <c r="AE220" s="462" t="s">
        <v>933</v>
      </c>
      <c r="AF220" s="462"/>
      <c r="AG220" s="462"/>
      <c r="AH220" s="463"/>
    </row>
    <row r="221" customFormat="false" ht="15" hidden="false" customHeight="false" outlineLevel="0" collapsed="false">
      <c r="AB221" s="1"/>
    </row>
    <row r="222" customFormat="false" ht="15" hidden="false" customHeight="false" outlineLevel="0" collapsed="false">
      <c r="AB222" s="1"/>
    </row>
    <row r="223" customFormat="false" ht="17.35" hidden="false" customHeight="false" outlineLevel="0" collapsed="false">
      <c r="AB223" s="464" t="s">
        <v>860</v>
      </c>
      <c r="AC223" s="465" t="s">
        <v>861</v>
      </c>
      <c r="AD223" s="466" t="s">
        <v>934</v>
      </c>
      <c r="AE223" s="466"/>
      <c r="AF223" s="466"/>
      <c r="AG223" s="466"/>
      <c r="AH223" s="466"/>
    </row>
    <row r="224" customFormat="false" ht="15" hidden="false" customHeight="false" outlineLevel="0" collapsed="false">
      <c r="AB224" s="467" t="n">
        <f aca="false">26/50</f>
        <v>0.52</v>
      </c>
      <c r="AC224" s="467" t="n">
        <f aca="false">27/50</f>
        <v>0.54</v>
      </c>
      <c r="AD224" s="454" t="n">
        <f aca="false">28/50</f>
        <v>0.56</v>
      </c>
      <c r="AE224" s="223" t="s">
        <v>935</v>
      </c>
      <c r="AF224" s="3"/>
      <c r="AG224" s="3"/>
      <c r="AH224" s="334"/>
    </row>
    <row r="225" customFormat="false" ht="15" hidden="false" customHeight="false" outlineLevel="0" collapsed="false">
      <c r="AB225" s="453" t="n">
        <f aca="false">(28/50)</f>
        <v>0.56</v>
      </c>
      <c r="AC225" s="453" t="n">
        <f aca="false">(29/50)</f>
        <v>0.58</v>
      </c>
      <c r="AD225" s="454" t="n">
        <f aca="false">(30/50)</f>
        <v>0.6</v>
      </c>
      <c r="AE225" s="223" t="s">
        <v>936</v>
      </c>
      <c r="AF225" s="3"/>
      <c r="AG225" s="3"/>
      <c r="AH225" s="334"/>
    </row>
    <row r="226" customFormat="false" ht="15" hidden="false" customHeight="false" outlineLevel="0" collapsed="false">
      <c r="AB226" s="460" t="n">
        <f aca="false">(30/50)</f>
        <v>0.6</v>
      </c>
      <c r="AC226" s="460" t="n">
        <f aca="false">(34/50)</f>
        <v>0.68</v>
      </c>
      <c r="AD226" s="454" t="n">
        <f aca="false">(37/50)</f>
        <v>0.74</v>
      </c>
      <c r="AE226" s="223" t="s">
        <v>937</v>
      </c>
      <c r="AF226" s="3"/>
      <c r="AG226" s="3"/>
      <c r="AH226" s="334"/>
    </row>
    <row r="227" customFormat="false" ht="15" hidden="false" customHeight="false" outlineLevel="0" collapsed="false">
      <c r="AD227" s="461" t="n">
        <f aca="false">(43/50)</f>
        <v>0.86</v>
      </c>
      <c r="AE227" s="462" t="s">
        <v>938</v>
      </c>
      <c r="AF227" s="462"/>
      <c r="AG227" s="462"/>
      <c r="AH227" s="463"/>
    </row>
  </sheetData>
  <autoFilter ref="A9:DI132">
    <filterColumn colId="0" hiddenButton="1"/>
    <filterColumn colId="1" hiddenButton="1"/>
    <filterColumn colId="2" hiddenButton="1"/>
    <filterColumn colId="3" hiddenButton="1"/>
  </autoFilter>
  <mergeCells count="11">
    <mergeCell ref="CJ7:CQ7"/>
    <mergeCell ref="AC8:AS8"/>
    <mergeCell ref="AV8:BI8"/>
    <mergeCell ref="CF8:CG8"/>
    <mergeCell ref="CH8:CI8"/>
    <mergeCell ref="CJ8:CQ8"/>
    <mergeCell ref="CR8:CX8"/>
    <mergeCell ref="DD8:DH9"/>
    <mergeCell ref="AD199:AH199"/>
    <mergeCell ref="AD211:AH211"/>
    <mergeCell ref="AD223:AH223"/>
  </mergeCells>
  <conditionalFormatting sqref="CP83:CP84">
    <cfRule type="cellIs" priority="2" operator="equal" aboveAverage="0" equalAverage="0" bottom="0" percent="0" rank="0" text="" dxfId="19">
      <formula>0.2</formula>
    </cfRule>
  </conditionalFormatting>
  <conditionalFormatting sqref="CP85:CP129">
    <cfRule type="containsText" priority="3" operator="containsText" aboveAverage="0" equalAverage="0" bottom="0" percent="0" rank="0" text="Oui" dxfId="20">
      <formula>NOT(ISERROR(SEARCH("Oui",CP85)))</formula>
    </cfRule>
    <cfRule type="cellIs" priority="4" operator="equal" aboveAverage="0" equalAverage="0" bottom="0" percent="0" rank="0" text="" dxfId="21">
      <formula>0.5</formula>
    </cfRule>
  </conditionalFormatting>
  <conditionalFormatting sqref="CP31:CP82">
    <cfRule type="containsText" priority="5" operator="containsText" aboveAverage="0" equalAverage="0" bottom="0" percent="0" rank="0" text="Oui" dxfId="22">
      <formula>NOT(ISERROR(SEARCH("Oui",CP31)))</formula>
    </cfRule>
    <cfRule type="cellIs" priority="6" operator="equal" aboveAverage="0" equalAverage="0" bottom="0" percent="0" rank="0" text="" dxfId="23">
      <formula>0.5</formula>
    </cfRule>
  </conditionalFormatting>
  <conditionalFormatting sqref="CP10:CP27">
    <cfRule type="containsText" priority="7" operator="containsText" aboveAverage="0" equalAverage="0" bottom="0" percent="0" rank="0" text="Oui" dxfId="24">
      <formula>NOT(ISERROR(SEARCH("Oui",CP10)))</formula>
    </cfRule>
    <cfRule type="cellIs" priority="8" operator="equal" aboveAverage="0" equalAverage="0" bottom="0" percent="0" rank="0" text="" dxfId="25">
      <formula>0.5</formula>
    </cfRule>
  </conditionalFormatting>
  <conditionalFormatting sqref="CP28">
    <cfRule type="containsText" priority="9" operator="containsText" aboveAverage="0" equalAverage="0" bottom="0" percent="0" rank="0" text="Oui" dxfId="26">
      <formula>NOT(ISERROR(SEARCH("Oui",CP28)))</formula>
    </cfRule>
  </conditionalFormatting>
  <conditionalFormatting sqref="CP28">
    <cfRule type="cellIs" priority="10" operator="equal" aboveAverage="0" equalAverage="0" bottom="0" percent="0" rank="0" text="" dxfId="27">
      <formula>0.5</formula>
    </cfRule>
  </conditionalFormatting>
  <conditionalFormatting sqref="CP29:CP30">
    <cfRule type="containsText" priority="11" operator="containsText" aboveAverage="0" equalAverage="0" bottom="0" percent="0" rank="0" text="Oui" dxfId="28">
      <formula>NOT(ISERROR(SEARCH("Oui",CP29)))</formula>
    </cfRule>
    <cfRule type="cellIs" priority="12" operator="equal" aboveAverage="0" equalAverage="0" bottom="0" percent="0" rank="0" text="" dxfId="29">
      <formula>0.5</formula>
    </cfRule>
  </conditionalFormatting>
  <conditionalFormatting sqref="CM83:CN84">
    <cfRule type="cellIs" priority="13" operator="equal" aboveAverage="0" equalAverage="0" bottom="0" percent="0" rank="0" text="" dxfId="30">
      <formula>0.2</formula>
    </cfRule>
  </conditionalFormatting>
  <conditionalFormatting sqref="CL10:CL60 CL63:CL129">
    <cfRule type="cellIs" priority="14" operator="lessThan" aboveAverage="0" equalAverage="0" bottom="0" percent="0" rank="0" text="" dxfId="31">
      <formula>0.501</formula>
    </cfRule>
  </conditionalFormatting>
  <conditionalFormatting sqref="CJ10:CJ129">
    <cfRule type="cellIs" priority="15" operator="equal" aboveAverage="0" equalAverage="0" bottom="0" percent="0" rank="0" text="" dxfId="32">
      <formula>0.2</formula>
    </cfRule>
  </conditionalFormatting>
  <conditionalFormatting sqref="CK12:CK13 CK63:CL129 CK14:CL60">
    <cfRule type="cellIs" priority="16" operator="equal" aboveAverage="0" equalAverage="0" bottom="0" percent="0" rank="0" text="" dxfId="33">
      <formula>0</formula>
    </cfRule>
  </conditionalFormatting>
  <conditionalFormatting sqref="CK10:CL10 CK11 CL11:CL13">
    <cfRule type="cellIs" priority="17" operator="equal" aboveAverage="0" equalAverage="0" bottom="0" percent="0" rank="0" text="" dxfId="34">
      <formula>0</formula>
    </cfRule>
  </conditionalFormatting>
  <conditionalFormatting sqref="CN112">
    <cfRule type="containsText" priority="18" operator="containsText" aboveAverage="0" equalAverage="0" bottom="0" percent="0" rank="0" text="Oui" dxfId="35">
      <formula>NOT(ISERROR(SEARCH("Oui",CN112)))</formula>
    </cfRule>
  </conditionalFormatting>
  <conditionalFormatting sqref="CN112">
    <cfRule type="cellIs" priority="19" operator="equal" aboveAverage="0" equalAverage="0" bottom="0" percent="0" rank="0" text="" dxfId="36">
      <formula>0.5</formula>
    </cfRule>
  </conditionalFormatting>
  <conditionalFormatting sqref="CN80">
    <cfRule type="containsText" priority="20" operator="containsText" aboveAverage="0" equalAverage="0" bottom="0" percent="0" rank="0" text="Oui" dxfId="37">
      <formula>NOT(ISERROR(SEARCH("Oui",CN80)))</formula>
    </cfRule>
  </conditionalFormatting>
  <conditionalFormatting sqref="CN80">
    <cfRule type="cellIs" priority="21" operator="equal" aboveAverage="0" equalAverage="0" bottom="0" percent="0" rank="0" text="" dxfId="38">
      <formula>0.5</formula>
    </cfRule>
  </conditionalFormatting>
  <conditionalFormatting sqref="CN105 CN101">
    <cfRule type="containsText" priority="22" operator="containsText" aboveAverage="0" equalAverage="0" bottom="0" percent="0" rank="0" text="Oui" dxfId="39">
      <formula>NOT(ISERROR(SEARCH("Oui",CN101)))</formula>
    </cfRule>
    <cfRule type="cellIs" priority="23" operator="equal" aboveAverage="0" equalAverage="0" bottom="0" percent="0" rank="0" text="" dxfId="40">
      <formula>0.5</formula>
    </cfRule>
  </conditionalFormatting>
  <conditionalFormatting sqref="CN93">
    <cfRule type="containsText" priority="24" operator="containsText" aboveAverage="0" equalAverage="0" bottom="0" percent="0" rank="0" text="Oui" dxfId="41">
      <formula>NOT(ISERROR(SEARCH("Oui",CN93)))</formula>
    </cfRule>
  </conditionalFormatting>
  <conditionalFormatting sqref="CN93">
    <cfRule type="cellIs" priority="25" operator="equal" aboveAverage="0" equalAverage="0" bottom="0" percent="0" rank="0" text="" dxfId="42">
      <formula>0.5</formula>
    </cfRule>
  </conditionalFormatting>
  <conditionalFormatting sqref="CN47">
    <cfRule type="containsText" priority="26" operator="containsText" aboveAverage="0" equalAverage="0" bottom="0" percent="0" rank="0" text="Oui" dxfId="43">
      <formula>NOT(ISERROR(SEARCH("Oui",CN47)))</formula>
    </cfRule>
  </conditionalFormatting>
  <conditionalFormatting sqref="CN47">
    <cfRule type="cellIs" priority="27" operator="equal" aboveAverage="0" equalAverage="0" bottom="0" percent="0" rank="0" text="" dxfId="44">
      <formula>0.5</formula>
    </cfRule>
  </conditionalFormatting>
  <conditionalFormatting sqref="CN34">
    <cfRule type="containsText" priority="28" operator="containsText" aboveAverage="0" equalAverage="0" bottom="0" percent="0" rank="0" text="Oui" dxfId="45">
      <formula>NOT(ISERROR(SEARCH("Oui",CN34)))</formula>
    </cfRule>
  </conditionalFormatting>
  <conditionalFormatting sqref="CN34">
    <cfRule type="cellIs" priority="29" operator="equal" aboveAverage="0" equalAverage="0" bottom="0" percent="0" rank="0" text="" dxfId="46">
      <formula>0.5</formula>
    </cfRule>
  </conditionalFormatting>
  <conditionalFormatting sqref="CN12:CN13">
    <cfRule type="containsText" priority="30" operator="containsText" aboveAverage="0" equalAverage="0" bottom="0" percent="0" rank="0" text="Oui" dxfId="47">
      <formula>NOT(ISERROR(SEARCH("Oui",CN12)))</formula>
    </cfRule>
    <cfRule type="cellIs" priority="31" operator="equal" aboveAverage="0" equalAverage="0" bottom="0" percent="0" rank="0" text="" dxfId="48">
      <formula>0.5</formula>
    </cfRule>
  </conditionalFormatting>
  <conditionalFormatting sqref="CN104 CN98 CN94 CN89 CN85:CN86">
    <cfRule type="containsText" priority="32" operator="containsText" aboveAverage="0" equalAverage="0" bottom="0" percent="0" rank="0" text="Oui" dxfId="49">
      <formula>NOT(ISERROR(SEARCH("Oui",CN85)))</formula>
    </cfRule>
    <cfRule type="cellIs" priority="33" operator="equal" aboveAverage="0" equalAverage="0" bottom="0" percent="0" rank="0" text="" dxfId="50">
      <formula>0.5</formula>
    </cfRule>
  </conditionalFormatting>
  <conditionalFormatting sqref="CN82 CN78 CN75 CN72:CN73 CN70 CN65:CN67">
    <cfRule type="containsText" priority="34" operator="containsText" aboveAverage="0" equalAverage="0" bottom="0" percent="0" rank="0" text="Oui" dxfId="51">
      <formula>NOT(ISERROR(SEARCH("Oui",CN65)))</formula>
    </cfRule>
    <cfRule type="cellIs" priority="35" operator="equal" aboveAverage="0" equalAverage="0" bottom="0" percent="0" rank="0" text="" dxfId="52">
      <formula>0.5</formula>
    </cfRule>
  </conditionalFormatting>
  <conditionalFormatting sqref="CN36 CN29:CN30 CN26:CN27 CN22:CN24 CN19 CN14">
    <cfRule type="containsText" priority="36" operator="containsText" aboveAverage="0" equalAverage="0" bottom="0" percent="0" rank="0" text="Oui" dxfId="53">
      <formula>NOT(ISERROR(SEARCH("Oui",CN14)))</formula>
    </cfRule>
    <cfRule type="cellIs" priority="37" operator="equal" aboveAverage="0" equalAverage="0" bottom="0" percent="0" rank="0" text="" dxfId="54">
      <formula>0.5</formula>
    </cfRule>
  </conditionalFormatting>
  <conditionalFormatting sqref="CN10:CN11">
    <cfRule type="containsText" priority="38" operator="containsText" aboveAverage="0" equalAverage="0" bottom="0" percent="0" rank="0" text="Oui" dxfId="55">
      <formula>NOT(ISERROR(SEARCH("Oui",CN10)))</formula>
    </cfRule>
    <cfRule type="cellIs" priority="39" operator="equal" aboveAverage="0" equalAverage="0" bottom="0" percent="0" rank="0" text="" dxfId="56">
      <formula>0.5</formula>
    </cfRule>
  </conditionalFormatting>
  <conditionalFormatting sqref="CN31:CN33 CN28 CN25 CN20:CN21 CN18">
    <cfRule type="containsText" priority="40" operator="containsText" aboveAverage="0" equalAverage="0" bottom="0" percent="0" rank="0" text="Oui" dxfId="57">
      <formula>NOT(ISERROR(SEARCH("Oui",CN18)))</formula>
    </cfRule>
    <cfRule type="cellIs" priority="41" operator="equal" aboveAverage="0" equalAverage="0" bottom="0" percent="0" rank="0" text="" dxfId="58">
      <formula>0.5</formula>
    </cfRule>
  </conditionalFormatting>
  <conditionalFormatting sqref="CN35">
    <cfRule type="containsText" priority="42" operator="containsText" aboveAverage="0" equalAverage="0" bottom="0" percent="0" rank="0" text="Oui" dxfId="59">
      <formula>NOT(ISERROR(SEARCH("Oui",CN35)))</formula>
    </cfRule>
  </conditionalFormatting>
  <conditionalFormatting sqref="CN35">
    <cfRule type="cellIs" priority="43" operator="equal" aboveAverage="0" equalAverage="0" bottom="0" percent="0" rank="0" text="" dxfId="60">
      <formula>0.5</formula>
    </cfRule>
  </conditionalFormatting>
  <conditionalFormatting sqref="CN38:CN40">
    <cfRule type="containsText" priority="44" operator="containsText" aboveAverage="0" equalAverage="0" bottom="0" percent="0" rank="0" text="Oui" dxfId="61">
      <formula>NOT(ISERROR(SEARCH("Oui",CN38)))</formula>
    </cfRule>
    <cfRule type="cellIs" priority="45" operator="equal" aboveAverage="0" equalAverage="0" bottom="0" percent="0" rank="0" text="" dxfId="62">
      <formula>0.5</formula>
    </cfRule>
  </conditionalFormatting>
  <conditionalFormatting sqref="CN45">
    <cfRule type="containsText" priority="46" operator="containsText" aboveAverage="0" equalAverage="0" bottom="0" percent="0" rank="0" text="Oui" dxfId="63">
      <formula>NOT(ISERROR(SEARCH("Oui",CN45)))</formula>
    </cfRule>
  </conditionalFormatting>
  <conditionalFormatting sqref="CN45">
    <cfRule type="cellIs" priority="47" operator="equal" aboveAverage="0" equalAverage="0" bottom="0" percent="0" rank="0" text="" dxfId="64">
      <formula>0.5</formula>
    </cfRule>
  </conditionalFormatting>
  <conditionalFormatting sqref="CN129">
    <cfRule type="containsText" priority="48" operator="containsText" aboveAverage="0" equalAverage="0" bottom="0" percent="0" rank="0" text="Oui" dxfId="65">
      <formula>NOT(ISERROR(SEARCH("Oui",CN129)))</formula>
    </cfRule>
  </conditionalFormatting>
  <conditionalFormatting sqref="CN129">
    <cfRule type="cellIs" priority="49" operator="equal" aboveAverage="0" equalAverage="0" bottom="0" percent="0" rank="0" text="" dxfId="66">
      <formula>0.5</formula>
    </cfRule>
  </conditionalFormatting>
  <conditionalFormatting sqref="CN120">
    <cfRule type="containsText" priority="50" operator="containsText" aboveAverage="0" equalAverage="0" bottom="0" percent="0" rank="0" text="Oui" dxfId="67">
      <formula>NOT(ISERROR(SEARCH("Oui",CN120)))</formula>
    </cfRule>
  </conditionalFormatting>
  <conditionalFormatting sqref="CN120">
    <cfRule type="cellIs" priority="51" operator="equal" aboveAverage="0" equalAverage="0" bottom="0" percent="0" rank="0" text="" dxfId="68">
      <formula>0.5</formula>
    </cfRule>
  </conditionalFormatting>
  <conditionalFormatting sqref="CN111">
    <cfRule type="containsText" priority="52" operator="containsText" aboveAverage="0" equalAverage="0" bottom="0" percent="0" rank="0" text="Oui" dxfId="69">
      <formula>NOT(ISERROR(SEARCH("Oui",CN111)))</formula>
    </cfRule>
  </conditionalFormatting>
  <conditionalFormatting sqref="CN111">
    <cfRule type="cellIs" priority="53" operator="equal" aboveAverage="0" equalAverage="0" bottom="0" percent="0" rank="0" text="" dxfId="70">
      <formula>0.5</formula>
    </cfRule>
  </conditionalFormatting>
  <conditionalFormatting sqref="CN109">
    <cfRule type="containsText" priority="54" operator="containsText" aboveAverage="0" equalAverage="0" bottom="0" percent="0" rank="0" text="Oui" dxfId="71">
      <formula>NOT(ISERROR(SEARCH("Oui",CN109)))</formula>
    </cfRule>
  </conditionalFormatting>
  <conditionalFormatting sqref="CN109">
    <cfRule type="cellIs" priority="55" operator="equal" aboveAverage="0" equalAverage="0" bottom="0" percent="0" rank="0" text="" dxfId="72">
      <formula>0.5</formula>
    </cfRule>
  </conditionalFormatting>
  <conditionalFormatting sqref="CN106 CN102:CN103">
    <cfRule type="containsText" priority="56" operator="containsText" aboveAverage="0" equalAverage="0" bottom="0" percent="0" rank="0" text="Oui" dxfId="73">
      <formula>NOT(ISERROR(SEARCH("Oui",CN102)))</formula>
    </cfRule>
    <cfRule type="cellIs" priority="57" operator="equal" aboveAverage="0" equalAverage="0" bottom="0" percent="0" rank="0" text="" dxfId="74">
      <formula>0.5</formula>
    </cfRule>
  </conditionalFormatting>
  <conditionalFormatting sqref="CN99">
    <cfRule type="containsText" priority="58" operator="containsText" aboveAverage="0" equalAverage="0" bottom="0" percent="0" rank="0" text="Oui" dxfId="75">
      <formula>NOT(ISERROR(SEARCH("Oui",CN99)))</formula>
    </cfRule>
  </conditionalFormatting>
  <conditionalFormatting sqref="CN99">
    <cfRule type="cellIs" priority="59" operator="equal" aboveAverage="0" equalAverage="0" bottom="0" percent="0" rank="0" text="" dxfId="76">
      <formula>0.5</formula>
    </cfRule>
  </conditionalFormatting>
  <conditionalFormatting sqref="CN96">
    <cfRule type="containsText" priority="60" operator="containsText" aboveAverage="0" equalAverage="0" bottom="0" percent="0" rank="0" text="Oui" dxfId="77">
      <formula>NOT(ISERROR(SEARCH("Oui",CN96)))</formula>
    </cfRule>
  </conditionalFormatting>
  <conditionalFormatting sqref="CN96">
    <cfRule type="cellIs" priority="61" operator="equal" aboveAverage="0" equalAverage="0" bottom="0" percent="0" rank="0" text="" dxfId="78">
      <formula>0.5</formula>
    </cfRule>
  </conditionalFormatting>
  <conditionalFormatting sqref="CN90:CN92 CN87:CN88">
    <cfRule type="containsText" priority="62" operator="containsText" aboveAverage="0" equalAverage="0" bottom="0" percent="0" rank="0" text="Oui" dxfId="79">
      <formula>NOT(ISERROR(SEARCH("Oui",CN87)))</formula>
    </cfRule>
    <cfRule type="cellIs" priority="63" operator="equal" aboveAverage="0" equalAverage="0" bottom="0" percent="0" rank="0" text="" dxfId="80">
      <formula>0.5</formula>
    </cfRule>
  </conditionalFormatting>
  <conditionalFormatting sqref="CN81 CN79 CN76:CN77 CN74 CN71 CN68:CN69 CN61:CN64">
    <cfRule type="containsText" priority="64" operator="containsText" aboveAverage="0" equalAverage="0" bottom="0" percent="0" rank="0" text="Oui" dxfId="81">
      <formula>NOT(ISERROR(SEARCH("Oui",CN61)))</formula>
    </cfRule>
    <cfRule type="cellIs" priority="65" operator="equal" aboveAverage="0" equalAverage="0" bottom="0" percent="0" rank="0" text="" dxfId="82">
      <formula>0.5</formula>
    </cfRule>
  </conditionalFormatting>
  <conditionalFormatting sqref="CN58:CN59">
    <cfRule type="containsText" priority="66" operator="containsText" aboveAverage="0" equalAverage="0" bottom="0" percent="0" rank="0" text="Oui" dxfId="83">
      <formula>NOT(ISERROR(SEARCH("Oui",CN58)))</formula>
    </cfRule>
    <cfRule type="cellIs" priority="67" operator="equal" aboveAverage="0" equalAverage="0" bottom="0" percent="0" rank="0" text="" dxfId="84">
      <formula>0.5</formula>
    </cfRule>
  </conditionalFormatting>
  <conditionalFormatting sqref="CN53:CN57">
    <cfRule type="containsText" priority="68" operator="containsText" aboveAverage="0" equalAverage="0" bottom="0" percent="0" rank="0" text="Oui" dxfId="85">
      <formula>NOT(ISERROR(SEARCH("Oui",CN53)))</formula>
    </cfRule>
    <cfRule type="cellIs" priority="69" operator="equal" aboveAverage="0" equalAverage="0" bottom="0" percent="0" rank="0" text="" dxfId="86">
      <formula>0.5</formula>
    </cfRule>
  </conditionalFormatting>
  <conditionalFormatting sqref="CN50">
    <cfRule type="containsText" priority="70" operator="containsText" aboveAverage="0" equalAverage="0" bottom="0" percent="0" rank="0" text="Oui" dxfId="87">
      <formula>NOT(ISERROR(SEARCH("Oui",CN50)))</formula>
    </cfRule>
  </conditionalFormatting>
  <conditionalFormatting sqref="CN50">
    <cfRule type="cellIs" priority="71" operator="equal" aboveAverage="0" equalAverage="0" bottom="0" percent="0" rank="0" text="" dxfId="88">
      <formula>0.5</formula>
    </cfRule>
  </conditionalFormatting>
  <conditionalFormatting sqref="CN130 CN133:CN141">
    <cfRule type="containsText" priority="72" operator="containsText" aboveAverage="0" equalAverage="0" bottom="0" percent="0" rank="0" text="Oui" dxfId="89">
      <formula>NOT(ISERROR(SEARCH("Oui",CN130)))</formula>
    </cfRule>
    <cfRule type="cellIs" priority="73" operator="equal" aboveAverage="0" equalAverage="0" bottom="0" percent="0" rank="0" text="" dxfId="90">
      <formula>0.5</formula>
    </cfRule>
  </conditionalFormatting>
  <conditionalFormatting sqref="CI112">
    <cfRule type="containsText" priority="74" operator="containsText" aboveAverage="0" equalAverage="0" bottom="0" percent="0" rank="0" text="Oui" dxfId="91">
      <formula>NOT(ISERROR(SEARCH("Oui",CI112)))</formula>
    </cfRule>
  </conditionalFormatting>
  <conditionalFormatting sqref="CI112">
    <cfRule type="cellIs" priority="75" operator="equal" aboveAverage="0" equalAverage="0" bottom="0" percent="0" rank="0" text="" dxfId="92">
      <formula>0.5</formula>
    </cfRule>
  </conditionalFormatting>
  <conditionalFormatting sqref="CI80">
    <cfRule type="containsText" priority="76" operator="containsText" aboveAverage="0" equalAverage="0" bottom="0" percent="0" rank="0" text="Oui" dxfId="93">
      <formula>NOT(ISERROR(SEARCH("Oui",CI80)))</formula>
    </cfRule>
  </conditionalFormatting>
  <conditionalFormatting sqref="CI80">
    <cfRule type="cellIs" priority="77" operator="equal" aboveAverage="0" equalAverage="0" bottom="0" percent="0" rank="0" text="" dxfId="94">
      <formula>0.5</formula>
    </cfRule>
  </conditionalFormatting>
  <conditionalFormatting sqref="CI105 CI101">
    <cfRule type="containsText" priority="78" operator="containsText" aboveAverage="0" equalAverage="0" bottom="0" percent="0" rank="0" text="Oui" dxfId="95">
      <formula>NOT(ISERROR(SEARCH("Oui",CI101)))</formula>
    </cfRule>
    <cfRule type="cellIs" priority="79" operator="equal" aboveAverage="0" equalAverage="0" bottom="0" percent="0" rank="0" text="" dxfId="96">
      <formula>0.5</formula>
    </cfRule>
  </conditionalFormatting>
  <conditionalFormatting sqref="CI93">
    <cfRule type="containsText" priority="80" operator="containsText" aboveAverage="0" equalAverage="0" bottom="0" percent="0" rank="0" text="Oui" dxfId="97">
      <formula>NOT(ISERROR(SEARCH("Oui",CI93)))</formula>
    </cfRule>
  </conditionalFormatting>
  <conditionalFormatting sqref="CI93">
    <cfRule type="cellIs" priority="81" operator="equal" aboveAverage="0" equalAverage="0" bottom="0" percent="0" rank="0" text="" dxfId="98">
      <formula>0.5</formula>
    </cfRule>
  </conditionalFormatting>
  <conditionalFormatting sqref="CI47">
    <cfRule type="containsText" priority="82" operator="containsText" aboveAverage="0" equalAverage="0" bottom="0" percent="0" rank="0" text="Oui" dxfId="99">
      <formula>NOT(ISERROR(SEARCH("Oui",CI47)))</formula>
    </cfRule>
  </conditionalFormatting>
  <conditionalFormatting sqref="CI47">
    <cfRule type="cellIs" priority="83" operator="equal" aboveAverage="0" equalAverage="0" bottom="0" percent="0" rank="0" text="" dxfId="100">
      <formula>0.5</formula>
    </cfRule>
  </conditionalFormatting>
  <conditionalFormatting sqref="CI34">
    <cfRule type="containsText" priority="84" operator="containsText" aboveAverage="0" equalAverage="0" bottom="0" percent="0" rank="0" text="Oui" dxfId="101">
      <formula>NOT(ISERROR(SEARCH("Oui",CI34)))</formula>
    </cfRule>
  </conditionalFormatting>
  <conditionalFormatting sqref="CI34">
    <cfRule type="cellIs" priority="85" operator="equal" aboveAverage="0" equalAverage="0" bottom="0" percent="0" rank="0" text="" dxfId="102">
      <formula>0.5</formula>
    </cfRule>
  </conditionalFormatting>
  <conditionalFormatting sqref="CI12:CI13">
    <cfRule type="containsText" priority="86" operator="containsText" aboveAverage="0" equalAverage="0" bottom="0" percent="0" rank="0" text="Oui" dxfId="103">
      <formula>NOT(ISERROR(SEARCH("Oui",CI12)))</formula>
    </cfRule>
    <cfRule type="cellIs" priority="87" operator="equal" aboveAverage="0" equalAverage="0" bottom="0" percent="0" rank="0" text="" dxfId="104">
      <formula>0.5</formula>
    </cfRule>
  </conditionalFormatting>
  <conditionalFormatting sqref="CI104 CI98 CI94 CI89 CI84:CI86">
    <cfRule type="containsText" priority="88" operator="containsText" aboveAverage="0" equalAverage="0" bottom="0" percent="0" rank="0" text="Oui" dxfId="105">
      <formula>NOT(ISERROR(SEARCH("Oui",CI84)))</formula>
    </cfRule>
    <cfRule type="cellIs" priority="89" operator="equal" aboveAverage="0" equalAverage="0" bottom="0" percent="0" rank="0" text="" dxfId="106">
      <formula>0.5</formula>
    </cfRule>
  </conditionalFormatting>
  <conditionalFormatting sqref="CI82 CI78 CI75 CI72:CI73 CI70 CI65:CI67">
    <cfRule type="containsText" priority="90" operator="containsText" aboveAverage="0" equalAverage="0" bottom="0" percent="0" rank="0" text="Oui" dxfId="107">
      <formula>NOT(ISERROR(SEARCH("Oui",CI65)))</formula>
    </cfRule>
    <cfRule type="cellIs" priority="91" operator="equal" aboveAverage="0" equalAverage="0" bottom="0" percent="0" rank="0" text="" dxfId="108">
      <formula>0.5</formula>
    </cfRule>
  </conditionalFormatting>
  <conditionalFormatting sqref="CI36 CI29:CI30 CI26:CI27 CI22:CI24 CI19 CI14">
    <cfRule type="containsText" priority="92" operator="containsText" aboveAverage="0" equalAverage="0" bottom="0" percent="0" rank="0" text="Oui" dxfId="109">
      <formula>NOT(ISERROR(SEARCH("Oui",CI14)))</formula>
    </cfRule>
    <cfRule type="cellIs" priority="93" operator="equal" aboveAverage="0" equalAverage="0" bottom="0" percent="0" rank="0" text="" dxfId="110">
      <formula>0.5</formula>
    </cfRule>
  </conditionalFormatting>
  <conditionalFormatting sqref="CG104 CG98">
    <cfRule type="containsText" priority="94" operator="containsText" aboveAverage="0" equalAverage="0" bottom="0" percent="0" rank="0" text="Oui" dxfId="111">
      <formula>NOT(ISERROR(SEARCH("Oui",CG98)))</formula>
    </cfRule>
    <cfRule type="cellIs" priority="95" operator="equal" aboveAverage="0" equalAverage="0" bottom="0" percent="0" rank="0" text="" dxfId="112">
      <formula>0.5</formula>
    </cfRule>
  </conditionalFormatting>
  <conditionalFormatting sqref="CG89 CG84:CG86">
    <cfRule type="containsText" priority="96" operator="containsText" aboveAverage="0" equalAverage="0" bottom="0" percent="0" rank="0" text="Oui" dxfId="113">
      <formula>NOT(ISERROR(SEARCH("Oui",CG84)))</formula>
    </cfRule>
    <cfRule type="cellIs" priority="97" operator="equal" aboveAverage="0" equalAverage="0" bottom="0" percent="0" rank="0" text="" dxfId="114">
      <formula>0.5</formula>
    </cfRule>
  </conditionalFormatting>
  <conditionalFormatting sqref="CG78 CG75 CG72:CG73 CG70 CG65:CG67">
    <cfRule type="containsText" priority="98" operator="containsText" aboveAverage="0" equalAverage="0" bottom="0" percent="0" rank="0" text="Oui" dxfId="115">
      <formula>NOT(ISERROR(SEARCH("Oui",CG65)))</formula>
    </cfRule>
    <cfRule type="cellIs" priority="99" operator="equal" aboveAverage="0" equalAverage="0" bottom="0" percent="0" rank="0" text="" dxfId="116">
      <formula>0.5</formula>
    </cfRule>
  </conditionalFormatting>
  <conditionalFormatting sqref="CG36 CG29:CG30 CG26:CG27 CG22:CG24 CG19">
    <cfRule type="containsText" priority="100" operator="containsText" aboveAverage="0" equalAverage="0" bottom="0" percent="0" rank="0" text="Oui" dxfId="117">
      <formula>NOT(ISERROR(SEARCH("Oui",CG19)))</formula>
    </cfRule>
    <cfRule type="cellIs" priority="101" operator="equal" aboveAverage="0" equalAverage="0" bottom="0" percent="0" rank="0" text="" dxfId="118">
      <formula>0.5</formula>
    </cfRule>
  </conditionalFormatting>
  <conditionalFormatting sqref="CG14">
    <cfRule type="containsText" priority="102" operator="containsText" aboveAverage="0" equalAverage="0" bottom="0" percent="0" rank="0" text="Oui" dxfId="119">
      <formula>NOT(ISERROR(SEARCH("Oui",CG14)))</formula>
    </cfRule>
  </conditionalFormatting>
  <conditionalFormatting sqref="CG14">
    <cfRule type="cellIs" priority="103" operator="equal" aboveAverage="0" equalAverage="0" bottom="0" percent="0" rank="0" text="" dxfId="120">
      <formula>0.5</formula>
    </cfRule>
  </conditionalFormatting>
  <conditionalFormatting sqref="CG120">
    <cfRule type="containsText" priority="104" operator="containsText" aboveAverage="0" equalAverage="0" bottom="0" percent="0" rank="0" text="Oui" dxfId="121">
      <formula>NOT(ISERROR(SEARCH("Oui",CG120)))</formula>
    </cfRule>
  </conditionalFormatting>
  <conditionalFormatting sqref="CG120">
    <cfRule type="cellIs" priority="105" operator="equal" aboveAverage="0" equalAverage="0" bottom="0" percent="0" rank="0" text="" dxfId="122">
      <formula>0.5</formula>
    </cfRule>
  </conditionalFormatting>
  <conditionalFormatting sqref="CG111:CG112">
    <cfRule type="containsText" priority="106" operator="containsText" aboveAverage="0" equalAverage="0" bottom="0" percent="0" rank="0" text="Oui" dxfId="123">
      <formula>NOT(ISERROR(SEARCH("Oui",CG111)))</formula>
    </cfRule>
    <cfRule type="cellIs" priority="107" operator="equal" aboveAverage="0" equalAverage="0" bottom="0" percent="0" rank="0" text="" dxfId="124">
      <formula>0.5</formula>
    </cfRule>
  </conditionalFormatting>
  <conditionalFormatting sqref="CG105:CG106 CG101:CG103">
    <cfRule type="containsText" priority="108" operator="containsText" aboveAverage="0" equalAverage="0" bottom="0" percent="0" rank="0" text="Oui" dxfId="125">
      <formula>NOT(ISERROR(SEARCH("Oui",CG101)))</formula>
    </cfRule>
    <cfRule type="cellIs" priority="109" operator="equal" aboveAverage="0" equalAverage="0" bottom="0" percent="0" rank="0" text="" dxfId="126">
      <formula>0.5</formula>
    </cfRule>
  </conditionalFormatting>
  <conditionalFormatting sqref="CG99">
    <cfRule type="containsText" priority="110" operator="containsText" aboveAverage="0" equalAverage="0" bottom="0" percent="0" rank="0" text="Oui" dxfId="127">
      <formula>NOT(ISERROR(SEARCH("Oui",CG99)))</formula>
    </cfRule>
  </conditionalFormatting>
  <conditionalFormatting sqref="CG99">
    <cfRule type="cellIs" priority="111" operator="equal" aboveAverage="0" equalAverage="0" bottom="0" percent="0" rank="0" text="" dxfId="128">
      <formula>0.5</formula>
    </cfRule>
  </conditionalFormatting>
  <conditionalFormatting sqref="CG90:CG93 CG88">
    <cfRule type="containsText" priority="112" operator="containsText" aboveAverage="0" equalAverage="0" bottom="0" percent="0" rank="0" text="Oui" dxfId="129">
      <formula>NOT(ISERROR(SEARCH("Oui",CG88)))</formula>
    </cfRule>
    <cfRule type="cellIs" priority="113" operator="equal" aboveAverage="0" equalAverage="0" bottom="0" percent="0" rank="0" text="" dxfId="130">
      <formula>0.5</formula>
    </cfRule>
  </conditionalFormatting>
  <conditionalFormatting sqref="CG83 CG80:CG81">
    <cfRule type="containsText" priority="114" operator="containsText" aboveAverage="0" equalAverage="0" bottom="0" percent="0" rank="0" text="Oui" dxfId="131">
      <formula>NOT(ISERROR(SEARCH("Oui",CG80)))</formula>
    </cfRule>
    <cfRule type="cellIs" priority="115" operator="equal" aboveAverage="0" equalAverage="0" bottom="0" percent="0" rank="0" text="" dxfId="132">
      <formula>0.5</formula>
    </cfRule>
  </conditionalFormatting>
  <conditionalFormatting sqref="CG76:CG77 CG74 CG71 CG68:CG69 CG61:CG64">
    <cfRule type="containsText" priority="116" operator="containsText" aboveAverage="0" equalAverage="0" bottom="0" percent="0" rank="0" text="Oui" dxfId="133">
      <formula>NOT(ISERROR(SEARCH("Oui",CG61)))</formula>
    </cfRule>
    <cfRule type="cellIs" priority="117" operator="equal" aboveAverage="0" equalAverage="0" bottom="0" percent="0" rank="0" text="" dxfId="134">
      <formula>0.5</formula>
    </cfRule>
  </conditionalFormatting>
  <conditionalFormatting sqref="CG59">
    <cfRule type="containsText" priority="118" operator="containsText" aboveAverage="0" equalAverage="0" bottom="0" percent="0" rank="0" text="Oui" dxfId="135">
      <formula>NOT(ISERROR(SEARCH("Oui",CG59)))</formula>
    </cfRule>
  </conditionalFormatting>
  <conditionalFormatting sqref="CG59">
    <cfRule type="cellIs" priority="119" operator="equal" aboveAverage="0" equalAverage="0" bottom="0" percent="0" rank="0" text="" dxfId="136">
      <formula>0.5</formula>
    </cfRule>
  </conditionalFormatting>
  <conditionalFormatting sqref="CG57">
    <cfRule type="containsText" priority="120" operator="containsText" aboveAverage="0" equalAverage="0" bottom="0" percent="0" rank="0" text="Oui" dxfId="137">
      <formula>NOT(ISERROR(SEARCH("Oui",CG57)))</formula>
    </cfRule>
  </conditionalFormatting>
  <conditionalFormatting sqref="CG57">
    <cfRule type="cellIs" priority="121" operator="equal" aboveAverage="0" equalAverage="0" bottom="0" percent="0" rank="0" text="" dxfId="138">
      <formula>0.5</formula>
    </cfRule>
  </conditionalFormatting>
  <conditionalFormatting sqref="CG53:CG56">
    <cfRule type="containsText" priority="122" operator="containsText" aboveAverage="0" equalAverage="0" bottom="0" percent="0" rank="0" text="Oui" dxfId="139">
      <formula>NOT(ISERROR(SEARCH("Oui",CG53)))</formula>
    </cfRule>
    <cfRule type="cellIs" priority="123" operator="equal" aboveAverage="0" equalAverage="0" bottom="0" percent="0" rank="0" text="" dxfId="140">
      <formula>0.5</formula>
    </cfRule>
  </conditionalFormatting>
  <conditionalFormatting sqref="CG50">
    <cfRule type="containsText" priority="124" operator="containsText" aboveAverage="0" equalAverage="0" bottom="0" percent="0" rank="0" text="Oui" dxfId="141">
      <formula>NOT(ISERROR(SEARCH("Oui",CG50)))</formula>
    </cfRule>
  </conditionalFormatting>
  <conditionalFormatting sqref="CG50">
    <cfRule type="cellIs" priority="125" operator="equal" aboveAverage="0" equalAverage="0" bottom="0" percent="0" rank="0" text="" dxfId="142">
      <formula>0.5</formula>
    </cfRule>
  </conditionalFormatting>
  <conditionalFormatting sqref="CG45">
    <cfRule type="containsText" priority="126" operator="containsText" aboveAverage="0" equalAverage="0" bottom="0" percent="0" rank="0" text="Oui" dxfId="143">
      <formula>NOT(ISERROR(SEARCH("Oui",CG45)))</formula>
    </cfRule>
  </conditionalFormatting>
  <conditionalFormatting sqref="CG45">
    <cfRule type="cellIs" priority="127" operator="equal" aboveAverage="0" equalAverage="0" bottom="0" percent="0" rank="0" text="" dxfId="144">
      <formula>0.5</formula>
    </cfRule>
  </conditionalFormatting>
  <conditionalFormatting sqref="CG39">
    <cfRule type="containsText" priority="128" operator="containsText" aboveAverage="0" equalAverage="0" bottom="0" percent="0" rank="0" text="Oui" dxfId="145">
      <formula>NOT(ISERROR(SEARCH("Oui",CG39)))</formula>
    </cfRule>
  </conditionalFormatting>
  <conditionalFormatting sqref="CG39">
    <cfRule type="cellIs" priority="129" operator="equal" aboveAverage="0" equalAverage="0" bottom="0" percent="0" rank="0" text="" dxfId="146">
      <formula>0.5</formula>
    </cfRule>
  </conditionalFormatting>
  <conditionalFormatting sqref="CG31:CG35 CG28 CG25 CG20:CG21 CG18">
    <cfRule type="containsText" priority="130" operator="containsText" aboveAverage="0" equalAverage="0" bottom="0" percent="0" rank="0" text="Oui" dxfId="147">
      <formula>NOT(ISERROR(SEARCH("Oui",CG18)))</formula>
    </cfRule>
    <cfRule type="cellIs" priority="131" operator="equal" aboveAverage="0" equalAverage="0" bottom="0" percent="0" rank="0" text="" dxfId="148">
      <formula>0.5</formula>
    </cfRule>
  </conditionalFormatting>
  <conditionalFormatting sqref="CG10:CG12">
    <cfRule type="containsText" priority="132" operator="containsText" aboveAverage="0" equalAverage="0" bottom="0" percent="0" rank="0" text="Oui" dxfId="149">
      <formula>NOT(ISERROR(SEARCH("Oui",CG10)))</formula>
    </cfRule>
    <cfRule type="cellIs" priority="133" operator="equal" aboveAverage="0" equalAverage="0" bottom="0" percent="0" rank="0" text="" dxfId="150">
      <formula>0.5</formula>
    </cfRule>
  </conditionalFormatting>
  <conditionalFormatting sqref="BU10:CE129">
    <cfRule type="cellIs" priority="134" operator="greaterThanOrEqual" aboveAverage="0" equalAverage="0" bottom="0" percent="0" rank="0" text="" dxfId="151">
      <formula>1.5</formula>
    </cfRule>
    <cfRule type="cellIs" priority="135" operator="greaterThanOrEqual" aboveAverage="0" equalAverage="0" bottom="0" percent="0" rank="0" text="" dxfId="152">
      <formula>1</formula>
    </cfRule>
  </conditionalFormatting>
  <conditionalFormatting sqref="CI10:CI11">
    <cfRule type="containsText" priority="136" operator="containsText" aboveAverage="0" equalAverage="0" bottom="0" percent="0" rank="0" text="Oui" dxfId="153">
      <formula>NOT(ISERROR(SEARCH("Oui",CI10)))</formula>
    </cfRule>
    <cfRule type="cellIs" priority="137" operator="equal" aboveAverage="0" equalAverage="0" bottom="0" percent="0" rank="0" text="" dxfId="154">
      <formula>0.5</formula>
    </cfRule>
  </conditionalFormatting>
  <conditionalFormatting sqref="CI31:CI33 CI28 CI25 CI20:CI21 CI18">
    <cfRule type="containsText" priority="138" operator="containsText" aboveAverage="0" equalAverage="0" bottom="0" percent="0" rank="0" text="Oui" dxfId="155">
      <formula>NOT(ISERROR(SEARCH("Oui",CI18)))</formula>
    </cfRule>
    <cfRule type="cellIs" priority="139" operator="equal" aboveAverage="0" equalAverage="0" bottom="0" percent="0" rank="0" text="" dxfId="156">
      <formula>0.5</formula>
    </cfRule>
  </conditionalFormatting>
  <conditionalFormatting sqref="CI35">
    <cfRule type="containsText" priority="140" operator="containsText" aboveAverage="0" equalAverage="0" bottom="0" percent="0" rank="0" text="Oui" dxfId="157">
      <formula>NOT(ISERROR(SEARCH("Oui",CI35)))</formula>
    </cfRule>
  </conditionalFormatting>
  <conditionalFormatting sqref="CI35">
    <cfRule type="cellIs" priority="141" operator="equal" aboveAverage="0" equalAverage="0" bottom="0" percent="0" rank="0" text="" dxfId="158">
      <formula>0.5</formula>
    </cfRule>
  </conditionalFormatting>
  <conditionalFormatting sqref="CI38:CI40">
    <cfRule type="containsText" priority="142" operator="containsText" aboveAverage="0" equalAverage="0" bottom="0" percent="0" rank="0" text="Oui" dxfId="159">
      <formula>NOT(ISERROR(SEARCH("Oui",CI38)))</formula>
    </cfRule>
    <cfRule type="cellIs" priority="143" operator="equal" aboveAverage="0" equalAverage="0" bottom="0" percent="0" rank="0" text="" dxfId="160">
      <formula>0.5</formula>
    </cfRule>
  </conditionalFormatting>
  <conditionalFormatting sqref="CI45">
    <cfRule type="containsText" priority="144" operator="containsText" aboveAverage="0" equalAverage="0" bottom="0" percent="0" rank="0" text="Oui" dxfId="161">
      <formula>NOT(ISERROR(SEARCH("Oui",CI45)))</formula>
    </cfRule>
  </conditionalFormatting>
  <conditionalFormatting sqref="CI45">
    <cfRule type="cellIs" priority="145" operator="equal" aboveAverage="0" equalAverage="0" bottom="0" percent="0" rank="0" text="" dxfId="162">
      <formula>0.5</formula>
    </cfRule>
  </conditionalFormatting>
  <conditionalFormatting sqref="CI129">
    <cfRule type="containsText" priority="146" operator="containsText" aboveAverage="0" equalAverage="0" bottom="0" percent="0" rank="0" text="Oui" dxfId="163">
      <formula>NOT(ISERROR(SEARCH("Oui",CI129)))</formula>
    </cfRule>
  </conditionalFormatting>
  <conditionalFormatting sqref="CI129">
    <cfRule type="cellIs" priority="147" operator="equal" aboveAverage="0" equalAverage="0" bottom="0" percent="0" rank="0" text="" dxfId="164">
      <formula>0.5</formula>
    </cfRule>
  </conditionalFormatting>
  <conditionalFormatting sqref="CI120">
    <cfRule type="containsText" priority="148" operator="containsText" aboveAverage="0" equalAverage="0" bottom="0" percent="0" rank="0" text="Oui" dxfId="165">
      <formula>NOT(ISERROR(SEARCH("Oui",CI120)))</formula>
    </cfRule>
  </conditionalFormatting>
  <conditionalFormatting sqref="CI120">
    <cfRule type="cellIs" priority="149" operator="equal" aboveAverage="0" equalAverage="0" bottom="0" percent="0" rank="0" text="" dxfId="166">
      <formula>0.5</formula>
    </cfRule>
  </conditionalFormatting>
  <conditionalFormatting sqref="CI111">
    <cfRule type="containsText" priority="150" operator="containsText" aboveAverage="0" equalAverage="0" bottom="0" percent="0" rank="0" text="Oui" dxfId="167">
      <formula>NOT(ISERROR(SEARCH("Oui",CI111)))</formula>
    </cfRule>
  </conditionalFormatting>
  <conditionalFormatting sqref="CI111">
    <cfRule type="cellIs" priority="151" operator="equal" aboveAverage="0" equalAverage="0" bottom="0" percent="0" rank="0" text="" dxfId="168">
      <formula>0.5</formula>
    </cfRule>
  </conditionalFormatting>
  <conditionalFormatting sqref="CI109">
    <cfRule type="containsText" priority="152" operator="containsText" aboveAverage="0" equalAverage="0" bottom="0" percent="0" rank="0" text="Oui" dxfId="169">
      <formula>NOT(ISERROR(SEARCH("Oui",CI109)))</formula>
    </cfRule>
  </conditionalFormatting>
  <conditionalFormatting sqref="CI109">
    <cfRule type="cellIs" priority="153" operator="equal" aboveAverage="0" equalAverage="0" bottom="0" percent="0" rank="0" text="" dxfId="170">
      <formula>0.5</formula>
    </cfRule>
  </conditionalFormatting>
  <conditionalFormatting sqref="CI106 CI102:CI103">
    <cfRule type="containsText" priority="154" operator="containsText" aboveAverage="0" equalAverage="0" bottom="0" percent="0" rank="0" text="Oui" dxfId="171">
      <formula>NOT(ISERROR(SEARCH("Oui",CI102)))</formula>
    </cfRule>
    <cfRule type="cellIs" priority="155" operator="equal" aboveAverage="0" equalAverage="0" bottom="0" percent="0" rank="0" text="" dxfId="172">
      <formula>0.5</formula>
    </cfRule>
  </conditionalFormatting>
  <conditionalFormatting sqref="CI99">
    <cfRule type="containsText" priority="156" operator="containsText" aboveAverage="0" equalAverage="0" bottom="0" percent="0" rank="0" text="Oui" dxfId="173">
      <formula>NOT(ISERROR(SEARCH("Oui",CI99)))</formula>
    </cfRule>
  </conditionalFormatting>
  <conditionalFormatting sqref="CI99">
    <cfRule type="cellIs" priority="157" operator="equal" aboveAverage="0" equalAverage="0" bottom="0" percent="0" rank="0" text="" dxfId="174">
      <formula>0.5</formula>
    </cfRule>
  </conditionalFormatting>
  <conditionalFormatting sqref="CI96">
    <cfRule type="containsText" priority="158" operator="containsText" aboveAverage="0" equalAverage="0" bottom="0" percent="0" rank="0" text="Oui" dxfId="175">
      <formula>NOT(ISERROR(SEARCH("Oui",CI96)))</formula>
    </cfRule>
  </conditionalFormatting>
  <conditionalFormatting sqref="CI96">
    <cfRule type="cellIs" priority="159" operator="equal" aboveAverage="0" equalAverage="0" bottom="0" percent="0" rank="0" text="" dxfId="176">
      <formula>0.5</formula>
    </cfRule>
  </conditionalFormatting>
  <conditionalFormatting sqref="CI90:CI92 CI87:CI88">
    <cfRule type="containsText" priority="160" operator="containsText" aboveAverage="0" equalAverage="0" bottom="0" percent="0" rank="0" text="Oui" dxfId="177">
      <formula>NOT(ISERROR(SEARCH("Oui",CI87)))</formula>
    </cfRule>
    <cfRule type="cellIs" priority="161" operator="equal" aboveAverage="0" equalAverage="0" bottom="0" percent="0" rank="0" text="" dxfId="178">
      <formula>0.5</formula>
    </cfRule>
  </conditionalFormatting>
  <conditionalFormatting sqref="CI83 CI81 CI79 CI76:CI77 CI74 CI71 CI68:CI69 CI61:CI64">
    <cfRule type="containsText" priority="162" operator="containsText" aboveAverage="0" equalAverage="0" bottom="0" percent="0" rank="0" text="Oui" dxfId="179">
      <formula>NOT(ISERROR(SEARCH("Oui",CI61)))</formula>
    </cfRule>
    <cfRule type="cellIs" priority="163" operator="equal" aboveAverage="0" equalAverage="0" bottom="0" percent="0" rank="0" text="" dxfId="180">
      <formula>0.5</formula>
    </cfRule>
  </conditionalFormatting>
  <conditionalFormatting sqref="CI58:CI59">
    <cfRule type="containsText" priority="164" operator="containsText" aboveAverage="0" equalAverage="0" bottom="0" percent="0" rank="0" text="Oui" dxfId="181">
      <formula>NOT(ISERROR(SEARCH("Oui",CI58)))</formula>
    </cfRule>
    <cfRule type="cellIs" priority="165" operator="equal" aboveAverage="0" equalAverage="0" bottom="0" percent="0" rank="0" text="" dxfId="182">
      <formula>0.5</formula>
    </cfRule>
  </conditionalFormatting>
  <conditionalFormatting sqref="CI53:CI57">
    <cfRule type="containsText" priority="166" operator="containsText" aboveAverage="0" equalAverage="0" bottom="0" percent="0" rank="0" text="Oui" dxfId="183">
      <formula>NOT(ISERROR(SEARCH("Oui",CI53)))</formula>
    </cfRule>
    <cfRule type="cellIs" priority="167" operator="equal" aboveAverage="0" equalAverage="0" bottom="0" percent="0" rank="0" text="" dxfId="184">
      <formula>0.5</formula>
    </cfRule>
  </conditionalFormatting>
  <conditionalFormatting sqref="CI50">
    <cfRule type="containsText" priority="168" operator="containsText" aboveAverage="0" equalAverage="0" bottom="0" percent="0" rank="0" text="Oui" dxfId="185">
      <formula>NOT(ISERROR(SEARCH("Oui",CI50)))</formula>
    </cfRule>
  </conditionalFormatting>
  <conditionalFormatting sqref="CI50">
    <cfRule type="cellIs" priority="169" operator="equal" aboveAverage="0" equalAverage="0" bottom="0" percent="0" rank="0" text="" dxfId="186">
      <formula>0.5</formula>
    </cfRule>
  </conditionalFormatting>
  <conditionalFormatting sqref="BN130">
    <cfRule type="containsText" priority="170" operator="containsText" aboveAverage="0" equalAverage="0" bottom="0" percent="0" rank="0" text="Oui" dxfId="187">
      <formula>NOT(ISERROR(SEARCH("Oui",BN130)))</formula>
    </cfRule>
    <cfRule type="cellIs" priority="171" operator="equal" aboveAverage="0" equalAverage="0" bottom="0" percent="0" rank="0" text="" dxfId="188">
      <formula>0.5</formula>
    </cfRule>
  </conditionalFormatting>
  <conditionalFormatting sqref="BN133:BN141">
    <cfRule type="containsText" priority="172" operator="containsText" aboveAverage="0" equalAverage="0" bottom="0" percent="0" rank="0" text="Oui" dxfId="189">
      <formula>NOT(ISERROR(SEARCH("Oui",BN133)))</formula>
    </cfRule>
    <cfRule type="cellIs" priority="173" operator="equal" aboveAverage="0" equalAverage="0" bottom="0" percent="0" rank="0" text="" dxfId="190">
      <formula>0.5</formula>
    </cfRule>
  </conditionalFormatting>
  <conditionalFormatting sqref="CG130 CG133:CG141 CI130:CL130 CI133:CL141">
    <cfRule type="containsText" priority="174" operator="containsText" aboveAverage="0" equalAverage="0" bottom="0" percent="0" rank="0" text="Oui" dxfId="191">
      <formula>NOT(ISERROR(SEARCH("Oui",CG130)))</formula>
    </cfRule>
  </conditionalFormatting>
  <conditionalFormatting sqref="CG130">
    <cfRule type="cellIs" priority="175" operator="equal" aboveAverage="0" equalAverage="0" bottom="0" percent="0" rank="0" text="" dxfId="192">
      <formula>0.5</formula>
    </cfRule>
  </conditionalFormatting>
  <conditionalFormatting sqref="BU130:BV130">
    <cfRule type="cellIs" priority="176" operator="between" aboveAverage="0" equalAverage="0" bottom="0" percent="0" rank="0" text="" dxfId="193">
      <formula>0.49</formula>
      <formula>0.99</formula>
    </cfRule>
    <cfRule type="cellIs" priority="177" operator="greaterThan" aboveAverage="0" equalAverage="0" bottom="0" percent="0" rank="0" text="" dxfId="194">
      <formula>0.99</formula>
    </cfRule>
  </conditionalFormatting>
  <conditionalFormatting sqref="CG133:CG141 CI130:CL130 CI133:CL141">
    <cfRule type="cellIs" priority="178" operator="equal" aboveAverage="0" equalAverage="0" bottom="0" percent="0" rank="0" text="" dxfId="195">
      <formula>0.5</formula>
    </cfRule>
  </conditionalFormatting>
  <conditionalFormatting sqref="BU133:BV133 BU141:BV141">
    <cfRule type="cellIs" priority="179" operator="between" aboveAverage="0" equalAverage="0" bottom="0" percent="0" rank="0" text="" dxfId="196">
      <formula>0.49</formula>
      <formula>0.99</formula>
    </cfRule>
    <cfRule type="cellIs" priority="180" operator="greaterThan" aboveAverage="0" equalAverage="0" bottom="0" percent="0" rank="0" text="" dxfId="197">
      <formula>0.99</formula>
    </cfRule>
  </conditionalFormatting>
  <conditionalFormatting sqref="CO130:CP130">
    <cfRule type="containsText" priority="181" operator="containsText" aboveAverage="0" equalAverage="0" bottom="0" percent="0" rank="0" text="Oui" dxfId="198">
      <formula>NOT(ISERROR(SEARCH("Oui",CO130)))</formula>
    </cfRule>
    <cfRule type="cellIs" priority="182" operator="equal" aboveAverage="0" equalAverage="0" bottom="0" percent="0" rank="0" text="" dxfId="199">
      <formula>0.5</formula>
    </cfRule>
  </conditionalFormatting>
  <conditionalFormatting sqref="CO134:CO140 CO133:CX133 CO141:CX141 CQ130:CX130">
    <cfRule type="containsText" priority="183" operator="containsText" aboveAverage="0" equalAverage="0" bottom="0" percent="0" rank="0" text="Oui" dxfId="200">
      <formula>NOT(ISERROR(SEARCH("Oui",CO130)))</formula>
    </cfRule>
    <cfRule type="cellIs" priority="184" operator="equal" aboveAverage="0" equalAverage="0" bottom="0" percent="0" rank="0" text="" dxfId="201">
      <formula>0.5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N113" activeCellId="0" sqref="N113"/>
    </sheetView>
  </sheetViews>
  <sheetFormatPr defaultColWidth="11.53515625" defaultRowHeight="15" zeroHeight="false" outlineLevelRow="0" outlineLevelCol="0"/>
  <cols>
    <col collapsed="false" customWidth="true" hidden="false" outlineLevel="0" max="1" min="1" style="209" width="8.11"/>
    <col collapsed="false" customWidth="true" hidden="false" outlineLevel="0" max="2" min="2" style="1" width="16.89"/>
    <col collapsed="false" customWidth="true" hidden="false" outlineLevel="0" max="3" min="3" style="1" width="10"/>
    <col collapsed="false" customWidth="true" hidden="false" outlineLevel="0" max="4" min="4" style="1" width="18.88"/>
  </cols>
  <sheetData>
    <row r="1" customFormat="false" ht="15" hidden="false" customHeight="false" outlineLevel="0" collapsed="false">
      <c r="A1" s="263" t="s">
        <v>186</v>
      </c>
      <c r="B1" s="275" t="n">
        <v>45435.625</v>
      </c>
      <c r="C1" s="273" t="n">
        <v>1</v>
      </c>
    </row>
    <row r="2" customFormat="false" ht="15" hidden="false" customHeight="false" outlineLevel="0" collapsed="false">
      <c r="A2" s="306" t="s">
        <v>197</v>
      </c>
      <c r="B2" s="275" t="n">
        <v>45435.625</v>
      </c>
      <c r="C2" s="273" t="n">
        <v>1</v>
      </c>
    </row>
    <row r="3" customFormat="false" ht="15" hidden="false" customHeight="false" outlineLevel="0" collapsed="false">
      <c r="A3" s="306" t="s">
        <v>206</v>
      </c>
      <c r="B3" s="275" t="n">
        <v>45435.625</v>
      </c>
      <c r="C3" s="273" t="n">
        <v>1</v>
      </c>
    </row>
    <row r="4" customFormat="false" ht="15" hidden="false" customHeight="false" outlineLevel="0" collapsed="false">
      <c r="A4" s="306" t="s">
        <v>212</v>
      </c>
      <c r="B4" s="275" t="n">
        <v>45435.625</v>
      </c>
      <c r="C4" s="273" t="n">
        <v>1</v>
      </c>
    </row>
    <row r="5" customFormat="false" ht="15" hidden="false" customHeight="false" outlineLevel="0" collapsed="false">
      <c r="A5" s="306" t="s">
        <v>218</v>
      </c>
      <c r="B5" s="275" t="n">
        <v>45435.625</v>
      </c>
      <c r="C5" s="273" t="n">
        <v>1</v>
      </c>
    </row>
    <row r="6" customFormat="false" ht="15" hidden="false" customHeight="false" outlineLevel="0" collapsed="false">
      <c r="A6" s="306" t="s">
        <v>224</v>
      </c>
      <c r="B6" s="275" t="n">
        <v>45435.625</v>
      </c>
      <c r="C6" s="273" t="n">
        <v>-1</v>
      </c>
    </row>
    <row r="7" customFormat="false" ht="15" hidden="false" customHeight="false" outlineLevel="0" collapsed="false">
      <c r="A7" s="306" t="s">
        <v>233</v>
      </c>
      <c r="B7" s="275" t="n">
        <v>45435.625</v>
      </c>
      <c r="C7" s="273" t="n">
        <v>-1</v>
      </c>
    </row>
    <row r="8" customFormat="false" ht="15" hidden="false" customHeight="false" outlineLevel="0" collapsed="false">
      <c r="A8" s="306" t="s">
        <v>242</v>
      </c>
      <c r="B8" s="275" t="n">
        <v>45435.625</v>
      </c>
      <c r="C8" s="273" t="n">
        <v>1</v>
      </c>
    </row>
    <row r="9" customFormat="false" ht="15" hidden="false" customHeight="false" outlineLevel="0" collapsed="false">
      <c r="A9" s="306" t="s">
        <v>251</v>
      </c>
      <c r="B9" s="275" t="n">
        <v>45435.625</v>
      </c>
      <c r="C9" s="273" t="n">
        <v>-1</v>
      </c>
    </row>
    <row r="10" customFormat="false" ht="15" hidden="false" customHeight="false" outlineLevel="0" collapsed="false">
      <c r="A10" s="306" t="s">
        <v>260</v>
      </c>
      <c r="B10" s="275" t="n">
        <v>45435.625</v>
      </c>
      <c r="C10" s="273" t="n">
        <v>1</v>
      </c>
    </row>
    <row r="11" customFormat="false" ht="15" hidden="false" customHeight="false" outlineLevel="0" collapsed="false">
      <c r="A11" s="306" t="s">
        <v>269</v>
      </c>
      <c r="B11" s="275" t="n">
        <v>45435.625</v>
      </c>
      <c r="C11" s="273" t="n">
        <v>-1</v>
      </c>
    </row>
    <row r="12" customFormat="false" ht="15" hidden="false" customHeight="false" outlineLevel="0" collapsed="false">
      <c r="A12" s="306" t="s">
        <v>276</v>
      </c>
      <c r="B12" s="275" t="n">
        <v>45435.625</v>
      </c>
      <c r="C12" s="273" t="n">
        <v>1</v>
      </c>
    </row>
    <row r="13" customFormat="false" ht="15" hidden="false" customHeight="false" outlineLevel="0" collapsed="false">
      <c r="A13" s="306" t="s">
        <v>285</v>
      </c>
      <c r="B13" s="275" t="n">
        <v>45435.625</v>
      </c>
      <c r="C13" s="273" t="n">
        <v>-1</v>
      </c>
    </row>
    <row r="14" customFormat="false" ht="15" hidden="false" customHeight="false" outlineLevel="0" collapsed="false">
      <c r="A14" s="306" t="s">
        <v>294</v>
      </c>
      <c r="B14" s="275" t="n">
        <v>45435.625</v>
      </c>
      <c r="C14" s="273" t="n">
        <v>1</v>
      </c>
    </row>
    <row r="15" customFormat="false" ht="15" hidden="false" customHeight="false" outlineLevel="0" collapsed="false">
      <c r="A15" s="306" t="s">
        <v>266</v>
      </c>
      <c r="B15" s="275" t="n">
        <v>45435.625</v>
      </c>
      <c r="C15" s="273" t="n">
        <v>1</v>
      </c>
    </row>
    <row r="16" customFormat="false" ht="15" hidden="false" customHeight="false" outlineLevel="0" collapsed="false">
      <c r="A16" s="306" t="s">
        <v>203</v>
      </c>
      <c r="B16" s="275" t="n">
        <v>45435.625</v>
      </c>
      <c r="C16" s="273" t="n">
        <v>1</v>
      </c>
    </row>
    <row r="17" customFormat="false" ht="15" hidden="false" customHeight="false" outlineLevel="0" collapsed="false">
      <c r="A17" s="306" t="s">
        <v>309</v>
      </c>
      <c r="B17" s="275" t="n">
        <v>45435.625</v>
      </c>
      <c r="C17" s="273" t="n">
        <v>1</v>
      </c>
    </row>
    <row r="18" customFormat="false" ht="15" hidden="false" customHeight="false" outlineLevel="0" collapsed="false">
      <c r="A18" s="306" t="s">
        <v>315</v>
      </c>
      <c r="B18" s="275" t="n">
        <v>45435.625</v>
      </c>
      <c r="C18" s="273" t="n">
        <v>1</v>
      </c>
    </row>
    <row r="19" customFormat="false" ht="15" hidden="false" customHeight="false" outlineLevel="0" collapsed="false">
      <c r="A19" s="306" t="s">
        <v>248</v>
      </c>
      <c r="B19" s="275" t="n">
        <v>45435.625</v>
      </c>
      <c r="C19" s="273" t="n">
        <v>1</v>
      </c>
    </row>
    <row r="20" customFormat="false" ht="15" hidden="false" customHeight="false" outlineLevel="0" collapsed="false">
      <c r="A20" s="306" t="s">
        <v>321</v>
      </c>
      <c r="B20" s="275" t="n">
        <v>45435.625</v>
      </c>
      <c r="C20" s="273" t="n">
        <v>1</v>
      </c>
    </row>
    <row r="21" customFormat="false" ht="15" hidden="false" customHeight="false" outlineLevel="0" collapsed="false">
      <c r="A21" s="306" t="s">
        <v>330</v>
      </c>
      <c r="B21" s="275" t="n">
        <v>45435.625</v>
      </c>
      <c r="C21" s="273" t="n">
        <v>1</v>
      </c>
    </row>
    <row r="22" customFormat="false" ht="15" hidden="false" customHeight="false" outlineLevel="0" collapsed="false">
      <c r="A22" s="306" t="s">
        <v>189</v>
      </c>
      <c r="B22" s="275" t="n">
        <v>45435.625</v>
      </c>
      <c r="C22" s="273" t="n">
        <v>1</v>
      </c>
    </row>
    <row r="23" customFormat="false" ht="15" hidden="false" customHeight="false" outlineLevel="0" collapsed="false">
      <c r="A23" s="306" t="s">
        <v>336</v>
      </c>
      <c r="B23" s="275" t="n">
        <v>45435.625</v>
      </c>
      <c r="C23" s="273" t="n">
        <v>1</v>
      </c>
    </row>
    <row r="24" customFormat="false" ht="15" hidden="false" customHeight="false" outlineLevel="0" collapsed="false">
      <c r="A24" s="306" t="s">
        <v>291</v>
      </c>
      <c r="B24" s="275" t="n">
        <v>45435.625</v>
      </c>
      <c r="C24" s="273" t="n">
        <v>1</v>
      </c>
    </row>
    <row r="25" customFormat="false" ht="15" hidden="false" customHeight="false" outlineLevel="0" collapsed="false">
      <c r="A25" s="306" t="s">
        <v>348</v>
      </c>
      <c r="B25" s="275" t="n">
        <v>45435.625</v>
      </c>
      <c r="C25" s="273" t="n">
        <v>1</v>
      </c>
    </row>
    <row r="26" customFormat="false" ht="15" hidden="false" customHeight="false" outlineLevel="0" collapsed="false">
      <c r="A26" s="306" t="s">
        <v>354</v>
      </c>
      <c r="B26" s="275" t="n">
        <v>45435.625</v>
      </c>
      <c r="C26" s="273" t="n">
        <v>1</v>
      </c>
    </row>
    <row r="27" customFormat="false" ht="15" hidden="false" customHeight="false" outlineLevel="0" collapsed="false">
      <c r="A27" s="306" t="s">
        <v>360</v>
      </c>
      <c r="B27" s="275" t="n">
        <v>45435.625</v>
      </c>
      <c r="C27" s="273" t="n">
        <v>1</v>
      </c>
    </row>
    <row r="28" customFormat="false" ht="15" hidden="false" customHeight="false" outlineLevel="0" collapsed="false">
      <c r="A28" s="306" t="s">
        <v>369</v>
      </c>
      <c r="B28" s="275" t="n">
        <v>45435.625</v>
      </c>
      <c r="C28" s="273" t="n">
        <v>1</v>
      </c>
    </row>
    <row r="29" customFormat="false" ht="15" hidden="false" customHeight="false" outlineLevel="0" collapsed="false">
      <c r="A29" s="306" t="s">
        <v>375</v>
      </c>
      <c r="B29" s="275" t="n">
        <v>45435.625</v>
      </c>
      <c r="C29" s="273" t="n">
        <v>1</v>
      </c>
    </row>
    <row r="30" customFormat="false" ht="15" hidden="false" customHeight="false" outlineLevel="0" collapsed="false">
      <c r="A30" s="306" t="s">
        <v>339</v>
      </c>
      <c r="B30" s="275" t="n">
        <v>45435.625</v>
      </c>
      <c r="C30" s="273" t="n">
        <v>1</v>
      </c>
    </row>
    <row r="31" customFormat="false" ht="15" hidden="false" customHeight="false" outlineLevel="0" collapsed="false">
      <c r="A31" s="306" t="s">
        <v>327</v>
      </c>
      <c r="B31" s="275" t="n">
        <v>45435.625</v>
      </c>
      <c r="C31" s="273" t="n">
        <v>-1</v>
      </c>
    </row>
    <row r="32" customFormat="false" ht="15" hidden="false" customHeight="false" outlineLevel="0" collapsed="false">
      <c r="A32" s="306" t="s">
        <v>390</v>
      </c>
      <c r="B32" s="275" t="n">
        <v>45435.625</v>
      </c>
      <c r="C32" s="273" t="n">
        <v>-1</v>
      </c>
    </row>
    <row r="33" customFormat="false" ht="15" hidden="false" customHeight="false" outlineLevel="0" collapsed="false">
      <c r="A33" s="306" t="s">
        <v>306</v>
      </c>
      <c r="B33" s="275" t="n">
        <v>45435.625</v>
      </c>
      <c r="C33" s="273" t="n">
        <v>1</v>
      </c>
    </row>
    <row r="34" customFormat="false" ht="15" hidden="false" customHeight="false" outlineLevel="0" collapsed="false">
      <c r="A34" s="306" t="s">
        <v>396</v>
      </c>
      <c r="B34" s="275" t="n">
        <v>45435.625</v>
      </c>
      <c r="C34" s="273" t="n">
        <v>1</v>
      </c>
    </row>
    <row r="35" customFormat="false" ht="15" hidden="false" customHeight="false" outlineLevel="0" collapsed="false">
      <c r="A35" s="306" t="s">
        <v>402</v>
      </c>
      <c r="B35" s="275" t="n">
        <v>45435.625</v>
      </c>
      <c r="C35" s="273" t="n">
        <v>-1</v>
      </c>
    </row>
    <row r="36" customFormat="false" ht="15" hidden="false" customHeight="false" outlineLevel="0" collapsed="false">
      <c r="A36" s="306" t="s">
        <v>412</v>
      </c>
      <c r="B36" s="275" t="n">
        <v>45435.625</v>
      </c>
      <c r="C36" s="273" t="n">
        <v>1</v>
      </c>
    </row>
    <row r="37" customFormat="false" ht="15" hidden="false" customHeight="false" outlineLevel="0" collapsed="false">
      <c r="A37" s="306" t="s">
        <v>418</v>
      </c>
      <c r="B37" s="275" t="n">
        <v>45435.625</v>
      </c>
      <c r="C37" s="273" t="n">
        <v>-1</v>
      </c>
    </row>
    <row r="38" customFormat="false" ht="15" hidden="false" customHeight="false" outlineLevel="0" collapsed="false">
      <c r="A38" s="306" t="s">
        <v>318</v>
      </c>
      <c r="B38" s="275" t="n">
        <v>45435.625</v>
      </c>
      <c r="C38" s="273" t="n">
        <v>1</v>
      </c>
    </row>
    <row r="39" customFormat="false" ht="15" hidden="false" customHeight="false" outlineLevel="0" collapsed="false">
      <c r="A39" s="306" t="n">
        <v>31334</v>
      </c>
      <c r="B39" s="275" t="n">
        <v>45435.625</v>
      </c>
      <c r="C39" s="273" t="n">
        <v>1</v>
      </c>
    </row>
    <row r="40" customFormat="false" ht="15" hidden="false" customHeight="false" outlineLevel="0" collapsed="false">
      <c r="A40" s="306" t="s">
        <v>345</v>
      </c>
      <c r="B40" s="275" t="n">
        <v>45435.625</v>
      </c>
      <c r="C40" s="273" t="n">
        <v>-1</v>
      </c>
    </row>
    <row r="41" customFormat="false" ht="15" hidden="false" customHeight="false" outlineLevel="0" collapsed="false">
      <c r="A41" s="306" t="s">
        <v>200</v>
      </c>
      <c r="B41" s="275" t="n">
        <v>45435.625</v>
      </c>
      <c r="C41" s="273" t="n">
        <v>1</v>
      </c>
    </row>
    <row r="42" customFormat="false" ht="15" hidden="false" customHeight="false" outlineLevel="0" collapsed="false">
      <c r="A42" s="306" t="s">
        <v>227</v>
      </c>
      <c r="B42" s="275" t="n">
        <v>45435.625</v>
      </c>
      <c r="C42" s="273" t="n">
        <v>-1</v>
      </c>
    </row>
    <row r="43" customFormat="false" ht="15" hidden="false" customHeight="false" outlineLevel="0" collapsed="false">
      <c r="A43" s="306" t="s">
        <v>236</v>
      </c>
      <c r="B43" s="275" t="n">
        <v>45435.625</v>
      </c>
      <c r="C43" s="273" t="n">
        <v>1</v>
      </c>
    </row>
    <row r="44" customFormat="false" ht="15" hidden="false" customHeight="false" outlineLevel="0" collapsed="false">
      <c r="A44" s="306" t="s">
        <v>245</v>
      </c>
      <c r="B44" s="275" t="n">
        <v>45435.625</v>
      </c>
      <c r="C44" s="273" t="n">
        <v>-1</v>
      </c>
    </row>
    <row r="45" customFormat="false" ht="15" hidden="false" customHeight="false" outlineLevel="0" collapsed="false">
      <c r="A45" s="306" t="s">
        <v>254</v>
      </c>
      <c r="B45" s="275" t="n">
        <v>45435.625</v>
      </c>
      <c r="C45" s="273" t="n">
        <v>1</v>
      </c>
    </row>
    <row r="46" customFormat="false" ht="15" hidden="false" customHeight="false" outlineLevel="0" collapsed="false">
      <c r="A46" s="306" t="s">
        <v>263</v>
      </c>
      <c r="B46" s="275" t="n">
        <v>45435.625</v>
      </c>
      <c r="C46" s="273" t="n">
        <v>1</v>
      </c>
    </row>
    <row r="47" customFormat="false" ht="15" hidden="false" customHeight="false" outlineLevel="0" collapsed="false">
      <c r="A47" s="306" t="s">
        <v>279</v>
      </c>
      <c r="B47" s="275" t="n">
        <v>45435.625</v>
      </c>
      <c r="C47" s="273" t="n">
        <v>1</v>
      </c>
    </row>
    <row r="48" customFormat="false" ht="15" hidden="false" customHeight="false" outlineLevel="0" collapsed="false">
      <c r="A48" s="306" t="s">
        <v>288</v>
      </c>
      <c r="B48" s="275" t="n">
        <v>45435.625</v>
      </c>
      <c r="C48" s="273" t="n">
        <v>1</v>
      </c>
    </row>
    <row r="49" customFormat="false" ht="15" hidden="false" customHeight="false" outlineLevel="0" collapsed="false">
      <c r="A49" s="306" t="s">
        <v>297</v>
      </c>
      <c r="B49" s="275" t="n">
        <v>45435.625</v>
      </c>
      <c r="C49" s="273" t="n">
        <v>-1</v>
      </c>
    </row>
    <row r="50" customFormat="false" ht="15" hidden="false" customHeight="false" outlineLevel="0" collapsed="false">
      <c r="A50" s="306" t="s">
        <v>303</v>
      </c>
      <c r="B50" s="275" t="n">
        <v>45435.625</v>
      </c>
      <c r="C50" s="273" t="n">
        <v>1</v>
      </c>
    </row>
    <row r="51" customFormat="false" ht="15" hidden="false" customHeight="false" outlineLevel="0" collapsed="false">
      <c r="A51" s="306" t="s">
        <v>209</v>
      </c>
      <c r="B51" s="275" t="n">
        <v>45435.625</v>
      </c>
      <c r="C51" s="273" t="n">
        <v>1</v>
      </c>
    </row>
    <row r="52" customFormat="false" ht="15" hidden="false" customHeight="false" outlineLevel="0" collapsed="false">
      <c r="A52" s="306" t="s">
        <v>324</v>
      </c>
      <c r="B52" s="275" t="n">
        <v>45435.625</v>
      </c>
      <c r="C52" s="273" t="n">
        <v>1</v>
      </c>
    </row>
    <row r="53" customFormat="false" ht="15" hidden="false" customHeight="false" outlineLevel="0" collapsed="false">
      <c r="A53" s="306" t="s">
        <v>333</v>
      </c>
      <c r="B53" s="275" t="n">
        <v>45435.625</v>
      </c>
      <c r="C53" s="273" t="n">
        <v>-1</v>
      </c>
    </row>
    <row r="54" customFormat="false" ht="15" hidden="false" customHeight="false" outlineLevel="0" collapsed="false">
      <c r="A54" s="306" t="s">
        <v>221</v>
      </c>
      <c r="B54" s="275" t="n">
        <v>45435.625</v>
      </c>
      <c r="C54" s="273" t="n">
        <v>-1</v>
      </c>
    </row>
    <row r="55" customFormat="false" ht="15" hidden="false" customHeight="false" outlineLevel="0" collapsed="false">
      <c r="A55" s="306" t="s">
        <v>342</v>
      </c>
      <c r="B55" s="275" t="n">
        <v>45435.625</v>
      </c>
      <c r="C55" s="273" t="n">
        <v>1</v>
      </c>
    </row>
    <row r="56" customFormat="false" ht="15" hidden="false" customHeight="false" outlineLevel="0" collapsed="false">
      <c r="A56" s="306" t="s">
        <v>363</v>
      </c>
      <c r="B56" s="275" t="n">
        <v>45435.625</v>
      </c>
      <c r="C56" s="273" t="n">
        <v>1</v>
      </c>
    </row>
    <row r="57" customFormat="false" ht="15" hidden="false" customHeight="false" outlineLevel="0" collapsed="false">
      <c r="A57" s="306" t="s">
        <v>366</v>
      </c>
      <c r="B57" s="275" t="n">
        <v>45435.625</v>
      </c>
      <c r="C57" s="273" t="n">
        <v>1</v>
      </c>
    </row>
    <row r="58" customFormat="false" ht="15" hidden="false" customHeight="false" outlineLevel="0" collapsed="false">
      <c r="A58" s="306" t="s">
        <v>378</v>
      </c>
      <c r="B58" s="275" t="n">
        <v>45435.625</v>
      </c>
      <c r="C58" s="273" t="n">
        <v>1</v>
      </c>
    </row>
    <row r="59" customFormat="false" ht="15" hidden="false" customHeight="false" outlineLevel="0" collapsed="false">
      <c r="A59" s="306" t="s">
        <v>193</v>
      </c>
      <c r="B59" s="275" t="n">
        <v>45435.625</v>
      </c>
      <c r="C59" s="273" t="n">
        <v>-1</v>
      </c>
    </row>
    <row r="60" customFormat="false" ht="15" hidden="false" customHeight="false" outlineLevel="0" collapsed="false">
      <c r="A60" s="306" t="s">
        <v>230</v>
      </c>
      <c r="B60" s="275" t="n">
        <v>45435.625</v>
      </c>
      <c r="C60" s="273" t="n">
        <v>1</v>
      </c>
    </row>
    <row r="61" customFormat="false" ht="15" hidden="false" customHeight="false" outlineLevel="0" collapsed="false">
      <c r="A61" s="306" t="n">
        <v>91178</v>
      </c>
      <c r="B61" s="275" t="n">
        <v>45435.625</v>
      </c>
      <c r="C61" s="273" t="n">
        <v>-1</v>
      </c>
    </row>
    <row r="62" customFormat="false" ht="15" hidden="false" customHeight="false" outlineLevel="0" collapsed="false">
      <c r="A62" s="306" t="s">
        <v>405</v>
      </c>
      <c r="B62" s="275" t="n">
        <v>45435.625</v>
      </c>
      <c r="C62" s="273" t="n">
        <v>1</v>
      </c>
    </row>
    <row r="63" customFormat="false" ht="15" hidden="false" customHeight="false" outlineLevel="0" collapsed="false">
      <c r="A63" s="306" t="s">
        <v>357</v>
      </c>
      <c r="B63" s="275" t="n">
        <v>45435.625</v>
      </c>
      <c r="C63" s="273" t="n">
        <v>1</v>
      </c>
    </row>
    <row r="64" customFormat="false" ht="15" hidden="false" customHeight="false" outlineLevel="0" collapsed="false">
      <c r="A64" s="306" t="s">
        <v>372</v>
      </c>
      <c r="B64" s="275" t="n">
        <v>45435.625</v>
      </c>
      <c r="C64" s="273" t="n">
        <v>1</v>
      </c>
    </row>
    <row r="65" customFormat="false" ht="15" hidden="false" customHeight="false" outlineLevel="0" collapsed="false">
      <c r="A65" s="306" t="s">
        <v>257</v>
      </c>
      <c r="B65" s="275" t="n">
        <v>45435.625</v>
      </c>
      <c r="C65" s="273" t="n">
        <v>1</v>
      </c>
    </row>
    <row r="66" customFormat="false" ht="15" hidden="false" customHeight="false" outlineLevel="0" collapsed="false">
      <c r="A66" s="306" t="s">
        <v>421</v>
      </c>
      <c r="B66" s="275" t="n">
        <v>45435.625</v>
      </c>
      <c r="C66" s="273" t="n">
        <v>1</v>
      </c>
    </row>
    <row r="67" customFormat="false" ht="15" hidden="false" customHeight="false" outlineLevel="0" collapsed="false">
      <c r="A67" s="306" t="s">
        <v>399</v>
      </c>
      <c r="B67" s="275" t="n">
        <v>45435.625</v>
      </c>
      <c r="C67" s="273" t="n">
        <v>1</v>
      </c>
    </row>
    <row r="68" customFormat="false" ht="15" hidden="false" customHeight="false" outlineLevel="0" collapsed="false">
      <c r="A68" s="306" t="s">
        <v>312</v>
      </c>
      <c r="B68" s="275" t="n">
        <v>45435.625</v>
      </c>
      <c r="C68" s="273" t="n">
        <v>-1</v>
      </c>
    </row>
    <row r="69" customFormat="false" ht="15" hidden="false" customHeight="false" outlineLevel="0" collapsed="false">
      <c r="A69" s="306" t="s">
        <v>381</v>
      </c>
      <c r="B69" s="275" t="n">
        <v>45435.625</v>
      </c>
      <c r="C69" s="273" t="n">
        <v>1</v>
      </c>
    </row>
    <row r="70" customFormat="false" ht="15" hidden="false" customHeight="false" outlineLevel="0" collapsed="false">
      <c r="A70" s="306" t="s">
        <v>433</v>
      </c>
      <c r="B70" s="275" t="n">
        <v>45435.625</v>
      </c>
      <c r="C70" s="273" t="n">
        <v>-1</v>
      </c>
    </row>
    <row r="71" customFormat="false" ht="15" hidden="false" customHeight="false" outlineLevel="0" collapsed="false">
      <c r="A71" s="306" t="s">
        <v>427</v>
      </c>
      <c r="B71" s="275" t="n">
        <v>45435.625</v>
      </c>
      <c r="C71" s="273" t="n">
        <v>1</v>
      </c>
    </row>
    <row r="72" customFormat="false" ht="15" hidden="false" customHeight="false" outlineLevel="0" collapsed="false">
      <c r="A72" s="306" t="s">
        <v>445</v>
      </c>
      <c r="B72" s="275" t="n">
        <v>45435.625</v>
      </c>
      <c r="C72" s="273" t="n">
        <v>1</v>
      </c>
    </row>
    <row r="73" customFormat="false" ht="15" hidden="false" customHeight="false" outlineLevel="0" collapsed="false">
      <c r="A73" s="306" t="s">
        <v>448</v>
      </c>
      <c r="B73" s="275" t="n">
        <v>45435.625</v>
      </c>
      <c r="C73" s="273" t="n">
        <v>1</v>
      </c>
    </row>
    <row r="74" customFormat="false" ht="15" hidden="false" customHeight="false" outlineLevel="0" collapsed="false">
      <c r="A74" s="306" t="s">
        <v>452</v>
      </c>
      <c r="B74" s="275" t="n">
        <v>45435.625</v>
      </c>
      <c r="C74" s="273" t="n">
        <v>-1</v>
      </c>
    </row>
    <row r="75" customFormat="false" ht="15" hidden="false" customHeight="false" outlineLevel="0" collapsed="false">
      <c r="A75" s="306" t="s">
        <v>459</v>
      </c>
      <c r="B75" s="275" t="n">
        <v>45435.625</v>
      </c>
      <c r="C75" s="273" t="n">
        <v>-1</v>
      </c>
    </row>
    <row r="76" customFormat="false" ht="15" hidden="false" customHeight="false" outlineLevel="0" collapsed="false">
      <c r="A76" s="306" t="s">
        <v>465</v>
      </c>
      <c r="B76" s="275" t="n">
        <v>45435.625</v>
      </c>
      <c r="C76" s="273" t="n">
        <v>1</v>
      </c>
    </row>
    <row r="77" customFormat="false" ht="15" hidden="false" customHeight="false" outlineLevel="0" collapsed="false">
      <c r="A77" s="306" t="s">
        <v>300</v>
      </c>
      <c r="B77" s="275" t="n">
        <v>45435.625</v>
      </c>
      <c r="C77" s="273" t="n">
        <v>1</v>
      </c>
    </row>
    <row r="78" customFormat="false" ht="15" hidden="false" customHeight="false" outlineLevel="0" collapsed="false">
      <c r="A78" s="306" t="s">
        <v>471</v>
      </c>
      <c r="B78" s="275" t="n">
        <v>45435.625</v>
      </c>
      <c r="C78" s="273" t="n">
        <v>1</v>
      </c>
    </row>
    <row r="79" customFormat="false" ht="15" hidden="false" customHeight="false" outlineLevel="0" collapsed="false">
      <c r="A79" s="306" t="s">
        <v>436</v>
      </c>
      <c r="B79" s="275" t="n">
        <v>45435.625</v>
      </c>
      <c r="C79" s="273" t="n">
        <v>1</v>
      </c>
    </row>
    <row r="80" customFormat="false" ht="15" hidden="false" customHeight="false" outlineLevel="0" collapsed="false">
      <c r="A80" s="306" t="s">
        <v>477</v>
      </c>
      <c r="B80" s="275" t="n">
        <v>45435.625</v>
      </c>
      <c r="C80" s="273" t="n">
        <v>1</v>
      </c>
    </row>
    <row r="81" customFormat="false" ht="15" hidden="false" customHeight="false" outlineLevel="0" collapsed="false">
      <c r="A81" s="306" t="s">
        <v>384</v>
      </c>
      <c r="B81" s="275" t="n">
        <v>45435.625</v>
      </c>
      <c r="C81" s="273" t="n">
        <v>1</v>
      </c>
    </row>
    <row r="82" customFormat="false" ht="15" hidden="false" customHeight="false" outlineLevel="0" collapsed="false">
      <c r="A82" s="306" t="s">
        <v>408</v>
      </c>
      <c r="B82" s="275" t="n">
        <v>45435.625</v>
      </c>
      <c r="C82" s="273" t="n">
        <v>1</v>
      </c>
    </row>
    <row r="83" customFormat="false" ht="15" hidden="false" customHeight="false" outlineLevel="0" collapsed="false">
      <c r="A83" s="306" t="s">
        <v>439</v>
      </c>
      <c r="B83" s="275" t="n">
        <v>45435.625</v>
      </c>
      <c r="C83" s="273" t="n">
        <v>1</v>
      </c>
    </row>
    <row r="84" customFormat="false" ht="15" hidden="false" customHeight="false" outlineLevel="0" collapsed="false">
      <c r="A84" s="306" t="s">
        <v>483</v>
      </c>
      <c r="B84" s="275" t="n">
        <v>45435.625</v>
      </c>
      <c r="C84" s="273" t="n">
        <v>1</v>
      </c>
    </row>
    <row r="85" customFormat="false" ht="15" hidden="false" customHeight="false" outlineLevel="0" collapsed="false">
      <c r="A85" s="306" t="s">
        <v>486</v>
      </c>
      <c r="B85" s="275" t="n">
        <v>45435.625</v>
      </c>
      <c r="C85" s="273" t="n">
        <v>-1</v>
      </c>
    </row>
    <row r="86" customFormat="false" ht="15" hidden="false" customHeight="false" outlineLevel="0" collapsed="false">
      <c r="A86" s="306" t="s">
        <v>351</v>
      </c>
      <c r="B86" s="275" t="n">
        <v>45435.625</v>
      </c>
      <c r="C86" s="273" t="n">
        <v>1</v>
      </c>
    </row>
    <row r="87" customFormat="false" ht="15" hidden="false" customHeight="false" outlineLevel="0" collapsed="false">
      <c r="A87" s="306" t="s">
        <v>415</v>
      </c>
      <c r="B87" s="275" t="n">
        <v>45435.625</v>
      </c>
      <c r="C87" s="273" t="n">
        <v>1</v>
      </c>
    </row>
    <row r="88" customFormat="false" ht="15" hidden="false" customHeight="false" outlineLevel="0" collapsed="false">
      <c r="A88" s="306" t="s">
        <v>492</v>
      </c>
      <c r="B88" s="275" t="n">
        <v>45435.625</v>
      </c>
      <c r="C88" s="273" t="n">
        <v>-1</v>
      </c>
    </row>
    <row r="89" customFormat="false" ht="15" hidden="false" customHeight="false" outlineLevel="0" collapsed="false">
      <c r="A89" s="306" t="s">
        <v>501</v>
      </c>
      <c r="B89" s="275" t="n">
        <v>45435.625</v>
      </c>
      <c r="C89" s="273" t="n">
        <v>-1</v>
      </c>
    </row>
    <row r="90" customFormat="false" ht="15" hidden="false" customHeight="false" outlineLevel="0" collapsed="false">
      <c r="A90" s="306" t="s">
        <v>498</v>
      </c>
      <c r="B90" s="275" t="n">
        <v>45435.625</v>
      </c>
      <c r="C90" s="273" t="n">
        <v>1</v>
      </c>
    </row>
    <row r="91" customFormat="false" ht="15" hidden="false" customHeight="false" outlineLevel="0" collapsed="false">
      <c r="A91" s="306" t="s">
        <v>468</v>
      </c>
      <c r="B91" s="275" t="n">
        <v>45435.625</v>
      </c>
      <c r="C91" s="273" t="n">
        <v>-1</v>
      </c>
    </row>
    <row r="92" customFormat="false" ht="15" hidden="false" customHeight="false" outlineLevel="0" collapsed="false">
      <c r="A92" s="306" t="s">
        <v>510</v>
      </c>
      <c r="B92" s="275" t="n">
        <v>45435.625</v>
      </c>
      <c r="C92" s="273" t="n">
        <v>-1</v>
      </c>
    </row>
    <row r="93" customFormat="false" ht="15" hidden="false" customHeight="false" outlineLevel="0" collapsed="false">
      <c r="A93" s="306" t="s">
        <v>272</v>
      </c>
      <c r="B93" s="275" t="n">
        <v>45435.625</v>
      </c>
      <c r="C93" s="273" t="n">
        <v>1</v>
      </c>
    </row>
    <row r="94" customFormat="false" ht="15" hidden="false" customHeight="false" outlineLevel="0" collapsed="false">
      <c r="A94" s="306" t="s">
        <v>489</v>
      </c>
      <c r="B94" s="275" t="n">
        <v>45435.625</v>
      </c>
      <c r="C94" s="273" t="n">
        <v>1</v>
      </c>
    </row>
    <row r="95" customFormat="false" ht="15" hidden="false" customHeight="false" outlineLevel="0" collapsed="false">
      <c r="A95" s="306" t="s">
        <v>393</v>
      </c>
      <c r="B95" s="275" t="n">
        <v>45435.625</v>
      </c>
      <c r="C95" s="273" t="n">
        <v>-1</v>
      </c>
    </row>
    <row r="96" customFormat="false" ht="15" hidden="false" customHeight="false" outlineLevel="0" collapsed="false">
      <c r="A96" s="306" t="s">
        <v>516</v>
      </c>
      <c r="B96" s="275" t="n">
        <v>45435.625</v>
      </c>
      <c r="C96" s="273" t="n">
        <v>1</v>
      </c>
    </row>
    <row r="97" customFormat="false" ht="15" hidden="false" customHeight="false" outlineLevel="0" collapsed="false">
      <c r="A97" s="306" t="s">
        <v>430</v>
      </c>
      <c r="B97" s="275" t="n">
        <v>45435.625</v>
      </c>
      <c r="C97" s="273" t="n">
        <v>1</v>
      </c>
    </row>
    <row r="98" customFormat="false" ht="15" hidden="false" customHeight="false" outlineLevel="0" collapsed="false">
      <c r="A98" s="306" t="s">
        <v>507</v>
      </c>
      <c r="B98" s="275" t="n">
        <v>45435.625</v>
      </c>
      <c r="C98" s="273" t="n">
        <v>-1</v>
      </c>
    </row>
    <row r="99" customFormat="false" ht="15" hidden="false" customHeight="false" outlineLevel="0" collapsed="false">
      <c r="A99" s="306" t="s">
        <v>474</v>
      </c>
      <c r="B99" s="275" t="n">
        <v>45435.625</v>
      </c>
      <c r="C99" s="273" t="n">
        <v>-1</v>
      </c>
    </row>
    <row r="100" customFormat="false" ht="15" hidden="false" customHeight="false" outlineLevel="0" collapsed="false">
      <c r="A100" s="306" t="s">
        <v>504</v>
      </c>
      <c r="B100" s="275" t="n">
        <v>45435.625</v>
      </c>
      <c r="C100" s="273" t="n">
        <v>1</v>
      </c>
    </row>
    <row r="101" customFormat="false" ht="15" hidden="false" customHeight="false" outlineLevel="0" collapsed="false">
      <c r="A101" s="306" t="s">
        <v>239</v>
      </c>
      <c r="B101" s="275" t="n">
        <v>45435.625</v>
      </c>
      <c r="C101" s="273" t="n">
        <v>1</v>
      </c>
    </row>
    <row r="102" customFormat="false" ht="15" hidden="false" customHeight="false" outlineLevel="0" collapsed="false">
      <c r="A102" s="306" t="s">
        <v>528</v>
      </c>
      <c r="B102" s="275" t="n">
        <v>45435.625</v>
      </c>
      <c r="C102" s="273" t="n">
        <v>1</v>
      </c>
    </row>
    <row r="103" customFormat="false" ht="15" hidden="false" customHeight="false" outlineLevel="0" collapsed="false">
      <c r="A103" s="306" t="s">
        <v>531</v>
      </c>
      <c r="B103" s="275" t="n">
        <v>45435.625</v>
      </c>
      <c r="C103" s="273" t="n">
        <v>1</v>
      </c>
    </row>
    <row r="104" customFormat="false" ht="15" hidden="false" customHeight="false" outlineLevel="0" collapsed="false">
      <c r="A104" s="306" t="s">
        <v>462</v>
      </c>
      <c r="B104" s="275" t="n">
        <v>45435.625</v>
      </c>
      <c r="C104" s="273" t="n">
        <v>1</v>
      </c>
    </row>
    <row r="105" customFormat="false" ht="15" hidden="false" customHeight="false" outlineLevel="0" collapsed="false">
      <c r="A105" s="306" t="s">
        <v>534</v>
      </c>
      <c r="B105" s="275" t="n">
        <v>45435.625</v>
      </c>
      <c r="C105" s="273" t="n">
        <v>1</v>
      </c>
    </row>
    <row r="106" customFormat="false" ht="15" hidden="false" customHeight="false" outlineLevel="0" collapsed="false">
      <c r="A106" s="306" t="s">
        <v>537</v>
      </c>
      <c r="B106" s="275" t="n">
        <v>45435.625</v>
      </c>
      <c r="C106" s="273" t="n">
        <v>-1</v>
      </c>
    </row>
    <row r="107" customFormat="false" ht="15" hidden="false" customHeight="false" outlineLevel="0" collapsed="false">
      <c r="A107" s="306" t="s">
        <v>387</v>
      </c>
      <c r="B107" s="275" t="n">
        <v>45435.625</v>
      </c>
      <c r="C107" s="273" t="n">
        <v>-1</v>
      </c>
    </row>
    <row r="108" customFormat="false" ht="15" hidden="false" customHeight="false" outlineLevel="0" collapsed="false">
      <c r="A108" s="306" t="s">
        <v>495</v>
      </c>
      <c r="B108" s="275" t="n">
        <v>45435.625</v>
      </c>
      <c r="C108" s="273" t="n">
        <v>1</v>
      </c>
    </row>
    <row r="109" customFormat="false" ht="15" hidden="false" customHeight="false" outlineLevel="0" collapsed="false">
      <c r="A109" s="306" t="s">
        <v>424</v>
      </c>
      <c r="B109" s="275" t="n">
        <v>45435.625</v>
      </c>
      <c r="C109" s="273" t="n">
        <v>1</v>
      </c>
    </row>
    <row r="110" customFormat="false" ht="15" hidden="false" customHeight="false" outlineLevel="0" collapsed="false">
      <c r="A110" s="306" t="s">
        <v>282</v>
      </c>
      <c r="B110" s="275" t="n">
        <v>45435.625</v>
      </c>
      <c r="C110" s="273" t="n">
        <v>-1</v>
      </c>
    </row>
    <row r="111" customFormat="false" ht="15" hidden="false" customHeight="false" outlineLevel="0" collapsed="false">
      <c r="A111" s="306" t="s">
        <v>525</v>
      </c>
      <c r="B111" s="275" t="n">
        <v>45435.625</v>
      </c>
      <c r="C111" s="273" t="n">
        <v>1</v>
      </c>
    </row>
    <row r="112" customFormat="false" ht="15" hidden="false" customHeight="false" outlineLevel="0" collapsed="false">
      <c r="A112" s="306" t="s">
        <v>522</v>
      </c>
      <c r="B112" s="275" t="n">
        <v>45435.625</v>
      </c>
      <c r="C112" s="273" t="n">
        <v>-1</v>
      </c>
    </row>
    <row r="113" customFormat="false" ht="15" hidden="false" customHeight="false" outlineLevel="0" collapsed="false">
      <c r="A113" s="306" t="s">
        <v>480</v>
      </c>
      <c r="B113" s="275" t="n">
        <v>45435.625</v>
      </c>
      <c r="C113" s="273" t="n">
        <v>1</v>
      </c>
    </row>
    <row r="114" customFormat="false" ht="15" hidden="false" customHeight="false" outlineLevel="0" collapsed="false">
      <c r="A114" s="306" t="s">
        <v>513</v>
      </c>
      <c r="B114" s="275" t="n">
        <v>45435.625</v>
      </c>
      <c r="C114" s="273" t="n">
        <v>1</v>
      </c>
    </row>
    <row r="115" customFormat="false" ht="15" hidden="false" customHeight="false" outlineLevel="0" collapsed="false">
      <c r="A115" s="306" t="s">
        <v>519</v>
      </c>
      <c r="B115" s="275" t="n">
        <v>45435.625</v>
      </c>
      <c r="C115" s="273" t="n">
        <v>-1</v>
      </c>
    </row>
    <row r="116" customFormat="false" ht="15" hidden="false" customHeight="false" outlineLevel="0" collapsed="false">
      <c r="A116" s="306" t="s">
        <v>456</v>
      </c>
      <c r="B116" s="275" t="n">
        <v>45435.625</v>
      </c>
      <c r="C116" s="273" t="n">
        <v>1</v>
      </c>
    </row>
    <row r="117" customFormat="false" ht="15" hidden="false" customHeight="false" outlineLevel="0" collapsed="false">
      <c r="A117" s="306" t="s">
        <v>215</v>
      </c>
      <c r="B117" s="275" t="n">
        <v>45435.625</v>
      </c>
      <c r="C117" s="273" t="n">
        <v>-1</v>
      </c>
    </row>
    <row r="118" customFormat="false" ht="15" hidden="false" customHeight="false" outlineLevel="0" collapsed="false">
      <c r="A118" s="306" t="s">
        <v>442</v>
      </c>
      <c r="B118" s="275" t="n">
        <v>45435.625</v>
      </c>
      <c r="C118" s="273" t="n">
        <v>-1</v>
      </c>
    </row>
    <row r="119" customFormat="false" ht="15" hidden="false" customHeight="false" outlineLevel="0" collapsed="false">
      <c r="A119" s="306" t="s">
        <v>540</v>
      </c>
      <c r="B119" s="275" t="n">
        <v>45435.625</v>
      </c>
      <c r="C119" s="273" t="n">
        <v>-1</v>
      </c>
    </row>
    <row r="120" customFormat="false" ht="15" hidden="false" customHeight="false" outlineLevel="0" collapsed="false">
      <c r="A120" s="306" t="s">
        <v>543</v>
      </c>
      <c r="B120" s="275" t="n">
        <v>45435.625</v>
      </c>
      <c r="C120" s="273" t="n">
        <v>1</v>
      </c>
    </row>
    <row r="121" customFormat="false" ht="15" hidden="false" customHeight="false" outlineLevel="0" collapsed="false">
      <c r="A121" s="386"/>
      <c r="C121" s="394"/>
    </row>
    <row r="123" customFormat="false" ht="15" hidden="false" customHeight="false" outlineLevel="0" collapsed="false">
      <c r="B123" s="356"/>
    </row>
    <row r="124" customFormat="false" ht="15" hidden="false" customHeight="false" outlineLevel="0" collapsed="false">
      <c r="B124" s="356"/>
    </row>
    <row r="125" customFormat="false" ht="15" hidden="false" customHeight="false" outlineLevel="0" collapsed="false">
      <c r="B125" s="356"/>
    </row>
    <row r="126" customFormat="false" ht="15" hidden="false" customHeight="false" outlineLevel="0" collapsed="false">
      <c r="B126" s="356"/>
    </row>
    <row r="127" customFormat="false" ht="15" hidden="false" customHeight="false" outlineLevel="0" collapsed="false">
      <c r="B127" s="356"/>
    </row>
    <row r="128" customFormat="false" ht="15" hidden="false" customHeight="false" outlineLevel="0" collapsed="false">
      <c r="B128" s="356"/>
    </row>
    <row r="129" customFormat="false" ht="15" hidden="false" customHeight="false" outlineLevel="0" collapsed="false">
      <c r="B129" s="356"/>
    </row>
    <row r="130" customFormat="false" ht="15" hidden="false" customHeight="false" outlineLevel="0" collapsed="false">
      <c r="A130" s="407"/>
      <c r="B130" s="400"/>
      <c r="C130" s="400"/>
    </row>
    <row r="131" customFormat="false" ht="15" hidden="false" customHeight="false" outlineLevel="0" collapsed="false">
      <c r="A131" s="407"/>
      <c r="B131" s="418"/>
      <c r="C131" s="415"/>
    </row>
    <row r="132" customFormat="false" ht="15" hidden="false" customHeight="false" outlineLevel="0" collapsed="false">
      <c r="A132" s="407"/>
      <c r="B132" s="416"/>
      <c r="C132" s="415"/>
    </row>
    <row r="133" customFormat="false" ht="15" hidden="false" customHeight="false" outlineLevel="0" collapsed="false">
      <c r="A133" s="407"/>
      <c r="B133" s="416"/>
      <c r="C133" s="415"/>
    </row>
    <row r="134" customFormat="false" ht="15" hidden="false" customHeight="false" outlineLevel="0" collapsed="false">
      <c r="A134" s="407"/>
      <c r="B134" s="415"/>
      <c r="C134" s="415"/>
    </row>
    <row r="135" customFormat="false" ht="15" hidden="false" customHeight="false" outlineLevel="0" collapsed="false">
      <c r="A135" s="407"/>
      <c r="B135" s="418"/>
      <c r="C135" s="415"/>
    </row>
    <row r="136" customFormat="false" ht="15" hidden="false" customHeight="false" outlineLevel="0" collapsed="false">
      <c r="A136" s="407"/>
      <c r="B136" s="418"/>
      <c r="C136" s="415"/>
    </row>
    <row r="137" customFormat="false" ht="15" hidden="false" customHeight="false" outlineLevel="0" collapsed="false">
      <c r="A137" s="407"/>
      <c r="B137" s="416"/>
      <c r="C137" s="400"/>
    </row>
    <row r="138" customFormat="false" ht="15" hidden="false" customHeight="false" outlineLevel="0" collapsed="false">
      <c r="A138" s="407"/>
      <c r="B138" s="415"/>
      <c r="C138" s="400"/>
    </row>
    <row r="139" customFormat="false" ht="15" hidden="false" customHeight="false" outlineLevel="0" collapsed="false">
      <c r="A139" s="407"/>
      <c r="B139" s="418"/>
      <c r="C139" s="415"/>
    </row>
    <row r="140" customFormat="false" ht="15" hidden="false" customHeight="false" outlineLevel="0" collapsed="false">
      <c r="A140" s="407"/>
      <c r="B140" s="416"/>
      <c r="C140" s="415"/>
    </row>
    <row r="141" customFormat="false" ht="15" hidden="false" customHeight="false" outlineLevel="0" collapsed="false">
      <c r="A141" s="407"/>
      <c r="B141" s="416"/>
      <c r="C141" s="415"/>
    </row>
    <row r="142" customFormat="false" ht="15" hidden="false" customHeight="false" outlineLevel="0" collapsed="false">
      <c r="A142" s="407"/>
      <c r="B142" s="415"/>
      <c r="C142" s="415"/>
    </row>
    <row r="143" customFormat="false" ht="15" hidden="false" customHeight="false" outlineLevel="0" collapsed="false">
      <c r="A143" s="407"/>
      <c r="B143" s="418"/>
      <c r="C143" s="415"/>
    </row>
    <row r="144" customFormat="false" ht="15" hidden="false" customHeight="false" outlineLevel="0" collapsed="false">
      <c r="A144" s="407"/>
      <c r="B144" s="418"/>
      <c r="C144" s="415"/>
    </row>
    <row r="145" customFormat="false" ht="15" hidden="false" customHeight="false" outlineLevel="0" collapsed="false">
      <c r="A145" s="407"/>
      <c r="B145" s="416"/>
      <c r="C145" s="400"/>
    </row>
    <row r="146" customFormat="false" ht="15" hidden="false" customHeight="false" outlineLevel="0" collapsed="false">
      <c r="A146" s="407"/>
      <c r="B146" s="415"/>
      <c r="C146" s="400"/>
    </row>
    <row r="147" customFormat="false" ht="15" hidden="false" customHeight="false" outlineLevel="0" collapsed="false">
      <c r="A147" s="407"/>
      <c r="B147" s="418"/>
      <c r="C147" s="415"/>
    </row>
    <row r="148" customFormat="false" ht="15" hidden="false" customHeight="false" outlineLevel="0" collapsed="false">
      <c r="A148" s="407"/>
      <c r="B148" s="416"/>
      <c r="C148" s="415"/>
    </row>
    <row r="149" customFormat="false" ht="15" hidden="false" customHeight="false" outlineLevel="0" collapsed="false">
      <c r="A149" s="407"/>
      <c r="B149" s="416"/>
      <c r="C149" s="415"/>
    </row>
    <row r="150" customFormat="false" ht="15" hidden="false" customHeight="false" outlineLevel="0" collapsed="false">
      <c r="A150" s="407"/>
      <c r="B150" s="415"/>
      <c r="C150" s="415"/>
    </row>
    <row r="151" customFormat="false" ht="15" hidden="false" customHeight="false" outlineLevel="0" collapsed="false">
      <c r="A151" s="407"/>
      <c r="B151" s="418"/>
      <c r="C151" s="415"/>
    </row>
    <row r="152" customFormat="false" ht="15" hidden="false" customHeight="false" outlineLevel="0" collapsed="false">
      <c r="A152" s="407"/>
      <c r="B152" s="418"/>
      <c r="C152" s="415"/>
    </row>
    <row r="153" customFormat="false" ht="15" hidden="false" customHeight="false" outlineLevel="0" collapsed="false">
      <c r="A153" s="407"/>
      <c r="B153" s="416"/>
      <c r="C153" s="400"/>
    </row>
    <row r="154" customFormat="false" ht="15" hidden="false" customHeight="false" outlineLevel="0" collapsed="false">
      <c r="A154" s="407"/>
      <c r="B154" s="400"/>
      <c r="C154" s="400"/>
    </row>
    <row r="155" customFormat="false" ht="15" hidden="false" customHeight="false" outlineLevel="0" collapsed="false">
      <c r="A155" s="407"/>
      <c r="B155" s="418"/>
      <c r="C155" s="415"/>
    </row>
    <row r="156" customFormat="false" ht="15" hidden="false" customHeight="false" outlineLevel="0" collapsed="false">
      <c r="A156" s="407"/>
      <c r="B156" s="416"/>
      <c r="C156" s="415"/>
    </row>
    <row r="157" customFormat="false" ht="15" hidden="false" customHeight="false" outlineLevel="0" collapsed="false">
      <c r="A157" s="407"/>
      <c r="B157" s="416"/>
      <c r="C157" s="415"/>
    </row>
    <row r="158" customFormat="false" ht="15" hidden="false" customHeight="false" outlineLevel="0" collapsed="false">
      <c r="A158" s="407"/>
      <c r="B158" s="415"/>
      <c r="C158" s="415"/>
    </row>
    <row r="159" customFormat="false" ht="15" hidden="false" customHeight="false" outlineLevel="0" collapsed="false">
      <c r="A159" s="407"/>
      <c r="B159" s="418"/>
      <c r="C159" s="415"/>
    </row>
    <row r="160" customFormat="false" ht="15" hidden="false" customHeight="false" outlineLevel="0" collapsed="false">
      <c r="A160" s="407"/>
      <c r="B160" s="418"/>
      <c r="C160" s="415"/>
    </row>
    <row r="161" customFormat="false" ht="15" hidden="false" customHeight="false" outlineLevel="0" collapsed="false">
      <c r="A161" s="407"/>
      <c r="B161" s="416"/>
      <c r="C161" s="400"/>
    </row>
    <row r="162" customFormat="false" ht="15" hidden="false" customHeight="false" outlineLevel="0" collapsed="false">
      <c r="A162" s="407"/>
      <c r="B162" s="400"/>
      <c r="C162" s="400"/>
    </row>
    <row r="163" customFormat="false" ht="15" hidden="false" customHeight="false" outlineLevel="0" collapsed="false">
      <c r="A163" s="407"/>
      <c r="B163" s="418"/>
      <c r="C163" s="415"/>
    </row>
    <row r="164" customFormat="false" ht="15" hidden="false" customHeight="false" outlineLevel="0" collapsed="false">
      <c r="A164" s="407"/>
      <c r="B164" s="416"/>
      <c r="C164" s="415"/>
    </row>
    <row r="165" customFormat="false" ht="15" hidden="false" customHeight="false" outlineLevel="0" collapsed="false">
      <c r="A165" s="407"/>
      <c r="B165" s="416"/>
      <c r="C165" s="415"/>
    </row>
    <row r="166" customFormat="false" ht="15" hidden="false" customHeight="false" outlineLevel="0" collapsed="false">
      <c r="A166" s="407"/>
      <c r="B166" s="415"/>
      <c r="C166" s="415"/>
    </row>
    <row r="167" customFormat="false" ht="15" hidden="false" customHeight="false" outlineLevel="0" collapsed="false">
      <c r="A167" s="407"/>
      <c r="B167" s="418"/>
      <c r="C167" s="415"/>
    </row>
    <row r="168" customFormat="false" ht="15" hidden="false" customHeight="false" outlineLevel="0" collapsed="false">
      <c r="A168" s="407"/>
      <c r="B168" s="418"/>
      <c r="C168" s="415"/>
    </row>
    <row r="169" customFormat="false" ht="15" hidden="false" customHeight="false" outlineLevel="0" collapsed="false">
      <c r="A169" s="407"/>
      <c r="B169" s="416"/>
      <c r="C169" s="400"/>
    </row>
    <row r="170" customFormat="false" ht="15" hidden="false" customHeight="false" outlineLevel="0" collapsed="false">
      <c r="A170" s="407"/>
      <c r="B170" s="400"/>
      <c r="C170" s="400"/>
    </row>
    <row r="171" customFormat="false" ht="15" hidden="false" customHeight="false" outlineLevel="0" collapsed="false">
      <c r="A171" s="407"/>
      <c r="B171" s="418"/>
      <c r="C171" s="415"/>
    </row>
    <row r="172" customFormat="false" ht="15" hidden="false" customHeight="false" outlineLevel="0" collapsed="false">
      <c r="A172" s="407"/>
      <c r="B172" s="416"/>
      <c r="C172" s="415"/>
    </row>
    <row r="173" customFormat="false" ht="15" hidden="false" customHeight="false" outlineLevel="0" collapsed="false">
      <c r="A173" s="407"/>
      <c r="B173" s="416"/>
      <c r="C173" s="415"/>
    </row>
    <row r="174" customFormat="false" ht="15" hidden="false" customHeight="false" outlineLevel="0" collapsed="false">
      <c r="A174" s="407"/>
      <c r="B174" s="415"/>
      <c r="C174" s="415"/>
    </row>
    <row r="175" customFormat="false" ht="15" hidden="false" customHeight="false" outlineLevel="0" collapsed="false">
      <c r="A175" s="407"/>
      <c r="B175" s="418"/>
      <c r="C175" s="415"/>
    </row>
    <row r="176" customFormat="false" ht="15" hidden="false" customHeight="false" outlineLevel="0" collapsed="false">
      <c r="A176" s="407"/>
      <c r="B176" s="418"/>
      <c r="C176" s="415"/>
    </row>
    <row r="177" customFormat="false" ht="15" hidden="false" customHeight="false" outlineLevel="0" collapsed="false">
      <c r="A177" s="407"/>
      <c r="B177" s="416"/>
      <c r="C177" s="400"/>
    </row>
    <row r="178" customFormat="false" ht="15" hidden="false" customHeight="false" outlineLevel="0" collapsed="false">
      <c r="A178" s="407"/>
      <c r="B178" s="400"/>
      <c r="C178" s="400"/>
    </row>
    <row r="179" customFormat="false" ht="15" hidden="false" customHeight="false" outlineLevel="0" collapsed="false">
      <c r="A179" s="407"/>
      <c r="B179" s="418"/>
      <c r="C179" s="415"/>
    </row>
    <row r="180" customFormat="false" ht="15" hidden="false" customHeight="false" outlineLevel="0" collapsed="false">
      <c r="A180" s="407"/>
      <c r="B180" s="416"/>
      <c r="C180" s="415"/>
    </row>
    <row r="181" customFormat="false" ht="15" hidden="false" customHeight="false" outlineLevel="0" collapsed="false">
      <c r="A181" s="407"/>
      <c r="B181" s="416"/>
      <c r="C181" s="415"/>
    </row>
    <row r="182" customFormat="false" ht="15" hidden="false" customHeight="false" outlineLevel="0" collapsed="false">
      <c r="A182" s="407"/>
      <c r="B182" s="415"/>
      <c r="C182" s="415"/>
    </row>
    <row r="183" customFormat="false" ht="15" hidden="false" customHeight="false" outlineLevel="0" collapsed="false">
      <c r="A183" s="407"/>
      <c r="B183" s="418"/>
      <c r="C183" s="415"/>
    </row>
    <row r="184" customFormat="false" ht="15" hidden="false" customHeight="false" outlineLevel="0" collapsed="false">
      <c r="A184" s="407"/>
      <c r="B184" s="418"/>
      <c r="C184" s="415"/>
    </row>
    <row r="185" customFormat="false" ht="15" hidden="false" customHeight="false" outlineLevel="0" collapsed="false">
      <c r="A185" s="407"/>
      <c r="B185" s="416"/>
      <c r="C185" s="400"/>
    </row>
    <row r="186" customFormat="false" ht="15" hidden="false" customHeight="false" outlineLevel="0" collapsed="false">
      <c r="B186" s="400"/>
      <c r="C186" s="400"/>
    </row>
    <row r="187" customFormat="false" ht="15" hidden="false" customHeight="false" outlineLevel="0" collapsed="false">
      <c r="B187" s="400"/>
      <c r="C187" s="400"/>
    </row>
    <row r="188" customFormat="false" ht="15" hidden="false" customHeight="false" outlineLevel="0" collapsed="false">
      <c r="B188" s="400"/>
      <c r="C188" s="400"/>
    </row>
    <row r="189" customFormat="false" ht="15" hidden="false" customHeight="false" outlineLevel="0" collapsed="false">
      <c r="B189" s="400"/>
      <c r="C189" s="400"/>
    </row>
    <row r="190" customFormat="false" ht="15" hidden="false" customHeight="false" outlineLevel="0" collapsed="false">
      <c r="B190" s="400"/>
      <c r="C190" s="400"/>
    </row>
    <row r="191" customFormat="false" ht="15" hidden="false" customHeight="false" outlineLevel="0" collapsed="false">
      <c r="B191" s="400"/>
      <c r="C191" s="400"/>
    </row>
    <row r="192" customFormat="false" ht="15" hidden="false" customHeight="false" outlineLevel="0" collapsed="false">
      <c r="B192" s="400"/>
      <c r="C192" s="400"/>
    </row>
    <row r="193" customFormat="false" ht="15" hidden="false" customHeight="false" outlineLevel="0" collapsed="false">
      <c r="B193" s="400"/>
      <c r="C193" s="400"/>
    </row>
    <row r="194" customFormat="false" ht="15" hidden="false" customHeight="false" outlineLevel="0" collapsed="false">
      <c r="B194" s="400"/>
      <c r="C194" s="400"/>
    </row>
    <row r="195" customFormat="false" ht="15" hidden="false" customHeight="false" outlineLevel="0" collapsed="false">
      <c r="B195" s="400"/>
      <c r="C195" s="400"/>
    </row>
    <row r="196" customFormat="false" ht="15" hidden="false" customHeight="false" outlineLevel="0" collapsed="false">
      <c r="B196" s="400"/>
      <c r="C196" s="400"/>
    </row>
    <row r="197" customFormat="false" ht="15" hidden="false" customHeight="false" outlineLevel="0" collapsed="false">
      <c r="B197" s="400"/>
      <c r="C197" s="400"/>
    </row>
    <row r="198" customFormat="false" ht="15" hidden="false" customHeight="false" outlineLevel="0" collapsed="false">
      <c r="B198" s="400"/>
      <c r="C198" s="400"/>
    </row>
    <row r="199" customFormat="false" ht="15" hidden="false" customHeight="false" outlineLevel="0" collapsed="false">
      <c r="B199" s="400"/>
      <c r="C199" s="400"/>
    </row>
    <row r="200" customFormat="false" ht="15" hidden="false" customHeight="false" outlineLevel="0" collapsed="false">
      <c r="B200" s="400"/>
      <c r="C200" s="400"/>
    </row>
    <row r="201" customFormat="false" ht="15" hidden="false" customHeight="false" outlineLevel="0" collapsed="false">
      <c r="B201" s="400"/>
      <c r="C201" s="400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2021-06-17T09:20:52Z</dcterms:created>
  <dc:creator>Anne TESNIERE</dc:creator>
  <dc:description/>
  <dc:language>fr-FR</dc:language>
  <cp:lastModifiedBy/>
  <dcterms:modified xsi:type="dcterms:W3CDTF">2026-10-22T16:26:17Z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